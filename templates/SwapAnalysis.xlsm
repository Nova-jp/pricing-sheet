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7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0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1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1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2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3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4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5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6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7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8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9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0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1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2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3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4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5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6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7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60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61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2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3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4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5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6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7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8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9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70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71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2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3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drawings/drawing4.xml" ContentType="application/vnd.openxmlformats-officedocument.drawing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drawings/drawing5.xml" ContentType="application/vnd.openxmlformats-officedocument.drawing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drawings/drawing6.xml" ContentType="application/vnd.openxmlformats-officedocument.drawing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202300"/>
  <xr:revisionPtr revIDLastSave="0" documentId="13_ncr:1_{C28D864B-7435-4CED-9DD8-8449166A4810}" xr6:coauthVersionLast="47" xr6:coauthVersionMax="47" xr10:uidLastSave="{00000000-0000-0000-0000-000000000000}"/>
  <bookViews>
    <workbookView xWindow="-110" yWindow="-110" windowWidth="19420" windowHeight="11500" activeTab="1" xr2:uid="{F109E07F-C2B9-41F3-853A-1EF4B605D85F}"/>
  </bookViews>
  <sheets>
    <sheet name="PCA" sheetId="6" r:id="rId1"/>
    <sheet name="PCAGrid" sheetId="14" r:id="rId2"/>
    <sheet name="VolPCA" sheetId="9" r:id="rId3"/>
    <sheet name="VolHV" sheetId="10" r:id="rId4"/>
    <sheet name="VolLevel" sheetId="17" r:id="rId5"/>
    <sheet name="BOJ" sheetId="11" r:id="rId6"/>
    <sheet name="FwdMonitor" sheetId="15" r:id="rId7"/>
    <sheet name="FutBasis" sheetId="16" r:id="rId8"/>
  </sheets>
  <functionGroups builtInGroupCount="19">
    <functionGroup name="Workspace"/>
  </functionGroups>
  <definedNames>
    <definedName name="_xlpm.a" hidden="1" xlm="1">#NAME?</definedName>
    <definedName name="_xlpm.acc" hidden="1" xlm="1">#NAME?</definedName>
    <definedName name="_xlpm.auto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es" hidden="1" xlm="1">#NAME?</definedName>
    <definedName name="_xlpm.f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dx" hidden="1" xlm="1">#NAME?</definedName>
    <definedName name="_xlpm.isImm" hidden="1" xlm="1">#NAME?</definedName>
    <definedName name="_xlpm.j" hidden="1" xlm="1">#NAME?</definedName>
    <definedName name="_xlpm.k" hidden="1" xlm="1">#NAME?</definedName>
    <definedName name="_xlpm.keep" hidden="1" xlm="1">#NAME?</definedName>
    <definedName name="_xlpm.lag" hidden="1" xlm="1">#NAME?</definedName>
    <definedName name="_xlpm.last" hidden="1" xlm="1">#NAME?</definedName>
    <definedName name="_xlpm.live" hidden="1" xlm="1">#NAME?</definedName>
    <definedName name="_xlpm.longS" hidden="1" xlm="1">#NAME?</definedName>
    <definedName name="_xlpm.m" hidden="1" xlm="1">#NAME?</definedName>
    <definedName name="_xlpm.mdl" hidden="1" xlm="1">#NAME?</definedName>
    <definedName name="_xlpm.mu" hidden="1" xlm="1">#NAME?</definedName>
    <definedName name="_xlpm.n" hidden="1" xlm="1">#NAME?</definedName>
    <definedName name="_xlpm.pc" hidden="1" xlm="1">#NAME?</definedName>
    <definedName name="_xlpm.pn" hidden="1" xlm="1">#NAME?</definedName>
    <definedName name="_xlpm.pr" hidden="1" xlm="1">#NAME?</definedName>
    <definedName name="_xlpm.px" hidden="1" xlm="1">#NAME?</definedName>
    <definedName name="_xlpm.py" hidden="1" xlm="1">#NAME?</definedName>
    <definedName name="_xlpm.q" hidden="1" xlm="1">#NAME?</definedName>
    <definedName name="_xlpm.r" hidden="1" xlm="1">#NAME?</definedName>
    <definedName name="_xlpm.rs" hidden="1" xlm="1">#NAME?</definedName>
    <definedName name="_xlpm.s" hidden="1" xlm="1">#NAME?</definedName>
    <definedName name="_xlpm.sfx" hidden="1" xlm="1">#NAME?</definedName>
    <definedName name="_xlpm.sg" hidden="1" xlm="1">#NAME?</definedName>
    <definedName name="_xlpm.shortS" hidden="1" xlm="1">#NAME?</definedName>
    <definedName name="_xlpm.sl" hidden="1" xlm="1">#NAME?</definedName>
    <definedName name="_xlpm.t" hidden="1" xlm="1">#NAME?</definedName>
    <definedName name="_xlpm.ts" hidden="1" xlm="1">#NAME?</definedName>
    <definedName name="_xlpm.u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FUT_AdjDate">FutBasis!$Z$15:$Z$54</definedName>
    <definedName name="FUT_AdjNet">FutBasis!$AB$15:$AB$54</definedName>
    <definedName name="FUT_AdjSettle">FutBasis!$AA$15:$AA$54</definedName>
    <definedName name="FUT_ChDate">_xlfn.ANCHORARRAY(FutBasis!$BA$4)</definedName>
    <definedName name="FUT_ChNet">_xlfn.ANCHORARRAY(FutBasis!$BD$4)</definedName>
    <definedName name="FUT_ChNetAdj">_xlfn.ANCHORARRAY(FutBasis!$BE$4)</definedName>
    <definedName name="FUT_ChSettle">_xlfn.ANCHORARRAY(FutBasis!$BB$4)</definedName>
    <definedName name="FUT_ChSettleAdj">_xlfn.ANCHORARRAY(FutBasis!$BC$4)</definedName>
    <definedName name="FUT_Contract">FutBasis!$B$4</definedName>
    <definedName name="FUT_Date">IF(FUT_DateIn="",MAX(FUT_HD),FUT_DateIn)</definedName>
    <definedName name="FUT_DateIn">FutBasis!$B$5</definedName>
    <definedName name="FUT_Field">FutBasis!$B$9</definedName>
    <definedName name="FUT_From">FutBasis!$B$8</definedName>
    <definedName name="FUT_H">_xlfn.ANCHORARRAY(FutBasis!$AE$3)</definedName>
    <definedName name="FUT_HD">_xlfn.DROP(INDEX(FUT_H,,1),1)</definedName>
    <definedName name="FUT_Ov1">_xlfn.ANCHORARRAY(FutBasis!$BP$4)</definedName>
    <definedName name="FUT_Ov2">_xlfn.ANCHORARRAY(FutBasis!$BQ$4)</definedName>
    <definedName name="FUT_Ov3">_xlfn.ANCHORARRAY(FutBasis!$BR$4)</definedName>
    <definedName name="FUT_Ov4">_xlfn.ANCHORARRAY(FutBasis!$BS$4)</definedName>
    <definedName name="FUT_Ov5">_xlfn.ANCHORARRAY(FutBasis!$BT$4)</definedName>
    <definedName name="FUT_Ov6">_xlfn.ANCHORARRAY(FutBasis!$BU$4)</definedName>
    <definedName name="FUT_OvBD">_xlfn.ANCHORARRAY(FutBasis!$BO$4)</definedName>
    <definedName name="FUT_Overlay">FutBasis!$B$10:$G$10</definedName>
    <definedName name="FUT_Price">FutBasis!$B$6</definedName>
    <definedName name="FUT_Repo">FutBasis!$B$7</definedName>
    <definedName name="FUT_Steps">FutBasis!$T$15:$U$34</definedName>
    <definedName name="FUT_Yields">FutBasis!$W$15:$X$34</definedName>
    <definedName name="FWM_Base">FwdMonitor!$B$4</definedName>
    <definedName name="FWM_Ch1">_xlfn.ANCHORARRAY(FwdMonitor!$HJ$4)</definedName>
    <definedName name="FWM_Ch2">_xlfn.ANCHORARRAY(FwdMonitor!$HK$4)</definedName>
    <definedName name="FWM_Ch3">_xlfn.ANCHORARRAY(FwdMonitor!$HL$4)</definedName>
    <definedName name="FWM_Ch4">_xlfn.ANCHORARRAY(FwdMonitor!$HM$4)</definedName>
    <definedName name="FWM_ChDate">_xlfn.ANCHORARRAY(FwdMonitor!$HI$4)</definedName>
    <definedName name="FWM_Cmp">FwdMonitor!$B$5</definedName>
    <definedName name="FWM_Dates">_xlfn.DROP(INDEX(FWM_HC,,1),1)</definedName>
    <definedName name="FWM_From">FwdMonitor!$B$7</definedName>
    <definedName name="FWM_HC">_xlfn.ANCHORARRAY(FwdMonitor!$BK$3)</definedName>
    <definedName name="FWM_HF">_xlfn.ANCHORARRAY(FwdMonitor!$DG$3)</definedName>
    <definedName name="FWM_HR">_xlfn.ANCHORARRAY(FwdMonitor!$FC$3)</definedName>
    <definedName name="FWM_Labels">FwdMonitor!$A$12:$A$35</definedName>
    <definedName name="FWM_Leg">_xlfn.LAMBDA(_xlpm.m,_xlpm.n,_xlpm.sfx,_xlfn.LET(_xlpm.h,CHOOSE(_xlfn.XMATCH(_xlpm.m,{"CMT","FIXED","ROLLING"}),FWM_HC,FWM_HF,FWM_HR),IF(_xlpm.n="",0,INDEX(_xlfn.DROP(_xlpm.h,1),,_xlfn.XMATCH(_xlpm.n&amp;_xlpm.sfx,_xlfn.TAKE(_xlpm.h,1))))))</definedName>
    <definedName name="FWM_Live">FwdMonitor!$B$12:$B$35</definedName>
    <definedName name="FWM_LiveOf">_xlfn.LAMBDA(_xlpm.n,IF(_xlpm.n="",0,_xlfn.XLOOKUP(_xlpm.n,FWM_Labels,FWM_Live)))</definedName>
    <definedName name="FWM_Row">_xlfn.LAMBDA(_xlpm.r,_xlpm.sfx,_xlfn.LET(_xlpm.m,INDEX(FWM_TMode,_xlpm.r),IF(_xlpm.sfx="",100,1)*(N(INDEX(FWM_TW1,_xlpm.r))*FWM_Leg(_xlpm.m,INDEX(FWM_TL1,_xlpm.r),_xlpm.sfx)+N(INDEX(FWM_TW2,_xlpm.r))*FWM_Leg(_xlpm.m,INDEX(FWM_TL2,_xlpm.r),_xlpm.sfx)+N(INDEX(FWM_TW3,_xlpm.r))*FWM_Leg(_xlpm.m,INDEX(FWM_TL3,_xlpm.r),_xlpm.sfx))))</definedName>
    <definedName name="FWM_Sigma">_xlfn.LAMBDA(_xlpm.x,_xlfn.LET(_xlpm.d,_xlfn.TAKE(_xlpm.x,-FWM_Win),SQRT(SUMSQ(_xlpm.d)/ROWS(_xlpm.d))))</definedName>
    <definedName name="FWM_TL1">FwdMonitor!$D$39:$D$48</definedName>
    <definedName name="FWM_TL2">FwdMonitor!$F$39:$F$48</definedName>
    <definedName name="FWM_TL3">FwdMonitor!$H$39:$H$48</definedName>
    <definedName name="FWM_TMode">FwdMonitor!$C$39:$C$48</definedName>
    <definedName name="FWM_TName">FwdMonitor!$B$39:$B$48</definedName>
    <definedName name="FWM_TShow">FwdMonitor!$A$39:$A$48</definedName>
    <definedName name="FWM_TW1">FwdMonitor!$E$39:$E$48</definedName>
    <definedName name="FWM_TW2">FwdMonitor!$G$39:$G$48</definedName>
    <definedName name="FWM_TW3">FwdMonitor!$I$39:$I$48</definedName>
    <definedName name="FWM_View">FwdMonitor!$B$8</definedName>
    <definedName name="FWM_Win">FwdMonitor!$B$6</definedName>
    <definedName name="PCA_Actual">_xlfn.ANCHORARRAY(PCA!$F$34)</definedName>
    <definedName name="PCA_Dn">_xlfn.ANCHORARRAY(PCA!$BY$4)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Mode">PCA!$B$6</definedName>
    <definedName name="PCA_Recon">_xlfn.ANCHORARRAY(PCA!$H$34)</definedName>
    <definedName name="PCA_ReconDate">PCA!$B$10</definedName>
    <definedName name="PCA_Resid">_xlfn.ANCHORARRAY(PCA!$I$34)</definedName>
    <definedName name="PCA_SDn">_xlfn.ANCHORARRAY(PCA!$CF$4)</definedName>
    <definedName name="PCA_Selected">_xlfn.ANCHORARRAY(PCA!$AB$4)</definedName>
    <definedName name="PCA_SigmaDays">PCA!$B$12</definedName>
    <definedName name="PCA_Standardize">PCA!$B$7</definedName>
    <definedName name="PCA_SUp">_xlfn.ANCHORARRAY(PCA!$CE$4)</definedName>
    <definedName name="PCA_Tenor">_xlfn.ANCHORARRAY(PCA!$E$34)</definedName>
    <definedName name="PCA_Up">_xlfn.ANCHORARRAY(PCA!$BX$4)</definedName>
    <definedName name="PCA_window">PCA!$B$5</definedName>
    <definedName name="PCA_WindowEnd">PCA!$B$4</definedName>
    <definedName name="PCG_Act1">_xlfn.ANCHORARRAY(PCAGrid!$GQ$5)</definedName>
    <definedName name="PCG_Act10">_xlfn.ANCHORARRAY(PCAGrid!$GQ$455)</definedName>
    <definedName name="PCG_Act2">_xlfn.ANCHORARRAY(PCAGrid!$GQ$55)</definedName>
    <definedName name="PCG_Act3">_xlfn.ANCHORARRAY(PCAGrid!$GQ$105)</definedName>
    <definedName name="PCG_Act4">_xlfn.ANCHORARRAY(PCAGrid!$GQ$155)</definedName>
    <definedName name="PCG_Act5">_xlfn.ANCHORARRAY(PCAGrid!$GQ$205)</definedName>
    <definedName name="PCG_Act6">_xlfn.ANCHORARRAY(PCAGrid!$GQ$255)</definedName>
    <definedName name="PCG_Act7">_xlfn.ANCHORARRAY(PCAGrid!$GQ$305)</definedName>
    <definedName name="PCG_Act8">_xlfn.ANCHORARRAY(PCAGrid!$GQ$355)</definedName>
    <definedName name="PCG_Act9">_xlfn.ANCHORARRAY(PCAGrid!$GQ$405)</definedName>
    <definedName name="PCG_Dn1">_xlfn.ANCHORARRAY(PCAGrid!$HG$5)</definedName>
    <definedName name="PCG_Dn10">_xlfn.ANCHORARRAY(PCAGrid!$HG$455)</definedName>
    <definedName name="PCG_Dn2">_xlfn.ANCHORARRAY(PCAGrid!$HG$55)</definedName>
    <definedName name="PCG_Dn3">_xlfn.ANCHORARRAY(PCAGrid!$HG$105)</definedName>
    <definedName name="PCG_Dn4">_xlfn.ANCHORARRAY(PCAGrid!$HG$155)</definedName>
    <definedName name="PCG_Dn5">_xlfn.ANCHORARRAY(PCAGrid!$HG$205)</definedName>
    <definedName name="PCG_Dn6">_xlfn.ANCHORARRAY(PCAGrid!$HG$255)</definedName>
    <definedName name="PCG_Dn7">_xlfn.ANCHORARRAY(PCAGrid!$HG$305)</definedName>
    <definedName name="PCG_Dn8">_xlfn.ANCHORARRAY(PCAGrid!$HG$355)</definedName>
    <definedName name="PCG_Dn9">_xlfn.ANCHORARRAY(PCAGrid!$HG$405)</definedName>
    <definedName name="PCG_Guide">_xlfn.ANCHORARRAY(PCAGrid!$CC$4)</definedName>
    <definedName name="PCG_GuideIn">PCAGrid!$A$58:$A$62</definedName>
    <definedName name="PCG_Mean1">_xlfn.ANCHORARRAY(PCAGrid!$HD$5)</definedName>
    <definedName name="PCG_Mean10">_xlfn.ANCHORARRAY(PCAGrid!$HD$455)</definedName>
    <definedName name="PCG_Mean2">_xlfn.ANCHORARRAY(PCAGrid!$HD$55)</definedName>
    <definedName name="PCG_Mean3">_xlfn.ANCHORARRAY(PCAGrid!$HD$105)</definedName>
    <definedName name="PCG_Mean4">_xlfn.ANCHORARRAY(PCAGrid!$HD$155)</definedName>
    <definedName name="PCG_Mean5">_xlfn.ANCHORARRAY(PCAGrid!$HD$205)</definedName>
    <definedName name="PCG_Mean6">_xlfn.ANCHORARRAY(PCAGrid!$HD$255)</definedName>
    <definedName name="PCG_Mean7">_xlfn.ANCHORARRAY(PCAGrid!$HD$305)</definedName>
    <definedName name="PCG_Mean8">_xlfn.ANCHORARRAY(PCAGrid!$HD$355)</definedName>
    <definedName name="PCG_Mean9">_xlfn.ANCHORARRAY(PCAGrid!$HD$405)</definedName>
    <definedName name="PCG_R1_1">_xlfn.ANCHORARRAY(PCAGrid!$GR$5)</definedName>
    <definedName name="PCG_R1_2">_xlfn.ANCHORARRAY(PCAGrid!$GS$5)</definedName>
    <definedName name="PCG_R1_3">_xlfn.ANCHORARRAY(PCAGrid!$GT$5)</definedName>
    <definedName name="PCG_R1_4">_xlfn.ANCHORARRAY(PCAGrid!$GU$5)</definedName>
    <definedName name="PCG_R1_5">_xlfn.ANCHORARRAY(PCAGrid!$GV$5)</definedName>
    <definedName name="PCG_R10_1">_xlfn.ANCHORARRAY(PCAGrid!$GR$455)</definedName>
    <definedName name="PCG_R10_2">_xlfn.ANCHORARRAY(PCAGrid!$GS$455)</definedName>
    <definedName name="PCG_R10_3">_xlfn.ANCHORARRAY(PCAGrid!$GT$455)</definedName>
    <definedName name="PCG_R10_4">_xlfn.ANCHORARRAY(PCAGrid!$GU$455)</definedName>
    <definedName name="PCG_R10_5">_xlfn.ANCHORARRAY(PCAGrid!$GV$455)</definedName>
    <definedName name="PCG_R2_1">_xlfn.ANCHORARRAY(PCAGrid!$GR$55)</definedName>
    <definedName name="PCG_R2_2">_xlfn.ANCHORARRAY(PCAGrid!$GS$55)</definedName>
    <definedName name="PCG_R2_3">_xlfn.ANCHORARRAY(PCAGrid!$GT$55)</definedName>
    <definedName name="PCG_R2_4">_xlfn.ANCHORARRAY(PCAGrid!$GU$55)</definedName>
    <definedName name="PCG_R2_5">_xlfn.ANCHORARRAY(PCAGrid!$GV$55)</definedName>
    <definedName name="PCG_R3_1">_xlfn.ANCHORARRAY(PCAGrid!$GR$105)</definedName>
    <definedName name="PCG_R3_2">_xlfn.ANCHORARRAY(PCAGrid!$GS$105)</definedName>
    <definedName name="PCG_R3_3">_xlfn.ANCHORARRAY(PCAGrid!$GT$105)</definedName>
    <definedName name="PCG_R3_4">_xlfn.ANCHORARRAY(PCAGrid!$GU$105)</definedName>
    <definedName name="PCG_R3_5">_xlfn.ANCHORARRAY(PCAGrid!$GV$105)</definedName>
    <definedName name="PCG_R4_1">_xlfn.ANCHORARRAY(PCAGrid!$GR$155)</definedName>
    <definedName name="PCG_R4_2">_xlfn.ANCHORARRAY(PCAGrid!$GS$155)</definedName>
    <definedName name="PCG_R4_3">_xlfn.ANCHORARRAY(PCAGrid!$GT$155)</definedName>
    <definedName name="PCG_R4_4">_xlfn.ANCHORARRAY(PCAGrid!$GU$155)</definedName>
    <definedName name="PCG_R4_5">_xlfn.ANCHORARRAY(PCAGrid!$GV$155)</definedName>
    <definedName name="PCG_R5_1">_xlfn.ANCHORARRAY(PCAGrid!$GR$205)</definedName>
    <definedName name="PCG_R5_2">_xlfn.ANCHORARRAY(PCAGrid!$GS$205)</definedName>
    <definedName name="PCG_R5_3">_xlfn.ANCHORARRAY(PCAGrid!$GT$205)</definedName>
    <definedName name="PCG_R5_4">_xlfn.ANCHORARRAY(PCAGrid!$GU$205)</definedName>
    <definedName name="PCG_R5_5">_xlfn.ANCHORARRAY(PCAGrid!$GV$205)</definedName>
    <definedName name="PCG_R6_1">_xlfn.ANCHORARRAY(PCAGrid!$GR$255)</definedName>
    <definedName name="PCG_R6_2">_xlfn.ANCHORARRAY(PCAGrid!$GS$255)</definedName>
    <definedName name="PCG_R6_3">_xlfn.ANCHORARRAY(PCAGrid!$GT$255)</definedName>
    <definedName name="PCG_R6_4">_xlfn.ANCHORARRAY(PCAGrid!$GU$255)</definedName>
    <definedName name="PCG_R6_5">_xlfn.ANCHORARRAY(PCAGrid!$GV$255)</definedName>
    <definedName name="PCG_R7_1">_xlfn.ANCHORARRAY(PCAGrid!$GR$305)</definedName>
    <definedName name="PCG_R7_2">_xlfn.ANCHORARRAY(PCAGrid!$GS$305)</definedName>
    <definedName name="PCG_R7_3">_xlfn.ANCHORARRAY(PCAGrid!$GT$305)</definedName>
    <definedName name="PCG_R7_4">_xlfn.ANCHORARRAY(PCAGrid!$GU$305)</definedName>
    <definedName name="PCG_R7_5">_xlfn.ANCHORARRAY(PCAGrid!$GV$305)</definedName>
    <definedName name="PCG_R8_1">_xlfn.ANCHORARRAY(PCAGrid!$GR$355)</definedName>
    <definedName name="PCG_R8_2">_xlfn.ANCHORARRAY(PCAGrid!$GS$355)</definedName>
    <definedName name="PCG_R8_3">_xlfn.ANCHORARRAY(PCAGrid!$GT$355)</definedName>
    <definedName name="PCG_R8_4">_xlfn.ANCHORARRAY(PCAGrid!$GU$355)</definedName>
    <definedName name="PCG_R8_5">_xlfn.ANCHORARRAY(PCAGrid!$GV$355)</definedName>
    <definedName name="PCG_R9_1">_xlfn.ANCHORARRAY(PCAGrid!$GR$405)</definedName>
    <definedName name="PCG_R9_2">_xlfn.ANCHORARRAY(PCAGrid!$GS$405)</definedName>
    <definedName name="PCG_R9_3">_xlfn.ANCHORARRAY(PCAGrid!$GT$405)</definedName>
    <definedName name="PCG_R9_4">_xlfn.ANCHORARRAY(PCAGrid!$GU$405)</definedName>
    <definedName name="PCG_R9_5">_xlfn.ANCHORARRAY(PCAGrid!$GV$405)</definedName>
    <definedName name="PCG_Rec1">_xlfn.ANCHORARRAY(PCAGrid!$HE$5)</definedName>
    <definedName name="PCG_Rec10">_xlfn.ANCHORARRAY(PCAGrid!$HE$455)</definedName>
    <definedName name="PCG_Rec2">_xlfn.ANCHORARRAY(PCAGrid!$HE$55)</definedName>
    <definedName name="PCG_Rec3">_xlfn.ANCHORARRAY(PCAGrid!$HE$105)</definedName>
    <definedName name="PCG_Rec4">_xlfn.ANCHORARRAY(PCAGrid!$HE$155)</definedName>
    <definedName name="PCG_Rec5">_xlfn.ANCHORARRAY(PCAGrid!$HE$205)</definedName>
    <definedName name="PCG_Rec6">_xlfn.ANCHORARRAY(PCAGrid!$HE$255)</definedName>
    <definedName name="PCG_Rec7">_xlfn.ANCHORARRAY(PCAGrid!$HE$305)</definedName>
    <definedName name="PCG_Rec8">_xlfn.ANCHORARRAY(PCAGrid!$HE$355)</definedName>
    <definedName name="PCG_Rec9">_xlfn.ANCHORARRAY(PCAGrid!$HE$405)</definedName>
    <definedName name="PCG_ReconDate">PCAGrid!$A$4</definedName>
    <definedName name="PCG_SDn1_1">_xlfn.ANCHORARRAY(PCAGrid!$HI$5)</definedName>
    <definedName name="PCG_SDn1_2">_xlfn.ANCHORARRAY(PCAGrid!$HK$5)</definedName>
    <definedName name="PCG_SDn1_3">_xlfn.ANCHORARRAY(PCAGrid!$HM$5)</definedName>
    <definedName name="PCG_SDn1_4">_xlfn.ANCHORARRAY(PCAGrid!$HO$5)</definedName>
    <definedName name="PCG_SDn1_5">_xlfn.ANCHORARRAY(PCAGrid!$HQ$5)</definedName>
    <definedName name="PCG_SDn10_1">_xlfn.ANCHORARRAY(PCAGrid!$HI$455)</definedName>
    <definedName name="PCG_SDn10_2">_xlfn.ANCHORARRAY(PCAGrid!$HK$455)</definedName>
    <definedName name="PCG_SDn10_3">_xlfn.ANCHORARRAY(PCAGrid!$HM$455)</definedName>
    <definedName name="PCG_SDn10_4">_xlfn.ANCHORARRAY(PCAGrid!$HO$455)</definedName>
    <definedName name="PCG_SDn10_5">_xlfn.ANCHORARRAY(PCAGrid!$HQ$455)</definedName>
    <definedName name="PCG_SDn2_1">_xlfn.ANCHORARRAY(PCAGrid!$HI$55)</definedName>
    <definedName name="PCG_SDn2_2">_xlfn.ANCHORARRAY(PCAGrid!$HK$55)</definedName>
    <definedName name="PCG_SDn2_3">_xlfn.ANCHORARRAY(PCAGrid!$HM$55)</definedName>
    <definedName name="PCG_SDn2_4">_xlfn.ANCHORARRAY(PCAGrid!$HO$55)</definedName>
    <definedName name="PCG_SDn2_5">_xlfn.ANCHORARRAY(PCAGrid!$HQ$55)</definedName>
    <definedName name="PCG_SDn3_1">_xlfn.ANCHORARRAY(PCAGrid!$HI$105)</definedName>
    <definedName name="PCG_SDn3_2">_xlfn.ANCHORARRAY(PCAGrid!$HK$105)</definedName>
    <definedName name="PCG_SDn3_3">_xlfn.ANCHORARRAY(PCAGrid!$HM$105)</definedName>
    <definedName name="PCG_SDn3_4">_xlfn.ANCHORARRAY(PCAGrid!$HO$105)</definedName>
    <definedName name="PCG_SDn3_5">_xlfn.ANCHORARRAY(PCAGrid!$HQ$105)</definedName>
    <definedName name="PCG_SDn4_1">_xlfn.ANCHORARRAY(PCAGrid!$HI$155)</definedName>
    <definedName name="PCG_SDn4_2">_xlfn.ANCHORARRAY(PCAGrid!$HK$155)</definedName>
    <definedName name="PCG_SDn4_3">_xlfn.ANCHORARRAY(PCAGrid!$HM$155)</definedName>
    <definedName name="PCG_SDn4_4">_xlfn.ANCHORARRAY(PCAGrid!$HO$155)</definedName>
    <definedName name="PCG_SDn4_5">_xlfn.ANCHORARRAY(PCAGrid!$HQ$155)</definedName>
    <definedName name="PCG_SDn5_1">_xlfn.ANCHORARRAY(PCAGrid!$HI$205)</definedName>
    <definedName name="PCG_SDn5_2">_xlfn.ANCHORARRAY(PCAGrid!$HK$205)</definedName>
    <definedName name="PCG_SDn5_3">_xlfn.ANCHORARRAY(PCAGrid!$HM$205)</definedName>
    <definedName name="PCG_SDn5_4">_xlfn.ANCHORARRAY(PCAGrid!$HO$205)</definedName>
    <definedName name="PCG_SDn5_5">_xlfn.ANCHORARRAY(PCAGrid!$HQ$205)</definedName>
    <definedName name="PCG_SDn6_1">_xlfn.ANCHORARRAY(PCAGrid!$HI$255)</definedName>
    <definedName name="PCG_SDn6_2">_xlfn.ANCHORARRAY(PCAGrid!$HK$255)</definedName>
    <definedName name="PCG_SDn6_3">_xlfn.ANCHORARRAY(PCAGrid!$HM$255)</definedName>
    <definedName name="PCG_SDn6_4">_xlfn.ANCHORARRAY(PCAGrid!$HO$255)</definedName>
    <definedName name="PCG_SDn6_5">_xlfn.ANCHORARRAY(PCAGrid!$HQ$255)</definedName>
    <definedName name="PCG_SDn7_1">_xlfn.ANCHORARRAY(PCAGrid!$HI$305)</definedName>
    <definedName name="PCG_SDn7_2">_xlfn.ANCHORARRAY(PCAGrid!$HK$305)</definedName>
    <definedName name="PCG_SDn7_3">_xlfn.ANCHORARRAY(PCAGrid!$HM$305)</definedName>
    <definedName name="PCG_SDn7_4">_xlfn.ANCHORARRAY(PCAGrid!$HO$305)</definedName>
    <definedName name="PCG_SDn7_5">_xlfn.ANCHORARRAY(PCAGrid!$HQ$305)</definedName>
    <definedName name="PCG_SDn8_1">_xlfn.ANCHORARRAY(PCAGrid!$HI$355)</definedName>
    <definedName name="PCG_SDn8_2">_xlfn.ANCHORARRAY(PCAGrid!$HK$355)</definedName>
    <definedName name="PCG_SDn8_3">_xlfn.ANCHORARRAY(PCAGrid!$HM$355)</definedName>
    <definedName name="PCG_SDn8_4">_xlfn.ANCHORARRAY(PCAGrid!$HO$355)</definedName>
    <definedName name="PCG_SDn8_5">_xlfn.ANCHORARRAY(PCAGrid!$HQ$355)</definedName>
    <definedName name="PCG_SDn9_1">_xlfn.ANCHORARRAY(PCAGrid!$HI$405)</definedName>
    <definedName name="PCG_SDn9_2">_xlfn.ANCHORARRAY(PCAGrid!$HK$405)</definedName>
    <definedName name="PCG_SDn9_3">_xlfn.ANCHORARRAY(PCAGrid!$HM$405)</definedName>
    <definedName name="PCG_SDn9_4">_xlfn.ANCHORARRAY(PCAGrid!$HO$405)</definedName>
    <definedName name="PCG_SDn9_5">_xlfn.ANCHORARRAY(PCAGrid!$HQ$405)</definedName>
    <definedName name="PCG_SigmaDays">PCAGrid!$B$55</definedName>
    <definedName name="PCG_SUp1_1">_xlfn.ANCHORARRAY(PCAGrid!$HH$5)</definedName>
    <definedName name="PCG_SUp1_2">_xlfn.ANCHORARRAY(PCAGrid!$HJ$5)</definedName>
    <definedName name="PCG_SUp1_3">_xlfn.ANCHORARRAY(PCAGrid!$HL$5)</definedName>
    <definedName name="PCG_SUp1_4">_xlfn.ANCHORARRAY(PCAGrid!$HN$5)</definedName>
    <definedName name="PCG_SUp1_5">_xlfn.ANCHORARRAY(PCAGrid!$HP$5)</definedName>
    <definedName name="PCG_SUp10_1">_xlfn.ANCHORARRAY(PCAGrid!$HH$455)</definedName>
    <definedName name="PCG_SUp10_2">_xlfn.ANCHORARRAY(PCAGrid!$HJ$455)</definedName>
    <definedName name="PCG_SUp10_3">_xlfn.ANCHORARRAY(PCAGrid!$HL$455)</definedName>
    <definedName name="PCG_SUp10_4">_xlfn.ANCHORARRAY(PCAGrid!$HN$455)</definedName>
    <definedName name="PCG_SUp10_5">_xlfn.ANCHORARRAY(PCAGrid!$HP$455)</definedName>
    <definedName name="PCG_SUp2_1">_xlfn.ANCHORARRAY(PCAGrid!$HH$55)</definedName>
    <definedName name="PCG_SUp2_2">_xlfn.ANCHORARRAY(PCAGrid!$HJ$55)</definedName>
    <definedName name="PCG_SUp2_3">_xlfn.ANCHORARRAY(PCAGrid!$HL$55)</definedName>
    <definedName name="PCG_SUp2_4">_xlfn.ANCHORARRAY(PCAGrid!$HN$55)</definedName>
    <definedName name="PCG_SUp2_5">_xlfn.ANCHORARRAY(PCAGrid!$HP$55)</definedName>
    <definedName name="PCG_SUp3_1">_xlfn.ANCHORARRAY(PCAGrid!$HH$105)</definedName>
    <definedName name="PCG_SUp3_2">_xlfn.ANCHORARRAY(PCAGrid!$HJ$105)</definedName>
    <definedName name="PCG_SUp3_3">_xlfn.ANCHORARRAY(PCAGrid!$HL$105)</definedName>
    <definedName name="PCG_SUp3_4">_xlfn.ANCHORARRAY(PCAGrid!$HN$105)</definedName>
    <definedName name="PCG_SUp3_5">_xlfn.ANCHORARRAY(PCAGrid!$HP$105)</definedName>
    <definedName name="PCG_SUp4_1">_xlfn.ANCHORARRAY(PCAGrid!$HH$155)</definedName>
    <definedName name="PCG_SUp4_2">_xlfn.ANCHORARRAY(PCAGrid!$HJ$155)</definedName>
    <definedName name="PCG_SUp4_3">_xlfn.ANCHORARRAY(PCAGrid!$HL$155)</definedName>
    <definedName name="PCG_SUp4_4">_xlfn.ANCHORARRAY(PCAGrid!$HN$155)</definedName>
    <definedName name="PCG_SUp4_5">_xlfn.ANCHORARRAY(PCAGrid!$HP$155)</definedName>
    <definedName name="PCG_SUp5_1">_xlfn.ANCHORARRAY(PCAGrid!$HH$205)</definedName>
    <definedName name="PCG_SUp5_2">_xlfn.ANCHORARRAY(PCAGrid!$HJ$205)</definedName>
    <definedName name="PCG_SUp5_3">_xlfn.ANCHORARRAY(PCAGrid!$HL$205)</definedName>
    <definedName name="PCG_SUp5_4">_xlfn.ANCHORARRAY(PCAGrid!$HN$205)</definedName>
    <definedName name="PCG_SUp5_5">_xlfn.ANCHORARRAY(PCAGrid!$HP$205)</definedName>
    <definedName name="PCG_SUp6_1">_xlfn.ANCHORARRAY(PCAGrid!$HH$255)</definedName>
    <definedName name="PCG_SUp6_2">_xlfn.ANCHORARRAY(PCAGrid!$HJ$255)</definedName>
    <definedName name="PCG_SUp6_3">_xlfn.ANCHORARRAY(PCAGrid!$HL$255)</definedName>
    <definedName name="PCG_SUp6_4">_xlfn.ANCHORARRAY(PCAGrid!$HN$255)</definedName>
    <definedName name="PCG_SUp6_5">_xlfn.ANCHORARRAY(PCAGrid!$HP$255)</definedName>
    <definedName name="PCG_SUp7_1">_xlfn.ANCHORARRAY(PCAGrid!$HH$305)</definedName>
    <definedName name="PCG_SUp7_2">_xlfn.ANCHORARRAY(PCAGrid!$HJ$305)</definedName>
    <definedName name="PCG_SUp7_3">_xlfn.ANCHORARRAY(PCAGrid!$HL$305)</definedName>
    <definedName name="PCG_SUp7_4">_xlfn.ANCHORARRAY(PCAGrid!$HN$305)</definedName>
    <definedName name="PCG_SUp7_5">_xlfn.ANCHORARRAY(PCAGrid!$HP$305)</definedName>
    <definedName name="PCG_SUp8_1">_xlfn.ANCHORARRAY(PCAGrid!$HH$355)</definedName>
    <definedName name="PCG_SUp8_2">_xlfn.ANCHORARRAY(PCAGrid!$HJ$355)</definedName>
    <definedName name="PCG_SUp8_3">_xlfn.ANCHORARRAY(PCAGrid!$HL$355)</definedName>
    <definedName name="PCG_SUp8_4">_xlfn.ANCHORARRAY(PCAGrid!$HN$355)</definedName>
    <definedName name="PCG_SUp8_5">_xlfn.ANCHORARRAY(PCAGrid!$HP$355)</definedName>
    <definedName name="PCG_SUp9_1">_xlfn.ANCHORARRAY(PCAGrid!$HH$405)</definedName>
    <definedName name="PCG_SUp9_2">_xlfn.ANCHORARRAY(PCAGrid!$HJ$405)</definedName>
    <definedName name="PCG_SUp9_3">_xlfn.ANCHORARRAY(PCAGrid!$HL$405)</definedName>
    <definedName name="PCG_SUp9_4">_xlfn.ANCHORARRAY(PCAGrid!$HN$405)</definedName>
    <definedName name="PCG_SUp9_5">_xlfn.ANCHORARRAY(PCAGrid!$HP$405)</definedName>
    <definedName name="PCG_Tenor">_xlfn.ANCHORARRAY(PCAGrid!$CB$4)</definedName>
    <definedName name="PCG_Up1">_xlfn.ANCHORARRAY(PCAGrid!$HF$5)</definedName>
    <definedName name="PCG_Up10">_xlfn.ANCHORARRAY(PCAGrid!$HF$455)</definedName>
    <definedName name="PCG_Up2">_xlfn.ANCHORARRAY(PCAGrid!$HF$55)</definedName>
    <definedName name="PCG_Up3">_xlfn.ANCHORARRAY(PCAGrid!$HF$105)</definedName>
    <definedName name="PCG_Up4">_xlfn.ANCHORARRAY(PCAGrid!$HF$155)</definedName>
    <definedName name="PCG_Up5">_xlfn.ANCHORARRAY(PCAGrid!$HF$205)</definedName>
    <definedName name="PCG_Up6">_xlfn.ANCHORARRAY(PCAGrid!$HF$255)</definedName>
    <definedName name="PCG_Up7">_xlfn.ANCHORARRAY(PCAGrid!$HF$305)</definedName>
    <definedName name="PCG_Up8">_xlfn.ANCHORARRAY(PCAGrid!$HF$355)</definedName>
    <definedName name="PCG_Up9">_xlfn.ANCHORARRAY(PCAGrid!$HF$405)</definedName>
    <definedName name="PCG_V1_1">_xlfn.ANCHORARRAY(PCAGrid!$GX$5)</definedName>
    <definedName name="PCG_V1_2">_xlfn.ANCHORARRAY(PCAGrid!$GY$5)</definedName>
    <definedName name="PCG_V1_3">_xlfn.ANCHORARRAY(PCAGrid!$GZ$5)</definedName>
    <definedName name="PCG_V1_4">_xlfn.ANCHORARRAY(PCAGrid!$HA$5)</definedName>
    <definedName name="PCG_V1_5">_xlfn.ANCHORARRAY(PCAGrid!$HB$5)</definedName>
    <definedName name="PCG_V10_1">_xlfn.ANCHORARRAY(PCAGrid!$GX$455)</definedName>
    <definedName name="PCG_V10_2">_xlfn.ANCHORARRAY(PCAGrid!$GY$455)</definedName>
    <definedName name="PCG_V10_3">_xlfn.ANCHORARRAY(PCAGrid!$GZ$455)</definedName>
    <definedName name="PCG_V10_4">_xlfn.ANCHORARRAY(PCAGrid!$HA$455)</definedName>
    <definedName name="PCG_V10_5">_xlfn.ANCHORARRAY(PCAGrid!$HB$455)</definedName>
    <definedName name="PCG_V2_1">_xlfn.ANCHORARRAY(PCAGrid!$GX$55)</definedName>
    <definedName name="PCG_V2_2">_xlfn.ANCHORARRAY(PCAGrid!$GY$55)</definedName>
    <definedName name="PCG_V2_3">_xlfn.ANCHORARRAY(PCAGrid!$GZ$55)</definedName>
    <definedName name="PCG_V2_4">_xlfn.ANCHORARRAY(PCAGrid!$HA$55)</definedName>
    <definedName name="PCG_V2_5">_xlfn.ANCHORARRAY(PCAGrid!$HB$55)</definedName>
    <definedName name="PCG_V3_1">_xlfn.ANCHORARRAY(PCAGrid!$GX$105)</definedName>
    <definedName name="PCG_V3_2">_xlfn.ANCHORARRAY(PCAGrid!$GY$105)</definedName>
    <definedName name="PCG_V3_3">_xlfn.ANCHORARRAY(PCAGrid!$GZ$105)</definedName>
    <definedName name="PCG_V3_4">_xlfn.ANCHORARRAY(PCAGrid!$HA$105)</definedName>
    <definedName name="PCG_V3_5">_xlfn.ANCHORARRAY(PCAGrid!$HB$105)</definedName>
    <definedName name="PCG_V4_1">_xlfn.ANCHORARRAY(PCAGrid!$GX$155)</definedName>
    <definedName name="PCG_V4_2">_xlfn.ANCHORARRAY(PCAGrid!$GY$155)</definedName>
    <definedName name="PCG_V4_3">_xlfn.ANCHORARRAY(PCAGrid!$GZ$155)</definedName>
    <definedName name="PCG_V4_4">_xlfn.ANCHORARRAY(PCAGrid!$HA$155)</definedName>
    <definedName name="PCG_V4_5">_xlfn.ANCHORARRAY(PCAGrid!$HB$155)</definedName>
    <definedName name="PCG_V5_1">_xlfn.ANCHORARRAY(PCAGrid!$GX$205)</definedName>
    <definedName name="PCG_V5_2">_xlfn.ANCHORARRAY(PCAGrid!$GY$205)</definedName>
    <definedName name="PCG_V5_3">_xlfn.ANCHORARRAY(PCAGrid!$GZ$205)</definedName>
    <definedName name="PCG_V5_4">_xlfn.ANCHORARRAY(PCAGrid!$HA$205)</definedName>
    <definedName name="PCG_V5_5">_xlfn.ANCHORARRAY(PCAGrid!$HB$205)</definedName>
    <definedName name="PCG_V6_1">_xlfn.ANCHORARRAY(PCAGrid!$GX$255)</definedName>
    <definedName name="PCG_V6_2">_xlfn.ANCHORARRAY(PCAGrid!$GY$255)</definedName>
    <definedName name="PCG_V6_3">_xlfn.ANCHORARRAY(PCAGrid!$GZ$255)</definedName>
    <definedName name="PCG_V6_4">_xlfn.ANCHORARRAY(PCAGrid!$HA$255)</definedName>
    <definedName name="PCG_V6_5">_xlfn.ANCHORARRAY(PCAGrid!$HB$255)</definedName>
    <definedName name="PCG_V7_1">_xlfn.ANCHORARRAY(PCAGrid!$GX$305)</definedName>
    <definedName name="PCG_V7_2">_xlfn.ANCHORARRAY(PCAGrid!$GY$305)</definedName>
    <definedName name="PCG_V7_3">_xlfn.ANCHORARRAY(PCAGrid!$GZ$305)</definedName>
    <definedName name="PCG_V7_4">_xlfn.ANCHORARRAY(PCAGrid!$HA$305)</definedName>
    <definedName name="PCG_V7_5">_xlfn.ANCHORARRAY(PCAGrid!$HB$305)</definedName>
    <definedName name="PCG_V8_1">_xlfn.ANCHORARRAY(PCAGrid!$GX$355)</definedName>
    <definedName name="PCG_V8_2">_xlfn.ANCHORARRAY(PCAGrid!$GY$355)</definedName>
    <definedName name="PCG_V8_3">_xlfn.ANCHORARRAY(PCAGrid!$GZ$355)</definedName>
    <definedName name="PCG_V8_4">_xlfn.ANCHORARRAY(PCAGrid!$HA$355)</definedName>
    <definedName name="PCG_V8_5">_xlfn.ANCHORARRAY(PCAGrid!$HB$355)</definedName>
    <definedName name="PCG_V9_1">_xlfn.ANCHORARRAY(PCAGrid!$GX$405)</definedName>
    <definedName name="PCG_V9_2">_xlfn.ANCHORARRAY(PCAGrid!$GY$405)</definedName>
    <definedName name="PCG_V9_3">_xlfn.ANCHORARRAY(PCAGrid!$GZ$405)</definedName>
    <definedName name="PCG_V9_4">_xlfn.ANCHORARRAY(PCAGrid!$HA$405)</definedName>
    <definedName name="PCG_V9_5">_xlfn.ANCHORARRAY(PCAGrid!$HB$405)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LV_Cell">_xlfn.LAMBDA(_xlpm.n,_xlfn.LET(_xlpm.h,_xlfn.TAKE(VLV_GData,1),_xlpm.d,_xlfn.DROP(_xlfn.TAKE(VLV_GData,,1),1),_xlpm.f,_xlfn.DROP(_xlfn.CHOOSECOLS(VLV_GData,_xlfn.XMATCH(_xlpm.n&amp;" Fwd",_xlpm.h)),1),_xlpm.v,_xlfn.DROP(_xlfn.CHOOSECOLS(VLV_GData,_xlfn.XMATCH(_xlpm.n&amp;" IV",_xlpm.h)),1),_xlpm.k,ISNUMBER(_xlpm.v)*(_xlpm.d&gt;=N(VLV_From)),_xlpm.x,_xlfn._xlws.FILTER(_xlpm.f,_xlpm.k),_xlpm.y,_xlfn._xlws.FILTER(_xlpm.v,_xlpm.k),_xlpm.b,SLOPE(_xlpm.y,_xlpm.x),_xlpm.a,INTERCEPT(_xlpm.y,_xlpm.x),_xlpm.rs,_xlpm.y-(_xlpm.a+_xlpm.b*_xlpm.x),_xlpm.live,VLV_GPoint="Live",_xlpm.px,IF(_xlpm.live,_xlfn.XLOOKUP(_xlpm.n,VLV_GLabels,VLV_GLiveFwd,NA()),_xlfn.TAKE(_xlpm.x,-1)),_xlpm.py,IF(_xlpm.live,_xlfn.XLOOKUP(_xlpm.n,INDEX(VLV_LiveVol,,1),INDEX(VLV_LiveVol,,3),NA()),_xlfn.TAKE(_xlpm.y,-1)),_xlpm.r,_xlpm.py-(_xlpm.a+_xlpm.b*_xlpm.px),CHOOSE(_xlfn.XMATCH(VLV_GValue,{"Z","Residual","Pctl"}),_xlpm.r/_xlfn.STDEV.S(_xlpm.rs),_xlpm.r,SUM(--(_xlpm.rs&lt;=_xlpm.r))/ROWS(_xlpm.rs))))</definedName>
    <definedName name="VLV_Col">_xlfn.LAMBDA(_xlpm.n,_xlpm.sfx,_xlfn.DROP(_xlfn.CHOOSECOLS(VLV_Data,_xlfn.XMATCH(_xlpm.n&amp;" "&amp;_xlpm.sfx,_xlfn.TAKE(VLV_Data,1))),1))</definedName>
    <definedName name="VLV_Data">_xlfn.ANCHORARRAY(VolLevel!$AS$3)</definedName>
    <definedName name="VLV_Dates">_xlfn.DROP(_xlfn.TAKE(VLV_Data,,1),1)</definedName>
    <definedName name="VLV_From">VolLevel!$B$7</definedName>
    <definedName name="VLV_GData">_xlfn.ANCHORARRAY(VolLevel!$CN$3)</definedName>
    <definedName name="VLV_GLabels">_xlfn.ANCHORARRAY(VolLevel!$CK$4)</definedName>
    <definedName name="VLV_GLiveFwd">_xlfn.ANCHORARRAY(VolLevel!$CL$4)</definedName>
    <definedName name="VLV_GPoint">VolLevel!$B$33</definedName>
    <definedName name="VLV_GValue">VolLevel!$B$32</definedName>
    <definedName name="VLV_LiveVol">_xlfn.ANCHORARRAY(VolLevel!$AA$3)</definedName>
    <definedName name="VLV_PLiveFwd">_xlfn.ANCHORARRAY(VolLevel!$BD$4)</definedName>
    <definedName name="VLV_Recent">VolLevel!$B$8</definedName>
    <definedName name="VOL_Expiries">_xlfn.ANCHORARRAY(VolPCA!$JD$4)</definedName>
    <definedName name="VOL_k">VolPCA!$B$11</definedName>
    <definedName name="VOL_Labels">_xlfn.ANCHORARRAY(VolPCA!$JG$4)</definedName>
    <definedName name="VOL_Mode">VolPCA!$B$6</definedName>
    <definedName name="VOL_ReconDate">VolPCA!$B$10</definedName>
    <definedName name="VOL_Standardize">VolPCA!$B$7</definedName>
    <definedName name="VOL_Tenors">_xlfn.ANCHORARRAY(VolPCA!$JE$4)</definedName>
    <definedName name="VOL_window">VolPCA!$B$5</definedName>
    <definedName name="VOL_WindowEnd">VolPCA!$B$4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SpotForward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utBasi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FutHistory">
          <x14:argumentDescriptions count="1">
            <x14:argumentDescription index="0">Positional argument 1</x14:argumentDescription>
          </x14:argumentDescriptions>
        </x14:definedName>
        <x14:definedName name="FutOverla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Histor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PcaGridResidStd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Model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PcaResidStd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PcaWindow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VolFwd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5" i="15" l="1" a="1"/>
  <c r="J35" i="15"/>
  <c r="I35" i="15"/>
  <c r="H35" i="15"/>
  <c r="G35" i="15"/>
  <c r="F35" i="15" a="1"/>
  <c r="E35" i="15" a="1"/>
  <c r="D35" i="15" a="1"/>
  <c r="L34" i="15" a="1"/>
  <c r="J34" i="15"/>
  <c r="I34" i="15"/>
  <c r="H34" i="15"/>
  <c r="G34" i="15"/>
  <c r="F34" i="15" a="1"/>
  <c r="E34" i="15" a="1"/>
  <c r="D34" i="15" a="1"/>
  <c r="L33" i="15" a="1"/>
  <c r="J33" i="15"/>
  <c r="I33" i="15"/>
  <c r="H33" i="15"/>
  <c r="G33" i="15"/>
  <c r="F33" i="15" a="1"/>
  <c r="E33" i="15" a="1"/>
  <c r="D33" i="15" a="1"/>
  <c r="L32" i="15" a="1"/>
  <c r="J32" i="15"/>
  <c r="I32" i="15"/>
  <c r="H32" i="15"/>
  <c r="G32" i="15"/>
  <c r="F32" i="15" a="1"/>
  <c r="E32" i="15" a="1"/>
  <c r="D32" i="15" a="1"/>
  <c r="L31" i="15" a="1"/>
  <c r="J31" i="15"/>
  <c r="I31" i="15"/>
  <c r="H31" i="15"/>
  <c r="G31" i="15"/>
  <c r="F31" i="15" a="1"/>
  <c r="E31" i="15" a="1"/>
  <c r="D31" i="15" a="1"/>
  <c r="L30" i="15" a="1"/>
  <c r="J30" i="15"/>
  <c r="I30" i="15"/>
  <c r="H30" i="15"/>
  <c r="G30" i="15"/>
  <c r="F30" i="15" a="1"/>
  <c r="E30" i="15" a="1"/>
  <c r="D30" i="15" a="1"/>
  <c r="L29" i="15" a="1"/>
  <c r="J29" i="15"/>
  <c r="I29" i="15"/>
  <c r="H29" i="15"/>
  <c r="G29" i="15"/>
  <c r="F29" i="15" a="1"/>
  <c r="E29" i="15" a="1"/>
  <c r="D29" i="15" a="1"/>
  <c r="L27" i="15" a="1"/>
  <c r="J27" i="15"/>
  <c r="I27" i="15"/>
  <c r="H27" i="15"/>
  <c r="G27" i="15"/>
  <c r="F27" i="15" a="1"/>
  <c r="E27" i="15" a="1"/>
  <c r="D27" i="15" a="1"/>
  <c r="L26" i="15" a="1"/>
  <c r="J26" i="15"/>
  <c r="I26" i="15"/>
  <c r="H26" i="15"/>
  <c r="G26" i="15"/>
  <c r="F26" i="15" a="1"/>
  <c r="E26" i="15" a="1"/>
  <c r="D26" i="15" a="1"/>
  <c r="L25" i="15" a="1"/>
  <c r="J25" i="15"/>
  <c r="I25" i="15"/>
  <c r="H25" i="15"/>
  <c r="G25" i="15"/>
  <c r="F25" i="15" a="1"/>
  <c r="E25" i="15" a="1"/>
  <c r="D25" i="15" a="1"/>
  <c r="L24" i="15" a="1"/>
  <c r="J24" i="15"/>
  <c r="I24" i="15"/>
  <c r="H24" i="15"/>
  <c r="G24" i="15"/>
  <c r="F24" i="15" a="1"/>
  <c r="E24" i="15" a="1"/>
  <c r="D24" i="15" a="1"/>
  <c r="L23" i="15" a="1"/>
  <c r="J23" i="15"/>
  <c r="I23" i="15"/>
  <c r="H23" i="15"/>
  <c r="G23" i="15"/>
  <c r="F23" i="15" a="1"/>
  <c r="E23" i="15" a="1"/>
  <c r="D23" i="15" a="1"/>
  <c r="L22" i="15" a="1"/>
  <c r="J22" i="15"/>
  <c r="I22" i="15"/>
  <c r="H22" i="15"/>
  <c r="G22" i="15"/>
  <c r="F22" i="15" a="1"/>
  <c r="E22" i="15" a="1"/>
  <c r="D22" i="15" a="1"/>
  <c r="L21" i="15" a="1"/>
  <c r="J21" i="15"/>
  <c r="I21" i="15"/>
  <c r="H21" i="15"/>
  <c r="G21" i="15"/>
  <c r="F21" i="15" a="1"/>
  <c r="E21" i="15" a="1"/>
  <c r="D21" i="15" a="1"/>
  <c r="L20" i="15" a="1"/>
  <c r="J20" i="15"/>
  <c r="I20" i="15"/>
  <c r="H20" i="15"/>
  <c r="G20" i="15"/>
  <c r="F20" i="15" a="1"/>
  <c r="E20" i="15" a="1"/>
  <c r="D20" i="15" a="1"/>
  <c r="L19" i="15" a="1"/>
  <c r="J19" i="15"/>
  <c r="I19" i="15"/>
  <c r="H19" i="15"/>
  <c r="G19" i="15"/>
  <c r="F19" i="15" a="1"/>
  <c r="E19" i="15" a="1"/>
  <c r="D19" i="15" a="1"/>
  <c r="L18" i="15" a="1"/>
  <c r="J18" i="15"/>
  <c r="I18" i="15"/>
  <c r="H18" i="15"/>
  <c r="G18" i="15"/>
  <c r="F18" i="15" a="1"/>
  <c r="E18" i="15" a="1"/>
  <c r="D18" i="15" a="1"/>
  <c r="L17" i="15" a="1"/>
  <c r="J17" i="15"/>
  <c r="I17" i="15"/>
  <c r="H17" i="15"/>
  <c r="G17" i="15"/>
  <c r="F17" i="15" a="1"/>
  <c r="E17" i="15" a="1"/>
  <c r="D17" i="15" a="1"/>
  <c r="L16" i="15" a="1"/>
  <c r="J16" i="15"/>
  <c r="I16" i="15"/>
  <c r="H16" i="15"/>
  <c r="G16" i="15"/>
  <c r="F16" i="15" a="1"/>
  <c r="E16" i="15" a="1"/>
  <c r="D16" i="15" a="1"/>
  <c r="L15" i="15" a="1"/>
  <c r="J15" i="15"/>
  <c r="I15" i="15"/>
  <c r="H15" i="15"/>
  <c r="G15" i="15"/>
  <c r="F15" i="15" a="1"/>
  <c r="E15" i="15" a="1"/>
  <c r="D15" i="15" a="1"/>
  <c r="L14" i="15" a="1"/>
  <c r="J14" i="15"/>
  <c r="I14" i="15"/>
  <c r="H14" i="15"/>
  <c r="G14" i="15"/>
  <c r="F14" i="15" a="1"/>
  <c r="E14" i="15" a="1"/>
  <c r="D14" i="15" a="1"/>
  <c r="L13" i="15" a="1"/>
  <c r="J13" i="15"/>
  <c r="I13" i="15"/>
  <c r="H13" i="15"/>
  <c r="G13" i="15"/>
  <c r="F13" i="15" a="1"/>
  <c r="E13" i="15" a="1"/>
  <c r="D13" i="15" a="1"/>
  <c r="L12" i="15" a="1"/>
  <c r="J12" i="15"/>
  <c r="I12" i="15"/>
  <c r="H12" i="15"/>
  <c r="G12" i="15"/>
  <c r="F12" i="15" a="1"/>
  <c r="E12" i="15" a="1"/>
  <c r="D12" i="15" a="1"/>
  <c r="L11" i="15" a="1"/>
  <c r="J11" i="15"/>
  <c r="I11" i="15"/>
  <c r="H11" i="15"/>
  <c r="CK4" i="17" a="1"/>
  <c r="CA6" i="17"/>
  <c r="CA5" i="17"/>
  <c r="CA4" i="17"/>
  <c r="D11" i="17"/>
  <c r="C11" i="17"/>
  <c r="B11" i="17"/>
  <c r="AS3" i="17" a="1"/>
  <c r="AE3" i="17" a="1"/>
  <c r="AA3" i="17" a="1"/>
  <c r="CC4" i="14" a="1"/>
  <c r="AX4" i="16" a="1"/>
  <c r="Q14" i="16" a="1"/>
  <c r="BG3" i="16" a="1"/>
  <c r="AE3" i="16" a="1"/>
  <c r="HM4" i="15" a="1"/>
  <c r="HM3" i="15" a="1"/>
  <c r="HL4" i="15" a="1"/>
  <c r="HL3" i="15" a="1"/>
  <c r="HK4" i="15" a="1"/>
  <c r="HK3" i="15" a="1"/>
  <c r="HJ4" i="15" a="1"/>
  <c r="HJ3" i="15" a="1"/>
  <c r="HO4" i="15" a="1"/>
  <c r="HA3" i="15"/>
  <c r="HF3" i="15" s="1"/>
  <c r="HD10" i="15"/>
  <c r="HD9" i="15"/>
  <c r="HD8" i="15"/>
  <c r="HD7" i="15"/>
  <c r="HD6" i="15"/>
  <c r="HD5" i="15"/>
  <c r="HD4" i="15"/>
  <c r="GY19" i="15"/>
  <c r="GY18" i="15"/>
  <c r="GY17" i="15"/>
  <c r="GY16" i="15"/>
  <c r="GY15" i="15"/>
  <c r="GY14" i="15"/>
  <c r="GY13" i="15"/>
  <c r="GY12" i="15"/>
  <c r="GY11" i="15"/>
  <c r="GY10" i="15"/>
  <c r="GY9" i="15"/>
  <c r="GY8" i="15"/>
  <c r="GY7" i="15"/>
  <c r="GY6" i="15"/>
  <c r="GY5" i="15"/>
  <c r="GY4" i="15"/>
  <c r="O48" i="15" a="1"/>
  <c r="N48" i="15"/>
  <c r="M48" i="15" a="1"/>
  <c r="L48" i="15" a="1"/>
  <c r="K48" i="15" a="1"/>
  <c r="J48" i="15" a="1"/>
  <c r="B48" i="15"/>
  <c r="O47" i="15" a="1"/>
  <c r="N47" i="15"/>
  <c r="M47" i="15" a="1"/>
  <c r="L47" i="15" a="1"/>
  <c r="K47" i="15" a="1"/>
  <c r="J47" i="15" a="1"/>
  <c r="B47" i="15"/>
  <c r="O46" i="15" a="1"/>
  <c r="N46" i="15"/>
  <c r="M46" i="15" a="1"/>
  <c r="L46" i="15" a="1"/>
  <c r="K46" i="15" a="1"/>
  <c r="J46" i="15" a="1"/>
  <c r="B46" i="15"/>
  <c r="O45" i="15" a="1"/>
  <c r="N45" i="15"/>
  <c r="M45" i="15" a="1"/>
  <c r="L45" i="15" a="1"/>
  <c r="K45" i="15" a="1"/>
  <c r="J45" i="15" a="1"/>
  <c r="B45" i="15"/>
  <c r="B44" i="15"/>
  <c r="B43" i="15"/>
  <c r="B42" i="15"/>
  <c r="B41" i="15"/>
  <c r="B40" i="15"/>
  <c r="B39" i="15"/>
  <c r="FC3" i="15" a="1"/>
  <c r="DG3" i="15" a="1"/>
  <c r="BK3" i="15" a="1"/>
  <c r="AW3" i="15" a="1"/>
  <c r="CE4" i="6" a="1"/>
  <c r="CF4" i="6" s="1" a="1"/>
  <c r="Z17" i="6" a="1"/>
  <c r="AC4" i="6" a="1"/>
  <c r="E4" i="6" a="1"/>
  <c r="HS4" i="14" a="1"/>
  <c r="HE454" i="14"/>
  <c r="HE404" i="14"/>
  <c r="HE354" i="14"/>
  <c r="HE304" i="14"/>
  <c r="HE254" i="14"/>
  <c r="HE204" i="14"/>
  <c r="HE154" i="14"/>
  <c r="HE104" i="14"/>
  <c r="HE54" i="14"/>
  <c r="HE4" i="14"/>
  <c r="CD4" i="14" a="1"/>
  <c r="CB4" i="14" a="1"/>
  <c r="K3" i="11" a="1"/>
  <c r="I16" i="10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s="1" a="1"/>
  <c r="JE4" i="9" a="1"/>
  <c r="JD4" i="9" a="1"/>
  <c r="JG4" i="9" s="1" a="1"/>
  <c r="AB4" i="6" a="1"/>
  <c r="V35" i="9" a="1"/>
  <c r="G35" i="9" a="1"/>
  <c r="CN3" i="17" l="1" a="1"/>
  <c r="BT4" i="17" a="1"/>
  <c r="BM4" i="17" a="1"/>
  <c r="BF4" i="17" a="1"/>
  <c r="F1" i="17" a="1"/>
  <c r="AJ3" i="17" a="1"/>
  <c r="D1" i="17" a="1"/>
  <c r="D17" i="17" a="1"/>
  <c r="C17" i="17" a="1"/>
  <c r="B17" i="17" a="1"/>
  <c r="F4" i="9" a="1"/>
  <c r="BP4" i="9" a="1"/>
  <c r="BF17" i="9" a="1"/>
  <c r="BS4" i="16" a="1"/>
  <c r="BR4" i="16" a="1"/>
  <c r="BU3" i="16"/>
  <c r="BT4" i="16" a="1"/>
  <c r="BR3" i="16"/>
  <c r="BS3" i="16"/>
  <c r="BP3" i="16"/>
  <c r="BU4" i="16" a="1"/>
  <c r="BQ4" i="16" a="1"/>
  <c r="BO4" i="16" a="1"/>
  <c r="BT3" i="16"/>
  <c r="BQ3" i="16"/>
  <c r="BP4" i="16" a="1"/>
  <c r="AU4" i="16" a="1"/>
  <c r="AV4" i="16" s="1" a="1"/>
  <c r="BB4" i="16" a="1"/>
  <c r="BA4" i="16" a="1"/>
  <c r="AW4" i="16" a="1"/>
  <c r="AT4" i="16" a="1"/>
  <c r="A14" i="16" a="1"/>
  <c r="M15" i="16" s="1" a="1"/>
  <c r="A13" i="16" a="1"/>
  <c r="C5" i="16" a="1"/>
  <c r="M40" i="15" a="1"/>
  <c r="M44" i="15" a="1"/>
  <c r="M42" i="15" a="1"/>
  <c r="C35" i="15" a="1"/>
  <c r="M43" i="15" a="1"/>
  <c r="M41" i="15" a="1"/>
  <c r="M39" i="15" a="1"/>
  <c r="C34" i="15" a="1"/>
  <c r="C33" i="15" a="1"/>
  <c r="C32" i="15" a="1"/>
  <c r="C31" i="15" a="1"/>
  <c r="C30" i="15" a="1"/>
  <c r="C29" i="15" a="1"/>
  <c r="C27" i="15" a="1"/>
  <c r="C26" i="15" a="1"/>
  <c r="C25" i="15" a="1"/>
  <c r="C24" i="15" a="1"/>
  <c r="C23" i="15" a="1"/>
  <c r="C22" i="15" a="1"/>
  <c r="C21" i="15" a="1"/>
  <c r="C20" i="15" a="1"/>
  <c r="C19" i="15" a="1"/>
  <c r="C18" i="15" a="1"/>
  <c r="C17" i="15" a="1"/>
  <c r="C13" i="15" a="1"/>
  <c r="HI4" i="15" a="1"/>
  <c r="C16" i="15" a="1"/>
  <c r="C15" i="15" a="1"/>
  <c r="C14" i="15" a="1"/>
  <c r="C12" i="15" a="1"/>
  <c r="BB3" i="15" a="1"/>
  <c r="HP4" i="15" s="1" a="1"/>
  <c r="D1" i="15" a="1"/>
  <c r="P3" i="11" a="1"/>
  <c r="D1" i="11" a="1"/>
  <c r="D1" i="14" a="1"/>
  <c r="CL4" i="14" a="1"/>
  <c r="A6" i="14" s="1"/>
  <c r="CI4" i="14" a="1"/>
  <c r="CJ4" i="14" a="1"/>
  <c r="HR455" i="14" a="1"/>
  <c r="HP455" i="14" a="1"/>
  <c r="HN455" i="14" a="1"/>
  <c r="HL455" i="14" a="1"/>
  <c r="HJ455" i="14" a="1"/>
  <c r="HH455" i="14" a="1"/>
  <c r="HR405" i="14" a="1"/>
  <c r="HP405" i="14" a="1"/>
  <c r="HN405" i="14" a="1"/>
  <c r="HL405" i="14" a="1"/>
  <c r="HJ405" i="14" a="1"/>
  <c r="HH405" i="14" a="1"/>
  <c r="HR355" i="14" a="1"/>
  <c r="HP355" i="14" a="1"/>
  <c r="HN355" i="14" a="1"/>
  <c r="HL355" i="14" a="1"/>
  <c r="HJ355" i="14" a="1"/>
  <c r="HH355" i="14" a="1"/>
  <c r="HR305" i="14" a="1"/>
  <c r="HP305" i="14" a="1"/>
  <c r="HN305" i="14" a="1"/>
  <c r="HL305" i="14" a="1"/>
  <c r="HJ305" i="14" a="1"/>
  <c r="HH305" i="14" a="1"/>
  <c r="HR255" i="14" a="1"/>
  <c r="HL5" i="14" a="1"/>
  <c r="HH5" i="14" a="1"/>
  <c r="HP255" i="14" a="1"/>
  <c r="HN255" i="14" a="1"/>
  <c r="HL255" i="14" a="1"/>
  <c r="HJ255" i="14" a="1"/>
  <c r="HH255" i="14" a="1"/>
  <c r="HR205" i="14" a="1"/>
  <c r="HP205" i="14" a="1"/>
  <c r="HN205" i="14" a="1"/>
  <c r="HL205" i="14" a="1"/>
  <c r="HJ205" i="14" a="1"/>
  <c r="HH205" i="14" a="1"/>
  <c r="HR155" i="14" a="1"/>
  <c r="HP155" i="14" a="1"/>
  <c r="HN155" i="14" a="1"/>
  <c r="HL155" i="14" a="1"/>
  <c r="HJ155" i="14" a="1"/>
  <c r="HH155" i="14" a="1"/>
  <c r="HR105" i="14" a="1"/>
  <c r="HP105" i="14" a="1"/>
  <c r="HN105" i="14" a="1"/>
  <c r="HL105" i="14" a="1"/>
  <c r="HJ105" i="14" a="1"/>
  <c r="HH105" i="14" a="1"/>
  <c r="HR55" i="14" a="1"/>
  <c r="HP55" i="14" a="1"/>
  <c r="HN55" i="14" a="1"/>
  <c r="HL55" i="14" a="1"/>
  <c r="HJ55" i="14" a="1"/>
  <c r="HH55" i="14" a="1"/>
  <c r="HR5" i="14" a="1"/>
  <c r="HP5" i="14" a="1"/>
  <c r="HN5" i="14" a="1"/>
  <c r="HJ5" i="14" a="1"/>
  <c r="CO4" i="14" a="1"/>
  <c r="H4" i="6" a="1"/>
  <c r="F34" i="6" a="1"/>
  <c r="BJ5" i="9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AJ60" i="9" a="1"/>
  <c r="F36" i="9" a="1"/>
  <c r="U60" i="9" a="1"/>
  <c r="U12" i="9" a="1"/>
  <c r="U36" i="9" a="1"/>
  <c r="AK59" i="9" a="1"/>
  <c r="F60" i="9" a="1"/>
  <c r="F12" i="9" a="1"/>
  <c r="V59" i="9" a="1"/>
  <c r="G59" i="9" a="1"/>
  <c r="G11" i="9" a="1"/>
  <c r="V11" i="9" a="1"/>
  <c r="BD4" i="17" l="1" a="1"/>
  <c r="CL4" i="17" a="1"/>
  <c r="B36" i="17" s="1" a="1"/>
  <c r="D23" i="17"/>
  <c r="D24" i="17"/>
  <c r="D25" i="17"/>
  <c r="D26" i="17"/>
  <c r="D27" i="17"/>
  <c r="D12" i="17" a="1"/>
  <c r="D13" i="17" a="1"/>
  <c r="CE6" i="17" s="1"/>
  <c r="D14" i="17" a="1"/>
  <c r="CD6" i="17" s="1"/>
  <c r="D15" i="17" a="1"/>
  <c r="C14" i="17" a="1"/>
  <c r="CD5" i="17" s="1"/>
  <c r="C15" i="17" a="1"/>
  <c r="C12" i="17" a="1"/>
  <c r="C13" i="17" a="1"/>
  <c r="CE5" i="17" s="1"/>
  <c r="C24" i="17"/>
  <c r="C25" i="17"/>
  <c r="C26" i="17"/>
  <c r="C27" i="17"/>
  <c r="C23" i="17"/>
  <c r="B13" i="17" a="1"/>
  <c r="CE4" i="17" s="1"/>
  <c r="B15" i="17" a="1"/>
  <c r="B23" i="17"/>
  <c r="B25" i="17"/>
  <c r="B26" i="17"/>
  <c r="B27" i="17"/>
  <c r="B12" i="17" a="1"/>
  <c r="B14" i="17" a="1"/>
  <c r="CD4" i="17" s="1"/>
  <c r="B24" i="17"/>
  <c r="CC6" i="17"/>
  <c r="CC5" i="17"/>
  <c r="CC4" i="17"/>
  <c r="AY4" i="16" a="1"/>
  <c r="BD4" i="16" a="1"/>
  <c r="BC4" i="16" a="1"/>
  <c r="B18" i="15" a="1"/>
  <c r="B34" i="15" a="1"/>
  <c r="B14" i="15" a="1"/>
  <c r="B17" i="15" a="1"/>
  <c r="B19" i="15" a="1"/>
  <c r="B21" i="15" a="1"/>
  <c r="B22" i="15" a="1"/>
  <c r="B23" i="15" a="1"/>
  <c r="B24" i="15" a="1"/>
  <c r="B25" i="15" a="1"/>
  <c r="B26" i="15" a="1"/>
  <c r="B27" i="15" a="1"/>
  <c r="B29" i="15" a="1"/>
  <c r="B31" i="15" a="1"/>
  <c r="B32" i="15" a="1"/>
  <c r="B33" i="15" a="1"/>
  <c r="B35" i="15" a="1"/>
  <c r="B13" i="15" a="1"/>
  <c r="B12" i="15" a="1"/>
  <c r="B15" i="15" a="1"/>
  <c r="B16" i="15" a="1"/>
  <c r="B20" i="15" a="1"/>
  <c r="B30" i="15" a="1"/>
  <c r="HE10" i="15"/>
  <c r="HE9" i="15"/>
  <c r="HE8" i="15"/>
  <c r="HE7" i="15"/>
  <c r="HE6" i="15"/>
  <c r="HE5" i="15"/>
  <c r="HE4" i="15"/>
  <c r="GZ19" i="15"/>
  <c r="GZ18" i="15"/>
  <c r="GZ17" i="15"/>
  <c r="GZ16" i="15"/>
  <c r="GZ15" i="15"/>
  <c r="GZ14" i="15"/>
  <c r="GZ13" i="15"/>
  <c r="J41" i="15" a="1"/>
  <c r="J39" i="15" a="1"/>
  <c r="GZ9" i="15"/>
  <c r="GZ8" i="15"/>
  <c r="GZ7" i="15"/>
  <c r="GZ6" i="15"/>
  <c r="GZ5" i="15"/>
  <c r="J42" i="15" a="1"/>
  <c r="J44" i="15" a="1"/>
  <c r="J40" i="15" a="1"/>
  <c r="J43" i="15" a="1"/>
  <c r="B8" i="11" a="1"/>
  <c r="B10" i="11" a="1"/>
  <c r="B14" i="11" a="1"/>
  <c r="C8" i="11" a="1"/>
  <c r="C9" i="11" a="1"/>
  <c r="C10" i="11" a="1"/>
  <c r="E10" i="11" a="1"/>
  <c r="B11" i="11" a="1"/>
  <c r="C11" i="11" a="1"/>
  <c r="E11" i="11" a="1"/>
  <c r="B12" i="11" a="1"/>
  <c r="C12" i="11" a="1"/>
  <c r="E12" i="11" a="1"/>
  <c r="B13" i="11" a="1"/>
  <c r="C13" i="11" a="1"/>
  <c r="E13" i="11" a="1"/>
  <c r="C14" i="11" a="1"/>
  <c r="E14" i="11" a="1"/>
  <c r="B15" i="11" a="1"/>
  <c r="C15" i="11" a="1"/>
  <c r="E15" i="11" a="1"/>
  <c r="B16" i="11" a="1"/>
  <c r="C16" i="11" a="1"/>
  <c r="E16" i="11" a="1"/>
  <c r="B17" i="11" a="1"/>
  <c r="C17" i="11" a="1"/>
  <c r="B25" i="11" a="1"/>
  <c r="D25" i="11" s="1"/>
  <c r="B27" i="11" a="1"/>
  <c r="D27" i="11" s="1"/>
  <c r="B28" i="11" a="1"/>
  <c r="D28" i="11" s="1"/>
  <c r="B29" i="11" a="1"/>
  <c r="D29" i="11" s="1"/>
  <c r="F8" i="11" a="1"/>
  <c r="E8" i="11" a="1"/>
  <c r="B9" i="11" a="1"/>
  <c r="D9" i="11" s="1"/>
  <c r="E9" i="11" a="1"/>
  <c r="C22" i="11" s="1" a="1"/>
  <c r="D22" i="11" s="1"/>
  <c r="E17" i="11" a="1"/>
  <c r="B22" i="11" a="1"/>
  <c r="B23" i="11" a="1"/>
  <c r="D23" i="11" s="1"/>
  <c r="B24" i="11" a="1"/>
  <c r="D24" i="11" s="1"/>
  <c r="B26" i="11" a="1"/>
  <c r="D26" i="11" s="1"/>
  <c r="B30" i="11" a="1"/>
  <c r="D30" i="11" s="1"/>
  <c r="B31" i="11" a="1"/>
  <c r="D31" i="11" s="1"/>
  <c r="B32" i="11" a="1"/>
  <c r="D32" i="11" s="1"/>
  <c r="B33" i="11" a="1"/>
  <c r="D33" i="11" s="1"/>
  <c r="B34" i="11" a="1"/>
  <c r="D34" i="11" s="1"/>
  <c r="B3" i="11" a="1"/>
  <c r="HK405" i="14" a="1"/>
  <c r="HM155" i="14" a="1"/>
  <c r="HK155" i="14" a="1"/>
  <c r="HI155" i="14" a="1"/>
  <c r="HQ105" i="14" a="1"/>
  <c r="HO105" i="14" a="1"/>
  <c r="HM105" i="14" a="1"/>
  <c r="HK105" i="14" a="1"/>
  <c r="HI105" i="14" a="1"/>
  <c r="HK5" i="14" a="1"/>
  <c r="HO455" i="14" a="1"/>
  <c r="HK455" i="14" a="1"/>
  <c r="HQ405" i="14" a="1"/>
  <c r="HQ355" i="14" a="1"/>
  <c r="HK355" i="14" a="1"/>
  <c r="HQ305" i="14" a="1"/>
  <c r="HK305" i="14" a="1"/>
  <c r="HM5" i="14" a="1"/>
  <c r="HO255" i="14" a="1"/>
  <c r="HI255" i="14" a="1"/>
  <c r="HM205" i="14" a="1"/>
  <c r="HO155" i="14" a="1"/>
  <c r="HQ55" i="14" a="1"/>
  <c r="HO55" i="14" a="1"/>
  <c r="HM55" i="14" a="1"/>
  <c r="HK55" i="14" a="1"/>
  <c r="HI55" i="14" a="1"/>
  <c r="HQ5" i="14" a="1"/>
  <c r="HO5" i="14" a="1"/>
  <c r="HM455" i="14" a="1"/>
  <c r="HM405" i="14" a="1"/>
  <c r="HO355" i="14" a="1"/>
  <c r="HI355" i="14" a="1"/>
  <c r="HM305" i="14" a="1"/>
  <c r="HI5" i="14" a="1"/>
  <c r="HM255" i="14" a="1"/>
  <c r="HO205" i="14" a="1"/>
  <c r="HI205" i="14" a="1"/>
  <c r="HQ455" i="14" a="1"/>
  <c r="HI455" i="14" a="1"/>
  <c r="HO405" i="14" a="1"/>
  <c r="HI405" i="14" a="1"/>
  <c r="HM355" i="14" a="1"/>
  <c r="HO305" i="14" a="1"/>
  <c r="HI305" i="14" a="1"/>
  <c r="HQ255" i="14" a="1"/>
  <c r="HK255" i="14" a="1"/>
  <c r="HQ205" i="14" a="1"/>
  <c r="HK205" i="14" a="1"/>
  <c r="HQ155" i="14" a="1"/>
  <c r="BX4" i="6" a="1"/>
  <c r="V34" i="6" a="1"/>
  <c r="T34" i="6" a="1"/>
  <c r="X34" i="6" a="1"/>
  <c r="W34" i="6" a="1"/>
  <c r="BY4" i="6" a="1"/>
  <c r="U34" i="6" a="1"/>
  <c r="EQ4" i="14" a="1"/>
  <c r="EQ404" i="14" a="1"/>
  <c r="EQ454" i="14" a="1"/>
  <c r="EQ54" i="14" a="1"/>
  <c r="EQ204" i="14" a="1"/>
  <c r="EQ254" i="14" a="1"/>
  <c r="EQ104" i="14" a="1"/>
  <c r="EQ154" i="14" a="1"/>
  <c r="EQ304" i="14" a="1"/>
  <c r="EQ354" i="14" a="1"/>
  <c r="GQ5" i="14" a="1"/>
  <c r="GQ55" i="14" a="1"/>
  <c r="GQ405" i="14" a="1"/>
  <c r="GQ205" i="14" a="1"/>
  <c r="GQ255" i="14" a="1"/>
  <c r="GQ155" i="14" a="1"/>
  <c r="GQ305" i="14" a="1"/>
  <c r="GQ355" i="14" a="1"/>
  <c r="GQ105" i="14" a="1"/>
  <c r="GQ455" i="14" a="1"/>
  <c r="E34" i="6" a="1"/>
  <c r="S34" i="6" s="1" a="1"/>
  <c r="G34" i="6" a="1"/>
  <c r="M34" i="6" a="1"/>
  <c r="L34" i="6" a="1"/>
  <c r="Q34" i="6" s="1" a="1"/>
  <c r="AW4" i="10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BL5" i="9" a="1"/>
  <c r="BK5" i="9" a="1"/>
  <c r="BI5" i="9" a="1"/>
  <c r="AJ12" i="9" a="1"/>
  <c r="AO12" i="9" s="1" a="1"/>
  <c r="AK12" i="9" a="1"/>
  <c r="C18" i="17" l="1" a="1"/>
  <c r="B18" i="17" a="1"/>
  <c r="CB4" i="17" s="1"/>
  <c r="D18" i="17" a="1"/>
  <c r="B16" i="17"/>
  <c r="D16" i="17"/>
  <c r="C16" i="17"/>
  <c r="B19" i="17"/>
  <c r="B20" i="17" s="1"/>
  <c r="BM5" i="9" a="1"/>
  <c r="AN12" i="9" a="1"/>
  <c r="G60" i="9" a="1"/>
  <c r="V60" i="9" a="1"/>
  <c r="AK60" i="9" a="1"/>
  <c r="BE4" i="16" a="1"/>
  <c r="GZ11" i="15"/>
  <c r="GZ4" i="15"/>
  <c r="GZ10" i="15"/>
  <c r="GZ12" i="15"/>
  <c r="L41" i="15" a="1"/>
  <c r="O41" i="15" a="1"/>
  <c r="K41" i="15" a="1"/>
  <c r="N41" i="15" s="1"/>
  <c r="K39" i="15" a="1"/>
  <c r="N39" i="15" s="1"/>
  <c r="O39" i="15" a="1"/>
  <c r="L39" i="15" a="1"/>
  <c r="L42" i="15" a="1"/>
  <c r="O42" i="15" a="1"/>
  <c r="K42" i="15" a="1"/>
  <c r="N42" i="15" s="1"/>
  <c r="O44" i="15" a="1"/>
  <c r="L44" i="15" a="1"/>
  <c r="K44" i="15" a="1"/>
  <c r="N44" i="15" s="1"/>
  <c r="L40" i="15" a="1"/>
  <c r="K40" i="15" a="1"/>
  <c r="N40" i="15" s="1"/>
  <c r="O40" i="15" a="1"/>
  <c r="HF9" i="15"/>
  <c r="HG9" i="15"/>
  <c r="HF8" i="15"/>
  <c r="HG8" i="15"/>
  <c r="HF5" i="15"/>
  <c r="HG5" i="15"/>
  <c r="HF4" i="15"/>
  <c r="HG4" i="15"/>
  <c r="HA19" i="15"/>
  <c r="HB19" i="15"/>
  <c r="HB18" i="15"/>
  <c r="HA18" i="15"/>
  <c r="HB17" i="15"/>
  <c r="HA17" i="15"/>
  <c r="HB16" i="15"/>
  <c r="HA16" i="15"/>
  <c r="HA15" i="15"/>
  <c r="HB15" i="15"/>
  <c r="HB14" i="15"/>
  <c r="HA14" i="15"/>
  <c r="HA13" i="15"/>
  <c r="HB13" i="15"/>
  <c r="HA12" i="15"/>
  <c r="HB12" i="15"/>
  <c r="HA11" i="15"/>
  <c r="HB11" i="15"/>
  <c r="HF10" i="15"/>
  <c r="HG10" i="15"/>
  <c r="HA6" i="15"/>
  <c r="HB6" i="15"/>
  <c r="HG7" i="15"/>
  <c r="HF7" i="15"/>
  <c r="HF6" i="15"/>
  <c r="HG6" i="15"/>
  <c r="O43" i="15" a="1"/>
  <c r="K43" i="15" a="1"/>
  <c r="N43" i="15" s="1"/>
  <c r="L43" i="15" a="1"/>
  <c r="HB4" i="15"/>
  <c r="HA4" i="15"/>
  <c r="D14" i="11"/>
  <c r="G10" i="11"/>
  <c r="H10" i="11"/>
  <c r="G11" i="11"/>
  <c r="H11" i="11"/>
  <c r="G12" i="11"/>
  <c r="H12" i="11"/>
  <c r="G13" i="11"/>
  <c r="H13" i="11"/>
  <c r="G14" i="11"/>
  <c r="H14" i="11"/>
  <c r="G15" i="11"/>
  <c r="H15" i="11"/>
  <c r="G16" i="11"/>
  <c r="H16" i="11"/>
  <c r="G8" i="11"/>
  <c r="H8" i="11"/>
  <c r="G9" i="11"/>
  <c r="H9" i="11"/>
  <c r="G17" i="11"/>
  <c r="H17" i="11"/>
  <c r="D8" i="11"/>
  <c r="D12" i="11"/>
  <c r="D15" i="11"/>
  <c r="D16" i="11"/>
  <c r="D10" i="11"/>
  <c r="D11" i="11"/>
  <c r="D13" i="11"/>
  <c r="D17" i="11"/>
  <c r="H34" i="6" a="1"/>
  <c r="I34" i="6" s="1" a="1"/>
  <c r="P34" i="6" a="1"/>
  <c r="HF5" i="14" a="1"/>
  <c r="GZ5" i="14" a="1"/>
  <c r="HB5" i="14" a="1"/>
  <c r="E9" i="14"/>
  <c r="GY5" i="14" a="1"/>
  <c r="HA5" i="14" a="1"/>
  <c r="GU5" i="14" a="1"/>
  <c r="GX5" i="14" a="1"/>
  <c r="GS5" i="14" a="1"/>
  <c r="HD5" i="14" a="1"/>
  <c r="HE5" i="14" a="1"/>
  <c r="HG5" i="14" a="1"/>
  <c r="GR5" i="14" a="1"/>
  <c r="GT5" i="14" a="1"/>
  <c r="GV5" i="14" a="1"/>
  <c r="BI9" i="14"/>
  <c r="HG405" i="14" a="1"/>
  <c r="HF405" i="14" a="1"/>
  <c r="HE405" i="14" a="1"/>
  <c r="HD405" i="14" a="1"/>
  <c r="GS405" i="14" a="1"/>
  <c r="GV405" i="14" a="1"/>
  <c r="GX405" i="14" a="1"/>
  <c r="HB405" i="14" a="1"/>
  <c r="HA405" i="14" a="1"/>
  <c r="GZ405" i="14" a="1"/>
  <c r="GY405" i="14" a="1"/>
  <c r="GU405" i="14" a="1"/>
  <c r="GT405" i="14" a="1"/>
  <c r="GR405" i="14" a="1"/>
  <c r="GR455" i="14" a="1"/>
  <c r="HA455" i="14" a="1"/>
  <c r="GY455" i="14" a="1"/>
  <c r="HG455" i="14" a="1"/>
  <c r="HF455" i="14" a="1"/>
  <c r="HE455" i="14" a="1"/>
  <c r="HD455" i="14" a="1"/>
  <c r="GV455" i="14" a="1"/>
  <c r="GS455" i="14" a="1"/>
  <c r="GU455" i="14" a="1"/>
  <c r="HB455" i="14" a="1"/>
  <c r="GZ455" i="14" a="1"/>
  <c r="BP9" i="14"/>
  <c r="GX455" i="14" a="1"/>
  <c r="GT455" i="14" a="1"/>
  <c r="HA55" i="14" a="1"/>
  <c r="GY55" i="14" a="1"/>
  <c r="GR55" i="14" a="1"/>
  <c r="GU55" i="14" a="1"/>
  <c r="GV55" i="14" a="1"/>
  <c r="L9" i="14"/>
  <c r="HE55" i="14" a="1"/>
  <c r="HB55" i="14" a="1"/>
  <c r="HG55" i="14" a="1"/>
  <c r="HF55" i="14" a="1"/>
  <c r="HD55" i="14" a="1"/>
  <c r="GS55" i="14" a="1"/>
  <c r="GT55" i="14" a="1"/>
  <c r="GX55" i="14" a="1"/>
  <c r="GZ55" i="14" a="1"/>
  <c r="GU205" i="14" a="1"/>
  <c r="GZ205" i="14" a="1"/>
  <c r="HA205" i="14" a="1"/>
  <c r="GX205" i="14" a="1"/>
  <c r="HB205" i="14" a="1"/>
  <c r="GT205" i="14" a="1"/>
  <c r="GY205" i="14" a="1"/>
  <c r="GS205" i="14" a="1"/>
  <c r="GV205" i="14" a="1"/>
  <c r="HG205" i="14" a="1"/>
  <c r="HE205" i="14" a="1"/>
  <c r="HD205" i="14" a="1"/>
  <c r="AG9" i="14"/>
  <c r="HF205" i="14" a="1"/>
  <c r="GR205" i="14" a="1"/>
  <c r="HD255" i="14" a="1"/>
  <c r="GS255" i="14" a="1"/>
  <c r="AN9" i="14"/>
  <c r="GR255" i="14" a="1"/>
  <c r="GV255" i="14" a="1"/>
  <c r="GY255" i="14" a="1"/>
  <c r="GZ255" i="14" a="1"/>
  <c r="GU255" i="14" a="1"/>
  <c r="HA255" i="14" a="1"/>
  <c r="GT255" i="14" a="1"/>
  <c r="HG255" i="14" a="1"/>
  <c r="HF255" i="14" a="1"/>
  <c r="HE255" i="14" a="1"/>
  <c r="HB255" i="14" a="1"/>
  <c r="GX255" i="14" a="1"/>
  <c r="HG105" i="14" a="1"/>
  <c r="GU105" i="14" a="1"/>
  <c r="GT105" i="14" a="1"/>
  <c r="HF105" i="14" a="1"/>
  <c r="HD105" i="14" a="1"/>
  <c r="GS105" i="14" a="1"/>
  <c r="GR105" i="14" a="1"/>
  <c r="HE105" i="14" a="1"/>
  <c r="GY105" i="14" a="1"/>
  <c r="GX105" i="14" a="1"/>
  <c r="HA105" i="14" a="1"/>
  <c r="HB105" i="14" a="1"/>
  <c r="S9" i="14"/>
  <c r="GZ105" i="14" a="1"/>
  <c r="GV105" i="14" a="1"/>
  <c r="GZ155" i="14" a="1"/>
  <c r="GR155" i="14" a="1"/>
  <c r="HA155" i="14" a="1"/>
  <c r="GU155" i="14" a="1"/>
  <c r="HB155" i="14" a="1"/>
  <c r="HG155" i="14" a="1"/>
  <c r="HF155" i="14" a="1"/>
  <c r="HD155" i="14" a="1"/>
  <c r="GV155" i="14" a="1"/>
  <c r="Z9" i="14"/>
  <c r="GY155" i="14" a="1"/>
  <c r="GS155" i="14" a="1"/>
  <c r="GX155" i="14" a="1"/>
  <c r="GT155" i="14" a="1"/>
  <c r="HE155" i="14" a="1"/>
  <c r="GU305" i="14" a="1"/>
  <c r="GZ305" i="14" a="1"/>
  <c r="GY305" i="14" a="1"/>
  <c r="GX305" i="14" a="1"/>
  <c r="GS305" i="14" a="1"/>
  <c r="GR305" i="14" a="1"/>
  <c r="GT305" i="14" a="1"/>
  <c r="HA305" i="14" a="1"/>
  <c r="HG305" i="14" a="1"/>
  <c r="HE305" i="14" a="1"/>
  <c r="GV305" i="14" a="1"/>
  <c r="AU9" i="14"/>
  <c r="HF305" i="14" a="1"/>
  <c r="HD305" i="14" a="1"/>
  <c r="HB305" i="14" a="1"/>
  <c r="HF355" i="14" a="1"/>
  <c r="BB9" i="14"/>
  <c r="GX355" i="14" a="1"/>
  <c r="GR355" i="14" a="1"/>
  <c r="HG355" i="14" a="1"/>
  <c r="GU355" i="14" a="1"/>
  <c r="GZ355" i="14" a="1"/>
  <c r="HB355" i="14" a="1"/>
  <c r="GT355" i="14" a="1"/>
  <c r="GV355" i="14" a="1"/>
  <c r="GY355" i="14" a="1"/>
  <c r="HA355" i="14" a="1"/>
  <c r="HD355" i="14" a="1"/>
  <c r="HE355" i="14" a="1"/>
  <c r="GS355" i="14" a="1"/>
  <c r="E8" i="14"/>
  <c r="BI8" i="14"/>
  <c r="BP8" i="14"/>
  <c r="L8" i="14"/>
  <c r="AG8" i="14"/>
  <c r="AN8" i="14"/>
  <c r="S8" i="14"/>
  <c r="Z8" i="14"/>
  <c r="AU8" i="14"/>
  <c r="BB8" i="14"/>
  <c r="N34" i="6" a="1"/>
  <c r="J34" i="6" a="1"/>
  <c r="BH4" i="10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V12" i="9" a="1"/>
  <c r="AL12" i="9" s="1" a="1"/>
  <c r="AM12" i="9" s="1" a="1"/>
  <c r="V36" i="9" a="1"/>
  <c r="CF4" i="17" l="1"/>
  <c r="CH4" i="17" s="1"/>
  <c r="CG4" i="17"/>
  <c r="CI4" i="17" s="1"/>
  <c r="CB5" i="17"/>
  <c r="C19" i="17"/>
  <c r="C20" i="17" s="1"/>
  <c r="CB6" i="17"/>
  <c r="D19" i="17"/>
  <c r="D20" i="17" s="1"/>
  <c r="D22" i="17" a="1"/>
  <c r="D21" i="17"/>
  <c r="C22" i="17" a="1"/>
  <c r="C21" i="17"/>
  <c r="B22" i="17" a="1"/>
  <c r="B21" i="17"/>
  <c r="HA5" i="15"/>
  <c r="HB5" i="15"/>
  <c r="HA7" i="15"/>
  <c r="HB7" i="15"/>
  <c r="HB10" i="15"/>
  <c r="HA10" i="15"/>
  <c r="HA9" i="15"/>
  <c r="HB9" i="15"/>
  <c r="HA8" i="15"/>
  <c r="HB8" i="15"/>
  <c r="GS4" i="14" a="1"/>
  <c r="GV4" i="14" a="1"/>
  <c r="GT4" i="14" a="1"/>
  <c r="GR4" i="14" a="1"/>
  <c r="GR404" i="14" a="1"/>
  <c r="GT404" i="14" a="1"/>
  <c r="GR454" i="14" a="1"/>
  <c r="GT454" i="14" a="1"/>
  <c r="GU404" i="14" a="1"/>
  <c r="GU454" i="14" a="1"/>
  <c r="GS204" i="14" a="1"/>
  <c r="GV54" i="14" a="1"/>
  <c r="GR54" i="14" a="1"/>
  <c r="GS54" i="14" a="1"/>
  <c r="GR204" i="14" a="1"/>
  <c r="GT154" i="14" a="1"/>
  <c r="GU204" i="14" a="1"/>
  <c r="GV204" i="14" a="1"/>
  <c r="GR254" i="14" a="1"/>
  <c r="GS254" i="14" a="1"/>
  <c r="GT254" i="14" a="1"/>
  <c r="GU254" i="14" a="1"/>
  <c r="GV254" i="14" a="1"/>
  <c r="GS104" i="14" a="1"/>
  <c r="GT104" i="14" a="1"/>
  <c r="GV104" i="14" a="1"/>
  <c r="GR104" i="14" a="1"/>
  <c r="GR154" i="14" a="1"/>
  <c r="GS154" i="14" a="1"/>
  <c r="GU154" i="14" a="1"/>
  <c r="GV154" i="14" a="1"/>
  <c r="GR304" i="14" a="1"/>
  <c r="GS304" i="14" a="1"/>
  <c r="GT304" i="14" a="1"/>
  <c r="GU304" i="14" a="1"/>
  <c r="GV304" i="14" a="1"/>
  <c r="GR354" i="14" a="1"/>
  <c r="GS354" i="14" a="1"/>
  <c r="GT354" i="14" a="1"/>
  <c r="GU354" i="14" a="1"/>
  <c r="GV354" i="14" a="1"/>
  <c r="GT54" i="14" a="1"/>
  <c r="GT204" i="14" a="1"/>
  <c r="GU4" i="14" a="1"/>
  <c r="GS404" i="14" a="1"/>
  <c r="GV404" i="14" a="1"/>
  <c r="GS454" i="14" a="1"/>
  <c r="GV454" i="14" a="1"/>
  <c r="GU54" i="14" a="1"/>
  <c r="GU104" i="14" a="1"/>
  <c r="O34" i="6" a="1"/>
  <c r="BN5" i="9" a="1"/>
  <c r="G36" i="9" a="1"/>
  <c r="J11" i="10"/>
  <c r="J13" i="10"/>
  <c r="BK4" i="10" a="1"/>
  <c r="J15" i="10" a="1"/>
  <c r="BJ4" i="10" a="1"/>
  <c r="CF5" i="17" l="1"/>
  <c r="CH5" i="17" s="1"/>
  <c r="CG5" i="17"/>
  <c r="CI5" i="17" s="1"/>
  <c r="CF6" i="17"/>
  <c r="CH6" i="17" s="1"/>
  <c r="CG6" i="17"/>
  <c r="CI6" i="17" s="1"/>
  <c r="G12" i="9" a="1"/>
  <c r="J14" i="10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<sst xmlns="http://schemas.openxmlformats.org/spreadsheetml/2006/main" count="1127" uniqueCount="459">
  <si>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</si>
  <si>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</si>
  <si>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</si>
  <si>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</si>
  <si>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</si>
  <si>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</si>
  <si>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</si>
  <si>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</si>
  <si>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</si>
  <si>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</si>
  <si>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</si>
  <si>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</si>
  <si>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</si>
  <si>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</si>
  <si>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</si>
  <si>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</si>
  <si>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</si>
  <si>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</si>
  <si>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</si>
  <si>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</si>
  <si>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</si>
  <si>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</si>
  <si>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</si>
  <si>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</si>
  <si>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</si>
  <si>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</si>
  <si>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</si>
  <si>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</si>
  <si>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</si>
  <si>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</si>
  <si>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</si>
  <si>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</si>
  <si>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</si>
  <si>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</si>
  <si>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</si>
  <si>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</si>
  <si>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</si>
  <si>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</si>
  <si>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</si>
  <si>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</si>
  <si>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</si>
  <si>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12M</t>
  </si>
  <si>
    <t>○</t>
  </si>
  <si>
    <t>×</t>
  </si>
  <si>
    <t>PC1</t>
  </si>
  <si>
    <t>PC2</t>
  </si>
  <si>
    <t>PC3</t>
  </si>
  <si>
    <t>PC4</t>
  </si>
  <si>
    <t>PC5</t>
  </si>
  <si>
    <t>1Y</t>
  </si>
  <si>
    <t>2Y</t>
  </si>
  <si>
    <t>3Y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</si>
  <si>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</si>
  <si>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</si>
  <si>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</si>
  <si>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</si>
  <si>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</si>
  <si>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</si>
  <si>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</si>
  <si>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</si>
  <si>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</si>
  <si>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</si>
  <si>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</si>
  <si>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</si>
  <si>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</si>
  <si>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</si>
  <si>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</si>
  <si>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</si>
  <si>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</si>
  <si>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</si>
  <si>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</si>
  <si>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</si>
  <si>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</si>
  <si>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</si>
  <si>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</si>
  <si>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</si>
  <si>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</si>
  <si>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</si>
  <si>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</si>
  <si>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</si>
  <si>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</si>
  <si>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</si>
  <si>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</si>
  <si>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</si>
  <si>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</si>
  <si>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</si>
  <si>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</si>
  <si>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</si>
  <si>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</si>
  <si>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</si>
  <si>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</si>
  <si>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</si>
  <si>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</si>
  <si>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</si>
  <si>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</si>
  <si>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</si>
  <si>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</si>
  <si>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</si>
  <si>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</si>
  <si>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</si>
  <si>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</si>
  <si>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</si>
  <si>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</si>
  <si>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</si>
  <si>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</si>
  <si>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</si>
  <si>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</si>
  <si>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</si>
  <si>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</si>
  <si>
    <t>RD</t>
  </si>
  <si>
    <t>M9</t>
  </si>
  <si>
    <t>Live: reads the latest rates on every Shift+F9. Fixed: keeps the rates last read on this sheet (e.g. to price new rows on the same rates). Updated = when the rates last changed in LiveFeed.</t>
  </si>
  <si>
    <t>BOJ meeting swaps vs spot (1Y and under)</t>
  </si>
  <si>
    <t>O/N (%)</t>
  </si>
  <si>
    <t>A. Meeting-period forwards from the spot curve (same curve as pricing)</t>
  </si>
  <si>
    <t>B. Spot from the meeting-swap step curve (O/N + meeting swaps, standard convention, today only)</t>
  </si>
  <si>
    <t>Live rates (Ticker / Value / Start / End)</t>
  </si>
  <si>
    <t>Curve inputs (Flag / Ticker / Value / Start / End)</t>
  </si>
  <si>
    <t>Curve tenors (Flag: 1 or blank = use, 0 = exclude)</t>
  </si>
  <si>
    <t>Ticker</t>
  </si>
  <si>
    <t>Flag</t>
  </si>
  <si>
    <t>Notes</t>
  </si>
  <si>
    <t>- Meeting swaps: Tradition JPBOJ{n}ONI=TRDT. RD = spot date to meeting 1 decision date, M{n} = business day after meeting n to meeting n+1 decision date (dates are LSEG GV1_DATE/GV2_DATE).</t>
  </si>
  <si>
    <t>- A: par rate of each meeting period on the same curve as pricing (spot tenors + O/N), by BojSpotForwards.</t>
  </si>
  <si>
    <t>- B: step curve with a flat forward per meeting period from O/N + RD + M1-M9, and the par rates of 1W-12M on it, by BojImpliedRates.</t>
  </si>
  <si>
    <t xml:space="preserve">  The night from a decision date to the next business day uses the previous (pre-decision) forward. Nothing beyond the last meeting period.</t>
  </si>
  <si>
    <t>- Gap = quote - value from the other curve. Mid vs mid (bid/ask spread not considered).</t>
  </si>
  <si>
    <t>- Curve tenors and flags are in V:W. This sheet does not refer to any other workbook.</t>
  </si>
  <si>
    <t>Start</t>
  </si>
  <si>
    <t>End</t>
  </si>
  <si>
    <t>Days</t>
  </si>
  <si>
    <t>Meeting swap (%)</t>
  </si>
  <si>
    <t>Fwd from spot (%)</t>
  </si>
  <si>
    <t>Gap (bp) meeting - spot</t>
  </si>
  <si>
    <t>Change (bp)</t>
  </si>
  <si>
    <t>Tenor</t>
  </si>
  <si>
    <t>Spot (%)</t>
  </si>
  <si>
    <t>Par from meeting curve (%)</t>
  </si>
  <si>
    <t>Gap (bp) spot - meeting</t>
  </si>
  <si>
    <t>PCA Grid (swap): residual by k x case</t>
  </si>
  <si>
    <t>Tenors</t>
  </si>
  <si>
    <t>Use</t>
  </si>
  <si>
    <t>No</t>
  </si>
  <si>
    <t>Yes</t>
  </si>
  <si>
    <t>Case</t>
  </si>
  <si>
    <t>Window</t>
  </si>
  <si>
    <t>Mode</t>
  </si>
  <si>
    <t>Standardize</t>
  </si>
  <si>
    <t>Est. period</t>
  </si>
  <si>
    <t>Warning</t>
  </si>
  <si>
    <t>Case 1</t>
  </si>
  <si>
    <t>Level</t>
  </si>
  <si>
    <t>Case 2</t>
  </si>
  <si>
    <t>Case 3</t>
  </si>
  <si>
    <t>Change</t>
  </si>
  <si>
    <t>Case 4</t>
  </si>
  <si>
    <t>Case 5</t>
  </si>
  <si>
    <t>Case 6</t>
  </si>
  <si>
    <t>Case 7</t>
  </si>
  <si>
    <t>Case 8</t>
  </si>
  <si>
    <t>Case 9</t>
  </si>
  <si>
    <t>Case 10</t>
  </si>
  <si>
    <t>Calculation area (UDF outputs; do not edit)</t>
  </si>
  <si>
    <t>k</t>
  </si>
  <si>
    <t>Vectors</t>
  </si>
  <si>
    <t>Actual Level</t>
  </si>
  <si>
    <t>Actual Change</t>
  </si>
  <si>
    <t>Actual info (Change)</t>
  </si>
  <si>
    <t>PcaGrid (all cases)</t>
  </si>
  <si>
    <t>Actual</t>
  </si>
  <si>
    <t>Mean+1σ</t>
  </si>
  <si>
    <t>Mean-1σ</t>
  </si>
  <si>
    <t>+1σ (bp)</t>
  </si>
  <si>
    <t>-1σ (bp)</t>
  </si>
  <si>
    <t>Mean</t>
  </si>
  <si>
    <t>+1σ</t>
  </si>
  <si>
    <t>-1σ</t>
  </si>
  <si>
    <t>Resid σ days</t>
  </si>
  <si>
    <t>PcaGridResidStd (all cases, k by band)</t>
  </si>
  <si>
    <t>+1σ (bp) band 1</t>
    <phoneticPr fontId="2"/>
  </si>
  <si>
    <t>-1σ (bp) band 1</t>
    <phoneticPr fontId="2"/>
  </si>
  <si>
    <t>+1σ (bp) band 2</t>
  </si>
  <si>
    <t>-1σ (bp) band 2</t>
  </si>
  <si>
    <t>+1σ (bp) band 3</t>
  </si>
  <si>
    <t>-1σ (bp) band 3</t>
  </si>
  <si>
    <t>+1σ (bp) band 4</t>
  </si>
  <si>
    <t>-1σ (bp) band 4</t>
  </si>
  <si>
    <t>+1σ (bp) band 5</t>
  </si>
  <si>
    <t>-1σ (bp) band 5</t>
  </si>
  <si>
    <t>σ warning</t>
  </si>
  <si>
    <t>Estimation (principal components)</t>
    <phoneticPr fontId="2"/>
  </si>
  <si>
    <t>Window (bdays)</t>
    <phoneticPr fontId="2"/>
  </si>
  <si>
    <t>Mode</t>
    <phoneticPr fontId="2"/>
  </si>
  <si>
    <t>Standardize</t>
    <phoneticPr fontId="2"/>
  </si>
  <si>
    <t>k (components)</t>
    <phoneticPr fontId="2"/>
  </si>
  <si>
    <t>PCA (swap)</t>
    <phoneticPr fontId="2"/>
  </si>
  <si>
    <t>Calculation area (UDF outputs; do not edit)</t>
    <phoneticPr fontId="2"/>
  </si>
  <si>
    <t>Estimation window</t>
    <phoneticPr fontId="2"/>
  </si>
  <si>
    <t>Selected tenors</t>
    <phoneticPr fontId="2"/>
  </si>
  <si>
    <t>Mean (%) / Scale (σ if standardized, else 1) / Std / PC vectors</t>
    <phoneticPr fontId="2"/>
  </si>
  <si>
    <t>z = (actual − mean) / scale, score = V_kᵀz, recon = mean + scale·V_k·score, residual = actual − recon</t>
    <phoneticPr fontId="2"/>
  </si>
  <si>
    <t>In Change mode, actual / mean / recon are changes from the previous business day (%). Scores are in bp without standardization, unitless with it</t>
    <phoneticPr fontId="2"/>
  </si>
  <si>
    <t>Resid σ days</t>
    <phoneticPr fontId="2"/>
  </si>
  <si>
    <t>Tenors (○ = use in PCA; order = row order of the results)</t>
    <phoneticPr fontId="2"/>
  </si>
  <si>
    <t>Tenor</t>
    <phoneticPr fontId="2"/>
  </si>
  <si>
    <t>Use</t>
    <phoneticPr fontId="2"/>
  </si>
  <si>
    <t>Eigenvalues (bp² without standardization, unitless with it)</t>
    <phoneticPr fontId="2"/>
  </si>
  <si>
    <t>Reconstruction by tenor</t>
    <phoneticPr fontId="2"/>
  </si>
  <si>
    <t>Components</t>
    <phoneticPr fontId="2"/>
  </si>
  <si>
    <t>PC vectors (PC1-PC5)</t>
    <phoneticPr fontId="2"/>
  </si>
  <si>
    <t>Actual (%)</t>
    <phoneticPr fontId="2"/>
  </si>
  <si>
    <t>Mean (%)</t>
    <phoneticPr fontId="2"/>
  </si>
  <si>
    <t>Recon (%)</t>
    <phoneticPr fontId="2"/>
  </si>
  <si>
    <t>Residual (bp)</t>
    <phoneticPr fontId="2"/>
  </si>
  <si>
    <t>Deviation from mean (bp)</t>
    <phoneticPr fontId="2"/>
  </si>
  <si>
    <t>PC</t>
    <phoneticPr fontId="2"/>
  </si>
  <si>
    <t>Eigenvalue</t>
    <phoneticPr fontId="2"/>
  </si>
  <si>
    <t>Share</t>
    <phoneticPr fontId="2"/>
  </si>
  <si>
    <t>Cumulative</t>
    <phoneticPr fontId="2"/>
  </si>
  <si>
    <t>Score</t>
    <phoneticPr fontId="2"/>
  </si>
  <si>
    <t>Used in recon</t>
    <phoneticPr fontId="2"/>
  </si>
  <si>
    <t>Level</t>
    <phoneticPr fontId="2"/>
  </si>
  <si>
    <t>No</t>
    <phoneticPr fontId="2"/>
  </si>
  <si>
    <t>VolPCA (swaption ATM normal vol, bp)</t>
    <phoneticPr fontId="2"/>
  </si>
  <si>
    <t>Calculation area (UDF outputs and per-label calculations; do not edit)</t>
    <phoneticPr fontId="2"/>
  </si>
  <si>
    <t>By label (bp)</t>
    <phoneticPr fontId="2"/>
  </si>
  <si>
    <t>Mean (bp) / Scale / Std / PC vectors</t>
    <phoneticPr fontId="2"/>
  </si>
  <si>
    <t>Selected expiries</t>
    <phoneticPr fontId="2"/>
  </si>
  <si>
    <t>Labels</t>
    <phoneticPr fontId="2"/>
  </si>
  <si>
    <t>z = (actual − mean) / scale, score = V_kᵀz, recon = mean + scale·V_k·score, residual = actual − recon (bp)</t>
    <phoneticPr fontId="2"/>
  </si>
  <si>
    <t>In Change mode, actual and recon are changes from the previous business day (bp)</t>
    <phoneticPr fontId="2"/>
  </si>
  <si>
    <t>Label</t>
    <phoneticPr fontId="2"/>
  </si>
  <si>
    <t>Actual</t>
    <phoneticPr fontId="2"/>
  </si>
  <si>
    <t>Mean</t>
    <phoneticPr fontId="2"/>
  </si>
  <si>
    <t>Scale</t>
    <phoneticPr fontId="2"/>
  </si>
  <si>
    <t>Recon</t>
    <phoneticPr fontId="2"/>
  </si>
  <si>
    <t>Residual</t>
    <phoneticPr fontId="2"/>
  </si>
  <si>
    <t>Residual: actual − recon (bp)</t>
    <phoneticPr fontId="2"/>
  </si>
  <si>
    <t>Actual (bp)</t>
    <phoneticPr fontId="2"/>
  </si>
  <si>
    <t>Components (top 10)</t>
    <phoneticPr fontId="2"/>
  </si>
  <si>
    <t>Expiry \ Tenor</t>
    <phoneticPr fontId="2"/>
  </si>
  <si>
    <t>Labels = all points of the selected expiries × selected tenors (order = row/column order of the results)</t>
    <phoneticPr fontId="2"/>
  </si>
  <si>
    <t>Expiry</t>
    <phoneticPr fontId="2"/>
  </si>
  <si>
    <t>Recon (bp)</t>
    <phoneticPr fontId="2"/>
  </si>
  <si>
    <t>Mean (bp)</t>
    <phoneticPr fontId="2"/>
  </si>
  <si>
    <t>PC1 vector</t>
    <phoneticPr fontId="2"/>
  </si>
  <si>
    <t>PC2 vector</t>
    <phoneticPr fontId="2"/>
  </si>
  <si>
    <t>PC3 vector</t>
    <phoneticPr fontId="2"/>
  </si>
  <si>
    <t>Window end</t>
    <phoneticPr fontId="2"/>
  </si>
  <si>
    <t>Reconstruction</t>
    <phoneticPr fontId="2"/>
  </si>
  <si>
    <t>Recon date</t>
    <phoneticPr fontId="2"/>
  </si>
  <si>
    <t>Actual on recon date</t>
    <phoneticPr fontId="2"/>
  </si>
  <si>
    <t>Window end</t>
    <phoneticPr fontId="2"/>
  </si>
  <si>
    <t>Recon date</t>
  </si>
  <si>
    <t>Source</t>
  </si>
  <si>
    <t>FwdMonitor (JPY OIS forwards NyMy: live vs history)</t>
  </si>
  <si>
    <t>Settings</t>
  </si>
  <si>
    <t>Base date</t>
  </si>
  <si>
    <t>FIXED / ROLLING: trades of this date (blank = today)</t>
  </si>
  <si>
    <t>Compare date</t>
  </si>
  <si>
    <t>Strip and 'vs compare' column (nearest DB date on or before)</t>
  </si>
  <si>
    <t>Sigma window (bd)</t>
  </si>
  <si>
    <t>Chart from</t>
  </si>
  <si>
    <t>Start of the comparison chart (blank = all)</t>
  </si>
  <si>
    <t>Chart view</t>
  </si>
  <si>
    <t>Level / Change (change from the chart start)</t>
  </si>
  <si>
    <t>FwdHistory CMT (%, dF = same-trade daily change in bp)</t>
  </si>
  <si>
    <t>FwdHistory FIXED (%, dF = same-trade daily change in bp)</t>
  </si>
  <si>
    <t>FwdHistory ROLLING (%, dF = same-trade daily change in bp)</t>
  </si>
  <si>
    <t>Monitor (CMT: spot + N years, M years)</t>
  </si>
  <si>
    <t>Series</t>
  </si>
  <si>
    <t>Live (%)</t>
  </si>
  <si>
    <t>Close (%)</t>
  </si>
  <si>
    <t>Chg 1D (bp)</t>
  </si>
  <si>
    <t>Chg 1M (bp)</t>
  </si>
  <si>
    <t>Sigma (bp/day)</t>
  </si>
  <si>
    <t>Z (1D)</t>
  </si>
  <si>
    <t>Z (1W)</t>
  </si>
  <si>
    <t>1y1y</t>
  </si>
  <si>
    <t>2y1y</t>
  </si>
  <si>
    <t>3y1y</t>
  </si>
  <si>
    <t>4y1y</t>
  </si>
  <si>
    <t>5y1y</t>
  </si>
  <si>
    <t>6y1y</t>
  </si>
  <si>
    <t>7y1y</t>
  </si>
  <si>
    <t>8y1y</t>
  </si>
  <si>
    <t>9y1y</t>
  </si>
  <si>
    <t>10y1y</t>
  </si>
  <si>
    <t>11y1y</t>
  </si>
  <si>
    <t>15y1y</t>
  </si>
  <si>
    <t>20y1y</t>
  </si>
  <si>
    <t>25y1y</t>
  </si>
  <si>
    <t>30y1y</t>
  </si>
  <si>
    <t>35y1y</t>
  </si>
  <si>
    <t>5y5y</t>
  </si>
  <si>
    <t>10y5y</t>
  </si>
  <si>
    <t>15y5y</t>
  </si>
  <si>
    <t>20y5y</t>
  </si>
  <si>
    <t>25y5y</t>
  </si>
  <si>
    <t>30y5y</t>
  </si>
  <si>
    <t>35y5y</t>
  </si>
  <si>
    <t>Comparison (1 leg = forward, 2 legs = curve, 3 legs = fly; weights in bp, e.g. -1/+1, -1/+2/-1)</t>
  </si>
  <si>
    <t>Show</t>
  </si>
  <si>
    <t>Name</t>
  </si>
  <si>
    <t>Leg1</t>
  </si>
  <si>
    <t>w1</t>
  </si>
  <si>
    <t>Leg2</t>
  </si>
  <si>
    <t>w2</t>
  </si>
  <si>
    <t>Leg3</t>
  </si>
  <si>
    <t>w3</t>
  </si>
  <si>
    <t>Live (bp)</t>
  </si>
  <si>
    <t>CMT</t>
  </si>
  <si>
    <t>FIXED</t>
  </si>
  <si>
    <t>Show: the first 4 rows with Show = Yes go to the chart. Mode per row: CMT = spot + N years, FIXED = trade dates of the base date fixed, ROLLING = business-day offsets of the base date kept.</t>
  </si>
  <si>
    <t>Strip Nx1Y</t>
  </si>
  <si>
    <t>N (y)</t>
  </si>
  <si>
    <t>Chg (bp)</t>
  </si>
  <si>
    <t>Strip Nx5Y</t>
  </si>
  <si>
    <t>Comparison chart (first 4 rows with Show = Yes)</t>
  </si>
  <si>
    <t>Live (FwdLive on the labels without the blank row)</t>
  </si>
  <si>
    <t>FutBasis (JGB 10y futures: CTD basis, front-month history, contract overlay)</t>
  </si>
  <si>
    <t>History is from the DB (morning batch: futures settles, 10y JGB closes, TONA). Basis in sen per 100 yen face (UDF returns yen; x100 here). CTD = smallest net basis.</t>
  </si>
  <si>
    <t>Contract</t>
  </si>
  <si>
    <t>2026-12</t>
  </si>
  <si>
    <t>Contract for the basis table (e.g. 2026-12 or JGBZ6)</t>
  </si>
  <si>
    <t>Basis table date (blank = last DB date)</t>
  </si>
  <si>
    <t>Futures price</t>
  </si>
  <si>
    <t>Blank = DB settle of that date (live: e.g. =RtGet("IDN","JGBZ6","CF_LAST"))</t>
  </si>
  <si>
    <t>Repo (%)</t>
  </si>
  <si>
    <t>Blank = TONA on or before the date</t>
  </si>
  <si>
    <t>Start of the history charts (blank = all)</t>
  </si>
  <si>
    <t>Overlay field</t>
  </si>
  <si>
    <t>NET</t>
  </si>
  <si>
    <t>NET / GROSS / CARRY (sen) / IRR (%)</t>
  </si>
  <si>
    <t>Overlay contracts</t>
  </si>
  <si>
    <t>2025-09</t>
  </si>
  <si>
    <t>2025-12</t>
  </si>
  <si>
    <t>2026-03</t>
  </si>
  <si>
    <t>2026-06</t>
  </si>
  <si>
    <t>2026-09</t>
  </si>
  <si>
    <t>FutHistory (front month; basis in yen)</t>
  </si>
  <si>
    <t>Derived (sen; dX used = manual adjustment if given, else automatic)</t>
  </si>
  <si>
    <t>dSettle used</t>
  </si>
  <si>
    <t>Settle adj</t>
  </si>
  <si>
    <t>Net (sen)</t>
  </si>
  <si>
    <t>dNet used (sen)</t>
  </si>
  <si>
    <t>Net adj (sen)</t>
  </si>
  <si>
    <t>History charts (from Chart from)</t>
  </si>
  <si>
    <t>Settle</t>
  </si>
  <si>
    <t>FutOverlay (CTD by business days to the last trading day)</t>
  </si>
  <si>
    <t>Overlay chart (sen, IRR in %)</t>
  </si>
  <si>
    <t>BD</t>
  </si>
  <si>
    <t>Basis table (yen; sen columns on the right). CTD row is highlighted.</t>
  </si>
  <si>
    <t>Gross (sen)</t>
  </si>
  <si>
    <t>Carry (sen)</t>
  </si>
  <si>
    <t>Repo steps (auto, from TONA)</t>
  </si>
  <si>
    <t>Repo steps (manual)</t>
  </si>
  <si>
    <t>If any row is filled, only this table is used</t>
  </si>
  <si>
    <t>Rate (%)</t>
  </si>
  <si>
    <t>Yield overrides</t>
  </si>
  <si>
    <t>For the basis table only</t>
  </si>
  <si>
    <t>Code</t>
  </si>
  <si>
    <t>Yield (%)</t>
  </si>
  <si>
    <t>Step adjustments (history)</t>
  </si>
  <si>
    <t>Replaces the automatic daily change on that date</t>
  </si>
  <si>
    <t>dSettle</t>
  </si>
  <si>
    <t>dNet (sen)</t>
  </si>
  <si>
    <t>1M</t>
    <phoneticPr fontId="2"/>
  </si>
  <si>
    <t>○</t>
    <phoneticPr fontId="2"/>
  </si>
  <si>
    <t>3M</t>
    <phoneticPr fontId="2"/>
  </si>
  <si>
    <t>6M</t>
    <phoneticPr fontId="2"/>
  </si>
  <si>
    <t>9M</t>
    <phoneticPr fontId="2"/>
  </si>
  <si>
    <t>1Y</t>
    <phoneticPr fontId="2"/>
  </si>
  <si>
    <t>2Y</t>
    <phoneticPr fontId="2"/>
  </si>
  <si>
    <t>3Y</t>
    <phoneticPr fontId="2"/>
  </si>
  <si>
    <t>4Y</t>
    <phoneticPr fontId="2"/>
  </si>
  <si>
    <t>5Y</t>
    <phoneticPr fontId="2"/>
  </si>
  <si>
    <t>7Y</t>
    <phoneticPr fontId="2"/>
  </si>
  <si>
    <t>10Y</t>
    <phoneticPr fontId="2"/>
  </si>
  <si>
    <t>15Y</t>
    <phoneticPr fontId="2"/>
  </si>
  <si>
    <t>20Y</t>
    <phoneticPr fontId="2"/>
  </si>
  <si>
    <t>Guide tenors</t>
  </si>
  <si>
    <t>Guide</t>
  </si>
  <si>
    <t>Vol upd.</t>
  </si>
  <si>
    <t>Swap upd.</t>
  </si>
  <si>
    <t>Live: reads the latest vols and swap rates on every Shift+F9. Fixed: keeps the values last read on this sheet. History is from the DB (morning batch).</t>
  </si>
  <si>
    <t>VolLevel (normal vol vs forward rate: rich / cheap)</t>
  </si>
  <si>
    <t>Pair 1</t>
  </si>
  <si>
    <t>Pair 2</t>
  </si>
  <si>
    <t>5Yx10Y</t>
  </si>
  <si>
    <t>Pair 3</t>
  </si>
  <si>
    <t>10Yx10Y</t>
  </si>
  <si>
    <t>Recent days (bd)</t>
  </si>
  <si>
    <t>VolHistory (pairs: Date / IV / Fwd / dF)</t>
  </si>
  <si>
    <t>Live Fwd (%)</t>
  </si>
  <si>
    <t>Live Fwd</t>
  </si>
  <si>
    <t>Pairs (From onward, days with IV): Date / Fwd / IV / Residual / IV older / IV recent</t>
  </si>
  <si>
    <t>P1 Date</t>
  </si>
  <si>
    <t>P1 Fwd</t>
  </si>
  <si>
    <t>P1 IV</t>
  </si>
  <si>
    <t>P1 Resid</t>
  </si>
  <si>
    <t>P1 Hist</t>
  </si>
  <si>
    <t>P1 Recent</t>
  </si>
  <si>
    <t>P2 Date</t>
  </si>
  <si>
    <t>P2 Fwd</t>
  </si>
  <si>
    <t>P2 IV</t>
  </si>
  <si>
    <t>P2 Resid</t>
  </si>
  <si>
    <t>P2 Hist</t>
  </si>
  <si>
    <t>P2 Recent</t>
  </si>
  <si>
    <t>P3 Date</t>
  </si>
  <si>
    <t>P3 Fwd</t>
  </si>
  <si>
    <t>P3 IV</t>
  </si>
  <si>
    <t>P3 Resid</t>
  </si>
  <si>
    <t>P3 Hist</t>
  </si>
  <si>
    <t>P3 Recent</t>
  </si>
  <si>
    <t>Pair</t>
  </si>
  <si>
    <t>Fwd (DB, %)</t>
  </si>
  <si>
    <t>Residual (DB)</t>
  </si>
  <si>
    <t>Z (DB)</t>
  </si>
  <si>
    <t>Fwd (Live, %)</t>
  </si>
  <si>
    <t>Fit IV (Live)</t>
  </si>
  <si>
    <t>Residual (Live)</t>
  </si>
  <si>
    <t>Z (Live)</t>
  </si>
  <si>
    <t>Pctl of residual (Live)</t>
  </si>
  <si>
    <t>Slope (vol per 1% fwd)</t>
  </si>
  <si>
    <t>Intercept</t>
  </si>
  <si>
    <t>R2</t>
  </si>
  <si>
    <t>Residual stdev</t>
  </si>
  <si>
    <t>Obs</t>
  </si>
  <si>
    <t>Fit: IV = Intercept + Slope x Fwd (least squares, From to the latest DB date). Residual = IV - fit: + = rich, - = cheap. Z = residual / residual stdev.</t>
  </si>
  <si>
    <t>Fwd = the option's underlying forward swap (start = spot + expiry), same contract as VolHV.</t>
  </si>
  <si>
    <t>Chart points per pair</t>
  </si>
  <si>
    <t>Live IV</t>
  </si>
  <si>
    <t>DB Fwd</t>
  </si>
  <si>
    <t>DB IV</t>
  </si>
  <si>
    <t>Fit x1</t>
  </si>
  <si>
    <t>Fit x2</t>
  </si>
  <si>
    <t>Fit y1</t>
  </si>
  <si>
    <t>Fit y2</t>
  </si>
  <si>
    <t>Rich / cheap map (each option vs its own fit)</t>
  </si>
  <si>
    <t>Grid value</t>
  </si>
  <si>
    <t>Z</t>
  </si>
  <si>
    <t>Grid point</t>
  </si>
  <si>
    <t>Z = residual / stdev, Residual = vol bp, Pctl = share of past residuals at or below</t>
  </si>
  <si>
    <t>Live = live IV and Fwd, DB = latest DB date</t>
  </si>
  <si>
    <t>Expiry \ Tenor</t>
  </si>
  <si>
    <t>Map options</t>
  </si>
  <si>
    <t>VolHistory (map options)</t>
  </si>
  <si>
    <t>Red = rich (vol above its fit against the forward), blue = cheap. Up to 8 expiries x 8 tenors; the first calculation after the morning batch takes about 10-30 s.</t>
  </si>
  <si>
    <t>5Yx5Y</t>
    <phoneticPr fontId="12"/>
  </si>
  <si>
    <t>Chg 1W (bp)</t>
    <phoneticPr fontId="12"/>
  </si>
  <si>
    <t>Chg 1M (bp)</t>
    <phoneticPr fontId="12"/>
  </si>
  <si>
    <t>vs compare (bp)</t>
    <phoneticPr fontId="12"/>
  </si>
  <si>
    <t>Curve vs prev (bp)</t>
    <phoneticPr fontId="12"/>
  </si>
  <si>
    <t>Z window (bd)</t>
  </si>
  <si>
    <t>Daily change (bp): today = live - last close, then close - previous close (newest first)</t>
  </si>
  <si>
    <t>Live: reads the latest rates on every Shift+F9. Fixed: keeps the rates last read on this sheet. History is from the DB (morning batch); 'Live (%)' and today's change use the live curve.</t>
    <phoneticPr fontId="12"/>
  </si>
  <si>
    <t>Chg = live - DB close (same tenor definition, includes roll-down). Z 1D = today's change / sigma; sigma = RMS of same-trade daily changes over the window in row 10 (H10:J10).</t>
    <phoneticPr fontId="12"/>
  </si>
  <si>
    <t>Business days for the sigma of the comparison table's Z-scores</t>
    <phoneticPr fontId="1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</si>
</sst>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  <numFmt numFmtId="183" formatCode="yyyy/mm/dd"/>
    <numFmt numFmtId="184" formatCode="\+0.0;\-0.0;0.0"/>
    <numFmt numFmtId="185" formatCode="\+0.00;\-0.00;0.00"/>
    <numFmt numFmtId="186" formatCode="0.000000"/>
    <numFmt numFmtId="187" formatCode="hh:mm:ss"/>
    <numFmt numFmtId="191" formatCode="m/d"/>
  </numFmts>
  <fonts count="13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4"/>
      <color theme="1"/>
      <name val="Noto Sans JP"/>
      <family val="3"/>
      <charset val="128"/>
    </font>
    <font>
      <b/>
      <sz val="11"/>
      <color theme="1"/>
      <name val="Noto Sans JP"/>
      <family val="3"/>
      <charset val="128"/>
    </font>
    <font>
      <sz val="11"/>
      <color rgb="FFC00000"/>
      <name val="Noto Sans JP"/>
      <family val="3"/>
      <charset val="128"/>
    </font>
    <font>
      <sz val="11"/>
      <color rgb="FF595959"/>
      <name val="Noto Sans JP"/>
      <family val="3"/>
      <charset val="128"/>
    </font>
    <font>
      <b/>
      <sz val="12"/>
      <color theme="1"/>
      <name val="Noto Sans JP"/>
      <family val="3"/>
      <charset val="128"/>
    </font>
    <font>
      <i/>
      <sz val="11"/>
      <color theme="1"/>
      <name val="Noto Sans JP"/>
      <family val="3"/>
      <charset val="128"/>
    </font>
    <font>
      <sz val="6"/>
      <name val="游ゴシック"/>
      <family val="3"/>
      <charset val="128"/>
      <scheme val="minor"/>
    </font>
    <font>
      <sz val="12"/>
      <color rgb="FF595959"/>
      <name val="Noto Sans JP"/>
      <family val="3"/>
      <charset val="128"/>
    </font>
    <font>
      <b/>
      <sz val="13"/>
      <color theme="1"/>
      <name val="Noto Sans JP"/>
      <family val="3"/>
      <charset val="128"/>
    </font>
    <font>
      <sz val="6"/>
      <name val="Noto Sans JP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63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  <xf numFmtId="0" fontId="7" fillId="4" borderId="0" xfId="0" applyFont="1" applyFill="1" applyAlignment="1"/>
    <xf numFmtId="0" fontId="0" fillId="5" borderId="1" xfId="0" applyFill="1" applyBorder="1" applyAlignment="1">
      <alignment horizontal="center"/>
    </xf>
    <xf numFmtId="181" fontId="0" fillId="0" borderId="0" xfId="0" applyNumberFormat="1" applyAlignment="1"/>
    <xf numFmtId="0" fontId="10" fillId="0" borderId="0" xfId="0" applyFont="1" applyAlignment="1"/>
    <xf numFmtId="0" fontId="0" fillId="0" borderId="0" xfId="0" applyAlignment="1"/>
    <xf numFmtId="0" fontId="11" fillId="0" borderId="0" xfId="0" applyFont="1" applyAlignment="1"/>
    <xf numFmtId="183" fontId="0" fillId="0" borderId="0" xfId="0" applyNumberFormat="1" applyAlignment="1"/>
    <xf numFmtId="177" fontId="0" fillId="0" borderId="0" xfId="0" applyNumberFormat="1" applyAlignment="1"/>
    <xf numFmtId="0" fontId="7" fillId="0" borderId="0" xfId="0" applyFont="1" applyAlignment="1"/>
    <xf numFmtId="0" fontId="7" fillId="6" borderId="0" xfId="0" applyFont="1" applyFill="1" applyAlignment="1">
      <alignment wrapText="1"/>
    </xf>
    <xf numFmtId="2" fontId="0" fillId="0" borderId="0" xfId="0" applyNumberFormat="1" applyAlignment="1"/>
    <xf numFmtId="0" fontId="0" fillId="5" borderId="0" xfId="0" applyFill="1">
      <alignment vertical="center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86" fontId="0" fillId="0" borderId="0" xfId="0" applyNumberFormat="1">
      <alignment vertical="center"/>
    </xf>
    <xf numFmtId="176" fontId="0" fillId="3" borderId="0" xfId="0" applyNumberFormat="1" applyFill="1" applyAlignment="1">
      <alignment horizontal="center" vertical="center"/>
    </xf>
    <xf numFmtId="187" fontId="0" fillId="0" borderId="0" xfId="0" applyNumberFormat="1">
      <alignment vertical="center"/>
    </xf>
    <xf numFmtId="0" fontId="4" fillId="0" borderId="2" xfId="0" applyFont="1" applyBorder="1" applyAlignment="1">
      <alignment horizontal="center" vertical="center"/>
    </xf>
    <xf numFmtId="176" fontId="0" fillId="0" borderId="2" xfId="0" applyNumberFormat="1" applyBorder="1">
      <alignment vertical="center"/>
    </xf>
    <xf numFmtId="180" fontId="0" fillId="0" borderId="2" xfId="0" applyNumberFormat="1" applyBorder="1">
      <alignment vertical="center"/>
    </xf>
    <xf numFmtId="179" fontId="0" fillId="0" borderId="2" xfId="0" applyNumberFormat="1" applyBorder="1">
      <alignment vertical="center"/>
    </xf>
    <xf numFmtId="2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1" fontId="0" fillId="0" borderId="2" xfId="0" applyNumberFormat="1" applyBorder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1" fontId="0" fillId="3" borderId="0" xfId="0" applyNumberFormat="1" applyFill="1">
      <alignment vertical="center"/>
    </xf>
    <xf numFmtId="191" fontId="4" fillId="0" borderId="0" xfId="0" applyNumberFormat="1" applyFont="1" applyAlignment="1">
      <alignment horizontal="center" vertical="center"/>
    </xf>
  </cellXfs>
  <cellStyles count="2">
    <cellStyle name="標準" xfId="0" builtinId="0"/>
    <cellStyle name="標準 2" xfId="1" xr:uid="{5EE0B673-BC4E-4A3E-BA55-CCC089A2E0BD}"/>
  </cellStyles>
  <dxfs count="1">
    <dxf>
      <font>
        <b/>
        <i val="0"/>
      </font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Actual / Mean / Recon 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Mean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Recon (k)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ser>
          <c:idx val="3"/>
          <c:order val="3"/>
          <c:tx>
            <c:v>+1σ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[0]!PCA_Up</c:f>
            </c:numRef>
          </c:val>
          <c:smooth val="0"/>
          <c:extLst>
            <c:ext xmlns:c16="http://schemas.microsoft.com/office/drawing/2014/chart" uri="{C3380CC4-5D6E-409C-BE32-E72D297353CC}">
              <c16:uniqueId val="{00000000-C15E-48A0-B9C1-7AD3135CC1F8}"/>
            </c:ext>
          </c:extLst>
        </c:ser>
        <c:ser>
          <c:idx val="4"/>
          <c:order val="4"/>
          <c:tx>
            <c:v>-1σ</c:v>
          </c:tx>
          <c:spPr>
            <a:ln w="12700">
              <a:solidFill>
                <a:srgbClr val="E97132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[0]!PCA_Dn</c:f>
            </c:numRef>
          </c:val>
          <c:smooth val="0"/>
          <c:extLst>
            <c:ext xmlns:c16="http://schemas.microsoft.com/office/drawing/2014/chart" uri="{C3380CC4-5D6E-409C-BE32-E72D297353CC}">
              <c16:uniqueId val="{00000001-C15E-48A0-B9C1-7AD3135CC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Residual: actual − recon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[0]!PCA_SUp</c:f>
            </c:numRef>
          </c:val>
          <c:smooth val="0"/>
          <c:extLst>
            <c:ext xmlns:c16="http://schemas.microsoft.com/office/drawing/2014/chart" uri="{C3380CC4-5D6E-409C-BE32-E72D297353CC}">
              <c16:uniqueId val="{00000000-8EA0-49AD-956B-129F5A683422}"/>
            </c:ext>
          </c:extLst>
        </c:ser>
        <c:ser>
          <c:idx val="2"/>
          <c:order val="2"/>
          <c:tx>
            <c:v>-1σ</c:v>
          </c:tx>
          <c:spPr>
            <a:ln w="12700">
              <a:solidFill>
                <a:srgbClr val="808080"/>
              </a:solidFill>
              <a:prstDash val="dash"/>
            </a:ln>
          </c:spPr>
          <c:marker>
            <c:symbol val="none"/>
          </c:marker>
          <c:cat>
            <c:strRef>
              <c:f>[0]!PCA_Tenor</c:f>
            </c:strRef>
          </c:cat>
          <c:val>
            <c:numRef>
              <c:f>[0]!PCA_SDn</c:f>
            </c:numRef>
          </c:val>
          <c:smooth val="0"/>
          <c:extLst>
            <c:ext xmlns:c16="http://schemas.microsoft.com/office/drawing/2014/chart" uri="{C3380CC4-5D6E-409C-BE32-E72D297353CC}">
              <c16:uniqueId val="{00000001-8EA0-49AD-956B-129F5A683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61375"/>
        <c:axId val="1186051295"/>
      </c:line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PC vectors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E0D-4CA1-8BFD-42022E74C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4064"/>
        <c:axId val="789415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[0]!PCG_SUp1_1</c:f>
            </c:numRef>
          </c:val>
          <c:smooth val="0"/>
          <c:extLst>
            <c:ext xmlns:c16="http://schemas.microsoft.com/office/drawing/2014/chart" uri="{C3380CC4-5D6E-409C-BE32-E72D297353CC}">
              <c16:uniqueId val="{00000000-9973-4EEC-AD53-34C1AC89BBB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973-4EEC-AD53-34C1AC89B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4064"/>
        <c:axId val="789415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D0B-4441-9624-8E88EADD5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6191"/>
        <c:axId val="368415711"/>
      </c:lineChart>
      <c:catAx>
        <c:axId val="78941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5504"/>
        <c:crosses val="autoZero"/>
        <c:auto val="1"/>
        <c:lblAlgn val="ctr"/>
        <c:lblOffset val="100"/>
        <c:noMultiLvlLbl val="0"/>
      </c:catAx>
      <c:valAx>
        <c:axId val="78941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4064"/>
        <c:crosses val="autoZero"/>
        <c:crossBetween val="between"/>
      </c:valAx>
      <c:valAx>
        <c:axId val="36841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6191"/>
        <c:crosses val="max"/>
        <c:crossBetween val="between"/>
      </c:valAx>
      <c:catAx>
        <c:axId val="368416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1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C3C-471D-84AD-FF5320CE4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8384"/>
        <c:axId val="789413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[0]!PCG_SUp1_2</c:f>
            </c:numRef>
          </c:val>
          <c:smooth val="0"/>
          <c:extLst>
            <c:ext xmlns:c16="http://schemas.microsoft.com/office/drawing/2014/chart" uri="{C3380CC4-5D6E-409C-BE32-E72D297353CC}">
              <c16:uniqueId val="{00000000-B1AC-4AC8-9D78-643BBF5C199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[0]!PCG_SDn1_2</c:f>
            </c:numRef>
          </c:val>
          <c:smooth val="0"/>
          <c:extLst>
            <c:ext xmlns:c16="http://schemas.microsoft.com/office/drawing/2014/chart" uri="{C3380CC4-5D6E-409C-BE32-E72D297353CC}">
              <c16:uniqueId val="{00000001-B1AC-4AC8-9D78-643BBF5C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8384"/>
        <c:axId val="789413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C83-4EFF-A24D-2F251C16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3951"/>
        <c:axId val="368432991"/>
      </c:lineChart>
      <c:catAx>
        <c:axId val="78941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3584"/>
        <c:crosses val="autoZero"/>
        <c:auto val="1"/>
        <c:lblAlgn val="ctr"/>
        <c:lblOffset val="100"/>
        <c:noMultiLvlLbl val="0"/>
      </c:catAx>
      <c:valAx>
        <c:axId val="78941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8384"/>
        <c:crosses val="autoZero"/>
        <c:crossBetween val="between"/>
      </c:valAx>
      <c:valAx>
        <c:axId val="36843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3951"/>
        <c:crosses val="max"/>
        <c:crossBetween val="between"/>
      </c:valAx>
      <c:catAx>
        <c:axId val="368433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32C-44A7-BD06-24AF17E0C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2224"/>
        <c:axId val="7894059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[0]!PCG_SUp1_3</c:f>
            </c:numRef>
          </c:val>
          <c:smooth val="0"/>
          <c:extLst>
            <c:ext xmlns:c16="http://schemas.microsoft.com/office/drawing/2014/chart" uri="{C3380CC4-5D6E-409C-BE32-E72D297353CC}">
              <c16:uniqueId val="{00000000-8C52-41D0-890E-2396A4C5DB7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[0]!PCG_SDn1_3</c:f>
            </c:numRef>
          </c:val>
          <c:smooth val="0"/>
          <c:extLst>
            <c:ext xmlns:c16="http://schemas.microsoft.com/office/drawing/2014/chart" uri="{C3380CC4-5D6E-409C-BE32-E72D297353CC}">
              <c16:uniqueId val="{00000001-8C52-41D0-890E-2396A4C5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2224"/>
        <c:axId val="7894059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00B-46E3-88C5-B4EECEFC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20031"/>
        <c:axId val="368433471"/>
      </c:lineChart>
      <c:catAx>
        <c:axId val="78942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904"/>
        <c:crosses val="autoZero"/>
        <c:auto val="1"/>
        <c:lblAlgn val="ctr"/>
        <c:lblOffset val="100"/>
        <c:noMultiLvlLbl val="0"/>
      </c:catAx>
      <c:valAx>
        <c:axId val="78940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224"/>
        <c:crosses val="autoZero"/>
        <c:crossBetween val="between"/>
      </c:valAx>
      <c:valAx>
        <c:axId val="368433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20031"/>
        <c:crosses val="max"/>
        <c:crossBetween val="between"/>
      </c:valAx>
      <c:catAx>
        <c:axId val="368420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3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265-4A93-950C-5E7FF7B56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7344"/>
        <c:axId val="7894107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[0]!PCG_SUp1_4</c:f>
            </c:numRef>
          </c:val>
          <c:smooth val="0"/>
          <c:extLst>
            <c:ext xmlns:c16="http://schemas.microsoft.com/office/drawing/2014/chart" uri="{C3380CC4-5D6E-409C-BE32-E72D297353CC}">
              <c16:uniqueId val="{00000000-46C9-468B-8617-71E9CAE1F75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[0]!PCG_SDn1_4</c:f>
            </c:numRef>
          </c:val>
          <c:smooth val="0"/>
          <c:extLst>
            <c:ext xmlns:c16="http://schemas.microsoft.com/office/drawing/2014/chart" uri="{C3380CC4-5D6E-409C-BE32-E72D297353CC}">
              <c16:uniqueId val="{00000001-46C9-468B-8617-71E9CAE1F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7344"/>
        <c:axId val="7894107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C6E-4AF6-B453-EE5FC7456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19071"/>
        <c:axId val="368434911"/>
      </c:lineChart>
      <c:catAx>
        <c:axId val="789407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0704"/>
        <c:crosses val="autoZero"/>
        <c:auto val="1"/>
        <c:lblAlgn val="ctr"/>
        <c:lblOffset val="100"/>
        <c:noMultiLvlLbl val="0"/>
      </c:catAx>
      <c:valAx>
        <c:axId val="789410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7344"/>
        <c:crosses val="autoZero"/>
        <c:crossBetween val="between"/>
      </c:valAx>
      <c:valAx>
        <c:axId val="36843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19071"/>
        <c:crosses val="max"/>
        <c:crossBetween val="between"/>
      </c:valAx>
      <c:catAx>
        <c:axId val="36841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71B-4885-8360-0FC9C669E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12144"/>
        <c:axId val="789412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[0]!PCG_SUp1_5</c:f>
            </c:numRef>
          </c:val>
          <c:smooth val="0"/>
          <c:extLst>
            <c:ext xmlns:c16="http://schemas.microsoft.com/office/drawing/2014/chart" uri="{C3380CC4-5D6E-409C-BE32-E72D297353CC}">
              <c16:uniqueId val="{00000000-25FD-467D-992E-7A564CF4E20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[0]!PCG_SDn1_5</c:f>
            </c:numRef>
          </c:val>
          <c:smooth val="0"/>
          <c:extLst>
            <c:ext xmlns:c16="http://schemas.microsoft.com/office/drawing/2014/chart" uri="{C3380CC4-5D6E-409C-BE32-E72D297353CC}">
              <c16:uniqueId val="{00000001-25FD-467D-992E-7A564CF4E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2144"/>
        <c:axId val="789412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FD1-476B-9F25-E9292B70E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6351"/>
        <c:axId val="368435391"/>
      </c:lineChart>
      <c:catAx>
        <c:axId val="78941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624"/>
        <c:crosses val="autoZero"/>
        <c:auto val="1"/>
        <c:lblAlgn val="ctr"/>
        <c:lblOffset val="100"/>
        <c:noMultiLvlLbl val="0"/>
      </c:catAx>
      <c:valAx>
        <c:axId val="78941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2144"/>
        <c:crosses val="autoZero"/>
        <c:crossBetween val="between"/>
      </c:valAx>
      <c:valAx>
        <c:axId val="368435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6351"/>
        <c:crosses val="max"/>
        <c:crossBetween val="between"/>
      </c:valAx>
      <c:catAx>
        <c:axId val="368436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5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[0]!PCG_V1_1</c:f>
            </c:numRef>
          </c:val>
          <c:smooth val="0"/>
          <c:extLst>
            <c:ext xmlns:c16="http://schemas.microsoft.com/office/drawing/2014/chart" uri="{C3380CC4-5D6E-409C-BE32-E72D297353CC}">
              <c16:uniqueId val="{00000001-989B-42B7-8AF4-430FB93667FF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[0]!PCG_V1_2</c:f>
            </c:numRef>
          </c:val>
          <c:smooth val="0"/>
          <c:extLst>
            <c:ext xmlns:c16="http://schemas.microsoft.com/office/drawing/2014/chart" uri="{C3380CC4-5D6E-409C-BE32-E72D297353CC}">
              <c16:uniqueId val="{00000002-989B-42B7-8AF4-430FB93667FF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[0]!PCG_V1_3</c:f>
            </c:numRef>
          </c:val>
          <c:smooth val="0"/>
          <c:extLst>
            <c:ext xmlns:c16="http://schemas.microsoft.com/office/drawing/2014/chart" uri="{C3380CC4-5D6E-409C-BE32-E72D297353CC}">
              <c16:uniqueId val="{00000003-989B-42B7-8AF4-430FB93667FF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[0]!PCG_V1_4</c:f>
            </c:numRef>
          </c:val>
          <c:smooth val="0"/>
          <c:extLst>
            <c:ext xmlns:c16="http://schemas.microsoft.com/office/drawing/2014/chart" uri="{C3380CC4-5D6E-409C-BE32-E72D297353CC}">
              <c16:uniqueId val="{00000004-989B-42B7-8AF4-430FB93667FF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[0]!PCG_V1_5</c:f>
            </c:numRef>
          </c:val>
          <c:smooth val="0"/>
          <c:extLst>
            <c:ext xmlns:c16="http://schemas.microsoft.com/office/drawing/2014/chart" uri="{C3380CC4-5D6E-409C-BE32-E72D297353CC}">
              <c16:uniqueId val="{00000005-989B-42B7-8AF4-430FB9366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19344"/>
        <c:axId val="789422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882-4DC9-923D-AC43F6CB1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1631"/>
        <c:axId val="368436831"/>
      </c:lineChart>
      <c:catAx>
        <c:axId val="78941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2704"/>
        <c:crosses val="autoZero"/>
        <c:auto val="1"/>
        <c:lblAlgn val="ctr"/>
        <c:lblOffset val="100"/>
        <c:noMultiLvlLbl val="0"/>
      </c:catAx>
      <c:valAx>
        <c:axId val="7894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19344"/>
        <c:crosses val="autoZero"/>
        <c:crossBetween val="between"/>
      </c:valAx>
      <c:valAx>
        <c:axId val="36843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1631"/>
        <c:crosses val="max"/>
        <c:crossBetween val="between"/>
      </c:valAx>
      <c:catAx>
        <c:axId val="36844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14F-4504-A0D8-204BEF39C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6144"/>
        <c:axId val="7894241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[0]!PCG_SUp2_1</c:f>
            </c:numRef>
          </c:val>
          <c:smooth val="0"/>
          <c:extLst>
            <c:ext xmlns:c16="http://schemas.microsoft.com/office/drawing/2014/chart" uri="{C3380CC4-5D6E-409C-BE32-E72D297353CC}">
              <c16:uniqueId val="{00000000-22DE-44B5-B3E2-124BBBD5786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[0]!PCG_SDn2_1</c:f>
            </c:numRef>
          </c:val>
          <c:smooth val="0"/>
          <c:extLst>
            <c:ext xmlns:c16="http://schemas.microsoft.com/office/drawing/2014/chart" uri="{C3380CC4-5D6E-409C-BE32-E72D297353CC}">
              <c16:uniqueId val="{00000001-22DE-44B5-B3E2-124BBBD57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6144"/>
        <c:axId val="7894241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935-4977-8E0F-F90222612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111"/>
        <c:axId val="368438751"/>
      </c:lineChart>
      <c:catAx>
        <c:axId val="7894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144"/>
        <c:crosses val="autoZero"/>
        <c:auto val="1"/>
        <c:lblAlgn val="ctr"/>
        <c:lblOffset val="100"/>
        <c:noMultiLvlLbl val="0"/>
      </c:catAx>
      <c:valAx>
        <c:axId val="78942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6144"/>
        <c:crosses val="autoZero"/>
        <c:crossBetween val="between"/>
      </c:valAx>
      <c:valAx>
        <c:axId val="368438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111"/>
        <c:crosses val="max"/>
        <c:crossBetween val="between"/>
      </c:valAx>
      <c:catAx>
        <c:axId val="368442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8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A66-428C-A7D6-52060F85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1344"/>
        <c:axId val="789424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[0]!PCG_SUp2_2</c:f>
            </c:numRef>
          </c:val>
          <c:smooth val="0"/>
          <c:extLst>
            <c:ext xmlns:c16="http://schemas.microsoft.com/office/drawing/2014/chart" uri="{C3380CC4-5D6E-409C-BE32-E72D297353CC}">
              <c16:uniqueId val="{00000000-5698-453B-B5A2-86AF922F065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[0]!PCG_SDn2_2</c:f>
            </c:numRef>
          </c:val>
          <c:smooth val="0"/>
          <c:extLst>
            <c:ext xmlns:c16="http://schemas.microsoft.com/office/drawing/2014/chart" uri="{C3380CC4-5D6E-409C-BE32-E72D297353CC}">
              <c16:uniqueId val="{00000001-5698-453B-B5A2-86AF922F0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1344"/>
        <c:axId val="789424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FAD-40D1-8511-0F521A456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2591"/>
        <c:axId val="368439711"/>
      </c:lineChart>
      <c:catAx>
        <c:axId val="789431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4624"/>
        <c:crosses val="autoZero"/>
        <c:auto val="1"/>
        <c:lblAlgn val="ctr"/>
        <c:lblOffset val="100"/>
        <c:noMultiLvlLbl val="0"/>
      </c:catAx>
      <c:valAx>
        <c:axId val="7894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344"/>
        <c:crosses val="autoZero"/>
        <c:crossBetween val="between"/>
      </c:valAx>
      <c:valAx>
        <c:axId val="36843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2591"/>
        <c:crosses val="max"/>
        <c:crossBetween val="between"/>
      </c:valAx>
      <c:catAx>
        <c:axId val="3684425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09A-4CAB-AFA0-46D21967E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26544"/>
        <c:axId val="789427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[0]!PCG_SUp2_3</c:f>
            </c:numRef>
          </c:val>
          <c:smooth val="0"/>
          <c:extLst>
            <c:ext xmlns:c16="http://schemas.microsoft.com/office/drawing/2014/chart" uri="{C3380CC4-5D6E-409C-BE32-E72D297353CC}">
              <c16:uniqueId val="{00000000-338D-4C53-B4C7-A6585972ED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[0]!PCG_SDn2_3</c:f>
            </c:numRef>
          </c:val>
          <c:smooth val="0"/>
          <c:extLst>
            <c:ext xmlns:c16="http://schemas.microsoft.com/office/drawing/2014/chart" uri="{C3380CC4-5D6E-409C-BE32-E72D297353CC}">
              <c16:uniqueId val="{00000001-338D-4C53-B4C7-A6585972E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26544"/>
        <c:axId val="789427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142-4105-89A8-F1DD02A74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50271"/>
        <c:axId val="368441151"/>
      </c:lineChart>
      <c:catAx>
        <c:axId val="78942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7504"/>
        <c:crosses val="autoZero"/>
        <c:auto val="1"/>
        <c:lblAlgn val="ctr"/>
        <c:lblOffset val="100"/>
        <c:noMultiLvlLbl val="0"/>
      </c:catAx>
      <c:valAx>
        <c:axId val="78942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26544"/>
        <c:crosses val="autoZero"/>
        <c:crossBetween val="between"/>
      </c:valAx>
      <c:valAx>
        <c:axId val="36844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50271"/>
        <c:crosses val="max"/>
        <c:crossBetween val="between"/>
      </c:valAx>
      <c:catAx>
        <c:axId val="36845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233-442E-9D9F-2B6DEEB46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0384"/>
        <c:axId val="78943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[0]!PCG_SUp2_4</c:f>
            </c:numRef>
          </c:val>
          <c:smooth val="0"/>
          <c:extLst>
            <c:ext xmlns:c16="http://schemas.microsoft.com/office/drawing/2014/chart" uri="{C3380CC4-5D6E-409C-BE32-E72D297353CC}">
              <c16:uniqueId val="{00000000-C3DF-43D3-8EF6-8CEC1E3677D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[0]!PCG_SDn2_4</c:f>
            </c:numRef>
          </c:val>
          <c:smooth val="0"/>
          <c:extLst>
            <c:ext xmlns:c16="http://schemas.microsoft.com/office/drawing/2014/chart" uri="{C3380CC4-5D6E-409C-BE32-E72D297353CC}">
              <c16:uniqueId val="{00000001-C3DF-43D3-8EF6-8CEC1E367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0384"/>
        <c:axId val="78943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0CF-4DDD-91FF-F3B4F6480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351"/>
        <c:axId val="368443551"/>
      </c:lineChart>
      <c:catAx>
        <c:axId val="789430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1824"/>
        <c:crosses val="autoZero"/>
        <c:auto val="1"/>
        <c:lblAlgn val="ctr"/>
        <c:lblOffset val="100"/>
        <c:noMultiLvlLbl val="0"/>
      </c:catAx>
      <c:valAx>
        <c:axId val="7894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0384"/>
        <c:crosses val="autoZero"/>
        <c:crossBetween val="between"/>
      </c:valAx>
      <c:valAx>
        <c:axId val="368443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351"/>
        <c:crosses val="max"/>
        <c:crossBetween val="between"/>
      </c:valAx>
      <c:catAx>
        <c:axId val="3684483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3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[0]!PCG_R2_5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078-4D68-BCBE-9DE4608F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38544"/>
        <c:axId val="7894553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[0]!PCG_SUp2_5</c:f>
            </c:numRef>
          </c:val>
          <c:smooth val="0"/>
          <c:extLst>
            <c:ext xmlns:c16="http://schemas.microsoft.com/office/drawing/2014/chart" uri="{C3380CC4-5D6E-409C-BE32-E72D297353CC}">
              <c16:uniqueId val="{00000000-ACF7-4E01-9E59-4A0F7CCC8A2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[0]!PCG_SDn2_5</c:f>
            </c:numRef>
          </c:val>
          <c:smooth val="0"/>
          <c:extLst>
            <c:ext xmlns:c16="http://schemas.microsoft.com/office/drawing/2014/chart" uri="{C3380CC4-5D6E-409C-BE32-E72D297353CC}">
              <c16:uniqueId val="{00000001-ACF7-4E01-9E59-4A0F7CCC8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38544"/>
        <c:axId val="7894553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7-4583-9D69-282253C13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9311"/>
        <c:axId val="368444031"/>
      </c:lineChart>
      <c:catAx>
        <c:axId val="789438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5344"/>
        <c:crosses val="autoZero"/>
        <c:auto val="1"/>
        <c:lblAlgn val="ctr"/>
        <c:lblOffset val="100"/>
        <c:noMultiLvlLbl val="0"/>
      </c:catAx>
      <c:valAx>
        <c:axId val="78945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38544"/>
        <c:crosses val="autoZero"/>
        <c:crossBetween val="between"/>
      </c:valAx>
      <c:valAx>
        <c:axId val="3684440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9311"/>
        <c:crosses val="max"/>
        <c:crossBetween val="between"/>
      </c:valAx>
      <c:catAx>
        <c:axId val="36844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0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[0]!PCG_V2_1</c:f>
            </c:numRef>
          </c:val>
          <c:smooth val="0"/>
          <c:extLst>
            <c:ext xmlns:c16="http://schemas.microsoft.com/office/drawing/2014/chart" uri="{C3380CC4-5D6E-409C-BE32-E72D297353CC}">
              <c16:uniqueId val="{00000001-FD2E-40EA-A479-784DA3FAFB6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[0]!PCG_V2_2</c:f>
            </c:numRef>
          </c:val>
          <c:smooth val="0"/>
          <c:extLst>
            <c:ext xmlns:c16="http://schemas.microsoft.com/office/drawing/2014/chart" uri="{C3380CC4-5D6E-409C-BE32-E72D297353CC}">
              <c16:uniqueId val="{00000002-FD2E-40EA-A479-784DA3FAFB6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[0]!PCG_V2_3</c:f>
            </c:numRef>
          </c:val>
          <c:smooth val="0"/>
          <c:extLst>
            <c:ext xmlns:c16="http://schemas.microsoft.com/office/drawing/2014/chart" uri="{C3380CC4-5D6E-409C-BE32-E72D297353CC}">
              <c16:uniqueId val="{00000003-FD2E-40EA-A479-784DA3FAFB6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[0]!PCG_V2_4</c:f>
            </c:numRef>
          </c:val>
          <c:smooth val="0"/>
          <c:extLst>
            <c:ext xmlns:c16="http://schemas.microsoft.com/office/drawing/2014/chart" uri="{C3380CC4-5D6E-409C-BE32-E72D297353CC}">
              <c16:uniqueId val="{00000004-FD2E-40EA-A479-784DA3FAFB6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[0]!PCG_V2_5</c:f>
            </c:numRef>
          </c:val>
          <c:smooth val="0"/>
          <c:extLst>
            <c:ext xmlns:c16="http://schemas.microsoft.com/office/drawing/2014/chart" uri="{C3380CC4-5D6E-409C-BE32-E72D297353CC}">
              <c16:uniqueId val="{00000005-FD2E-40EA-A479-784DA3FA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57744"/>
        <c:axId val="78945726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391-4712-8912-470F63DB3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8831"/>
        <c:axId val="368445951"/>
      </c:lineChart>
      <c:catAx>
        <c:axId val="78945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264"/>
        <c:crosses val="autoZero"/>
        <c:auto val="1"/>
        <c:lblAlgn val="ctr"/>
        <c:lblOffset val="100"/>
        <c:noMultiLvlLbl val="0"/>
      </c:catAx>
      <c:valAx>
        <c:axId val="78945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57744"/>
        <c:crosses val="autoZero"/>
        <c:crossBetween val="between"/>
      </c:valAx>
      <c:valAx>
        <c:axId val="36844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8831"/>
        <c:crosses val="max"/>
        <c:crossBetween val="between"/>
      </c:valAx>
      <c:catAx>
        <c:axId val="368448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21A-421E-A103-850776BC4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44784"/>
        <c:axId val="78946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[0]!PCG_SUp3_1</c:f>
            </c:numRef>
          </c:val>
          <c:smooth val="0"/>
          <c:extLst>
            <c:ext xmlns:c16="http://schemas.microsoft.com/office/drawing/2014/chart" uri="{C3380CC4-5D6E-409C-BE32-E72D297353CC}">
              <c16:uniqueId val="{00000000-8DDD-46F3-BC83-DB7B65C494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[0]!PCG_SDn3_1</c:f>
            </c:numRef>
          </c:val>
          <c:smooth val="0"/>
          <c:extLst>
            <c:ext xmlns:c16="http://schemas.microsoft.com/office/drawing/2014/chart" uri="{C3380CC4-5D6E-409C-BE32-E72D297353CC}">
              <c16:uniqueId val="{00000001-8DDD-46F3-BC83-DB7B65C49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44784"/>
        <c:axId val="78946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BFC-43A4-A06A-8449D47C3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6431"/>
        <c:axId val="368446431"/>
      </c:lineChart>
      <c:catAx>
        <c:axId val="789444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1584"/>
        <c:crosses val="autoZero"/>
        <c:auto val="1"/>
        <c:lblAlgn val="ctr"/>
        <c:lblOffset val="100"/>
        <c:noMultiLvlLbl val="0"/>
      </c:catAx>
      <c:valAx>
        <c:axId val="78946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44784"/>
        <c:crosses val="autoZero"/>
        <c:crossBetween val="between"/>
      </c:valAx>
      <c:valAx>
        <c:axId val="368446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6431"/>
        <c:crosses val="max"/>
        <c:crossBetween val="between"/>
      </c:valAx>
      <c:catAx>
        <c:axId val="368326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6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89A-4997-A88A-42A444B9A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3024"/>
        <c:axId val="789463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[0]!PCG_SUp3_2</c:f>
            </c:numRef>
          </c:val>
          <c:smooth val="0"/>
          <c:extLst>
            <c:ext xmlns:c16="http://schemas.microsoft.com/office/drawing/2014/chart" uri="{C3380CC4-5D6E-409C-BE32-E72D297353CC}">
              <c16:uniqueId val="{00000000-2980-4EE5-8DBC-9505A46B665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[0]!PCG_SDn3_2</c:f>
            </c:numRef>
          </c:val>
          <c:smooth val="0"/>
          <c:extLst>
            <c:ext xmlns:c16="http://schemas.microsoft.com/office/drawing/2014/chart" uri="{C3380CC4-5D6E-409C-BE32-E72D297353CC}">
              <c16:uniqueId val="{00000001-2980-4EE5-8DBC-9505A46B6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3024"/>
        <c:axId val="789463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3A-42B0-9E72-8F82A9890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031"/>
        <c:axId val="368330271"/>
      </c:lineChart>
      <c:catAx>
        <c:axId val="78946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504"/>
        <c:crosses val="autoZero"/>
        <c:auto val="1"/>
        <c:lblAlgn val="ctr"/>
        <c:lblOffset val="100"/>
        <c:noMultiLvlLbl val="0"/>
      </c:catAx>
      <c:valAx>
        <c:axId val="7894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3024"/>
        <c:crosses val="autoZero"/>
        <c:crossBetween val="between"/>
      </c:valAx>
      <c:valAx>
        <c:axId val="368330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031"/>
        <c:crosses val="max"/>
        <c:crossBetween val="between"/>
      </c:valAx>
      <c:catAx>
        <c:axId val="368324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459-4E02-8ABC-4B215717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65424"/>
        <c:axId val="789466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[0]!PCG_SUp3_3</c:f>
            </c:numRef>
          </c:val>
          <c:smooth val="0"/>
          <c:extLst>
            <c:ext xmlns:c16="http://schemas.microsoft.com/office/drawing/2014/chart" uri="{C3380CC4-5D6E-409C-BE32-E72D297353CC}">
              <c16:uniqueId val="{00000000-D8AF-4085-9A45-8E0FBA3B559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[0]!PCG_SDn3_3</c:f>
            </c:numRef>
          </c:val>
          <c:smooth val="0"/>
          <c:extLst>
            <c:ext xmlns:c16="http://schemas.microsoft.com/office/drawing/2014/chart" uri="{C3380CC4-5D6E-409C-BE32-E72D297353CC}">
              <c16:uniqueId val="{00000001-D8AF-4085-9A45-8E0FBA3B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65424"/>
        <c:axId val="789466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656-4542-927F-185C8BE02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6511"/>
        <c:axId val="368336991"/>
      </c:lineChart>
      <c:catAx>
        <c:axId val="78946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6384"/>
        <c:crosses val="autoZero"/>
        <c:auto val="1"/>
        <c:lblAlgn val="ctr"/>
        <c:lblOffset val="100"/>
        <c:noMultiLvlLbl val="0"/>
      </c:catAx>
      <c:valAx>
        <c:axId val="78946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5424"/>
        <c:crosses val="autoZero"/>
        <c:crossBetween val="between"/>
      </c:valAx>
      <c:valAx>
        <c:axId val="36833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6511"/>
        <c:crosses val="max"/>
        <c:crossBetween val="between"/>
      </c:valAx>
      <c:catAx>
        <c:axId val="368336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1E3-45BC-B0CF-7168505B9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3104"/>
        <c:axId val="789468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[0]!PCG_SUp3_4</c:f>
            </c:numRef>
          </c:val>
          <c:smooth val="0"/>
          <c:extLst>
            <c:ext xmlns:c16="http://schemas.microsoft.com/office/drawing/2014/chart" uri="{C3380CC4-5D6E-409C-BE32-E72D297353CC}">
              <c16:uniqueId val="{00000000-B93F-4EE5-98C9-006D3A83643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[0]!PCG_SDn3_4</c:f>
            </c:numRef>
          </c:val>
          <c:smooth val="0"/>
          <c:extLst>
            <c:ext xmlns:c16="http://schemas.microsoft.com/office/drawing/2014/chart" uri="{C3380CC4-5D6E-409C-BE32-E72D297353CC}">
              <c16:uniqueId val="{00000001-B93F-4EE5-98C9-006D3A836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3104"/>
        <c:axId val="789468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665-441C-BA07-BD25F24EC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551"/>
        <c:axId val="368325471"/>
      </c:lineChart>
      <c:catAx>
        <c:axId val="78947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304"/>
        <c:crosses val="autoZero"/>
        <c:auto val="1"/>
        <c:lblAlgn val="ctr"/>
        <c:lblOffset val="100"/>
        <c:noMultiLvlLbl val="0"/>
      </c:catAx>
      <c:valAx>
        <c:axId val="7894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3104"/>
        <c:crosses val="autoZero"/>
        <c:crossBetween val="between"/>
      </c:valAx>
      <c:valAx>
        <c:axId val="3683254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551"/>
        <c:crosses val="max"/>
        <c:crossBetween val="between"/>
      </c:valAx>
      <c:catAx>
        <c:axId val="36832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4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[0]!PCG_R3_5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8F-4B85-8E64-A87E55DD0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70224"/>
        <c:axId val="7894687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[0]!PCG_SUp3_5</c:f>
            </c:numRef>
          </c:val>
          <c:smooth val="0"/>
          <c:extLst>
            <c:ext xmlns:c16="http://schemas.microsoft.com/office/drawing/2014/chart" uri="{C3380CC4-5D6E-409C-BE32-E72D297353CC}">
              <c16:uniqueId val="{00000000-63D6-4AC0-8052-541E19A9361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[0]!PCG_SDn3_5</c:f>
            </c:numRef>
          </c:val>
          <c:smooth val="0"/>
          <c:extLst>
            <c:ext xmlns:c16="http://schemas.microsoft.com/office/drawing/2014/chart" uri="{C3380CC4-5D6E-409C-BE32-E72D297353CC}">
              <c16:uniqueId val="{00000001-63D6-4AC0-8052-541E19A93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0224"/>
        <c:axId val="7894687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B2-470F-A5CC-A57AC89D8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7871"/>
        <c:axId val="368332191"/>
      </c:lineChart>
      <c:catAx>
        <c:axId val="78947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68784"/>
        <c:crosses val="autoZero"/>
        <c:auto val="1"/>
        <c:lblAlgn val="ctr"/>
        <c:lblOffset val="100"/>
        <c:noMultiLvlLbl val="0"/>
      </c:catAx>
      <c:valAx>
        <c:axId val="78946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0224"/>
        <c:crosses val="autoZero"/>
        <c:crossBetween val="between"/>
      </c:valAx>
      <c:valAx>
        <c:axId val="3683321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7871"/>
        <c:crosses val="max"/>
        <c:crossBetween val="between"/>
      </c:valAx>
      <c:catAx>
        <c:axId val="36832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21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[0]!PCG_V3_1</c:f>
            </c:numRef>
          </c:val>
          <c:smooth val="0"/>
          <c:extLst>
            <c:ext xmlns:c16="http://schemas.microsoft.com/office/drawing/2014/chart" uri="{C3380CC4-5D6E-409C-BE32-E72D297353CC}">
              <c16:uniqueId val="{00000001-AABB-4F27-BA7B-503310E3FB83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[0]!PCG_V3_2</c:f>
            </c:numRef>
          </c:val>
          <c:smooth val="0"/>
          <c:extLst>
            <c:ext xmlns:c16="http://schemas.microsoft.com/office/drawing/2014/chart" uri="{C3380CC4-5D6E-409C-BE32-E72D297353CC}">
              <c16:uniqueId val="{00000002-AABB-4F27-BA7B-503310E3FB83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[0]!PCG_V3_3</c:f>
            </c:numRef>
          </c:val>
          <c:smooth val="0"/>
          <c:extLst>
            <c:ext xmlns:c16="http://schemas.microsoft.com/office/drawing/2014/chart" uri="{C3380CC4-5D6E-409C-BE32-E72D297353CC}">
              <c16:uniqueId val="{00000003-AABB-4F27-BA7B-503310E3FB83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[0]!PCG_V3_4</c:f>
            </c:numRef>
          </c:val>
          <c:smooth val="0"/>
          <c:extLst>
            <c:ext xmlns:c16="http://schemas.microsoft.com/office/drawing/2014/chart" uri="{C3380CC4-5D6E-409C-BE32-E72D297353CC}">
              <c16:uniqueId val="{00000004-AABB-4F27-BA7B-503310E3FB83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[0]!PCG_V3_5</c:f>
            </c:numRef>
          </c:val>
          <c:smooth val="0"/>
          <c:extLst>
            <c:ext xmlns:c16="http://schemas.microsoft.com/office/drawing/2014/chart" uri="{C3380CC4-5D6E-409C-BE32-E72D297353CC}">
              <c16:uniqueId val="{00000005-AABB-4F27-BA7B-503310E3F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74544"/>
        <c:axId val="7894721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C92-4C80-92DA-71AD7285D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311"/>
        <c:axId val="368334111"/>
      </c:lineChart>
      <c:catAx>
        <c:axId val="78947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2144"/>
        <c:crosses val="autoZero"/>
        <c:auto val="1"/>
        <c:lblAlgn val="ctr"/>
        <c:lblOffset val="100"/>
        <c:noMultiLvlLbl val="0"/>
      </c:catAx>
      <c:valAx>
        <c:axId val="7894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74544"/>
        <c:crosses val="autoZero"/>
        <c:crossBetween val="between"/>
      </c:valAx>
      <c:valAx>
        <c:axId val="36833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311"/>
        <c:crosses val="max"/>
        <c:crossBetween val="between"/>
      </c:valAx>
      <c:catAx>
        <c:axId val="36832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895-4D7E-AF20-364DDF42A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4544"/>
        <c:axId val="789359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[0]!PCG_SUp4_1</c:f>
            </c:numRef>
          </c:val>
          <c:smooth val="0"/>
          <c:extLst>
            <c:ext xmlns:c16="http://schemas.microsoft.com/office/drawing/2014/chart" uri="{C3380CC4-5D6E-409C-BE32-E72D297353CC}">
              <c16:uniqueId val="{00000000-3DD3-43C0-A65A-BD85B0D73D2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[0]!PCG_SDn4_1</c:f>
            </c:numRef>
          </c:val>
          <c:smooth val="0"/>
          <c:extLst>
            <c:ext xmlns:c16="http://schemas.microsoft.com/office/drawing/2014/chart" uri="{C3380CC4-5D6E-409C-BE32-E72D297353CC}">
              <c16:uniqueId val="{00000001-3DD3-43C0-A65A-BD85B0D7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4544"/>
        <c:axId val="789359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5AD-4142-BE51-91B17BB9B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1631"/>
        <c:axId val="368321151"/>
      </c:lineChart>
      <c:catAx>
        <c:axId val="78935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9824"/>
        <c:crosses val="autoZero"/>
        <c:auto val="1"/>
        <c:lblAlgn val="ctr"/>
        <c:lblOffset val="100"/>
        <c:noMultiLvlLbl val="0"/>
      </c:catAx>
      <c:valAx>
        <c:axId val="789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4544"/>
        <c:crosses val="autoZero"/>
        <c:crossBetween val="between"/>
      </c:valAx>
      <c:valAx>
        <c:axId val="3683211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1631"/>
        <c:crosses val="max"/>
        <c:crossBetween val="between"/>
      </c:valAx>
      <c:catAx>
        <c:axId val="368321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11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011-4A2A-B080-67501BE7B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48784"/>
        <c:axId val="789349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[0]!PCG_SUp4_2</c:f>
            </c:numRef>
          </c:val>
          <c:smooth val="0"/>
          <c:extLst>
            <c:ext xmlns:c16="http://schemas.microsoft.com/office/drawing/2014/chart" uri="{C3380CC4-5D6E-409C-BE32-E72D297353CC}">
              <c16:uniqueId val="{00000000-27E0-4945-AE16-F9D593B5517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[0]!PCG_SDn4_2</c:f>
            </c:numRef>
          </c:val>
          <c:smooth val="0"/>
          <c:extLst>
            <c:ext xmlns:c16="http://schemas.microsoft.com/office/drawing/2014/chart" uri="{C3380CC4-5D6E-409C-BE32-E72D297353CC}">
              <c16:uniqueId val="{00000001-27E0-4945-AE16-F9D593B55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48784"/>
        <c:axId val="789349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DA5-406D-BC10-463D8FA8D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3071"/>
        <c:axId val="368328351"/>
      </c:lineChart>
      <c:catAx>
        <c:axId val="78934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9744"/>
        <c:crosses val="autoZero"/>
        <c:auto val="1"/>
        <c:lblAlgn val="ctr"/>
        <c:lblOffset val="100"/>
        <c:noMultiLvlLbl val="0"/>
      </c:catAx>
      <c:valAx>
        <c:axId val="78934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48784"/>
        <c:crosses val="autoZero"/>
        <c:crossBetween val="between"/>
      </c:valAx>
      <c:valAx>
        <c:axId val="368328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3071"/>
        <c:crosses val="max"/>
        <c:crossBetween val="between"/>
      </c:valAx>
      <c:catAx>
        <c:axId val="368323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8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F4D-4C13-B401-854036FC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8864"/>
        <c:axId val="789361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[0]!PCG_SUp4_3</c:f>
            </c:numRef>
          </c:val>
          <c:smooth val="0"/>
          <c:extLst>
            <c:ext xmlns:c16="http://schemas.microsoft.com/office/drawing/2014/chart" uri="{C3380CC4-5D6E-409C-BE32-E72D297353CC}">
              <c16:uniqueId val="{00000000-676C-4E8A-B09A-925888462ABC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[0]!PCG_SDn4_3</c:f>
            </c:numRef>
          </c:val>
          <c:smooth val="0"/>
          <c:extLst>
            <c:ext xmlns:c16="http://schemas.microsoft.com/office/drawing/2014/chart" uri="{C3380CC4-5D6E-409C-BE32-E72D297353CC}">
              <c16:uniqueId val="{00000001-676C-4E8A-B09A-925888462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8864"/>
        <c:axId val="789361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E0E-4D3C-B4DF-F7EC59BDF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9791"/>
        <c:axId val="368325951"/>
      </c:lineChart>
      <c:catAx>
        <c:axId val="78935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264"/>
        <c:crosses val="autoZero"/>
        <c:auto val="1"/>
        <c:lblAlgn val="ctr"/>
        <c:lblOffset val="100"/>
        <c:noMultiLvlLbl val="0"/>
      </c:catAx>
      <c:valAx>
        <c:axId val="78936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864"/>
        <c:crosses val="autoZero"/>
        <c:crossBetween val="between"/>
      </c:valAx>
      <c:valAx>
        <c:axId val="368325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9791"/>
        <c:crosses val="max"/>
        <c:crossBetween val="between"/>
      </c:valAx>
      <c:catAx>
        <c:axId val="368329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5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14D-400B-A622-73DFC9B66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104"/>
        <c:axId val="7893583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[0]!PCG_SUp4_4</c:f>
            </c:numRef>
          </c:val>
          <c:smooth val="0"/>
          <c:extLst>
            <c:ext xmlns:c16="http://schemas.microsoft.com/office/drawing/2014/chart" uri="{C3380CC4-5D6E-409C-BE32-E72D297353CC}">
              <c16:uniqueId val="{00000000-2707-48FB-A885-F128751F564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[0]!PCG_SDn4_4</c:f>
            </c:numRef>
          </c:val>
          <c:smooth val="0"/>
          <c:extLst>
            <c:ext xmlns:c16="http://schemas.microsoft.com/office/drawing/2014/chart" uri="{C3380CC4-5D6E-409C-BE32-E72D297353CC}">
              <c16:uniqueId val="{00000001-2707-48FB-A885-F128751F5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104"/>
        <c:axId val="7893583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4AC-4A06-BFFE-CFFC4639A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511"/>
        <c:axId val="368335551"/>
      </c:lineChart>
      <c:catAx>
        <c:axId val="78935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8384"/>
        <c:crosses val="autoZero"/>
        <c:auto val="1"/>
        <c:lblAlgn val="ctr"/>
        <c:lblOffset val="100"/>
        <c:noMultiLvlLbl val="0"/>
      </c:catAx>
      <c:valAx>
        <c:axId val="78935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104"/>
        <c:crosses val="autoZero"/>
        <c:crossBetween val="between"/>
      </c:valAx>
      <c:valAx>
        <c:axId val="36833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511"/>
        <c:crosses val="max"/>
        <c:crossBetween val="between"/>
      </c:valAx>
      <c:catAx>
        <c:axId val="368324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[0]!PCG_R4_5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B3D-461B-96F2-68FD5FBBD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0704"/>
        <c:axId val="7893550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[0]!PCG_SUp4_5</c:f>
            </c:numRef>
          </c:val>
          <c:smooth val="0"/>
          <c:extLst>
            <c:ext xmlns:c16="http://schemas.microsoft.com/office/drawing/2014/chart" uri="{C3380CC4-5D6E-409C-BE32-E72D297353CC}">
              <c16:uniqueId val="{00000000-6A47-40F5-A49A-82EF3AE831E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[0]!PCG_SDn4_5</c:f>
            </c:numRef>
          </c:val>
          <c:smooth val="0"/>
          <c:extLst>
            <c:ext xmlns:c16="http://schemas.microsoft.com/office/drawing/2014/chart" uri="{C3380CC4-5D6E-409C-BE32-E72D297353CC}">
              <c16:uniqueId val="{00000001-6A47-40F5-A49A-82EF3AE83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0704"/>
        <c:axId val="7893550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973-46B4-B7EC-F9DE8273E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33631"/>
        <c:axId val="368330751"/>
      </c:lineChart>
      <c:catAx>
        <c:axId val="78935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5024"/>
        <c:crosses val="autoZero"/>
        <c:auto val="1"/>
        <c:lblAlgn val="ctr"/>
        <c:lblOffset val="100"/>
        <c:noMultiLvlLbl val="0"/>
      </c:catAx>
      <c:valAx>
        <c:axId val="78935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0704"/>
        <c:crosses val="autoZero"/>
        <c:crossBetween val="between"/>
      </c:valAx>
      <c:valAx>
        <c:axId val="3683307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33631"/>
        <c:crosses val="max"/>
        <c:crossBetween val="between"/>
      </c:valAx>
      <c:catAx>
        <c:axId val="3683336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07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4)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[0]!PCG_V4_1</c:f>
            </c:numRef>
          </c:val>
          <c:smooth val="0"/>
          <c:extLst>
            <c:ext xmlns:c16="http://schemas.microsoft.com/office/drawing/2014/chart" uri="{C3380CC4-5D6E-409C-BE32-E72D297353CC}">
              <c16:uniqueId val="{00000001-F58B-40EC-BB51-AB1BDD8119D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[0]!PCG_V4_2</c:f>
            </c:numRef>
          </c:val>
          <c:smooth val="0"/>
          <c:extLst>
            <c:ext xmlns:c16="http://schemas.microsoft.com/office/drawing/2014/chart" uri="{C3380CC4-5D6E-409C-BE32-E72D297353CC}">
              <c16:uniqueId val="{00000002-F58B-40EC-BB51-AB1BDD8119D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[0]!PCG_V4_3</c:f>
            </c:numRef>
          </c:val>
          <c:smooth val="0"/>
          <c:extLst>
            <c:ext xmlns:c16="http://schemas.microsoft.com/office/drawing/2014/chart" uri="{C3380CC4-5D6E-409C-BE32-E72D297353CC}">
              <c16:uniqueId val="{00000003-F58B-40EC-BB51-AB1BDD8119D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[0]!PCG_V4_4</c:f>
            </c:numRef>
          </c:val>
          <c:smooth val="0"/>
          <c:extLst>
            <c:ext xmlns:c16="http://schemas.microsoft.com/office/drawing/2014/chart" uri="{C3380CC4-5D6E-409C-BE32-E72D297353CC}">
              <c16:uniqueId val="{00000004-F58B-40EC-BB51-AB1BDD8119D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[0]!PCG_V4_5</c:f>
            </c:numRef>
          </c:val>
          <c:smooth val="0"/>
          <c:extLst>
            <c:ext xmlns:c16="http://schemas.microsoft.com/office/drawing/2014/chart" uri="{C3380CC4-5D6E-409C-BE32-E72D297353CC}">
              <c16:uniqueId val="{00000005-F58B-40EC-BB51-AB1BDD811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7424"/>
        <c:axId val="78935694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8B8-4048-9FE2-1DC37063B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5151"/>
        <c:axId val="368322111"/>
      </c:lineChart>
      <c:catAx>
        <c:axId val="78935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6944"/>
        <c:crosses val="autoZero"/>
        <c:auto val="1"/>
        <c:lblAlgn val="ctr"/>
        <c:lblOffset val="100"/>
        <c:noMultiLvlLbl val="0"/>
      </c:catAx>
      <c:valAx>
        <c:axId val="78935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7424"/>
        <c:crosses val="autoZero"/>
        <c:crossBetween val="between"/>
      </c:valAx>
      <c:valAx>
        <c:axId val="36832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5151"/>
        <c:crosses val="max"/>
        <c:crossBetween val="between"/>
      </c:valAx>
      <c:catAx>
        <c:axId val="368345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F97-4274-BDD5-4F46D4366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2704"/>
        <c:axId val="789374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[0]!PCG_SUp5_1</c:f>
            </c:numRef>
          </c:val>
          <c:smooth val="0"/>
          <c:extLst>
            <c:ext xmlns:c16="http://schemas.microsoft.com/office/drawing/2014/chart" uri="{C3380CC4-5D6E-409C-BE32-E72D297353CC}">
              <c16:uniqueId val="{00000000-E0FA-44DD-8B81-92D22EA4FA1E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[0]!PCG_SDn5_1</c:f>
            </c:numRef>
          </c:val>
          <c:smooth val="0"/>
          <c:extLst>
            <c:ext xmlns:c16="http://schemas.microsoft.com/office/drawing/2014/chart" uri="{C3380CC4-5D6E-409C-BE32-E72D297353CC}">
              <c16:uniqueId val="{00000001-E0FA-44DD-8B81-92D22EA4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2704"/>
        <c:axId val="789374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A41-455D-997F-70607D3EB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0831"/>
        <c:axId val="368343231"/>
      </c:lineChart>
      <c:catAx>
        <c:axId val="78936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4224"/>
        <c:crosses val="autoZero"/>
        <c:auto val="1"/>
        <c:lblAlgn val="ctr"/>
        <c:lblOffset val="100"/>
        <c:noMultiLvlLbl val="0"/>
      </c:catAx>
      <c:valAx>
        <c:axId val="78937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2704"/>
        <c:crosses val="autoZero"/>
        <c:crossBetween val="between"/>
      </c:valAx>
      <c:valAx>
        <c:axId val="368343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0831"/>
        <c:crosses val="max"/>
        <c:crossBetween val="between"/>
      </c:valAx>
      <c:catAx>
        <c:axId val="36834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3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BC4-4C82-A6E0-C8049D7B2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3184"/>
        <c:axId val="789363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[0]!PCG_SUp5_2</c:f>
            </c:numRef>
          </c:val>
          <c:smooth val="0"/>
          <c:extLst>
            <c:ext xmlns:c16="http://schemas.microsoft.com/office/drawing/2014/chart" uri="{C3380CC4-5D6E-409C-BE32-E72D297353CC}">
              <c16:uniqueId val="{00000000-3C47-4741-B4DC-2D3A02B05098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[0]!PCG_SDn5_2</c:f>
            </c:numRef>
          </c:val>
          <c:smooth val="0"/>
          <c:extLst>
            <c:ext xmlns:c16="http://schemas.microsoft.com/office/drawing/2014/chart" uri="{C3380CC4-5D6E-409C-BE32-E72D297353CC}">
              <c16:uniqueId val="{00000001-3C47-4741-B4DC-2D3A02B0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3184"/>
        <c:axId val="789363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0DC-466A-993E-ED284F87E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4191"/>
        <c:axId val="368339391"/>
      </c:lineChart>
      <c:catAx>
        <c:axId val="78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664"/>
        <c:crosses val="autoZero"/>
        <c:auto val="1"/>
        <c:lblAlgn val="ctr"/>
        <c:lblOffset val="100"/>
        <c:noMultiLvlLbl val="0"/>
      </c:catAx>
      <c:valAx>
        <c:axId val="78936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3184"/>
        <c:crosses val="autoZero"/>
        <c:crossBetween val="between"/>
      </c:valAx>
      <c:valAx>
        <c:axId val="3683393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4191"/>
        <c:crosses val="max"/>
        <c:crossBetween val="between"/>
      </c:valAx>
      <c:catAx>
        <c:axId val="368344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3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802-4046-B406-393A86A4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7504"/>
        <c:axId val="7893732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[0]!PCG_SUp5_3</c:f>
            </c:numRef>
          </c:val>
          <c:smooth val="0"/>
          <c:extLst>
            <c:ext xmlns:c16="http://schemas.microsoft.com/office/drawing/2014/chart" uri="{C3380CC4-5D6E-409C-BE32-E72D297353CC}">
              <c16:uniqueId val="{00000000-8F58-420D-A809-B28AD225EC6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[0]!PCG_SDn5_3</c:f>
            </c:numRef>
          </c:val>
          <c:smooth val="0"/>
          <c:extLst>
            <c:ext xmlns:c16="http://schemas.microsoft.com/office/drawing/2014/chart" uri="{C3380CC4-5D6E-409C-BE32-E72D297353CC}">
              <c16:uniqueId val="{00000001-8F58-420D-A809-B28AD225E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7504"/>
        <c:axId val="7893732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797-4FEA-A266-593DE6467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271"/>
        <c:axId val="368348511"/>
      </c:lineChart>
      <c:catAx>
        <c:axId val="78936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3264"/>
        <c:crosses val="autoZero"/>
        <c:auto val="1"/>
        <c:lblAlgn val="ctr"/>
        <c:lblOffset val="100"/>
        <c:noMultiLvlLbl val="0"/>
      </c:catAx>
      <c:valAx>
        <c:axId val="78937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7504"/>
        <c:crosses val="autoZero"/>
        <c:crossBetween val="between"/>
      </c:valAx>
      <c:valAx>
        <c:axId val="368348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271"/>
        <c:crosses val="max"/>
        <c:crossBetween val="between"/>
      </c:valAx>
      <c:catAx>
        <c:axId val="36834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8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EC4-40C5-A01C-E7506F940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66544"/>
        <c:axId val="7893718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[0]!PCG_SUp5_4</c:f>
            </c:numRef>
          </c:val>
          <c:smooth val="0"/>
          <c:extLst>
            <c:ext xmlns:c16="http://schemas.microsoft.com/office/drawing/2014/chart" uri="{C3380CC4-5D6E-409C-BE32-E72D297353CC}">
              <c16:uniqueId val="{00000000-199F-44F2-9A74-09515CDD2851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[0]!PCG_SDn5_4</c:f>
            </c:numRef>
          </c:val>
          <c:smooth val="0"/>
          <c:extLst>
            <c:ext xmlns:c16="http://schemas.microsoft.com/office/drawing/2014/chart" uri="{C3380CC4-5D6E-409C-BE32-E72D297353CC}">
              <c16:uniqueId val="{00000001-199F-44F2-9A74-09515CDD2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66544"/>
        <c:axId val="7893718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2D6-468E-8986-988BD915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2751"/>
        <c:axId val="368339871"/>
      </c:lineChart>
      <c:catAx>
        <c:axId val="789366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1824"/>
        <c:crosses val="autoZero"/>
        <c:auto val="1"/>
        <c:lblAlgn val="ctr"/>
        <c:lblOffset val="100"/>
        <c:noMultiLvlLbl val="0"/>
      </c:catAx>
      <c:valAx>
        <c:axId val="7893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6544"/>
        <c:crosses val="autoZero"/>
        <c:crossBetween val="between"/>
      </c:valAx>
      <c:valAx>
        <c:axId val="368339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2751"/>
        <c:crosses val="max"/>
        <c:crossBetween val="between"/>
      </c:valAx>
      <c:catAx>
        <c:axId val="36834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9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[0]!PCG_R5_5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A9A-4D7B-A4A0-3ADEF26D8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53584"/>
        <c:axId val="7893723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[0]!PCG_SUp5_5</c:f>
            </c:numRef>
          </c:val>
          <c:smooth val="0"/>
          <c:extLst>
            <c:ext xmlns:c16="http://schemas.microsoft.com/office/drawing/2014/chart" uri="{C3380CC4-5D6E-409C-BE32-E72D297353CC}">
              <c16:uniqueId val="{00000000-5AED-4D38-AA15-3A21D7CA2EF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[0]!PCG_SDn5_5</c:f>
            </c:numRef>
          </c:val>
          <c:smooth val="0"/>
          <c:extLst>
            <c:ext xmlns:c16="http://schemas.microsoft.com/office/drawing/2014/chart" uri="{C3380CC4-5D6E-409C-BE32-E72D297353CC}">
              <c16:uniqueId val="{00000001-5AED-4D38-AA15-3A21D7CA2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53584"/>
        <c:axId val="7893723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27-4290-BC2E-96248FEF6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3711"/>
        <c:axId val="368340351"/>
      </c:lineChart>
      <c:catAx>
        <c:axId val="78935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2304"/>
        <c:crosses val="autoZero"/>
        <c:auto val="1"/>
        <c:lblAlgn val="ctr"/>
        <c:lblOffset val="100"/>
        <c:noMultiLvlLbl val="0"/>
      </c:catAx>
      <c:valAx>
        <c:axId val="78937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53584"/>
        <c:crosses val="autoZero"/>
        <c:crossBetween val="between"/>
      </c:valAx>
      <c:valAx>
        <c:axId val="36834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3711"/>
        <c:crosses val="max"/>
        <c:crossBetween val="between"/>
      </c:valAx>
      <c:catAx>
        <c:axId val="368343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[0]!PCG_V5_1</c:f>
            </c:numRef>
          </c:val>
          <c:smooth val="0"/>
          <c:extLst>
            <c:ext xmlns:c16="http://schemas.microsoft.com/office/drawing/2014/chart" uri="{C3380CC4-5D6E-409C-BE32-E72D297353CC}">
              <c16:uniqueId val="{00000001-C030-4FD4-B16F-F433C2E69492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[0]!PCG_V5_2</c:f>
            </c:numRef>
          </c:val>
          <c:smooth val="0"/>
          <c:extLst>
            <c:ext xmlns:c16="http://schemas.microsoft.com/office/drawing/2014/chart" uri="{C3380CC4-5D6E-409C-BE32-E72D297353CC}">
              <c16:uniqueId val="{00000002-C030-4FD4-B16F-F433C2E69492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[0]!PCG_V5_3</c:f>
            </c:numRef>
          </c:val>
          <c:smooth val="0"/>
          <c:extLst>
            <c:ext xmlns:c16="http://schemas.microsoft.com/office/drawing/2014/chart" uri="{C3380CC4-5D6E-409C-BE32-E72D297353CC}">
              <c16:uniqueId val="{00000003-C030-4FD4-B16F-F433C2E69492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[0]!PCG_V5_4</c:f>
            </c:numRef>
          </c:val>
          <c:smooth val="0"/>
          <c:extLst>
            <c:ext xmlns:c16="http://schemas.microsoft.com/office/drawing/2014/chart" uri="{C3380CC4-5D6E-409C-BE32-E72D297353CC}">
              <c16:uniqueId val="{00000004-C030-4FD4-B16F-F433C2E69492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[0]!PCG_V5_5</c:f>
            </c:numRef>
          </c:val>
          <c:smooth val="0"/>
          <c:extLst>
            <c:ext xmlns:c16="http://schemas.microsoft.com/office/drawing/2014/chart" uri="{C3380CC4-5D6E-409C-BE32-E72D297353CC}">
              <c16:uniqueId val="{00000005-C030-4FD4-B16F-F433C2E69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464"/>
        <c:axId val="7893867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36B-4C8C-B4D0-C4542BC0D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8031"/>
        <c:axId val="368341311"/>
      </c:lineChart>
      <c:catAx>
        <c:axId val="789380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704"/>
        <c:crosses val="autoZero"/>
        <c:auto val="1"/>
        <c:lblAlgn val="ctr"/>
        <c:lblOffset val="100"/>
        <c:noMultiLvlLbl val="0"/>
      </c:catAx>
      <c:valAx>
        <c:axId val="7893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464"/>
        <c:crosses val="autoZero"/>
        <c:crossBetween val="between"/>
      </c:valAx>
      <c:valAx>
        <c:axId val="36834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8031"/>
        <c:crosses val="max"/>
        <c:crossBetween val="between"/>
      </c:valAx>
      <c:catAx>
        <c:axId val="368348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A05-43BC-9A33-4D2839E99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8064"/>
        <c:axId val="7893886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[0]!PCG_SUp6_1</c:f>
            </c:numRef>
          </c:val>
          <c:smooth val="0"/>
          <c:extLst>
            <c:ext xmlns:c16="http://schemas.microsoft.com/office/drawing/2014/chart" uri="{C3380CC4-5D6E-409C-BE32-E72D297353CC}">
              <c16:uniqueId val="{00000000-F7CC-47E5-B9A1-63E40DD2366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[0]!PCG_SDn6_1</c:f>
            </c:numRef>
          </c:val>
          <c:smooth val="0"/>
          <c:extLst>
            <c:ext xmlns:c16="http://schemas.microsoft.com/office/drawing/2014/chart" uri="{C3380CC4-5D6E-409C-BE32-E72D297353CC}">
              <c16:uniqueId val="{00000001-F7CC-47E5-B9A1-63E40DD23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8064"/>
        <c:axId val="7893886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D3C-43C2-A30B-8E87708AA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511"/>
        <c:axId val="368349951"/>
      </c:lineChart>
      <c:catAx>
        <c:axId val="789378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624"/>
        <c:crosses val="autoZero"/>
        <c:auto val="1"/>
        <c:lblAlgn val="ctr"/>
        <c:lblOffset val="100"/>
        <c:noMultiLvlLbl val="0"/>
      </c:catAx>
      <c:valAx>
        <c:axId val="78938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8064"/>
        <c:crosses val="autoZero"/>
        <c:crossBetween val="between"/>
      </c:valAx>
      <c:valAx>
        <c:axId val="368349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511"/>
        <c:crosses val="max"/>
        <c:crossBetween val="between"/>
      </c:valAx>
      <c:catAx>
        <c:axId val="3683605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9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5D64-4241-836F-0D259A904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8144"/>
        <c:axId val="789375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[0]!PCG_SUp6_2</c:f>
            </c:numRef>
          </c:val>
          <c:smooth val="0"/>
          <c:extLst>
            <c:ext xmlns:c16="http://schemas.microsoft.com/office/drawing/2014/chart" uri="{C3380CC4-5D6E-409C-BE32-E72D297353CC}">
              <c16:uniqueId val="{00000000-5B35-443C-AB72-A426D58FEDB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[0]!PCG_SDn6_2</c:f>
            </c:numRef>
          </c:val>
          <c:smooth val="0"/>
          <c:extLst>
            <c:ext xmlns:c16="http://schemas.microsoft.com/office/drawing/2014/chart" uri="{C3380CC4-5D6E-409C-BE32-E72D297353CC}">
              <c16:uniqueId val="{00000001-5B35-443C-AB72-A426D58FE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8144"/>
        <c:axId val="789375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C26-40E7-A556-CBCBD21AD9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551"/>
        <c:axId val="368358591"/>
      </c:lineChart>
      <c:catAx>
        <c:axId val="78938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5184"/>
        <c:crosses val="autoZero"/>
        <c:auto val="1"/>
        <c:lblAlgn val="ctr"/>
        <c:lblOffset val="100"/>
        <c:noMultiLvlLbl val="0"/>
      </c:catAx>
      <c:valAx>
        <c:axId val="78937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8144"/>
        <c:crosses val="autoZero"/>
        <c:crossBetween val="between"/>
      </c:valAx>
      <c:valAx>
        <c:axId val="368358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551"/>
        <c:crosses val="max"/>
        <c:crossBetween val="between"/>
      </c:valAx>
      <c:catAx>
        <c:axId val="36835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8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8D13-472F-9D6F-02E06DDE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79024"/>
        <c:axId val="78938766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[0]!PCG_SUp6_3</c:f>
            </c:numRef>
          </c:val>
          <c:smooth val="0"/>
          <c:extLst>
            <c:ext xmlns:c16="http://schemas.microsoft.com/office/drawing/2014/chart" uri="{C3380CC4-5D6E-409C-BE32-E72D297353CC}">
              <c16:uniqueId val="{00000000-E6B0-48A0-88C3-6B4E3DDCF3B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[0]!PCG_SDn6_3</c:f>
            </c:numRef>
          </c:val>
          <c:smooth val="0"/>
          <c:extLst>
            <c:ext xmlns:c16="http://schemas.microsoft.com/office/drawing/2014/chart" uri="{C3380CC4-5D6E-409C-BE32-E72D297353CC}">
              <c16:uniqueId val="{00000001-E6B0-48A0-88C3-6B4E3DDC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79024"/>
        <c:axId val="78938766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709-4C2C-9182-B6E37DE5F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2831"/>
        <c:axId val="368362431"/>
      </c:lineChart>
      <c:catAx>
        <c:axId val="7893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664"/>
        <c:crosses val="autoZero"/>
        <c:auto val="1"/>
        <c:lblAlgn val="ctr"/>
        <c:lblOffset val="100"/>
        <c:noMultiLvlLbl val="0"/>
      </c:catAx>
      <c:valAx>
        <c:axId val="789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024"/>
        <c:crosses val="autoZero"/>
        <c:crossBetween val="between"/>
      </c:valAx>
      <c:valAx>
        <c:axId val="3683624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2831"/>
        <c:crosses val="max"/>
        <c:crossBetween val="between"/>
      </c:valAx>
      <c:catAx>
        <c:axId val="368352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4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099-42BC-BE46-4000AEE5B5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0944"/>
        <c:axId val="78937950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[0]!PCG_SUp6_4</c:f>
            </c:numRef>
          </c:val>
          <c:smooth val="0"/>
          <c:extLst>
            <c:ext xmlns:c16="http://schemas.microsoft.com/office/drawing/2014/chart" uri="{C3380CC4-5D6E-409C-BE32-E72D297353CC}">
              <c16:uniqueId val="{00000000-9934-4E08-BCBF-06DA024C93F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[0]!PCG_SDn6_4</c:f>
            </c:numRef>
          </c:val>
          <c:smooth val="0"/>
          <c:extLst>
            <c:ext xmlns:c16="http://schemas.microsoft.com/office/drawing/2014/chart" uri="{C3380CC4-5D6E-409C-BE32-E72D297353CC}">
              <c16:uniqueId val="{00000001-9934-4E08-BCBF-06DA024C9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0944"/>
        <c:axId val="78937950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2E9B-4929-BE81-9BF46DB28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6751"/>
        <c:axId val="368363871"/>
      </c:lineChart>
      <c:catAx>
        <c:axId val="789380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79504"/>
        <c:crosses val="autoZero"/>
        <c:auto val="1"/>
        <c:lblAlgn val="ctr"/>
        <c:lblOffset val="100"/>
        <c:noMultiLvlLbl val="0"/>
      </c:catAx>
      <c:valAx>
        <c:axId val="78937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0944"/>
        <c:crosses val="autoZero"/>
        <c:crossBetween val="between"/>
      </c:valAx>
      <c:valAx>
        <c:axId val="368363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6751"/>
        <c:crosses val="max"/>
        <c:crossBetween val="between"/>
      </c:valAx>
      <c:catAx>
        <c:axId val="368366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3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[0]!PCG_R6_5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C80-4F2C-A9EE-1E3FFA9FB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92944"/>
        <c:axId val="7893934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[0]!PCG_SUp6_5</c:f>
            </c:numRef>
          </c:val>
          <c:smooth val="0"/>
          <c:extLst>
            <c:ext xmlns:c16="http://schemas.microsoft.com/office/drawing/2014/chart" uri="{C3380CC4-5D6E-409C-BE32-E72D297353CC}">
              <c16:uniqueId val="{00000000-41F7-4BA9-8AEC-76E51D53FC5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[0]!PCG_SDn6_5</c:f>
            </c:numRef>
          </c:val>
          <c:smooth val="0"/>
          <c:extLst>
            <c:ext xmlns:c16="http://schemas.microsoft.com/office/drawing/2014/chart" uri="{C3380CC4-5D6E-409C-BE32-E72D297353CC}">
              <c16:uniqueId val="{00000001-41F7-4BA9-8AEC-76E51D53F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2944"/>
        <c:axId val="7893934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864-4B94-95E3-B3F8AD282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3791"/>
        <c:axId val="368367711"/>
      </c:lineChart>
      <c:catAx>
        <c:axId val="78939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3424"/>
        <c:crosses val="autoZero"/>
        <c:auto val="1"/>
        <c:lblAlgn val="ctr"/>
        <c:lblOffset val="100"/>
        <c:noMultiLvlLbl val="0"/>
      </c:catAx>
      <c:valAx>
        <c:axId val="78939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2944"/>
        <c:crosses val="autoZero"/>
        <c:crossBetween val="between"/>
      </c:valAx>
      <c:valAx>
        <c:axId val="368367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3791"/>
        <c:crosses val="max"/>
        <c:crossBetween val="between"/>
      </c:valAx>
      <c:catAx>
        <c:axId val="368353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7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[0]!PCG_V6_1</c:f>
            </c:numRef>
          </c:val>
          <c:smooth val="0"/>
          <c:extLst>
            <c:ext xmlns:c16="http://schemas.microsoft.com/office/drawing/2014/chart" uri="{C3380CC4-5D6E-409C-BE32-E72D297353CC}">
              <c16:uniqueId val="{00000001-17BF-4076-9289-697BBCF45BB9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[0]!PCG_V6_2</c:f>
            </c:numRef>
          </c:val>
          <c:smooth val="0"/>
          <c:extLst>
            <c:ext xmlns:c16="http://schemas.microsoft.com/office/drawing/2014/chart" uri="{C3380CC4-5D6E-409C-BE32-E72D297353CC}">
              <c16:uniqueId val="{00000002-17BF-4076-9289-697BBCF45BB9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[0]!PCG_V6_3</c:f>
            </c:numRef>
          </c:val>
          <c:smooth val="0"/>
          <c:extLst>
            <c:ext xmlns:c16="http://schemas.microsoft.com/office/drawing/2014/chart" uri="{C3380CC4-5D6E-409C-BE32-E72D297353CC}">
              <c16:uniqueId val="{00000003-17BF-4076-9289-697BBCF45BB9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[0]!PCG_V6_4</c:f>
            </c:numRef>
          </c:val>
          <c:smooth val="0"/>
          <c:extLst>
            <c:ext xmlns:c16="http://schemas.microsoft.com/office/drawing/2014/chart" uri="{C3380CC4-5D6E-409C-BE32-E72D297353CC}">
              <c16:uniqueId val="{00000004-17BF-4076-9289-697BBCF45BB9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[0]!PCG_V6_5</c:f>
            </c:numRef>
          </c:val>
          <c:smooth val="0"/>
          <c:extLst>
            <c:ext xmlns:c16="http://schemas.microsoft.com/office/drawing/2014/chart" uri="{C3380CC4-5D6E-409C-BE32-E72D297353CC}">
              <c16:uniqueId val="{00000005-17BF-4076-9289-697BBCF45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95824"/>
        <c:axId val="78939630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84D-4E46-B25D-AC7A7D1B6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951"/>
        <c:axId val="368355711"/>
      </c:lineChart>
      <c:catAx>
        <c:axId val="78939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6304"/>
        <c:crosses val="autoZero"/>
        <c:auto val="1"/>
        <c:lblAlgn val="ctr"/>
        <c:lblOffset val="100"/>
        <c:noMultiLvlLbl val="0"/>
      </c:catAx>
      <c:valAx>
        <c:axId val="78939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5824"/>
        <c:crosses val="autoZero"/>
        <c:crossBetween val="between"/>
      </c:valAx>
      <c:valAx>
        <c:axId val="368355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951"/>
        <c:crosses val="max"/>
        <c:crossBetween val="between"/>
      </c:valAx>
      <c:catAx>
        <c:axId val="3683619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3E5-4A40-A257-414C91A3C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864"/>
        <c:axId val="78938622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[0]!PCG_SUp7_1</c:f>
            </c:numRef>
          </c:val>
          <c:smooth val="0"/>
          <c:extLst>
            <c:ext xmlns:c16="http://schemas.microsoft.com/office/drawing/2014/chart" uri="{C3380CC4-5D6E-409C-BE32-E72D297353CC}">
              <c16:uniqueId val="{00000000-9C8C-42AC-9087-D6383B2651C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[0]!PCG_SDn7_1</c:f>
            </c:numRef>
          </c:val>
          <c:smooth val="0"/>
          <c:extLst>
            <c:ext xmlns:c16="http://schemas.microsoft.com/office/drawing/2014/chart" uri="{C3380CC4-5D6E-409C-BE32-E72D297353CC}">
              <c16:uniqueId val="{00000001-9C8C-42AC-9087-D6383B265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864"/>
        <c:axId val="78938622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24E-4A57-82E6-C1A954DD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1471"/>
        <c:axId val="368365791"/>
      </c:lineChart>
      <c:catAx>
        <c:axId val="78938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6224"/>
        <c:crosses val="autoZero"/>
        <c:auto val="1"/>
        <c:lblAlgn val="ctr"/>
        <c:lblOffset val="100"/>
        <c:noMultiLvlLbl val="0"/>
      </c:catAx>
      <c:valAx>
        <c:axId val="789386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864"/>
        <c:crosses val="autoZero"/>
        <c:crossBetween val="between"/>
      </c:valAx>
      <c:valAx>
        <c:axId val="368365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1471"/>
        <c:crosses val="max"/>
        <c:crossBetween val="between"/>
      </c:valAx>
      <c:catAx>
        <c:axId val="368361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5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C01C-43C5-9B6F-7D771C5F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382384"/>
        <c:axId val="789399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[0]!PCG_SUp7_2</c:f>
            </c:numRef>
          </c:val>
          <c:smooth val="0"/>
          <c:extLst>
            <c:ext xmlns:c16="http://schemas.microsoft.com/office/drawing/2014/chart" uri="{C3380CC4-5D6E-409C-BE32-E72D297353CC}">
              <c16:uniqueId val="{00000000-44B0-456A-B0BD-B0A24FA61276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[0]!PCG_SDn7_2</c:f>
            </c:numRef>
          </c:val>
          <c:smooth val="0"/>
          <c:extLst>
            <c:ext xmlns:c16="http://schemas.microsoft.com/office/drawing/2014/chart" uri="{C3380CC4-5D6E-409C-BE32-E72D297353CC}">
              <c16:uniqueId val="{00000001-44B0-456A-B0BD-B0A24FA61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382384"/>
        <c:axId val="789399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EA7-461D-9717-8E9BB406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7231"/>
        <c:axId val="368362911"/>
      </c:lineChart>
      <c:catAx>
        <c:axId val="7893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99184"/>
        <c:crosses val="autoZero"/>
        <c:auto val="1"/>
        <c:lblAlgn val="ctr"/>
        <c:lblOffset val="100"/>
        <c:noMultiLvlLbl val="0"/>
      </c:catAx>
      <c:valAx>
        <c:axId val="78939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2384"/>
        <c:crosses val="autoZero"/>
        <c:crossBetween val="between"/>
      </c:valAx>
      <c:valAx>
        <c:axId val="368362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7231"/>
        <c:crosses val="max"/>
        <c:crossBetween val="between"/>
      </c:valAx>
      <c:catAx>
        <c:axId val="368367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62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989-46EE-A46F-52224EE4A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1104"/>
        <c:axId val="7894015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[0]!PCG_SUp7_3</c:f>
            </c:numRef>
          </c:val>
          <c:smooth val="0"/>
          <c:extLst>
            <c:ext xmlns:c16="http://schemas.microsoft.com/office/drawing/2014/chart" uri="{C3380CC4-5D6E-409C-BE32-E72D297353CC}">
              <c16:uniqueId val="{00000000-B66A-4716-8699-7F0969EEE6DA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[0]!PCG_SDn7_3</c:f>
            </c:numRef>
          </c:val>
          <c:smooth val="0"/>
          <c:extLst>
            <c:ext xmlns:c16="http://schemas.microsoft.com/office/drawing/2014/chart" uri="{C3380CC4-5D6E-409C-BE32-E72D297353CC}">
              <c16:uniqueId val="{00000001-B66A-4716-8699-7F0969EEE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1104"/>
        <c:axId val="7894015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836-4980-B504-46D1A683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3391"/>
        <c:axId val="368357631"/>
      </c:lineChart>
      <c:catAx>
        <c:axId val="78940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584"/>
        <c:crosses val="autoZero"/>
        <c:auto val="1"/>
        <c:lblAlgn val="ctr"/>
        <c:lblOffset val="100"/>
        <c:noMultiLvlLbl val="0"/>
      </c:catAx>
      <c:valAx>
        <c:axId val="78940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1104"/>
        <c:crosses val="autoZero"/>
        <c:crossBetween val="between"/>
      </c:valAx>
      <c:valAx>
        <c:axId val="368357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3391"/>
        <c:crosses val="max"/>
        <c:crossBetween val="between"/>
      </c:valAx>
      <c:catAx>
        <c:axId val="368363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7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39-428D-8477-9D836921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3504"/>
        <c:axId val="78938718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[0]!PCG_SUp7_4</c:f>
            </c:numRef>
          </c:val>
          <c:smooth val="0"/>
          <c:extLst>
            <c:ext xmlns:c16="http://schemas.microsoft.com/office/drawing/2014/chart" uri="{C3380CC4-5D6E-409C-BE32-E72D297353CC}">
              <c16:uniqueId val="{00000000-EB3C-4A26-8F30-C584E392D18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[0]!PCG_SDn7_4</c:f>
            </c:numRef>
          </c:val>
          <c:smooth val="0"/>
          <c:extLst>
            <c:ext xmlns:c16="http://schemas.microsoft.com/office/drawing/2014/chart" uri="{C3380CC4-5D6E-409C-BE32-E72D297353CC}">
              <c16:uniqueId val="{00000001-EB3C-4A26-8F30-C584E392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3504"/>
        <c:axId val="78938718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7D9-417E-9325-E632BAED7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8111"/>
        <c:axId val="368355231"/>
      </c:lineChart>
      <c:catAx>
        <c:axId val="78940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87184"/>
        <c:crosses val="autoZero"/>
        <c:auto val="1"/>
        <c:lblAlgn val="ctr"/>
        <c:lblOffset val="100"/>
        <c:noMultiLvlLbl val="0"/>
      </c:catAx>
      <c:valAx>
        <c:axId val="78938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3504"/>
        <c:crosses val="autoZero"/>
        <c:crossBetween val="between"/>
      </c:valAx>
      <c:valAx>
        <c:axId val="368355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8111"/>
        <c:crosses val="max"/>
        <c:crossBetween val="between"/>
      </c:valAx>
      <c:catAx>
        <c:axId val="368358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5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[0]!PCG_R7_5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4B57-4E9F-B6FE-A795ED2DA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405424"/>
        <c:axId val="789361744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[0]!PCG_SUp7_5</c:f>
            </c:numRef>
          </c:val>
          <c:smooth val="0"/>
          <c:extLst>
            <c:ext xmlns:c16="http://schemas.microsoft.com/office/drawing/2014/chart" uri="{C3380CC4-5D6E-409C-BE32-E72D297353CC}">
              <c16:uniqueId val="{00000000-00E5-4789-82ED-754FEA840B5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[0]!PCG_SDn7_5</c:f>
            </c:numRef>
          </c:val>
          <c:smooth val="0"/>
          <c:extLst>
            <c:ext xmlns:c16="http://schemas.microsoft.com/office/drawing/2014/chart" uri="{C3380CC4-5D6E-409C-BE32-E72D297353CC}">
              <c16:uniqueId val="{00000001-00E5-4789-82ED-754FEA84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9405424"/>
        <c:axId val="789361744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E6E-4DD1-88F5-B32142113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9151"/>
        <c:axId val="368351871"/>
      </c:lineChart>
      <c:catAx>
        <c:axId val="78940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361744"/>
        <c:crosses val="autoZero"/>
        <c:auto val="1"/>
        <c:lblAlgn val="ctr"/>
        <c:lblOffset val="100"/>
        <c:noMultiLvlLbl val="0"/>
      </c:catAx>
      <c:valAx>
        <c:axId val="78936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9405424"/>
        <c:crosses val="autoZero"/>
        <c:crossBetween val="between"/>
      </c:valAx>
      <c:valAx>
        <c:axId val="3683518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9151"/>
        <c:crosses val="max"/>
        <c:crossBetween val="between"/>
      </c:valAx>
      <c:catAx>
        <c:axId val="368369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18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7)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[0]!PCG_V7_1</c:f>
            </c:numRef>
          </c:val>
          <c:smooth val="0"/>
          <c:extLst>
            <c:ext xmlns:c16="http://schemas.microsoft.com/office/drawing/2014/chart" uri="{C3380CC4-5D6E-409C-BE32-E72D297353CC}">
              <c16:uniqueId val="{00000001-FCE2-4509-A74F-14A60AF8803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[0]!PCG_V7_2</c:f>
            </c:numRef>
          </c:val>
          <c:smooth val="0"/>
          <c:extLst>
            <c:ext xmlns:c16="http://schemas.microsoft.com/office/drawing/2014/chart" uri="{C3380CC4-5D6E-409C-BE32-E72D297353CC}">
              <c16:uniqueId val="{00000002-FCE2-4509-A74F-14A60AF8803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[0]!PCG_V7_3</c:f>
            </c:numRef>
          </c:val>
          <c:smooth val="0"/>
          <c:extLst>
            <c:ext xmlns:c16="http://schemas.microsoft.com/office/drawing/2014/chart" uri="{C3380CC4-5D6E-409C-BE32-E72D297353CC}">
              <c16:uniqueId val="{00000003-FCE2-4509-A74F-14A60AF8803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[0]!PCG_V7_4</c:f>
            </c:numRef>
          </c:val>
          <c:smooth val="0"/>
          <c:extLst>
            <c:ext xmlns:c16="http://schemas.microsoft.com/office/drawing/2014/chart" uri="{C3380CC4-5D6E-409C-BE32-E72D297353CC}">
              <c16:uniqueId val="{00000004-FCE2-4509-A74F-14A60AF8803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[0]!PCG_V7_5</c:f>
            </c:numRef>
          </c:val>
          <c:smooth val="0"/>
          <c:extLst>
            <c:ext xmlns:c16="http://schemas.microsoft.com/office/drawing/2014/chart" uri="{C3380CC4-5D6E-409C-BE32-E72D297353CC}">
              <c16:uniqueId val="{00000005-FCE2-4509-A74F-14A60AF88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976"/>
        <c:axId val="7142641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F72-4126-BCA2-7032F1539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0111"/>
        <c:axId val="368371071"/>
      </c:lineChart>
      <c:catAx>
        <c:axId val="7142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4176"/>
        <c:crosses val="autoZero"/>
        <c:auto val="1"/>
        <c:lblAlgn val="ctr"/>
        <c:lblOffset val="100"/>
        <c:noMultiLvlLbl val="0"/>
      </c:catAx>
      <c:valAx>
        <c:axId val="7142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976"/>
        <c:crosses val="autoZero"/>
        <c:crossBetween val="between"/>
      </c:valAx>
      <c:valAx>
        <c:axId val="368371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0111"/>
        <c:crosses val="max"/>
        <c:crossBetween val="between"/>
      </c:valAx>
      <c:catAx>
        <c:axId val="3683701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1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023F-4CAE-805B-8382A4775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2736"/>
        <c:axId val="7142660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[0]!PCG_SUp8_1</c:f>
            </c:numRef>
          </c:val>
          <c:smooth val="0"/>
          <c:extLst>
            <c:ext xmlns:c16="http://schemas.microsoft.com/office/drawing/2014/chart" uri="{C3380CC4-5D6E-409C-BE32-E72D297353CC}">
              <c16:uniqueId val="{00000000-84AB-4B14-87DE-B1178369C59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[0]!PCG_SDn8_1</c:f>
            </c:numRef>
          </c:val>
          <c:smooth val="0"/>
          <c:extLst>
            <c:ext xmlns:c16="http://schemas.microsoft.com/office/drawing/2014/chart" uri="{C3380CC4-5D6E-409C-BE32-E72D297353CC}">
              <c16:uniqueId val="{00000001-84AB-4B14-87DE-B1178369C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2736"/>
        <c:axId val="7142660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E29-4809-ABBC-F3CF37F60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9071"/>
        <c:axId val="368372511"/>
      </c:lineChart>
      <c:catAx>
        <c:axId val="71426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6096"/>
        <c:crosses val="autoZero"/>
        <c:auto val="1"/>
        <c:lblAlgn val="ctr"/>
        <c:lblOffset val="100"/>
        <c:noMultiLvlLbl val="0"/>
      </c:catAx>
      <c:valAx>
        <c:axId val="7142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2736"/>
        <c:crosses val="autoZero"/>
        <c:crossBetween val="between"/>
      </c:valAx>
      <c:valAx>
        <c:axId val="368372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9071"/>
        <c:crosses val="max"/>
        <c:crossBetween val="between"/>
      </c:valAx>
      <c:catAx>
        <c:axId val="3683590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079-4503-94C7-818654F93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016"/>
        <c:axId val="714255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[0]!PCG_SUp8_2</c:f>
            </c:numRef>
          </c:val>
          <c:smooth val="0"/>
          <c:extLst>
            <c:ext xmlns:c16="http://schemas.microsoft.com/office/drawing/2014/chart" uri="{C3380CC4-5D6E-409C-BE32-E72D297353CC}">
              <c16:uniqueId val="{00000000-E90A-48F2-94DB-FECE446A9DB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[0]!PCG_SDn8_2</c:f>
            </c:numRef>
          </c:val>
          <c:smooth val="0"/>
          <c:extLst>
            <c:ext xmlns:c16="http://schemas.microsoft.com/office/drawing/2014/chart" uri="{C3380CC4-5D6E-409C-BE32-E72D297353CC}">
              <c16:uniqueId val="{00000001-E90A-48F2-94DB-FECE446A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016"/>
        <c:axId val="714255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139-4536-9567-EE8091C931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3471"/>
        <c:axId val="368372991"/>
      </c:lineChart>
      <c:catAx>
        <c:axId val="71426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5536"/>
        <c:crosses val="autoZero"/>
        <c:auto val="1"/>
        <c:lblAlgn val="ctr"/>
        <c:lblOffset val="100"/>
        <c:noMultiLvlLbl val="0"/>
      </c:catAx>
      <c:valAx>
        <c:axId val="7142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016"/>
        <c:crosses val="autoZero"/>
        <c:crossBetween val="between"/>
      </c:valAx>
      <c:valAx>
        <c:axId val="368372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3471"/>
        <c:crosses val="max"/>
        <c:crossBetween val="between"/>
      </c:valAx>
      <c:catAx>
        <c:axId val="368373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2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7367-4F0B-8680-EA56C3D9A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68976"/>
        <c:axId val="7142603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[0]!PCG_SUp8_3</c:f>
            </c:numRef>
          </c:val>
          <c:smooth val="0"/>
          <c:extLst>
            <c:ext xmlns:c16="http://schemas.microsoft.com/office/drawing/2014/chart" uri="{C3380CC4-5D6E-409C-BE32-E72D297353CC}">
              <c16:uniqueId val="{00000000-65C9-4A27-9038-A08035DF81A9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[0]!PCG_SDn8_3</c:f>
            </c:numRef>
          </c:val>
          <c:smooth val="0"/>
          <c:extLst>
            <c:ext xmlns:c16="http://schemas.microsoft.com/office/drawing/2014/chart" uri="{C3380CC4-5D6E-409C-BE32-E72D297353CC}">
              <c16:uniqueId val="{00000001-65C9-4A27-9038-A08035DF8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68976"/>
        <c:axId val="7142603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3C0-4E47-B230-720283D57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8751"/>
        <c:axId val="368373951"/>
      </c:lineChart>
      <c:catAx>
        <c:axId val="714268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0336"/>
        <c:crosses val="autoZero"/>
        <c:auto val="1"/>
        <c:lblAlgn val="ctr"/>
        <c:lblOffset val="100"/>
        <c:noMultiLvlLbl val="0"/>
      </c:catAx>
      <c:valAx>
        <c:axId val="71426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8976"/>
        <c:crosses val="autoZero"/>
        <c:crossBetween val="between"/>
      </c:valAx>
      <c:valAx>
        <c:axId val="3683739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8751"/>
        <c:crosses val="max"/>
        <c:crossBetween val="between"/>
      </c:valAx>
      <c:catAx>
        <c:axId val="368378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39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F9F-46FC-BE92-FE44294D3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56016"/>
        <c:axId val="7142699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[0]!PCG_SUp8_4</c:f>
            </c:numRef>
          </c:val>
          <c:smooth val="0"/>
          <c:extLst>
            <c:ext xmlns:c16="http://schemas.microsoft.com/office/drawing/2014/chart" uri="{C3380CC4-5D6E-409C-BE32-E72D297353CC}">
              <c16:uniqueId val="{00000000-75B8-469B-8D85-002CE26667A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[0]!PCG_SDn8_4</c:f>
            </c:numRef>
          </c:val>
          <c:smooth val="0"/>
          <c:extLst>
            <c:ext xmlns:c16="http://schemas.microsoft.com/office/drawing/2014/chart" uri="{C3380CC4-5D6E-409C-BE32-E72D297353CC}">
              <c16:uniqueId val="{00000001-75B8-469B-8D85-002CE2666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56016"/>
        <c:axId val="7142699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00F-47B5-AA18-44F4301A57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5871"/>
        <c:axId val="368379231"/>
      </c:lineChart>
      <c:catAx>
        <c:axId val="714256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9936"/>
        <c:crosses val="autoZero"/>
        <c:auto val="1"/>
        <c:lblAlgn val="ctr"/>
        <c:lblOffset val="100"/>
        <c:noMultiLvlLbl val="0"/>
      </c:catAx>
      <c:valAx>
        <c:axId val="71426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56016"/>
        <c:crosses val="autoZero"/>
        <c:crossBetween val="between"/>
      </c:valAx>
      <c:valAx>
        <c:axId val="3683792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5871"/>
        <c:crosses val="max"/>
        <c:crossBetween val="between"/>
      </c:valAx>
      <c:catAx>
        <c:axId val="368375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2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[0]!PCG_R8_5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1FA-4AA5-90FE-132C8B765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3296"/>
        <c:axId val="714273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[0]!PCG_SUp8_5</c:f>
            </c:numRef>
          </c:val>
          <c:smooth val="0"/>
          <c:extLst>
            <c:ext xmlns:c16="http://schemas.microsoft.com/office/drawing/2014/chart" uri="{C3380CC4-5D6E-409C-BE32-E72D297353CC}">
              <c16:uniqueId val="{00000000-AEC1-488F-99F9-17A64C4B202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[0]!PCG_SDn8_5</c:f>
            </c:numRef>
          </c:val>
          <c:smooth val="0"/>
          <c:extLst>
            <c:ext xmlns:c16="http://schemas.microsoft.com/office/drawing/2014/chart" uri="{C3380CC4-5D6E-409C-BE32-E72D297353CC}">
              <c16:uniqueId val="{00000001-AEC1-488F-99F9-17A64C4B2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3296"/>
        <c:axId val="714273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C34C-456C-8281-E6D3F8534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671"/>
        <c:axId val="368374911"/>
      </c:lineChart>
      <c:catAx>
        <c:axId val="71427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776"/>
        <c:crosses val="autoZero"/>
        <c:auto val="1"/>
        <c:lblAlgn val="ctr"/>
        <c:lblOffset val="100"/>
        <c:noMultiLvlLbl val="0"/>
      </c:catAx>
      <c:valAx>
        <c:axId val="714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3296"/>
        <c:crosses val="autoZero"/>
        <c:crossBetween val="between"/>
      </c:valAx>
      <c:valAx>
        <c:axId val="368374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671"/>
        <c:crosses val="max"/>
        <c:crossBetween val="between"/>
      </c:valAx>
      <c:catAx>
        <c:axId val="3683806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4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[0]!PCG_V8_1</c:f>
            </c:numRef>
          </c:val>
          <c:smooth val="0"/>
          <c:extLst>
            <c:ext xmlns:c16="http://schemas.microsoft.com/office/drawing/2014/chart" uri="{C3380CC4-5D6E-409C-BE32-E72D297353CC}">
              <c16:uniqueId val="{00000001-62F2-4EAB-88CD-94F546E65B7E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[0]!PCG_V8_2</c:f>
            </c:numRef>
          </c:val>
          <c:smooth val="0"/>
          <c:extLst>
            <c:ext xmlns:c16="http://schemas.microsoft.com/office/drawing/2014/chart" uri="{C3380CC4-5D6E-409C-BE32-E72D297353CC}">
              <c16:uniqueId val="{00000002-62F2-4EAB-88CD-94F546E65B7E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[0]!PCG_V8_3</c:f>
            </c:numRef>
          </c:val>
          <c:smooth val="0"/>
          <c:extLst>
            <c:ext xmlns:c16="http://schemas.microsoft.com/office/drawing/2014/chart" uri="{C3380CC4-5D6E-409C-BE32-E72D297353CC}">
              <c16:uniqueId val="{00000003-62F2-4EAB-88CD-94F546E65B7E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[0]!PCG_V8_4</c:f>
            </c:numRef>
          </c:val>
          <c:smooth val="0"/>
          <c:extLst>
            <c:ext xmlns:c16="http://schemas.microsoft.com/office/drawing/2014/chart" uri="{C3380CC4-5D6E-409C-BE32-E72D297353CC}">
              <c16:uniqueId val="{00000004-62F2-4EAB-88CD-94F546E65B7E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[0]!PCG_V8_5</c:f>
            </c:numRef>
          </c:val>
          <c:smooth val="0"/>
          <c:extLst>
            <c:ext xmlns:c16="http://schemas.microsoft.com/office/drawing/2014/chart" uri="{C3380CC4-5D6E-409C-BE32-E72D297353CC}">
              <c16:uniqueId val="{00000005-62F2-4EAB-88CD-94F546E6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4256"/>
        <c:axId val="7142612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3F31-4D74-A86D-3F67AC9D5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7791"/>
        <c:axId val="368376831"/>
      </c:lineChart>
      <c:catAx>
        <c:axId val="7142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61296"/>
        <c:crosses val="autoZero"/>
        <c:auto val="1"/>
        <c:lblAlgn val="ctr"/>
        <c:lblOffset val="100"/>
        <c:noMultiLvlLbl val="0"/>
      </c:catAx>
      <c:valAx>
        <c:axId val="7142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4256"/>
        <c:crosses val="autoZero"/>
        <c:crossBetween val="between"/>
      </c:valAx>
      <c:valAx>
        <c:axId val="3683768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7791"/>
        <c:crosses val="max"/>
        <c:crossBetween val="between"/>
      </c:valAx>
      <c:catAx>
        <c:axId val="368377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8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352-418B-A057-6B294992A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416"/>
        <c:axId val="71427761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[0]!PCG_SUp9_1</c:f>
            </c:numRef>
          </c:val>
          <c:smooth val="0"/>
          <c:extLst>
            <c:ext xmlns:c16="http://schemas.microsoft.com/office/drawing/2014/chart" uri="{C3380CC4-5D6E-409C-BE32-E72D297353CC}">
              <c16:uniqueId val="{00000000-9A31-4C71-8262-D998C8FF6667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A31-4C71-8262-D998C8FF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416"/>
        <c:axId val="71427761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540-489B-9D17-F159BCBEC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3551"/>
        <c:axId val="368376351"/>
      </c:lineChart>
      <c:catAx>
        <c:axId val="7142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7616"/>
        <c:crosses val="autoZero"/>
        <c:auto val="1"/>
        <c:lblAlgn val="ctr"/>
        <c:lblOffset val="100"/>
        <c:noMultiLvlLbl val="0"/>
      </c:catAx>
      <c:valAx>
        <c:axId val="71427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416"/>
        <c:crosses val="autoZero"/>
        <c:crossBetween val="between"/>
      </c:valAx>
      <c:valAx>
        <c:axId val="368376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3551"/>
        <c:crosses val="max"/>
        <c:crossBetween val="between"/>
      </c:valAx>
      <c:catAx>
        <c:axId val="368383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6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5FE-4DF4-B260-39244136A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78576"/>
        <c:axId val="714279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[0]!PCG_SUp9_2</c:f>
            </c:numRef>
          </c:val>
          <c:smooth val="0"/>
          <c:extLst>
            <c:ext xmlns:c16="http://schemas.microsoft.com/office/drawing/2014/chart" uri="{C3380CC4-5D6E-409C-BE32-E72D297353CC}">
              <c16:uniqueId val="{00000000-1283-4AE1-8195-EA038A34DED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[0]!PCG_SDn9_2</c:f>
            </c:numRef>
          </c:val>
          <c:smooth val="0"/>
          <c:extLst>
            <c:ext xmlns:c16="http://schemas.microsoft.com/office/drawing/2014/chart" uri="{C3380CC4-5D6E-409C-BE32-E72D297353CC}">
              <c16:uniqueId val="{00000001-1283-4AE1-8195-EA038A34D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78576"/>
        <c:axId val="714279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C36-44AD-B78B-428CECB9A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0271"/>
        <c:axId val="368392671"/>
      </c:lineChart>
      <c:catAx>
        <c:axId val="7142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9536"/>
        <c:crosses val="autoZero"/>
        <c:auto val="1"/>
        <c:lblAlgn val="ctr"/>
        <c:lblOffset val="100"/>
        <c:noMultiLvlLbl val="0"/>
      </c:catAx>
      <c:valAx>
        <c:axId val="7142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78576"/>
        <c:crosses val="autoZero"/>
        <c:crossBetween val="between"/>
      </c:valAx>
      <c:valAx>
        <c:axId val="3683926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0271"/>
        <c:crosses val="max"/>
        <c:crossBetween val="between"/>
      </c:valAx>
      <c:catAx>
        <c:axId val="368390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26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4DB-4BE9-8898-2932EFE51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2896"/>
        <c:axId val="714283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[0]!PCG_SUp9_3</c:f>
            </c:numRef>
          </c:val>
          <c:smooth val="0"/>
          <c:extLst>
            <c:ext xmlns:c16="http://schemas.microsoft.com/office/drawing/2014/chart" uri="{C3380CC4-5D6E-409C-BE32-E72D297353CC}">
              <c16:uniqueId val="{00000000-7554-46CC-A905-9E865D377B4F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[0]!PCG_SDn9_3</c:f>
            </c:numRef>
          </c:val>
          <c:smooth val="0"/>
          <c:extLst>
            <c:ext xmlns:c16="http://schemas.microsoft.com/office/drawing/2014/chart" uri="{C3380CC4-5D6E-409C-BE32-E72D297353CC}">
              <c16:uniqueId val="{00000001-7554-46CC-A905-9E865D37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2896"/>
        <c:axId val="714283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9474-4490-BE3D-8AA7638EB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3151"/>
        <c:axId val="368396511"/>
      </c:lineChart>
      <c:catAx>
        <c:axId val="71428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3376"/>
        <c:crosses val="autoZero"/>
        <c:auto val="1"/>
        <c:lblAlgn val="ctr"/>
        <c:lblOffset val="100"/>
        <c:noMultiLvlLbl val="0"/>
      </c:catAx>
      <c:valAx>
        <c:axId val="7142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2896"/>
        <c:crosses val="autoZero"/>
        <c:crossBetween val="between"/>
      </c:valAx>
      <c:valAx>
        <c:axId val="3683965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3151"/>
        <c:crosses val="max"/>
        <c:crossBetween val="between"/>
      </c:valAx>
      <c:catAx>
        <c:axId val="3683931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5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963E-4047-BF2E-F5E154DCE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4816"/>
        <c:axId val="7142857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[0]!PCG_SUp9_4</c:f>
            </c:numRef>
          </c:val>
          <c:smooth val="0"/>
          <c:extLst>
            <c:ext xmlns:c16="http://schemas.microsoft.com/office/drawing/2014/chart" uri="{C3380CC4-5D6E-409C-BE32-E72D297353CC}">
              <c16:uniqueId val="{00000000-DF14-4979-A26B-F41B91F392A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[0]!PCG_SDn9_4</c:f>
            </c:numRef>
          </c:val>
          <c:smooth val="0"/>
          <c:extLst>
            <c:ext xmlns:c16="http://schemas.microsoft.com/office/drawing/2014/chart" uri="{C3380CC4-5D6E-409C-BE32-E72D297353CC}">
              <c16:uniqueId val="{00000001-DF14-4979-A26B-F41B91F39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4816"/>
        <c:axId val="7142857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01-49D3-BD08-0053C40D6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9311"/>
        <c:axId val="368383071"/>
      </c:lineChart>
      <c:catAx>
        <c:axId val="71428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5776"/>
        <c:crosses val="autoZero"/>
        <c:auto val="1"/>
        <c:lblAlgn val="ctr"/>
        <c:lblOffset val="100"/>
        <c:noMultiLvlLbl val="0"/>
      </c:catAx>
      <c:valAx>
        <c:axId val="7142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4816"/>
        <c:crosses val="autoZero"/>
        <c:crossBetween val="between"/>
      </c:valAx>
      <c:valAx>
        <c:axId val="368383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9311"/>
        <c:crosses val="max"/>
        <c:crossBetween val="between"/>
      </c:valAx>
      <c:catAx>
        <c:axId val="3683893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3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[0]!PCG_R9_5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E64D-4BFE-8E73-B1129583B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8736"/>
        <c:axId val="7142953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[0]!PCG_SUp9_5</c:f>
            </c:numRef>
          </c:val>
          <c:smooth val="0"/>
          <c:extLst>
            <c:ext xmlns:c16="http://schemas.microsoft.com/office/drawing/2014/chart" uri="{C3380CC4-5D6E-409C-BE32-E72D297353CC}">
              <c16:uniqueId val="{00000000-BE32-4C60-B433-82CFD65572BB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[0]!PCG_SDn9_5</c:f>
            </c:numRef>
          </c:val>
          <c:smooth val="0"/>
          <c:extLst>
            <c:ext xmlns:c16="http://schemas.microsoft.com/office/drawing/2014/chart" uri="{C3380CC4-5D6E-409C-BE32-E72D297353CC}">
              <c16:uniqueId val="{00000001-BE32-4C60-B433-82CFD65572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8736"/>
        <c:axId val="7142953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82E4-49F5-A380-7E8744104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231"/>
        <c:axId val="368389791"/>
      </c:lineChart>
      <c:catAx>
        <c:axId val="71429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376"/>
        <c:crosses val="autoZero"/>
        <c:auto val="1"/>
        <c:lblAlgn val="ctr"/>
        <c:lblOffset val="100"/>
        <c:noMultiLvlLbl val="0"/>
      </c:catAx>
      <c:valAx>
        <c:axId val="71429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8736"/>
        <c:crosses val="autoZero"/>
        <c:crossBetween val="between"/>
      </c:valAx>
      <c:valAx>
        <c:axId val="368389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231"/>
        <c:crosses val="max"/>
        <c:crossBetween val="between"/>
      </c:valAx>
      <c:catAx>
        <c:axId val="368391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9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[0]!PCG_V9_1</c:f>
            </c:numRef>
          </c:val>
          <c:smooth val="0"/>
          <c:extLst>
            <c:ext xmlns:c16="http://schemas.microsoft.com/office/drawing/2014/chart" uri="{C3380CC4-5D6E-409C-BE32-E72D297353CC}">
              <c16:uniqueId val="{00000001-91AA-4018-813A-A0D1405DD10C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[0]!PCG_V9_2</c:f>
            </c:numRef>
          </c:val>
          <c:smooth val="0"/>
          <c:extLst>
            <c:ext xmlns:c16="http://schemas.microsoft.com/office/drawing/2014/chart" uri="{C3380CC4-5D6E-409C-BE32-E72D297353CC}">
              <c16:uniqueId val="{00000002-91AA-4018-813A-A0D1405DD10C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[0]!PCG_V9_3</c:f>
            </c:numRef>
          </c:val>
          <c:smooth val="0"/>
          <c:extLst>
            <c:ext xmlns:c16="http://schemas.microsoft.com/office/drawing/2014/chart" uri="{C3380CC4-5D6E-409C-BE32-E72D297353CC}">
              <c16:uniqueId val="{00000003-91AA-4018-813A-A0D1405DD10C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[0]!PCG_V9_4</c:f>
            </c:numRef>
          </c:val>
          <c:smooth val="0"/>
          <c:extLst>
            <c:ext xmlns:c16="http://schemas.microsoft.com/office/drawing/2014/chart" uri="{C3380CC4-5D6E-409C-BE32-E72D297353CC}">
              <c16:uniqueId val="{00000004-91AA-4018-813A-A0D1405DD10C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[0]!PCG_V9_5</c:f>
            </c:numRef>
          </c:val>
          <c:smooth val="0"/>
          <c:extLst>
            <c:ext xmlns:c16="http://schemas.microsoft.com/office/drawing/2014/chart" uri="{C3380CC4-5D6E-409C-BE32-E72D297353CC}">
              <c16:uniqueId val="{00000005-91AA-4018-813A-A0D1405DD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5856"/>
        <c:axId val="71429009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A053-45FC-9145-F336DC25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7871"/>
        <c:axId val="368393631"/>
      </c:lineChart>
      <c:catAx>
        <c:axId val="7142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0096"/>
        <c:crosses val="autoZero"/>
        <c:auto val="1"/>
        <c:lblAlgn val="ctr"/>
        <c:lblOffset val="100"/>
        <c:noMultiLvlLbl val="0"/>
      </c:catAx>
      <c:valAx>
        <c:axId val="7142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5856"/>
        <c:crosses val="autoZero"/>
        <c:crossBetween val="between"/>
      </c:valAx>
      <c:valAx>
        <c:axId val="36839363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7871"/>
        <c:crosses val="max"/>
        <c:crossBetween val="between"/>
      </c:valAx>
      <c:catAx>
        <c:axId val="36838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363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PCAGrid!$GR$454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[0]!PCG_R10_1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49B-4AAD-B32E-4F52AE14A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2576"/>
        <c:axId val="71428817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[0]!PCG_SUp10_1</c:f>
            </c:numRef>
          </c:val>
          <c:smooth val="0"/>
          <c:extLst>
            <c:ext xmlns:c16="http://schemas.microsoft.com/office/drawing/2014/chart" uri="{C3380CC4-5D6E-409C-BE32-E72D297353CC}">
              <c16:uniqueId val="{00000000-9DFE-4B46-B867-439323ACC61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9DFE-4B46-B867-439323ACC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2576"/>
        <c:axId val="71428817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413-44A2-99CF-027910F5C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8431"/>
        <c:axId val="368395551"/>
      </c:lineChart>
      <c:catAx>
        <c:axId val="71430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8176"/>
        <c:crosses val="autoZero"/>
        <c:auto val="1"/>
        <c:lblAlgn val="ctr"/>
        <c:lblOffset val="100"/>
        <c:noMultiLvlLbl val="0"/>
      </c:catAx>
      <c:valAx>
        <c:axId val="71428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2576"/>
        <c:crosses val="autoZero"/>
        <c:crossBetween val="between"/>
      </c:valAx>
      <c:valAx>
        <c:axId val="368395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8431"/>
        <c:crosses val="max"/>
        <c:crossBetween val="between"/>
      </c:valAx>
      <c:catAx>
        <c:axId val="368398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5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PCAGrid!$GS$454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[0]!PCG_R10_2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7B9-45A5-9DB7-13B1459F3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301136"/>
        <c:axId val="7142915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[0]!PCG_SUp10_2</c:f>
            </c:numRef>
          </c:val>
          <c:smooth val="0"/>
          <c:extLst>
            <c:ext xmlns:c16="http://schemas.microsoft.com/office/drawing/2014/chart" uri="{C3380CC4-5D6E-409C-BE32-E72D297353CC}">
              <c16:uniqueId val="{00000000-0310-44E1-BFFA-14EB0CB2E003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[0]!PCG_SDn10_2</c:f>
            </c:numRef>
          </c:val>
          <c:smooth val="0"/>
          <c:extLst>
            <c:ext xmlns:c16="http://schemas.microsoft.com/office/drawing/2014/chart" uri="{C3380CC4-5D6E-409C-BE32-E72D297353CC}">
              <c16:uniqueId val="{00000001-0310-44E1-BFFA-14EB0CB2E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1136"/>
        <c:axId val="7142915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691F-494B-8290-785F7A814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2191"/>
        <c:axId val="368382111"/>
      </c:lineChart>
      <c:catAx>
        <c:axId val="71430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1536"/>
        <c:crosses val="autoZero"/>
        <c:auto val="1"/>
        <c:lblAlgn val="ctr"/>
        <c:lblOffset val="100"/>
        <c:noMultiLvlLbl val="0"/>
      </c:catAx>
      <c:valAx>
        <c:axId val="71429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1136"/>
        <c:crosses val="autoZero"/>
        <c:crossBetween val="between"/>
      </c:valAx>
      <c:valAx>
        <c:axId val="368382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2191"/>
        <c:crosses val="max"/>
        <c:crossBetween val="between"/>
      </c:valAx>
      <c:catAx>
        <c:axId val="368392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82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PCAGrid!$GT$454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[0]!PCG_R10_3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9A0-4A54-BBA9-32C89E26BC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2496"/>
        <c:axId val="7142948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[0]!PCG_SUp10_3</c:f>
            </c:numRef>
          </c:val>
          <c:smooth val="0"/>
          <c:extLst>
            <c:ext xmlns:c16="http://schemas.microsoft.com/office/drawing/2014/chart" uri="{C3380CC4-5D6E-409C-BE32-E72D297353CC}">
              <c16:uniqueId val="{00000000-BA3E-4A4A-89EF-531CB9CFD6A4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[0]!PCG_SDn10_3</c:f>
            </c:numRef>
          </c:val>
          <c:smooth val="0"/>
          <c:extLst>
            <c:ext xmlns:c16="http://schemas.microsoft.com/office/drawing/2014/chart" uri="{C3380CC4-5D6E-409C-BE32-E72D297353CC}">
              <c16:uniqueId val="{00000001-BA3E-4A4A-89EF-531CB9CFD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2496"/>
        <c:axId val="7142948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F65-4229-B237-480C42DF5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6031"/>
        <c:axId val="368400351"/>
      </c:lineChart>
      <c:catAx>
        <c:axId val="71429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4896"/>
        <c:crosses val="autoZero"/>
        <c:auto val="1"/>
        <c:lblAlgn val="ctr"/>
        <c:lblOffset val="100"/>
        <c:noMultiLvlLbl val="0"/>
      </c:catAx>
      <c:valAx>
        <c:axId val="71429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2496"/>
        <c:crosses val="autoZero"/>
        <c:crossBetween val="between"/>
      </c:valAx>
      <c:valAx>
        <c:axId val="3684003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6031"/>
        <c:crosses val="max"/>
        <c:crossBetween val="between"/>
      </c:valAx>
      <c:catAx>
        <c:axId val="368396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03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PCAGrid!$GU$454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[0]!PCG_R10_4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B22B-450B-BAED-836CA2FC2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93936"/>
        <c:axId val="71428673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[0]!PCG_SUp10_4</c:f>
            </c:numRef>
          </c:val>
          <c:smooth val="0"/>
          <c:extLst>
            <c:ext xmlns:c16="http://schemas.microsoft.com/office/drawing/2014/chart" uri="{C3380CC4-5D6E-409C-BE32-E72D297353CC}">
              <c16:uniqueId val="{00000000-094C-45AF-A6AD-023C51FF0D70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[0]!PCG_SDn10_4</c:f>
            </c:numRef>
          </c:val>
          <c:smooth val="0"/>
          <c:extLst>
            <c:ext xmlns:c16="http://schemas.microsoft.com/office/drawing/2014/chart" uri="{C3380CC4-5D6E-409C-BE32-E72D297353CC}">
              <c16:uniqueId val="{00000001-094C-45AF-A6AD-023C51FF0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93936"/>
        <c:axId val="71428673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657-4CA1-A5C5-7385C7574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0831"/>
        <c:axId val="368396991"/>
      </c:lineChart>
      <c:catAx>
        <c:axId val="71429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6736"/>
        <c:crosses val="autoZero"/>
        <c:auto val="1"/>
        <c:lblAlgn val="ctr"/>
        <c:lblOffset val="100"/>
        <c:noMultiLvlLbl val="0"/>
      </c:catAx>
      <c:valAx>
        <c:axId val="71428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93936"/>
        <c:crosses val="autoZero"/>
        <c:crossBetween val="between"/>
      </c:valAx>
      <c:valAx>
        <c:axId val="368396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0831"/>
        <c:crosses val="max"/>
        <c:crossBetween val="between"/>
      </c:valAx>
      <c:catAx>
        <c:axId val="3684008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6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PCAGrid!$GV$454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Residual (bp)</c:v>
          </c:tx>
          <c:spPr>
            <a:solidFill>
              <a:srgbClr val="0070C0"/>
            </a:solidFill>
            <a:ln>
              <a:noFill/>
            </a:ln>
            <a:effectLst/>
          </c:spPr>
          <c:invertIfNegative val="1"/>
          <c:cat>
            <c:strRef>
              <c:f>[0]!PCG_Tenor</c:f>
            </c:strRef>
          </c:cat>
          <c:val>
            <c:numRef>
              <c:f>[0]!PCG_R10_5</c:f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ED7531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FDA2-431B-AFEB-27DF890BA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4287696"/>
        <c:axId val="714316496"/>
      </c:barChart>
      <c:lineChart>
        <c:grouping val="standard"/>
        <c:varyColors val="0"/>
        <c:ser>
          <c:idx val="1"/>
          <c:order val="1"/>
          <c:tx>
            <c:v>+1σ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[0]!PCG_SUp10_5</c:f>
            </c:numRef>
          </c:val>
          <c:smooth val="0"/>
          <c:extLst>
            <c:ext xmlns:c16="http://schemas.microsoft.com/office/drawing/2014/chart" uri="{C3380CC4-5D6E-409C-BE32-E72D297353CC}">
              <c16:uniqueId val="{00000000-773B-4849-9B69-9CC5C27B17BD}"/>
            </c:ext>
          </c:extLst>
        </c:ser>
        <c:ser>
          <c:idx val="2"/>
          <c:order val="2"/>
          <c:tx>
            <c:v>-1σ</c:v>
          </c:tx>
          <c:spPr>
            <a:ln w="12700" cap="rnd">
              <a:solidFill>
                <a:srgbClr val="808080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[0]!PCG_SDn10_5</c:f>
            </c:numRef>
          </c:val>
          <c:smooth val="0"/>
          <c:extLst>
            <c:ext xmlns:c16="http://schemas.microsoft.com/office/drawing/2014/chart" uri="{C3380CC4-5D6E-409C-BE32-E72D297353CC}">
              <c16:uniqueId val="{00000001-773B-4849-9B69-9CC5C27B1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87696"/>
        <c:axId val="714316496"/>
      </c:lineChart>
      <c:lineChart>
        <c:grouping val="standard"/>
        <c:varyColors val="0"/>
        <c:ser>
          <c:idx val="3"/>
          <c:order val="3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0F9ED5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7B52-4292-BD3F-E4B8FCEC0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9871"/>
        <c:axId val="368398911"/>
      </c:lineChart>
      <c:catAx>
        <c:axId val="714287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6496"/>
        <c:crosses val="autoZero"/>
        <c:auto val="1"/>
        <c:lblAlgn val="ctr"/>
        <c:lblOffset val="100"/>
        <c:noMultiLvlLbl val="0"/>
      </c:catAx>
      <c:valAx>
        <c:axId val="71431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287696"/>
        <c:crosses val="autoZero"/>
        <c:crossBetween val="between"/>
      </c:valAx>
      <c:valAx>
        <c:axId val="3683989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9871"/>
        <c:crosses val="max"/>
        <c:crossBetween val="between"/>
      </c:valAx>
      <c:catAx>
        <c:axId val="368399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89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000"/>
              <a:t>PC1-PC5 (Case 10)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[0]!PCG_V10_1</c:f>
            </c:numRef>
          </c:val>
          <c:smooth val="0"/>
          <c:extLst>
            <c:ext xmlns:c16="http://schemas.microsoft.com/office/drawing/2014/chart" uri="{C3380CC4-5D6E-409C-BE32-E72D297353CC}">
              <c16:uniqueId val="{00000001-186D-4BED-B21C-38CF02CBB0E5}"/>
            </c:ext>
          </c:extLst>
        </c:ser>
        <c:ser>
          <c:idx val="1"/>
          <c:order val="1"/>
          <c:tx>
            <c:v>PC2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[0]!PCG_V10_2</c:f>
            </c:numRef>
          </c:val>
          <c:smooth val="0"/>
          <c:extLst>
            <c:ext xmlns:c16="http://schemas.microsoft.com/office/drawing/2014/chart" uri="{C3380CC4-5D6E-409C-BE32-E72D297353CC}">
              <c16:uniqueId val="{00000002-186D-4BED-B21C-38CF02CBB0E5}"/>
            </c:ext>
          </c:extLst>
        </c:ser>
        <c:ser>
          <c:idx val="2"/>
          <c:order val="2"/>
          <c:tx>
            <c:v>PC3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[0]!PCG_V10_3</c:f>
            </c:numRef>
          </c:val>
          <c:smooth val="0"/>
          <c:extLst>
            <c:ext xmlns:c16="http://schemas.microsoft.com/office/drawing/2014/chart" uri="{C3380CC4-5D6E-409C-BE32-E72D297353CC}">
              <c16:uniqueId val="{00000003-186D-4BED-B21C-38CF02CBB0E5}"/>
            </c:ext>
          </c:extLst>
        </c:ser>
        <c:ser>
          <c:idx val="3"/>
          <c:order val="3"/>
          <c:tx>
            <c:v>PC4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[0]!PCG_V10_4</c:f>
            </c:numRef>
          </c:val>
          <c:smooth val="0"/>
          <c:extLst>
            <c:ext xmlns:c16="http://schemas.microsoft.com/office/drawing/2014/chart" uri="{C3380CC4-5D6E-409C-BE32-E72D297353CC}">
              <c16:uniqueId val="{00000004-186D-4BED-B21C-38CF02CBB0E5}"/>
            </c:ext>
          </c:extLst>
        </c:ser>
        <c:ser>
          <c:idx val="4"/>
          <c:order val="4"/>
          <c:tx>
            <c:v>PC5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[0]!PCG_V10_5</c:f>
            </c:numRef>
          </c:val>
          <c:smooth val="0"/>
          <c:extLst>
            <c:ext xmlns:c16="http://schemas.microsoft.com/office/drawing/2014/chart" uri="{C3380CC4-5D6E-409C-BE32-E72D297353CC}">
              <c16:uniqueId val="{00000005-186D-4BED-B21C-38CF02CBB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305456"/>
        <c:axId val="7143107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FF5A-4C62-86F2-961173557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5471"/>
        <c:axId val="368401311"/>
      </c:lineChart>
      <c:catAx>
        <c:axId val="714305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10736"/>
        <c:crosses val="autoZero"/>
        <c:auto val="1"/>
        <c:lblAlgn val="ctr"/>
        <c:lblOffset val="100"/>
        <c:noMultiLvlLbl val="0"/>
      </c:catAx>
      <c:valAx>
        <c:axId val="71431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14305456"/>
        <c:crosses val="autoZero"/>
        <c:crossBetween val="between"/>
      </c:valAx>
      <c:valAx>
        <c:axId val="368401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5471"/>
        <c:crosses val="max"/>
        <c:crossBetween val="between"/>
      </c:valAx>
      <c:catAx>
        <c:axId val="3683854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</c:f>
            </c:numRef>
          </c:val>
          <c:smooth val="0"/>
          <c:extLst>
            <c:ext xmlns:c16="http://schemas.microsoft.com/office/drawing/2014/chart" uri="{C3380CC4-5D6E-409C-BE32-E72D297353CC}">
              <c16:uniqueId val="{00000003-98FF-4296-B230-E43B18796D1F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</c:f>
            </c:numRef>
          </c:val>
          <c:smooth val="0"/>
          <c:extLst>
            <c:ext xmlns:c16="http://schemas.microsoft.com/office/drawing/2014/chart" uri="{C3380CC4-5D6E-409C-BE32-E72D297353CC}">
              <c16:uniqueId val="{00000004-98FF-4296-B230-E43B18796D1F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</c:f>
            </c:numRef>
          </c:val>
          <c:smooth val="0"/>
          <c:extLst>
            <c:ext xmlns:c16="http://schemas.microsoft.com/office/drawing/2014/chart" uri="{C3380CC4-5D6E-409C-BE32-E72D297353CC}">
              <c16:uniqueId val="{00000005-98FF-4296-B230-E43B18796D1F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</c:f>
            </c:numRef>
          </c:val>
          <c:smooth val="0"/>
          <c:extLst>
            <c:ext xmlns:c16="http://schemas.microsoft.com/office/drawing/2014/chart" uri="{C3380CC4-5D6E-409C-BE32-E72D297353CC}">
              <c16:uniqueId val="{00000002-98FF-4296-B230-E43B18796D1F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</c:f>
            </c:numRef>
          </c:val>
          <c:smooth val="0"/>
          <c:extLst>
            <c:ext xmlns:c16="http://schemas.microsoft.com/office/drawing/2014/chart" uri="{C3380CC4-5D6E-409C-BE32-E72D297353CC}">
              <c16:uniqueId val="{00000001-98FF-4296-B230-E43B18796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13504"/>
        <c:axId val="212071542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D34-4117-AC08-B4C62558B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38271"/>
        <c:axId val="368437311"/>
      </c:lineChart>
      <c:catAx>
        <c:axId val="212071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5424"/>
        <c:crosses val="autoZero"/>
        <c:auto val="1"/>
        <c:lblAlgn val="ctr"/>
        <c:lblOffset val="100"/>
        <c:noMultiLvlLbl val="0"/>
      </c:catAx>
      <c:valAx>
        <c:axId val="212071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13504"/>
        <c:crosses val="autoZero"/>
        <c:crossBetween val="between"/>
      </c:valAx>
      <c:valAx>
        <c:axId val="3684373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38271"/>
        <c:crosses val="max"/>
        <c:crossBetween val="between"/>
      </c:valAx>
      <c:catAx>
        <c:axId val="368438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373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[0]!PCG_Rec2</c:f>
            </c:numRef>
          </c:val>
          <c:smooth val="0"/>
          <c:extLst>
            <c:ext xmlns:c16="http://schemas.microsoft.com/office/drawing/2014/chart" uri="{C3380CC4-5D6E-409C-BE32-E72D297353CC}">
              <c16:uniqueId val="{00000003-B66F-4314-AA5A-9E57B7CDBCC9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[0]!PCG_Up2</c:f>
            </c:numRef>
          </c:val>
          <c:smooth val="0"/>
          <c:extLst>
            <c:ext xmlns:c16="http://schemas.microsoft.com/office/drawing/2014/chart" uri="{C3380CC4-5D6E-409C-BE32-E72D297353CC}">
              <c16:uniqueId val="{00000004-B66F-4314-AA5A-9E57B7CDBCC9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[0]!PCG_Dn2</c:f>
            </c:numRef>
          </c:val>
          <c:smooth val="0"/>
          <c:extLst>
            <c:ext xmlns:c16="http://schemas.microsoft.com/office/drawing/2014/chart" uri="{C3380CC4-5D6E-409C-BE32-E72D297353CC}">
              <c16:uniqueId val="{00000005-B66F-4314-AA5A-9E57B7CDBCC9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[0]!PCG_Mean2</c:f>
            </c:numRef>
          </c:val>
          <c:smooth val="0"/>
          <c:extLst>
            <c:ext xmlns:c16="http://schemas.microsoft.com/office/drawing/2014/chart" uri="{C3380CC4-5D6E-409C-BE32-E72D297353CC}">
              <c16:uniqueId val="{00000002-B66F-4314-AA5A-9E57B7CDBCC9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[0]!PCG_Act2</c:f>
            </c:numRef>
          </c:val>
          <c:smooth val="0"/>
          <c:extLst>
            <c:ext xmlns:c16="http://schemas.microsoft.com/office/drawing/2014/chart" uri="{C3380CC4-5D6E-409C-BE32-E72D297353CC}">
              <c16:uniqueId val="{00000001-B66F-4314-AA5A-9E57B7CD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723104"/>
        <c:axId val="2120723584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1BD5-4988-9425-8011B9B3A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47871"/>
        <c:axId val="368444991"/>
      </c:lineChart>
      <c:catAx>
        <c:axId val="21207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584"/>
        <c:crosses val="autoZero"/>
        <c:auto val="1"/>
        <c:lblAlgn val="ctr"/>
        <c:lblOffset val="100"/>
        <c:noMultiLvlLbl val="0"/>
      </c:catAx>
      <c:valAx>
        <c:axId val="2120723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0723104"/>
        <c:crosses val="autoZero"/>
        <c:crossBetween val="between"/>
      </c:valAx>
      <c:valAx>
        <c:axId val="3684449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47871"/>
        <c:crosses val="max"/>
        <c:crossBetween val="between"/>
      </c:valAx>
      <c:catAx>
        <c:axId val="368447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449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[0]!PCG_Rec3</c:f>
            </c:numRef>
          </c:val>
          <c:smooth val="0"/>
          <c:extLst>
            <c:ext xmlns:c16="http://schemas.microsoft.com/office/drawing/2014/chart" uri="{C3380CC4-5D6E-409C-BE32-E72D297353CC}">
              <c16:uniqueId val="{00000003-3DD1-41D0-B3A4-5FA6ADC5A878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[0]!PCG_Up3</c:f>
            </c:numRef>
          </c:val>
          <c:smooth val="0"/>
          <c:extLst>
            <c:ext xmlns:c16="http://schemas.microsoft.com/office/drawing/2014/chart" uri="{C3380CC4-5D6E-409C-BE32-E72D297353CC}">
              <c16:uniqueId val="{00000004-3DD1-41D0-B3A4-5FA6ADC5A878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[0]!PCG_Dn3</c:f>
            </c:numRef>
          </c:val>
          <c:smooth val="0"/>
          <c:extLst>
            <c:ext xmlns:c16="http://schemas.microsoft.com/office/drawing/2014/chart" uri="{C3380CC4-5D6E-409C-BE32-E72D297353CC}">
              <c16:uniqueId val="{00000005-3DD1-41D0-B3A4-5FA6ADC5A878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[0]!PCG_Mean3</c:f>
            </c:numRef>
          </c:val>
          <c:smooth val="0"/>
          <c:extLst>
            <c:ext xmlns:c16="http://schemas.microsoft.com/office/drawing/2014/chart" uri="{C3380CC4-5D6E-409C-BE32-E72D297353CC}">
              <c16:uniqueId val="{00000002-3DD1-41D0-B3A4-5FA6ADC5A878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[0]!PCG_Act3</c:f>
            </c:numRef>
          </c:val>
          <c:smooth val="0"/>
          <c:extLst>
            <c:ext xmlns:c16="http://schemas.microsoft.com/office/drawing/2014/chart" uri="{C3380CC4-5D6E-409C-BE32-E72D297353CC}">
              <c16:uniqueId val="{00000001-3DD1-41D0-B3A4-5FA6ADC5A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0480"/>
        <c:axId val="212236096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EBA1-4B1A-B8AC-C13D90C0E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24991"/>
        <c:axId val="368335071"/>
      </c:lineChart>
      <c:catAx>
        <c:axId val="21223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960"/>
        <c:crosses val="autoZero"/>
        <c:auto val="1"/>
        <c:lblAlgn val="ctr"/>
        <c:lblOffset val="100"/>
        <c:noMultiLvlLbl val="0"/>
      </c:catAx>
      <c:valAx>
        <c:axId val="212236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0480"/>
        <c:crosses val="autoZero"/>
        <c:crossBetween val="between"/>
      </c:valAx>
      <c:valAx>
        <c:axId val="3683350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24991"/>
        <c:crosses val="max"/>
        <c:crossBetween val="between"/>
      </c:valAx>
      <c:catAx>
        <c:axId val="368324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350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PCAGrid!$HE$154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[0]!PCG_Rec4</c:f>
            </c:numRef>
          </c:val>
          <c:smooth val="0"/>
          <c:extLst>
            <c:ext xmlns:c16="http://schemas.microsoft.com/office/drawing/2014/chart" uri="{C3380CC4-5D6E-409C-BE32-E72D297353CC}">
              <c16:uniqueId val="{00000003-A0AB-4AC4-B993-9B23D06E4C1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[0]!PCG_Up4</c:f>
            </c:numRef>
          </c:val>
          <c:smooth val="0"/>
          <c:extLst>
            <c:ext xmlns:c16="http://schemas.microsoft.com/office/drawing/2014/chart" uri="{C3380CC4-5D6E-409C-BE32-E72D297353CC}">
              <c16:uniqueId val="{00000004-A0AB-4AC4-B993-9B23D06E4C1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[0]!PCG_Dn4</c:f>
            </c:numRef>
          </c:val>
          <c:smooth val="0"/>
          <c:extLst>
            <c:ext xmlns:c16="http://schemas.microsoft.com/office/drawing/2014/chart" uri="{C3380CC4-5D6E-409C-BE32-E72D297353CC}">
              <c16:uniqueId val="{00000005-A0AB-4AC4-B993-9B23D06E4C1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[0]!PCG_Mean4</c:f>
            </c:numRef>
          </c:val>
          <c:smooth val="0"/>
          <c:extLst>
            <c:ext xmlns:c16="http://schemas.microsoft.com/office/drawing/2014/chart" uri="{C3380CC4-5D6E-409C-BE32-E72D297353CC}">
              <c16:uniqueId val="{00000002-A0AB-4AC4-B993-9B23D06E4C1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[0]!PCG_Act4</c:f>
            </c:numRef>
          </c:val>
          <c:smooth val="0"/>
          <c:extLst>
            <c:ext xmlns:c16="http://schemas.microsoft.com/office/drawing/2014/chart" uri="{C3380CC4-5D6E-409C-BE32-E72D297353CC}">
              <c16:uniqueId val="{00000001-A0AB-4AC4-B993-9B23D06E4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6720"/>
        <c:axId val="2122367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4DEF-45DA-9368-C61F070D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41791"/>
        <c:axId val="368322591"/>
      </c:lineChart>
      <c:catAx>
        <c:axId val="212236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7200"/>
        <c:crosses val="autoZero"/>
        <c:auto val="1"/>
        <c:lblAlgn val="ctr"/>
        <c:lblOffset val="100"/>
        <c:noMultiLvlLbl val="0"/>
      </c:catAx>
      <c:valAx>
        <c:axId val="212236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6720"/>
        <c:crosses val="autoZero"/>
        <c:crossBetween val="between"/>
      </c:valAx>
      <c:valAx>
        <c:axId val="368322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41791"/>
        <c:crosses val="max"/>
        <c:crossBetween val="between"/>
      </c:valAx>
      <c:catAx>
        <c:axId val="3683417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22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[0]!PCG_Rec5</c:f>
            </c:numRef>
          </c:val>
          <c:smooth val="0"/>
          <c:extLst>
            <c:ext xmlns:c16="http://schemas.microsoft.com/office/drawing/2014/chart" uri="{C3380CC4-5D6E-409C-BE32-E72D297353CC}">
              <c16:uniqueId val="{00000003-8289-469D-9F2D-1ADC4A443F43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[0]!PCG_Up5</c:f>
            </c:numRef>
          </c:val>
          <c:smooth val="0"/>
          <c:extLst>
            <c:ext xmlns:c16="http://schemas.microsoft.com/office/drawing/2014/chart" uri="{C3380CC4-5D6E-409C-BE32-E72D297353CC}">
              <c16:uniqueId val="{00000004-8289-469D-9F2D-1ADC4A443F43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[0]!PCG_Dn5</c:f>
            </c:numRef>
          </c:val>
          <c:smooth val="0"/>
          <c:extLst>
            <c:ext xmlns:c16="http://schemas.microsoft.com/office/drawing/2014/chart" uri="{C3380CC4-5D6E-409C-BE32-E72D297353CC}">
              <c16:uniqueId val="{00000005-8289-469D-9F2D-1ADC4A443F43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[0]!PCG_Mean5</c:f>
            </c:numRef>
          </c:val>
          <c:smooth val="0"/>
          <c:extLst>
            <c:ext xmlns:c16="http://schemas.microsoft.com/office/drawing/2014/chart" uri="{C3380CC4-5D6E-409C-BE32-E72D297353CC}">
              <c16:uniqueId val="{00000002-8289-469D-9F2D-1ADC4A443F43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[0]!PCG_Act5</c:f>
            </c:numRef>
          </c:val>
          <c:smooth val="0"/>
          <c:extLst>
            <c:ext xmlns:c16="http://schemas.microsoft.com/office/drawing/2014/chart" uri="{C3380CC4-5D6E-409C-BE32-E72D297353CC}">
              <c16:uniqueId val="{00000001-8289-469D-9F2D-1ADC4A443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53280"/>
        <c:axId val="212235904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09D1-4BA5-9238-1CAC5B59B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50431"/>
        <c:axId val="368347551"/>
      </c:lineChart>
      <c:catAx>
        <c:axId val="212235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9040"/>
        <c:crosses val="autoZero"/>
        <c:auto val="1"/>
        <c:lblAlgn val="ctr"/>
        <c:lblOffset val="100"/>
        <c:noMultiLvlLbl val="0"/>
      </c:catAx>
      <c:valAx>
        <c:axId val="21223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3280"/>
        <c:crosses val="autoZero"/>
        <c:crossBetween val="between"/>
      </c:valAx>
      <c:valAx>
        <c:axId val="36834755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50431"/>
        <c:crosses val="max"/>
        <c:crossBetween val="between"/>
      </c:valAx>
      <c:catAx>
        <c:axId val="368350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4755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PCAGrid!$HE$254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[0]!PCG_Rec6</c:f>
            </c:numRef>
          </c:val>
          <c:smooth val="0"/>
          <c:extLst>
            <c:ext xmlns:c16="http://schemas.microsoft.com/office/drawing/2014/chart" uri="{C3380CC4-5D6E-409C-BE32-E72D297353CC}">
              <c16:uniqueId val="{00000003-350D-4F4B-9C48-4D62FC84865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[0]!PCG_Up6</c:f>
            </c:numRef>
          </c:val>
          <c:smooth val="0"/>
          <c:extLst>
            <c:ext xmlns:c16="http://schemas.microsoft.com/office/drawing/2014/chart" uri="{C3380CC4-5D6E-409C-BE32-E72D297353CC}">
              <c16:uniqueId val="{00000004-350D-4F4B-9C48-4D62FC84865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[0]!PCG_Dn6</c:f>
            </c:numRef>
          </c:val>
          <c:smooth val="0"/>
          <c:extLst>
            <c:ext xmlns:c16="http://schemas.microsoft.com/office/drawing/2014/chart" uri="{C3380CC4-5D6E-409C-BE32-E72D297353CC}">
              <c16:uniqueId val="{00000005-350D-4F4B-9C48-4D62FC84865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[0]!PCG_Mean6</c:f>
            </c:numRef>
          </c:val>
          <c:smooth val="0"/>
          <c:extLst>
            <c:ext xmlns:c16="http://schemas.microsoft.com/office/drawing/2014/chart" uri="{C3380CC4-5D6E-409C-BE32-E72D297353CC}">
              <c16:uniqueId val="{00000002-350D-4F4B-9C48-4D62FC84865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[0]!PCG_Act6</c:f>
            </c:numRef>
          </c:val>
          <c:smooth val="0"/>
          <c:extLst>
            <c:ext xmlns:c16="http://schemas.microsoft.com/office/drawing/2014/chart" uri="{C3380CC4-5D6E-409C-BE32-E72D297353CC}">
              <c16:uniqueId val="{00000001-350D-4F4B-9C48-4D62FC84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2365760"/>
        <c:axId val="2122355200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1DB-4138-8077-C0B70A1D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60991"/>
        <c:axId val="368354271"/>
      </c:lineChart>
      <c:catAx>
        <c:axId val="21223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55200"/>
        <c:crosses val="autoZero"/>
        <c:auto val="1"/>
        <c:lblAlgn val="ctr"/>
        <c:lblOffset val="100"/>
        <c:noMultiLvlLbl val="0"/>
      </c:catAx>
      <c:valAx>
        <c:axId val="212235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2365760"/>
        <c:crosses val="autoZero"/>
        <c:crossBetween val="between"/>
      </c:valAx>
      <c:valAx>
        <c:axId val="36835427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60991"/>
        <c:crosses val="max"/>
        <c:crossBetween val="between"/>
      </c:valAx>
      <c:catAx>
        <c:axId val="368360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54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[0]!PCG_Rec7</c:f>
            </c:numRef>
          </c:val>
          <c:smooth val="0"/>
          <c:extLst>
            <c:ext xmlns:c16="http://schemas.microsoft.com/office/drawing/2014/chart" uri="{C3380CC4-5D6E-409C-BE32-E72D297353CC}">
              <c16:uniqueId val="{00000003-A3C5-40E0-8B37-33D527F9C500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[0]!PCG_Up7</c:f>
            </c:numRef>
          </c:val>
          <c:smooth val="0"/>
          <c:extLst>
            <c:ext xmlns:c16="http://schemas.microsoft.com/office/drawing/2014/chart" uri="{C3380CC4-5D6E-409C-BE32-E72D297353CC}">
              <c16:uniqueId val="{00000004-A3C5-40E0-8B37-33D527F9C500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[0]!PCG_Dn7</c:f>
            </c:numRef>
          </c:val>
          <c:smooth val="0"/>
          <c:extLst>
            <c:ext xmlns:c16="http://schemas.microsoft.com/office/drawing/2014/chart" uri="{C3380CC4-5D6E-409C-BE32-E72D297353CC}">
              <c16:uniqueId val="{00000005-A3C5-40E0-8B37-33D527F9C500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[0]!PCG_Mean7</c:f>
            </c:numRef>
          </c:val>
          <c:smooth val="0"/>
          <c:extLst>
            <c:ext xmlns:c16="http://schemas.microsoft.com/office/drawing/2014/chart" uri="{C3380CC4-5D6E-409C-BE32-E72D297353CC}">
              <c16:uniqueId val="{00000002-A3C5-40E0-8B37-33D527F9C500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[0]!PCG_Act7</c:f>
            </c:numRef>
          </c:val>
          <c:smooth val="0"/>
          <c:extLst>
            <c:ext xmlns:c16="http://schemas.microsoft.com/office/drawing/2014/chart" uri="{C3380CC4-5D6E-409C-BE32-E72D297353CC}">
              <c16:uniqueId val="{00000001-A3C5-40E0-8B37-33D527F9C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7136"/>
        <c:axId val="212337953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D00D-4B45-8AE3-FB639D50B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72031"/>
        <c:axId val="368370591"/>
      </c:lineChart>
      <c:catAx>
        <c:axId val="212337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536"/>
        <c:crosses val="autoZero"/>
        <c:auto val="1"/>
        <c:lblAlgn val="ctr"/>
        <c:lblOffset val="100"/>
        <c:noMultiLvlLbl val="0"/>
      </c:catAx>
      <c:valAx>
        <c:axId val="212337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7136"/>
        <c:crosses val="autoZero"/>
        <c:crossBetween val="between"/>
      </c:valAx>
      <c:valAx>
        <c:axId val="3683705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72031"/>
        <c:crosses val="max"/>
        <c:crossBetween val="between"/>
      </c:valAx>
      <c:catAx>
        <c:axId val="3683720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05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PCAGrid!$HE$354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[0]!PCG_Rec8</c:f>
            </c:numRef>
          </c:val>
          <c:smooth val="0"/>
          <c:extLst>
            <c:ext xmlns:c16="http://schemas.microsoft.com/office/drawing/2014/chart" uri="{C3380CC4-5D6E-409C-BE32-E72D297353CC}">
              <c16:uniqueId val="{00000003-1913-429B-927D-564BF814B6ED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[0]!PCG_Up8</c:f>
            </c:numRef>
          </c:val>
          <c:smooth val="0"/>
          <c:extLst>
            <c:ext xmlns:c16="http://schemas.microsoft.com/office/drawing/2014/chart" uri="{C3380CC4-5D6E-409C-BE32-E72D297353CC}">
              <c16:uniqueId val="{00000004-1913-429B-927D-564BF814B6ED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[0]!PCG_Dn8</c:f>
            </c:numRef>
          </c:val>
          <c:smooth val="0"/>
          <c:extLst>
            <c:ext xmlns:c16="http://schemas.microsoft.com/office/drawing/2014/chart" uri="{C3380CC4-5D6E-409C-BE32-E72D297353CC}">
              <c16:uniqueId val="{00000005-1913-429B-927D-564BF814B6ED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[0]!PCG_Mean8</c:f>
            </c:numRef>
          </c:val>
          <c:smooth val="0"/>
          <c:extLst>
            <c:ext xmlns:c16="http://schemas.microsoft.com/office/drawing/2014/chart" uri="{C3380CC4-5D6E-409C-BE32-E72D297353CC}">
              <c16:uniqueId val="{00000002-1913-429B-927D-564BF814B6ED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[0]!PCG_Act8</c:f>
            </c:numRef>
          </c:val>
          <c:smooth val="0"/>
          <c:extLst>
            <c:ext xmlns:c16="http://schemas.microsoft.com/office/drawing/2014/chart" uri="{C3380CC4-5D6E-409C-BE32-E72D297353CC}">
              <c16:uniqueId val="{00000001-1913-429B-927D-564BF814B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9056"/>
        <c:axId val="21233785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613-4F96-914A-91B4B26EB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80191"/>
        <c:axId val="368379711"/>
      </c:lineChart>
      <c:catAx>
        <c:axId val="212337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576"/>
        <c:crosses val="autoZero"/>
        <c:auto val="1"/>
        <c:lblAlgn val="ctr"/>
        <c:lblOffset val="100"/>
        <c:noMultiLvlLbl val="0"/>
      </c:catAx>
      <c:valAx>
        <c:axId val="21233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9056"/>
        <c:crosses val="autoZero"/>
        <c:crossBetween val="between"/>
      </c:valAx>
      <c:valAx>
        <c:axId val="3683797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80191"/>
        <c:crosses val="max"/>
        <c:crossBetween val="between"/>
      </c:valAx>
      <c:catAx>
        <c:axId val="3683801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79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PCAGrid!$HE$404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[0]!PCG_Rec9</c:f>
            </c:numRef>
          </c:val>
          <c:smooth val="0"/>
          <c:extLst>
            <c:ext xmlns:c16="http://schemas.microsoft.com/office/drawing/2014/chart" uri="{C3380CC4-5D6E-409C-BE32-E72D297353CC}">
              <c16:uniqueId val="{00000003-0711-42F5-841A-E3E24F462ADC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[0]!PCG_Up9</c:f>
            </c:numRef>
          </c:val>
          <c:smooth val="0"/>
          <c:extLst>
            <c:ext xmlns:c16="http://schemas.microsoft.com/office/drawing/2014/chart" uri="{C3380CC4-5D6E-409C-BE32-E72D297353CC}">
              <c16:uniqueId val="{00000004-0711-42F5-841A-E3E24F462ADC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[0]!PCG_Dn9</c:f>
            </c:numRef>
          </c:val>
          <c:smooth val="0"/>
          <c:extLst>
            <c:ext xmlns:c16="http://schemas.microsoft.com/office/drawing/2014/chart" uri="{C3380CC4-5D6E-409C-BE32-E72D297353CC}">
              <c16:uniqueId val="{00000005-0711-42F5-841A-E3E24F462ADC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[0]!PCG_Mean9</c:f>
            </c:numRef>
          </c:val>
          <c:smooth val="0"/>
          <c:extLst>
            <c:ext xmlns:c16="http://schemas.microsoft.com/office/drawing/2014/chart" uri="{C3380CC4-5D6E-409C-BE32-E72D297353CC}">
              <c16:uniqueId val="{00000002-0711-42F5-841A-E3E24F462ADC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[0]!PCG_Act9</c:f>
            </c:numRef>
          </c:val>
          <c:smooth val="0"/>
          <c:extLst>
            <c:ext xmlns:c16="http://schemas.microsoft.com/office/drawing/2014/chart" uri="{C3380CC4-5D6E-409C-BE32-E72D297353CC}">
              <c16:uniqueId val="{00000001-0711-42F5-841A-E3E24F462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78096"/>
        <c:axId val="212338001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BB28-45B3-85C0-0FF337DA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391711"/>
        <c:axId val="368394111"/>
      </c:lineChart>
      <c:catAx>
        <c:axId val="21233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80016"/>
        <c:crosses val="autoZero"/>
        <c:auto val="1"/>
        <c:lblAlgn val="ctr"/>
        <c:lblOffset val="100"/>
        <c:noMultiLvlLbl val="0"/>
      </c:catAx>
      <c:valAx>
        <c:axId val="21233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78096"/>
        <c:crosses val="autoZero"/>
        <c:crossBetween val="between"/>
      </c:valAx>
      <c:valAx>
        <c:axId val="36839411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391711"/>
        <c:crosses val="max"/>
        <c:crossBetween val="between"/>
      </c:valAx>
      <c:catAx>
        <c:axId val="3683917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3941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PCAGrid!$HE$454</c:f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v>Recon</c:v>
          </c:tx>
          <c:spPr>
            <a:ln w="38100" cap="rnd">
              <a:solidFill>
                <a:srgbClr val="196B24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38100">
                <a:solidFill>
                  <a:srgbClr val="196B24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[0]!PCG_Rec10</c:f>
            </c:numRef>
          </c:val>
          <c:smooth val="0"/>
          <c:extLst>
            <c:ext xmlns:c16="http://schemas.microsoft.com/office/drawing/2014/chart" uri="{C3380CC4-5D6E-409C-BE32-E72D297353CC}">
              <c16:uniqueId val="{00000003-4FEA-4492-AC6D-B7F8E83B115E}"/>
            </c:ext>
          </c:extLst>
        </c:ser>
        <c:ser>
          <c:idx val="3"/>
          <c:order val="3"/>
          <c:tx>
            <c:v>+1σ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[0]!PCG_Up10</c:f>
            </c:numRef>
          </c:val>
          <c:smooth val="0"/>
          <c:extLst>
            <c:ext xmlns:c16="http://schemas.microsoft.com/office/drawing/2014/chart" uri="{C3380CC4-5D6E-409C-BE32-E72D297353CC}">
              <c16:uniqueId val="{00000004-4FEA-4492-AC6D-B7F8E83B115E}"/>
            </c:ext>
          </c:extLst>
        </c:ser>
        <c:ser>
          <c:idx val="4"/>
          <c:order val="4"/>
          <c:tx>
            <c:v>-1σ</c:v>
          </c:tx>
          <c:spPr>
            <a:ln w="12700" cap="rnd">
              <a:solidFill>
                <a:srgbClr val="E9713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[0]!PCG_Tenor</c:f>
            </c:strRef>
          </c:cat>
          <c:val>
            <c:numRef>
              <c:f>[0]!PCG_Dn10</c:f>
            </c:numRef>
          </c:val>
          <c:smooth val="0"/>
          <c:extLst>
            <c:ext xmlns:c16="http://schemas.microsoft.com/office/drawing/2014/chart" uri="{C3380CC4-5D6E-409C-BE32-E72D297353CC}">
              <c16:uniqueId val="{00000005-4FEA-4492-AC6D-B7F8E83B115E}"/>
            </c:ext>
          </c:extLst>
        </c:ser>
        <c:ser>
          <c:idx val="1"/>
          <c:order val="1"/>
          <c:tx>
            <c:v>Mean</c:v>
          </c:tx>
          <c:spPr>
            <a:ln w="38100" cap="rnd">
              <a:solidFill>
                <a:srgbClr val="E9713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2"/>
              </a:solidFill>
              <a:ln w="38100">
                <a:solidFill>
                  <a:srgbClr val="E9713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[0]!PCG_Mean10</c:f>
            </c:numRef>
          </c:val>
          <c:smooth val="0"/>
          <c:extLst>
            <c:ext xmlns:c16="http://schemas.microsoft.com/office/drawing/2014/chart" uri="{C3380CC4-5D6E-409C-BE32-E72D297353CC}">
              <c16:uniqueId val="{00000002-4FEA-4492-AC6D-B7F8E83B115E}"/>
            </c:ext>
          </c:extLst>
        </c:ser>
        <c:ser>
          <c:idx val="0"/>
          <c:order val="0"/>
          <c:tx>
            <c:v>Actual</c:v>
          </c:tx>
          <c:spPr>
            <a:ln w="38100" cap="rnd">
              <a:solidFill>
                <a:srgbClr val="15608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chemeClr val="accent1"/>
              </a:solidFill>
              <a:ln w="38100">
                <a:solidFill>
                  <a:srgbClr val="156082"/>
                </a:solidFill>
              </a:ln>
              <a:effectLst/>
            </c:spPr>
          </c:marker>
          <c:cat>
            <c:strRef>
              <c:f>[0]!PCG_Tenor</c:f>
            </c:strRef>
          </c:cat>
          <c:val>
            <c:numRef>
              <c:f>[0]!PCG_Act10</c:f>
            </c:numRef>
          </c:val>
          <c:smooth val="0"/>
          <c:extLst>
            <c:ext xmlns:c16="http://schemas.microsoft.com/office/drawing/2014/chart" uri="{C3380CC4-5D6E-409C-BE32-E72D297353CC}">
              <c16:uniqueId val="{00000001-4FEA-4492-AC6D-B7F8E83B1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390096"/>
        <c:axId val="2123721376"/>
      </c:lineChart>
      <c:lineChart>
        <c:grouping val="standard"/>
        <c:varyColors val="0"/>
        <c:ser>
          <c:idx val="5"/>
          <c:order val="5"/>
          <c:tx>
            <c:v>Guide</c:v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EA72E"/>
                  </a:solidFill>
                  <a:round/>
                </a14:hiddenLine>
              </a:ext>
            </a:extLst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1"/>
            <c:spPr>
              <a:noFill/>
              <a:ln w="9525" cap="flat" cmpd="sng" algn="ctr">
                <a:solidFill>
                  <a:srgbClr val="A6A6A6"/>
                </a:solidFill>
                <a:prstDash val="dash"/>
                <a:round/>
              </a:ln>
              <a:effectLst/>
            </c:spPr>
          </c:errBars>
          <c:cat>
            <c:strRef>
              <c:f>[0]!PCG_Tenor</c:f>
            </c:strRef>
          </c:cat>
          <c:val>
            <c:numRef>
              <c:f>[0]!PCG_Guide</c:f>
            </c:numRef>
          </c:val>
          <c:smooth val="0"/>
          <c:extLst>
            <c:ext xmlns:c16="http://schemas.microsoft.com/office/drawing/2014/chart" uri="{C3380CC4-5D6E-409C-BE32-E72D297353CC}">
              <c16:uniqueId val="{00000000-5671-4662-9D9A-E3A93F3D8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402271"/>
        <c:axId val="368401791"/>
      </c:lineChart>
      <c:catAx>
        <c:axId val="212339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721376"/>
        <c:crosses val="autoZero"/>
        <c:auto val="1"/>
        <c:lblAlgn val="ctr"/>
        <c:lblOffset val="100"/>
        <c:noMultiLvlLbl val="0"/>
      </c:catAx>
      <c:valAx>
        <c:axId val="21237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3390096"/>
        <c:crosses val="autoZero"/>
        <c:crossBetween val="between"/>
      </c:valAx>
      <c:valAx>
        <c:axId val="368401791"/>
        <c:scaling>
          <c:orientation val="minMax"/>
          <c:max val="1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8402271"/>
        <c:crosses val="max"/>
        <c:crossBetween val="between"/>
      </c:valAx>
      <c:catAx>
        <c:axId val="3684022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840179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VolLevel!$BJ$4:$BJ$3000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4451-448C-B851-4873C0363EEF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VolLevel!$BG$4:$BG$3000</c:f>
            </c:numRef>
          </c:xVal>
          <c:yVal>
            <c:numRef>
              <c:f>VolLevel!$BK$4:$BK$3000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4451-448C-B851-4873C0363EEF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VolLevel!$CD$4</c:f>
            </c:numRef>
          </c:xVal>
          <c:yVal>
            <c:numRef>
              <c:f>VolLevel!$CE$4</c:f>
            </c:numRef>
          </c:yVal>
          <c:smooth val="0"/>
          <c:extLst>
            <c:ext xmlns:c16="http://schemas.microsoft.com/office/drawing/2014/chart" uri="{C3380CC4-5D6E-409C-BE32-E72D297353CC}">
              <c16:uniqueId val="{00000008-4451-448C-B851-4873C0363EEF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VolLevel!$CB$4</c:f>
            </c:numRef>
          </c:xVal>
          <c:yVal>
            <c:numRef>
              <c:f>VolLevel!$CC$4</c:f>
            </c:numRef>
          </c:yVal>
          <c:smooth val="0"/>
          <c:extLst>
            <c:ext xmlns:c16="http://schemas.microsoft.com/office/drawing/2014/chart" uri="{C3380CC4-5D6E-409C-BE32-E72D297353CC}">
              <c16:uniqueId val="{00000009-4451-448C-B851-4873C0363EEF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VolLevel!$CF$4:$CG$4</c:f>
            </c:numRef>
          </c:xVal>
          <c:yVal>
            <c:numRef>
              <c:f>VolLevel!$CH$4:$CI$4</c:f>
            </c:numRef>
          </c:yVal>
          <c:smooth val="0"/>
          <c:extLst>
            <c:ext xmlns:c16="http://schemas.microsoft.com/office/drawing/2014/chart" uri="{C3380CC4-5D6E-409C-BE32-E72D297353CC}">
              <c16:uniqueId val="{0000000A-4451-448C-B851-4873C0363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593791"/>
        <c:axId val="1722604831"/>
      </c:scatterChart>
      <c:valAx>
        <c:axId val="172259379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604831"/>
        <c:crosses val="autoZero"/>
        <c:crossBetween val="midCat"/>
      </c:valAx>
      <c:valAx>
        <c:axId val="172260483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59379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VolLevel!$BQ$4:$BQ$3000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4465-44BE-AE05-AB5484BF84E4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VolLevel!$BN$4:$BN$3000</c:f>
            </c:numRef>
          </c:xVal>
          <c:yVal>
            <c:numRef>
              <c:f>VolLevel!$BR$4:$BR$3000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4465-44BE-AE05-AB5484BF84E4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VolLevel!$CD$5</c:f>
            </c:numRef>
          </c:xVal>
          <c:yVal>
            <c:numRef>
              <c:f>VolLevel!$CE$5</c:f>
            </c:numRef>
          </c:yVal>
          <c:smooth val="0"/>
          <c:extLst>
            <c:ext xmlns:c16="http://schemas.microsoft.com/office/drawing/2014/chart" uri="{C3380CC4-5D6E-409C-BE32-E72D297353CC}">
              <c16:uniqueId val="{00000008-4465-44BE-AE05-AB5484BF84E4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VolLevel!$CB$5</c:f>
            </c:numRef>
          </c:xVal>
          <c:yVal>
            <c:numRef>
              <c:f>VolLevel!$CC$5</c:f>
            </c:numRef>
          </c:yVal>
          <c:smooth val="0"/>
          <c:extLst>
            <c:ext xmlns:c16="http://schemas.microsoft.com/office/drawing/2014/chart" uri="{C3380CC4-5D6E-409C-BE32-E72D297353CC}">
              <c16:uniqueId val="{00000009-4465-44BE-AE05-AB5484BF84E4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VolLevel!$CF$5:$CG$5</c:f>
            </c:numRef>
          </c:xVal>
          <c:yVal>
            <c:numRef>
              <c:f>VolLevel!$CH$5:$CI$5</c:f>
            </c:numRef>
          </c:yVal>
          <c:smooth val="0"/>
          <c:extLst>
            <c:ext xmlns:c16="http://schemas.microsoft.com/office/drawing/2014/chart" uri="{C3380CC4-5D6E-409C-BE32-E72D297353CC}">
              <c16:uniqueId val="{0000000A-4465-44BE-AE05-AB5484BF8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600991"/>
        <c:axId val="1722594751"/>
      </c:scatterChart>
      <c:valAx>
        <c:axId val="172260099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594751"/>
        <c:crosses val="autoZero"/>
        <c:crossBetween val="midCat"/>
      </c:valAx>
      <c:valAx>
        <c:axId val="172259475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60099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Pair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History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BFBFBF"/>
              </a:solidFill>
              <a:ln>
                <a:solidFill>
                  <a:srgbClr val="BFBFBF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VolLevel!$BX$4:$BX$3000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6-B4A2-4D5C-952C-DB9B75F94A21}"/>
            </c:ext>
          </c:extLst>
        </c:ser>
        <c:ser>
          <c:idx val="1"/>
          <c:order val="1"/>
          <c:tx>
            <c:v>Recent</c:v>
          </c:tx>
          <c:spPr>
            <a:ln w="3810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VolLevel!$BU$4:$BU$3000</c:f>
            </c:numRef>
          </c:xVal>
          <c:yVal>
            <c:numRef>
              <c:f>VolLevel!$BY$4:$BY$3000</c:f>
            </c:numRef>
          </c:yVal>
          <c:smooth val="0"/>
          <c:extLst>
            <c:ext xmlns:c16="http://schemas.microsoft.com/office/drawing/2014/chart" uri="{C3380CC4-5D6E-409C-BE32-E72D297353CC}">
              <c16:uniqueId val="{00000007-B4A2-4D5C-952C-DB9B75F94A21}"/>
            </c:ext>
          </c:extLst>
        </c:ser>
        <c:ser>
          <c:idx val="2"/>
          <c:order val="2"/>
          <c:tx>
            <c:v>Latest (DB)</c:v>
          </c:tx>
          <c:spPr>
            <a:ln w="38100">
              <a:noFill/>
            </a:ln>
          </c:spPr>
          <c:marker>
            <c:symbol val="diamond"/>
            <c:size val="9"/>
            <c:spPr>
              <a:solidFill>
                <a:srgbClr val="1F4E79"/>
              </a:solidFill>
              <a:ln>
                <a:solidFill>
                  <a:srgbClr val="1F4E79"/>
                </a:solidFill>
                <a:prstDash val="solid"/>
              </a:ln>
            </c:spPr>
          </c:marker>
          <c:xVal>
            <c:numRef>
              <c:f>VolLevel!$CD$6</c:f>
            </c:numRef>
          </c:xVal>
          <c:yVal>
            <c:numRef>
              <c:f>VolLevel!$CE$6</c:f>
            </c:numRef>
          </c:yVal>
          <c:smooth val="0"/>
          <c:extLst>
            <c:ext xmlns:c16="http://schemas.microsoft.com/office/drawing/2014/chart" uri="{C3380CC4-5D6E-409C-BE32-E72D297353CC}">
              <c16:uniqueId val="{00000008-B4A2-4D5C-952C-DB9B75F94A21}"/>
            </c:ext>
          </c:extLst>
        </c:ser>
        <c:ser>
          <c:idx val="3"/>
          <c:order val="3"/>
          <c:tx>
            <c:v>Live</c:v>
          </c:tx>
          <c:spPr>
            <a:ln w="38100">
              <a:noFill/>
            </a:ln>
          </c:spPr>
          <c:marker>
            <c:symbol val="triangle"/>
            <c:size val="11"/>
            <c:spPr>
              <a:solidFill>
                <a:srgbClr val="C00000"/>
              </a:solidFill>
              <a:ln>
                <a:solidFill>
                  <a:srgbClr val="C00000"/>
                </a:solidFill>
                <a:prstDash val="solid"/>
              </a:ln>
            </c:spPr>
          </c:marker>
          <c:xVal>
            <c:numRef>
              <c:f>VolLevel!$CB$6</c:f>
            </c:numRef>
          </c:xVal>
          <c:yVal>
            <c:numRef>
              <c:f>VolLevel!$CC$6</c:f>
            </c:numRef>
          </c:yVal>
          <c:smooth val="0"/>
          <c:extLst>
            <c:ext xmlns:c16="http://schemas.microsoft.com/office/drawing/2014/chart" uri="{C3380CC4-5D6E-409C-BE32-E72D297353CC}">
              <c16:uniqueId val="{00000009-B4A2-4D5C-952C-DB9B75F94A21}"/>
            </c:ext>
          </c:extLst>
        </c:ser>
        <c:ser>
          <c:idx val="4"/>
          <c:order val="4"/>
          <c:tx>
            <c:v>Fit</c:v>
          </c:tx>
          <c:spPr>
            <a:ln w="19050">
              <a:solidFill>
                <a:srgbClr val="595959"/>
              </a:solidFill>
              <a:prstDash val="dash"/>
            </a:ln>
          </c:spPr>
          <c:marker>
            <c:symbol val="none"/>
          </c:marker>
          <c:xVal>
            <c:numRef>
              <c:f>VolLevel!$CF$6:$CG$6</c:f>
            </c:numRef>
          </c:xVal>
          <c:yVal>
            <c:numRef>
              <c:f>VolLevel!$CH$6:$CI$6</c:f>
            </c:numRef>
          </c:yVal>
          <c:smooth val="0"/>
          <c:extLst>
            <c:ext xmlns:c16="http://schemas.microsoft.com/office/drawing/2014/chart" uri="{C3380CC4-5D6E-409C-BE32-E72D297353CC}">
              <c16:uniqueId val="{0000000A-B4A2-4D5C-952C-DB9B75F94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2592351"/>
        <c:axId val="1722609151"/>
      </c:scatterChart>
      <c:valAx>
        <c:axId val="1722592351"/>
        <c:scaling>
          <c:orientation val="minMax"/>
        </c:scaling>
        <c:delete val="0"/>
        <c:axPos val="b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Fwd (%)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722609151"/>
        <c:crosses val="autoZero"/>
        <c:crossBetween val="midCat"/>
      </c:valAx>
      <c:valAx>
        <c:axId val="1722609151"/>
        <c:scaling>
          <c:orientation val="minMax"/>
        </c:scaling>
        <c:delete val="0"/>
        <c:axPos val="l"/>
        <c:majorGridlines>
          <c:spPr>
            <a:ln>
              <a:solidFill>
                <a:srgbClr val="E6E6E6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Normal vol (bp/yr)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722592351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Nx1Y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FwdMonitor!$GY$4:$GY$19</c:f>
            </c:numRef>
          </c:xVal>
          <c:yVal>
            <c:numRef>
              <c:f>FwdMonitor!$GZ$4:$GZ$19</c:f>
            </c:numRef>
          </c:yVal>
          <c:smooth val="0"/>
          <c:extLst>
            <c:ext xmlns:c16="http://schemas.microsoft.com/office/drawing/2014/chart" uri="{C3380CC4-5D6E-409C-BE32-E72D297353CC}">
              <c16:uniqueId val="{00000002-E787-412D-B68E-DA821C2A1D4C}"/>
            </c:ext>
          </c:extLst>
        </c:ser>
        <c:ser>
          <c:idx val="1"/>
          <c:order val="1"/>
          <c:tx>
            <c:strRef>
              <c:f>FwdMonitor!$HA$3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FwdMonitor!$GY$4:$GY$19</c:f>
            </c:numRef>
          </c:xVal>
          <c:yVal>
            <c:numRef>
              <c:f>FwdMonitor!$HA$4:$HA$19</c:f>
            </c:numRef>
          </c:yVal>
          <c:smooth val="0"/>
          <c:extLst>
            <c:ext xmlns:c16="http://schemas.microsoft.com/office/drawing/2014/chart" uri="{C3380CC4-5D6E-409C-BE32-E72D297353CC}">
              <c16:uniqueId val="{00000003-E787-412D-B68E-DA821C2A1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698960"/>
        <c:axId val="1838699440"/>
      </c:scatterChart>
      <c:valAx>
        <c:axId val="183869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8699440"/>
        <c:crosses val="autoZero"/>
        <c:crossBetween val="midCat"/>
      </c:valAx>
      <c:valAx>
        <c:axId val="1838699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8698960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Nx1Y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FwdMonitor!$A$12:$A$27</c:f>
            </c:strRef>
          </c:cat>
          <c:val>
            <c:numRef>
              <c:f>FwdMonitor!$HB$4:$HB$19</c:f>
            </c:numRef>
          </c:val>
          <c:extLst>
            <c:ext xmlns:c16="http://schemas.microsoft.com/office/drawing/2014/chart" uri="{C3380CC4-5D6E-409C-BE32-E72D297353CC}">
              <c16:uniqueId val="{00000002-D7A2-436D-9AA8-2E6CC5B5E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3794608"/>
        <c:axId val="2003795088"/>
      </c:barChart>
      <c:catAx>
        <c:axId val="200379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3795088"/>
        <c:crosses val="autoZero"/>
        <c:auto val="1"/>
        <c:lblAlgn val="ctr"/>
        <c:lblOffset val="100"/>
        <c:noMultiLvlLbl val="0"/>
      </c:catAx>
      <c:valAx>
        <c:axId val="200379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794608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Strip Nx5Y (%)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Live</c:v>
          </c:tx>
          <c:spPr>
            <a:ln w="25400">
              <a:solidFill>
                <a:srgbClr val="2A78D6"/>
              </a:solidFill>
            </a:ln>
          </c:spPr>
          <c:marker>
            <c:spPr>
              <a:ln w="25400">
                <a:solidFill>
                  <a:srgbClr val="2A78D6"/>
                </a:solidFill>
              </a:ln>
            </c:spPr>
          </c:marker>
          <c:xVal>
            <c:numRef>
              <c:f>FwdMonitor!$HD$4:$HD$10</c:f>
            </c:numRef>
          </c:xVal>
          <c:yVal>
            <c:numRef>
              <c:f>FwdMonitor!$HE$4:$HE$10</c:f>
            </c:numRef>
          </c:yVal>
          <c:smooth val="0"/>
          <c:extLst>
            <c:ext xmlns:c16="http://schemas.microsoft.com/office/drawing/2014/chart" uri="{C3380CC4-5D6E-409C-BE32-E72D297353CC}">
              <c16:uniqueId val="{00000002-4836-4BE7-997E-85F6BCC26D2E}"/>
            </c:ext>
          </c:extLst>
        </c:ser>
        <c:ser>
          <c:idx val="1"/>
          <c:order val="1"/>
          <c:tx>
            <c:strRef>
              <c:f>FwdMonitor!$HF$3</c:f>
            </c:strRef>
          </c:tx>
          <c:spPr>
            <a:ln w="25400">
              <a:solidFill>
                <a:srgbClr val="EB6834"/>
              </a:solidFill>
              <a:prstDash val="dash"/>
            </a:ln>
          </c:spPr>
          <c:marker>
            <c:spPr>
              <a:ln w="25400">
                <a:solidFill>
                  <a:srgbClr val="EB6834"/>
                </a:solidFill>
                <a:prstDash val="dash"/>
              </a:ln>
            </c:spPr>
          </c:marker>
          <c:xVal>
            <c:numRef>
              <c:f>FwdMonitor!$HD$4:$HD$10</c:f>
            </c:numRef>
          </c:xVal>
          <c:yVal>
            <c:numRef>
              <c:f>FwdMonitor!$HF$4:$HF$10</c:f>
            </c:numRef>
          </c:yVal>
          <c:smooth val="0"/>
          <c:extLst>
            <c:ext xmlns:c16="http://schemas.microsoft.com/office/drawing/2014/chart" uri="{C3380CC4-5D6E-409C-BE32-E72D297353CC}">
              <c16:uniqueId val="{00000003-4836-4BE7-997E-85F6BCC26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653584"/>
        <c:axId val="2001651664"/>
      </c:scatterChart>
      <c:val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1664"/>
        <c:crosses val="autoZero"/>
        <c:crossBetween val="midCat"/>
      </c:valAx>
      <c:valAx>
        <c:axId val="200165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midCat"/>
      </c:valAx>
    </c:plotArea>
    <c:legend>
      <c:legendPos val="r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Change vs compare Nx5Y 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Chg</c:v>
          </c:tx>
          <c:spPr>
            <a:solidFill>
              <a:srgbClr val="2A78D6"/>
            </a:solidFill>
            <a:ln w="25400">
              <a:solidFill>
                <a:srgbClr val="2A78D6"/>
              </a:solidFill>
            </a:ln>
          </c:spPr>
          <c:invertIfNegative val="0"/>
          <c:cat>
            <c:strRef>
              <c:f>FwdMonitor!$A$29:$A$35</c:f>
            </c:strRef>
          </c:cat>
          <c:val>
            <c:numRef>
              <c:f>FwdMonitor!$HG$4:$HG$10</c:f>
            </c:numRef>
          </c:val>
          <c:extLst>
            <c:ext xmlns:c16="http://schemas.microsoft.com/office/drawing/2014/chart" uri="{C3380CC4-5D6E-409C-BE32-E72D297353CC}">
              <c16:uniqueId val="{00000002-FBAD-4B3B-AD1C-F4758878B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01653584"/>
        <c:axId val="2001654064"/>
      </c:barChart>
      <c:catAx>
        <c:axId val="200165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1654064"/>
        <c:crosses val="autoZero"/>
        <c:auto val="1"/>
        <c:lblAlgn val="ctr"/>
        <c:lblOffset val="100"/>
        <c:noMultiLvlLbl val="0"/>
      </c:catAx>
      <c:valAx>
        <c:axId val="200165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1653584"/>
        <c:crosses val="autoZero"/>
        <c:crossBetween val="between"/>
      </c:valAx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Comparison (bp)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FwdMonitor!$HJ$3</c:f>
            </c:strRef>
          </c:tx>
          <c:spPr>
            <a:ln w="25400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[0]!FWM_Ch1</c:f>
            </c:numRef>
          </c:val>
          <c:smooth val="0"/>
          <c:extLst>
            <c:ext xmlns:c16="http://schemas.microsoft.com/office/drawing/2014/chart" uri="{C3380CC4-5D6E-409C-BE32-E72D297353CC}">
              <c16:uniqueId val="{00000002-1506-4CFC-95DF-177A4A8293F4}"/>
            </c:ext>
          </c:extLst>
        </c:ser>
        <c:ser>
          <c:idx val="1"/>
          <c:order val="1"/>
          <c:tx>
            <c:strRef>
              <c:f>FwdMonitor!$HK$3</c:f>
            </c:strRef>
          </c:tx>
          <c:spPr>
            <a:ln w="25400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[0]!FWM_Ch2</c:f>
            </c:numRef>
          </c:val>
          <c:smooth val="0"/>
          <c:extLst>
            <c:ext xmlns:c16="http://schemas.microsoft.com/office/drawing/2014/chart" uri="{C3380CC4-5D6E-409C-BE32-E72D297353CC}">
              <c16:uniqueId val="{00000003-1506-4CFC-95DF-177A4A8293F4}"/>
            </c:ext>
          </c:extLst>
        </c:ser>
        <c:ser>
          <c:idx val="2"/>
          <c:order val="2"/>
          <c:tx>
            <c:strRef>
              <c:f>FwdMonitor!$HL$3</c:f>
            </c:strRef>
          </c:tx>
          <c:spPr>
            <a:ln w="25400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[0]!FWM_Ch3</c:f>
            </c:numRef>
          </c:val>
          <c:smooth val="0"/>
          <c:extLst>
            <c:ext xmlns:c16="http://schemas.microsoft.com/office/drawing/2014/chart" uri="{C3380CC4-5D6E-409C-BE32-E72D297353CC}">
              <c16:uniqueId val="{00000004-1506-4CFC-95DF-177A4A8293F4}"/>
            </c:ext>
          </c:extLst>
        </c:ser>
        <c:ser>
          <c:idx val="3"/>
          <c:order val="3"/>
          <c:tx>
            <c:strRef>
              <c:f>FwdMonitor!$HM$3</c:f>
            </c:strRef>
          </c:tx>
          <c:spPr>
            <a:ln w="25400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[0]!FWM_ChDate</c:f>
            </c:numRef>
          </c:cat>
          <c:val>
            <c:numRef>
              <c:f>[0]!FWM_Ch4</c:f>
            </c:numRef>
          </c:val>
          <c:smooth val="0"/>
          <c:extLst>
            <c:ext xmlns:c16="http://schemas.microsoft.com/office/drawing/2014/chart" uri="{C3380CC4-5D6E-409C-BE32-E72D297353CC}">
              <c16:uniqueId val="{00000005-1506-4CFC-95DF-177A4A829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3959616"/>
        <c:axId val="2003958176"/>
      </c:lineChart>
      <c:dateAx>
        <c:axId val="20039596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2003958176"/>
        <c:crosses val="autoZero"/>
        <c:auto val="1"/>
        <c:lblOffset val="100"/>
        <c:baseTimeUnit val="days"/>
      </c:dateAx>
      <c:valAx>
        <c:axId val="20039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9596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Front-month futures (settle / roll-adjusted)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Settle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</c:f>
            </c:numRef>
          </c:val>
          <c:smooth val="0"/>
          <c:extLst>
            <c:ext xmlns:c16="http://schemas.microsoft.com/office/drawing/2014/chart" uri="{C3380CC4-5D6E-409C-BE32-E72D297353CC}">
              <c16:uniqueId val="{00000001-BC03-463D-B4A0-30CD9F078191}"/>
            </c:ext>
          </c:extLst>
        </c:ser>
        <c:ser>
          <c:idx val="1"/>
          <c:order val="1"/>
          <c:tx>
            <c:v>Settle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[0]!FUT_ChSettleAdj</c:f>
            </c:numRef>
          </c:val>
          <c:smooth val="0"/>
          <c:extLst>
            <c:ext xmlns:c16="http://schemas.microsoft.com/office/drawing/2014/chart" uri="{C3380CC4-5D6E-409C-BE32-E72D297353CC}">
              <c16:uniqueId val="{00000002-BC03-463D-B4A0-30CD9F078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43216"/>
        <c:axId val="625943696"/>
      </c:lineChart>
      <c:dateAx>
        <c:axId val="62594321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43696"/>
        <c:crosses val="autoZero"/>
        <c:auto val="1"/>
        <c:lblOffset val="100"/>
        <c:baseTimeUnit val="days"/>
      </c:dateAx>
      <c:valAx>
        <c:axId val="62594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4321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CTD net basis (sen / step-adjusted)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Net</c:v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</c:f>
            </c:numRef>
          </c:val>
          <c:smooth val="0"/>
          <c:extLst>
            <c:ext xmlns:c16="http://schemas.microsoft.com/office/drawing/2014/chart" uri="{C3380CC4-5D6E-409C-BE32-E72D297353CC}">
              <c16:uniqueId val="{00000001-C9F9-4304-A924-3D9A06195CB3}"/>
            </c:ext>
          </c:extLst>
        </c:ser>
        <c:ser>
          <c:idx val="1"/>
          <c:order val="1"/>
          <c:tx>
            <c:v>Net adj</c:v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[0]!FUT_ChDate</c:f>
            </c:numRef>
          </c:cat>
          <c:val>
            <c:numRef>
              <c:f>[0]!FUT_ChNetAdj</c:f>
            </c:numRef>
          </c:val>
          <c:smooth val="0"/>
          <c:extLst>
            <c:ext xmlns:c16="http://schemas.microsoft.com/office/drawing/2014/chart" uri="{C3380CC4-5D6E-409C-BE32-E72D297353CC}">
              <c16:uniqueId val="{00000002-C9F9-4304-A924-3D9A06195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35536"/>
        <c:axId val="625954256"/>
      </c:lineChart>
      <c:dateAx>
        <c:axId val="62593553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crossAx val="625954256"/>
        <c:crosses val="autoZero"/>
        <c:auto val="1"/>
        <c:lblOffset val="100"/>
        <c:baseTimeUnit val="days"/>
      </c:dateAx>
      <c:valAx>
        <c:axId val="62595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35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altLang="ja-JP" sz="1100"/>
              <a:t>Overlay by business days to the last trading day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FutBasis!$BP$3</c:f>
            </c:strRef>
          </c:tx>
          <c:spPr>
            <a:ln w="22225">
              <a:solidFill>
                <a:srgbClr val="6B7A8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[0]!FUT_Ov1</c:f>
            </c:numRef>
          </c:val>
          <c:smooth val="0"/>
          <c:extLst>
            <c:ext xmlns:c16="http://schemas.microsoft.com/office/drawing/2014/chart" uri="{C3380CC4-5D6E-409C-BE32-E72D297353CC}">
              <c16:uniqueId val="{00000001-0AFF-480B-97C7-024DEB6AB79D}"/>
            </c:ext>
          </c:extLst>
        </c:ser>
        <c:ser>
          <c:idx val="1"/>
          <c:order val="1"/>
          <c:tx>
            <c:strRef>
              <c:f>FutBasis!$BQ$3</c:f>
            </c:strRef>
          </c:tx>
          <c:spPr>
            <a:ln w="22225">
              <a:solidFill>
                <a:srgbClr val="1BAF7A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[0]!FUT_Ov2</c:f>
            </c:numRef>
          </c:val>
          <c:smooth val="0"/>
          <c:extLst>
            <c:ext xmlns:c16="http://schemas.microsoft.com/office/drawing/2014/chart" uri="{C3380CC4-5D6E-409C-BE32-E72D297353CC}">
              <c16:uniqueId val="{00000002-0AFF-480B-97C7-024DEB6AB79D}"/>
            </c:ext>
          </c:extLst>
        </c:ser>
        <c:ser>
          <c:idx val="2"/>
          <c:order val="2"/>
          <c:tx>
            <c:strRef>
              <c:f>FutBasis!$BR$3</c:f>
            </c:strRef>
          </c:tx>
          <c:spPr>
            <a:ln w="22225">
              <a:solidFill>
                <a:srgbClr val="8E5AA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[0]!FUT_Ov3</c:f>
            </c:numRef>
          </c:val>
          <c:smooth val="0"/>
          <c:extLst>
            <c:ext xmlns:c16="http://schemas.microsoft.com/office/drawing/2014/chart" uri="{C3380CC4-5D6E-409C-BE32-E72D297353CC}">
              <c16:uniqueId val="{00000003-0AFF-480B-97C7-024DEB6AB79D}"/>
            </c:ext>
          </c:extLst>
        </c:ser>
        <c:ser>
          <c:idx val="3"/>
          <c:order val="3"/>
          <c:tx>
            <c:strRef>
              <c:f>FutBasis!$BS$3</c:f>
            </c:strRef>
          </c:tx>
          <c:spPr>
            <a:ln w="22225">
              <a:solidFill>
                <a:srgbClr val="E6B800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[0]!FUT_Ov4</c:f>
            </c:numRef>
          </c:val>
          <c:smooth val="0"/>
          <c:extLst>
            <c:ext xmlns:c16="http://schemas.microsoft.com/office/drawing/2014/chart" uri="{C3380CC4-5D6E-409C-BE32-E72D297353CC}">
              <c16:uniqueId val="{00000004-0AFF-480B-97C7-024DEB6AB79D}"/>
            </c:ext>
          </c:extLst>
        </c:ser>
        <c:ser>
          <c:idx val="4"/>
          <c:order val="4"/>
          <c:tx>
            <c:strRef>
              <c:f>FutBasis!$BT$3</c:f>
            </c:strRef>
          </c:tx>
          <c:spPr>
            <a:ln w="22225">
              <a:solidFill>
                <a:srgbClr val="EB6834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[0]!FUT_Ov5</c:f>
            </c:numRef>
          </c:val>
          <c:smooth val="0"/>
          <c:extLst>
            <c:ext xmlns:c16="http://schemas.microsoft.com/office/drawing/2014/chart" uri="{C3380CC4-5D6E-409C-BE32-E72D297353CC}">
              <c16:uniqueId val="{00000005-0AFF-480B-97C7-024DEB6AB79D}"/>
            </c:ext>
          </c:extLst>
        </c:ser>
        <c:ser>
          <c:idx val="5"/>
          <c:order val="5"/>
          <c:tx>
            <c:strRef>
              <c:f>FutBasis!$BU$3</c:f>
            </c:strRef>
          </c:tx>
          <c:spPr>
            <a:ln w="22225">
              <a:solidFill>
                <a:srgbClr val="2A78D6"/>
              </a:solidFill>
            </a:ln>
          </c:spPr>
          <c:marker>
            <c:symbol val="none"/>
          </c:marker>
          <c:cat>
            <c:numRef>
              <c:f>[0]!FUT_OvBD</c:f>
            </c:numRef>
          </c:cat>
          <c:val>
            <c:numRef>
              <c:f>[0]!FUT_Ov6</c:f>
            </c:numRef>
          </c:val>
          <c:smooth val="0"/>
          <c:extLst>
            <c:ext xmlns:c16="http://schemas.microsoft.com/office/drawing/2014/chart" uri="{C3380CC4-5D6E-409C-BE32-E72D297353CC}">
              <c16:uniqueId val="{00000006-0AFF-480B-97C7-024DEB6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5951856"/>
        <c:axId val="625949936"/>
      </c:lineChart>
      <c:catAx>
        <c:axId val="625951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25949936"/>
        <c:crosses val="autoZero"/>
        <c:auto val="1"/>
        <c:lblAlgn val="ctr"/>
        <c:lblOffset val="100"/>
        <c:noMultiLvlLbl val="0"/>
      </c:catAx>
      <c:valAx>
        <c:axId val="625949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2595185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9.xml"/><Relationship Id="rId21" Type="http://schemas.openxmlformats.org/officeDocument/2006/relationships/chart" Target="../charts/chart24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63" Type="http://schemas.openxmlformats.org/officeDocument/2006/relationships/chart" Target="../charts/chart66.xml"/><Relationship Id="rId68" Type="http://schemas.openxmlformats.org/officeDocument/2006/relationships/chart" Target="../charts/chart71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3" Type="http://schemas.openxmlformats.org/officeDocument/2006/relationships/chart" Target="../charts/chart56.xml"/><Relationship Id="rId58" Type="http://schemas.openxmlformats.org/officeDocument/2006/relationships/chart" Target="../charts/chart61.xml"/><Relationship Id="rId66" Type="http://schemas.openxmlformats.org/officeDocument/2006/relationships/chart" Target="../charts/chart69.xml"/><Relationship Id="rId5" Type="http://schemas.openxmlformats.org/officeDocument/2006/relationships/chart" Target="../charts/chart8.xml"/><Relationship Id="rId61" Type="http://schemas.openxmlformats.org/officeDocument/2006/relationships/chart" Target="../charts/chart64.xml"/><Relationship Id="rId19" Type="http://schemas.openxmlformats.org/officeDocument/2006/relationships/chart" Target="../charts/chart2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56" Type="http://schemas.openxmlformats.org/officeDocument/2006/relationships/chart" Target="../charts/chart59.xml"/><Relationship Id="rId64" Type="http://schemas.openxmlformats.org/officeDocument/2006/relationships/chart" Target="../charts/chart67.xml"/><Relationship Id="rId69" Type="http://schemas.openxmlformats.org/officeDocument/2006/relationships/chart" Target="../charts/chart72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59" Type="http://schemas.openxmlformats.org/officeDocument/2006/relationships/chart" Target="../charts/chart62.xml"/><Relationship Id="rId67" Type="http://schemas.openxmlformats.org/officeDocument/2006/relationships/chart" Target="../charts/chart70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54" Type="http://schemas.openxmlformats.org/officeDocument/2006/relationships/chart" Target="../charts/chart57.xml"/><Relationship Id="rId62" Type="http://schemas.openxmlformats.org/officeDocument/2006/relationships/chart" Target="../charts/chart65.xml"/><Relationship Id="rId70" Type="http://schemas.openxmlformats.org/officeDocument/2006/relationships/chart" Target="../charts/chart7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57" Type="http://schemas.openxmlformats.org/officeDocument/2006/relationships/chart" Target="../charts/chart60.xml"/><Relationship Id="rId10" Type="http://schemas.openxmlformats.org/officeDocument/2006/relationships/chart" Target="../charts/chart13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52" Type="http://schemas.openxmlformats.org/officeDocument/2006/relationships/chart" Target="../charts/chart55.xml"/><Relationship Id="rId60" Type="http://schemas.openxmlformats.org/officeDocument/2006/relationships/chart" Target="../charts/chart63.xml"/><Relationship Id="rId65" Type="http://schemas.openxmlformats.org/officeDocument/2006/relationships/chart" Target="../charts/chart6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39" Type="http://schemas.openxmlformats.org/officeDocument/2006/relationships/chart" Target="../charts/chart42.xml"/><Relationship Id="rId34" Type="http://schemas.openxmlformats.org/officeDocument/2006/relationships/chart" Target="../charts/chart37.xml"/><Relationship Id="rId50" Type="http://schemas.openxmlformats.org/officeDocument/2006/relationships/chart" Target="../charts/chart53.xml"/><Relationship Id="rId55" Type="http://schemas.openxmlformats.org/officeDocument/2006/relationships/chart" Target="../charts/chart58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5.xml"/><Relationship Id="rId1" Type="http://schemas.openxmlformats.org/officeDocument/2006/relationships/chart" Target="../charts/chart7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Relationship Id="rId5" Type="http://schemas.openxmlformats.org/officeDocument/2006/relationships/chart" Target="../charts/chart83.xml"/><Relationship Id="rId4" Type="http://schemas.openxmlformats.org/officeDocument/2006/relationships/chart" Target="../charts/chart8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6.xml"/><Relationship Id="rId2" Type="http://schemas.openxmlformats.org/officeDocument/2006/relationships/chart" Target="../charts/chart85.xml"/><Relationship Id="rId1" Type="http://schemas.openxmlformats.org/officeDocument/2006/relationships/chart" Target="../charts/chart8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10</xdr:row>
      <xdr:rowOff>25400</xdr:rowOff>
    </xdr:from>
    <xdr:to>
      <xdr:col>10</xdr:col>
      <xdr:colOff>742950</xdr:colOff>
      <xdr:row>25</xdr:row>
      <xdr:rowOff>209550</xdr:rowOff>
    </xdr:to>
    <xdr:graphicFrame macro="">
      <xdr:nvGraphicFramePr>
        <xdr:cNvPr id="2" name="PCG_1_1">
          <a:extLst>
            <a:ext uri="{FF2B5EF4-FFF2-40B4-BE49-F238E27FC236}">
              <a16:creationId xmlns:a16="http://schemas.microsoft.com/office/drawing/2014/main" id="{0B5B637F-25A7-FE30-502C-72F26DAAE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25400</xdr:colOff>
      <xdr:row>26</xdr:row>
      <xdr:rowOff>25400</xdr:rowOff>
    </xdr:from>
    <xdr:to>
      <xdr:col>10</xdr:col>
      <xdr:colOff>742950</xdr:colOff>
      <xdr:row>41</xdr:row>
      <xdr:rowOff>209550</xdr:rowOff>
    </xdr:to>
    <xdr:graphicFrame macro="">
      <xdr:nvGraphicFramePr>
        <xdr:cNvPr id="3" name="PCG_1_2">
          <a:extLst>
            <a:ext uri="{FF2B5EF4-FFF2-40B4-BE49-F238E27FC236}">
              <a16:creationId xmlns:a16="http://schemas.microsoft.com/office/drawing/2014/main" id="{065454AF-A85D-3CD6-4334-451AE52A04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25400</xdr:colOff>
      <xdr:row>42</xdr:row>
      <xdr:rowOff>25400</xdr:rowOff>
    </xdr:from>
    <xdr:to>
      <xdr:col>10</xdr:col>
      <xdr:colOff>742950</xdr:colOff>
      <xdr:row>57</xdr:row>
      <xdr:rowOff>209550</xdr:rowOff>
    </xdr:to>
    <xdr:graphicFrame macro="">
      <xdr:nvGraphicFramePr>
        <xdr:cNvPr id="4" name="PCG_1_3">
          <a:extLst>
            <a:ext uri="{FF2B5EF4-FFF2-40B4-BE49-F238E27FC236}">
              <a16:creationId xmlns:a16="http://schemas.microsoft.com/office/drawing/2014/main" id="{A2E33E12-D8D5-7324-C884-BDBAE194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25400</xdr:colOff>
      <xdr:row>58</xdr:row>
      <xdr:rowOff>25400</xdr:rowOff>
    </xdr:from>
    <xdr:to>
      <xdr:col>10</xdr:col>
      <xdr:colOff>742950</xdr:colOff>
      <xdr:row>73</xdr:row>
      <xdr:rowOff>209550</xdr:rowOff>
    </xdr:to>
    <xdr:graphicFrame macro="">
      <xdr:nvGraphicFramePr>
        <xdr:cNvPr id="5" name="PCG_1_4">
          <a:extLst>
            <a:ext uri="{FF2B5EF4-FFF2-40B4-BE49-F238E27FC236}">
              <a16:creationId xmlns:a16="http://schemas.microsoft.com/office/drawing/2014/main" id="{398F0332-D74D-0F79-7EAE-35D21911B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25400</xdr:colOff>
      <xdr:row>74</xdr:row>
      <xdr:rowOff>25400</xdr:rowOff>
    </xdr:from>
    <xdr:to>
      <xdr:col>10</xdr:col>
      <xdr:colOff>742950</xdr:colOff>
      <xdr:row>89</xdr:row>
      <xdr:rowOff>209550</xdr:rowOff>
    </xdr:to>
    <xdr:graphicFrame macro="">
      <xdr:nvGraphicFramePr>
        <xdr:cNvPr id="6" name="PCG_1_5">
          <a:extLst>
            <a:ext uri="{FF2B5EF4-FFF2-40B4-BE49-F238E27FC236}">
              <a16:creationId xmlns:a16="http://schemas.microsoft.com/office/drawing/2014/main" id="{4F9B7A26-68AD-3F5B-E438-DEDC18DCA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25400</xdr:colOff>
      <xdr:row>90</xdr:row>
      <xdr:rowOff>25400</xdr:rowOff>
    </xdr:from>
    <xdr:to>
      <xdr:col>10</xdr:col>
      <xdr:colOff>742950</xdr:colOff>
      <xdr:row>105</xdr:row>
      <xdr:rowOff>209550</xdr:rowOff>
    </xdr:to>
    <xdr:graphicFrame macro="">
      <xdr:nvGraphicFramePr>
        <xdr:cNvPr id="7" name="PCG_1_6">
          <a:extLst>
            <a:ext uri="{FF2B5EF4-FFF2-40B4-BE49-F238E27FC236}">
              <a16:creationId xmlns:a16="http://schemas.microsoft.com/office/drawing/2014/main" id="{6F1619B5-35FB-5AA5-6F7D-DD86F28E8F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17</xdr:col>
      <xdr:colOff>742950</xdr:colOff>
      <xdr:row>25</xdr:row>
      <xdr:rowOff>209550</xdr:rowOff>
    </xdr:to>
    <xdr:graphicFrame macro="">
      <xdr:nvGraphicFramePr>
        <xdr:cNvPr id="8" name="PCG_2_1">
          <a:extLst>
            <a:ext uri="{FF2B5EF4-FFF2-40B4-BE49-F238E27FC236}">
              <a16:creationId xmlns:a16="http://schemas.microsoft.com/office/drawing/2014/main" id="{DD98A588-1F0E-5791-9DF4-2566788720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25400</xdr:colOff>
      <xdr:row>26</xdr:row>
      <xdr:rowOff>25400</xdr:rowOff>
    </xdr:from>
    <xdr:to>
      <xdr:col>17</xdr:col>
      <xdr:colOff>742950</xdr:colOff>
      <xdr:row>41</xdr:row>
      <xdr:rowOff>209550</xdr:rowOff>
    </xdr:to>
    <xdr:graphicFrame macro="">
      <xdr:nvGraphicFramePr>
        <xdr:cNvPr id="9" name="PCG_2_2">
          <a:extLst>
            <a:ext uri="{FF2B5EF4-FFF2-40B4-BE49-F238E27FC236}">
              <a16:creationId xmlns:a16="http://schemas.microsoft.com/office/drawing/2014/main" id="{E1DCC4D6-D235-5A2A-40A0-87AE553A58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25400</xdr:colOff>
      <xdr:row>42</xdr:row>
      <xdr:rowOff>25400</xdr:rowOff>
    </xdr:from>
    <xdr:to>
      <xdr:col>17</xdr:col>
      <xdr:colOff>742950</xdr:colOff>
      <xdr:row>57</xdr:row>
      <xdr:rowOff>209550</xdr:rowOff>
    </xdr:to>
    <xdr:graphicFrame macro="">
      <xdr:nvGraphicFramePr>
        <xdr:cNvPr id="10" name="PCG_2_3">
          <a:extLst>
            <a:ext uri="{FF2B5EF4-FFF2-40B4-BE49-F238E27FC236}">
              <a16:creationId xmlns:a16="http://schemas.microsoft.com/office/drawing/2014/main" id="{33F162AD-C4A4-783C-5053-6272E6E57E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25400</xdr:colOff>
      <xdr:row>58</xdr:row>
      <xdr:rowOff>25400</xdr:rowOff>
    </xdr:from>
    <xdr:to>
      <xdr:col>17</xdr:col>
      <xdr:colOff>742950</xdr:colOff>
      <xdr:row>73</xdr:row>
      <xdr:rowOff>209550</xdr:rowOff>
    </xdr:to>
    <xdr:graphicFrame macro="">
      <xdr:nvGraphicFramePr>
        <xdr:cNvPr id="11" name="PCG_2_4">
          <a:extLst>
            <a:ext uri="{FF2B5EF4-FFF2-40B4-BE49-F238E27FC236}">
              <a16:creationId xmlns:a16="http://schemas.microsoft.com/office/drawing/2014/main" id="{8A5828AD-4144-EA4C-3529-D9171B0008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25400</xdr:colOff>
      <xdr:row>74</xdr:row>
      <xdr:rowOff>25400</xdr:rowOff>
    </xdr:from>
    <xdr:to>
      <xdr:col>17</xdr:col>
      <xdr:colOff>742950</xdr:colOff>
      <xdr:row>89</xdr:row>
      <xdr:rowOff>209550</xdr:rowOff>
    </xdr:to>
    <xdr:graphicFrame macro="">
      <xdr:nvGraphicFramePr>
        <xdr:cNvPr id="12" name="PCG_2_5">
          <a:extLst>
            <a:ext uri="{FF2B5EF4-FFF2-40B4-BE49-F238E27FC236}">
              <a16:creationId xmlns:a16="http://schemas.microsoft.com/office/drawing/2014/main" id="{FB29B481-1D35-DABF-6803-A15CA7F2F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25400</xdr:colOff>
      <xdr:row>90</xdr:row>
      <xdr:rowOff>25400</xdr:rowOff>
    </xdr:from>
    <xdr:to>
      <xdr:col>17</xdr:col>
      <xdr:colOff>742950</xdr:colOff>
      <xdr:row>105</xdr:row>
      <xdr:rowOff>209550</xdr:rowOff>
    </xdr:to>
    <xdr:graphicFrame macro="">
      <xdr:nvGraphicFramePr>
        <xdr:cNvPr id="13" name="PCG_2_6">
          <a:extLst>
            <a:ext uri="{FF2B5EF4-FFF2-40B4-BE49-F238E27FC236}">
              <a16:creationId xmlns:a16="http://schemas.microsoft.com/office/drawing/2014/main" id="{BBE28477-2370-7053-6466-E3BCA0E2C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25400</xdr:colOff>
      <xdr:row>10</xdr:row>
      <xdr:rowOff>25400</xdr:rowOff>
    </xdr:from>
    <xdr:to>
      <xdr:col>24</xdr:col>
      <xdr:colOff>742950</xdr:colOff>
      <xdr:row>25</xdr:row>
      <xdr:rowOff>209550</xdr:rowOff>
    </xdr:to>
    <xdr:graphicFrame macro="">
      <xdr:nvGraphicFramePr>
        <xdr:cNvPr id="14" name="PCG_3_1">
          <a:extLst>
            <a:ext uri="{FF2B5EF4-FFF2-40B4-BE49-F238E27FC236}">
              <a16:creationId xmlns:a16="http://schemas.microsoft.com/office/drawing/2014/main" id="{B0216956-258A-89EF-D397-550F0DCBE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25400</xdr:colOff>
      <xdr:row>26</xdr:row>
      <xdr:rowOff>25400</xdr:rowOff>
    </xdr:from>
    <xdr:to>
      <xdr:col>24</xdr:col>
      <xdr:colOff>742950</xdr:colOff>
      <xdr:row>41</xdr:row>
      <xdr:rowOff>209550</xdr:rowOff>
    </xdr:to>
    <xdr:graphicFrame macro="">
      <xdr:nvGraphicFramePr>
        <xdr:cNvPr id="15" name="PCG_3_2">
          <a:extLst>
            <a:ext uri="{FF2B5EF4-FFF2-40B4-BE49-F238E27FC236}">
              <a16:creationId xmlns:a16="http://schemas.microsoft.com/office/drawing/2014/main" id="{FED72A30-7C3C-11B9-2F30-DBEFF779D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25400</xdr:colOff>
      <xdr:row>42</xdr:row>
      <xdr:rowOff>25400</xdr:rowOff>
    </xdr:from>
    <xdr:to>
      <xdr:col>24</xdr:col>
      <xdr:colOff>742950</xdr:colOff>
      <xdr:row>57</xdr:row>
      <xdr:rowOff>209550</xdr:rowOff>
    </xdr:to>
    <xdr:graphicFrame macro="">
      <xdr:nvGraphicFramePr>
        <xdr:cNvPr id="16" name="PCG_3_3">
          <a:extLst>
            <a:ext uri="{FF2B5EF4-FFF2-40B4-BE49-F238E27FC236}">
              <a16:creationId xmlns:a16="http://schemas.microsoft.com/office/drawing/2014/main" id="{D680AD0E-3F85-3BF2-59D7-B7147119E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25400</xdr:colOff>
      <xdr:row>58</xdr:row>
      <xdr:rowOff>25400</xdr:rowOff>
    </xdr:from>
    <xdr:to>
      <xdr:col>24</xdr:col>
      <xdr:colOff>742950</xdr:colOff>
      <xdr:row>73</xdr:row>
      <xdr:rowOff>209550</xdr:rowOff>
    </xdr:to>
    <xdr:graphicFrame macro="">
      <xdr:nvGraphicFramePr>
        <xdr:cNvPr id="17" name="PCG_3_4">
          <a:extLst>
            <a:ext uri="{FF2B5EF4-FFF2-40B4-BE49-F238E27FC236}">
              <a16:creationId xmlns:a16="http://schemas.microsoft.com/office/drawing/2014/main" id="{C34375BA-0BD1-BCBC-903D-8B6C9EA4AC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25400</xdr:colOff>
      <xdr:row>74</xdr:row>
      <xdr:rowOff>25400</xdr:rowOff>
    </xdr:from>
    <xdr:to>
      <xdr:col>24</xdr:col>
      <xdr:colOff>742950</xdr:colOff>
      <xdr:row>89</xdr:row>
      <xdr:rowOff>209550</xdr:rowOff>
    </xdr:to>
    <xdr:graphicFrame macro="">
      <xdr:nvGraphicFramePr>
        <xdr:cNvPr id="18" name="PCG_3_5">
          <a:extLst>
            <a:ext uri="{FF2B5EF4-FFF2-40B4-BE49-F238E27FC236}">
              <a16:creationId xmlns:a16="http://schemas.microsoft.com/office/drawing/2014/main" id="{4F8645DC-F708-176B-EFD7-276A1A3CA3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25400</xdr:colOff>
      <xdr:row>90</xdr:row>
      <xdr:rowOff>25400</xdr:rowOff>
    </xdr:from>
    <xdr:to>
      <xdr:col>24</xdr:col>
      <xdr:colOff>742950</xdr:colOff>
      <xdr:row>105</xdr:row>
      <xdr:rowOff>209550</xdr:rowOff>
    </xdr:to>
    <xdr:graphicFrame macro="">
      <xdr:nvGraphicFramePr>
        <xdr:cNvPr id="19" name="PCG_3_6">
          <a:extLst>
            <a:ext uri="{FF2B5EF4-FFF2-40B4-BE49-F238E27FC236}">
              <a16:creationId xmlns:a16="http://schemas.microsoft.com/office/drawing/2014/main" id="{4E84D986-C98C-74BE-4DFA-FD86ACBCB9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25</xdr:col>
      <xdr:colOff>25400</xdr:colOff>
      <xdr:row>10</xdr:row>
      <xdr:rowOff>25400</xdr:rowOff>
    </xdr:from>
    <xdr:to>
      <xdr:col>31</xdr:col>
      <xdr:colOff>742950</xdr:colOff>
      <xdr:row>25</xdr:row>
      <xdr:rowOff>209550</xdr:rowOff>
    </xdr:to>
    <xdr:graphicFrame macro="">
      <xdr:nvGraphicFramePr>
        <xdr:cNvPr id="20" name="PCG_4_1">
          <a:extLst>
            <a:ext uri="{FF2B5EF4-FFF2-40B4-BE49-F238E27FC236}">
              <a16:creationId xmlns:a16="http://schemas.microsoft.com/office/drawing/2014/main" id="{9395C031-FE2C-4C6C-98E8-E9530DA096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25</xdr:col>
      <xdr:colOff>25400</xdr:colOff>
      <xdr:row>26</xdr:row>
      <xdr:rowOff>25400</xdr:rowOff>
    </xdr:from>
    <xdr:to>
      <xdr:col>31</xdr:col>
      <xdr:colOff>742950</xdr:colOff>
      <xdr:row>41</xdr:row>
      <xdr:rowOff>209550</xdr:rowOff>
    </xdr:to>
    <xdr:graphicFrame macro="">
      <xdr:nvGraphicFramePr>
        <xdr:cNvPr id="21" name="PCG_4_2">
          <a:extLst>
            <a:ext uri="{FF2B5EF4-FFF2-40B4-BE49-F238E27FC236}">
              <a16:creationId xmlns:a16="http://schemas.microsoft.com/office/drawing/2014/main" id="{10F4CCD7-D3AF-1E43-890A-607A9A240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25</xdr:col>
      <xdr:colOff>25400</xdr:colOff>
      <xdr:row>42</xdr:row>
      <xdr:rowOff>25400</xdr:rowOff>
    </xdr:from>
    <xdr:to>
      <xdr:col>31</xdr:col>
      <xdr:colOff>742950</xdr:colOff>
      <xdr:row>57</xdr:row>
      <xdr:rowOff>209550</xdr:rowOff>
    </xdr:to>
    <xdr:graphicFrame macro="">
      <xdr:nvGraphicFramePr>
        <xdr:cNvPr id="22" name="PCG_4_3">
          <a:extLst>
            <a:ext uri="{FF2B5EF4-FFF2-40B4-BE49-F238E27FC236}">
              <a16:creationId xmlns:a16="http://schemas.microsoft.com/office/drawing/2014/main" id="{9A46F675-7A0B-0C12-619A-5F5F456BB7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25</xdr:col>
      <xdr:colOff>25400</xdr:colOff>
      <xdr:row>58</xdr:row>
      <xdr:rowOff>25400</xdr:rowOff>
    </xdr:from>
    <xdr:to>
      <xdr:col>31</xdr:col>
      <xdr:colOff>742950</xdr:colOff>
      <xdr:row>73</xdr:row>
      <xdr:rowOff>209550</xdr:rowOff>
    </xdr:to>
    <xdr:graphicFrame macro="">
      <xdr:nvGraphicFramePr>
        <xdr:cNvPr id="23" name="PCG_4_4">
          <a:extLst>
            <a:ext uri="{FF2B5EF4-FFF2-40B4-BE49-F238E27FC236}">
              <a16:creationId xmlns:a16="http://schemas.microsoft.com/office/drawing/2014/main" id="{8CFDBF8C-CB98-0FA9-57CA-2DF9A8B5F2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25400</xdr:colOff>
      <xdr:row>74</xdr:row>
      <xdr:rowOff>25400</xdr:rowOff>
    </xdr:from>
    <xdr:to>
      <xdr:col>31</xdr:col>
      <xdr:colOff>742950</xdr:colOff>
      <xdr:row>89</xdr:row>
      <xdr:rowOff>209550</xdr:rowOff>
    </xdr:to>
    <xdr:graphicFrame macro="">
      <xdr:nvGraphicFramePr>
        <xdr:cNvPr id="24" name="PCG_4_5">
          <a:extLst>
            <a:ext uri="{FF2B5EF4-FFF2-40B4-BE49-F238E27FC236}">
              <a16:creationId xmlns:a16="http://schemas.microsoft.com/office/drawing/2014/main" id="{A0AADC13-B43E-0DE0-2486-0B440212C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25400</xdr:colOff>
      <xdr:row>90</xdr:row>
      <xdr:rowOff>25400</xdr:rowOff>
    </xdr:from>
    <xdr:to>
      <xdr:col>31</xdr:col>
      <xdr:colOff>742950</xdr:colOff>
      <xdr:row>105</xdr:row>
      <xdr:rowOff>209550</xdr:rowOff>
    </xdr:to>
    <xdr:graphicFrame macro="">
      <xdr:nvGraphicFramePr>
        <xdr:cNvPr id="25" name="PCG_4_6">
          <a:extLst>
            <a:ext uri="{FF2B5EF4-FFF2-40B4-BE49-F238E27FC236}">
              <a16:creationId xmlns:a16="http://schemas.microsoft.com/office/drawing/2014/main" id="{C999A727-9C84-8C66-AAFF-DD881EC497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32</xdr:col>
      <xdr:colOff>25400</xdr:colOff>
      <xdr:row>10</xdr:row>
      <xdr:rowOff>25400</xdr:rowOff>
    </xdr:from>
    <xdr:to>
      <xdr:col>38</xdr:col>
      <xdr:colOff>742950</xdr:colOff>
      <xdr:row>25</xdr:row>
      <xdr:rowOff>209550</xdr:rowOff>
    </xdr:to>
    <xdr:graphicFrame macro="">
      <xdr:nvGraphicFramePr>
        <xdr:cNvPr id="26" name="PCG_5_1">
          <a:extLst>
            <a:ext uri="{FF2B5EF4-FFF2-40B4-BE49-F238E27FC236}">
              <a16:creationId xmlns:a16="http://schemas.microsoft.com/office/drawing/2014/main" id="{D029774A-143B-D090-F566-392352426F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32</xdr:col>
      <xdr:colOff>25400</xdr:colOff>
      <xdr:row>26</xdr:row>
      <xdr:rowOff>25400</xdr:rowOff>
    </xdr:from>
    <xdr:to>
      <xdr:col>38</xdr:col>
      <xdr:colOff>742950</xdr:colOff>
      <xdr:row>41</xdr:row>
      <xdr:rowOff>209550</xdr:rowOff>
    </xdr:to>
    <xdr:graphicFrame macro="">
      <xdr:nvGraphicFramePr>
        <xdr:cNvPr id="27" name="PCG_5_2">
          <a:extLst>
            <a:ext uri="{FF2B5EF4-FFF2-40B4-BE49-F238E27FC236}">
              <a16:creationId xmlns:a16="http://schemas.microsoft.com/office/drawing/2014/main" id="{093C1508-6493-861F-EE1F-96E707D46B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32</xdr:col>
      <xdr:colOff>25400</xdr:colOff>
      <xdr:row>42</xdr:row>
      <xdr:rowOff>25400</xdr:rowOff>
    </xdr:from>
    <xdr:to>
      <xdr:col>38</xdr:col>
      <xdr:colOff>742950</xdr:colOff>
      <xdr:row>57</xdr:row>
      <xdr:rowOff>209550</xdr:rowOff>
    </xdr:to>
    <xdr:graphicFrame macro="">
      <xdr:nvGraphicFramePr>
        <xdr:cNvPr id="28" name="PCG_5_3">
          <a:extLst>
            <a:ext uri="{FF2B5EF4-FFF2-40B4-BE49-F238E27FC236}">
              <a16:creationId xmlns:a16="http://schemas.microsoft.com/office/drawing/2014/main" id="{7D52F355-7559-993B-0DFC-F0EF1A011F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32</xdr:col>
      <xdr:colOff>25400</xdr:colOff>
      <xdr:row>58</xdr:row>
      <xdr:rowOff>25400</xdr:rowOff>
    </xdr:from>
    <xdr:to>
      <xdr:col>38</xdr:col>
      <xdr:colOff>742950</xdr:colOff>
      <xdr:row>73</xdr:row>
      <xdr:rowOff>209550</xdr:rowOff>
    </xdr:to>
    <xdr:graphicFrame macro="">
      <xdr:nvGraphicFramePr>
        <xdr:cNvPr id="29" name="PCG_5_4">
          <a:extLst>
            <a:ext uri="{FF2B5EF4-FFF2-40B4-BE49-F238E27FC236}">
              <a16:creationId xmlns:a16="http://schemas.microsoft.com/office/drawing/2014/main" id="{2EA4DF2A-DA81-E366-AABD-2BB68808E1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32</xdr:col>
      <xdr:colOff>25400</xdr:colOff>
      <xdr:row>74</xdr:row>
      <xdr:rowOff>25400</xdr:rowOff>
    </xdr:from>
    <xdr:to>
      <xdr:col>38</xdr:col>
      <xdr:colOff>742950</xdr:colOff>
      <xdr:row>89</xdr:row>
      <xdr:rowOff>209550</xdr:rowOff>
    </xdr:to>
    <xdr:graphicFrame macro="">
      <xdr:nvGraphicFramePr>
        <xdr:cNvPr id="30" name="PCG_5_5">
          <a:extLst>
            <a:ext uri="{FF2B5EF4-FFF2-40B4-BE49-F238E27FC236}">
              <a16:creationId xmlns:a16="http://schemas.microsoft.com/office/drawing/2014/main" id="{8EDA1DB3-EF5B-E462-8DAE-DE5F4DEF70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32</xdr:col>
      <xdr:colOff>25400</xdr:colOff>
      <xdr:row>90</xdr:row>
      <xdr:rowOff>25400</xdr:rowOff>
    </xdr:from>
    <xdr:to>
      <xdr:col>38</xdr:col>
      <xdr:colOff>742950</xdr:colOff>
      <xdr:row>105</xdr:row>
      <xdr:rowOff>209550</xdr:rowOff>
    </xdr:to>
    <xdr:graphicFrame macro="">
      <xdr:nvGraphicFramePr>
        <xdr:cNvPr id="31" name="PCG_5_6">
          <a:extLst>
            <a:ext uri="{FF2B5EF4-FFF2-40B4-BE49-F238E27FC236}">
              <a16:creationId xmlns:a16="http://schemas.microsoft.com/office/drawing/2014/main" id="{4BEC41EE-9DAA-0777-626D-685E4331C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39</xdr:col>
      <xdr:colOff>25400</xdr:colOff>
      <xdr:row>10</xdr:row>
      <xdr:rowOff>25400</xdr:rowOff>
    </xdr:from>
    <xdr:to>
      <xdr:col>45</xdr:col>
      <xdr:colOff>742950</xdr:colOff>
      <xdr:row>25</xdr:row>
      <xdr:rowOff>209550</xdr:rowOff>
    </xdr:to>
    <xdr:graphicFrame macro="">
      <xdr:nvGraphicFramePr>
        <xdr:cNvPr id="32" name="PCG_6_1">
          <a:extLst>
            <a:ext uri="{FF2B5EF4-FFF2-40B4-BE49-F238E27FC236}">
              <a16:creationId xmlns:a16="http://schemas.microsoft.com/office/drawing/2014/main" id="{DEB3FD24-87CF-C63E-8E96-90BC02176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39</xdr:col>
      <xdr:colOff>25400</xdr:colOff>
      <xdr:row>26</xdr:row>
      <xdr:rowOff>25400</xdr:rowOff>
    </xdr:from>
    <xdr:to>
      <xdr:col>45</xdr:col>
      <xdr:colOff>742950</xdr:colOff>
      <xdr:row>41</xdr:row>
      <xdr:rowOff>209550</xdr:rowOff>
    </xdr:to>
    <xdr:graphicFrame macro="">
      <xdr:nvGraphicFramePr>
        <xdr:cNvPr id="33" name="PCG_6_2">
          <a:extLst>
            <a:ext uri="{FF2B5EF4-FFF2-40B4-BE49-F238E27FC236}">
              <a16:creationId xmlns:a16="http://schemas.microsoft.com/office/drawing/2014/main" id="{A4039E4B-40CD-A360-2A46-22840D9D3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39</xdr:col>
      <xdr:colOff>25400</xdr:colOff>
      <xdr:row>42</xdr:row>
      <xdr:rowOff>25400</xdr:rowOff>
    </xdr:from>
    <xdr:to>
      <xdr:col>45</xdr:col>
      <xdr:colOff>742950</xdr:colOff>
      <xdr:row>57</xdr:row>
      <xdr:rowOff>209550</xdr:rowOff>
    </xdr:to>
    <xdr:graphicFrame macro="">
      <xdr:nvGraphicFramePr>
        <xdr:cNvPr id="34" name="PCG_6_3">
          <a:extLst>
            <a:ext uri="{FF2B5EF4-FFF2-40B4-BE49-F238E27FC236}">
              <a16:creationId xmlns:a16="http://schemas.microsoft.com/office/drawing/2014/main" id="{A15E204A-C6F8-1D89-CB53-4BC47F5820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39</xdr:col>
      <xdr:colOff>25400</xdr:colOff>
      <xdr:row>58</xdr:row>
      <xdr:rowOff>25400</xdr:rowOff>
    </xdr:from>
    <xdr:to>
      <xdr:col>45</xdr:col>
      <xdr:colOff>742950</xdr:colOff>
      <xdr:row>73</xdr:row>
      <xdr:rowOff>209550</xdr:rowOff>
    </xdr:to>
    <xdr:graphicFrame macro="">
      <xdr:nvGraphicFramePr>
        <xdr:cNvPr id="35" name="PCG_6_4">
          <a:extLst>
            <a:ext uri="{FF2B5EF4-FFF2-40B4-BE49-F238E27FC236}">
              <a16:creationId xmlns:a16="http://schemas.microsoft.com/office/drawing/2014/main" id="{E8D489C9-B071-0BCE-9554-05CADB0BD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39</xdr:col>
      <xdr:colOff>25400</xdr:colOff>
      <xdr:row>74</xdr:row>
      <xdr:rowOff>25400</xdr:rowOff>
    </xdr:from>
    <xdr:to>
      <xdr:col>45</xdr:col>
      <xdr:colOff>742950</xdr:colOff>
      <xdr:row>89</xdr:row>
      <xdr:rowOff>209550</xdr:rowOff>
    </xdr:to>
    <xdr:graphicFrame macro="">
      <xdr:nvGraphicFramePr>
        <xdr:cNvPr id="36" name="PCG_6_5">
          <a:extLst>
            <a:ext uri="{FF2B5EF4-FFF2-40B4-BE49-F238E27FC236}">
              <a16:creationId xmlns:a16="http://schemas.microsoft.com/office/drawing/2014/main" id="{398C135F-2D37-86ED-88B4-AD37B0473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39</xdr:col>
      <xdr:colOff>25400</xdr:colOff>
      <xdr:row>90</xdr:row>
      <xdr:rowOff>25400</xdr:rowOff>
    </xdr:from>
    <xdr:to>
      <xdr:col>45</xdr:col>
      <xdr:colOff>742950</xdr:colOff>
      <xdr:row>105</xdr:row>
      <xdr:rowOff>209550</xdr:rowOff>
    </xdr:to>
    <xdr:graphicFrame macro="">
      <xdr:nvGraphicFramePr>
        <xdr:cNvPr id="37" name="PCG_6_6">
          <a:extLst>
            <a:ext uri="{FF2B5EF4-FFF2-40B4-BE49-F238E27FC236}">
              <a16:creationId xmlns:a16="http://schemas.microsoft.com/office/drawing/2014/main" id="{11EA5391-6376-9222-B4EF-AD1E7408C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46</xdr:col>
      <xdr:colOff>25400</xdr:colOff>
      <xdr:row>10</xdr:row>
      <xdr:rowOff>25400</xdr:rowOff>
    </xdr:from>
    <xdr:to>
      <xdr:col>52</xdr:col>
      <xdr:colOff>742950</xdr:colOff>
      <xdr:row>25</xdr:row>
      <xdr:rowOff>209550</xdr:rowOff>
    </xdr:to>
    <xdr:graphicFrame macro="">
      <xdr:nvGraphicFramePr>
        <xdr:cNvPr id="38" name="PCG_7_1">
          <a:extLst>
            <a:ext uri="{FF2B5EF4-FFF2-40B4-BE49-F238E27FC236}">
              <a16:creationId xmlns:a16="http://schemas.microsoft.com/office/drawing/2014/main" id="{FB8CFA7C-2C66-C24E-1053-1A0F189C5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46</xdr:col>
      <xdr:colOff>25400</xdr:colOff>
      <xdr:row>26</xdr:row>
      <xdr:rowOff>25400</xdr:rowOff>
    </xdr:from>
    <xdr:to>
      <xdr:col>52</xdr:col>
      <xdr:colOff>742950</xdr:colOff>
      <xdr:row>41</xdr:row>
      <xdr:rowOff>209550</xdr:rowOff>
    </xdr:to>
    <xdr:graphicFrame macro="">
      <xdr:nvGraphicFramePr>
        <xdr:cNvPr id="39" name="PCG_7_2">
          <a:extLst>
            <a:ext uri="{FF2B5EF4-FFF2-40B4-BE49-F238E27FC236}">
              <a16:creationId xmlns:a16="http://schemas.microsoft.com/office/drawing/2014/main" id="{A4FA0132-7F12-A576-EC25-8A33165D5C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46</xdr:col>
      <xdr:colOff>25400</xdr:colOff>
      <xdr:row>42</xdr:row>
      <xdr:rowOff>25400</xdr:rowOff>
    </xdr:from>
    <xdr:to>
      <xdr:col>52</xdr:col>
      <xdr:colOff>742950</xdr:colOff>
      <xdr:row>57</xdr:row>
      <xdr:rowOff>209550</xdr:rowOff>
    </xdr:to>
    <xdr:graphicFrame macro="">
      <xdr:nvGraphicFramePr>
        <xdr:cNvPr id="40" name="PCG_7_3">
          <a:extLst>
            <a:ext uri="{FF2B5EF4-FFF2-40B4-BE49-F238E27FC236}">
              <a16:creationId xmlns:a16="http://schemas.microsoft.com/office/drawing/2014/main" id="{C9155A63-F5D8-0600-6CA2-4B460FEAEE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46</xdr:col>
      <xdr:colOff>25400</xdr:colOff>
      <xdr:row>58</xdr:row>
      <xdr:rowOff>25400</xdr:rowOff>
    </xdr:from>
    <xdr:to>
      <xdr:col>52</xdr:col>
      <xdr:colOff>742950</xdr:colOff>
      <xdr:row>73</xdr:row>
      <xdr:rowOff>209550</xdr:rowOff>
    </xdr:to>
    <xdr:graphicFrame macro="">
      <xdr:nvGraphicFramePr>
        <xdr:cNvPr id="41" name="PCG_7_4">
          <a:extLst>
            <a:ext uri="{FF2B5EF4-FFF2-40B4-BE49-F238E27FC236}">
              <a16:creationId xmlns:a16="http://schemas.microsoft.com/office/drawing/2014/main" id="{3A96E0BC-95AF-4744-FFA0-9609FB3E8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46</xdr:col>
      <xdr:colOff>25400</xdr:colOff>
      <xdr:row>74</xdr:row>
      <xdr:rowOff>25400</xdr:rowOff>
    </xdr:from>
    <xdr:to>
      <xdr:col>52</xdr:col>
      <xdr:colOff>742950</xdr:colOff>
      <xdr:row>89</xdr:row>
      <xdr:rowOff>209550</xdr:rowOff>
    </xdr:to>
    <xdr:graphicFrame macro="">
      <xdr:nvGraphicFramePr>
        <xdr:cNvPr id="42" name="PCG_7_5">
          <a:extLst>
            <a:ext uri="{FF2B5EF4-FFF2-40B4-BE49-F238E27FC236}">
              <a16:creationId xmlns:a16="http://schemas.microsoft.com/office/drawing/2014/main" id="{48B1C826-CE76-F7D2-AE71-8ED7A6F53C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46</xdr:col>
      <xdr:colOff>25400</xdr:colOff>
      <xdr:row>90</xdr:row>
      <xdr:rowOff>25400</xdr:rowOff>
    </xdr:from>
    <xdr:to>
      <xdr:col>52</xdr:col>
      <xdr:colOff>742950</xdr:colOff>
      <xdr:row>105</xdr:row>
      <xdr:rowOff>209550</xdr:rowOff>
    </xdr:to>
    <xdr:graphicFrame macro="">
      <xdr:nvGraphicFramePr>
        <xdr:cNvPr id="43" name="PCG_7_6">
          <a:extLst>
            <a:ext uri="{FF2B5EF4-FFF2-40B4-BE49-F238E27FC236}">
              <a16:creationId xmlns:a16="http://schemas.microsoft.com/office/drawing/2014/main" id="{D80C9A20-2524-023F-50D7-561AF715FE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53</xdr:col>
      <xdr:colOff>25400</xdr:colOff>
      <xdr:row>10</xdr:row>
      <xdr:rowOff>25400</xdr:rowOff>
    </xdr:from>
    <xdr:to>
      <xdr:col>59</xdr:col>
      <xdr:colOff>742950</xdr:colOff>
      <xdr:row>25</xdr:row>
      <xdr:rowOff>209550</xdr:rowOff>
    </xdr:to>
    <xdr:graphicFrame macro="">
      <xdr:nvGraphicFramePr>
        <xdr:cNvPr id="44" name="PCG_8_1">
          <a:extLst>
            <a:ext uri="{FF2B5EF4-FFF2-40B4-BE49-F238E27FC236}">
              <a16:creationId xmlns:a16="http://schemas.microsoft.com/office/drawing/2014/main" id="{C44E6877-FF56-4C1B-467F-0F64EC89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53</xdr:col>
      <xdr:colOff>25400</xdr:colOff>
      <xdr:row>26</xdr:row>
      <xdr:rowOff>25400</xdr:rowOff>
    </xdr:from>
    <xdr:to>
      <xdr:col>59</xdr:col>
      <xdr:colOff>742950</xdr:colOff>
      <xdr:row>41</xdr:row>
      <xdr:rowOff>209550</xdr:rowOff>
    </xdr:to>
    <xdr:graphicFrame macro="">
      <xdr:nvGraphicFramePr>
        <xdr:cNvPr id="45" name="PCG_8_2">
          <a:extLst>
            <a:ext uri="{FF2B5EF4-FFF2-40B4-BE49-F238E27FC236}">
              <a16:creationId xmlns:a16="http://schemas.microsoft.com/office/drawing/2014/main" id="{57C9A6C1-2F82-A848-6EAB-A3AB8B728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53</xdr:col>
      <xdr:colOff>25400</xdr:colOff>
      <xdr:row>42</xdr:row>
      <xdr:rowOff>25400</xdr:rowOff>
    </xdr:from>
    <xdr:to>
      <xdr:col>59</xdr:col>
      <xdr:colOff>742950</xdr:colOff>
      <xdr:row>57</xdr:row>
      <xdr:rowOff>209550</xdr:rowOff>
    </xdr:to>
    <xdr:graphicFrame macro="">
      <xdr:nvGraphicFramePr>
        <xdr:cNvPr id="46" name="PCG_8_3">
          <a:extLst>
            <a:ext uri="{FF2B5EF4-FFF2-40B4-BE49-F238E27FC236}">
              <a16:creationId xmlns:a16="http://schemas.microsoft.com/office/drawing/2014/main" id="{E1385596-1168-6E0B-8DE5-461357D560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53</xdr:col>
      <xdr:colOff>25400</xdr:colOff>
      <xdr:row>58</xdr:row>
      <xdr:rowOff>25400</xdr:rowOff>
    </xdr:from>
    <xdr:to>
      <xdr:col>59</xdr:col>
      <xdr:colOff>742950</xdr:colOff>
      <xdr:row>73</xdr:row>
      <xdr:rowOff>209550</xdr:rowOff>
    </xdr:to>
    <xdr:graphicFrame macro="">
      <xdr:nvGraphicFramePr>
        <xdr:cNvPr id="47" name="PCG_8_4">
          <a:extLst>
            <a:ext uri="{FF2B5EF4-FFF2-40B4-BE49-F238E27FC236}">
              <a16:creationId xmlns:a16="http://schemas.microsoft.com/office/drawing/2014/main" id="{A9B44EC3-664C-42D0-6C5F-1C782738B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53</xdr:col>
      <xdr:colOff>25400</xdr:colOff>
      <xdr:row>74</xdr:row>
      <xdr:rowOff>25400</xdr:rowOff>
    </xdr:from>
    <xdr:to>
      <xdr:col>59</xdr:col>
      <xdr:colOff>742950</xdr:colOff>
      <xdr:row>89</xdr:row>
      <xdr:rowOff>209550</xdr:rowOff>
    </xdr:to>
    <xdr:graphicFrame macro="">
      <xdr:nvGraphicFramePr>
        <xdr:cNvPr id="48" name="PCG_8_5">
          <a:extLst>
            <a:ext uri="{FF2B5EF4-FFF2-40B4-BE49-F238E27FC236}">
              <a16:creationId xmlns:a16="http://schemas.microsoft.com/office/drawing/2014/main" id="{CD378FEF-B237-4737-7F47-CF3C5C81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53</xdr:col>
      <xdr:colOff>25400</xdr:colOff>
      <xdr:row>90</xdr:row>
      <xdr:rowOff>25400</xdr:rowOff>
    </xdr:from>
    <xdr:to>
      <xdr:col>59</xdr:col>
      <xdr:colOff>742950</xdr:colOff>
      <xdr:row>105</xdr:row>
      <xdr:rowOff>209550</xdr:rowOff>
    </xdr:to>
    <xdr:graphicFrame macro="">
      <xdr:nvGraphicFramePr>
        <xdr:cNvPr id="49" name="PCG_8_6">
          <a:extLst>
            <a:ext uri="{FF2B5EF4-FFF2-40B4-BE49-F238E27FC236}">
              <a16:creationId xmlns:a16="http://schemas.microsoft.com/office/drawing/2014/main" id="{72CE8F48-51D1-E9B6-0BED-0947A56E87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60</xdr:col>
      <xdr:colOff>25400</xdr:colOff>
      <xdr:row>10</xdr:row>
      <xdr:rowOff>25400</xdr:rowOff>
    </xdr:from>
    <xdr:to>
      <xdr:col>66</xdr:col>
      <xdr:colOff>742950</xdr:colOff>
      <xdr:row>25</xdr:row>
      <xdr:rowOff>209550</xdr:rowOff>
    </xdr:to>
    <xdr:graphicFrame macro="">
      <xdr:nvGraphicFramePr>
        <xdr:cNvPr id="50" name="PCG_9_1">
          <a:extLst>
            <a:ext uri="{FF2B5EF4-FFF2-40B4-BE49-F238E27FC236}">
              <a16:creationId xmlns:a16="http://schemas.microsoft.com/office/drawing/2014/main" id="{F475C9FF-2A26-EB87-E591-B2358BC29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60</xdr:col>
      <xdr:colOff>25400</xdr:colOff>
      <xdr:row>26</xdr:row>
      <xdr:rowOff>25400</xdr:rowOff>
    </xdr:from>
    <xdr:to>
      <xdr:col>66</xdr:col>
      <xdr:colOff>742950</xdr:colOff>
      <xdr:row>41</xdr:row>
      <xdr:rowOff>209550</xdr:rowOff>
    </xdr:to>
    <xdr:graphicFrame macro="">
      <xdr:nvGraphicFramePr>
        <xdr:cNvPr id="51" name="PCG_9_2">
          <a:extLst>
            <a:ext uri="{FF2B5EF4-FFF2-40B4-BE49-F238E27FC236}">
              <a16:creationId xmlns:a16="http://schemas.microsoft.com/office/drawing/2014/main" id="{E9E07537-A476-AF9D-B15C-11FB5FCB30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60</xdr:col>
      <xdr:colOff>25400</xdr:colOff>
      <xdr:row>42</xdr:row>
      <xdr:rowOff>25400</xdr:rowOff>
    </xdr:from>
    <xdr:to>
      <xdr:col>66</xdr:col>
      <xdr:colOff>742950</xdr:colOff>
      <xdr:row>57</xdr:row>
      <xdr:rowOff>209550</xdr:rowOff>
    </xdr:to>
    <xdr:graphicFrame macro="">
      <xdr:nvGraphicFramePr>
        <xdr:cNvPr id="52" name="PCG_9_3">
          <a:extLst>
            <a:ext uri="{FF2B5EF4-FFF2-40B4-BE49-F238E27FC236}">
              <a16:creationId xmlns:a16="http://schemas.microsoft.com/office/drawing/2014/main" id="{767AA05A-811C-6FD2-D795-11E3EAFB48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60</xdr:col>
      <xdr:colOff>25400</xdr:colOff>
      <xdr:row>58</xdr:row>
      <xdr:rowOff>25400</xdr:rowOff>
    </xdr:from>
    <xdr:to>
      <xdr:col>66</xdr:col>
      <xdr:colOff>742950</xdr:colOff>
      <xdr:row>73</xdr:row>
      <xdr:rowOff>209550</xdr:rowOff>
    </xdr:to>
    <xdr:graphicFrame macro="">
      <xdr:nvGraphicFramePr>
        <xdr:cNvPr id="53" name="PCG_9_4">
          <a:extLst>
            <a:ext uri="{FF2B5EF4-FFF2-40B4-BE49-F238E27FC236}">
              <a16:creationId xmlns:a16="http://schemas.microsoft.com/office/drawing/2014/main" id="{59480B3C-07CE-18B3-E3C4-AD6E55C0A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60</xdr:col>
      <xdr:colOff>25400</xdr:colOff>
      <xdr:row>74</xdr:row>
      <xdr:rowOff>25400</xdr:rowOff>
    </xdr:from>
    <xdr:to>
      <xdr:col>66</xdr:col>
      <xdr:colOff>742950</xdr:colOff>
      <xdr:row>89</xdr:row>
      <xdr:rowOff>209550</xdr:rowOff>
    </xdr:to>
    <xdr:graphicFrame macro="">
      <xdr:nvGraphicFramePr>
        <xdr:cNvPr id="54" name="PCG_9_5">
          <a:extLst>
            <a:ext uri="{FF2B5EF4-FFF2-40B4-BE49-F238E27FC236}">
              <a16:creationId xmlns:a16="http://schemas.microsoft.com/office/drawing/2014/main" id="{57ACB46F-3D85-89E6-D893-E2F74E64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60</xdr:col>
      <xdr:colOff>25400</xdr:colOff>
      <xdr:row>90</xdr:row>
      <xdr:rowOff>25400</xdr:rowOff>
    </xdr:from>
    <xdr:to>
      <xdr:col>66</xdr:col>
      <xdr:colOff>742950</xdr:colOff>
      <xdr:row>105</xdr:row>
      <xdr:rowOff>209550</xdr:rowOff>
    </xdr:to>
    <xdr:graphicFrame macro="">
      <xdr:nvGraphicFramePr>
        <xdr:cNvPr id="55" name="PCG_9_6">
          <a:extLst>
            <a:ext uri="{FF2B5EF4-FFF2-40B4-BE49-F238E27FC236}">
              <a16:creationId xmlns:a16="http://schemas.microsoft.com/office/drawing/2014/main" id="{71B1EC72-A904-1915-FDA6-BFAEB9CD7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67</xdr:col>
      <xdr:colOff>25400</xdr:colOff>
      <xdr:row>10</xdr:row>
      <xdr:rowOff>25400</xdr:rowOff>
    </xdr:from>
    <xdr:to>
      <xdr:col>73</xdr:col>
      <xdr:colOff>742950</xdr:colOff>
      <xdr:row>25</xdr:row>
      <xdr:rowOff>209550</xdr:rowOff>
    </xdr:to>
    <xdr:graphicFrame macro="">
      <xdr:nvGraphicFramePr>
        <xdr:cNvPr id="56" name="PCG_10_1">
          <a:extLst>
            <a:ext uri="{FF2B5EF4-FFF2-40B4-BE49-F238E27FC236}">
              <a16:creationId xmlns:a16="http://schemas.microsoft.com/office/drawing/2014/main" id="{09A627F1-22FA-CF45-D280-179A5ACF4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67</xdr:col>
      <xdr:colOff>25400</xdr:colOff>
      <xdr:row>26</xdr:row>
      <xdr:rowOff>25400</xdr:rowOff>
    </xdr:from>
    <xdr:to>
      <xdr:col>73</xdr:col>
      <xdr:colOff>742950</xdr:colOff>
      <xdr:row>41</xdr:row>
      <xdr:rowOff>209550</xdr:rowOff>
    </xdr:to>
    <xdr:graphicFrame macro="">
      <xdr:nvGraphicFramePr>
        <xdr:cNvPr id="57" name="PCG_10_2">
          <a:extLst>
            <a:ext uri="{FF2B5EF4-FFF2-40B4-BE49-F238E27FC236}">
              <a16:creationId xmlns:a16="http://schemas.microsoft.com/office/drawing/2014/main" id="{132080F3-5117-337A-BDE7-72B127D3FD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67</xdr:col>
      <xdr:colOff>25400</xdr:colOff>
      <xdr:row>42</xdr:row>
      <xdr:rowOff>25400</xdr:rowOff>
    </xdr:from>
    <xdr:to>
      <xdr:col>73</xdr:col>
      <xdr:colOff>742950</xdr:colOff>
      <xdr:row>57</xdr:row>
      <xdr:rowOff>209550</xdr:rowOff>
    </xdr:to>
    <xdr:graphicFrame macro="">
      <xdr:nvGraphicFramePr>
        <xdr:cNvPr id="58" name="PCG_10_3">
          <a:extLst>
            <a:ext uri="{FF2B5EF4-FFF2-40B4-BE49-F238E27FC236}">
              <a16:creationId xmlns:a16="http://schemas.microsoft.com/office/drawing/2014/main" id="{51CD05CF-374C-8C41-609E-D14AE76B38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67</xdr:col>
      <xdr:colOff>25400</xdr:colOff>
      <xdr:row>58</xdr:row>
      <xdr:rowOff>25400</xdr:rowOff>
    </xdr:from>
    <xdr:to>
      <xdr:col>73</xdr:col>
      <xdr:colOff>742950</xdr:colOff>
      <xdr:row>73</xdr:row>
      <xdr:rowOff>209550</xdr:rowOff>
    </xdr:to>
    <xdr:graphicFrame macro="">
      <xdr:nvGraphicFramePr>
        <xdr:cNvPr id="59" name="PCG_10_4">
          <a:extLst>
            <a:ext uri="{FF2B5EF4-FFF2-40B4-BE49-F238E27FC236}">
              <a16:creationId xmlns:a16="http://schemas.microsoft.com/office/drawing/2014/main" id="{BF63C08B-46E0-0C4A-E4DE-E7F545F8EB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67</xdr:col>
      <xdr:colOff>25400</xdr:colOff>
      <xdr:row>74</xdr:row>
      <xdr:rowOff>25400</xdr:rowOff>
    </xdr:from>
    <xdr:to>
      <xdr:col>73</xdr:col>
      <xdr:colOff>742950</xdr:colOff>
      <xdr:row>89</xdr:row>
      <xdr:rowOff>209550</xdr:rowOff>
    </xdr:to>
    <xdr:graphicFrame macro="">
      <xdr:nvGraphicFramePr>
        <xdr:cNvPr id="60" name="PCG_10_5">
          <a:extLst>
            <a:ext uri="{FF2B5EF4-FFF2-40B4-BE49-F238E27FC236}">
              <a16:creationId xmlns:a16="http://schemas.microsoft.com/office/drawing/2014/main" id="{40DE11D0-EB3B-EFA3-EFEC-65BC1BB65A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67</xdr:col>
      <xdr:colOff>25400</xdr:colOff>
      <xdr:row>90</xdr:row>
      <xdr:rowOff>25400</xdr:rowOff>
    </xdr:from>
    <xdr:to>
      <xdr:col>73</xdr:col>
      <xdr:colOff>742950</xdr:colOff>
      <xdr:row>105</xdr:row>
      <xdr:rowOff>209550</xdr:rowOff>
    </xdr:to>
    <xdr:graphicFrame macro="">
      <xdr:nvGraphicFramePr>
        <xdr:cNvPr id="61" name="PCG_10_6">
          <a:extLst>
            <a:ext uri="{FF2B5EF4-FFF2-40B4-BE49-F238E27FC236}">
              <a16:creationId xmlns:a16="http://schemas.microsoft.com/office/drawing/2014/main" id="{1C07D95F-4CC9-1526-E594-86A559E5D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4</xdr:col>
      <xdr:colOff>25400</xdr:colOff>
      <xdr:row>106</xdr:row>
      <xdr:rowOff>25400</xdr:rowOff>
    </xdr:from>
    <xdr:to>
      <xdr:col>10</xdr:col>
      <xdr:colOff>742950</xdr:colOff>
      <xdr:row>121</xdr:row>
      <xdr:rowOff>209550</xdr:rowOff>
    </xdr:to>
    <xdr:graphicFrame macro="">
      <xdr:nvGraphicFramePr>
        <xdr:cNvPr id="62" name="PCG_1_7">
          <a:extLst>
            <a:ext uri="{FF2B5EF4-FFF2-40B4-BE49-F238E27FC236}">
              <a16:creationId xmlns:a16="http://schemas.microsoft.com/office/drawing/2014/main" id="{B0820030-C0FD-EBBC-32F1-C707F8BACC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11</xdr:col>
      <xdr:colOff>25400</xdr:colOff>
      <xdr:row>106</xdr:row>
      <xdr:rowOff>25400</xdr:rowOff>
    </xdr:from>
    <xdr:to>
      <xdr:col>17</xdr:col>
      <xdr:colOff>742950</xdr:colOff>
      <xdr:row>121</xdr:row>
      <xdr:rowOff>209550</xdr:rowOff>
    </xdr:to>
    <xdr:graphicFrame macro="">
      <xdr:nvGraphicFramePr>
        <xdr:cNvPr id="63" name="PCG_2_7">
          <a:extLst>
            <a:ext uri="{FF2B5EF4-FFF2-40B4-BE49-F238E27FC236}">
              <a16:creationId xmlns:a16="http://schemas.microsoft.com/office/drawing/2014/main" id="{33B6B428-CC67-D0D7-FC71-185A31688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18</xdr:col>
      <xdr:colOff>25400</xdr:colOff>
      <xdr:row>106</xdr:row>
      <xdr:rowOff>25400</xdr:rowOff>
    </xdr:from>
    <xdr:to>
      <xdr:col>24</xdr:col>
      <xdr:colOff>742950</xdr:colOff>
      <xdr:row>121</xdr:row>
      <xdr:rowOff>209550</xdr:rowOff>
    </xdr:to>
    <xdr:graphicFrame macro="">
      <xdr:nvGraphicFramePr>
        <xdr:cNvPr id="64" name="PCG_3_7">
          <a:extLst>
            <a:ext uri="{FF2B5EF4-FFF2-40B4-BE49-F238E27FC236}">
              <a16:creationId xmlns:a16="http://schemas.microsoft.com/office/drawing/2014/main" id="{30E9347B-6DAB-81ED-DA09-C46BD1F2B8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25</xdr:col>
      <xdr:colOff>25400</xdr:colOff>
      <xdr:row>106</xdr:row>
      <xdr:rowOff>25400</xdr:rowOff>
    </xdr:from>
    <xdr:to>
      <xdr:col>31</xdr:col>
      <xdr:colOff>742950</xdr:colOff>
      <xdr:row>121</xdr:row>
      <xdr:rowOff>209550</xdr:rowOff>
    </xdr:to>
    <xdr:graphicFrame macro="">
      <xdr:nvGraphicFramePr>
        <xdr:cNvPr id="65" name="PCG_4_7">
          <a:extLst>
            <a:ext uri="{FF2B5EF4-FFF2-40B4-BE49-F238E27FC236}">
              <a16:creationId xmlns:a16="http://schemas.microsoft.com/office/drawing/2014/main" id="{8AE4FAD0-612A-273B-E47C-221F4D81D1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32</xdr:col>
      <xdr:colOff>25400</xdr:colOff>
      <xdr:row>106</xdr:row>
      <xdr:rowOff>25400</xdr:rowOff>
    </xdr:from>
    <xdr:to>
      <xdr:col>38</xdr:col>
      <xdr:colOff>742950</xdr:colOff>
      <xdr:row>121</xdr:row>
      <xdr:rowOff>209550</xdr:rowOff>
    </xdr:to>
    <xdr:graphicFrame macro="">
      <xdr:nvGraphicFramePr>
        <xdr:cNvPr id="66" name="PCG_5_7">
          <a:extLst>
            <a:ext uri="{FF2B5EF4-FFF2-40B4-BE49-F238E27FC236}">
              <a16:creationId xmlns:a16="http://schemas.microsoft.com/office/drawing/2014/main" id="{613DC3D5-FC74-22E8-2F2D-3EA16462A7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39</xdr:col>
      <xdr:colOff>25400</xdr:colOff>
      <xdr:row>106</xdr:row>
      <xdr:rowOff>25400</xdr:rowOff>
    </xdr:from>
    <xdr:to>
      <xdr:col>45</xdr:col>
      <xdr:colOff>742950</xdr:colOff>
      <xdr:row>121</xdr:row>
      <xdr:rowOff>209550</xdr:rowOff>
    </xdr:to>
    <xdr:graphicFrame macro="">
      <xdr:nvGraphicFramePr>
        <xdr:cNvPr id="67" name="PCG_6_7">
          <a:extLst>
            <a:ext uri="{FF2B5EF4-FFF2-40B4-BE49-F238E27FC236}">
              <a16:creationId xmlns:a16="http://schemas.microsoft.com/office/drawing/2014/main" id="{7B94C8FD-6895-9435-397D-BB88040B35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46</xdr:col>
      <xdr:colOff>25400</xdr:colOff>
      <xdr:row>106</xdr:row>
      <xdr:rowOff>25400</xdr:rowOff>
    </xdr:from>
    <xdr:to>
      <xdr:col>52</xdr:col>
      <xdr:colOff>742950</xdr:colOff>
      <xdr:row>121</xdr:row>
      <xdr:rowOff>209550</xdr:rowOff>
    </xdr:to>
    <xdr:graphicFrame macro="">
      <xdr:nvGraphicFramePr>
        <xdr:cNvPr id="68" name="PCG_7_7">
          <a:extLst>
            <a:ext uri="{FF2B5EF4-FFF2-40B4-BE49-F238E27FC236}">
              <a16:creationId xmlns:a16="http://schemas.microsoft.com/office/drawing/2014/main" id="{D401DC21-8597-77E5-EAAA-6C78D1491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53</xdr:col>
      <xdr:colOff>25400</xdr:colOff>
      <xdr:row>106</xdr:row>
      <xdr:rowOff>25400</xdr:rowOff>
    </xdr:from>
    <xdr:to>
      <xdr:col>59</xdr:col>
      <xdr:colOff>742950</xdr:colOff>
      <xdr:row>121</xdr:row>
      <xdr:rowOff>209550</xdr:rowOff>
    </xdr:to>
    <xdr:graphicFrame macro="">
      <xdr:nvGraphicFramePr>
        <xdr:cNvPr id="69" name="PCG_8_7">
          <a:extLst>
            <a:ext uri="{FF2B5EF4-FFF2-40B4-BE49-F238E27FC236}">
              <a16:creationId xmlns:a16="http://schemas.microsoft.com/office/drawing/2014/main" id="{2E5593D9-5C99-D6F6-2FE4-84BA7662B0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60</xdr:col>
      <xdr:colOff>25400</xdr:colOff>
      <xdr:row>106</xdr:row>
      <xdr:rowOff>25400</xdr:rowOff>
    </xdr:from>
    <xdr:to>
      <xdr:col>66</xdr:col>
      <xdr:colOff>742950</xdr:colOff>
      <xdr:row>121</xdr:row>
      <xdr:rowOff>209550</xdr:rowOff>
    </xdr:to>
    <xdr:graphicFrame macro="">
      <xdr:nvGraphicFramePr>
        <xdr:cNvPr id="70" name="PCG_9_7">
          <a:extLst>
            <a:ext uri="{FF2B5EF4-FFF2-40B4-BE49-F238E27FC236}">
              <a16:creationId xmlns:a16="http://schemas.microsoft.com/office/drawing/2014/main" id="{2EDB0314-6973-EBE6-89E0-CDBEED1E88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67</xdr:col>
      <xdr:colOff>25400</xdr:colOff>
      <xdr:row>106</xdr:row>
      <xdr:rowOff>25400</xdr:rowOff>
    </xdr:from>
    <xdr:to>
      <xdr:col>73</xdr:col>
      <xdr:colOff>742950</xdr:colOff>
      <xdr:row>121</xdr:row>
      <xdr:rowOff>209550</xdr:rowOff>
    </xdr:to>
    <xdr:graphicFrame macro="">
      <xdr:nvGraphicFramePr>
        <xdr:cNvPr id="71" name="PCG_10_7">
          <a:extLst>
            <a:ext uri="{FF2B5EF4-FFF2-40B4-BE49-F238E27FC236}">
              <a16:creationId xmlns:a16="http://schemas.microsoft.com/office/drawing/2014/main" id="{93325E4F-755E-5A7A-5149-953C5F80C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10</xdr:col>
      <xdr:colOff>457200</xdr:colOff>
      <xdr:row>19</xdr:row>
      <xdr:rowOff>196850</xdr:rowOff>
    </xdr:to>
    <xdr:graphicFrame macro="">
      <xdr:nvGraphicFramePr>
        <xdr:cNvPr id="2" name="VolLevelChart1">
          <a:extLst>
            <a:ext uri="{FF2B5EF4-FFF2-40B4-BE49-F238E27FC236}">
              <a16:creationId xmlns:a16="http://schemas.microsoft.com/office/drawing/2014/main" id="{CC107D8C-78FB-8786-D0A3-E1DB0FC1EA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558800</xdr:colOff>
      <xdr:row>2</xdr:row>
      <xdr:rowOff>0</xdr:rowOff>
    </xdr:from>
    <xdr:to>
      <xdr:col>18</xdr:col>
      <xdr:colOff>101600</xdr:colOff>
      <xdr:row>19</xdr:row>
      <xdr:rowOff>196850</xdr:rowOff>
    </xdr:to>
    <xdr:graphicFrame macro="">
      <xdr:nvGraphicFramePr>
        <xdr:cNvPr id="3" name="VolLevelChart2">
          <a:extLst>
            <a:ext uri="{FF2B5EF4-FFF2-40B4-BE49-F238E27FC236}">
              <a16:creationId xmlns:a16="http://schemas.microsoft.com/office/drawing/2014/main" id="{6D7ED067-929B-8C4A-A521-13CF76A55D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203200</xdr:colOff>
      <xdr:row>2</xdr:row>
      <xdr:rowOff>0</xdr:rowOff>
    </xdr:from>
    <xdr:to>
      <xdr:col>25</xdr:col>
      <xdr:colOff>406400</xdr:colOff>
      <xdr:row>19</xdr:row>
      <xdr:rowOff>196850</xdr:rowOff>
    </xdr:to>
    <xdr:graphicFrame macro="">
      <xdr:nvGraphicFramePr>
        <xdr:cNvPr id="4" name="VolLevelChart3">
          <a:extLst>
            <a:ext uri="{FF2B5EF4-FFF2-40B4-BE49-F238E27FC236}">
              <a16:creationId xmlns:a16="http://schemas.microsoft.com/office/drawing/2014/main" id="{1A4C866B-7F34-E597-28B6-5550FFB2BF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39007</xdr:colOff>
      <xdr:row>2</xdr:row>
      <xdr:rowOff>0</xdr:rowOff>
    </xdr:from>
    <xdr:to>
      <xdr:col>38</xdr:col>
      <xdr:colOff>648608</xdr:colOff>
      <xdr:row>13</xdr:row>
      <xdr:rowOff>82550</xdr:rowOff>
    </xdr:to>
    <xdr:graphicFrame macro="">
      <xdr:nvGraphicFramePr>
        <xdr:cNvPr id="2" name="FWM_Strip1">
          <a:extLst>
            <a:ext uri="{FF2B5EF4-FFF2-40B4-BE49-F238E27FC236}">
              <a16:creationId xmlns:a16="http://schemas.microsoft.com/office/drawing/2014/main" id="{CE15A1FB-B93F-4E7C-77D6-8E2713573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39007</xdr:colOff>
      <xdr:row>17</xdr:row>
      <xdr:rowOff>0</xdr:rowOff>
    </xdr:from>
    <xdr:to>
      <xdr:col>38</xdr:col>
      <xdr:colOff>648608</xdr:colOff>
      <xdr:row>24</xdr:row>
      <xdr:rowOff>6350</xdr:rowOff>
    </xdr:to>
    <xdr:graphicFrame macro="">
      <xdr:nvGraphicFramePr>
        <xdr:cNvPr id="3" name="FWM_Chg1">
          <a:extLst>
            <a:ext uri="{FF2B5EF4-FFF2-40B4-BE49-F238E27FC236}">
              <a16:creationId xmlns:a16="http://schemas.microsoft.com/office/drawing/2014/main" id="{FA9D5D51-3ADF-E31E-FE3C-0C829164A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39007</xdr:colOff>
      <xdr:row>2</xdr:row>
      <xdr:rowOff>0</xdr:rowOff>
    </xdr:from>
    <xdr:to>
      <xdr:col>46</xdr:col>
      <xdr:colOff>648607</xdr:colOff>
      <xdr:row>13</xdr:row>
      <xdr:rowOff>82550</xdr:rowOff>
    </xdr:to>
    <xdr:graphicFrame macro="">
      <xdr:nvGraphicFramePr>
        <xdr:cNvPr id="4" name="FWM_Strip5">
          <a:extLst>
            <a:ext uri="{FF2B5EF4-FFF2-40B4-BE49-F238E27FC236}">
              <a16:creationId xmlns:a16="http://schemas.microsoft.com/office/drawing/2014/main" id="{60A6CDFD-0512-3D2D-F509-3480883EE3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39007</xdr:colOff>
      <xdr:row>17</xdr:row>
      <xdr:rowOff>0</xdr:rowOff>
    </xdr:from>
    <xdr:to>
      <xdr:col>46</xdr:col>
      <xdr:colOff>648607</xdr:colOff>
      <xdr:row>24</xdr:row>
      <xdr:rowOff>6350</xdr:rowOff>
    </xdr:to>
    <xdr:graphicFrame macro="">
      <xdr:nvGraphicFramePr>
        <xdr:cNvPr id="5" name="FWM_Chg5">
          <a:extLst>
            <a:ext uri="{FF2B5EF4-FFF2-40B4-BE49-F238E27FC236}">
              <a16:creationId xmlns:a16="http://schemas.microsoft.com/office/drawing/2014/main" id="{46CBECEC-161D-01E6-04B3-F775C48A1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50</xdr:row>
      <xdr:rowOff>0</xdr:rowOff>
    </xdr:from>
    <xdr:to>
      <xdr:col>12</xdr:col>
      <xdr:colOff>304800</xdr:colOff>
      <xdr:row>66</xdr:row>
      <xdr:rowOff>50800</xdr:rowOff>
    </xdr:to>
    <xdr:graphicFrame macro="">
      <xdr:nvGraphicFramePr>
        <xdr:cNvPr id="6" name="FWM_Compare">
          <a:extLst>
            <a:ext uri="{FF2B5EF4-FFF2-40B4-BE49-F238E27FC236}">
              <a16:creationId xmlns:a16="http://schemas.microsoft.com/office/drawing/2014/main" id="{EE611711-654E-21AF-3D5A-3B1A46A407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0</xdr:rowOff>
    </xdr:from>
    <xdr:to>
      <xdr:col>7</xdr:col>
      <xdr:colOff>273050</xdr:colOff>
      <xdr:row>56</xdr:row>
      <xdr:rowOff>12700</xdr:rowOff>
    </xdr:to>
    <xdr:graphicFrame macro="">
      <xdr:nvGraphicFramePr>
        <xdr:cNvPr id="2" name="FUT_ChartSettle">
          <a:extLst>
            <a:ext uri="{FF2B5EF4-FFF2-40B4-BE49-F238E27FC236}">
              <a16:creationId xmlns:a16="http://schemas.microsoft.com/office/drawing/2014/main" id="{BADEE256-901E-9870-3257-2C27EF4A6B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42</xdr:row>
      <xdr:rowOff>0</xdr:rowOff>
    </xdr:from>
    <xdr:to>
      <xdr:col>16</xdr:col>
      <xdr:colOff>31750</xdr:colOff>
      <xdr:row>56</xdr:row>
      <xdr:rowOff>12700</xdr:rowOff>
    </xdr:to>
    <xdr:graphicFrame macro="">
      <xdr:nvGraphicFramePr>
        <xdr:cNvPr id="3" name="FUT_ChartNet">
          <a:extLst>
            <a:ext uri="{FF2B5EF4-FFF2-40B4-BE49-F238E27FC236}">
              <a16:creationId xmlns:a16="http://schemas.microsoft.com/office/drawing/2014/main" id="{109C0F61-8B35-5CF8-9C36-6A35BBB66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15</xdr:col>
      <xdr:colOff>247650</xdr:colOff>
      <xdr:row>76</xdr:row>
      <xdr:rowOff>31750</xdr:rowOff>
    </xdr:to>
    <xdr:graphicFrame macro="">
      <xdr:nvGraphicFramePr>
        <xdr:cNvPr id="4" name="FUT_ChartOverlay">
          <a:extLst>
            <a:ext uri="{FF2B5EF4-FFF2-40B4-BE49-F238E27FC236}">
              <a16:creationId xmlns:a16="http://schemas.microsoft.com/office/drawing/2014/main" id="{8B58E74A-7652-EC8C-8A65-098F1390D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topLeftCell="A5" zoomScale="57" workbookViewId="0">
      <selection activeCell="J6" sqref="J6"/>
    </sheetView>
  </sheetViews>
  <sheetFormatPr defaultRowHeight="18.5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84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LiveInfo("swap",_xlfn.ANCHORARRAY($CA$4))</f>
      </c>
      <c r="E1" s="17" t="s">
        <v>55</v>
      </c>
    </row>
    <row r="2" spans="1:84" ht="22.5" x14ac:dyDescent="0.55000000000000004">
      <c r="A2" t="s">
        <v>195</v>
      </c>
      <c r="E2" s="1"/>
      <c r="Z2" s="1" t="s">
        <v>196</v>
      </c>
      <c r="CA2" t="s">
        <v>56</v>
      </c>
    </row>
    <row r="3" spans="1:84" x14ac:dyDescent="0.55000000000000004">
      <c r="A3" s="4" t="s">
        <v>190</v>
      </c>
      <c r="E3" t="s">
        <v>197</v>
      </c>
      <c r="H3" t="s">
        <v>251</v>
      </c>
      <c r="AB3" t="s">
        <v>198</v>
      </c>
      <c r="AC3" t="s">
        <v>199</v>
      </c>
      <c r="BX3" t="s">
        <v>170</v>
      </c>
      <c r="BY3" t="s">
        <v>171</v>
      </c>
      <c r="CE3" t="s">
        <v>172</v>
      </c>
      <c r="CF3" t="s">
        <v>173</v>
      </c>
    </row>
    <row r="4" spans="1:84" x14ac:dyDescent="0.55000000000000004">
      <c r="A4" t="s">
        <v>248</v>
      </c>
      <c r="B4" s="3"/>
      <c r="E4" cm="1">
        <f t="array" aca="1" ref="E4:F8" ca="1">PcaWindow(PCA_Selected,PCA_Mode,PCA_Standardize,PCA_window,PCA_WindowEnd)</f>
      </c>
      <c r="F4" s="7">
        <f ca="1"/>
      </c>
      <c r="H4" cm="1">
        <f t="array" aca="1" ref="H4:I7" ca="1">PcaActualInfo(PCA_Selected,PCA_Mode,PCA_ReconDate,_xlfn.CHOOSECOLS(_xlfn.ANCHORARRAY($CA$4),1,2))</f>
      </c>
      <c r="I4" s="7">
        <f ca="1"/>
      </c>
      <c r="O4" t="s">
        <v>200</v>
      </c>
      <c r="AA4" s="7"/>
      <c r="AB4" cm="1">
        <f t="array" ref="AB4:AB22">_xlfn._xlws.FILTER($A$15:$A$56,$B$15:$B$56="○")</f>
      </c>
      <c r="AC4" cm="1">
        <f t="array" aca="1" ref="AC4:AY23" ca="1">PcaModel(PCA_Selected,PCA_Mode,PCA_Standardize,PCA_window,PCA_WindowEnd)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BX4" cm="1">
        <f t="array" aca="1" ref="BX4:BX22" ca="1">_xlfn.DROP(_xlfn.CHOOSECOLS(_xlfn.ANCHORARRAY($AC$4),2),1)+_xlfn.DROP(_xlfn.CHOOSECOLS(_xlfn.ANCHORARRAY($AC$4),4),1)</f>
      </c>
      <c r="BY4" cm="1">
        <f t="array" aca="1" ref="BY4:BY22" ca="1">_xlfn.DROP(_xlfn.CHOOSECOLS(_xlfn.ANCHORARRAY($AC$4),2),1)-_xlfn.DROP(_xlfn.CHOOSECOLS(_xlfn.ANCHORARRAY($AC$4),4),1)</f>
      </c>
      <c r="CA4" cm="1">
        <f t="array" aca="1" ref="CA4:CD47" ca="1">IF($B$1="Fixed",LiveSnapshot("swap"),LiveQuotes("swap"))</f>
      </c>
      <c r="CB4">
        <f ca="1"/>
      </c>
      <c r="CC4">
        <f ca="1"/>
      </c>
      <c r="CD4">
        <f ca="1"/>
      </c>
      <c r="CE4" cm="1">
        <f t="array" aca="1" ref="CE4:CE22" ca="1">PcaResidStd(PCA_Selected,PCA_Mode,PCA_Standardize,PCA_window,PCA_k,PCA_WindowEnd,PCA_SigmaDays)</f>
      </c>
      <c r="CF4" cm="1">
        <f t="array" aca="1" ref="CF4:CF22" ca="1">-_xlfn.ANCHORARRAY($CE$4)</f>
      </c>
    </row>
    <row r="5" spans="1:84" x14ac:dyDescent="0.55000000000000004">
      <c r="A5" t="s">
        <v>191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201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X5">
        <f ca="1"/>
      </c>
      <c r="BY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</row>
    <row r="6" spans="1:84" x14ac:dyDescent="0.55000000000000004">
      <c r="A6" t="s">
        <v>192</v>
      </c>
      <c r="B6" s="2" t="s">
        <v>221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X6">
        <f ca="1"/>
      </c>
      <c r="BY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</row>
    <row r="7" spans="1:84" x14ac:dyDescent="0.55000000000000004">
      <c r="A7" t="s">
        <v>193</v>
      </c>
      <c r="B7" s="2" t="s">
        <v>222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X7">
        <f ca="1"/>
      </c>
      <c r="BY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</row>
    <row r="8" spans="1:84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X8">
        <f ca="1"/>
      </c>
      <c r="BY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</row>
    <row r="9" spans="1:84" x14ac:dyDescent="0.55000000000000004">
      <c r="A9" s="4" t="s">
        <v>249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X9">
        <f ca="1"/>
      </c>
      <c r="BY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</row>
    <row r="10" spans="1:84" x14ac:dyDescent="0.55000000000000004">
      <c r="A10" t="s">
        <v>250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X10">
        <f ca="1"/>
      </c>
      <c r="BY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</row>
    <row r="11" spans="1:84" x14ac:dyDescent="0.55000000000000004">
      <c r="A11" t="s">
        <v>194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X11">
        <f ca="1"/>
      </c>
      <c r="BY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</row>
    <row r="12" spans="1:84" x14ac:dyDescent="0.55000000000000004">
      <c r="A12" t="s">
        <v>202</v>
      </c>
      <c r="B12" s="2"/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X12">
        <f ca="1"/>
      </c>
      <c r="BY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</row>
    <row r="13" spans="1:84" x14ac:dyDescent="0.55000000000000004">
      <c r="A13" t="s">
        <v>203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X13">
        <f ca="1"/>
      </c>
      <c r="BY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</row>
    <row r="14" spans="1:84" x14ac:dyDescent="0.55000000000000004">
      <c r="A14" s="5" t="s">
        <v>204</v>
      </c>
      <c r="B14" s="5" t="s">
        <v>205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X14">
        <f ca="1"/>
      </c>
      <c r="BY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</row>
    <row r="15" spans="1:84" x14ac:dyDescent="0.55000000000000004">
      <c r="A15" t="s">
        <v>0</v>
      </c>
      <c r="B15" s="6" t="s">
        <v>43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X15">
        <f ca="1"/>
      </c>
      <c r="BY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</row>
    <row r="16" spans="1:84" x14ac:dyDescent="0.55000000000000004">
      <c r="A16" t="s">
        <v>1</v>
      </c>
      <c r="B16" s="6" t="s">
        <v>43</v>
      </c>
      <c r="Z16" t="s">
        <v>206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X16">
        <f ca="1"/>
      </c>
      <c r="BY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</row>
    <row r="17" spans="1:84" x14ac:dyDescent="0.55000000000000004">
      <c r="A17" t="s">
        <v>2</v>
      </c>
      <c r="B17" s="6" t="s">
        <v>43</v>
      </c>
      <c r="Z17" cm="1">
        <f t="array" aca="1" ref="Z17:AA36" ca="1">PcaEigen(PCA_Selected,PCA_Mode,PCA_Standardize,PCA_window,PCA_WindowEnd)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X17">
        <f ca="1"/>
      </c>
      <c r="BY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</row>
    <row r="18" spans="1:84" x14ac:dyDescent="0.55000000000000004">
      <c r="A18" t="s">
        <v>3</v>
      </c>
      <c r="B18" s="6" t="s">
        <v>43</v>
      </c>
      <c r="Z18">
        <f ca="1"/>
      </c>
      <c r="AA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X18">
        <f ca="1"/>
      </c>
      <c r="BY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</row>
    <row r="19" spans="1:84" x14ac:dyDescent="0.55000000000000004">
      <c r="A19" t="s">
        <v>4</v>
      </c>
      <c r="B19" s="6" t="s">
        <v>43</v>
      </c>
      <c r="Z19">
        <f ca="1"/>
      </c>
      <c r="AA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X19">
        <f ca="1"/>
      </c>
      <c r="BY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</row>
    <row r="20" spans="1:84" x14ac:dyDescent="0.55000000000000004">
      <c r="A20" t="s">
        <v>5</v>
      </c>
      <c r="B20" s="6" t="s">
        <v>43</v>
      </c>
      <c r="Z20">
        <f ca="1"/>
      </c>
      <c r="AA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X20">
        <f ca="1"/>
      </c>
      <c r="BY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</row>
    <row r="21" spans="1:84" x14ac:dyDescent="0.55000000000000004">
      <c r="A21" t="s">
        <v>6</v>
      </c>
      <c r="B21" s="6" t="s">
        <v>43</v>
      </c>
      <c r="Z21">
        <f ca="1"/>
      </c>
      <c r="AA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X21">
        <f ca="1"/>
      </c>
      <c r="BY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</row>
    <row r="22" spans="1:84" x14ac:dyDescent="0.55000000000000004">
      <c r="A22" t="s">
        <v>7</v>
      </c>
      <c r="B22" s="6" t="s">
        <v>42</v>
      </c>
      <c r="Z22">
        <f ca="1"/>
      </c>
      <c r="AA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X22">
        <f ca="1"/>
      </c>
      <c r="BY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</row>
    <row r="23" spans="1:84" x14ac:dyDescent="0.55000000000000004">
      <c r="A23" t="s">
        <v>8</v>
      </c>
      <c r="B23" s="6" t="s">
        <v>43</v>
      </c>
      <c r="Z23">
        <f ca="1"/>
      </c>
      <c r="AA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CA23">
        <f ca="1"/>
      </c>
      <c r="CB23">
        <f ca="1"/>
      </c>
      <c r="CC23">
        <f ca="1"/>
      </c>
      <c r="CD23">
        <f ca="1"/>
      </c>
    </row>
    <row r="24" spans="1:84" x14ac:dyDescent="0.55000000000000004">
      <c r="A24" t="s">
        <v>9</v>
      </c>
      <c r="B24" s="6" t="s">
        <v>43</v>
      </c>
      <c r="Z24">
        <f ca="1"/>
      </c>
      <c r="AA24">
        <f ca="1"/>
      </c>
      <c r="CA24">
        <f ca="1"/>
      </c>
      <c r="CB24">
        <f ca="1"/>
      </c>
      <c r="CC24">
        <f ca="1"/>
      </c>
      <c r="CD24">
        <f ca="1"/>
      </c>
    </row>
    <row r="25" spans="1:84" x14ac:dyDescent="0.55000000000000004">
      <c r="A25" t="s">
        <v>10</v>
      </c>
      <c r="B25" s="6" t="s">
        <v>43</v>
      </c>
      <c r="Z25">
        <f ca="1"/>
      </c>
      <c r="AA25">
        <f ca="1"/>
      </c>
      <c r="CA25">
        <f ca="1"/>
      </c>
      <c r="CB25">
        <f ca="1"/>
      </c>
      <c r="CC25">
        <f ca="1"/>
      </c>
      <c r="CD25">
        <f ca="1"/>
      </c>
    </row>
    <row r="26" spans="1:84" x14ac:dyDescent="0.55000000000000004">
      <c r="A26" t="s">
        <v>11</v>
      </c>
      <c r="B26" s="6" t="s">
        <v>43</v>
      </c>
      <c r="Z26">
        <f ca="1"/>
      </c>
      <c r="AA26">
        <f ca="1"/>
      </c>
      <c r="CA26">
        <f ca="1"/>
      </c>
      <c r="CB26">
        <f ca="1"/>
      </c>
      <c r="CC26">
        <f ca="1"/>
      </c>
      <c r="CD26">
        <f ca="1"/>
      </c>
    </row>
    <row r="27" spans="1:84" x14ac:dyDescent="0.55000000000000004">
      <c r="A27" t="s">
        <v>12</v>
      </c>
      <c r="B27" s="6" t="s">
        <v>43</v>
      </c>
      <c r="Z27">
        <f ca="1"/>
      </c>
      <c r="AA27">
        <f ca="1"/>
      </c>
      <c r="CA27">
        <f ca="1"/>
      </c>
      <c r="CB27">
        <f ca="1"/>
      </c>
      <c r="CC27">
        <f ca="1"/>
      </c>
      <c r="CD27">
        <f ca="1"/>
      </c>
    </row>
    <row r="28" spans="1:84" x14ac:dyDescent="0.55000000000000004">
      <c r="A28" t="s">
        <v>41</v>
      </c>
      <c r="B28" s="6" t="s">
        <v>42</v>
      </c>
      <c r="Z28">
        <f ca="1"/>
      </c>
      <c r="AA28">
        <f ca="1"/>
      </c>
      <c r="CA28">
        <f ca="1"/>
      </c>
      <c r="CB28">
        <f ca="1"/>
      </c>
      <c r="CC28">
        <f ca="1"/>
      </c>
      <c r="CD28">
        <f ca="1"/>
      </c>
    </row>
    <row r="29" spans="1:84" x14ac:dyDescent="0.55000000000000004">
      <c r="A29" t="s">
        <v>13</v>
      </c>
      <c r="B29" s="6" t="s">
        <v>43</v>
      </c>
      <c r="Z29">
        <f ca="1"/>
      </c>
      <c r="AA29">
        <f ca="1"/>
      </c>
      <c r="CA29">
        <f ca="1"/>
      </c>
      <c r="CB29">
        <f ca="1"/>
      </c>
      <c r="CC29">
        <f ca="1"/>
      </c>
      <c r="CD29">
        <f ca="1"/>
      </c>
    </row>
    <row r="30" spans="1:84" x14ac:dyDescent="0.55000000000000004">
      <c r="A30" t="s">
        <v>14</v>
      </c>
      <c r="B30" s="6" t="s">
        <v>42</v>
      </c>
      <c r="Z30">
        <f ca="1"/>
      </c>
      <c r="AA30">
        <f ca="1"/>
      </c>
      <c r="CA30">
        <f ca="1"/>
      </c>
      <c r="CB30">
        <f ca="1"/>
      </c>
      <c r="CC30">
        <f ca="1"/>
      </c>
      <c r="CD30">
        <f ca="1"/>
      </c>
    </row>
    <row r="31" spans="1:84" x14ac:dyDescent="0.55000000000000004">
      <c r="A31" t="s">
        <v>15</v>
      </c>
      <c r="B31" s="6" t="s">
        <v>43</v>
      </c>
      <c r="Z31">
        <f ca="1"/>
      </c>
      <c r="AA31">
        <f ca="1"/>
      </c>
      <c r="CA31">
        <f ca="1"/>
      </c>
      <c r="CB31">
        <f ca="1"/>
      </c>
      <c r="CC31">
        <f ca="1"/>
      </c>
      <c r="CD31">
        <f ca="1"/>
      </c>
    </row>
    <row r="32" spans="1:84" x14ac:dyDescent="0.55000000000000004">
      <c r="A32" t="s">
        <v>16</v>
      </c>
      <c r="B32" s="6" t="s">
        <v>42</v>
      </c>
      <c r="E32" s="4" t="s">
        <v>207</v>
      </c>
      <c r="L32" s="4" t="s">
        <v>208</v>
      </c>
      <c r="S32" s="4" t="s">
        <v>209</v>
      </c>
      <c r="Z32">
        <f ca="1"/>
      </c>
      <c r="AA32">
        <f ca="1"/>
      </c>
      <c r="CA32">
        <f ca="1"/>
      </c>
      <c r="CB32">
        <f ca="1"/>
      </c>
      <c r="CC32">
        <f ca="1"/>
      </c>
      <c r="CD32">
        <f ca="1"/>
      </c>
    </row>
    <row r="33" spans="1:82" ht="74" x14ac:dyDescent="0.55000000000000004">
      <c r="A33" t="s">
        <v>17</v>
      </c>
      <c r="B33" s="6" t="s">
        <v>42</v>
      </c>
      <c r="E33" s="9" t="s">
        <v>204</v>
      </c>
      <c r="F33" s="9" t="s">
        <v>210</v>
      </c>
      <c r="G33" s="9" t="s">
        <v>211</v>
      </c>
      <c r="H33" s="9" t="s">
        <v>212</v>
      </c>
      <c r="I33" s="9" t="s">
        <v>213</v>
      </c>
      <c r="J33" s="9" t="s">
        <v>214</v>
      </c>
      <c r="L33" s="9" t="s">
        <v>215</v>
      </c>
      <c r="M33" s="9" t="s">
        <v>216</v>
      </c>
      <c r="N33" s="9" t="s">
        <v>217</v>
      </c>
      <c r="O33" s="9" t="s">
        <v>218</v>
      </c>
      <c r="P33" s="9" t="s">
        <v>219</v>
      </c>
      <c r="Q33" s="9" t="s">
        <v>220</v>
      </c>
      <c r="S33" s="9" t="s">
        <v>204</v>
      </c>
      <c r="T33" s="9" t="s">
        <v>44</v>
      </c>
      <c r="U33" s="9" t="s">
        <v>45</v>
      </c>
      <c r="V33" s="9" t="s">
        <v>46</v>
      </c>
      <c r="W33" s="9" t="s">
        <v>47</v>
      </c>
      <c r="X33" s="9" t="s">
        <v>48</v>
      </c>
      <c r="Z33">
        <f ca="1"/>
      </c>
      <c r="AA33">
        <f ca="1"/>
      </c>
      <c r="CA33">
        <f ca="1"/>
      </c>
      <c r="CB33">
        <f ca="1"/>
      </c>
      <c r="CC33">
        <f ca="1"/>
      </c>
      <c r="CD33">
        <f ca="1"/>
      </c>
    </row>
    <row r="34" spans="1:82" x14ac:dyDescent="0.55000000000000004">
      <c r="A34" t="s">
        <v>18</v>
      </c>
      <c r="B34" s="6" t="s">
        <v>42</v>
      </c>
      <c r="E34" cm="1">
        <f t="array" aca="1" ref="E34:E52" ca="1">_xlfn.DROP(_xlfn.TAKE(_xlfn.ANCHORARRAY($AC$4),,1),1)</f>
      </c>
      <c r="F34" s="10" cm="1">
        <f t="array" aca="1" ref="F34:F52" ca="1">PcaActual(PCA_Selected,PCA_Mode,PCA_ReconDate,_xlfn.CHOOSECOLS(_xlfn.ANCHORARRAY($CA$4),1,2))</f>
      </c>
      <c r="G34" s="10" cm="1">
        <f t="array" aca="1" ref="G34:G52" ca="1">_xlfn.DROP(_xlfn.CHOOSECOLS(_xlfn.ANCHORARRAY($AC$4),2),1)</f>
      </c>
      <c r="H34" s="10" cm="1">
        <f t="array" aca="1" ref="H34:H52" ca="1">_xlfn.LET(_xlpm.m,_xlfn.ANCHORARRAY(G34),_xlpm.s,_xlfn.DROP(_xlfn.CHOOSECOLS(_xlfn.ANCHORARRAY($AC$4),3),1),_xlpm.x,_xlfn.ANCHORARRAY(F34),_xlpm.V,_xlfn.TAKE(_xlfn.DROP(_xlfn.ANCHORARRAY($AC$4),1,4),,PCA_k),_xlpm.m+_xlpm.s*MMULT(_xlpm.V,MMULT(TRANSPOSE(_xlpm.V),(_xlpm.x-_xlpm.m)/_xlpm.s)))</f>
      </c>
      <c r="I34" s="11" cm="1">
        <f t="array" aca="1" ref="I34:I52" ca="1">(_xlfn.ANCHORARRAY(F34)-_xlfn.ANCHORARRAY(H34))*100</f>
      </c>
      <c r="J34" s="11" cm="1">
        <f t="array" aca="1" ref="J34:J52" ca="1">(_xlfn.ANCHORARRAY(F34)-_xlfn.ANCHORARRAY(G34))*100</f>
      </c>
      <c r="L34" cm="1">
        <f t="array" aca="1" ref="L34:L52" ca="1">_xlfn.DROP(_xlfn.TAKE(_xlfn.ANCHORARRAY($Z$17),,1),1)</f>
      </c>
      <c r="M34" s="11" cm="1">
        <f t="array" aca="1" ref="M34:M52" ca="1">_xlfn.DROP(_xlfn.CHOOSECOLS(_xlfn.ANCHORARRAY($Z$17),2),1)</f>
      </c>
      <c r="N34" s="12" cm="1">
        <f t="array" aca="1" ref="N34:N52" ca="1">_xlfn.ANCHORARRAY(M34)/SUM(_xlfn.ANCHORARRAY(M34))</f>
      </c>
      <c r="O34" s="12" cm="1">
        <f t="array" aca="1" ref="O34:O52" ca="1">_xlfn.SCAN(0,_xlfn.ANCHORARRAY(N34),_xlfn.LAMBDA(_xlpm.a,_xlpm.b,_xlpm.a+_xlpm.b))</f>
      </c>
      <c r="P34" s="11" cm="1">
        <f t="array" aca="1" ref="P34:P52" ca="1">MMULT(TRANSPOSE(_xlfn.DROP(_xlfn.ANCHORARRAY($AC$4),1,4)),(_xlfn.ANCHORARRAY(F34)-_xlfn.ANCHORARRAY(G34))/_xlfn.DROP(_xlfn.CHOOSECOLS(_xlfn.ANCHORARRAY($AC$4),3),1))*IF(PCA_Standardize="Yes",1,100)</f>
      </c>
      <c r="Q34" cm="1">
        <f t="array" aca="1" ref="Q34:Q52" ca="1">IF(_xlfn.SEQUENCE(ROWS(_xlfn.ANCHORARRAY(L34)))&lt;=PCA_k,"Yes","")</f>
      </c>
      <c r="S34" cm="1">
        <f t="array" aca="1" ref="S34:S52" ca="1">_xlfn.ANCHORARRAY(E34)</f>
      </c>
      <c r="T34" s="13" cm="1">
        <f t="array" aca="1" ref="T34:T52" ca="1">_xlfn.LET(_xlpm.V,_xlfn.DROP(_xlfn.ANCHORARRAY($AC$4),1,4),IF(1&lt;=COLUMNS(_xlpm.V),_xlfn.CHOOSECOLS(_xlpm.V,MIN(1,COLUMNS(_xlpm.V))),IF(_xlfn.SEQUENCE(ROWS(_xlpm.V)),NA())))</f>
      </c>
      <c r="U34" s="13" cm="1">
        <f t="array" aca="1" ref="U34:U52" ca="1">_xlfn.LET(_xlpm.V,_xlfn.DROP(_xlfn.ANCHORARRAY($AC$4),1,4),IF(2&lt;=COLUMNS(_xlpm.V),_xlfn.CHOOSECOLS(_xlpm.V,MIN(2,COLUMNS(_xlpm.V))),IF(_xlfn.SEQUENCE(ROWS(_xlpm.V)),NA())))</f>
      </c>
      <c r="V34" s="13" cm="1">
        <f t="array" aca="1" ref="V34:V52" ca="1">_xlfn.LET(_xlpm.V,_xlfn.DROP(_xlfn.ANCHORARRAY($AC$4),1,4),IF(3&lt;=COLUMNS(_xlpm.V),_xlfn.CHOOSECOLS(_xlpm.V,MIN(3,COLUMNS(_xlpm.V))),IF(_xlfn.SEQUENCE(ROWS(_xlpm.V)),NA())))</f>
      </c>
      <c r="W34" s="13" cm="1">
        <f t="array" aca="1" ref="W34:W52" ca="1">_xlfn.LET(_xlpm.V,_xlfn.DROP(_xlfn.ANCHORARRAY($AC$4),1,4),IF(4&lt;=COLUMNS(_xlpm.V),_xlfn.CHOOSECOLS(_xlpm.V,MIN(4,COLUMNS(_xlpm.V))),IF(_xlfn.SEQUENCE(ROWS(_xlpm.V)),NA())))</f>
      </c>
      <c r="X34" s="13" cm="1">
        <f t="array" aca="1" ref="X34:X52" ca="1">_xlfn.LET(_xlpm.V,_xlfn.DROP(_xlfn.ANCHORARRAY($AC$4),1,4),IF(5&lt;=COLUMNS(_xlpm.V),_xlfn.CHOOSECOLS(_xlpm.V,MIN(5,COLUMNS(_xlpm.V))),IF(_xlfn.SEQUENCE(ROWS(_xlpm.V)),NA())))</f>
      </c>
      <c r="Z34">
        <f ca="1"/>
      </c>
      <c r="AA34">
        <f ca="1"/>
      </c>
      <c r="CA34">
        <f ca="1"/>
      </c>
      <c r="CB34">
        <f ca="1"/>
      </c>
      <c r="CC34">
        <f ca="1"/>
      </c>
      <c r="CD34">
        <f ca="1"/>
      </c>
    </row>
    <row r="35" spans="1:82" x14ac:dyDescent="0.55000000000000004">
      <c r="A35" t="s">
        <v>19</v>
      </c>
      <c r="B35" s="6" t="s">
        <v>42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  <c r="Z35">
        <f ca="1"/>
      </c>
      <c r="AA35">
        <f ca="1"/>
      </c>
      <c r="CA35">
        <f ca="1"/>
      </c>
      <c r="CB35">
        <f ca="1"/>
      </c>
      <c r="CC35">
        <f ca="1"/>
      </c>
      <c r="CD35">
        <f ca="1"/>
      </c>
    </row>
    <row r="36" spans="1:82" x14ac:dyDescent="0.55000000000000004">
      <c r="A36" t="s">
        <v>20</v>
      </c>
      <c r="B36" s="6" t="s">
        <v>42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  <c r="Z36">
        <f ca="1"/>
      </c>
      <c r="AA36">
        <f ca="1"/>
      </c>
      <c r="CA36">
        <f ca="1"/>
      </c>
      <c r="CB36">
        <f ca="1"/>
      </c>
      <c r="CC36">
        <f ca="1"/>
      </c>
      <c r="CD36">
        <f ca="1"/>
      </c>
    </row>
    <row r="37" spans="1:82" x14ac:dyDescent="0.55000000000000004">
      <c r="A37" t="s">
        <v>21</v>
      </c>
      <c r="B37" s="6" t="s">
        <v>42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  <c r="CA37">
        <f ca="1"/>
      </c>
      <c r="CB37">
        <f ca="1"/>
      </c>
      <c r="CC37">
        <f ca="1"/>
      </c>
      <c r="CD37">
        <f ca="1"/>
      </c>
    </row>
    <row r="38" spans="1:82" x14ac:dyDescent="0.55000000000000004">
      <c r="A38" t="s">
        <v>22</v>
      </c>
      <c r="B38" s="6" t="s">
        <v>42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  <c r="CA38">
        <f ca="1"/>
      </c>
      <c r="CB38">
        <f ca="1"/>
      </c>
      <c r="CC38">
        <f ca="1"/>
      </c>
      <c r="CD38">
        <f ca="1"/>
      </c>
    </row>
    <row r="39" spans="1:82" x14ac:dyDescent="0.55000000000000004">
      <c r="A39" t="s">
        <v>23</v>
      </c>
      <c r="B39" s="6" t="s">
        <v>42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  <c r="CA39">
        <f ca="1"/>
      </c>
      <c r="CB39">
        <f ca="1"/>
      </c>
      <c r="CC39">
        <f ca="1"/>
      </c>
      <c r="CD39">
        <f ca="1"/>
      </c>
    </row>
    <row r="40" spans="1:82" x14ac:dyDescent="0.55000000000000004">
      <c r="A40" t="s">
        <v>24</v>
      </c>
      <c r="B40" s="6" t="s">
        <v>42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  <c r="CA40">
        <f ca="1"/>
      </c>
      <c r="CB40">
        <f ca="1"/>
      </c>
      <c r="CC40">
        <f ca="1"/>
      </c>
      <c r="CD40">
        <f ca="1"/>
      </c>
    </row>
    <row r="41" spans="1:82" x14ac:dyDescent="0.55000000000000004">
      <c r="A41" t="s">
        <v>25</v>
      </c>
      <c r="B41" s="6" t="s">
        <v>42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  <c r="CA41">
        <f ca="1"/>
      </c>
      <c r="CB41">
        <f ca="1"/>
      </c>
      <c r="CC41">
        <f ca="1"/>
      </c>
      <c r="CD41">
        <f ca="1"/>
      </c>
    </row>
    <row r="42" spans="1:82" x14ac:dyDescent="0.55000000000000004">
      <c r="A42" t="s">
        <v>26</v>
      </c>
      <c r="B42" s="6" t="s">
        <v>42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  <c r="CA42">
        <f ca="1"/>
      </c>
      <c r="CB42">
        <f ca="1"/>
      </c>
      <c r="CC42">
        <f ca="1"/>
      </c>
      <c r="CD42">
        <f ca="1"/>
      </c>
    </row>
    <row r="43" spans="1:82" x14ac:dyDescent="0.55000000000000004">
      <c r="A43" t="s">
        <v>27</v>
      </c>
      <c r="B43" s="6" t="s">
        <v>42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  <c r="CA43">
        <f ca="1"/>
      </c>
      <c r="CB43">
        <f ca="1"/>
      </c>
      <c r="CC43">
        <f ca="1"/>
      </c>
      <c r="CD43">
        <f ca="1"/>
      </c>
    </row>
    <row r="44" spans="1:82" x14ac:dyDescent="0.55000000000000004">
      <c r="A44" t="s">
        <v>28</v>
      </c>
      <c r="B44" s="6" t="s">
        <v>42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  <c r="CA44">
        <f ca="1"/>
      </c>
      <c r="CB44">
        <f ca="1"/>
      </c>
      <c r="CC44">
        <f ca="1"/>
      </c>
      <c r="CD44">
        <f ca="1"/>
      </c>
    </row>
    <row r="45" spans="1:82" x14ac:dyDescent="0.55000000000000004">
      <c r="A45" t="s">
        <v>29</v>
      </c>
      <c r="B45" s="6" t="s">
        <v>42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  <c r="CA45">
        <f ca="1"/>
      </c>
      <c r="CB45">
        <f ca="1"/>
      </c>
      <c r="CC45">
        <f ca="1"/>
      </c>
      <c r="CD45">
        <f ca="1"/>
      </c>
    </row>
    <row r="46" spans="1:82" x14ac:dyDescent="0.55000000000000004">
      <c r="A46" t="s">
        <v>30</v>
      </c>
      <c r="B46" s="6" t="s">
        <v>42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  <c r="CA46">
        <f ca="1"/>
      </c>
      <c r="CB46">
        <f ca="1"/>
      </c>
      <c r="CC46">
        <f ca="1"/>
      </c>
      <c r="CD46">
        <f ca="1"/>
      </c>
    </row>
    <row r="47" spans="1:82" x14ac:dyDescent="0.55000000000000004">
      <c r="A47" t="s">
        <v>31</v>
      </c>
      <c r="B47" s="6" t="s">
        <v>43</v>
      </c>
      <c r="E47">
        <f ca="1"/>
      </c>
      <c r="F47" s="10">
        <f ca="1"/>
      </c>
      <c r="G47" s="10">
        <f ca="1"/>
      </c>
      <c r="H47" s="10">
        <f ca="1"/>
      </c>
      <c r="I47" s="11">
        <f ca="1"/>
      </c>
      <c r="J47" s="11">
        <f ca="1"/>
      </c>
      <c r="L47">
        <f ca="1"/>
      </c>
      <c r="M47" s="11">
        <f ca="1"/>
      </c>
      <c r="N47" s="12">
        <f ca="1"/>
      </c>
      <c r="O47" s="12">
        <f ca="1"/>
      </c>
      <c r="P47" s="11">
        <f ca="1"/>
      </c>
      <c r="Q47">
        <f ca="1"/>
      </c>
      <c r="S47">
        <f ca="1"/>
      </c>
      <c r="T47" s="13">
        <f ca="1"/>
      </c>
      <c r="U47" s="13">
        <f ca="1"/>
      </c>
      <c r="V47" s="13">
        <f ca="1"/>
      </c>
      <c r="W47" s="13">
        <f ca="1"/>
      </c>
      <c r="X47" s="13">
        <f ca="1"/>
      </c>
      <c r="CA47">
        <f ca="1"/>
      </c>
      <c r="CB47">
        <f ca="1"/>
      </c>
      <c r="CC47">
        <f ca="1"/>
      </c>
      <c r="CD47">
        <f ca="1"/>
      </c>
    </row>
    <row r="48" spans="1:82" x14ac:dyDescent="0.55000000000000004">
      <c r="A48" t="s">
        <v>32</v>
      </c>
      <c r="B48" s="6" t="s">
        <v>42</v>
      </c>
      <c r="E48">
        <f ca="1"/>
      </c>
      <c r="F48" s="10">
        <f ca="1"/>
      </c>
      <c r="G48" s="10">
        <f ca="1"/>
      </c>
      <c r="H48" s="10">
        <f ca="1"/>
      </c>
      <c r="I48" s="11">
        <f ca="1"/>
      </c>
      <c r="J48" s="11">
        <f ca="1"/>
      </c>
      <c r="L48">
        <f ca="1"/>
      </c>
      <c r="M48" s="11">
        <f ca="1"/>
      </c>
      <c r="N48" s="12">
        <f ca="1"/>
      </c>
      <c r="O48" s="12">
        <f ca="1"/>
      </c>
      <c r="P48" s="11">
        <f ca="1"/>
      </c>
      <c r="Q48">
        <f ca="1"/>
      </c>
      <c r="S48">
        <f ca="1"/>
      </c>
      <c r="T48" s="13">
        <f ca="1"/>
      </c>
      <c r="U48" s="13">
        <f ca="1"/>
      </c>
      <c r="V48" s="13">
        <f ca="1"/>
      </c>
      <c r="W48" s="13">
        <f ca="1"/>
      </c>
      <c r="X48" s="13">
        <f ca="1"/>
      </c>
    </row>
    <row r="49" spans="1:24" x14ac:dyDescent="0.55000000000000004">
      <c r="A49" t="s">
        <v>33</v>
      </c>
      <c r="B49" s="6" t="s">
        <v>43</v>
      </c>
      <c r="E49">
        <f ca="1"/>
      </c>
      <c r="F49" s="10">
        <f ca="1"/>
      </c>
      <c r="G49" s="10">
        <f ca="1"/>
      </c>
      <c r="H49" s="10">
        <f ca="1"/>
      </c>
      <c r="I49" s="11">
        <f ca="1"/>
      </c>
      <c r="J49" s="11">
        <f ca="1"/>
      </c>
      <c r="L49">
        <f ca="1"/>
      </c>
      <c r="M49" s="11">
        <f ca="1"/>
      </c>
      <c r="N49" s="12">
        <f ca="1"/>
      </c>
      <c r="O49" s="12">
        <f ca="1"/>
      </c>
      <c r="P49" s="11">
        <f ca="1"/>
      </c>
      <c r="Q49">
        <f ca="1"/>
      </c>
      <c r="S49">
        <f ca="1"/>
      </c>
      <c r="T49" s="13">
        <f ca="1"/>
      </c>
      <c r="U49" s="13">
        <f ca="1"/>
      </c>
      <c r="V49" s="13">
        <f ca="1"/>
      </c>
      <c r="W49" s="13">
        <f ca="1"/>
      </c>
      <c r="X49" s="13">
        <f ca="1"/>
      </c>
    </row>
    <row r="50" spans="1:24" x14ac:dyDescent="0.55000000000000004">
      <c r="A50" t="s">
        <v>34</v>
      </c>
      <c r="B50" s="6" t="s">
        <v>43</v>
      </c>
      <c r="E50">
        <f ca="1"/>
      </c>
      <c r="F50" s="10">
        <f ca="1"/>
      </c>
      <c r="G50" s="10">
        <f ca="1"/>
      </c>
      <c r="H50" s="10">
        <f ca="1"/>
      </c>
      <c r="I50" s="11">
        <f ca="1"/>
      </c>
      <c r="J50" s="11">
        <f ca="1"/>
      </c>
      <c r="L50">
        <f ca="1"/>
      </c>
      <c r="M50" s="11">
        <f ca="1"/>
      </c>
      <c r="N50" s="12">
        <f ca="1"/>
      </c>
      <c r="O50" s="12">
        <f ca="1"/>
      </c>
      <c r="P50" s="11">
        <f ca="1"/>
      </c>
      <c r="Q50">
        <f ca="1"/>
      </c>
      <c r="S50">
        <f ca="1"/>
      </c>
      <c r="T50" s="13">
        <f ca="1"/>
      </c>
      <c r="U50" s="13">
        <f ca="1"/>
      </c>
      <c r="V50" s="13">
        <f ca="1"/>
      </c>
      <c r="W50" s="13">
        <f ca="1"/>
      </c>
      <c r="X50" s="13">
        <f ca="1"/>
      </c>
    </row>
    <row r="51" spans="1:24" x14ac:dyDescent="0.55000000000000004">
      <c r="A51" t="s">
        <v>35</v>
      </c>
      <c r="B51" s="6" t="s">
        <v>43</v>
      </c>
      <c r="E51">
        <f ca="1"/>
      </c>
      <c r="F51" s="10">
        <f ca="1"/>
      </c>
      <c r="G51" s="10">
        <f ca="1"/>
      </c>
      <c r="H51" s="10">
        <f ca="1"/>
      </c>
      <c r="I51" s="11">
        <f ca="1"/>
      </c>
      <c r="J51" s="11">
        <f ca="1"/>
      </c>
      <c r="L51">
        <f ca="1"/>
      </c>
      <c r="M51" s="11">
        <f ca="1"/>
      </c>
      <c r="N51" s="12">
        <f ca="1"/>
      </c>
      <c r="O51" s="12">
        <f ca="1"/>
      </c>
      <c r="P51" s="11">
        <f ca="1"/>
      </c>
      <c r="Q51">
        <f ca="1"/>
      </c>
      <c r="S51">
        <f ca="1"/>
      </c>
      <c r="T51" s="13">
        <f ca="1"/>
      </c>
      <c r="U51" s="13">
        <f ca="1"/>
      </c>
      <c r="V51" s="13">
        <f ca="1"/>
      </c>
      <c r="W51" s="13">
        <f ca="1"/>
      </c>
      <c r="X51" s="13">
        <f ca="1"/>
      </c>
    </row>
    <row r="52" spans="1:24" x14ac:dyDescent="0.55000000000000004">
      <c r="A52" t="s">
        <v>36</v>
      </c>
      <c r="B52" s="6" t="s">
        <v>43</v>
      </c>
      <c r="E52">
        <f ca="1"/>
      </c>
      <c r="F52" s="10">
        <f ca="1"/>
      </c>
      <c r="G52" s="10">
        <f ca="1"/>
      </c>
      <c r="H52" s="10">
        <f ca="1"/>
      </c>
      <c r="I52" s="11">
        <f ca="1"/>
      </c>
      <c r="J52" s="11">
        <f ca="1"/>
      </c>
      <c r="L52">
        <f ca="1"/>
      </c>
      <c r="M52" s="11">
        <f ca="1"/>
      </c>
      <c r="N52" s="12">
        <f ca="1"/>
      </c>
      <c r="O52" s="12">
        <f ca="1"/>
      </c>
      <c r="P52" s="11">
        <f ca="1"/>
      </c>
      <c r="Q52">
        <f ca="1"/>
      </c>
      <c r="S52">
        <f ca="1"/>
      </c>
      <c r="T52" s="13">
        <f ca="1"/>
      </c>
      <c r="U52" s="13">
        <f ca="1"/>
      </c>
      <c r="V52" s="13">
        <f ca="1"/>
      </c>
      <c r="W52" s="13">
        <f ca="1"/>
      </c>
      <c r="X52" s="13">
        <f ca="1"/>
      </c>
    </row>
    <row r="53" spans="1:24" x14ac:dyDescent="0.55000000000000004">
      <c r="A53" t="s">
        <v>37</v>
      </c>
      <c r="B53" s="6" t="s">
        <v>43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43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43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43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9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復元・差分を見る日。空欄=今日(RealTimeのライブの値)。日付=DBのその日の引け値。Window end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12" xr:uid="{2DABE3C6-97E9-49DD-A69B-6CB38C74BDC9}">
      <formula1>2</formula1>
    </dataValidation>
    <dataValidation type="list" allowBlank="1" showInputMessage="1" showErrorMessage="1" prompt="Level=水準のPCA / Change=前営業日からの変化のPCA" sqref="B6" xr:uid="{7A9C506C-D4E7-495B-B407-C31A5086EAAC}">
      <formula1>"Level,Change"</formula1>
    </dataValidation>
    <dataValidation type="list" allowBlank="1" showInputMessage="1" showErrorMessage="1" prompt="No=分散共分散(bp)のPCA / Yes=z-score(相関行列)のPCA" sqref="B7" xr:uid="{783E346F-FF77-4E3E-AE70-A2853C851D4D}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317AA-24F1-4FEE-9D3A-F26BC0CC8878}">
  <sheetPr codeName="Sheet4"/>
  <dimension ref="A1:IA496"/>
  <sheetViews>
    <sheetView tabSelected="1" zoomScale="44" workbookViewId="0">
      <pane xSplit="4" ySplit="9" topLeftCell="E10" activePane="bottomRight" state="frozenSplit"/>
      <selection pane="topRight" activeCell="E1" sqref="E1"/>
      <selection pane="bottomLeft" activeCell="A10" sqref="A10"/>
      <selection pane="bottomRight" activeCell="G6" sqref="G6"/>
    </sheetView>
  </sheetViews>
  <sheetFormatPr defaultRowHeight="18.5" outlineLevelCol="1" x14ac:dyDescent="0.55000000000000004"/>
  <cols>
    <col min="1" max="1" width="10.58203125" customWidth="1"/>
    <col min="2" max="2" width="7.58203125" customWidth="1"/>
    <col min="3" max="3" width="3.08203125" customWidth="1"/>
    <col min="4" max="4" width="12.58203125" customWidth="1"/>
    <col min="5" max="5" width="11.08203125" customWidth="1"/>
    <col min="6" max="11" width="10.08203125" customWidth="1"/>
    <col min="12" max="12" width="11.08203125" customWidth="1"/>
    <col min="13" max="18" width="10.08203125" customWidth="1"/>
    <col min="19" max="19" width="11.08203125" customWidth="1"/>
    <col min="20" max="25" width="10.08203125" customWidth="1"/>
    <col min="26" max="26" width="11.08203125" customWidth="1"/>
    <col min="27" max="32" width="10.08203125" customWidth="1"/>
    <col min="33" max="33" width="11.08203125" customWidth="1"/>
    <col min="34" max="39" width="10.08203125" customWidth="1"/>
    <col min="40" max="40" width="11.08203125" customWidth="1"/>
    <col min="41" max="46" width="10.08203125" customWidth="1"/>
    <col min="47" max="47" width="11.08203125" customWidth="1"/>
    <col min="48" max="53" width="10.08203125" customWidth="1"/>
    <col min="54" max="54" width="11.08203125" customWidth="1"/>
    <col min="55" max="60" width="10.08203125" customWidth="1"/>
    <col min="61" max="61" width="11.08203125" customWidth="1"/>
    <col min="62" max="67" width="10.08203125" customWidth="1"/>
    <col min="68" max="68" width="11.08203125" customWidth="1"/>
    <col min="69" max="74" width="10.08203125" customWidth="1"/>
    <col min="79" max="217" width="8.6640625" hidden="1" customWidth="1" outlineLevel="1"/>
    <col min="218" max="234" width="0" hidden="1" customWidth="1" outlineLevel="1"/>
    <col min="235" max="235" width="8.6640625" collapsed="1"/>
  </cols>
  <sheetData>
    <row r="1" spans="1:233" x14ac:dyDescent="0.55000000000000004">
      <c r="A1" s="15" t="s">
        <v>58</v>
      </c>
      <c r="B1" s="18" t="s">
        <v>53</v>
      </c>
      <c r="C1" s="15" t="s">
        <v>59</v>
      </c>
      <c r="D1" s="16" cm="1">
        <f t="array" aca="1" ref="D1" ca="1">LiveInfo("swap",_xlfn.ANCHORARRAY($CD$4))</f>
      </c>
      <c r="E1" s="17" t="s">
        <v>111</v>
      </c>
    </row>
    <row r="2" spans="1:233" ht="22.5" x14ac:dyDescent="0.55000000000000004">
      <c r="A2" t="s">
        <v>139</v>
      </c>
      <c r="CA2" s="1" t="s">
        <v>162</v>
      </c>
    </row>
    <row r="3" spans="1:233" x14ac:dyDescent="0.55000000000000004">
      <c r="A3" t="s">
        <v>253</v>
      </c>
      <c r="D3" t="s">
        <v>144</v>
      </c>
      <c r="E3" t="s">
        <v>150</v>
      </c>
      <c r="L3" t="s">
        <v>152</v>
      </c>
      <c r="S3" t="s">
        <v>153</v>
      </c>
      <c r="Z3" t="s">
        <v>155</v>
      </c>
      <c r="AG3" t="s">
        <v>156</v>
      </c>
      <c r="AN3" t="s">
        <v>157</v>
      </c>
      <c r="AU3" t="s">
        <v>158</v>
      </c>
      <c r="BB3" t="s">
        <v>159</v>
      </c>
      <c r="BI3" t="s">
        <v>160</v>
      </c>
      <c r="BP3" t="s">
        <v>161</v>
      </c>
      <c r="CB3" t="s">
        <v>140</v>
      </c>
      <c r="CC3" t="s">
        <v>382</v>
      </c>
      <c r="CD3" t="s">
        <v>116</v>
      </c>
      <c r="CI3" t="s">
        <v>165</v>
      </c>
      <c r="CJ3" t="s">
        <v>166</v>
      </c>
      <c r="CL3" t="s">
        <v>167</v>
      </c>
      <c r="CO3" t="s">
        <v>168</v>
      </c>
      <c r="HS3" t="s">
        <v>178</v>
      </c>
    </row>
    <row r="4" spans="1:233" x14ac:dyDescent="0.55000000000000004">
      <c r="A4" s="3"/>
      <c r="D4" t="s">
        <v>252</v>
      </c>
      <c r="E4" s="3"/>
      <c r="L4" s="3"/>
      <c r="S4" s="3"/>
      <c r="Z4" s="3"/>
      <c r="AG4" s="3"/>
      <c r="AN4" s="3"/>
      <c r="AU4" s="3"/>
      <c r="BB4" s="3"/>
      <c r="BI4" s="3"/>
      <c r="BP4" s="3"/>
      <c r="CB4" cm="1">
        <f t="array" ref="CB4:CB21">_xlfn._xlws.FILTER($A$12:$A$53,$B$12:$B$53="○")</f>
      </c>
      <c r="CC4" cm="1">
        <f t="array" ref="CC4:CC21">IF(ISNUMBER(MATCH(_xlfn.ANCHORARRAY($CB$4),$A$58:$A$62,0)),0,NA())</f>
      </c>
      <c r="CD4" cm="1">
        <f t="array" aca="1" ref="CD4:CG47" ca="1">IF($B$1="Fixed",LiveSnapshot("swap"),LiveQuotes("swap"))</f>
      </c>
      <c r="CE4">
        <f ca="1"/>
      </c>
      <c r="CF4">
        <f ca="1"/>
      </c>
      <c r="CG4">
        <f ca="1"/>
      </c>
      <c r="CI4" cm="1">
        <f t="array" aca="1" ref="CI4:CI21" ca="1">PcaActual(_xlfn.ANCHORARRAY($CB$4),"Level",PCG_ReconDate,_xlfn.CHOOSECOLS(_xlfn.ANCHORARRAY($CD$4),1,2))</f>
      </c>
      <c r="CJ4" cm="1">
        <f t="array" aca="1" ref="CJ4:CJ21" ca="1">PcaActual(_xlfn.ANCHORARRAY($CB$4),"Change",PCG_ReconDate,_xlfn.CHOOSECOLS(_xlfn.ANCHORARRAY($CD$4),1,2))</f>
      </c>
      <c r="CL4" cm="1">
        <f t="array" aca="1" ref="CL4:CM7" ca="1">PcaActualInfo(_xlfn.ANCHORARRAY($CB$4),"Change",PCG_ReconDate,_xlfn.CHOOSECOLS(_xlfn.ANCHORARRAY($CD$4),1,2))</f>
      </c>
      <c r="CM4">
        <f ca="1"/>
      </c>
      <c r="CO4" cm="1">
        <f t="array" ref="CO4:DP184">PcaGrid(_xlfn.ANCHORARRAY($CB$4),_xlfn.LET(_xlpm.r,$E$4:$BP$7,_xlfn.CHOOSECOLS(IF(_xlpm.r="","",_xlpm.r),_xlfn.SEQUENCE(1,10,1,7))))</f>
      </c>
      <c r="EP4" t="s">
        <v>150</v>
      </c>
      <c r="EQ4" cm="1">
        <f t="array" ref="EQ4:FR21">_xlfn.LET(_xlpm.g,_xlfn.DROP(_xlfn.ANCHORARRAY($CO$4),1),_xlfn._xlws.FILTER(_xlpm.g,_xlfn.TAKE(_xlpm.g,,1)=1))</f>
      </c>
      <c r="GQ4" t="s">
        <v>169</v>
      </c>
      <c r="GR4" cm="1">
        <f t="array" aca="1" ref="GR4" ca="1">IFERROR(_xlfn.LET(_xlpm.R,_xlfn.ANCHORARRAY($GR$5),_xlpm.a,ABS(_xlpm.R),"k="&amp;$D$12&amp;"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" cm="1">
        <f t="array" aca="1" ref="GS4" ca="1">IFERROR(_xlfn.LET(_xlpm.R,_xlfn.ANCHORARRAY($GS$5),_xlpm.a,ABS(_xlpm.R),"k="&amp;$D$28&amp;"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" cm="1">
        <f t="array" aca="1" ref="GT4" ca="1">IFERROR(_xlfn.LET(_xlpm.R,_xlfn.ANCHORARRAY($GT$5),_xlpm.a,ABS(_xlpm.R),"k="&amp;$D$44&amp;"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" cm="1">
        <f t="array" aca="1" ref="GU4" ca="1">IFERROR(_xlfn.LET(_xlpm.R,_xlfn.ANCHORARRAY($GU$5),_xlpm.a,ABS(_xlpm.R),"k="&amp;$D$60&amp;"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" cm="1">
        <f t="array" aca="1" ref="GV4" ca="1">IFERROR(_xlfn.LET(_xlpm.R,_xlfn.ANCHORARRAY($GV$5),_xlpm.a,ABS(_xlpm.R),"k="&amp;$D$76&amp;"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" t="s">
        <v>44</v>
      </c>
      <c r="GY4" t="s">
        <v>45</v>
      </c>
      <c r="GZ4" t="s">
        <v>46</v>
      </c>
      <c r="HA4" t="s">
        <v>47</v>
      </c>
      <c r="HB4" t="s">
        <v>48</v>
      </c>
      <c r="HD4" t="s">
        <v>174</v>
      </c>
      <c r="HE4">
        <f>"Actual / Mean / Recon (k="&amp;$D$108&amp;")  dashed: Mean ±1σ"</f>
      </c>
      <c r="HF4" t="s">
        <v>175</v>
      </c>
      <c r="HG4" t="s">
        <v>176</v>
      </c>
      <c r="HH4" t="s">
        <v>179</v>
      </c>
      <c r="HI4" t="s">
        <v>180</v>
      </c>
      <c r="HJ4" t="s">
        <v>181</v>
      </c>
      <c r="HK4" t="s">
        <v>182</v>
      </c>
      <c r="HL4" t="s">
        <v>183</v>
      </c>
      <c r="HM4" t="s">
        <v>184</v>
      </c>
      <c r="HN4" t="s">
        <v>185</v>
      </c>
      <c r="HO4" t="s">
        <v>186</v>
      </c>
      <c r="HP4" t="s">
        <v>187</v>
      </c>
      <c r="HQ4" t="s">
        <v>188</v>
      </c>
      <c r="HR4" t="s">
        <v>189</v>
      </c>
      <c r="HS4" cm="1">
        <f t="array" ref="HS4:HY184">PcaGridResidStd(_xlfn.ANCHORARRAY($CB$4),_xlfn.LET(_xlpm.r,$E$4:$BP$7,_xlfn.CHOOSECOLS(IF(_xlpm.r="","",_xlpm.r),_xlfn.SEQUENCE(1,10,1,7))),_xlfn.VSTACK($D$12,$D$28,$D$44,$D$60,$D$76),$B$55)</f>
      </c>
    </row>
    <row r="5" spans="1:233" x14ac:dyDescent="0.55000000000000004">
      <c r="A5" t="s">
        <v>254</v>
      </c>
      <c r="D5" t="s">
        <v>145</v>
      </c>
      <c r="E5" s="2">
        <v>50</v>
      </c>
      <c r="L5" s="2">
        <v>100</v>
      </c>
      <c r="S5" s="2">
        <v>200</v>
      </c>
      <c r="Z5" s="2">
        <v>50</v>
      </c>
      <c r="AG5" s="2">
        <v>100</v>
      </c>
      <c r="AN5" s="2">
        <v>50</v>
      </c>
      <c r="AU5" s="2">
        <v>100</v>
      </c>
      <c r="BB5" s="2">
        <v>200</v>
      </c>
      <c r="BI5" s="2">
        <v>50</v>
      </c>
      <c r="BP5" s="2">
        <v>100</v>
      </c>
      <c r="CD5">
        <f ca="1"/>
      </c>
      <c r="CE5">
        <f ca="1"/>
      </c>
      <c r="CF5">
        <f ca="1"/>
      </c>
      <c r="CG5">
        <f ca="1"/>
      </c>
      <c r="CI5">
        <f ca="1"/>
      </c>
      <c r="CJ5">
        <f ca="1"/>
      </c>
      <c r="CL5">
        <f ca="1"/>
      </c>
      <c r="CM5">
        <f ca="1"/>
      </c>
      <c r="GQ5" cm="1">
        <f t="array" aca="1" ref="GQ5:GQ22" ca="1">IF($E$6="Change",_xlfn.ANCHORARRAY($CJ$4),_xlfn.ANCHORARRAY($CI$4))</f>
      </c>
      <c r="GR5" s="11" cm="1">
        <f t="array" aca="1" ref="GR5:GR22" ca="1">_xlfn.LET(_xlpm.sl,_xlfn.ANCHORARRAY($EQ$4),_xlpm.mu,_xlfn.CHOOSECOLS(_xlpm.sl,8),_xlpm.sg,_xlfn.CHOOSECOLS(_xlpm.sl,9),_xlpm.x,_xlfn.ANCHORARRAY($GQ$5),_xlpm.V,_xlfn.TAKE(_xlfn.DROP(_xlpm.sl,,10),,$D$12),(_xlpm.x-(_xlpm.mu+_xlpm.sg*MMULT(_xlpm.V,MMULT(TRANSPOSE(_xlpm.V),(_xlpm.x-_xlpm.mu)/_xlpm.sg))))*100)</f>
      </c>
      <c r="GS5" s="11" cm="1">
        <f t="array" aca="1" ref="GS5:GS22" ca="1">_xlfn.LET(_xlpm.sl,_xlfn.ANCHORARRAY($EQ$4),_xlpm.mu,_xlfn.CHOOSECOLS(_xlpm.sl,8),_xlpm.sg,_xlfn.CHOOSECOLS(_xlpm.sl,9),_xlpm.x,_xlfn.ANCHORARRAY($GQ$5),_xlpm.V,_xlfn.TAKE(_xlfn.DROP(_xlpm.sl,,10),,$D$28),(_xlpm.x-(_xlpm.mu+_xlpm.sg*MMULT(_xlpm.V,MMULT(TRANSPOSE(_xlpm.V),(_xlpm.x-_xlpm.mu)/_xlpm.sg))))*100)</f>
      </c>
      <c r="GT5" s="11" cm="1">
        <f t="array" aca="1" ref="GT5:GT22" ca="1">_xlfn.LET(_xlpm.sl,_xlfn.ANCHORARRAY($EQ$4),_xlpm.mu,_xlfn.CHOOSECOLS(_xlpm.sl,8),_xlpm.sg,_xlfn.CHOOSECOLS(_xlpm.sl,9),_xlpm.x,_xlfn.ANCHORARRAY($GQ$5),_xlpm.V,_xlfn.TAKE(_xlfn.DROP(_xlpm.sl,,10),,$D$44),(_xlpm.x-(_xlpm.mu+_xlpm.sg*MMULT(_xlpm.V,MMULT(TRANSPOSE(_xlpm.V),(_xlpm.x-_xlpm.mu)/_xlpm.sg))))*100)</f>
      </c>
      <c r="GU5" s="11" cm="1">
        <f t="array" aca="1" ref="GU5:GU22" ca="1">_xlfn.LET(_xlpm.sl,_xlfn.ANCHORARRAY($EQ$4),_xlpm.mu,_xlfn.CHOOSECOLS(_xlpm.sl,8),_xlpm.sg,_xlfn.CHOOSECOLS(_xlpm.sl,9),_xlpm.x,_xlfn.ANCHORARRAY($GQ$5),_xlpm.V,_xlfn.TAKE(_xlfn.DROP(_xlpm.sl,,10),,$D$60),(_xlpm.x-(_xlpm.mu+_xlpm.sg*MMULT(_xlpm.V,MMULT(TRANSPOSE(_xlpm.V),(_xlpm.x-_xlpm.mu)/_xlpm.sg))))*100)</f>
      </c>
      <c r="GV5" s="11" cm="1">
        <f t="array" aca="1" ref="GV5:GV22" ca="1">_xlfn.LET(_xlpm.sl,_xlfn.ANCHORARRAY($EQ$4),_xlpm.mu,_xlfn.CHOOSECOLS(_xlpm.sl,8),_xlpm.sg,_xlfn.CHOOSECOLS(_xlpm.sl,9),_xlpm.x,_xlfn.ANCHORARRAY($GQ$5),_xlpm.V,_xlfn.TAKE(_xlfn.DROP(_xlpm.sl,,10),,$D$76),(_xlpm.x-(_xlpm.mu+_xlpm.sg*MMULT(_xlpm.V,MMULT(TRANSPOSE(_xlpm.V),(_xlpm.x-_xlpm.mu)/_xlpm.sg))))*100)</f>
      </c>
      <c r="GX5" cm="1">
        <f t="array" ref="GX5:GX22">_xlfn.LET(_xlpm.V,_xlfn.DROP(_xlfn.ANCHORARRAY($EQ$4),,10),IF(1&lt;=COLUMNS(_xlpm.V),_xlfn.CHOOSECOLS(_xlpm.V,1),IF(_xlfn.SEQUENCE(ROWS(_xlpm.V)),NA())))</f>
      </c>
      <c r="GY5" cm="1">
        <f t="array" ref="GY5:GY22">_xlfn.LET(_xlpm.V,_xlfn.DROP(_xlfn.ANCHORARRAY($EQ$4),,10),IF(2&lt;=COLUMNS(_xlpm.V),_xlfn.CHOOSECOLS(_xlpm.V,2),IF(_xlfn.SEQUENCE(ROWS(_xlpm.V)),NA())))</f>
      </c>
      <c r="GZ5" cm="1">
        <f t="array" ref="GZ5:GZ22">_xlfn.LET(_xlpm.V,_xlfn.DROP(_xlfn.ANCHORARRAY($EQ$4),,10),IF(3&lt;=COLUMNS(_xlpm.V),_xlfn.CHOOSECOLS(_xlpm.V,3),IF(_xlfn.SEQUENCE(ROWS(_xlpm.V)),NA())))</f>
      </c>
      <c r="HA5" cm="1">
        <f t="array" ref="HA5:HA22">_xlfn.LET(_xlpm.V,_xlfn.DROP(_xlfn.ANCHORARRAY($EQ$4),,10),IF(4&lt;=COLUMNS(_xlpm.V),_xlfn.CHOOSECOLS(_xlpm.V,4),IF(_xlfn.SEQUENCE(ROWS(_xlpm.V)),NA())))</f>
      </c>
      <c r="HB5" cm="1">
        <f t="array" ref="HB5:HB22">_xlfn.LET(_xlpm.V,_xlfn.DROP(_xlfn.ANCHORARRAY($EQ$4),,10),IF(5&lt;=COLUMNS(_xlpm.V),_xlfn.CHOOSECOLS(_xlpm.V,5),IF(_xlfn.SEQUENCE(ROWS(_xlpm.V)),NA())))</f>
      </c>
      <c r="HD5" cm="1">
        <f t="array" ref="HD5:HD22">_xlfn.CHOOSECOLS(_xlfn.ANCHORARRAY($EQ$4),8)</f>
      </c>
      <c r="HE5" cm="1">
        <f t="array" aca="1" ref="HE5:HE22" ca="1">_xlfn.LET(_xlpm.sl,_xlfn.ANCHORARRAY($EQ$4),_xlpm.mu,_xlfn.CHOOSECOLS(_xlpm.sl,8),_xlpm.sg,_xlfn.CHOOSECOLS(_xlpm.sl,9),_xlpm.x,_xlfn.ANCHORARRAY($GQ$5),_xlpm.V,_xlfn.TAKE(_xlfn.DROP(_xlpm.sl,,10),,$D$108),_xlpm.mu+_xlpm.sg*MMULT(_xlpm.V,MMULT(TRANSPOSE(_xlpm.V),(_xlpm.x-_xlpm.mu)/_xlpm.sg)))</f>
      </c>
      <c r="HF5" cm="1">
        <f t="array" ref="HF5:HF22">_xlfn.CHOOSECOLS(_xlfn.ANCHORARRAY($EQ$4),8)+_xlfn.CHOOSECOLS(_xlfn.ANCHORARRAY($EQ$4),10)</f>
      </c>
      <c r="HG5" cm="1">
        <f t="array" ref="HG5:HG22">_xlfn.CHOOSECOLS(_xlfn.ANCHORARRAY($EQ$4),8)-_xlfn.CHOOSECOLS(_xlfn.ANCHORARRAY($EQ$4),10)</f>
      </c>
      <c r="HH5" cm="1">
        <f t="array" ref="HH5:HH22">_xlfn.LET(_xlpm.v,_xlfn.CHOOSECOLS(_xlfn._xlws.FILTER(_xlfn.DROP(_xlfn.ANCHORARRAY($HS$4),1),_xlfn.TAKE(_xlfn.DROP(_xlfn.ANCHORARRAY($HS$4),1),,1)=1),3),IF(_xlpm.v="",NA(),_xlpm.v))</f>
      </c>
      <c r="HI5" cm="1">
        <f t="array" ref="HI5:HI22">-_xlfn.ANCHORARRAY($HH$5)</f>
      </c>
      <c r="HJ5" cm="1">
        <f t="array" ref="HJ5:HJ22">_xlfn.LET(_xlpm.v,_xlfn.CHOOSECOLS(_xlfn._xlws.FILTER(_xlfn.DROP(_xlfn.ANCHORARRAY($HS$4),1),_xlfn.TAKE(_xlfn.DROP(_xlfn.ANCHORARRAY($HS$4),1),,1)=1),4),IF(_xlpm.v="",NA(),_xlpm.v))</f>
      </c>
      <c r="HK5" cm="1">
        <f t="array" ref="HK5:HK22">-_xlfn.ANCHORARRAY($HJ$5)</f>
      </c>
      <c r="HL5" cm="1">
        <f t="array" ref="HL5:HL22">_xlfn.LET(_xlpm.v,_xlfn.CHOOSECOLS(_xlfn._xlws.FILTER(_xlfn.DROP(_xlfn.ANCHORARRAY($HS$4),1),_xlfn.TAKE(_xlfn.DROP(_xlfn.ANCHORARRAY($HS$4),1),,1)=1),5),IF(_xlpm.v="",NA(),_xlpm.v))</f>
      </c>
      <c r="HM5" cm="1">
        <f t="array" ref="HM5:HM22">-_xlfn.ANCHORARRAY($HL$5)</f>
      </c>
      <c r="HN5" cm="1">
        <f t="array" ref="HN5:HN22">_xlfn.LET(_xlpm.v,_xlfn.CHOOSECOLS(_xlfn._xlws.FILTER(_xlfn.DROP(_xlfn.ANCHORARRAY($HS$4),1),_xlfn.TAKE(_xlfn.DROP(_xlfn.ANCHORARRAY($HS$4),1),,1)=1),6),IF(_xlpm.v="",NA(),_xlpm.v))</f>
      </c>
      <c r="HO5" cm="1">
        <f t="array" ref="HO5:HO22">-_xlfn.ANCHORARRAY($HN$5)</f>
      </c>
      <c r="HP5" cm="1">
        <f t="array" ref="HP5:HP22">_xlfn.LET(_xlpm.v,_xlfn.CHOOSECOLS(_xlfn._xlws.FILTER(_xlfn.DROP(_xlfn.ANCHORARRAY($HS$4),1),_xlfn.TAKE(_xlfn.DROP(_xlfn.ANCHORARRAY($HS$4),1),,1)=1),7),IF(_xlpm.v="",NA(),_xlpm.v))</f>
      </c>
      <c r="HQ5" cm="1">
        <f t="array" ref="HQ5:HQ22">-_xlfn.ANCHORARRAY($HP$5)</f>
      </c>
      <c r="HR5" cm="1">
        <f t="array" ref="HR5">IFERROR(INDEX(_xlfn._xlws.FILTER(_xlfn.DROP(_xlfn.ANCHORARRAY($HS$4),1),_xlfn.TAKE(_xlfn.DROP(_xlfn.ANCHORARRAY($HS$4),1),,1)=1),1,2),"")</f>
      </c>
    </row>
    <row r="6" spans="1:233" x14ac:dyDescent="0.55000000000000004">
      <c r="A6">
        <f ca="1">IFERROR(INDEX(_xlfn.ANCHORARRAY($CL$4),2,2),"")</f>
      </c>
      <c r="D6" t="s">
        <v>146</v>
      </c>
      <c r="E6" s="2" t="s">
        <v>154</v>
      </c>
      <c r="L6" s="2" t="s">
        <v>154</v>
      </c>
      <c r="S6" s="2" t="s">
        <v>154</v>
      </c>
      <c r="Z6" s="2" t="s">
        <v>154</v>
      </c>
      <c r="AG6" s="2" t="s">
        <v>154</v>
      </c>
      <c r="AN6" s="2" t="s">
        <v>151</v>
      </c>
      <c r="AU6" s="2" t="s">
        <v>151</v>
      </c>
      <c r="BB6" s="2" t="s">
        <v>151</v>
      </c>
      <c r="BI6" s="2" t="s">
        <v>151</v>
      </c>
      <c r="BP6" s="2" t="s">
        <v>151</v>
      </c>
      <c r="CD6">
        <f ca="1"/>
      </c>
      <c r="CE6">
        <f ca="1"/>
      </c>
      <c r="CF6">
        <f ca="1"/>
      </c>
      <c r="CG6">
        <f ca="1"/>
      </c>
      <c r="CI6">
        <f ca="1"/>
      </c>
      <c r="CJ6">
        <f ca="1"/>
      </c>
      <c r="CL6">
        <f ca="1"/>
      </c>
      <c r="CM6">
        <f ca="1"/>
      </c>
      <c r="GQ6">
        <f ca="1"/>
      </c>
      <c r="GR6" s="11">
        <f ca="1"/>
      </c>
      <c r="GS6" s="11">
        <f ca="1"/>
      </c>
      <c r="GT6" s="11">
        <f ca="1"/>
      </c>
      <c r="GU6" s="11">
        <f ca="1"/>
      </c>
      <c r="GV6" s="11">
        <f ca="1"/>
      </c>
      <c r="HE6">
        <f ca="1"/>
      </c>
    </row>
    <row r="7" spans="1:233" x14ac:dyDescent="0.55000000000000004">
      <c r="D7" t="s">
        <v>147</v>
      </c>
      <c r="E7" s="2" t="s">
        <v>142</v>
      </c>
      <c r="L7" s="2" t="s">
        <v>142</v>
      </c>
      <c r="S7" s="2" t="s">
        <v>142</v>
      </c>
      <c r="Z7" s="2" t="s">
        <v>143</v>
      </c>
      <c r="AG7" s="2" t="s">
        <v>143</v>
      </c>
      <c r="AN7" s="2" t="s">
        <v>142</v>
      </c>
      <c r="AU7" s="2" t="s">
        <v>142</v>
      </c>
      <c r="BB7" s="2" t="s">
        <v>142</v>
      </c>
      <c r="BI7" s="2" t="s">
        <v>143</v>
      </c>
      <c r="BP7" s="2" t="s">
        <v>143</v>
      </c>
      <c r="CD7">
        <f ca="1"/>
      </c>
      <c r="CE7">
        <f ca="1"/>
      </c>
      <c r="CF7">
        <f ca="1"/>
      </c>
      <c r="CG7">
        <f ca="1"/>
      </c>
      <c r="CI7">
        <f ca="1"/>
      </c>
      <c r="CJ7">
        <f ca="1"/>
      </c>
      <c r="CL7">
        <f ca="1"/>
      </c>
      <c r="CM7">
        <f ca="1"/>
      </c>
      <c r="GQ7">
        <f ca="1"/>
      </c>
      <c r="GR7" s="11">
        <f ca="1"/>
      </c>
      <c r="GS7" s="11">
        <f ca="1"/>
      </c>
      <c r="GT7" s="11">
        <f ca="1"/>
      </c>
      <c r="GU7" s="11">
        <f ca="1"/>
      </c>
      <c r="GV7" s="11">
        <f ca="1"/>
      </c>
      <c r="HE7">
        <f ca="1"/>
      </c>
    </row>
    <row r="8" spans="1:233" x14ac:dyDescent="0.55000000000000004">
      <c r="D8" t="s">
        <v>148</v>
      </c>
      <c r="E8">
        <f>IFERROR(_xlfn.LET(_xlpm.sl,_xlfn.ANCHORARRAY($EQ$4),IF(ISNUMBER(INDEX(_xlpm.sl,1,2)),TEXT(INDEX(_xlpm.sl,1,2),"yyyy-mm-dd")&amp;" - "&amp;TEXT(INDEX(_xlpm.sl,1,3),"yyyy-mm-dd")&amp;"  (n="&amp;INDEX(_xlpm.sl,1,4)&amp;")","Error")),"Error")</f>
      </c>
      <c r="L8">
        <f>IFERROR(_xlfn.LET(_xlpm.sl,_xlfn.ANCHORARRAY($EQ$54),IF(ISNUMBER(INDEX(_xlpm.sl,1,2)),TEXT(INDEX(_xlpm.sl,1,2),"yyyy-mm-dd")&amp;" - "&amp;TEXT(INDEX(_xlpm.sl,1,3),"yyyy-mm-dd")&amp;"  (n="&amp;INDEX(_xlpm.sl,1,4)&amp;")","Error")),"Error")</f>
      </c>
      <c r="S8">
        <f>IFERROR(_xlfn.LET(_xlpm.sl,_xlfn.ANCHORARRAY($EQ$104),IF(ISNUMBER(INDEX(_xlpm.sl,1,2)),TEXT(INDEX(_xlpm.sl,1,2),"yyyy-mm-dd")&amp;" - "&amp;TEXT(INDEX(_xlpm.sl,1,3),"yyyy-mm-dd")&amp;"  (n="&amp;INDEX(_xlpm.sl,1,4)&amp;")","Error")),"Error")</f>
      </c>
      <c r="Z8">
        <f>IFERROR(_xlfn.LET(_xlpm.sl,_xlfn.ANCHORARRAY($EQ$154),IF(ISNUMBER(INDEX(_xlpm.sl,1,2)),TEXT(INDEX(_xlpm.sl,1,2),"yyyy-mm-dd")&amp;" - "&amp;TEXT(INDEX(_xlpm.sl,1,3),"yyyy-mm-dd")&amp;"  (n="&amp;INDEX(_xlpm.sl,1,4)&amp;")","Error")),"Error")</f>
      </c>
      <c r="AG8">
        <f>IFERROR(_xlfn.LET(_xlpm.sl,_xlfn.ANCHORARRAY($EQ$204),IF(ISNUMBER(INDEX(_xlpm.sl,1,2)),TEXT(INDEX(_xlpm.sl,1,2),"yyyy-mm-dd")&amp;" - "&amp;TEXT(INDEX(_xlpm.sl,1,3),"yyyy-mm-dd")&amp;"  (n="&amp;INDEX(_xlpm.sl,1,4)&amp;")","Error")),"Error")</f>
      </c>
      <c r="AN8">
        <f>IFERROR(_xlfn.LET(_xlpm.sl,_xlfn.ANCHORARRAY($EQ$254),IF(ISNUMBER(INDEX(_xlpm.sl,1,2)),TEXT(INDEX(_xlpm.sl,1,2),"yyyy-mm-dd")&amp;" - "&amp;TEXT(INDEX(_xlpm.sl,1,3),"yyyy-mm-dd")&amp;"  (n="&amp;INDEX(_xlpm.sl,1,4)&amp;")","Error")),"Error")</f>
      </c>
      <c r="AU8">
        <f>IFERROR(_xlfn.LET(_xlpm.sl,_xlfn.ANCHORARRAY($EQ$304),IF(ISNUMBER(INDEX(_xlpm.sl,1,2)),TEXT(INDEX(_xlpm.sl,1,2),"yyyy-mm-dd")&amp;" - "&amp;TEXT(INDEX(_xlpm.sl,1,3),"yyyy-mm-dd")&amp;"  (n="&amp;INDEX(_xlpm.sl,1,4)&amp;")","Error")),"Error")</f>
      </c>
      <c r="BB8">
        <f>IFERROR(_xlfn.LET(_xlpm.sl,_xlfn.ANCHORARRAY($EQ$354),IF(ISNUMBER(INDEX(_xlpm.sl,1,2)),TEXT(INDEX(_xlpm.sl,1,2),"yyyy-mm-dd")&amp;" - "&amp;TEXT(INDEX(_xlpm.sl,1,3),"yyyy-mm-dd")&amp;"  (n="&amp;INDEX(_xlpm.sl,1,4)&amp;")","Error")),"Error")</f>
      </c>
      <c r="BI8">
        <f>IFERROR(_xlfn.LET(_xlpm.sl,_xlfn.ANCHORARRAY($EQ$404),IF(ISNUMBER(INDEX(_xlpm.sl,1,2)),TEXT(INDEX(_xlpm.sl,1,2),"yyyy-mm-dd")&amp;" - "&amp;TEXT(INDEX(_xlpm.sl,1,3),"yyyy-mm-dd")&amp;"  (n="&amp;INDEX(_xlpm.sl,1,4)&amp;")","Error")),"Error")</f>
      </c>
      <c r="BP8">
        <f>IFERROR(_xlfn.LET(_xlpm.sl,_xlfn.ANCHORARRAY($EQ$454),IF(ISNUMBER(INDEX(_xlpm.sl,1,2)),TEXT(INDEX(_xlpm.sl,1,2),"yyyy-mm-dd")&amp;" - "&amp;TEXT(INDEX(_xlpm.sl,1,3),"yyyy-mm-dd")&amp;"  (n="&amp;INDEX(_xlpm.sl,1,4)&amp;")","Error")),"Error")</f>
      </c>
      <c r="CD8">
        <f ca="1"/>
      </c>
      <c r="CE8">
        <f ca="1"/>
      </c>
      <c r="CF8">
        <f ca="1"/>
      </c>
      <c r="CG8">
        <f ca="1"/>
      </c>
      <c r="CI8">
        <f ca="1"/>
      </c>
      <c r="CJ8">
        <f ca="1"/>
      </c>
      <c r="GQ8">
        <f ca="1"/>
      </c>
      <c r="GR8" s="11">
        <f ca="1"/>
      </c>
      <c r="GS8" s="11">
        <f ca="1"/>
      </c>
      <c r="GT8" s="11">
        <f ca="1"/>
      </c>
      <c r="GU8" s="11">
        <f ca="1"/>
      </c>
      <c r="GV8" s="11">
        <f ca="1"/>
      </c>
      <c r="HE8">
        <f ca="1"/>
      </c>
    </row>
    <row r="9" spans="1:233" x14ac:dyDescent="0.55000000000000004">
      <c r="D9" t="s">
        <v>149</v>
      </c>
      <c r="E9">
        <f ca="1">IFERROR(_xlfn.TEXTJOIN(" / ",TRUE,INDEX(_xlfn.ANCHORARRAY($EQ$4),1,6),IF($E$6="Change",INDEX(_xlfn.ANCHORARRAY($CL$4),4,2),""),$HR$5),"")</f>
      </c>
      <c r="L9">
        <f ca="1">IFERROR(_xlfn.TEXTJOIN(" / ",TRUE,INDEX(_xlfn.ANCHORARRAY($EQ$54),1,6),IF($L$6="Change",INDEX(_xlfn.ANCHORARRAY($CL$4),4,2),""),$HR$55),"")</f>
      </c>
      <c r="S9">
        <f ca="1">IFERROR(_xlfn.TEXTJOIN(" / ",TRUE,INDEX(_xlfn.ANCHORARRAY($EQ$104),1,6),IF($S$6="Change",INDEX(_xlfn.ANCHORARRAY($CL$4),4,2),""),$HR$105),"")</f>
      </c>
      <c r="Z9">
        <f ca="1">IFERROR(_xlfn.TEXTJOIN(" / ",TRUE,INDEX(_xlfn.ANCHORARRAY($EQ$154),1,6),IF($Z$6="Change",INDEX(_xlfn.ANCHORARRAY($CL$4),4,2),""),$HR$155),"")</f>
      </c>
      <c r="AG9">
        <f ca="1">IFERROR(_xlfn.TEXTJOIN(" / ",TRUE,INDEX(_xlfn.ANCHORARRAY($EQ$204),1,6),IF($AG$6="Change",INDEX(_xlfn.ANCHORARRAY($CL$4),4,2),""),$HR$205),"")</f>
      </c>
      <c r="AN9">
        <f>IFERROR(_xlfn.TEXTJOIN(" / ",TRUE,INDEX(_xlfn.ANCHORARRAY($EQ$254),1,6),IF($AN$6="Change",INDEX(_xlfn.ANCHORARRAY($CL$4),4,2),""),$HR$255),"")</f>
      </c>
      <c r="AU9">
        <f>IFERROR(_xlfn.TEXTJOIN(" / ",TRUE,INDEX(_xlfn.ANCHORARRAY($EQ$304),1,6),IF($AU$6="Change",INDEX(_xlfn.ANCHORARRAY($CL$4),4,2),""),$HR$305),"")</f>
      </c>
      <c r="BB9">
        <f>IFERROR(_xlfn.TEXTJOIN(" / ",TRUE,INDEX(_xlfn.ANCHORARRAY($EQ$354),1,6),IF($BB$6="Change",INDEX(_xlfn.ANCHORARRAY($CL$4),4,2),""),$HR$355),"")</f>
      </c>
      <c r="BI9">
        <f>IFERROR(_xlfn.TEXTJOIN(" / ",TRUE,INDEX(_xlfn.ANCHORARRAY($EQ$404),1,6),IF($BI$6="Change",INDEX(_xlfn.ANCHORARRAY($CL$4),4,2),""),$HR$405),"")</f>
      </c>
      <c r="BP9">
        <f>IFERROR(_xlfn.TEXTJOIN(" / ",TRUE,INDEX(_xlfn.ANCHORARRAY($EQ$454),1,6),IF($BP$6="Change",INDEX(_xlfn.ANCHORARRAY($CL$4),4,2),""),$HR$455),"")</f>
      </c>
      <c r="CD9">
        <f ca="1"/>
      </c>
      <c r="CE9">
        <f ca="1"/>
      </c>
      <c r="CF9">
        <f ca="1"/>
      </c>
      <c r="CG9">
        <f ca="1"/>
      </c>
      <c r="CI9">
        <f ca="1"/>
      </c>
      <c r="CJ9">
        <f ca="1"/>
      </c>
      <c r="GQ9">
        <f ca="1"/>
      </c>
      <c r="GR9" s="11">
        <f ca="1"/>
      </c>
      <c r="GS9" s="11">
        <f ca="1"/>
      </c>
      <c r="GT9" s="11">
        <f ca="1"/>
      </c>
      <c r="GU9" s="11">
        <f ca="1"/>
      </c>
      <c r="GV9" s="11">
        <f ca="1"/>
      </c>
      <c r="HE9">
        <f ca="1"/>
      </c>
    </row>
    <row r="10" spans="1:233" x14ac:dyDescent="0.55000000000000004">
      <c r="A10" s="4" t="s">
        <v>140</v>
      </c>
      <c r="CD10">
        <f ca="1"/>
      </c>
      <c r="CE10">
        <f ca="1"/>
      </c>
      <c r="CF10">
        <f ca="1"/>
      </c>
      <c r="CG10">
        <f ca="1"/>
      </c>
      <c r="CI10">
        <f ca="1"/>
      </c>
      <c r="CJ10">
        <f ca="1"/>
      </c>
      <c r="GQ10">
        <f ca="1"/>
      </c>
      <c r="GR10" s="11">
        <f ca="1"/>
      </c>
      <c r="GS10" s="11">
        <f ca="1"/>
      </c>
      <c r="GT10" s="11">
        <f ca="1"/>
      </c>
      <c r="GU10" s="11">
        <f ca="1"/>
      </c>
      <c r="GV10" s="11">
        <f ca="1"/>
      </c>
      <c r="HE10">
        <f ca="1"/>
      </c>
    </row>
    <row r="11" spans="1:233" x14ac:dyDescent="0.55000000000000004">
      <c r="A11" s="5" t="s">
        <v>135</v>
      </c>
      <c r="B11" s="5" t="s">
        <v>141</v>
      </c>
      <c r="D11" t="s">
        <v>163</v>
      </c>
      <c r="CD11">
        <f ca="1"/>
      </c>
      <c r="CE11">
        <f ca="1"/>
      </c>
      <c r="CF11">
        <f ca="1"/>
      </c>
      <c r="CG11">
        <f ca="1"/>
      </c>
      <c r="CI11">
        <f ca="1"/>
      </c>
      <c r="CJ11">
        <f ca="1"/>
      </c>
      <c r="GQ11">
        <f ca="1"/>
      </c>
      <c r="GR11" s="11">
        <f ca="1"/>
      </c>
      <c r="GS11" s="11">
        <f ca="1"/>
      </c>
      <c r="GT11" s="11">
        <f ca="1"/>
      </c>
      <c r="GU11" s="11">
        <f ca="1"/>
      </c>
      <c r="GV11" s="11">
        <f ca="1"/>
      </c>
      <c r="HE11">
        <f ca="1"/>
      </c>
    </row>
    <row r="12" spans="1:233" x14ac:dyDescent="0.55000000000000004">
      <c r="A12" t="s">
        <v>0</v>
      </c>
      <c r="B12" s="6" t="s">
        <v>43</v>
      </c>
      <c r="D12" s="2">
        <v>1</v>
      </c>
      <c r="CD12">
        <f ca="1"/>
      </c>
      <c r="CE12">
        <f ca="1"/>
      </c>
      <c r="CF12">
        <f ca="1"/>
      </c>
      <c r="CG12">
        <f ca="1"/>
      </c>
      <c r="CI12">
        <f ca="1"/>
      </c>
      <c r="CJ12">
        <f ca="1"/>
      </c>
      <c r="GQ12">
        <f ca="1"/>
      </c>
      <c r="GR12" s="11">
        <f ca="1"/>
      </c>
      <c r="GS12" s="11">
        <f ca="1"/>
      </c>
      <c r="GT12" s="11">
        <f ca="1"/>
      </c>
      <c r="GU12" s="11">
        <f ca="1"/>
      </c>
      <c r="GV12" s="11">
        <f ca="1"/>
      </c>
      <c r="HE12">
        <f ca="1"/>
      </c>
    </row>
    <row r="13" spans="1:233" x14ac:dyDescent="0.55000000000000004">
      <c r="A13" t="s">
        <v>1</v>
      </c>
      <c r="B13" s="6" t="s">
        <v>43</v>
      </c>
      <c r="CD13">
        <f ca="1"/>
      </c>
      <c r="CE13">
        <f ca="1"/>
      </c>
      <c r="CF13">
        <f ca="1"/>
      </c>
      <c r="CG13">
        <f ca="1"/>
      </c>
      <c r="CI13">
        <f ca="1"/>
      </c>
      <c r="CJ13">
        <f ca="1"/>
      </c>
      <c r="GQ13">
        <f ca="1"/>
      </c>
      <c r="GR13" s="11">
        <f ca="1"/>
      </c>
      <c r="GS13" s="11">
        <f ca="1"/>
      </c>
      <c r="GT13" s="11">
        <f ca="1"/>
      </c>
      <c r="GU13" s="11">
        <f ca="1"/>
      </c>
      <c r="GV13" s="11">
        <f ca="1"/>
      </c>
      <c r="HE13">
        <f ca="1"/>
      </c>
    </row>
    <row r="14" spans="1:233" x14ac:dyDescent="0.55000000000000004">
      <c r="A14" t="s">
        <v>2</v>
      </c>
      <c r="B14" s="6" t="s">
        <v>43</v>
      </c>
      <c r="CD14">
        <f ca="1"/>
      </c>
      <c r="CE14">
        <f ca="1"/>
      </c>
      <c r="CF14">
        <f ca="1"/>
      </c>
      <c r="CG14">
        <f ca="1"/>
      </c>
      <c r="CI14">
        <f ca="1"/>
      </c>
      <c r="CJ14">
        <f ca="1"/>
      </c>
      <c r="GQ14">
        <f ca="1"/>
      </c>
      <c r="GR14" s="11">
        <f ca="1"/>
      </c>
      <c r="GS14" s="11">
        <f ca="1"/>
      </c>
      <c r="GT14" s="11">
        <f ca="1"/>
      </c>
      <c r="GU14" s="11">
        <f ca="1"/>
      </c>
      <c r="GV14" s="11">
        <f ca="1"/>
      </c>
      <c r="HE14">
        <f ca="1"/>
      </c>
    </row>
    <row r="15" spans="1:233" x14ac:dyDescent="0.55000000000000004">
      <c r="A15" t="s">
        <v>3</v>
      </c>
      <c r="B15" s="6" t="s">
        <v>43</v>
      </c>
      <c r="CD15">
        <f ca="1"/>
      </c>
      <c r="CE15">
        <f ca="1"/>
      </c>
      <c r="CF15">
        <f ca="1"/>
      </c>
      <c r="CG15">
        <f ca="1"/>
      </c>
      <c r="CI15">
        <f ca="1"/>
      </c>
      <c r="CJ15">
        <f ca="1"/>
      </c>
      <c r="GQ15">
        <f ca="1"/>
      </c>
      <c r="GR15" s="11">
        <f ca="1"/>
      </c>
      <c r="GS15" s="11">
        <f ca="1"/>
      </c>
      <c r="GT15" s="11">
        <f ca="1"/>
      </c>
      <c r="GU15" s="11">
        <f ca="1"/>
      </c>
      <c r="GV15" s="11">
        <f ca="1"/>
      </c>
      <c r="HE15">
        <f ca="1"/>
      </c>
    </row>
    <row r="16" spans="1:233" x14ac:dyDescent="0.55000000000000004">
      <c r="A16" t="s">
        <v>4</v>
      </c>
      <c r="B16" s="6" t="s">
        <v>43</v>
      </c>
      <c r="CD16">
        <f ca="1"/>
      </c>
      <c r="CE16">
        <f ca="1"/>
      </c>
      <c r="CF16">
        <f ca="1"/>
      </c>
      <c r="CG16">
        <f ca="1"/>
      </c>
      <c r="CI16">
        <f ca="1"/>
      </c>
      <c r="CJ16">
        <f ca="1"/>
      </c>
      <c r="GQ16">
        <f ca="1"/>
      </c>
      <c r="GR16" s="11">
        <f ca="1"/>
      </c>
      <c r="GS16" s="11">
        <f ca="1"/>
      </c>
      <c r="GT16" s="11">
        <f ca="1"/>
      </c>
      <c r="GU16" s="11">
        <f ca="1"/>
      </c>
      <c r="GV16" s="11">
        <f ca="1"/>
      </c>
      <c r="HE16">
        <f ca="1"/>
      </c>
    </row>
    <row r="17" spans="1:233" x14ac:dyDescent="0.55000000000000004">
      <c r="A17" t="s">
        <v>5</v>
      </c>
      <c r="B17" s="6" t="s">
        <v>43</v>
      </c>
      <c r="CD17">
        <f ca="1"/>
      </c>
      <c r="CE17">
        <f ca="1"/>
      </c>
      <c r="CF17">
        <f ca="1"/>
      </c>
      <c r="CG17">
        <f ca="1"/>
      </c>
      <c r="CI17">
        <f ca="1"/>
      </c>
      <c r="CJ17">
        <f ca="1"/>
      </c>
      <c r="GQ17">
        <f ca="1"/>
      </c>
      <c r="GR17" s="11">
        <f ca="1"/>
      </c>
      <c r="GS17" s="11">
        <f ca="1"/>
      </c>
      <c r="GT17" s="11">
        <f ca="1"/>
      </c>
      <c r="GU17" s="11">
        <f ca="1"/>
      </c>
      <c r="GV17" s="11">
        <f ca="1"/>
      </c>
      <c r="HE17">
        <f ca="1"/>
      </c>
    </row>
    <row r="18" spans="1:233" x14ac:dyDescent="0.55000000000000004">
      <c r="A18" t="s">
        <v>6</v>
      </c>
      <c r="B18" s="6" t="s">
        <v>43</v>
      </c>
      <c r="CD18">
        <f ca="1"/>
      </c>
      <c r="CE18">
        <f ca="1"/>
      </c>
      <c r="CF18">
        <f ca="1"/>
      </c>
      <c r="CG18">
        <f ca="1"/>
      </c>
      <c r="CI18">
        <f ca="1"/>
      </c>
      <c r="CJ18">
        <f ca="1"/>
      </c>
      <c r="GQ18">
        <f ca="1"/>
      </c>
      <c r="GR18" s="11">
        <f ca="1"/>
      </c>
      <c r="GS18" s="11">
        <f ca="1"/>
      </c>
      <c r="GT18" s="11">
        <f ca="1"/>
      </c>
      <c r="GU18" s="11">
        <f ca="1"/>
      </c>
      <c r="GV18" s="11">
        <f ca="1"/>
      </c>
      <c r="HE18">
        <f ca="1"/>
      </c>
    </row>
    <row r="19" spans="1:233" x14ac:dyDescent="0.55000000000000004">
      <c r="A19" t="s">
        <v>7</v>
      </c>
      <c r="B19" s="6" t="s">
        <v>42</v>
      </c>
      <c r="CD19">
        <f ca="1"/>
      </c>
      <c r="CE19">
        <f ca="1"/>
      </c>
      <c r="CF19">
        <f ca="1"/>
      </c>
      <c r="CG19">
        <f ca="1"/>
      </c>
      <c r="CI19">
        <f ca="1"/>
      </c>
      <c r="CJ19">
        <f ca="1"/>
      </c>
      <c r="GQ19">
        <f ca="1"/>
      </c>
      <c r="GR19" s="11">
        <f ca="1"/>
      </c>
      <c r="GS19" s="11">
        <f ca="1"/>
      </c>
      <c r="GT19" s="11">
        <f ca="1"/>
      </c>
      <c r="GU19" s="11">
        <f ca="1"/>
      </c>
      <c r="GV19" s="11">
        <f ca="1"/>
      </c>
      <c r="HE19">
        <f ca="1"/>
      </c>
    </row>
    <row r="20" spans="1:233" x14ac:dyDescent="0.55000000000000004">
      <c r="A20" t="s">
        <v>8</v>
      </c>
      <c r="B20" s="6" t="s">
        <v>43</v>
      </c>
      <c r="CD20">
        <f ca="1"/>
      </c>
      <c r="CE20">
        <f ca="1"/>
      </c>
      <c r="CF20">
        <f ca="1"/>
      </c>
      <c r="CG20">
        <f ca="1"/>
      </c>
      <c r="CI20">
        <f ca="1"/>
      </c>
      <c r="CJ20">
        <f ca="1"/>
      </c>
      <c r="GQ20">
        <f ca="1"/>
      </c>
      <c r="GR20" s="11">
        <f ca="1"/>
      </c>
      <c r="GS20" s="11">
        <f ca="1"/>
      </c>
      <c r="GT20" s="11">
        <f ca="1"/>
      </c>
      <c r="GU20" s="11">
        <f ca="1"/>
      </c>
      <c r="GV20" s="11">
        <f ca="1"/>
      </c>
      <c r="HE20">
        <f ca="1"/>
      </c>
    </row>
    <row r="21" spans="1:233" x14ac:dyDescent="0.55000000000000004">
      <c r="A21" t="s">
        <v>9</v>
      </c>
      <c r="B21" s="6" t="s">
        <v>43</v>
      </c>
      <c r="CD21">
        <f ca="1"/>
      </c>
      <c r="CE21">
        <f ca="1"/>
      </c>
      <c r="CF21">
        <f ca="1"/>
      </c>
      <c r="CG21">
        <f ca="1"/>
      </c>
      <c r="CI21">
        <f ca="1"/>
      </c>
      <c r="CJ21">
        <f ca="1"/>
      </c>
      <c r="GQ21">
        <f ca="1"/>
      </c>
      <c r="GR21" s="11">
        <f ca="1"/>
      </c>
      <c r="GS21" s="11">
        <f ca="1"/>
      </c>
      <c r="GT21" s="11">
        <f ca="1"/>
      </c>
      <c r="GU21" s="11">
        <f ca="1"/>
      </c>
      <c r="GV21" s="11">
        <f ca="1"/>
      </c>
      <c r="HE21">
        <f ca="1"/>
      </c>
    </row>
    <row r="22" spans="1:233" x14ac:dyDescent="0.55000000000000004">
      <c r="A22" t="s">
        <v>10</v>
      </c>
      <c r="B22" s="6" t="s">
        <v>43</v>
      </c>
      <c r="CD22">
        <f ca="1"/>
      </c>
      <c r="CE22">
        <f ca="1"/>
      </c>
      <c r="CF22">
        <f ca="1"/>
      </c>
      <c r="CG22">
        <f ca="1"/>
      </c>
      <c r="GQ22">
        <f ca="1"/>
      </c>
      <c r="GR22" s="11">
        <f ca="1"/>
      </c>
      <c r="GS22" s="11">
        <f ca="1"/>
      </c>
      <c r="GT22" s="11">
        <f ca="1"/>
      </c>
      <c r="GU22" s="11">
        <f ca="1"/>
      </c>
      <c r="GV22" s="11">
        <f ca="1"/>
      </c>
      <c r="HE22">
        <f ca="1"/>
      </c>
    </row>
    <row r="23" spans="1:233" x14ac:dyDescent="0.55000000000000004">
      <c r="A23" t="s">
        <v>11</v>
      </c>
      <c r="B23" s="6" t="s">
        <v>43</v>
      </c>
      <c r="CD23">
        <f ca="1"/>
      </c>
      <c r="CE23">
        <f ca="1"/>
      </c>
      <c r="CF23">
        <f ca="1"/>
      </c>
      <c r="CG23">
        <f ca="1"/>
      </c>
      <c r="GR23" s="11"/>
      <c r="GS23" s="11"/>
      <c r="GT23" s="11"/>
      <c r="GU23" s="11"/>
      <c r="GV23" s="11"/>
    </row>
    <row r="24" spans="1:233" x14ac:dyDescent="0.55000000000000004">
      <c r="A24" t="s">
        <v>12</v>
      </c>
      <c r="B24" s="6" t="s">
        <v>43</v>
      </c>
      <c r="CD24">
        <f ca="1"/>
      </c>
      <c r="CE24">
        <f ca="1"/>
      </c>
      <c r="CF24">
        <f ca="1"/>
      </c>
      <c r="CG24">
        <f ca="1"/>
      </c>
      <c r="GR24" s="11"/>
      <c r="GS24" s="11"/>
      <c r="GT24" s="11"/>
      <c r="GU24" s="11"/>
      <c r="GV24" s="11"/>
    </row>
    <row r="25" spans="1:233" x14ac:dyDescent="0.55000000000000004">
      <c r="A25" t="s">
        <v>41</v>
      </c>
      <c r="B25" s="6" t="s">
        <v>42</v>
      </c>
      <c r="CD25">
        <f ca="1"/>
      </c>
      <c r="CE25">
        <f ca="1"/>
      </c>
      <c r="CF25">
        <f ca="1"/>
      </c>
      <c r="CG25">
        <f ca="1"/>
      </c>
      <c r="GR25" s="11"/>
      <c r="GS25" s="11"/>
      <c r="GT25" s="11"/>
      <c r="GU25" s="11"/>
      <c r="GV25" s="11"/>
    </row>
    <row r="26" spans="1:233" x14ac:dyDescent="0.55000000000000004">
      <c r="A26" t="s">
        <v>13</v>
      </c>
      <c r="B26" s="6" t="s">
        <v>43</v>
      </c>
      <c r="CD26">
        <f ca="1"/>
      </c>
      <c r="CE26">
        <f ca="1"/>
      </c>
      <c r="CF26">
        <f ca="1"/>
      </c>
      <c r="CG26">
        <f ca="1"/>
      </c>
      <c r="GR26" s="11"/>
      <c r="GS26" s="11"/>
      <c r="GT26" s="11"/>
      <c r="GU26" s="11"/>
      <c r="GV26" s="11"/>
    </row>
    <row r="27" spans="1:233" x14ac:dyDescent="0.55000000000000004">
      <c r="A27" t="s">
        <v>14</v>
      </c>
      <c r="B27" s="6" t="s">
        <v>42</v>
      </c>
      <c r="D27" t="s">
        <v>163</v>
      </c>
      <c r="CD27">
        <f ca="1"/>
      </c>
      <c r="CE27">
        <f ca="1"/>
      </c>
      <c r="CF27">
        <f ca="1"/>
      </c>
      <c r="CG27">
        <f ca="1"/>
      </c>
      <c r="GR27" s="11"/>
      <c r="GS27" s="11"/>
      <c r="GT27" s="11"/>
      <c r="GU27" s="11"/>
      <c r="GV27" s="11"/>
    </row>
    <row r="28" spans="1:233" x14ac:dyDescent="0.55000000000000004">
      <c r="A28" t="s">
        <v>15</v>
      </c>
      <c r="B28" s="6" t="s">
        <v>43</v>
      </c>
      <c r="D28" s="2">
        <v>2</v>
      </c>
      <c r="CD28">
        <f ca="1"/>
      </c>
      <c r="CE28">
        <f ca="1"/>
      </c>
      <c r="CF28">
        <f ca="1"/>
      </c>
      <c r="CG28">
        <f ca="1"/>
      </c>
      <c r="GR28" s="11"/>
      <c r="GS28" s="11"/>
      <c r="GT28" s="11"/>
      <c r="GU28" s="11"/>
      <c r="GV28" s="11"/>
    </row>
    <row r="29" spans="1:233" x14ac:dyDescent="0.55000000000000004">
      <c r="A29" t="s">
        <v>16</v>
      </c>
      <c r="B29" s="6" t="s">
        <v>42</v>
      </c>
      <c r="CD29">
        <f ca="1"/>
      </c>
      <c r="CE29">
        <f ca="1"/>
      </c>
      <c r="CF29">
        <f ca="1"/>
      </c>
      <c r="CG29">
        <f ca="1"/>
      </c>
      <c r="GR29" s="11"/>
      <c r="GS29" s="11"/>
      <c r="GT29" s="11"/>
      <c r="GU29" s="11"/>
      <c r="GV29" s="11"/>
    </row>
    <row r="30" spans="1:233" x14ac:dyDescent="0.55000000000000004">
      <c r="A30" t="s">
        <v>17</v>
      </c>
      <c r="B30" s="6" t="s">
        <v>42</v>
      </c>
      <c r="CD30">
        <f ca="1"/>
      </c>
      <c r="CE30">
        <f ca="1"/>
      </c>
      <c r="CF30">
        <f ca="1"/>
      </c>
      <c r="CG30">
        <f ca="1"/>
      </c>
      <c r="GR30" s="11"/>
      <c r="GS30" s="11"/>
      <c r="GT30" s="11"/>
      <c r="GU30" s="11"/>
      <c r="GV30" s="11"/>
    </row>
    <row r="31" spans="1:233" x14ac:dyDescent="0.55000000000000004">
      <c r="A31" t="s">
        <v>18</v>
      </c>
      <c r="B31" s="6" t="s">
        <v>42</v>
      </c>
      <c r="CD31">
        <f ca="1"/>
      </c>
      <c r="CE31">
        <f ca="1"/>
      </c>
      <c r="CF31">
        <f ca="1"/>
      </c>
      <c r="CG31">
        <f ca="1"/>
      </c>
      <c r="GR31" s="11"/>
      <c r="GS31" s="11"/>
      <c r="GT31" s="11"/>
      <c r="GU31" s="11"/>
      <c r="GV31" s="11"/>
    </row>
    <row r="32" spans="1:233" x14ac:dyDescent="0.55000000000000004">
      <c r="A32" t="s">
        <v>19</v>
      </c>
      <c r="B32" s="6" t="s">
        <v>42</v>
      </c>
      <c r="CD32">
        <f ca="1"/>
      </c>
      <c r="CE32">
        <f ca="1"/>
      </c>
      <c r="CF32">
        <f ca="1"/>
      </c>
      <c r="CG32">
        <f ca="1"/>
      </c>
      <c r="GR32" s="11"/>
      <c r="GS32" s="11"/>
      <c r="GT32" s="11"/>
      <c r="GU32" s="11"/>
      <c r="GV32" s="11"/>
    </row>
    <row r="33" spans="1:233" x14ac:dyDescent="0.55000000000000004">
      <c r="A33" t="s">
        <v>20</v>
      </c>
      <c r="B33" s="6" t="s">
        <v>42</v>
      </c>
      <c r="CD33">
        <f ca="1"/>
      </c>
      <c r="CE33">
        <f ca="1"/>
      </c>
      <c r="CF33">
        <f ca="1"/>
      </c>
      <c r="CG33">
        <f ca="1"/>
      </c>
      <c r="GR33" s="11"/>
      <c r="GS33" s="11"/>
      <c r="GT33" s="11"/>
      <c r="GU33" s="11"/>
      <c r="GV33" s="11"/>
    </row>
    <row r="34" spans="1:233" x14ac:dyDescent="0.55000000000000004">
      <c r="A34" t="s">
        <v>21</v>
      </c>
      <c r="B34" s="6" t="s">
        <v>42</v>
      </c>
      <c r="CD34">
        <f ca="1"/>
      </c>
      <c r="CE34">
        <f ca="1"/>
      </c>
      <c r="CF34">
        <f ca="1"/>
      </c>
      <c r="CG34">
        <f ca="1"/>
      </c>
      <c r="GR34" s="11"/>
      <c r="GS34" s="11"/>
      <c r="GT34" s="11"/>
      <c r="GU34" s="11"/>
      <c r="GV34" s="11"/>
    </row>
    <row r="35" spans="1:233" x14ac:dyDescent="0.55000000000000004">
      <c r="A35" t="s">
        <v>22</v>
      </c>
      <c r="B35" s="6" t="s">
        <v>42</v>
      </c>
      <c r="CD35">
        <f ca="1"/>
      </c>
      <c r="CE35">
        <f ca="1"/>
      </c>
      <c r="CF35">
        <f ca="1"/>
      </c>
      <c r="CG35">
        <f ca="1"/>
      </c>
      <c r="GR35" s="11"/>
      <c r="GS35" s="11"/>
      <c r="GT35" s="11"/>
      <c r="GU35" s="11"/>
      <c r="GV35" s="11"/>
    </row>
    <row r="36" spans="1:233" x14ac:dyDescent="0.55000000000000004">
      <c r="A36" t="s">
        <v>23</v>
      </c>
      <c r="B36" s="6" t="s">
        <v>42</v>
      </c>
      <c r="CD36">
        <f ca="1"/>
      </c>
      <c r="CE36">
        <f ca="1"/>
      </c>
      <c r="CF36">
        <f ca="1"/>
      </c>
      <c r="CG36">
        <f ca="1"/>
      </c>
      <c r="GR36" s="11"/>
      <c r="GS36" s="11"/>
      <c r="GT36" s="11"/>
      <c r="GU36" s="11"/>
      <c r="GV36" s="11"/>
    </row>
    <row r="37" spans="1:233" x14ac:dyDescent="0.55000000000000004">
      <c r="A37" t="s">
        <v>24</v>
      </c>
      <c r="B37" s="6" t="s">
        <v>42</v>
      </c>
      <c r="CD37">
        <f ca="1"/>
      </c>
      <c r="CE37">
        <f ca="1"/>
      </c>
      <c r="CF37">
        <f ca="1"/>
      </c>
      <c r="CG37">
        <f ca="1"/>
      </c>
      <c r="GR37" s="11"/>
      <c r="GS37" s="11"/>
      <c r="GT37" s="11"/>
      <c r="GU37" s="11"/>
      <c r="GV37" s="11"/>
    </row>
    <row r="38" spans="1:233" x14ac:dyDescent="0.55000000000000004">
      <c r="A38" t="s">
        <v>25</v>
      </c>
      <c r="B38" s="6" t="s">
        <v>43</v>
      </c>
      <c r="CD38">
        <f ca="1"/>
      </c>
      <c r="CE38">
        <f ca="1"/>
      </c>
      <c r="CF38">
        <f ca="1"/>
      </c>
      <c r="CG38">
        <f ca="1"/>
      </c>
      <c r="GR38" s="11"/>
      <c r="GS38" s="11"/>
      <c r="GT38" s="11"/>
      <c r="GU38" s="11"/>
      <c r="GV38" s="11"/>
    </row>
    <row r="39" spans="1:233" x14ac:dyDescent="0.55000000000000004">
      <c r="A39" t="s">
        <v>26</v>
      </c>
      <c r="B39" s="6" t="s">
        <v>42</v>
      </c>
      <c r="CD39">
        <f ca="1"/>
      </c>
      <c r="CE39">
        <f ca="1"/>
      </c>
      <c r="CF39">
        <f ca="1"/>
      </c>
      <c r="CG39">
        <f ca="1"/>
      </c>
      <c r="GR39" s="11"/>
      <c r="GS39" s="11"/>
      <c r="GT39" s="11"/>
      <c r="GU39" s="11"/>
      <c r="GV39" s="11"/>
    </row>
    <row r="40" spans="1:233" x14ac:dyDescent="0.55000000000000004">
      <c r="A40" t="s">
        <v>27</v>
      </c>
      <c r="B40" s="6" t="s">
        <v>42</v>
      </c>
      <c r="CD40">
        <f ca="1"/>
      </c>
      <c r="CE40">
        <f ca="1"/>
      </c>
      <c r="CF40">
        <f ca="1"/>
      </c>
      <c r="CG40">
        <f ca="1"/>
      </c>
      <c r="GR40" s="11"/>
      <c r="GS40" s="11"/>
      <c r="GT40" s="11"/>
      <c r="GU40" s="11"/>
      <c r="GV40" s="11"/>
    </row>
    <row r="41" spans="1:233" x14ac:dyDescent="0.55000000000000004">
      <c r="A41" t="s">
        <v>28</v>
      </c>
      <c r="B41" s="6" t="s">
        <v>42</v>
      </c>
      <c r="CD41">
        <f ca="1"/>
      </c>
      <c r="CE41">
        <f ca="1"/>
      </c>
      <c r="CF41">
        <f ca="1"/>
      </c>
      <c r="CG41">
        <f ca="1"/>
      </c>
      <c r="GR41" s="11"/>
      <c r="GS41" s="11"/>
      <c r="GT41" s="11"/>
      <c r="GU41" s="11"/>
      <c r="GV41" s="11"/>
    </row>
    <row r="42" spans="1:233" x14ac:dyDescent="0.55000000000000004">
      <c r="A42" t="s">
        <v>29</v>
      </c>
      <c r="B42" s="6" t="s">
        <v>42</v>
      </c>
      <c r="CD42">
        <f ca="1"/>
      </c>
      <c r="CE42">
        <f ca="1"/>
      </c>
      <c r="CF42">
        <f ca="1"/>
      </c>
      <c r="CG42">
        <f ca="1"/>
      </c>
      <c r="GR42" s="11"/>
      <c r="GS42" s="11"/>
      <c r="GT42" s="11"/>
      <c r="GU42" s="11"/>
      <c r="GV42" s="11"/>
    </row>
    <row r="43" spans="1:233" x14ac:dyDescent="0.55000000000000004">
      <c r="A43" t="s">
        <v>30</v>
      </c>
      <c r="B43" s="6" t="s">
        <v>42</v>
      </c>
      <c r="D43" t="s">
        <v>163</v>
      </c>
      <c r="CD43">
        <f ca="1"/>
      </c>
      <c r="CE43">
        <f ca="1"/>
      </c>
      <c r="CF43">
        <f ca="1"/>
      </c>
      <c r="CG43">
        <f ca="1"/>
      </c>
      <c r="GR43" s="11"/>
      <c r="GS43" s="11"/>
      <c r="GT43" s="11"/>
      <c r="GU43" s="11"/>
      <c r="GV43" s="11"/>
    </row>
    <row r="44" spans="1:233" x14ac:dyDescent="0.55000000000000004">
      <c r="A44" t="s">
        <v>31</v>
      </c>
      <c r="B44" s="6" t="s">
        <v>43</v>
      </c>
      <c r="D44" s="2">
        <v>3</v>
      </c>
      <c r="CD44">
        <f ca="1"/>
      </c>
      <c r="CE44">
        <f ca="1"/>
      </c>
      <c r="CF44">
        <f ca="1"/>
      </c>
      <c r="CG44">
        <f ca="1"/>
      </c>
      <c r="GR44" s="11"/>
      <c r="GS44" s="11"/>
      <c r="GT44" s="11"/>
      <c r="GU44" s="11"/>
      <c r="GV44" s="11"/>
    </row>
    <row r="45" spans="1:233" x14ac:dyDescent="0.55000000000000004">
      <c r="A45" t="s">
        <v>32</v>
      </c>
      <c r="B45" s="6" t="s">
        <v>42</v>
      </c>
      <c r="CD45">
        <f ca="1"/>
      </c>
      <c r="CE45">
        <f ca="1"/>
      </c>
      <c r="CF45">
        <f ca="1"/>
      </c>
      <c r="CG45">
        <f ca="1"/>
      </c>
      <c r="GR45" s="11"/>
      <c r="GS45" s="11"/>
      <c r="GT45" s="11"/>
      <c r="GU45" s="11"/>
      <c r="GV45" s="11"/>
    </row>
    <row r="46" spans="1:233" x14ac:dyDescent="0.55000000000000004">
      <c r="A46" t="s">
        <v>33</v>
      </c>
      <c r="B46" s="6" t="s">
        <v>43</v>
      </c>
      <c r="CD46">
        <f ca="1"/>
      </c>
      <c r="CE46">
        <f ca="1"/>
      </c>
      <c r="CF46">
        <f ca="1"/>
      </c>
      <c r="CG46">
        <f ca="1"/>
      </c>
      <c r="GR46" s="11"/>
      <c r="GS46" s="11"/>
      <c r="GT46" s="11"/>
      <c r="GU46" s="11"/>
      <c r="GV46" s="11"/>
    </row>
    <row r="47" spans="1:233" x14ac:dyDescent="0.55000000000000004">
      <c r="A47" t="s">
        <v>34</v>
      </c>
      <c r="B47" s="6" t="s">
        <v>43</v>
      </c>
      <c r="CD47">
        <f ca="1"/>
      </c>
      <c r="CE47">
        <f ca="1"/>
      </c>
      <c r="CF47">
        <f ca="1"/>
      </c>
      <c r="CG47">
        <f ca="1"/>
      </c>
    </row>
    <row r="48" spans="1:233" x14ac:dyDescent="0.55000000000000004">
      <c r="A48" t="s">
        <v>35</v>
      </c>
      <c r="B48" s="6" t="s">
        <v>43</v>
      </c>
    </row>
    <row r="49" spans="1:233" x14ac:dyDescent="0.55000000000000004">
      <c r="A49" t="s">
        <v>36</v>
      </c>
      <c r="B49" s="6" t="s">
        <v>43</v>
      </c>
    </row>
    <row r="50" spans="1:233" x14ac:dyDescent="0.55000000000000004">
      <c r="A50" t="s">
        <v>37</v>
      </c>
      <c r="B50" s="6" t="s">
        <v>43</v>
      </c>
    </row>
    <row r="51" spans="1:233" x14ac:dyDescent="0.55000000000000004">
      <c r="A51" t="s">
        <v>38</v>
      </c>
      <c r="B51" s="6" t="s">
        <v>43</v>
      </c>
    </row>
    <row r="52" spans="1:233" x14ac:dyDescent="0.55000000000000004">
      <c r="A52" t="s">
        <v>39</v>
      </c>
      <c r="B52" s="6" t="s">
        <v>43</v>
      </c>
    </row>
    <row r="53" spans="1:233" x14ac:dyDescent="0.55000000000000004">
      <c r="A53" t="s">
        <v>40</v>
      </c>
      <c r="B53" s="6" t="s">
        <v>43</v>
      </c>
    </row>
    <row r="54" spans="1:233" x14ac:dyDescent="0.55000000000000004">
      <c r="EP54" t="s">
        <v>152</v>
      </c>
      <c r="EQ54" cm="1">
        <f t="array" ref="EQ54:FR71">_xlfn.LET(_xlpm.g,_xlfn.DROP(_xlfn.ANCHORARRAY($CO$4),1),_xlfn._xlws.FILTER(_xlpm.g,_xlfn.TAKE(_xlpm.g,,1)=2))</f>
      </c>
      <c r="GQ54" t="s">
        <v>169</v>
      </c>
      <c r="GR54" cm="1">
        <f t="array" aca="1" ref="GR54" ca="1">IFERROR(_xlfn.LET(_xlpm.R,_xlfn.ANCHORARRAY($GR$55),_xlpm.a,ABS(_xlpm.R),"k="&amp;$D$12&amp;"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54" cm="1">
        <f t="array" aca="1" ref="GS54" ca="1">IFERROR(_xlfn.LET(_xlpm.R,_xlfn.ANCHORARRAY($GS$55),_xlpm.a,ABS(_xlpm.R),"k="&amp;$D$28&amp;"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54" cm="1">
        <f t="array" aca="1" ref="GT54" ca="1">IFERROR(_xlfn.LET(_xlpm.R,_xlfn.ANCHORARRAY($GT$55),_xlpm.a,ABS(_xlpm.R),"k="&amp;$D$44&amp;"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54" cm="1">
        <f t="array" aca="1" ref="GU54" ca="1">IFERROR(_xlfn.LET(_xlpm.R,_xlfn.ANCHORARRAY($GU$55),_xlpm.a,ABS(_xlpm.R),"k="&amp;$D$60&amp;"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54" cm="1">
        <f t="array" aca="1" ref="GV54" ca="1">IFERROR(_xlfn.LET(_xlpm.R,_xlfn.ANCHORARRAY($GV$55),_xlpm.a,ABS(_xlpm.R),"k="&amp;$D$76&amp;"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54" t="s">
        <v>44</v>
      </c>
      <c r="GY54" t="s">
        <v>45</v>
      </c>
      <c r="GZ54" t="s">
        <v>46</v>
      </c>
      <c r="HA54" t="s">
        <v>47</v>
      </c>
      <c r="HB54" t="s">
        <v>48</v>
      </c>
      <c r="HD54" t="s">
        <v>174</v>
      </c>
      <c r="HE54">
        <f>"Actual / Mean / Recon (k="&amp;$D$108&amp;")  dashed: Mean ±1σ"</f>
      </c>
      <c r="HF54" t="s">
        <v>175</v>
      </c>
      <c r="HG54" t="s">
        <v>176</v>
      </c>
      <c r="HH54" t="s">
        <v>179</v>
      </c>
      <c r="HI54" t="s">
        <v>180</v>
      </c>
      <c r="HJ54" t="s">
        <v>181</v>
      </c>
      <c r="HK54" t="s">
        <v>182</v>
      </c>
      <c r="HL54" t="s">
        <v>183</v>
      </c>
      <c r="HM54" t="s">
        <v>184</v>
      </c>
      <c r="HN54" t="s">
        <v>185</v>
      </c>
      <c r="HO54" t="s">
        <v>186</v>
      </c>
      <c r="HP54" t="s">
        <v>187</v>
      </c>
      <c r="HQ54" t="s">
        <v>188</v>
      </c>
      <c r="HR54" t="s">
        <v>189</v>
      </c>
    </row>
    <row r="55" spans="1:233" x14ac:dyDescent="0.55000000000000004">
      <c r="A55" t="s">
        <v>177</v>
      </c>
      <c r="B55" s="3"/>
      <c r="GQ55" cm="1">
        <f t="array" aca="1" ref="GQ55:GQ72" ca="1">IF($L$6="Change",_xlfn.ANCHORARRAY($CJ$4),_xlfn.ANCHORARRAY($CI$4))</f>
      </c>
      <c r="GR55" s="11" cm="1">
        <f t="array" aca="1" ref="GR55:GR72" ca="1">_xlfn.LET(_xlpm.sl,_xlfn.ANCHORARRAY($EQ$54),_xlpm.mu,_xlfn.CHOOSECOLS(_xlpm.sl,8),_xlpm.sg,_xlfn.CHOOSECOLS(_xlpm.sl,9),_xlpm.x,_xlfn.ANCHORARRAY($GQ$55),_xlpm.V,_xlfn.TAKE(_xlfn.DROP(_xlpm.sl,,10),,$D$12),(_xlpm.x-(_xlpm.mu+_xlpm.sg*MMULT(_xlpm.V,MMULT(TRANSPOSE(_xlpm.V),(_xlpm.x-_xlpm.mu)/_xlpm.sg))))*100)</f>
      </c>
      <c r="GS55" s="11" cm="1">
        <f t="array" aca="1" ref="GS55:GS72" ca="1">_xlfn.LET(_xlpm.sl,_xlfn.ANCHORARRAY($EQ$54),_xlpm.mu,_xlfn.CHOOSECOLS(_xlpm.sl,8),_xlpm.sg,_xlfn.CHOOSECOLS(_xlpm.sl,9),_xlpm.x,_xlfn.ANCHORARRAY($GQ$55),_xlpm.V,_xlfn.TAKE(_xlfn.DROP(_xlpm.sl,,10),,$D$28),(_xlpm.x-(_xlpm.mu+_xlpm.sg*MMULT(_xlpm.V,MMULT(TRANSPOSE(_xlpm.V),(_xlpm.x-_xlpm.mu)/_xlpm.sg))))*100)</f>
      </c>
      <c r="GT55" s="11" cm="1">
        <f t="array" aca="1" ref="GT55:GT72" ca="1">_xlfn.LET(_xlpm.sl,_xlfn.ANCHORARRAY($EQ$54),_xlpm.mu,_xlfn.CHOOSECOLS(_xlpm.sl,8),_xlpm.sg,_xlfn.CHOOSECOLS(_xlpm.sl,9),_xlpm.x,_xlfn.ANCHORARRAY($GQ$55),_xlpm.V,_xlfn.TAKE(_xlfn.DROP(_xlpm.sl,,10),,$D$44),(_xlpm.x-(_xlpm.mu+_xlpm.sg*MMULT(_xlpm.V,MMULT(TRANSPOSE(_xlpm.V),(_xlpm.x-_xlpm.mu)/_xlpm.sg))))*100)</f>
      </c>
      <c r="GU55" s="11" cm="1">
        <f t="array" aca="1" ref="GU55:GU72" ca="1">_xlfn.LET(_xlpm.sl,_xlfn.ANCHORARRAY($EQ$54),_xlpm.mu,_xlfn.CHOOSECOLS(_xlpm.sl,8),_xlpm.sg,_xlfn.CHOOSECOLS(_xlpm.sl,9),_xlpm.x,_xlfn.ANCHORARRAY($GQ$55),_xlpm.V,_xlfn.TAKE(_xlfn.DROP(_xlpm.sl,,10),,$D$60),(_xlpm.x-(_xlpm.mu+_xlpm.sg*MMULT(_xlpm.V,MMULT(TRANSPOSE(_xlpm.V),(_xlpm.x-_xlpm.mu)/_xlpm.sg))))*100)</f>
      </c>
      <c r="GV55" s="11" cm="1">
        <f t="array" aca="1" ref="GV55:GV72" ca="1">_xlfn.LET(_xlpm.sl,_xlfn.ANCHORARRAY($EQ$54),_xlpm.mu,_xlfn.CHOOSECOLS(_xlpm.sl,8),_xlpm.sg,_xlfn.CHOOSECOLS(_xlpm.sl,9),_xlpm.x,_xlfn.ANCHORARRAY($GQ$55),_xlpm.V,_xlfn.TAKE(_xlfn.DROP(_xlpm.sl,,10),,$D$76),(_xlpm.x-(_xlpm.mu+_xlpm.sg*MMULT(_xlpm.V,MMULT(TRANSPOSE(_xlpm.V),(_xlpm.x-_xlpm.mu)/_xlpm.sg))))*100)</f>
      </c>
      <c r="GX55" cm="1">
        <f t="array" ref="GX55:GX72">_xlfn.LET(_xlpm.V,_xlfn.DROP(_xlfn.ANCHORARRAY($EQ$54),,10),IF(1&lt;=COLUMNS(_xlpm.V),_xlfn.CHOOSECOLS(_xlpm.V,1),IF(_xlfn.SEQUENCE(ROWS(_xlpm.V)),NA())))</f>
      </c>
      <c r="GY55" cm="1">
        <f t="array" ref="GY55:GY72">_xlfn.LET(_xlpm.V,_xlfn.DROP(_xlfn.ANCHORARRAY($EQ$54),,10),IF(2&lt;=COLUMNS(_xlpm.V),_xlfn.CHOOSECOLS(_xlpm.V,2),IF(_xlfn.SEQUENCE(ROWS(_xlpm.V)),NA())))</f>
      </c>
      <c r="GZ55" cm="1">
        <f t="array" ref="GZ55:GZ72">_xlfn.LET(_xlpm.V,_xlfn.DROP(_xlfn.ANCHORARRAY($EQ$54),,10),IF(3&lt;=COLUMNS(_xlpm.V),_xlfn.CHOOSECOLS(_xlpm.V,3),IF(_xlfn.SEQUENCE(ROWS(_xlpm.V)),NA())))</f>
      </c>
      <c r="HA55" cm="1">
        <f t="array" ref="HA55:HA72">_xlfn.LET(_xlpm.V,_xlfn.DROP(_xlfn.ANCHORARRAY($EQ$54),,10),IF(4&lt;=COLUMNS(_xlpm.V),_xlfn.CHOOSECOLS(_xlpm.V,4),IF(_xlfn.SEQUENCE(ROWS(_xlpm.V)),NA())))</f>
      </c>
      <c r="HB55" cm="1">
        <f t="array" ref="HB55:HB72">_xlfn.LET(_xlpm.V,_xlfn.DROP(_xlfn.ANCHORARRAY($EQ$54),,10),IF(5&lt;=COLUMNS(_xlpm.V),_xlfn.CHOOSECOLS(_xlpm.V,5),IF(_xlfn.SEQUENCE(ROWS(_xlpm.V)),NA())))</f>
      </c>
      <c r="HD55" cm="1">
        <f t="array" ref="HD55:HD72">_xlfn.CHOOSECOLS(_xlfn.ANCHORARRAY($EQ$54),8)</f>
      </c>
      <c r="HE55" cm="1">
        <f t="array" aca="1" ref="HE55:HE72" ca="1">_xlfn.LET(_xlpm.sl,_xlfn.ANCHORARRAY($EQ$54),_xlpm.mu,_xlfn.CHOOSECOLS(_xlpm.sl,8),_xlpm.sg,_xlfn.CHOOSECOLS(_xlpm.sl,9),_xlpm.x,_xlfn.ANCHORARRAY($GQ$55),_xlpm.V,_xlfn.TAKE(_xlfn.DROP(_xlpm.sl,,10),,$D$108),_xlpm.mu+_xlpm.sg*MMULT(_xlpm.V,MMULT(TRANSPOSE(_xlpm.V),(_xlpm.x-_xlpm.mu)/_xlpm.sg)))</f>
      </c>
      <c r="HF55" cm="1">
        <f t="array" ref="HF55:HF72">_xlfn.CHOOSECOLS(_xlfn.ANCHORARRAY($EQ$54),8)+_xlfn.CHOOSECOLS(_xlfn.ANCHORARRAY($EQ$54),10)</f>
      </c>
      <c r="HG55" cm="1">
        <f t="array" ref="HG55:HG72">_xlfn.CHOOSECOLS(_xlfn.ANCHORARRAY($EQ$54),8)-_xlfn.CHOOSECOLS(_xlfn.ANCHORARRAY($EQ$54),10)</f>
      </c>
      <c r="HH55" cm="1">
        <f t="array" ref="HH55:HH72">_xlfn.LET(_xlpm.v,_xlfn.CHOOSECOLS(_xlfn._xlws.FILTER(_xlfn.DROP(_xlfn.ANCHORARRAY($HS$4),1),_xlfn.TAKE(_xlfn.DROP(_xlfn.ANCHORARRAY($HS$4),1),,1)=2),3),IF(_xlpm.v="",NA(),_xlpm.v))</f>
      </c>
      <c r="HI55" cm="1">
        <f t="array" ref="HI55:HI72">-_xlfn.ANCHORARRAY($HH$55)</f>
      </c>
      <c r="HJ55" cm="1">
        <f t="array" ref="HJ55:HJ72">_xlfn.LET(_xlpm.v,_xlfn.CHOOSECOLS(_xlfn._xlws.FILTER(_xlfn.DROP(_xlfn.ANCHORARRAY($HS$4),1),_xlfn.TAKE(_xlfn.DROP(_xlfn.ANCHORARRAY($HS$4),1),,1)=2),4),IF(_xlpm.v="",NA(),_xlpm.v))</f>
      </c>
      <c r="HK55" cm="1">
        <f t="array" ref="HK55:HK72">-_xlfn.ANCHORARRAY($HJ$55)</f>
      </c>
      <c r="HL55" cm="1">
        <f t="array" ref="HL55:HL72">_xlfn.LET(_xlpm.v,_xlfn.CHOOSECOLS(_xlfn._xlws.FILTER(_xlfn.DROP(_xlfn.ANCHORARRAY($HS$4),1),_xlfn.TAKE(_xlfn.DROP(_xlfn.ANCHORARRAY($HS$4),1),,1)=2),5),IF(_xlpm.v="",NA(),_xlpm.v))</f>
      </c>
      <c r="HM55" cm="1">
        <f t="array" ref="HM55:HM72">-_xlfn.ANCHORARRAY($HL$55)</f>
      </c>
      <c r="HN55" cm="1">
        <f t="array" ref="HN55:HN72">_xlfn.LET(_xlpm.v,_xlfn.CHOOSECOLS(_xlfn._xlws.FILTER(_xlfn.DROP(_xlfn.ANCHORARRAY($HS$4),1),_xlfn.TAKE(_xlfn.DROP(_xlfn.ANCHORARRAY($HS$4),1),,1)=2),6),IF(_xlpm.v="",NA(),_xlpm.v))</f>
      </c>
      <c r="HO55" cm="1">
        <f t="array" ref="HO55:HO72">-_xlfn.ANCHORARRAY($HN$55)</f>
      </c>
      <c r="HP55" cm="1">
        <f t="array" ref="HP55:HP72">_xlfn.LET(_xlpm.v,_xlfn.CHOOSECOLS(_xlfn._xlws.FILTER(_xlfn.DROP(_xlfn.ANCHORARRAY($HS$4),1),_xlfn.TAKE(_xlfn.DROP(_xlfn.ANCHORARRAY($HS$4),1),,1)=2),7),IF(_xlpm.v="",NA(),_xlpm.v))</f>
      </c>
      <c r="HQ55" cm="1">
        <f t="array" ref="HQ55:HQ72">-_xlfn.ANCHORARRAY($HP$55)</f>
      </c>
      <c r="HR55" cm="1">
        <f t="array" ref="HR55">IFERROR(INDEX(_xlfn._xlws.FILTER(_xlfn.DROP(_xlfn.ANCHORARRAY($HS$4),1),_xlfn.TAKE(_xlfn.DROP(_xlfn.ANCHORARRAY($HS$4),1),,1)=2),1,2),"")</f>
      </c>
    </row>
    <row r="56" spans="1:233" x14ac:dyDescent="0.55000000000000004">
      <c r="GQ56">
        <f ca="1"/>
      </c>
      <c r="GR56" s="11">
        <f ca="1"/>
      </c>
      <c r="GS56" s="11">
        <f ca="1"/>
      </c>
      <c r="GT56" s="11">
        <f ca="1"/>
      </c>
      <c r="GU56" s="11">
        <f ca="1"/>
      </c>
      <c r="GV56" s="11">
        <f ca="1"/>
      </c>
      <c r="HE56">
        <f ca="1"/>
      </c>
    </row>
    <row r="57" spans="1:233" x14ac:dyDescent="0.55000000000000004">
      <c r="A57" t="s">
        <v>381</v>
      </c>
      <c r="GQ57">
        <f ca="1"/>
      </c>
      <c r="GR57" s="11">
        <f ca="1"/>
      </c>
      <c r="GS57" s="11">
        <f ca="1"/>
      </c>
      <c r="GT57" s="11">
        <f ca="1"/>
      </c>
      <c r="GU57" s="11">
        <f ca="1"/>
      </c>
      <c r="GV57" s="11">
        <f ca="1"/>
      </c>
      <c r="HE57">
        <f ca="1"/>
      </c>
    </row>
    <row r="58" spans="1:233" x14ac:dyDescent="0.55000000000000004">
      <c r="A58" s="47" t="s">
        <v>19</v>
      </c>
      <c r="GQ58">
        <f ca="1"/>
      </c>
      <c r="GR58" s="11">
        <f ca="1"/>
      </c>
      <c r="GS58" s="11">
        <f ca="1"/>
      </c>
      <c r="GT58" s="11">
        <f ca="1"/>
      </c>
      <c r="GU58" s="11">
        <f ca="1"/>
      </c>
      <c r="GV58" s="11">
        <f ca="1"/>
      </c>
      <c r="HE58">
        <f ca="1"/>
      </c>
    </row>
    <row r="59" spans="1:233" x14ac:dyDescent="0.55000000000000004">
      <c r="A59" s="47" t="s">
        <v>24</v>
      </c>
      <c r="D59" t="s">
        <v>163</v>
      </c>
      <c r="GQ59">
        <f ca="1"/>
      </c>
      <c r="GR59" s="11">
        <f ca="1"/>
      </c>
      <c r="GS59" s="11">
        <f ca="1"/>
      </c>
      <c r="GT59" s="11">
        <f ca="1"/>
      </c>
      <c r="GU59" s="11">
        <f ca="1"/>
      </c>
      <c r="GV59" s="11">
        <f ca="1"/>
      </c>
      <c r="HE59">
        <f ca="1"/>
      </c>
    </row>
    <row r="60" spans="1:233" x14ac:dyDescent="0.55000000000000004">
      <c r="A60" s="47" t="s">
        <v>28</v>
      </c>
      <c r="D60" s="2">
        <v>4</v>
      </c>
      <c r="GQ60">
        <f ca="1"/>
      </c>
      <c r="GR60" s="11">
        <f ca="1"/>
      </c>
      <c r="GS60" s="11">
        <f ca="1"/>
      </c>
      <c r="GT60" s="11">
        <f ca="1"/>
      </c>
      <c r="GU60" s="11">
        <f ca="1"/>
      </c>
      <c r="GV60" s="11">
        <f ca="1"/>
      </c>
      <c r="HE60">
        <f ca="1"/>
      </c>
    </row>
    <row r="61" spans="1:233" x14ac:dyDescent="0.55000000000000004">
      <c r="A61" s="47"/>
      <c r="GQ61">
        <f ca="1"/>
      </c>
      <c r="GR61" s="11">
        <f ca="1"/>
      </c>
      <c r="GS61" s="11">
        <f ca="1"/>
      </c>
      <c r="GT61" s="11">
        <f ca="1"/>
      </c>
      <c r="GU61" s="11">
        <f ca="1"/>
      </c>
      <c r="GV61" s="11">
        <f ca="1"/>
      </c>
      <c r="HE61">
        <f ca="1"/>
      </c>
    </row>
    <row r="62" spans="1:233" x14ac:dyDescent="0.55000000000000004">
      <c r="A62" s="47"/>
      <c r="GQ62">
        <f ca="1"/>
      </c>
      <c r="GR62" s="11">
        <f ca="1"/>
      </c>
      <c r="GS62" s="11">
        <f ca="1"/>
      </c>
      <c r="GT62" s="11">
        <f ca="1"/>
      </c>
      <c r="GU62" s="11">
        <f ca="1"/>
      </c>
      <c r="GV62" s="11">
        <f ca="1"/>
      </c>
      <c r="HE62">
        <f ca="1"/>
      </c>
    </row>
    <row r="63" spans="1:233" x14ac:dyDescent="0.55000000000000004">
      <c r="GQ63">
        <f ca="1"/>
      </c>
      <c r="GR63" s="11">
        <f ca="1"/>
      </c>
      <c r="GS63" s="11">
        <f ca="1"/>
      </c>
      <c r="GT63" s="11">
        <f ca="1"/>
      </c>
      <c r="GU63" s="11">
        <f ca="1"/>
      </c>
      <c r="GV63" s="11">
        <f ca="1"/>
      </c>
      <c r="HE63">
        <f ca="1"/>
      </c>
    </row>
    <row r="64" spans="1:233" x14ac:dyDescent="0.55000000000000004">
      <c r="GQ64">
        <f ca="1"/>
      </c>
      <c r="GR64" s="11">
        <f ca="1"/>
      </c>
      <c r="GS64" s="11">
        <f ca="1"/>
      </c>
      <c r="GT64" s="11">
        <f ca="1"/>
      </c>
      <c r="GU64" s="11">
        <f ca="1"/>
      </c>
      <c r="GV64" s="11">
        <f ca="1"/>
      </c>
      <c r="HE64">
        <f ca="1"/>
      </c>
    </row>
    <row r="65" spans="4:233" x14ac:dyDescent="0.55000000000000004">
      <c r="GQ65">
        <f ca="1"/>
      </c>
      <c r="GR65" s="11">
        <f ca="1"/>
      </c>
      <c r="GS65" s="11">
        <f ca="1"/>
      </c>
      <c r="GT65" s="11">
        <f ca="1"/>
      </c>
      <c r="GU65" s="11">
        <f ca="1"/>
      </c>
      <c r="GV65" s="11">
        <f ca="1"/>
      </c>
      <c r="HE65">
        <f ca="1"/>
      </c>
    </row>
    <row r="66" spans="4:233" x14ac:dyDescent="0.55000000000000004">
      <c r="GQ66">
        <f ca="1"/>
      </c>
      <c r="GR66" s="11">
        <f ca="1"/>
      </c>
      <c r="GS66" s="11">
        <f ca="1"/>
      </c>
      <c r="GT66" s="11">
        <f ca="1"/>
      </c>
      <c r="GU66" s="11">
        <f ca="1"/>
      </c>
      <c r="GV66" s="11">
        <f ca="1"/>
      </c>
      <c r="HE66">
        <f ca="1"/>
      </c>
    </row>
    <row r="67" spans="4:233" x14ac:dyDescent="0.55000000000000004">
      <c r="GQ67">
        <f ca="1"/>
      </c>
      <c r="GR67" s="11">
        <f ca="1"/>
      </c>
      <c r="GS67" s="11">
        <f ca="1"/>
      </c>
      <c r="GT67" s="11">
        <f ca="1"/>
      </c>
      <c r="GU67" s="11">
        <f ca="1"/>
      </c>
      <c r="GV67" s="11">
        <f ca="1"/>
      </c>
      <c r="HE67">
        <f ca="1"/>
      </c>
    </row>
    <row r="68" spans="4:233" x14ac:dyDescent="0.55000000000000004">
      <c r="GQ68">
        <f ca="1"/>
      </c>
      <c r="GR68" s="11">
        <f ca="1"/>
      </c>
      <c r="GS68" s="11">
        <f ca="1"/>
      </c>
      <c r="GT68" s="11">
        <f ca="1"/>
      </c>
      <c r="GU68" s="11">
        <f ca="1"/>
      </c>
      <c r="GV68" s="11">
        <f ca="1"/>
      </c>
      <c r="HE68">
        <f ca="1"/>
      </c>
    </row>
    <row r="69" spans="4:233" x14ac:dyDescent="0.55000000000000004">
      <c r="GQ69">
        <f ca="1"/>
      </c>
      <c r="GR69" s="11">
        <f ca="1"/>
      </c>
      <c r="GS69" s="11">
        <f ca="1"/>
      </c>
      <c r="GT69" s="11">
        <f ca="1"/>
      </c>
      <c r="GU69" s="11">
        <f ca="1"/>
      </c>
      <c r="GV69" s="11">
        <f ca="1"/>
      </c>
      <c r="HE69">
        <f ca="1"/>
      </c>
    </row>
    <row r="70" spans="4:233" x14ac:dyDescent="0.55000000000000004">
      <c r="GQ70">
        <f ca="1"/>
      </c>
      <c r="GR70" s="11">
        <f ca="1"/>
      </c>
      <c r="GS70" s="11">
        <f ca="1"/>
      </c>
      <c r="GT70" s="11">
        <f ca="1"/>
      </c>
      <c r="GU70" s="11">
        <f ca="1"/>
      </c>
      <c r="GV70" s="11">
        <f ca="1"/>
      </c>
      <c r="HE70">
        <f ca="1"/>
      </c>
    </row>
    <row r="71" spans="4:233" x14ac:dyDescent="0.55000000000000004">
      <c r="GQ71">
        <f ca="1"/>
      </c>
      <c r="GR71" s="11">
        <f ca="1"/>
      </c>
      <c r="GS71" s="11">
        <f ca="1"/>
      </c>
      <c r="GT71" s="11">
        <f ca="1"/>
      </c>
      <c r="GU71" s="11">
        <f ca="1"/>
      </c>
      <c r="GV71" s="11">
        <f ca="1"/>
      </c>
      <c r="HE71">
        <f ca="1"/>
      </c>
    </row>
    <row r="72" spans="4:233" x14ac:dyDescent="0.55000000000000004">
      <c r="GQ72">
        <f ca="1"/>
      </c>
      <c r="GR72" s="11">
        <f ca="1"/>
      </c>
      <c r="GS72" s="11">
        <f ca="1"/>
      </c>
      <c r="GT72" s="11">
        <f ca="1"/>
      </c>
      <c r="GU72" s="11">
        <f ca="1"/>
      </c>
      <c r="GV72" s="11">
        <f ca="1"/>
      </c>
      <c r="HE72">
        <f ca="1"/>
      </c>
    </row>
    <row r="73" spans="4:233" x14ac:dyDescent="0.55000000000000004">
      <c r="GR73" s="11"/>
      <c r="GS73" s="11"/>
      <c r="GT73" s="11"/>
      <c r="GU73" s="11"/>
      <c r="GV73" s="11"/>
    </row>
    <row r="74" spans="4:233" x14ac:dyDescent="0.55000000000000004">
      <c r="GR74" s="11"/>
      <c r="GS74" s="11"/>
      <c r="GT74" s="11"/>
      <c r="GU74" s="11"/>
      <c r="GV74" s="11"/>
    </row>
    <row r="75" spans="4:233" x14ac:dyDescent="0.55000000000000004">
      <c r="D75" t="s">
        <v>163</v>
      </c>
      <c r="GR75" s="11"/>
      <c r="GS75" s="11"/>
      <c r="GT75" s="11"/>
      <c r="GU75" s="11"/>
      <c r="GV75" s="11"/>
    </row>
    <row r="76" spans="4:233" x14ac:dyDescent="0.55000000000000004">
      <c r="D76" s="2">
        <v>5</v>
      </c>
      <c r="GR76" s="11"/>
      <c r="GS76" s="11"/>
      <c r="GT76" s="11"/>
      <c r="GU76" s="11"/>
      <c r="GV76" s="11"/>
    </row>
    <row r="77" spans="4:233" x14ac:dyDescent="0.55000000000000004">
      <c r="GR77" s="11"/>
      <c r="GS77" s="11"/>
      <c r="GT77" s="11"/>
      <c r="GU77" s="11"/>
      <c r="GV77" s="11"/>
    </row>
    <row r="78" spans="4:233" x14ac:dyDescent="0.55000000000000004">
      <c r="GR78" s="11"/>
      <c r="GS78" s="11"/>
      <c r="GT78" s="11"/>
      <c r="GU78" s="11"/>
      <c r="GV78" s="11"/>
    </row>
    <row r="79" spans="4:233" x14ac:dyDescent="0.55000000000000004">
      <c r="GR79" s="11"/>
      <c r="GS79" s="11"/>
      <c r="GT79" s="11"/>
      <c r="GU79" s="11"/>
      <c r="GV79" s="11"/>
    </row>
    <row r="80" spans="4:233" x14ac:dyDescent="0.55000000000000004">
      <c r="GR80" s="11"/>
      <c r="GS80" s="11"/>
      <c r="GT80" s="11"/>
      <c r="GU80" s="11"/>
      <c r="GV80" s="11"/>
    </row>
    <row r="81" spans="4:233" x14ac:dyDescent="0.55000000000000004">
      <c r="GR81" s="11"/>
      <c r="GS81" s="11"/>
      <c r="GT81" s="11"/>
      <c r="GU81" s="11"/>
      <c r="GV81" s="11"/>
    </row>
    <row r="82" spans="4:233" x14ac:dyDescent="0.55000000000000004">
      <c r="GR82" s="11"/>
      <c r="GS82" s="11"/>
      <c r="GT82" s="11"/>
      <c r="GU82" s="11"/>
      <c r="GV82" s="11"/>
    </row>
    <row r="83" spans="4:233" x14ac:dyDescent="0.55000000000000004">
      <c r="GR83" s="11"/>
      <c r="GS83" s="11"/>
      <c r="GT83" s="11"/>
      <c r="GU83" s="11"/>
      <c r="GV83" s="11"/>
    </row>
    <row r="84" spans="4:233" x14ac:dyDescent="0.55000000000000004">
      <c r="GR84" s="11"/>
      <c r="GS84" s="11"/>
      <c r="GT84" s="11"/>
      <c r="GU84" s="11"/>
      <c r="GV84" s="11"/>
    </row>
    <row r="85" spans="4:233" x14ac:dyDescent="0.55000000000000004">
      <c r="GR85" s="11"/>
      <c r="GS85" s="11"/>
      <c r="GT85" s="11"/>
      <c r="GU85" s="11"/>
      <c r="GV85" s="11"/>
    </row>
    <row r="86" spans="4:233" x14ac:dyDescent="0.55000000000000004">
      <c r="GR86" s="11"/>
      <c r="GS86" s="11"/>
      <c r="GT86" s="11"/>
      <c r="GU86" s="11"/>
      <c r="GV86" s="11"/>
    </row>
    <row r="87" spans="4:233" x14ac:dyDescent="0.55000000000000004">
      <c r="GR87" s="11"/>
      <c r="GS87" s="11"/>
      <c r="GT87" s="11"/>
      <c r="GU87" s="11"/>
      <c r="GV87" s="11"/>
    </row>
    <row r="88" spans="4:233" x14ac:dyDescent="0.55000000000000004">
      <c r="GR88" s="11"/>
      <c r="GS88" s="11"/>
      <c r="GT88" s="11"/>
      <c r="GU88" s="11"/>
      <c r="GV88" s="11"/>
    </row>
    <row r="89" spans="4:233" x14ac:dyDescent="0.55000000000000004">
      <c r="GR89" s="11"/>
      <c r="GS89" s="11"/>
      <c r="GT89" s="11"/>
      <c r="GU89" s="11"/>
      <c r="GV89" s="11"/>
    </row>
    <row r="90" spans="4:233" x14ac:dyDescent="0.55000000000000004">
      <c r="GR90" s="11"/>
      <c r="GS90" s="11"/>
      <c r="GT90" s="11"/>
      <c r="GU90" s="11"/>
      <c r="GV90" s="11"/>
    </row>
    <row r="91" spans="4:233" x14ac:dyDescent="0.55000000000000004">
      <c r="D91" t="s">
        <v>164</v>
      </c>
      <c r="GR91" s="11"/>
      <c r="GS91" s="11"/>
      <c r="GT91" s="11"/>
      <c r="GU91" s="11"/>
      <c r="GV91" s="11"/>
    </row>
    <row r="92" spans="4:233" x14ac:dyDescent="0.55000000000000004">
      <c r="GR92" s="11"/>
      <c r="GS92" s="11"/>
      <c r="GT92" s="11"/>
      <c r="GU92" s="11"/>
      <c r="GV92" s="11"/>
    </row>
    <row r="93" spans="4:233" x14ac:dyDescent="0.55000000000000004">
      <c r="GR93" s="11"/>
      <c r="GS93" s="11"/>
      <c r="GT93" s="11"/>
      <c r="GU93" s="11"/>
      <c r="GV93" s="11"/>
    </row>
    <row r="94" spans="4:233" x14ac:dyDescent="0.55000000000000004">
      <c r="GR94" s="11"/>
      <c r="GS94" s="11"/>
      <c r="GT94" s="11"/>
      <c r="GU94" s="11"/>
      <c r="GV94" s="11"/>
    </row>
    <row r="95" spans="4:233" x14ac:dyDescent="0.55000000000000004">
      <c r="GR95" s="11"/>
      <c r="GS95" s="11"/>
      <c r="GT95" s="11"/>
      <c r="GU95" s="11"/>
      <c r="GV95" s="11"/>
    </row>
    <row r="96" spans="4:233" x14ac:dyDescent="0.55000000000000004">
      <c r="GR96" s="11"/>
      <c r="GS96" s="11"/>
      <c r="GT96" s="11"/>
      <c r="GU96" s="11"/>
      <c r="GV96" s="11"/>
    </row>
    <row r="97" spans="4:233" x14ac:dyDescent="0.55000000000000004"/>
    <row r="98" spans="4:233" x14ac:dyDescent="0.55000000000000004"/>
    <row r="99" spans="4:233" x14ac:dyDescent="0.55000000000000004"/>
    <row r="100" spans="4:233" x14ac:dyDescent="0.55000000000000004"/>
    <row r="101" spans="4:233" x14ac:dyDescent="0.55000000000000004"/>
    <row r="102" spans="4:233" x14ac:dyDescent="0.55000000000000004"/>
    <row r="103" spans="4:233" x14ac:dyDescent="0.55000000000000004"/>
    <row r="104" spans="4:233" x14ac:dyDescent="0.55000000000000004">
      <c r="EP104" t="s">
        <v>153</v>
      </c>
      <c r="EQ104" cm="1">
        <f t="array" ref="EQ104:FR121">_xlfn.LET(_xlpm.g,_xlfn.DROP(_xlfn.ANCHORARRAY($CO$4),1),_xlfn._xlws.FILTER(_xlpm.g,_xlfn.TAKE(_xlpm.g,,1)=3))</f>
      </c>
      <c r="GQ104" t="s">
        <v>169</v>
      </c>
      <c r="GR104" cm="1">
        <f t="array" aca="1" ref="GR104" ca="1">IFERROR(_xlfn.LET(_xlpm.R,_xlfn.ANCHORARRAY($GR$105),_xlpm.a,ABS(_xlpm.R),"k="&amp;$D$12&amp;"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04" cm="1">
        <f t="array" aca="1" ref="GS104" ca="1">IFERROR(_xlfn.LET(_xlpm.R,_xlfn.ANCHORARRAY($GS$105),_xlpm.a,ABS(_xlpm.R),"k="&amp;$D$28&amp;"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04" cm="1">
        <f t="array" aca="1" ref="GT104" ca="1">IFERROR(_xlfn.LET(_xlpm.R,_xlfn.ANCHORARRAY($GT$105),_xlpm.a,ABS(_xlpm.R),"k="&amp;$D$44&amp;"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04" cm="1">
        <f t="array" aca="1" ref="GU104" ca="1">IFERROR(_xlfn.LET(_xlpm.R,_xlfn.ANCHORARRAY($GU$105),_xlpm.a,ABS(_xlpm.R),"k="&amp;$D$60&amp;"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04" cm="1">
        <f t="array" aca="1" ref="GV104" ca="1">IFERROR(_xlfn.LET(_xlpm.R,_xlfn.ANCHORARRAY($GV$105),_xlpm.a,ABS(_xlpm.R),"k="&amp;$D$76&amp;"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04" t="s">
        <v>44</v>
      </c>
      <c r="GY104" t="s">
        <v>45</v>
      </c>
      <c r="GZ104" t="s">
        <v>46</v>
      </c>
      <c r="HA104" t="s">
        <v>47</v>
      </c>
      <c r="HB104" t="s">
        <v>48</v>
      </c>
      <c r="HD104" t="s">
        <v>174</v>
      </c>
      <c r="HE104">
        <f>"Actual / Mean / Recon (k="&amp;$D$108&amp;")  dashed: Mean ±1σ"</f>
      </c>
      <c r="HF104" t="s">
        <v>175</v>
      </c>
      <c r="HG104" t="s">
        <v>176</v>
      </c>
      <c r="HH104" t="s">
        <v>179</v>
      </c>
      <c r="HI104" t="s">
        <v>180</v>
      </c>
      <c r="HJ104" t="s">
        <v>181</v>
      </c>
      <c r="HK104" t="s">
        <v>182</v>
      </c>
      <c r="HL104" t="s">
        <v>183</v>
      </c>
      <c r="HM104" t="s">
        <v>184</v>
      </c>
      <c r="HN104" t="s">
        <v>185</v>
      </c>
      <c r="HO104" t="s">
        <v>186</v>
      </c>
      <c r="HP104" t="s">
        <v>187</v>
      </c>
      <c r="HQ104" t="s">
        <v>188</v>
      </c>
      <c r="HR104" t="s">
        <v>189</v>
      </c>
    </row>
    <row r="105" spans="4:233" x14ac:dyDescent="0.55000000000000004">
      <c r="GQ105" cm="1">
        <f t="array" aca="1" ref="GQ105:GQ122" ca="1">IF($S$6="Change",_xlfn.ANCHORARRAY($CJ$4),_xlfn.ANCHORARRAY($CI$4))</f>
      </c>
      <c r="GR105" s="11" cm="1">
        <f t="array" aca="1" ref="GR105:GR122" ca="1">_xlfn.LET(_xlpm.sl,_xlfn.ANCHORARRAY($EQ$104),_xlpm.mu,_xlfn.CHOOSECOLS(_xlpm.sl,8),_xlpm.sg,_xlfn.CHOOSECOLS(_xlpm.sl,9),_xlpm.x,_xlfn.ANCHORARRAY($GQ$105),_xlpm.V,_xlfn.TAKE(_xlfn.DROP(_xlpm.sl,,10),,$D$12),(_xlpm.x-(_xlpm.mu+_xlpm.sg*MMULT(_xlpm.V,MMULT(TRANSPOSE(_xlpm.V),(_xlpm.x-_xlpm.mu)/_xlpm.sg))))*100)</f>
      </c>
      <c r="GS105" s="11" cm="1">
        <f t="array" aca="1" ref="GS105:GS122" ca="1">_xlfn.LET(_xlpm.sl,_xlfn.ANCHORARRAY($EQ$104),_xlpm.mu,_xlfn.CHOOSECOLS(_xlpm.sl,8),_xlpm.sg,_xlfn.CHOOSECOLS(_xlpm.sl,9),_xlpm.x,_xlfn.ANCHORARRAY($GQ$105),_xlpm.V,_xlfn.TAKE(_xlfn.DROP(_xlpm.sl,,10),,$D$28),(_xlpm.x-(_xlpm.mu+_xlpm.sg*MMULT(_xlpm.V,MMULT(TRANSPOSE(_xlpm.V),(_xlpm.x-_xlpm.mu)/_xlpm.sg))))*100)</f>
      </c>
      <c r="GT105" s="11" cm="1">
        <f t="array" aca="1" ref="GT105:GT122" ca="1">_xlfn.LET(_xlpm.sl,_xlfn.ANCHORARRAY($EQ$104),_xlpm.mu,_xlfn.CHOOSECOLS(_xlpm.sl,8),_xlpm.sg,_xlfn.CHOOSECOLS(_xlpm.sl,9),_xlpm.x,_xlfn.ANCHORARRAY($GQ$105),_xlpm.V,_xlfn.TAKE(_xlfn.DROP(_xlpm.sl,,10),,$D$44),(_xlpm.x-(_xlpm.mu+_xlpm.sg*MMULT(_xlpm.V,MMULT(TRANSPOSE(_xlpm.V),(_xlpm.x-_xlpm.mu)/_xlpm.sg))))*100)</f>
      </c>
      <c r="GU105" s="11" cm="1">
        <f t="array" aca="1" ref="GU105:GU122" ca="1">_xlfn.LET(_xlpm.sl,_xlfn.ANCHORARRAY($EQ$104),_xlpm.mu,_xlfn.CHOOSECOLS(_xlpm.sl,8),_xlpm.sg,_xlfn.CHOOSECOLS(_xlpm.sl,9),_xlpm.x,_xlfn.ANCHORARRAY($GQ$105),_xlpm.V,_xlfn.TAKE(_xlfn.DROP(_xlpm.sl,,10),,$D$60),(_xlpm.x-(_xlpm.mu+_xlpm.sg*MMULT(_xlpm.V,MMULT(TRANSPOSE(_xlpm.V),(_xlpm.x-_xlpm.mu)/_xlpm.sg))))*100)</f>
      </c>
      <c r="GV105" s="11" cm="1">
        <f t="array" aca="1" ref="GV105:GV122" ca="1">_xlfn.LET(_xlpm.sl,_xlfn.ANCHORARRAY($EQ$104),_xlpm.mu,_xlfn.CHOOSECOLS(_xlpm.sl,8),_xlpm.sg,_xlfn.CHOOSECOLS(_xlpm.sl,9),_xlpm.x,_xlfn.ANCHORARRAY($GQ$105),_xlpm.V,_xlfn.TAKE(_xlfn.DROP(_xlpm.sl,,10),,$D$76),(_xlpm.x-(_xlpm.mu+_xlpm.sg*MMULT(_xlpm.V,MMULT(TRANSPOSE(_xlpm.V),(_xlpm.x-_xlpm.mu)/_xlpm.sg))))*100)</f>
      </c>
      <c r="GX105" cm="1">
        <f t="array" ref="GX105:GX122">_xlfn.LET(_xlpm.V,_xlfn.DROP(_xlfn.ANCHORARRAY($EQ$104),,10),IF(1&lt;=COLUMNS(_xlpm.V),_xlfn.CHOOSECOLS(_xlpm.V,1),IF(_xlfn.SEQUENCE(ROWS(_xlpm.V)),NA())))</f>
      </c>
      <c r="GY105" cm="1">
        <f t="array" ref="GY105:GY122">_xlfn.LET(_xlpm.V,_xlfn.DROP(_xlfn.ANCHORARRAY($EQ$104),,10),IF(2&lt;=COLUMNS(_xlpm.V),_xlfn.CHOOSECOLS(_xlpm.V,2),IF(_xlfn.SEQUENCE(ROWS(_xlpm.V)),NA())))</f>
      </c>
      <c r="GZ105" cm="1">
        <f t="array" ref="GZ105:GZ122">_xlfn.LET(_xlpm.V,_xlfn.DROP(_xlfn.ANCHORARRAY($EQ$104),,10),IF(3&lt;=COLUMNS(_xlpm.V),_xlfn.CHOOSECOLS(_xlpm.V,3),IF(_xlfn.SEQUENCE(ROWS(_xlpm.V)),NA())))</f>
      </c>
      <c r="HA105" cm="1">
        <f t="array" ref="HA105:HA122">_xlfn.LET(_xlpm.V,_xlfn.DROP(_xlfn.ANCHORARRAY($EQ$104),,10),IF(4&lt;=COLUMNS(_xlpm.V),_xlfn.CHOOSECOLS(_xlpm.V,4),IF(_xlfn.SEQUENCE(ROWS(_xlpm.V)),NA())))</f>
      </c>
      <c r="HB105" cm="1">
        <f t="array" ref="HB105:HB122">_xlfn.LET(_xlpm.V,_xlfn.DROP(_xlfn.ANCHORARRAY($EQ$104),,10),IF(5&lt;=COLUMNS(_xlpm.V),_xlfn.CHOOSECOLS(_xlpm.V,5),IF(_xlfn.SEQUENCE(ROWS(_xlpm.V)),NA())))</f>
      </c>
      <c r="HD105" cm="1">
        <f t="array" ref="HD105:HD122">_xlfn.CHOOSECOLS(_xlfn.ANCHORARRAY($EQ$104),8)</f>
      </c>
      <c r="HE105" cm="1">
        <f t="array" aca="1" ref="HE105:HE122" ca="1">_xlfn.LET(_xlpm.sl,_xlfn.ANCHORARRAY($EQ$104),_xlpm.mu,_xlfn.CHOOSECOLS(_xlpm.sl,8),_xlpm.sg,_xlfn.CHOOSECOLS(_xlpm.sl,9),_xlpm.x,_xlfn.ANCHORARRAY($GQ$105),_xlpm.V,_xlfn.TAKE(_xlfn.DROP(_xlpm.sl,,10),,$D$108),_xlpm.mu+_xlpm.sg*MMULT(_xlpm.V,MMULT(TRANSPOSE(_xlpm.V),(_xlpm.x-_xlpm.mu)/_xlpm.sg)))</f>
      </c>
      <c r="HF105" cm="1">
        <f t="array" ref="HF105:HF122">_xlfn.CHOOSECOLS(_xlfn.ANCHORARRAY($EQ$104),8)+_xlfn.CHOOSECOLS(_xlfn.ANCHORARRAY($EQ$104),10)</f>
      </c>
      <c r="HG105" cm="1">
        <f t="array" ref="HG105:HG122">_xlfn.CHOOSECOLS(_xlfn.ANCHORARRAY($EQ$104),8)-_xlfn.CHOOSECOLS(_xlfn.ANCHORARRAY($EQ$104),10)</f>
      </c>
      <c r="HH105" cm="1">
        <f t="array" ref="HH105:HH122">_xlfn.LET(_xlpm.v,_xlfn.CHOOSECOLS(_xlfn._xlws.FILTER(_xlfn.DROP(_xlfn.ANCHORARRAY($HS$4),1),_xlfn.TAKE(_xlfn.DROP(_xlfn.ANCHORARRAY($HS$4),1),,1)=3),3),IF(_xlpm.v="",NA(),_xlpm.v))</f>
      </c>
      <c r="HI105" cm="1">
        <f t="array" ref="HI105:HI122">-_xlfn.ANCHORARRAY($HH$105)</f>
      </c>
      <c r="HJ105" cm="1">
        <f t="array" ref="HJ105:HJ122">_xlfn.LET(_xlpm.v,_xlfn.CHOOSECOLS(_xlfn._xlws.FILTER(_xlfn.DROP(_xlfn.ANCHORARRAY($HS$4),1),_xlfn.TAKE(_xlfn.DROP(_xlfn.ANCHORARRAY($HS$4),1),,1)=3),4),IF(_xlpm.v="",NA(),_xlpm.v))</f>
      </c>
      <c r="HK105" cm="1">
        <f t="array" ref="HK105:HK122">-_xlfn.ANCHORARRAY($HJ$105)</f>
      </c>
      <c r="HL105" cm="1">
        <f t="array" ref="HL105:HL122">_xlfn.LET(_xlpm.v,_xlfn.CHOOSECOLS(_xlfn._xlws.FILTER(_xlfn.DROP(_xlfn.ANCHORARRAY($HS$4),1),_xlfn.TAKE(_xlfn.DROP(_xlfn.ANCHORARRAY($HS$4),1),,1)=3),5),IF(_xlpm.v="",NA(),_xlpm.v))</f>
      </c>
      <c r="HM105" cm="1">
        <f t="array" ref="HM105:HM122">-_xlfn.ANCHORARRAY($HL$105)</f>
      </c>
      <c r="HN105" cm="1">
        <f t="array" ref="HN105:HN122">_xlfn.LET(_xlpm.v,_xlfn.CHOOSECOLS(_xlfn._xlws.FILTER(_xlfn.DROP(_xlfn.ANCHORARRAY($HS$4),1),_xlfn.TAKE(_xlfn.DROP(_xlfn.ANCHORARRAY($HS$4),1),,1)=3),6),IF(_xlpm.v="",NA(),_xlpm.v))</f>
      </c>
      <c r="HO105" cm="1">
        <f t="array" ref="HO105:HO122">-_xlfn.ANCHORARRAY($HN$105)</f>
      </c>
      <c r="HP105" cm="1">
        <f t="array" ref="HP105:HP122">_xlfn.LET(_xlpm.v,_xlfn.CHOOSECOLS(_xlfn._xlws.FILTER(_xlfn.DROP(_xlfn.ANCHORARRAY($HS$4),1),_xlfn.TAKE(_xlfn.DROP(_xlfn.ANCHORARRAY($HS$4),1),,1)=3),7),IF(_xlpm.v="",NA(),_xlpm.v))</f>
      </c>
      <c r="HQ105" cm="1">
        <f t="array" ref="HQ105:HQ122">-_xlfn.ANCHORARRAY($HP$105)</f>
      </c>
      <c r="HR105" cm="1">
        <f t="array" ref="HR105">IFERROR(INDEX(_xlfn._xlws.FILTER(_xlfn.DROP(_xlfn.ANCHORARRAY($HS$4),1),_xlfn.TAKE(_xlfn.DROP(_xlfn.ANCHORARRAY($HS$4),1),,1)=3),1,2),"")</f>
      </c>
    </row>
    <row r="106" spans="4:233" x14ac:dyDescent="0.55000000000000004">
      <c r="GQ106">
        <f ca="1"/>
      </c>
      <c r="GR106" s="11">
        <f ca="1"/>
      </c>
      <c r="GS106" s="11">
        <f ca="1"/>
      </c>
      <c r="GT106" s="11">
        <f ca="1"/>
      </c>
      <c r="GU106" s="11">
        <f ca="1"/>
      </c>
      <c r="GV106" s="11">
        <f ca="1"/>
      </c>
      <c r="HE106">
        <f ca="1"/>
      </c>
    </row>
    <row r="107" spans="4:233" x14ac:dyDescent="0.55000000000000004">
      <c r="D107" t="s">
        <v>163</v>
      </c>
      <c r="GQ107">
        <f ca="1"/>
      </c>
      <c r="GR107" s="11">
        <f ca="1"/>
      </c>
      <c r="GS107" s="11">
        <f ca="1"/>
      </c>
      <c r="GT107" s="11">
        <f ca="1"/>
      </c>
      <c r="GU107" s="11">
        <f ca="1"/>
      </c>
      <c r="GV107" s="11">
        <f ca="1"/>
      </c>
      <c r="HE107">
        <f ca="1"/>
      </c>
    </row>
    <row r="108" spans="4:233" x14ac:dyDescent="0.55000000000000004">
      <c r="D108" s="2">
        <v>3</v>
      </c>
      <c r="GQ108">
        <f ca="1"/>
      </c>
      <c r="GR108" s="11">
        <f ca="1"/>
      </c>
      <c r="GS108" s="11">
        <f ca="1"/>
      </c>
      <c r="GT108" s="11">
        <f ca="1"/>
      </c>
      <c r="GU108" s="11">
        <f ca="1"/>
      </c>
      <c r="GV108" s="11">
        <f ca="1"/>
      </c>
      <c r="HE108">
        <f ca="1"/>
      </c>
    </row>
    <row r="109" spans="4:233" x14ac:dyDescent="0.55000000000000004">
      <c r="GQ109">
        <f ca="1"/>
      </c>
      <c r="GR109" s="11">
        <f ca="1"/>
      </c>
      <c r="GS109" s="11">
        <f ca="1"/>
      </c>
      <c r="GT109" s="11">
        <f ca="1"/>
      </c>
      <c r="GU109" s="11">
        <f ca="1"/>
      </c>
      <c r="GV109" s="11">
        <f ca="1"/>
      </c>
      <c r="HE109">
        <f ca="1"/>
      </c>
    </row>
    <row r="110" spans="4:233" x14ac:dyDescent="0.55000000000000004">
      <c r="GQ110">
        <f ca="1"/>
      </c>
      <c r="GR110" s="11">
        <f ca="1"/>
      </c>
      <c r="GS110" s="11">
        <f ca="1"/>
      </c>
      <c r="GT110" s="11">
        <f ca="1"/>
      </c>
      <c r="GU110" s="11">
        <f ca="1"/>
      </c>
      <c r="GV110" s="11">
        <f ca="1"/>
      </c>
      <c r="HE110">
        <f ca="1"/>
      </c>
    </row>
    <row r="111" spans="4:233" x14ac:dyDescent="0.55000000000000004">
      <c r="GQ111">
        <f ca="1"/>
      </c>
      <c r="GR111" s="11">
        <f ca="1"/>
      </c>
      <c r="GS111" s="11">
        <f ca="1"/>
      </c>
      <c r="GT111" s="11">
        <f ca="1"/>
      </c>
      <c r="GU111" s="11">
        <f ca="1"/>
      </c>
      <c r="GV111" s="11">
        <f ca="1"/>
      </c>
      <c r="HE111">
        <f ca="1"/>
      </c>
    </row>
    <row r="112" spans="4:233" x14ac:dyDescent="0.55000000000000004">
      <c r="GQ112">
        <f ca="1"/>
      </c>
      <c r="GR112" s="11">
        <f ca="1"/>
      </c>
      <c r="GS112" s="11">
        <f ca="1"/>
      </c>
      <c r="GT112" s="11">
        <f ca="1"/>
      </c>
      <c r="GU112" s="11">
        <f ca="1"/>
      </c>
      <c r="GV112" s="11">
        <f ca="1"/>
      </c>
      <c r="HE112">
        <f ca="1"/>
      </c>
    </row>
    <row r="113" spans="93:233" x14ac:dyDescent="0.55000000000000004">
      <c r="GQ113">
        <f ca="1"/>
      </c>
      <c r="GR113" s="11">
        <f ca="1"/>
      </c>
      <c r="GS113" s="11">
        <f ca="1"/>
      </c>
      <c r="GT113" s="11">
        <f ca="1"/>
      </c>
      <c r="GU113" s="11">
        <f ca="1"/>
      </c>
      <c r="GV113" s="11">
        <f ca="1"/>
      </c>
      <c r="HE113">
        <f ca="1"/>
      </c>
    </row>
    <row r="114" spans="93:233" x14ac:dyDescent="0.55000000000000004">
      <c r="GQ114">
        <f ca="1"/>
      </c>
      <c r="GR114" s="11">
        <f ca="1"/>
      </c>
      <c r="GS114" s="11">
        <f ca="1"/>
      </c>
      <c r="GT114" s="11">
        <f ca="1"/>
      </c>
      <c r="GU114" s="11">
        <f ca="1"/>
      </c>
      <c r="GV114" s="11">
        <f ca="1"/>
      </c>
      <c r="HE114">
        <f ca="1"/>
      </c>
    </row>
    <row r="115" spans="93:233" x14ac:dyDescent="0.55000000000000004">
      <c r="GQ115">
        <f ca="1"/>
      </c>
      <c r="GR115" s="11">
        <f ca="1"/>
      </c>
      <c r="GS115" s="11">
        <f ca="1"/>
      </c>
      <c r="GT115" s="11">
        <f ca="1"/>
      </c>
      <c r="GU115" s="11">
        <f ca="1"/>
      </c>
      <c r="GV115" s="11">
        <f ca="1"/>
      </c>
      <c r="HE115">
        <f ca="1"/>
      </c>
    </row>
    <row r="116" spans="93:233" x14ac:dyDescent="0.55000000000000004">
      <c r="GQ116">
        <f ca="1"/>
      </c>
      <c r="GR116" s="11">
        <f ca="1"/>
      </c>
      <c r="GS116" s="11">
        <f ca="1"/>
      </c>
      <c r="GT116" s="11">
        <f ca="1"/>
      </c>
      <c r="GU116" s="11">
        <f ca="1"/>
      </c>
      <c r="GV116" s="11">
        <f ca="1"/>
      </c>
      <c r="HE116">
        <f ca="1"/>
      </c>
    </row>
    <row r="117" spans="93:233" x14ac:dyDescent="0.55000000000000004">
      <c r="GQ117">
        <f ca="1"/>
      </c>
      <c r="GR117" s="11">
        <f ca="1"/>
      </c>
      <c r="GS117" s="11">
        <f ca="1"/>
      </c>
      <c r="GT117" s="11">
        <f ca="1"/>
      </c>
      <c r="GU117" s="11">
        <f ca="1"/>
      </c>
      <c r="GV117" s="11">
        <f ca="1"/>
      </c>
      <c r="HE117">
        <f ca="1"/>
      </c>
    </row>
    <row r="118" spans="93:233" x14ac:dyDescent="0.55000000000000004">
      <c r="GQ118">
        <f ca="1"/>
      </c>
      <c r="GR118" s="11">
        <f ca="1"/>
      </c>
      <c r="GS118" s="11">
        <f ca="1"/>
      </c>
      <c r="GT118" s="11">
        <f ca="1"/>
      </c>
      <c r="GU118" s="11">
        <f ca="1"/>
      </c>
      <c r="GV118" s="11">
        <f ca="1"/>
      </c>
      <c r="HE118">
        <f ca="1"/>
      </c>
    </row>
    <row r="119" spans="93:233" x14ac:dyDescent="0.55000000000000004">
      <c r="GQ119">
        <f ca="1"/>
      </c>
      <c r="GR119" s="11">
        <f ca="1"/>
      </c>
      <c r="GS119" s="11">
        <f ca="1"/>
      </c>
      <c r="GT119" s="11">
        <f ca="1"/>
      </c>
      <c r="GU119" s="11">
        <f ca="1"/>
      </c>
      <c r="GV119" s="11">
        <f ca="1"/>
      </c>
      <c r="HE119">
        <f ca="1"/>
      </c>
    </row>
    <row r="120" spans="93:233" x14ac:dyDescent="0.55000000000000004">
      <c r="GQ120">
        <f ca="1"/>
      </c>
      <c r="GR120" s="11">
        <f ca="1"/>
      </c>
      <c r="GS120" s="11">
        <f ca="1"/>
      </c>
      <c r="GT120" s="11">
        <f ca="1"/>
      </c>
      <c r="GU120" s="11">
        <f ca="1"/>
      </c>
      <c r="GV120" s="11">
        <f ca="1"/>
      </c>
      <c r="HE120">
        <f ca="1"/>
      </c>
    </row>
    <row r="121" spans="93:233" x14ac:dyDescent="0.55000000000000004">
      <c r="GQ121">
        <f ca="1"/>
      </c>
      <c r="GR121" s="11">
        <f ca="1"/>
      </c>
      <c r="GS121" s="11">
        <f ca="1"/>
      </c>
      <c r="GT121" s="11">
        <f ca="1"/>
      </c>
      <c r="GU121" s="11">
        <f ca="1"/>
      </c>
      <c r="GV121" s="11">
        <f ca="1"/>
      </c>
      <c r="HE121">
        <f ca="1"/>
      </c>
    </row>
    <row r="122" spans="93:233" x14ac:dyDescent="0.55000000000000004">
      <c r="GQ122">
        <f ca="1"/>
      </c>
      <c r="GR122" s="11">
        <f ca="1"/>
      </c>
      <c r="GS122" s="11">
        <f ca="1"/>
      </c>
      <c r="GT122" s="11">
        <f ca="1"/>
      </c>
      <c r="GU122" s="11">
        <f ca="1"/>
      </c>
      <c r="GV122" s="11">
        <f ca="1"/>
      </c>
      <c r="HE122">
        <f ca="1"/>
      </c>
    </row>
    <row r="123" spans="93:233" x14ac:dyDescent="0.55000000000000004">
      <c r="GR123" s="11"/>
      <c r="GS123" s="11"/>
      <c r="GT123" s="11"/>
      <c r="GU123" s="11"/>
      <c r="GV123" s="11"/>
    </row>
    <row r="124" spans="93:233" x14ac:dyDescent="0.55000000000000004">
      <c r="GR124" s="11"/>
      <c r="GS124" s="11"/>
      <c r="GT124" s="11"/>
      <c r="GU124" s="11"/>
      <c r="GV124" s="11"/>
    </row>
    <row r="125" spans="93:233" x14ac:dyDescent="0.55000000000000004">
      <c r="GR125" s="11"/>
      <c r="GS125" s="11"/>
      <c r="GT125" s="11"/>
      <c r="GU125" s="11"/>
      <c r="GV125" s="11"/>
    </row>
    <row r="126" spans="93:233" x14ac:dyDescent="0.55000000000000004">
      <c r="GR126" s="11"/>
      <c r="GS126" s="11"/>
      <c r="GT126" s="11"/>
      <c r="GU126" s="11"/>
      <c r="GV126" s="11"/>
    </row>
    <row r="127" spans="93:233" x14ac:dyDescent="0.55000000000000004">
      <c r="GR127" s="11"/>
      <c r="GS127" s="11"/>
      <c r="GT127" s="11"/>
      <c r="GU127" s="11"/>
      <c r="GV127" s="11"/>
    </row>
    <row r="128" spans="93:233" x14ac:dyDescent="0.55000000000000004">
      <c r="GR128" s="11"/>
      <c r="GS128" s="11"/>
      <c r="GT128" s="11"/>
      <c r="GU128" s="11"/>
      <c r="GV128" s="11"/>
    </row>
    <row r="129" spans="93:233" x14ac:dyDescent="0.55000000000000004">
      <c r="GR129" s="11"/>
      <c r="GS129" s="11"/>
      <c r="GT129" s="11"/>
      <c r="GU129" s="11"/>
      <c r="GV129" s="11"/>
    </row>
    <row r="130" spans="93:233" x14ac:dyDescent="0.55000000000000004">
      <c r="GR130" s="11"/>
      <c r="GS130" s="11"/>
      <c r="GT130" s="11"/>
      <c r="GU130" s="11"/>
      <c r="GV130" s="11"/>
    </row>
    <row r="131" spans="93:233" x14ac:dyDescent="0.55000000000000004">
      <c r="GR131" s="11"/>
      <c r="GS131" s="11"/>
      <c r="GT131" s="11"/>
      <c r="GU131" s="11"/>
      <c r="GV131" s="11"/>
    </row>
    <row r="132" spans="93:233" x14ac:dyDescent="0.55000000000000004">
      <c r="GR132" s="11"/>
      <c r="GS132" s="11"/>
      <c r="GT132" s="11"/>
      <c r="GU132" s="11"/>
      <c r="GV132" s="11"/>
    </row>
    <row r="133" spans="93:233" x14ac:dyDescent="0.55000000000000004">
      <c r="GR133" s="11"/>
      <c r="GS133" s="11"/>
      <c r="GT133" s="11"/>
      <c r="GU133" s="11"/>
      <c r="GV133" s="11"/>
    </row>
    <row r="134" spans="93:233" x14ac:dyDescent="0.55000000000000004">
      <c r="GR134" s="11"/>
      <c r="GS134" s="11"/>
      <c r="GT134" s="11"/>
      <c r="GU134" s="11"/>
      <c r="GV134" s="11"/>
    </row>
    <row r="135" spans="93:233" x14ac:dyDescent="0.55000000000000004">
      <c r="GR135" s="11"/>
      <c r="GS135" s="11"/>
      <c r="GT135" s="11"/>
      <c r="GU135" s="11"/>
      <c r="GV135" s="11"/>
    </row>
    <row r="136" spans="93:233" x14ac:dyDescent="0.55000000000000004">
      <c r="GR136" s="11"/>
      <c r="GS136" s="11"/>
      <c r="GT136" s="11"/>
      <c r="GU136" s="11"/>
      <c r="GV136" s="11"/>
    </row>
    <row r="137" spans="93:233" x14ac:dyDescent="0.55000000000000004">
      <c r="GR137" s="11"/>
      <c r="GS137" s="11"/>
      <c r="GT137" s="11"/>
      <c r="GU137" s="11"/>
      <c r="GV137" s="11"/>
    </row>
    <row r="138" spans="93:233" x14ac:dyDescent="0.55000000000000004">
      <c r="GR138" s="11"/>
      <c r="GS138" s="11"/>
      <c r="GT138" s="11"/>
      <c r="GU138" s="11"/>
      <c r="GV138" s="11"/>
    </row>
    <row r="139" spans="93:233" x14ac:dyDescent="0.55000000000000004">
      <c r="GR139" s="11"/>
      <c r="GS139" s="11"/>
      <c r="GT139" s="11"/>
      <c r="GU139" s="11"/>
      <c r="GV139" s="11"/>
    </row>
    <row r="140" spans="93:233" x14ac:dyDescent="0.55000000000000004">
      <c r="GR140" s="11"/>
      <c r="GS140" s="11"/>
      <c r="GT140" s="11"/>
      <c r="GU140" s="11"/>
      <c r="GV140" s="11"/>
    </row>
    <row r="141" spans="93:233" x14ac:dyDescent="0.55000000000000004">
      <c r="GR141" s="11"/>
      <c r="GS141" s="11"/>
      <c r="GT141" s="11"/>
      <c r="GU141" s="11"/>
      <c r="GV141" s="11"/>
    </row>
    <row r="142" spans="93:233" x14ac:dyDescent="0.55000000000000004">
      <c r="GR142" s="11"/>
      <c r="GS142" s="11"/>
      <c r="GT142" s="11"/>
      <c r="GU142" s="11"/>
      <c r="GV142" s="11"/>
    </row>
    <row r="143" spans="93:233" x14ac:dyDescent="0.55000000000000004">
      <c r="GR143" s="11"/>
      <c r="GS143" s="11"/>
      <c r="GT143" s="11"/>
      <c r="GU143" s="11"/>
      <c r="GV143" s="11"/>
    </row>
    <row r="144" spans="93:233" x14ac:dyDescent="0.55000000000000004">
      <c r="GR144" s="11"/>
      <c r="GS144" s="11"/>
      <c r="GT144" s="11"/>
      <c r="GU144" s="11"/>
      <c r="GV144" s="11"/>
    </row>
    <row r="145" spans="93:233" x14ac:dyDescent="0.55000000000000004">
      <c r="GR145" s="11"/>
      <c r="GS145" s="11"/>
      <c r="GT145" s="11"/>
      <c r="GU145" s="11"/>
      <c r="GV145" s="11"/>
    </row>
    <row r="146" spans="93:233" x14ac:dyDescent="0.55000000000000004">
      <c r="GR146" s="11"/>
      <c r="GS146" s="11"/>
      <c r="GT146" s="11"/>
      <c r="GU146" s="11"/>
      <c r="GV146" s="11"/>
    </row>
    <row r="147" spans="93:233" x14ac:dyDescent="0.55000000000000004"/>
    <row r="148" spans="93:233" x14ac:dyDescent="0.55000000000000004"/>
    <row r="149" spans="93:233" x14ac:dyDescent="0.55000000000000004"/>
    <row r="150" spans="93:233" x14ac:dyDescent="0.55000000000000004"/>
    <row r="151" spans="93:233" x14ac:dyDescent="0.55000000000000004"/>
    <row r="152" spans="93:233" x14ac:dyDescent="0.55000000000000004"/>
    <row r="153" spans="93:233" x14ac:dyDescent="0.55000000000000004"/>
    <row r="154" spans="93:233" x14ac:dyDescent="0.55000000000000004">
      <c r="EP154" t="s">
        <v>155</v>
      </c>
      <c r="EQ154" cm="1">
        <f t="array" ref="EQ154:FR171">_xlfn.LET(_xlpm.g,_xlfn.DROP(_xlfn.ANCHORARRAY($CO$4),1),_xlfn._xlws.FILTER(_xlpm.g,_xlfn.TAKE(_xlpm.g,,1)=4))</f>
      </c>
      <c r="GQ154" t="s">
        <v>169</v>
      </c>
      <c r="GR154" cm="1">
        <f t="array" aca="1" ref="GR154" ca="1">IFERROR(_xlfn.LET(_xlpm.R,_xlfn.ANCHORARRAY($GR$155),_xlpm.a,ABS(_xlpm.R),"k="&amp;$D$12&amp;"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154" cm="1">
        <f t="array" aca="1" ref="GS154" ca="1">IFERROR(_xlfn.LET(_xlpm.R,_xlfn.ANCHORARRAY($GS$155),_xlpm.a,ABS(_xlpm.R),"k="&amp;$D$28&amp;"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154" cm="1">
        <f t="array" aca="1" ref="GT154" ca="1">IFERROR(_xlfn.LET(_xlpm.R,_xlfn.ANCHORARRAY($GT$155),_xlpm.a,ABS(_xlpm.R),"k="&amp;$D$44&amp;"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154" cm="1">
        <f t="array" aca="1" ref="GU154" ca="1">IFERROR(_xlfn.LET(_xlpm.R,_xlfn.ANCHORARRAY($GU$155),_xlpm.a,ABS(_xlpm.R),"k="&amp;$D$60&amp;"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154" cm="1">
        <f t="array" aca="1" ref="GV154" ca="1">IFERROR(_xlfn.LET(_xlpm.R,_xlfn.ANCHORARRAY($GV$155),_xlpm.a,ABS(_xlpm.R),"k="&amp;$D$76&amp;"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154" t="s">
        <v>44</v>
      </c>
      <c r="GY154" t="s">
        <v>45</v>
      </c>
      <c r="GZ154" t="s">
        <v>46</v>
      </c>
      <c r="HA154" t="s">
        <v>47</v>
      </c>
      <c r="HB154" t="s">
        <v>48</v>
      </c>
      <c r="HD154" t="s">
        <v>174</v>
      </c>
      <c r="HE154">
        <f>"Actual / Mean / Recon (k="&amp;$D$108&amp;")  dashed: Mean ±1σ"</f>
      </c>
      <c r="HF154" t="s">
        <v>175</v>
      </c>
      <c r="HG154" t="s">
        <v>176</v>
      </c>
      <c r="HH154" t="s">
        <v>179</v>
      </c>
      <c r="HI154" t="s">
        <v>180</v>
      </c>
      <c r="HJ154" t="s">
        <v>181</v>
      </c>
      <c r="HK154" t="s">
        <v>182</v>
      </c>
      <c r="HL154" t="s">
        <v>183</v>
      </c>
      <c r="HM154" t="s">
        <v>184</v>
      </c>
      <c r="HN154" t="s">
        <v>185</v>
      </c>
      <c r="HO154" t="s">
        <v>186</v>
      </c>
      <c r="HP154" t="s">
        <v>187</v>
      </c>
      <c r="HQ154" t="s">
        <v>188</v>
      </c>
      <c r="HR154" t="s">
        <v>189</v>
      </c>
    </row>
    <row r="155" spans="93:233" x14ac:dyDescent="0.55000000000000004">
      <c r="GQ155" cm="1">
        <f t="array" aca="1" ref="GQ155:GQ172" ca="1">IF($Z$6="Change",_xlfn.ANCHORARRAY($CJ$4),_xlfn.ANCHORARRAY($CI$4))</f>
      </c>
      <c r="GR155" s="11" cm="1">
        <f t="array" aca="1" ref="GR155:GR172" ca="1">_xlfn.LET(_xlpm.sl,_xlfn.ANCHORARRAY($EQ$154),_xlpm.mu,_xlfn.CHOOSECOLS(_xlpm.sl,8),_xlpm.sg,_xlfn.CHOOSECOLS(_xlpm.sl,9),_xlpm.x,_xlfn.ANCHORARRAY($GQ$155),_xlpm.V,_xlfn.TAKE(_xlfn.DROP(_xlpm.sl,,10),,$D$12),(_xlpm.x-(_xlpm.mu+_xlpm.sg*MMULT(_xlpm.V,MMULT(TRANSPOSE(_xlpm.V),(_xlpm.x-_xlpm.mu)/_xlpm.sg))))*100)</f>
      </c>
      <c r="GS155" s="11" cm="1">
        <f t="array" aca="1" ref="GS155:GS172" ca="1">_xlfn.LET(_xlpm.sl,_xlfn.ANCHORARRAY($EQ$154),_xlpm.mu,_xlfn.CHOOSECOLS(_xlpm.sl,8),_xlpm.sg,_xlfn.CHOOSECOLS(_xlpm.sl,9),_xlpm.x,_xlfn.ANCHORARRAY($GQ$155),_xlpm.V,_xlfn.TAKE(_xlfn.DROP(_xlpm.sl,,10),,$D$28),(_xlpm.x-(_xlpm.mu+_xlpm.sg*MMULT(_xlpm.V,MMULT(TRANSPOSE(_xlpm.V),(_xlpm.x-_xlpm.mu)/_xlpm.sg))))*100)</f>
      </c>
      <c r="GT155" s="11" cm="1">
        <f t="array" aca="1" ref="GT155:GT172" ca="1">_xlfn.LET(_xlpm.sl,_xlfn.ANCHORARRAY($EQ$154),_xlpm.mu,_xlfn.CHOOSECOLS(_xlpm.sl,8),_xlpm.sg,_xlfn.CHOOSECOLS(_xlpm.sl,9),_xlpm.x,_xlfn.ANCHORARRAY($GQ$155),_xlpm.V,_xlfn.TAKE(_xlfn.DROP(_xlpm.sl,,10),,$D$44),(_xlpm.x-(_xlpm.mu+_xlpm.sg*MMULT(_xlpm.V,MMULT(TRANSPOSE(_xlpm.V),(_xlpm.x-_xlpm.mu)/_xlpm.sg))))*100)</f>
      </c>
      <c r="GU155" s="11" cm="1">
        <f t="array" aca="1" ref="GU155:GU172" ca="1">_xlfn.LET(_xlpm.sl,_xlfn.ANCHORARRAY($EQ$154),_xlpm.mu,_xlfn.CHOOSECOLS(_xlpm.sl,8),_xlpm.sg,_xlfn.CHOOSECOLS(_xlpm.sl,9),_xlpm.x,_xlfn.ANCHORARRAY($GQ$155),_xlpm.V,_xlfn.TAKE(_xlfn.DROP(_xlpm.sl,,10),,$D$60),(_xlpm.x-(_xlpm.mu+_xlpm.sg*MMULT(_xlpm.V,MMULT(TRANSPOSE(_xlpm.V),(_xlpm.x-_xlpm.mu)/_xlpm.sg))))*100)</f>
      </c>
      <c r="GV155" s="11" cm="1">
        <f t="array" aca="1" ref="GV155:GV172" ca="1">_xlfn.LET(_xlpm.sl,_xlfn.ANCHORARRAY($EQ$154),_xlpm.mu,_xlfn.CHOOSECOLS(_xlpm.sl,8),_xlpm.sg,_xlfn.CHOOSECOLS(_xlpm.sl,9),_xlpm.x,_xlfn.ANCHORARRAY($GQ$155),_xlpm.V,_xlfn.TAKE(_xlfn.DROP(_xlpm.sl,,10),,$D$76),(_xlpm.x-(_xlpm.mu+_xlpm.sg*MMULT(_xlpm.V,MMULT(TRANSPOSE(_xlpm.V),(_xlpm.x-_xlpm.mu)/_xlpm.sg))))*100)</f>
      </c>
      <c r="GX155" cm="1">
        <f t="array" ref="GX155:GX172">_xlfn.LET(_xlpm.V,_xlfn.DROP(_xlfn.ANCHORARRAY($EQ$154),,10),IF(1&lt;=COLUMNS(_xlpm.V),_xlfn.CHOOSECOLS(_xlpm.V,1),IF(_xlfn.SEQUENCE(ROWS(_xlpm.V)),NA())))</f>
      </c>
      <c r="GY155" cm="1">
        <f t="array" ref="GY155:GY172">_xlfn.LET(_xlpm.V,_xlfn.DROP(_xlfn.ANCHORARRAY($EQ$154),,10),IF(2&lt;=COLUMNS(_xlpm.V),_xlfn.CHOOSECOLS(_xlpm.V,2),IF(_xlfn.SEQUENCE(ROWS(_xlpm.V)),NA())))</f>
      </c>
      <c r="GZ155" cm="1">
        <f t="array" ref="GZ155:GZ172">_xlfn.LET(_xlpm.V,_xlfn.DROP(_xlfn.ANCHORARRAY($EQ$154),,10),IF(3&lt;=COLUMNS(_xlpm.V),_xlfn.CHOOSECOLS(_xlpm.V,3),IF(_xlfn.SEQUENCE(ROWS(_xlpm.V)),NA())))</f>
      </c>
      <c r="HA155" cm="1">
        <f t="array" ref="HA155:HA172">_xlfn.LET(_xlpm.V,_xlfn.DROP(_xlfn.ANCHORARRAY($EQ$154),,10),IF(4&lt;=COLUMNS(_xlpm.V),_xlfn.CHOOSECOLS(_xlpm.V,4),IF(_xlfn.SEQUENCE(ROWS(_xlpm.V)),NA())))</f>
      </c>
      <c r="HB155" cm="1">
        <f t="array" ref="HB155:HB172">_xlfn.LET(_xlpm.V,_xlfn.DROP(_xlfn.ANCHORARRAY($EQ$154),,10),IF(5&lt;=COLUMNS(_xlpm.V),_xlfn.CHOOSECOLS(_xlpm.V,5),IF(_xlfn.SEQUENCE(ROWS(_xlpm.V)),NA())))</f>
      </c>
      <c r="HD155" cm="1">
        <f t="array" ref="HD155:HD172">_xlfn.CHOOSECOLS(_xlfn.ANCHORARRAY($EQ$154),8)</f>
      </c>
      <c r="HE155" cm="1">
        <f t="array" aca="1" ref="HE155:HE172" ca="1">_xlfn.LET(_xlpm.sl,_xlfn.ANCHORARRAY($EQ$154),_xlpm.mu,_xlfn.CHOOSECOLS(_xlpm.sl,8),_xlpm.sg,_xlfn.CHOOSECOLS(_xlpm.sl,9),_xlpm.x,_xlfn.ANCHORARRAY($GQ$155),_xlpm.V,_xlfn.TAKE(_xlfn.DROP(_xlpm.sl,,10),,$D$108),_xlpm.mu+_xlpm.sg*MMULT(_xlpm.V,MMULT(TRANSPOSE(_xlpm.V),(_xlpm.x-_xlpm.mu)/_xlpm.sg)))</f>
      </c>
      <c r="HF155" cm="1">
        <f t="array" ref="HF155:HF172">_xlfn.CHOOSECOLS(_xlfn.ANCHORARRAY($EQ$154),8)+_xlfn.CHOOSECOLS(_xlfn.ANCHORARRAY($EQ$154),10)</f>
      </c>
      <c r="HG155" cm="1">
        <f t="array" ref="HG155:HG172">_xlfn.CHOOSECOLS(_xlfn.ANCHORARRAY($EQ$154),8)-_xlfn.CHOOSECOLS(_xlfn.ANCHORARRAY($EQ$154),10)</f>
      </c>
      <c r="HH155" cm="1">
        <f t="array" ref="HH155:HH172">_xlfn.LET(_xlpm.v,_xlfn.CHOOSECOLS(_xlfn._xlws.FILTER(_xlfn.DROP(_xlfn.ANCHORARRAY($HS$4),1),_xlfn.TAKE(_xlfn.DROP(_xlfn.ANCHORARRAY($HS$4),1),,1)=4),3),IF(_xlpm.v="",NA(),_xlpm.v))</f>
      </c>
      <c r="HI155" cm="1">
        <f t="array" ref="HI155:HI172">-_xlfn.ANCHORARRAY($HH$155)</f>
      </c>
      <c r="HJ155" cm="1">
        <f t="array" ref="HJ155:HJ172">_xlfn.LET(_xlpm.v,_xlfn.CHOOSECOLS(_xlfn._xlws.FILTER(_xlfn.DROP(_xlfn.ANCHORARRAY($HS$4),1),_xlfn.TAKE(_xlfn.DROP(_xlfn.ANCHORARRAY($HS$4),1),,1)=4),4),IF(_xlpm.v="",NA(),_xlpm.v))</f>
      </c>
      <c r="HK155" cm="1">
        <f t="array" ref="HK155:HK172">-_xlfn.ANCHORARRAY($HJ$155)</f>
      </c>
      <c r="HL155" cm="1">
        <f t="array" ref="HL155:HL172">_xlfn.LET(_xlpm.v,_xlfn.CHOOSECOLS(_xlfn._xlws.FILTER(_xlfn.DROP(_xlfn.ANCHORARRAY($HS$4),1),_xlfn.TAKE(_xlfn.DROP(_xlfn.ANCHORARRAY($HS$4),1),,1)=4),5),IF(_xlpm.v="",NA(),_xlpm.v))</f>
      </c>
      <c r="HM155" cm="1">
        <f t="array" ref="HM155:HM172">-_xlfn.ANCHORARRAY($HL$155)</f>
      </c>
      <c r="HN155" cm="1">
        <f t="array" ref="HN155:HN172">_xlfn.LET(_xlpm.v,_xlfn.CHOOSECOLS(_xlfn._xlws.FILTER(_xlfn.DROP(_xlfn.ANCHORARRAY($HS$4),1),_xlfn.TAKE(_xlfn.DROP(_xlfn.ANCHORARRAY($HS$4),1),,1)=4),6),IF(_xlpm.v="",NA(),_xlpm.v))</f>
      </c>
      <c r="HO155" cm="1">
        <f t="array" ref="HO155:HO172">-_xlfn.ANCHORARRAY($HN$155)</f>
      </c>
      <c r="HP155" cm="1">
        <f t="array" ref="HP155:HP172">_xlfn.LET(_xlpm.v,_xlfn.CHOOSECOLS(_xlfn._xlws.FILTER(_xlfn.DROP(_xlfn.ANCHORARRAY($HS$4),1),_xlfn.TAKE(_xlfn.DROP(_xlfn.ANCHORARRAY($HS$4),1),,1)=4),7),IF(_xlpm.v="",NA(),_xlpm.v))</f>
      </c>
      <c r="HQ155" cm="1">
        <f t="array" ref="HQ155:HQ172">-_xlfn.ANCHORARRAY($HP$155)</f>
      </c>
      <c r="HR155" cm="1">
        <f t="array" ref="HR155">IFERROR(INDEX(_xlfn._xlws.FILTER(_xlfn.DROP(_xlfn.ANCHORARRAY($HS$4),1),_xlfn.TAKE(_xlfn.DROP(_xlfn.ANCHORARRAY($HS$4),1),,1)=4),1,2),"")</f>
      </c>
    </row>
    <row r="156" spans="93:233" x14ac:dyDescent="0.55000000000000004">
      <c r="GQ156">
        <f ca="1"/>
      </c>
      <c r="GR156" s="11">
        <f ca="1"/>
      </c>
      <c r="GS156" s="11">
        <f ca="1"/>
      </c>
      <c r="GT156" s="11">
        <f ca="1"/>
      </c>
      <c r="GU156" s="11">
        <f ca="1"/>
      </c>
      <c r="GV156" s="11">
        <f ca="1"/>
      </c>
      <c r="HE156">
        <f ca="1"/>
      </c>
    </row>
    <row r="157" spans="93:233" x14ac:dyDescent="0.55000000000000004">
      <c r="GQ157">
        <f ca="1"/>
      </c>
      <c r="GR157" s="11">
        <f ca="1"/>
      </c>
      <c r="GS157" s="11">
        <f ca="1"/>
      </c>
      <c r="GT157" s="11">
        <f ca="1"/>
      </c>
      <c r="GU157" s="11">
        <f ca="1"/>
      </c>
      <c r="GV157" s="11">
        <f ca="1"/>
      </c>
      <c r="HE157">
        <f ca="1"/>
      </c>
    </row>
    <row r="158" spans="93:233" x14ac:dyDescent="0.55000000000000004">
      <c r="GQ158">
        <f ca="1"/>
      </c>
      <c r="GR158" s="11">
        <f ca="1"/>
      </c>
      <c r="GS158" s="11">
        <f ca="1"/>
      </c>
      <c r="GT158" s="11">
        <f ca="1"/>
      </c>
      <c r="GU158" s="11">
        <f ca="1"/>
      </c>
      <c r="GV158" s="11">
        <f ca="1"/>
      </c>
      <c r="HE158">
        <f ca="1"/>
      </c>
    </row>
    <row r="159" spans="93:233" x14ac:dyDescent="0.55000000000000004">
      <c r="GQ159">
        <f ca="1"/>
      </c>
      <c r="GR159" s="11">
        <f ca="1"/>
      </c>
      <c r="GS159" s="11">
        <f ca="1"/>
      </c>
      <c r="GT159" s="11">
        <f ca="1"/>
      </c>
      <c r="GU159" s="11">
        <f ca="1"/>
      </c>
      <c r="GV159" s="11">
        <f ca="1"/>
      </c>
      <c r="HE159">
        <f ca="1"/>
      </c>
    </row>
    <row r="160" spans="93:233" x14ac:dyDescent="0.55000000000000004">
      <c r="GQ160">
        <f ca="1"/>
      </c>
      <c r="GR160" s="11">
        <f ca="1"/>
      </c>
      <c r="GS160" s="11">
        <f ca="1"/>
      </c>
      <c r="GT160" s="11">
        <f ca="1"/>
      </c>
      <c r="GU160" s="11">
        <f ca="1"/>
      </c>
      <c r="GV160" s="11">
        <f ca="1"/>
      </c>
      <c r="HE160">
        <f ca="1"/>
      </c>
    </row>
    <row r="161" spans="93:233" x14ac:dyDescent="0.55000000000000004">
      <c r="GQ161">
        <f ca="1"/>
      </c>
      <c r="GR161" s="11">
        <f ca="1"/>
      </c>
      <c r="GS161" s="11">
        <f ca="1"/>
      </c>
      <c r="GT161" s="11">
        <f ca="1"/>
      </c>
      <c r="GU161" s="11">
        <f ca="1"/>
      </c>
      <c r="GV161" s="11">
        <f ca="1"/>
      </c>
      <c r="HE161">
        <f ca="1"/>
      </c>
    </row>
    <row r="162" spans="93:233" x14ac:dyDescent="0.55000000000000004">
      <c r="GQ162">
        <f ca="1"/>
      </c>
      <c r="GR162" s="11">
        <f ca="1"/>
      </c>
      <c r="GS162" s="11">
        <f ca="1"/>
      </c>
      <c r="GT162" s="11">
        <f ca="1"/>
      </c>
      <c r="GU162" s="11">
        <f ca="1"/>
      </c>
      <c r="GV162" s="11">
        <f ca="1"/>
      </c>
      <c r="HE162">
        <f ca="1"/>
      </c>
    </row>
    <row r="163" spans="93:233" x14ac:dyDescent="0.55000000000000004">
      <c r="GQ163">
        <f ca="1"/>
      </c>
      <c r="GR163" s="11">
        <f ca="1"/>
      </c>
      <c r="GS163" s="11">
        <f ca="1"/>
      </c>
      <c r="GT163" s="11">
        <f ca="1"/>
      </c>
      <c r="GU163" s="11">
        <f ca="1"/>
      </c>
      <c r="GV163" s="11">
        <f ca="1"/>
      </c>
      <c r="HE163">
        <f ca="1"/>
      </c>
    </row>
    <row r="164" spans="93:233" x14ac:dyDescent="0.55000000000000004">
      <c r="GQ164">
        <f ca="1"/>
      </c>
      <c r="GR164" s="11">
        <f ca="1"/>
      </c>
      <c r="GS164" s="11">
        <f ca="1"/>
      </c>
      <c r="GT164" s="11">
        <f ca="1"/>
      </c>
      <c r="GU164" s="11">
        <f ca="1"/>
      </c>
      <c r="GV164" s="11">
        <f ca="1"/>
      </c>
      <c r="HE164">
        <f ca="1"/>
      </c>
    </row>
    <row r="165" spans="93:233" x14ac:dyDescent="0.55000000000000004">
      <c r="GQ165">
        <f ca="1"/>
      </c>
      <c r="GR165" s="11">
        <f ca="1"/>
      </c>
      <c r="GS165" s="11">
        <f ca="1"/>
      </c>
      <c r="GT165" s="11">
        <f ca="1"/>
      </c>
      <c r="GU165" s="11">
        <f ca="1"/>
      </c>
      <c r="GV165" s="11">
        <f ca="1"/>
      </c>
      <c r="HE165">
        <f ca="1"/>
      </c>
    </row>
    <row r="166" spans="93:233" x14ac:dyDescent="0.55000000000000004">
      <c r="GQ166">
        <f ca="1"/>
      </c>
      <c r="GR166" s="11">
        <f ca="1"/>
      </c>
      <c r="GS166" s="11">
        <f ca="1"/>
      </c>
      <c r="GT166" s="11">
        <f ca="1"/>
      </c>
      <c r="GU166" s="11">
        <f ca="1"/>
      </c>
      <c r="GV166" s="11">
        <f ca="1"/>
      </c>
      <c r="HE166">
        <f ca="1"/>
      </c>
    </row>
    <row r="167" spans="93:233" x14ac:dyDescent="0.55000000000000004">
      <c r="GQ167">
        <f ca="1"/>
      </c>
      <c r="GR167" s="11">
        <f ca="1"/>
      </c>
      <c r="GS167" s="11">
        <f ca="1"/>
      </c>
      <c r="GT167" s="11">
        <f ca="1"/>
      </c>
      <c r="GU167" s="11">
        <f ca="1"/>
      </c>
      <c r="GV167" s="11">
        <f ca="1"/>
      </c>
      <c r="HE167">
        <f ca="1"/>
      </c>
    </row>
    <row r="168" spans="93:233" x14ac:dyDescent="0.55000000000000004">
      <c r="GQ168">
        <f ca="1"/>
      </c>
      <c r="GR168" s="11">
        <f ca="1"/>
      </c>
      <c r="GS168" s="11">
        <f ca="1"/>
      </c>
      <c r="GT168" s="11">
        <f ca="1"/>
      </c>
      <c r="GU168" s="11">
        <f ca="1"/>
      </c>
      <c r="GV168" s="11">
        <f ca="1"/>
      </c>
      <c r="HE168">
        <f ca="1"/>
      </c>
    </row>
    <row r="169" spans="93:233" x14ac:dyDescent="0.55000000000000004">
      <c r="GQ169">
        <f ca="1"/>
      </c>
      <c r="GR169" s="11">
        <f ca="1"/>
      </c>
      <c r="GS169" s="11">
        <f ca="1"/>
      </c>
      <c r="GT169" s="11">
        <f ca="1"/>
      </c>
      <c r="GU169" s="11">
        <f ca="1"/>
      </c>
      <c r="GV169" s="11">
        <f ca="1"/>
      </c>
      <c r="HE169">
        <f ca="1"/>
      </c>
    </row>
    <row r="170" spans="93:233" x14ac:dyDescent="0.55000000000000004">
      <c r="GQ170">
        <f ca="1"/>
      </c>
      <c r="GR170" s="11">
        <f ca="1"/>
      </c>
      <c r="GS170" s="11">
        <f ca="1"/>
      </c>
      <c r="GT170" s="11">
        <f ca="1"/>
      </c>
      <c r="GU170" s="11">
        <f ca="1"/>
      </c>
      <c r="GV170" s="11">
        <f ca="1"/>
      </c>
      <c r="HE170">
        <f ca="1"/>
      </c>
    </row>
    <row r="171" spans="93:233" x14ac:dyDescent="0.55000000000000004">
      <c r="GQ171">
        <f ca="1"/>
      </c>
      <c r="GR171" s="11">
        <f ca="1"/>
      </c>
      <c r="GS171" s="11">
        <f ca="1"/>
      </c>
      <c r="GT171" s="11">
        <f ca="1"/>
      </c>
      <c r="GU171" s="11">
        <f ca="1"/>
      </c>
      <c r="GV171" s="11">
        <f ca="1"/>
      </c>
      <c r="HE171">
        <f ca="1"/>
      </c>
    </row>
    <row r="172" spans="93:233" x14ac:dyDescent="0.55000000000000004">
      <c r="GQ172">
        <f ca="1"/>
      </c>
      <c r="GR172" s="11">
        <f ca="1"/>
      </c>
      <c r="GS172" s="11">
        <f ca="1"/>
      </c>
      <c r="GT172" s="11">
        <f ca="1"/>
      </c>
      <c r="GU172" s="11">
        <f ca="1"/>
      </c>
      <c r="GV172" s="11">
        <f ca="1"/>
      </c>
      <c r="HE172">
        <f ca="1"/>
      </c>
    </row>
    <row r="173" spans="93:233" x14ac:dyDescent="0.55000000000000004">
      <c r="GR173" s="11"/>
      <c r="GS173" s="11"/>
      <c r="GT173" s="11"/>
      <c r="GU173" s="11"/>
      <c r="GV173" s="11"/>
    </row>
    <row r="174" spans="93:233" x14ac:dyDescent="0.55000000000000004">
      <c r="GR174" s="11"/>
      <c r="GS174" s="11"/>
      <c r="GT174" s="11"/>
      <c r="GU174" s="11"/>
      <c r="GV174" s="11"/>
    </row>
    <row r="175" spans="93:233" x14ac:dyDescent="0.55000000000000004">
      <c r="GR175" s="11"/>
      <c r="GS175" s="11"/>
      <c r="GT175" s="11"/>
      <c r="GU175" s="11"/>
      <c r="GV175" s="11"/>
    </row>
    <row r="176" spans="93:233" x14ac:dyDescent="0.55000000000000004">
      <c r="GR176" s="11"/>
      <c r="GS176" s="11"/>
      <c r="GT176" s="11"/>
      <c r="GU176" s="11"/>
      <c r="GV176" s="11"/>
    </row>
    <row r="177" spans="93:233" x14ac:dyDescent="0.55000000000000004">
      <c r="GR177" s="11"/>
      <c r="GS177" s="11"/>
      <c r="GT177" s="11"/>
      <c r="GU177" s="11"/>
      <c r="GV177" s="11"/>
    </row>
    <row r="178" spans="93:233" x14ac:dyDescent="0.55000000000000004">
      <c r="GR178" s="11"/>
      <c r="GS178" s="11"/>
      <c r="GT178" s="11"/>
      <c r="GU178" s="11"/>
      <c r="GV178" s="11"/>
    </row>
    <row r="179" spans="93:233" x14ac:dyDescent="0.55000000000000004">
      <c r="GR179" s="11"/>
      <c r="GS179" s="11"/>
      <c r="GT179" s="11"/>
      <c r="GU179" s="11"/>
      <c r="GV179" s="11"/>
    </row>
    <row r="180" spans="93:233" x14ac:dyDescent="0.55000000000000004">
      <c r="GR180" s="11"/>
      <c r="GS180" s="11"/>
      <c r="GT180" s="11"/>
      <c r="GU180" s="11"/>
      <c r="GV180" s="11"/>
    </row>
    <row r="181" spans="93:233" x14ac:dyDescent="0.55000000000000004">
      <c r="GR181" s="11"/>
      <c r="GS181" s="11"/>
      <c r="GT181" s="11"/>
      <c r="GU181" s="11"/>
      <c r="GV181" s="11"/>
    </row>
    <row r="182" spans="93:233" x14ac:dyDescent="0.55000000000000004">
      <c r="GR182" s="11"/>
      <c r="GS182" s="11"/>
      <c r="GT182" s="11"/>
      <c r="GU182" s="11"/>
      <c r="GV182" s="11"/>
    </row>
    <row r="183" spans="93:233" x14ac:dyDescent="0.55000000000000004">
      <c r="GR183" s="11"/>
      <c r="GS183" s="11"/>
      <c r="GT183" s="11"/>
      <c r="GU183" s="11"/>
      <c r="GV183" s="11"/>
    </row>
    <row r="184" spans="93:233" x14ac:dyDescent="0.55000000000000004">
      <c r="GR184" s="11"/>
      <c r="GS184" s="11"/>
      <c r="GT184" s="11"/>
      <c r="GU184" s="11"/>
      <c r="GV184" s="11"/>
    </row>
    <row r="185" spans="93:233" x14ac:dyDescent="0.55000000000000004">
      <c r="GR185" s="11"/>
      <c r="GS185" s="11"/>
      <c r="GT185" s="11"/>
      <c r="GU185" s="11"/>
      <c r="GV185" s="11"/>
    </row>
    <row r="186" spans="93:233" x14ac:dyDescent="0.55000000000000004">
      <c r="GR186" s="11"/>
      <c r="GS186" s="11"/>
      <c r="GT186" s="11"/>
      <c r="GU186" s="11"/>
      <c r="GV186" s="11"/>
    </row>
    <row r="187" spans="93:233" x14ac:dyDescent="0.55000000000000004">
      <c r="GR187" s="11"/>
      <c r="GS187" s="11"/>
      <c r="GT187" s="11"/>
      <c r="GU187" s="11"/>
      <c r="GV187" s="11"/>
    </row>
    <row r="188" spans="93:233" x14ac:dyDescent="0.55000000000000004">
      <c r="GR188" s="11"/>
      <c r="GS188" s="11"/>
      <c r="GT188" s="11"/>
      <c r="GU188" s="11"/>
      <c r="GV188" s="11"/>
    </row>
    <row r="189" spans="93:233" x14ac:dyDescent="0.55000000000000004">
      <c r="GR189" s="11"/>
      <c r="GS189" s="11"/>
      <c r="GT189" s="11"/>
      <c r="GU189" s="11"/>
      <c r="GV189" s="11"/>
    </row>
    <row r="190" spans="93:233" x14ac:dyDescent="0.55000000000000004">
      <c r="GR190" s="11"/>
      <c r="GS190" s="11"/>
      <c r="GT190" s="11"/>
      <c r="GU190" s="11"/>
      <c r="GV190" s="11"/>
    </row>
    <row r="191" spans="93:233" x14ac:dyDescent="0.55000000000000004">
      <c r="GR191" s="11"/>
      <c r="GS191" s="11"/>
      <c r="GT191" s="11"/>
      <c r="GU191" s="11"/>
      <c r="GV191" s="11"/>
    </row>
    <row r="192" spans="93:233" x14ac:dyDescent="0.55000000000000004">
      <c r="GR192" s="11"/>
      <c r="GS192" s="11"/>
      <c r="GT192" s="11"/>
      <c r="GU192" s="11"/>
      <c r="GV192" s="11"/>
    </row>
    <row r="193" spans="146:226" x14ac:dyDescent="0.55000000000000004">
      <c r="GR193" s="11"/>
      <c r="GS193" s="11"/>
      <c r="GT193" s="11"/>
      <c r="GU193" s="11"/>
      <c r="GV193" s="11"/>
    </row>
    <row r="194" spans="146:226" x14ac:dyDescent="0.55000000000000004">
      <c r="GR194" s="11"/>
      <c r="GS194" s="11"/>
      <c r="GT194" s="11"/>
      <c r="GU194" s="11"/>
      <c r="GV194" s="11"/>
    </row>
    <row r="195" spans="146:226" x14ac:dyDescent="0.55000000000000004">
      <c r="GR195" s="11"/>
      <c r="GS195" s="11"/>
      <c r="GT195" s="11"/>
      <c r="GU195" s="11"/>
      <c r="GV195" s="11"/>
    </row>
    <row r="196" spans="146:226" x14ac:dyDescent="0.55000000000000004">
      <c r="GR196" s="11"/>
      <c r="GS196" s="11"/>
      <c r="GT196" s="11"/>
      <c r="GU196" s="11"/>
      <c r="GV196" s="11"/>
    </row>
    <row r="204" spans="146:226" x14ac:dyDescent="0.55000000000000004">
      <c r="EP204" t="s">
        <v>156</v>
      </c>
      <c r="EQ204" cm="1">
        <f t="array" ref="EQ204:FR221">_xlfn.LET(_xlpm.g,_xlfn.DROP(_xlfn.ANCHORARRAY($CO$4),1),_xlfn._xlws.FILTER(_xlpm.g,_xlfn.TAKE(_xlpm.g,,1)=5))</f>
      </c>
      <c r="GQ204" t="s">
        <v>169</v>
      </c>
      <c r="GR204" cm="1">
        <f t="array" aca="1" ref="GR204" ca="1">IFERROR(_xlfn.LET(_xlpm.R,_xlfn.ANCHORARRAY($GR$205),_xlpm.a,ABS(_xlpm.R),"k="&amp;$D$12&amp;"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04" cm="1">
        <f t="array" aca="1" ref="GS204" ca="1">IFERROR(_xlfn.LET(_xlpm.R,_xlfn.ANCHORARRAY($GS$205),_xlpm.a,ABS(_xlpm.R),"k="&amp;$D$28&amp;"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04" cm="1">
        <f t="array" aca="1" ref="GT204" ca="1">IFERROR(_xlfn.LET(_xlpm.R,_xlfn.ANCHORARRAY($GT$205),_xlpm.a,ABS(_xlpm.R),"k="&amp;$D$44&amp;"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04" cm="1">
        <f t="array" aca="1" ref="GU204" ca="1">IFERROR(_xlfn.LET(_xlpm.R,_xlfn.ANCHORARRAY($GU$205),_xlpm.a,ABS(_xlpm.R),"k="&amp;$D$60&amp;"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04" cm="1">
        <f t="array" aca="1" ref="GV204" ca="1">IFERROR(_xlfn.LET(_xlpm.R,_xlfn.ANCHORARRAY($GV$205),_xlpm.a,ABS(_xlpm.R),"k="&amp;$D$76&amp;"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04" t="s">
        <v>44</v>
      </c>
      <c r="GY204" t="s">
        <v>45</v>
      </c>
      <c r="GZ204" t="s">
        <v>46</v>
      </c>
      <c r="HA204" t="s">
        <v>47</v>
      </c>
      <c r="HB204" t="s">
        <v>48</v>
      </c>
      <c r="HD204" t="s">
        <v>174</v>
      </c>
      <c r="HE204">
        <f>"Actual / Mean / Recon (k="&amp;$D$108&amp;")  dashed: Mean ±1σ"</f>
      </c>
      <c r="HF204" t="s">
        <v>175</v>
      </c>
      <c r="HG204" t="s">
        <v>176</v>
      </c>
      <c r="HH204" t="s">
        <v>179</v>
      </c>
      <c r="HI204" t="s">
        <v>180</v>
      </c>
      <c r="HJ204" t="s">
        <v>181</v>
      </c>
      <c r="HK204" t="s">
        <v>182</v>
      </c>
      <c r="HL204" t="s">
        <v>183</v>
      </c>
      <c r="HM204" t="s">
        <v>184</v>
      </c>
      <c r="HN204" t="s">
        <v>185</v>
      </c>
      <c r="HO204" t="s">
        <v>186</v>
      </c>
      <c r="HP204" t="s">
        <v>187</v>
      </c>
      <c r="HQ204" t="s">
        <v>188</v>
      </c>
      <c r="HR204" t="s">
        <v>189</v>
      </c>
    </row>
    <row r="205" spans="146:226" x14ac:dyDescent="0.55000000000000004">
      <c r="GQ205" cm="1">
        <f t="array" aca="1" ref="GQ205:GQ222" ca="1">IF($AG$6="Change",_xlfn.ANCHORARRAY($CJ$4),_xlfn.ANCHORARRAY($CI$4))</f>
      </c>
      <c r="GR205" s="11" cm="1">
        <f t="array" aca="1" ref="GR205:GR222" ca="1">_xlfn.LET(_xlpm.sl,_xlfn.ANCHORARRAY($EQ$204),_xlpm.mu,_xlfn.CHOOSECOLS(_xlpm.sl,8),_xlpm.sg,_xlfn.CHOOSECOLS(_xlpm.sl,9),_xlpm.x,_xlfn.ANCHORARRAY($GQ$205),_xlpm.V,_xlfn.TAKE(_xlfn.DROP(_xlpm.sl,,10),,$D$12),(_xlpm.x-(_xlpm.mu+_xlpm.sg*MMULT(_xlpm.V,MMULT(TRANSPOSE(_xlpm.V),(_xlpm.x-_xlpm.mu)/_xlpm.sg))))*100)</f>
      </c>
      <c r="GS205" s="11" cm="1">
        <f t="array" aca="1" ref="GS205:GS222" ca="1">_xlfn.LET(_xlpm.sl,_xlfn.ANCHORARRAY($EQ$204),_xlpm.mu,_xlfn.CHOOSECOLS(_xlpm.sl,8),_xlpm.sg,_xlfn.CHOOSECOLS(_xlpm.sl,9),_xlpm.x,_xlfn.ANCHORARRAY($GQ$205),_xlpm.V,_xlfn.TAKE(_xlfn.DROP(_xlpm.sl,,10),,$D$28),(_xlpm.x-(_xlpm.mu+_xlpm.sg*MMULT(_xlpm.V,MMULT(TRANSPOSE(_xlpm.V),(_xlpm.x-_xlpm.mu)/_xlpm.sg))))*100)</f>
      </c>
      <c r="GT205" s="11" cm="1">
        <f t="array" aca="1" ref="GT205:GT222" ca="1">_xlfn.LET(_xlpm.sl,_xlfn.ANCHORARRAY($EQ$204),_xlpm.mu,_xlfn.CHOOSECOLS(_xlpm.sl,8),_xlpm.sg,_xlfn.CHOOSECOLS(_xlpm.sl,9),_xlpm.x,_xlfn.ANCHORARRAY($GQ$205),_xlpm.V,_xlfn.TAKE(_xlfn.DROP(_xlpm.sl,,10),,$D$44),(_xlpm.x-(_xlpm.mu+_xlpm.sg*MMULT(_xlpm.V,MMULT(TRANSPOSE(_xlpm.V),(_xlpm.x-_xlpm.mu)/_xlpm.sg))))*100)</f>
      </c>
      <c r="GU205" s="11" cm="1">
        <f t="array" aca="1" ref="GU205:GU222" ca="1">_xlfn.LET(_xlpm.sl,_xlfn.ANCHORARRAY($EQ$204),_xlpm.mu,_xlfn.CHOOSECOLS(_xlpm.sl,8),_xlpm.sg,_xlfn.CHOOSECOLS(_xlpm.sl,9),_xlpm.x,_xlfn.ANCHORARRAY($GQ$205),_xlpm.V,_xlfn.TAKE(_xlfn.DROP(_xlpm.sl,,10),,$D$60),(_xlpm.x-(_xlpm.mu+_xlpm.sg*MMULT(_xlpm.V,MMULT(TRANSPOSE(_xlpm.V),(_xlpm.x-_xlpm.mu)/_xlpm.sg))))*100)</f>
      </c>
      <c r="GV205" s="11" cm="1">
        <f t="array" aca="1" ref="GV205:GV222" ca="1">_xlfn.LET(_xlpm.sl,_xlfn.ANCHORARRAY($EQ$204),_xlpm.mu,_xlfn.CHOOSECOLS(_xlpm.sl,8),_xlpm.sg,_xlfn.CHOOSECOLS(_xlpm.sl,9),_xlpm.x,_xlfn.ANCHORARRAY($GQ$205),_xlpm.V,_xlfn.TAKE(_xlfn.DROP(_xlpm.sl,,10),,$D$76),(_xlpm.x-(_xlpm.mu+_xlpm.sg*MMULT(_xlpm.V,MMULT(TRANSPOSE(_xlpm.V),(_xlpm.x-_xlpm.mu)/_xlpm.sg))))*100)</f>
      </c>
      <c r="GX205" cm="1">
        <f t="array" ref="GX205:GX222">_xlfn.LET(_xlpm.V,_xlfn.DROP(_xlfn.ANCHORARRAY($EQ$204),,10),IF(1&lt;=COLUMNS(_xlpm.V),_xlfn.CHOOSECOLS(_xlpm.V,1),IF(_xlfn.SEQUENCE(ROWS(_xlpm.V)),NA())))</f>
      </c>
      <c r="GY205" cm="1">
        <f t="array" ref="GY205:GY222">_xlfn.LET(_xlpm.V,_xlfn.DROP(_xlfn.ANCHORARRAY($EQ$204),,10),IF(2&lt;=COLUMNS(_xlpm.V),_xlfn.CHOOSECOLS(_xlpm.V,2),IF(_xlfn.SEQUENCE(ROWS(_xlpm.V)),NA())))</f>
      </c>
      <c r="GZ205" cm="1">
        <f t="array" ref="GZ205:GZ222">_xlfn.LET(_xlpm.V,_xlfn.DROP(_xlfn.ANCHORARRAY($EQ$204),,10),IF(3&lt;=COLUMNS(_xlpm.V),_xlfn.CHOOSECOLS(_xlpm.V,3),IF(_xlfn.SEQUENCE(ROWS(_xlpm.V)),NA())))</f>
      </c>
      <c r="HA205" cm="1">
        <f t="array" ref="HA205:HA222">_xlfn.LET(_xlpm.V,_xlfn.DROP(_xlfn.ANCHORARRAY($EQ$204),,10),IF(4&lt;=COLUMNS(_xlpm.V),_xlfn.CHOOSECOLS(_xlpm.V,4),IF(_xlfn.SEQUENCE(ROWS(_xlpm.V)),NA())))</f>
      </c>
      <c r="HB205" cm="1">
        <f t="array" ref="HB205:HB222">_xlfn.LET(_xlpm.V,_xlfn.DROP(_xlfn.ANCHORARRAY($EQ$204),,10),IF(5&lt;=COLUMNS(_xlpm.V),_xlfn.CHOOSECOLS(_xlpm.V,5),IF(_xlfn.SEQUENCE(ROWS(_xlpm.V)),NA())))</f>
      </c>
      <c r="HD205" cm="1">
        <f t="array" ref="HD205:HD222">_xlfn.CHOOSECOLS(_xlfn.ANCHORARRAY($EQ$204),8)</f>
      </c>
      <c r="HE205" cm="1">
        <f t="array" aca="1" ref="HE205:HE222" ca="1">_xlfn.LET(_xlpm.sl,_xlfn.ANCHORARRAY($EQ$204),_xlpm.mu,_xlfn.CHOOSECOLS(_xlpm.sl,8),_xlpm.sg,_xlfn.CHOOSECOLS(_xlpm.sl,9),_xlpm.x,_xlfn.ANCHORARRAY($GQ$205),_xlpm.V,_xlfn.TAKE(_xlfn.DROP(_xlpm.sl,,10),,$D$108),_xlpm.mu+_xlpm.sg*MMULT(_xlpm.V,MMULT(TRANSPOSE(_xlpm.V),(_xlpm.x-_xlpm.mu)/_xlpm.sg)))</f>
      </c>
      <c r="HF205" cm="1">
        <f t="array" ref="HF205:HF222">_xlfn.CHOOSECOLS(_xlfn.ANCHORARRAY($EQ$204),8)+_xlfn.CHOOSECOLS(_xlfn.ANCHORARRAY($EQ$204),10)</f>
      </c>
      <c r="HG205" cm="1">
        <f t="array" ref="HG205:HG222">_xlfn.CHOOSECOLS(_xlfn.ANCHORARRAY($EQ$204),8)-_xlfn.CHOOSECOLS(_xlfn.ANCHORARRAY($EQ$204),10)</f>
      </c>
      <c r="HH205" cm="1">
        <f t="array" ref="HH205:HH222">_xlfn.LET(_xlpm.v,_xlfn.CHOOSECOLS(_xlfn._xlws.FILTER(_xlfn.DROP(_xlfn.ANCHORARRAY($HS$4),1),_xlfn.TAKE(_xlfn.DROP(_xlfn.ANCHORARRAY($HS$4),1),,1)=5),3),IF(_xlpm.v="",NA(),_xlpm.v))</f>
      </c>
      <c r="HI205" cm="1">
        <f t="array" ref="HI205:HI222">-_xlfn.ANCHORARRAY($HH$205)</f>
      </c>
      <c r="HJ205" cm="1">
        <f t="array" ref="HJ205:HJ222">_xlfn.LET(_xlpm.v,_xlfn.CHOOSECOLS(_xlfn._xlws.FILTER(_xlfn.DROP(_xlfn.ANCHORARRAY($HS$4),1),_xlfn.TAKE(_xlfn.DROP(_xlfn.ANCHORARRAY($HS$4),1),,1)=5),4),IF(_xlpm.v="",NA(),_xlpm.v))</f>
      </c>
      <c r="HK205" cm="1">
        <f t="array" ref="HK205:HK222">-_xlfn.ANCHORARRAY($HJ$205)</f>
      </c>
      <c r="HL205" cm="1">
        <f t="array" ref="HL205:HL222">_xlfn.LET(_xlpm.v,_xlfn.CHOOSECOLS(_xlfn._xlws.FILTER(_xlfn.DROP(_xlfn.ANCHORARRAY($HS$4),1),_xlfn.TAKE(_xlfn.DROP(_xlfn.ANCHORARRAY($HS$4),1),,1)=5),5),IF(_xlpm.v="",NA(),_xlpm.v))</f>
      </c>
      <c r="HM205" cm="1">
        <f t="array" ref="HM205:HM222">-_xlfn.ANCHORARRAY($HL$205)</f>
      </c>
      <c r="HN205" cm="1">
        <f t="array" ref="HN205:HN222">_xlfn.LET(_xlpm.v,_xlfn.CHOOSECOLS(_xlfn._xlws.FILTER(_xlfn.DROP(_xlfn.ANCHORARRAY($HS$4),1),_xlfn.TAKE(_xlfn.DROP(_xlfn.ANCHORARRAY($HS$4),1),,1)=5),6),IF(_xlpm.v="",NA(),_xlpm.v))</f>
      </c>
      <c r="HO205" cm="1">
        <f t="array" ref="HO205:HO222">-_xlfn.ANCHORARRAY($HN$205)</f>
      </c>
      <c r="HP205" cm="1">
        <f t="array" ref="HP205:HP222">_xlfn.LET(_xlpm.v,_xlfn.CHOOSECOLS(_xlfn._xlws.FILTER(_xlfn.DROP(_xlfn.ANCHORARRAY($HS$4),1),_xlfn.TAKE(_xlfn.DROP(_xlfn.ANCHORARRAY($HS$4),1),,1)=5),7),IF(_xlpm.v="",NA(),_xlpm.v))</f>
      </c>
      <c r="HQ205" cm="1">
        <f t="array" ref="HQ205:HQ222">-_xlfn.ANCHORARRAY($HP$205)</f>
      </c>
      <c r="HR205" cm="1">
        <f t="array" ref="HR205">IFERROR(INDEX(_xlfn._xlws.FILTER(_xlfn.DROP(_xlfn.ANCHORARRAY($HS$4),1),_xlfn.TAKE(_xlfn.DROP(_xlfn.ANCHORARRAY($HS$4),1),,1)=5),1,2),"")</f>
      </c>
    </row>
    <row r="206" spans="146:226" x14ac:dyDescent="0.55000000000000004">
      <c r="GQ206">
        <f ca="1"/>
      </c>
      <c r="GR206" s="11">
        <f ca="1"/>
      </c>
      <c r="GS206" s="11">
        <f ca="1"/>
      </c>
      <c r="GT206" s="11">
        <f ca="1"/>
      </c>
      <c r="GU206" s="11">
        <f ca="1"/>
      </c>
      <c r="GV206" s="11">
        <f ca="1"/>
      </c>
      <c r="HE206">
        <f ca="1"/>
      </c>
    </row>
    <row r="207" spans="146:226" x14ac:dyDescent="0.55000000000000004">
      <c r="GQ207">
        <f ca="1"/>
      </c>
      <c r="GR207" s="11">
        <f ca="1"/>
      </c>
      <c r="GS207" s="11">
        <f ca="1"/>
      </c>
      <c r="GT207" s="11">
        <f ca="1"/>
      </c>
      <c r="GU207" s="11">
        <f ca="1"/>
      </c>
      <c r="GV207" s="11">
        <f ca="1"/>
      </c>
      <c r="HE207">
        <f ca="1"/>
      </c>
    </row>
    <row r="208" spans="146:226" x14ac:dyDescent="0.55000000000000004">
      <c r="GQ208">
        <f ca="1"/>
      </c>
      <c r="GR208" s="11">
        <f ca="1"/>
      </c>
      <c r="GS208" s="11">
        <f ca="1"/>
      </c>
      <c r="GT208" s="11">
        <f ca="1"/>
      </c>
      <c r="GU208" s="11">
        <f ca="1"/>
      </c>
      <c r="GV208" s="11">
        <f ca="1"/>
      </c>
      <c r="HE208">
        <f ca="1"/>
      </c>
    </row>
    <row r="209" spans="147:225" x14ac:dyDescent="0.55000000000000004">
      <c r="GQ209">
        <f ca="1"/>
      </c>
      <c r="GR209" s="11">
        <f ca="1"/>
      </c>
      <c r="GS209" s="11">
        <f ca="1"/>
      </c>
      <c r="GT209" s="11">
        <f ca="1"/>
      </c>
      <c r="GU209" s="11">
        <f ca="1"/>
      </c>
      <c r="GV209" s="11">
        <f ca="1"/>
      </c>
      <c r="HE209">
        <f ca="1"/>
      </c>
    </row>
    <row r="210" spans="147:225" x14ac:dyDescent="0.55000000000000004">
      <c r="GQ210">
        <f ca="1"/>
      </c>
      <c r="GR210" s="11">
        <f ca="1"/>
      </c>
      <c r="GS210" s="11">
        <f ca="1"/>
      </c>
      <c r="GT210" s="11">
        <f ca="1"/>
      </c>
      <c r="GU210" s="11">
        <f ca="1"/>
      </c>
      <c r="GV210" s="11">
        <f ca="1"/>
      </c>
      <c r="HE210">
        <f ca="1"/>
      </c>
    </row>
    <row r="211" spans="147:225" x14ac:dyDescent="0.55000000000000004">
      <c r="GQ211">
        <f ca="1"/>
      </c>
      <c r="GR211" s="11">
        <f ca="1"/>
      </c>
      <c r="GS211" s="11">
        <f ca="1"/>
      </c>
      <c r="GT211" s="11">
        <f ca="1"/>
      </c>
      <c r="GU211" s="11">
        <f ca="1"/>
      </c>
      <c r="GV211" s="11">
        <f ca="1"/>
      </c>
      <c r="HE211">
        <f ca="1"/>
      </c>
    </row>
    <row r="212" spans="147:225" x14ac:dyDescent="0.55000000000000004">
      <c r="GQ212">
        <f ca="1"/>
      </c>
      <c r="GR212" s="11">
        <f ca="1"/>
      </c>
      <c r="GS212" s="11">
        <f ca="1"/>
      </c>
      <c r="GT212" s="11">
        <f ca="1"/>
      </c>
      <c r="GU212" s="11">
        <f ca="1"/>
      </c>
      <c r="GV212" s="11">
        <f ca="1"/>
      </c>
      <c r="HE212">
        <f ca="1"/>
      </c>
    </row>
    <row r="213" spans="147:225" x14ac:dyDescent="0.55000000000000004">
      <c r="GQ213">
        <f ca="1"/>
      </c>
      <c r="GR213" s="11">
        <f ca="1"/>
      </c>
      <c r="GS213" s="11">
        <f ca="1"/>
      </c>
      <c r="GT213" s="11">
        <f ca="1"/>
      </c>
      <c r="GU213" s="11">
        <f ca="1"/>
      </c>
      <c r="GV213" s="11">
        <f ca="1"/>
      </c>
      <c r="HE213">
        <f ca="1"/>
      </c>
    </row>
    <row r="214" spans="147:225" x14ac:dyDescent="0.55000000000000004">
      <c r="GQ214">
        <f ca="1"/>
      </c>
      <c r="GR214" s="11">
        <f ca="1"/>
      </c>
      <c r="GS214" s="11">
        <f ca="1"/>
      </c>
      <c r="GT214" s="11">
        <f ca="1"/>
      </c>
      <c r="GU214" s="11">
        <f ca="1"/>
      </c>
      <c r="GV214" s="11">
        <f ca="1"/>
      </c>
      <c r="HE214">
        <f ca="1"/>
      </c>
    </row>
    <row r="215" spans="147:225" x14ac:dyDescent="0.55000000000000004">
      <c r="GQ215">
        <f ca="1"/>
      </c>
      <c r="GR215" s="11">
        <f ca="1"/>
      </c>
      <c r="GS215" s="11">
        <f ca="1"/>
      </c>
      <c r="GT215" s="11">
        <f ca="1"/>
      </c>
      <c r="GU215" s="11">
        <f ca="1"/>
      </c>
      <c r="GV215" s="11">
        <f ca="1"/>
      </c>
      <c r="HE215">
        <f ca="1"/>
      </c>
    </row>
    <row r="216" spans="147:225" x14ac:dyDescent="0.55000000000000004">
      <c r="GQ216">
        <f ca="1"/>
      </c>
      <c r="GR216" s="11">
        <f ca="1"/>
      </c>
      <c r="GS216" s="11">
        <f ca="1"/>
      </c>
      <c r="GT216" s="11">
        <f ca="1"/>
      </c>
      <c r="GU216" s="11">
        <f ca="1"/>
      </c>
      <c r="GV216" s="11">
        <f ca="1"/>
      </c>
      <c r="HE216">
        <f ca="1"/>
      </c>
    </row>
    <row r="217" spans="147:225" x14ac:dyDescent="0.55000000000000004">
      <c r="GQ217">
        <f ca="1"/>
      </c>
      <c r="GR217" s="11">
        <f ca="1"/>
      </c>
      <c r="GS217" s="11">
        <f ca="1"/>
      </c>
      <c r="GT217" s="11">
        <f ca="1"/>
      </c>
      <c r="GU217" s="11">
        <f ca="1"/>
      </c>
      <c r="GV217" s="11">
        <f ca="1"/>
      </c>
      <c r="HE217">
        <f ca="1"/>
      </c>
    </row>
    <row r="218" spans="147:225" x14ac:dyDescent="0.55000000000000004">
      <c r="GQ218">
        <f ca="1"/>
      </c>
      <c r="GR218" s="11">
        <f ca="1"/>
      </c>
      <c r="GS218" s="11">
        <f ca="1"/>
      </c>
      <c r="GT218" s="11">
        <f ca="1"/>
      </c>
      <c r="GU218" s="11">
        <f ca="1"/>
      </c>
      <c r="GV218" s="11">
        <f ca="1"/>
      </c>
      <c r="HE218">
        <f ca="1"/>
      </c>
    </row>
    <row r="219" spans="147:225" x14ac:dyDescent="0.55000000000000004">
      <c r="GQ219">
        <f ca="1"/>
      </c>
      <c r="GR219" s="11">
        <f ca="1"/>
      </c>
      <c r="GS219" s="11">
        <f ca="1"/>
      </c>
      <c r="GT219" s="11">
        <f ca="1"/>
      </c>
      <c r="GU219" s="11">
        <f ca="1"/>
      </c>
      <c r="GV219" s="11">
        <f ca="1"/>
      </c>
      <c r="HE219">
        <f ca="1"/>
      </c>
    </row>
    <row r="220" spans="147:225" x14ac:dyDescent="0.55000000000000004">
      <c r="GQ220">
        <f ca="1"/>
      </c>
      <c r="GR220" s="11">
        <f ca="1"/>
      </c>
      <c r="GS220" s="11">
        <f ca="1"/>
      </c>
      <c r="GT220" s="11">
        <f ca="1"/>
      </c>
      <c r="GU220" s="11">
        <f ca="1"/>
      </c>
      <c r="GV220" s="11">
        <f ca="1"/>
      </c>
      <c r="HE220">
        <f ca="1"/>
      </c>
    </row>
    <row r="221" spans="147:225" x14ac:dyDescent="0.55000000000000004">
      <c r="GQ221">
        <f ca="1"/>
      </c>
      <c r="GR221" s="11">
        <f ca="1"/>
      </c>
      <c r="GS221" s="11">
        <f ca="1"/>
      </c>
      <c r="GT221" s="11">
        <f ca="1"/>
      </c>
      <c r="GU221" s="11">
        <f ca="1"/>
      </c>
      <c r="GV221" s="11">
        <f ca="1"/>
      </c>
      <c r="HE221">
        <f ca="1"/>
      </c>
    </row>
    <row r="222" spans="147:225" x14ac:dyDescent="0.55000000000000004">
      <c r="GQ222">
        <f ca="1"/>
      </c>
      <c r="GR222" s="11">
        <f ca="1"/>
      </c>
      <c r="GS222" s="11">
        <f ca="1"/>
      </c>
      <c r="GT222" s="11">
        <f ca="1"/>
      </c>
      <c r="GU222" s="11">
        <f ca="1"/>
      </c>
      <c r="GV222" s="11">
        <f ca="1"/>
      </c>
      <c r="HE222">
        <f ca="1"/>
      </c>
    </row>
    <row r="223" spans="147:225" x14ac:dyDescent="0.55000000000000004">
      <c r="GR223" s="11"/>
      <c r="GS223" s="11"/>
      <c r="GT223" s="11"/>
      <c r="GU223" s="11"/>
      <c r="GV223" s="11"/>
    </row>
    <row r="224" spans="147:225" x14ac:dyDescent="0.55000000000000004">
      <c r="GR224" s="11"/>
      <c r="GS224" s="11"/>
      <c r="GT224" s="11"/>
      <c r="GU224" s="11"/>
      <c r="GV224" s="11"/>
    </row>
    <row r="225" spans="200:204" x14ac:dyDescent="0.55000000000000004">
      <c r="GR225" s="11"/>
      <c r="GS225" s="11"/>
      <c r="GT225" s="11"/>
      <c r="GU225" s="11"/>
      <c r="GV225" s="11"/>
    </row>
    <row r="226" spans="200:204" x14ac:dyDescent="0.55000000000000004">
      <c r="GR226" s="11"/>
      <c r="GS226" s="11"/>
      <c r="GT226" s="11"/>
      <c r="GU226" s="11"/>
      <c r="GV226" s="11"/>
    </row>
    <row r="227" spans="200:204" x14ac:dyDescent="0.55000000000000004">
      <c r="GR227" s="11"/>
      <c r="GS227" s="11"/>
      <c r="GT227" s="11"/>
      <c r="GU227" s="11"/>
      <c r="GV227" s="11"/>
    </row>
    <row r="228" spans="200:204" x14ac:dyDescent="0.55000000000000004">
      <c r="GR228" s="11"/>
      <c r="GS228" s="11"/>
      <c r="GT228" s="11"/>
      <c r="GU228" s="11"/>
      <c r="GV228" s="11"/>
    </row>
    <row r="229" spans="200:204" x14ac:dyDescent="0.55000000000000004">
      <c r="GR229" s="11"/>
      <c r="GS229" s="11"/>
      <c r="GT229" s="11"/>
      <c r="GU229" s="11"/>
      <c r="GV229" s="11"/>
    </row>
    <row r="230" spans="200:204" x14ac:dyDescent="0.55000000000000004">
      <c r="GR230" s="11"/>
      <c r="GS230" s="11"/>
      <c r="GT230" s="11"/>
      <c r="GU230" s="11"/>
      <c r="GV230" s="11"/>
    </row>
    <row r="231" spans="200:204" x14ac:dyDescent="0.55000000000000004">
      <c r="GR231" s="11"/>
      <c r="GS231" s="11"/>
      <c r="GT231" s="11"/>
      <c r="GU231" s="11"/>
      <c r="GV231" s="11"/>
    </row>
    <row r="232" spans="200:204" x14ac:dyDescent="0.55000000000000004">
      <c r="GR232" s="11"/>
      <c r="GS232" s="11"/>
      <c r="GT232" s="11"/>
      <c r="GU232" s="11"/>
      <c r="GV232" s="11"/>
    </row>
    <row r="233" spans="200:204" x14ac:dyDescent="0.55000000000000004">
      <c r="GR233" s="11"/>
      <c r="GS233" s="11"/>
      <c r="GT233" s="11"/>
      <c r="GU233" s="11"/>
      <c r="GV233" s="11"/>
    </row>
    <row r="234" spans="200:204" x14ac:dyDescent="0.55000000000000004">
      <c r="GR234" s="11"/>
      <c r="GS234" s="11"/>
      <c r="GT234" s="11"/>
      <c r="GU234" s="11"/>
      <c r="GV234" s="11"/>
    </row>
    <row r="235" spans="200:204" x14ac:dyDescent="0.55000000000000004">
      <c r="GR235" s="11"/>
      <c r="GS235" s="11"/>
      <c r="GT235" s="11"/>
      <c r="GU235" s="11"/>
      <c r="GV235" s="11"/>
    </row>
    <row r="236" spans="200:204" x14ac:dyDescent="0.55000000000000004">
      <c r="GR236" s="11"/>
      <c r="GS236" s="11"/>
      <c r="GT236" s="11"/>
      <c r="GU236" s="11"/>
      <c r="GV236" s="11"/>
    </row>
    <row r="237" spans="200:204" x14ac:dyDescent="0.55000000000000004">
      <c r="GR237" s="11"/>
      <c r="GS237" s="11"/>
      <c r="GT237" s="11"/>
      <c r="GU237" s="11"/>
      <c r="GV237" s="11"/>
    </row>
    <row r="238" spans="200:204" x14ac:dyDescent="0.55000000000000004">
      <c r="GR238" s="11"/>
      <c r="GS238" s="11"/>
      <c r="GT238" s="11"/>
      <c r="GU238" s="11"/>
      <c r="GV238" s="11"/>
    </row>
    <row r="239" spans="200:204" x14ac:dyDescent="0.55000000000000004">
      <c r="GR239" s="11"/>
      <c r="GS239" s="11"/>
      <c r="GT239" s="11"/>
      <c r="GU239" s="11"/>
      <c r="GV239" s="11"/>
    </row>
    <row r="240" spans="200:204" x14ac:dyDescent="0.55000000000000004">
      <c r="GR240" s="11"/>
      <c r="GS240" s="11"/>
      <c r="GT240" s="11"/>
      <c r="GU240" s="11"/>
      <c r="GV240" s="11"/>
    </row>
    <row r="241" spans="146:226" x14ac:dyDescent="0.55000000000000004">
      <c r="GR241" s="11"/>
      <c r="GS241" s="11"/>
      <c r="GT241" s="11"/>
      <c r="GU241" s="11"/>
      <c r="GV241" s="11"/>
    </row>
    <row r="242" spans="146:226" x14ac:dyDescent="0.55000000000000004">
      <c r="GR242" s="11"/>
      <c r="GS242" s="11"/>
      <c r="GT242" s="11"/>
      <c r="GU242" s="11"/>
      <c r="GV242" s="11"/>
    </row>
    <row r="243" spans="146:226" x14ac:dyDescent="0.55000000000000004">
      <c r="GR243" s="11"/>
      <c r="GS243" s="11"/>
      <c r="GT243" s="11"/>
      <c r="GU243" s="11"/>
      <c r="GV243" s="11"/>
    </row>
    <row r="244" spans="146:226" x14ac:dyDescent="0.55000000000000004">
      <c r="GR244" s="11"/>
      <c r="GS244" s="11"/>
      <c r="GT244" s="11"/>
      <c r="GU244" s="11"/>
      <c r="GV244" s="11"/>
    </row>
    <row r="245" spans="146:226" x14ac:dyDescent="0.55000000000000004">
      <c r="GR245" s="11"/>
      <c r="GS245" s="11"/>
      <c r="GT245" s="11"/>
      <c r="GU245" s="11"/>
      <c r="GV245" s="11"/>
    </row>
    <row r="246" spans="146:226" x14ac:dyDescent="0.55000000000000004">
      <c r="GR246" s="11"/>
      <c r="GS246" s="11"/>
      <c r="GT246" s="11"/>
      <c r="GU246" s="11"/>
      <c r="GV246" s="11"/>
    </row>
    <row r="254" spans="146:226" x14ac:dyDescent="0.55000000000000004">
      <c r="EP254" t="s">
        <v>157</v>
      </c>
      <c r="EQ254" cm="1">
        <f t="array" ref="EQ254:FR271">_xlfn.LET(_xlpm.g,_xlfn.DROP(_xlfn.ANCHORARRAY($CO$4),1),_xlfn._xlws.FILTER(_xlpm.g,_xlfn.TAKE(_xlpm.g,,1)=6))</f>
      </c>
      <c r="GQ254" t="s">
        <v>169</v>
      </c>
      <c r="GR254" cm="1">
        <f t="array" aca="1" ref="GR254" ca="1">IFERROR(_xlfn.LET(_xlpm.R,_xlfn.ANCHORARRAY($GR$255),_xlpm.a,ABS(_xlpm.R),"k="&amp;$D$12&amp;"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254" cm="1">
        <f t="array" aca="1" ref="GS254" ca="1">IFERROR(_xlfn.LET(_xlpm.R,_xlfn.ANCHORARRAY($GS$255),_xlpm.a,ABS(_xlpm.R),"k="&amp;$D$28&amp;"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254" cm="1">
        <f t="array" aca="1" ref="GT254" ca="1">IFERROR(_xlfn.LET(_xlpm.R,_xlfn.ANCHORARRAY($GT$255),_xlpm.a,ABS(_xlpm.R),"k="&amp;$D$44&amp;"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254" cm="1">
        <f t="array" aca="1" ref="GU254" ca="1">IFERROR(_xlfn.LET(_xlpm.R,_xlfn.ANCHORARRAY($GU$255),_xlpm.a,ABS(_xlpm.R),"k="&amp;$D$60&amp;"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254" cm="1">
        <f t="array" aca="1" ref="GV254" ca="1">IFERROR(_xlfn.LET(_xlpm.R,_xlfn.ANCHORARRAY($GV$255),_xlpm.a,ABS(_xlpm.R),"k="&amp;$D$76&amp;"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254" t="s">
        <v>44</v>
      </c>
      <c r="GY254" t="s">
        <v>45</v>
      </c>
      <c r="GZ254" t="s">
        <v>46</v>
      </c>
      <c r="HA254" t="s">
        <v>47</v>
      </c>
      <c r="HB254" t="s">
        <v>48</v>
      </c>
      <c r="HD254" t="s">
        <v>174</v>
      </c>
      <c r="HE254">
        <f>"Actual / Mean / Recon (k="&amp;$D$108&amp;")  dashed: Mean ±1σ"</f>
      </c>
      <c r="HF254" t="s">
        <v>175</v>
      </c>
      <c r="HG254" t="s">
        <v>176</v>
      </c>
      <c r="HH254" t="s">
        <v>179</v>
      </c>
      <c r="HI254" t="s">
        <v>180</v>
      </c>
      <c r="HJ254" t="s">
        <v>181</v>
      </c>
      <c r="HK254" t="s">
        <v>182</v>
      </c>
      <c r="HL254" t="s">
        <v>183</v>
      </c>
      <c r="HM254" t="s">
        <v>184</v>
      </c>
      <c r="HN254" t="s">
        <v>185</v>
      </c>
      <c r="HO254" t="s">
        <v>186</v>
      </c>
      <c r="HP254" t="s">
        <v>187</v>
      </c>
      <c r="HQ254" t="s">
        <v>188</v>
      </c>
      <c r="HR254" t="s">
        <v>189</v>
      </c>
    </row>
    <row r="255" spans="146:226" x14ac:dyDescent="0.55000000000000004">
      <c r="GQ255" cm="1">
        <f t="array" aca="1" ref="GQ255:GQ272" ca="1">IF($AN$6="Change",_xlfn.ANCHORARRAY($CJ$4),_xlfn.ANCHORARRAY($CI$4))</f>
      </c>
      <c r="GR255" s="11" cm="1">
        <f t="array" aca="1" ref="GR255:GR272" ca="1">_xlfn.LET(_xlpm.sl,_xlfn.ANCHORARRAY($EQ$254),_xlpm.mu,_xlfn.CHOOSECOLS(_xlpm.sl,8),_xlpm.sg,_xlfn.CHOOSECOLS(_xlpm.sl,9),_xlpm.x,_xlfn.ANCHORARRAY($GQ$255),_xlpm.V,_xlfn.TAKE(_xlfn.DROP(_xlpm.sl,,10),,$D$12),(_xlpm.x-(_xlpm.mu+_xlpm.sg*MMULT(_xlpm.V,MMULT(TRANSPOSE(_xlpm.V),(_xlpm.x-_xlpm.mu)/_xlpm.sg))))*100)</f>
      </c>
      <c r="GS255" s="11" cm="1">
        <f t="array" aca="1" ref="GS255:GS272" ca="1">_xlfn.LET(_xlpm.sl,_xlfn.ANCHORARRAY($EQ$254),_xlpm.mu,_xlfn.CHOOSECOLS(_xlpm.sl,8),_xlpm.sg,_xlfn.CHOOSECOLS(_xlpm.sl,9),_xlpm.x,_xlfn.ANCHORARRAY($GQ$255),_xlpm.V,_xlfn.TAKE(_xlfn.DROP(_xlpm.sl,,10),,$D$28),(_xlpm.x-(_xlpm.mu+_xlpm.sg*MMULT(_xlpm.V,MMULT(TRANSPOSE(_xlpm.V),(_xlpm.x-_xlpm.mu)/_xlpm.sg))))*100)</f>
      </c>
      <c r="GT255" s="11" cm="1">
        <f t="array" aca="1" ref="GT255:GT272" ca="1">_xlfn.LET(_xlpm.sl,_xlfn.ANCHORARRAY($EQ$254),_xlpm.mu,_xlfn.CHOOSECOLS(_xlpm.sl,8),_xlpm.sg,_xlfn.CHOOSECOLS(_xlpm.sl,9),_xlpm.x,_xlfn.ANCHORARRAY($GQ$255),_xlpm.V,_xlfn.TAKE(_xlfn.DROP(_xlpm.sl,,10),,$D$44),(_xlpm.x-(_xlpm.mu+_xlpm.sg*MMULT(_xlpm.V,MMULT(TRANSPOSE(_xlpm.V),(_xlpm.x-_xlpm.mu)/_xlpm.sg))))*100)</f>
      </c>
      <c r="GU255" s="11" cm="1">
        <f t="array" aca="1" ref="GU255:GU272" ca="1">_xlfn.LET(_xlpm.sl,_xlfn.ANCHORARRAY($EQ$254),_xlpm.mu,_xlfn.CHOOSECOLS(_xlpm.sl,8),_xlpm.sg,_xlfn.CHOOSECOLS(_xlpm.sl,9),_xlpm.x,_xlfn.ANCHORARRAY($GQ$255),_xlpm.V,_xlfn.TAKE(_xlfn.DROP(_xlpm.sl,,10),,$D$60),(_xlpm.x-(_xlpm.mu+_xlpm.sg*MMULT(_xlpm.V,MMULT(TRANSPOSE(_xlpm.V),(_xlpm.x-_xlpm.mu)/_xlpm.sg))))*100)</f>
      </c>
      <c r="GV255" s="11" cm="1">
        <f t="array" aca="1" ref="GV255:GV272" ca="1">_xlfn.LET(_xlpm.sl,_xlfn.ANCHORARRAY($EQ$254),_xlpm.mu,_xlfn.CHOOSECOLS(_xlpm.sl,8),_xlpm.sg,_xlfn.CHOOSECOLS(_xlpm.sl,9),_xlpm.x,_xlfn.ANCHORARRAY($GQ$255),_xlpm.V,_xlfn.TAKE(_xlfn.DROP(_xlpm.sl,,10),,$D$76),(_xlpm.x-(_xlpm.mu+_xlpm.sg*MMULT(_xlpm.V,MMULT(TRANSPOSE(_xlpm.V),(_xlpm.x-_xlpm.mu)/_xlpm.sg))))*100)</f>
      </c>
      <c r="GX255" cm="1">
        <f t="array" ref="GX255:GX272">_xlfn.LET(_xlpm.V,_xlfn.DROP(_xlfn.ANCHORARRAY($EQ$254),,10),IF(1&lt;=COLUMNS(_xlpm.V),_xlfn.CHOOSECOLS(_xlpm.V,1),IF(_xlfn.SEQUENCE(ROWS(_xlpm.V)),NA())))</f>
      </c>
      <c r="GY255" cm="1">
        <f t="array" ref="GY255:GY272">_xlfn.LET(_xlpm.V,_xlfn.DROP(_xlfn.ANCHORARRAY($EQ$254),,10),IF(2&lt;=COLUMNS(_xlpm.V),_xlfn.CHOOSECOLS(_xlpm.V,2),IF(_xlfn.SEQUENCE(ROWS(_xlpm.V)),NA())))</f>
      </c>
      <c r="GZ255" cm="1">
        <f t="array" ref="GZ255:GZ272">_xlfn.LET(_xlpm.V,_xlfn.DROP(_xlfn.ANCHORARRAY($EQ$254),,10),IF(3&lt;=COLUMNS(_xlpm.V),_xlfn.CHOOSECOLS(_xlpm.V,3),IF(_xlfn.SEQUENCE(ROWS(_xlpm.V)),NA())))</f>
      </c>
      <c r="HA255" cm="1">
        <f t="array" ref="HA255:HA272">_xlfn.LET(_xlpm.V,_xlfn.DROP(_xlfn.ANCHORARRAY($EQ$254),,10),IF(4&lt;=COLUMNS(_xlpm.V),_xlfn.CHOOSECOLS(_xlpm.V,4),IF(_xlfn.SEQUENCE(ROWS(_xlpm.V)),NA())))</f>
      </c>
      <c r="HB255" cm="1">
        <f t="array" ref="HB255:HB272">_xlfn.LET(_xlpm.V,_xlfn.DROP(_xlfn.ANCHORARRAY($EQ$254),,10),IF(5&lt;=COLUMNS(_xlpm.V),_xlfn.CHOOSECOLS(_xlpm.V,5),IF(_xlfn.SEQUENCE(ROWS(_xlpm.V)),NA())))</f>
      </c>
      <c r="HD255" cm="1">
        <f t="array" ref="HD255:HD272">_xlfn.CHOOSECOLS(_xlfn.ANCHORARRAY($EQ$254),8)</f>
      </c>
      <c r="HE255" cm="1">
        <f t="array" aca="1" ref="HE255:HE272" ca="1">_xlfn.LET(_xlpm.sl,_xlfn.ANCHORARRAY($EQ$254),_xlpm.mu,_xlfn.CHOOSECOLS(_xlpm.sl,8),_xlpm.sg,_xlfn.CHOOSECOLS(_xlpm.sl,9),_xlpm.x,_xlfn.ANCHORARRAY($GQ$255),_xlpm.V,_xlfn.TAKE(_xlfn.DROP(_xlpm.sl,,10),,$D$108),_xlpm.mu+_xlpm.sg*MMULT(_xlpm.V,MMULT(TRANSPOSE(_xlpm.V),(_xlpm.x-_xlpm.mu)/_xlpm.sg)))</f>
      </c>
      <c r="HF255" cm="1">
        <f t="array" ref="HF255:HF272">_xlfn.CHOOSECOLS(_xlfn.ANCHORARRAY($EQ$254),8)+_xlfn.CHOOSECOLS(_xlfn.ANCHORARRAY($EQ$254),10)</f>
      </c>
      <c r="HG255" cm="1">
        <f t="array" ref="HG255:HG272">_xlfn.CHOOSECOLS(_xlfn.ANCHORARRAY($EQ$254),8)-_xlfn.CHOOSECOLS(_xlfn.ANCHORARRAY($EQ$254),10)</f>
      </c>
      <c r="HH255" cm="1">
        <f t="array" ref="HH255:HH272">_xlfn.LET(_xlpm.v,_xlfn.CHOOSECOLS(_xlfn._xlws.FILTER(_xlfn.DROP(_xlfn.ANCHORARRAY($HS$4),1),_xlfn.TAKE(_xlfn.DROP(_xlfn.ANCHORARRAY($HS$4),1),,1)=6),3),IF(_xlpm.v="",NA(),_xlpm.v))</f>
      </c>
      <c r="HI255" cm="1">
        <f t="array" ref="HI255:HI272">-_xlfn.ANCHORARRAY($HH$255)</f>
      </c>
      <c r="HJ255" cm="1">
        <f t="array" ref="HJ255:HJ272">_xlfn.LET(_xlpm.v,_xlfn.CHOOSECOLS(_xlfn._xlws.FILTER(_xlfn.DROP(_xlfn.ANCHORARRAY($HS$4),1),_xlfn.TAKE(_xlfn.DROP(_xlfn.ANCHORARRAY($HS$4),1),,1)=6),4),IF(_xlpm.v="",NA(),_xlpm.v))</f>
      </c>
      <c r="HK255" cm="1">
        <f t="array" ref="HK255:HK272">-_xlfn.ANCHORARRAY($HJ$255)</f>
      </c>
      <c r="HL255" cm="1">
        <f t="array" ref="HL255:HL272">_xlfn.LET(_xlpm.v,_xlfn.CHOOSECOLS(_xlfn._xlws.FILTER(_xlfn.DROP(_xlfn.ANCHORARRAY($HS$4),1),_xlfn.TAKE(_xlfn.DROP(_xlfn.ANCHORARRAY($HS$4),1),,1)=6),5),IF(_xlpm.v="",NA(),_xlpm.v))</f>
      </c>
      <c r="HM255" cm="1">
        <f t="array" ref="HM255:HM272">-_xlfn.ANCHORARRAY($HL$255)</f>
      </c>
      <c r="HN255" cm="1">
        <f t="array" ref="HN255:HN272">_xlfn.LET(_xlpm.v,_xlfn.CHOOSECOLS(_xlfn._xlws.FILTER(_xlfn.DROP(_xlfn.ANCHORARRAY($HS$4),1),_xlfn.TAKE(_xlfn.DROP(_xlfn.ANCHORARRAY($HS$4),1),,1)=6),6),IF(_xlpm.v="",NA(),_xlpm.v))</f>
      </c>
      <c r="HO255" cm="1">
        <f t="array" ref="HO255:HO272">-_xlfn.ANCHORARRAY($HN$255)</f>
      </c>
      <c r="HP255" cm="1">
        <f t="array" ref="HP255:HP272">_xlfn.LET(_xlpm.v,_xlfn.CHOOSECOLS(_xlfn._xlws.FILTER(_xlfn.DROP(_xlfn.ANCHORARRAY($HS$4),1),_xlfn.TAKE(_xlfn.DROP(_xlfn.ANCHORARRAY($HS$4),1),,1)=6),7),IF(_xlpm.v="",NA(),_xlpm.v))</f>
      </c>
      <c r="HQ255" cm="1">
        <f t="array" ref="HQ255:HQ272">-_xlfn.ANCHORARRAY($HP$255)</f>
      </c>
      <c r="HR255" cm="1">
        <f t="array" ref="HR255">IFERROR(INDEX(_xlfn._xlws.FILTER(_xlfn.DROP(_xlfn.ANCHORARRAY($HS$4),1),_xlfn.TAKE(_xlfn.DROP(_xlfn.ANCHORARRAY($HS$4),1),,1)=6),1,2),"")</f>
      </c>
    </row>
    <row r="256" spans="146:226" x14ac:dyDescent="0.55000000000000004">
      <c r="GQ256">
        <f ca="1"/>
      </c>
      <c r="GR256" s="11">
        <f ca="1"/>
      </c>
      <c r="GS256" s="11">
        <f ca="1"/>
      </c>
      <c r="GT256" s="11">
        <f ca="1"/>
      </c>
      <c r="GU256" s="11">
        <f ca="1"/>
      </c>
      <c r="GV256" s="11">
        <f ca="1"/>
      </c>
      <c r="HE256">
        <f ca="1"/>
      </c>
    </row>
    <row r="257" spans="147:225" x14ac:dyDescent="0.55000000000000004">
      <c r="GQ257">
        <f ca="1"/>
      </c>
      <c r="GR257" s="11">
        <f ca="1"/>
      </c>
      <c r="GS257" s="11">
        <f ca="1"/>
      </c>
      <c r="GT257" s="11">
        <f ca="1"/>
      </c>
      <c r="GU257" s="11">
        <f ca="1"/>
      </c>
      <c r="GV257" s="11">
        <f ca="1"/>
      </c>
      <c r="HE257">
        <f ca="1"/>
      </c>
    </row>
    <row r="258" spans="147:225" x14ac:dyDescent="0.55000000000000004">
      <c r="GQ258">
        <f ca="1"/>
      </c>
      <c r="GR258" s="11">
        <f ca="1"/>
      </c>
      <c r="GS258" s="11">
        <f ca="1"/>
      </c>
      <c r="GT258" s="11">
        <f ca="1"/>
      </c>
      <c r="GU258" s="11">
        <f ca="1"/>
      </c>
      <c r="GV258" s="11">
        <f ca="1"/>
      </c>
      <c r="HE258">
        <f ca="1"/>
      </c>
    </row>
    <row r="259" spans="147:225" x14ac:dyDescent="0.55000000000000004">
      <c r="GQ259">
        <f ca="1"/>
      </c>
      <c r="GR259" s="11">
        <f ca="1"/>
      </c>
      <c r="GS259" s="11">
        <f ca="1"/>
      </c>
      <c r="GT259" s="11">
        <f ca="1"/>
      </c>
      <c r="GU259" s="11">
        <f ca="1"/>
      </c>
      <c r="GV259" s="11">
        <f ca="1"/>
      </c>
      <c r="HE259">
        <f ca="1"/>
      </c>
    </row>
    <row r="260" spans="147:225" x14ac:dyDescent="0.55000000000000004">
      <c r="GQ260">
        <f ca="1"/>
      </c>
      <c r="GR260" s="11">
        <f ca="1"/>
      </c>
      <c r="GS260" s="11">
        <f ca="1"/>
      </c>
      <c r="GT260" s="11">
        <f ca="1"/>
      </c>
      <c r="GU260" s="11">
        <f ca="1"/>
      </c>
      <c r="GV260" s="11">
        <f ca="1"/>
      </c>
      <c r="HE260">
        <f ca="1"/>
      </c>
    </row>
    <row r="261" spans="147:225" x14ac:dyDescent="0.55000000000000004">
      <c r="GQ261">
        <f ca="1"/>
      </c>
      <c r="GR261" s="11">
        <f ca="1"/>
      </c>
      <c r="GS261" s="11">
        <f ca="1"/>
      </c>
      <c r="GT261" s="11">
        <f ca="1"/>
      </c>
      <c r="GU261" s="11">
        <f ca="1"/>
      </c>
      <c r="GV261" s="11">
        <f ca="1"/>
      </c>
      <c r="HE261">
        <f ca="1"/>
      </c>
    </row>
    <row r="262" spans="147:225" x14ac:dyDescent="0.55000000000000004">
      <c r="GQ262">
        <f ca="1"/>
      </c>
      <c r="GR262" s="11">
        <f ca="1"/>
      </c>
      <c r="GS262" s="11">
        <f ca="1"/>
      </c>
      <c r="GT262" s="11">
        <f ca="1"/>
      </c>
      <c r="GU262" s="11">
        <f ca="1"/>
      </c>
      <c r="GV262" s="11">
        <f ca="1"/>
      </c>
      <c r="HE262">
        <f ca="1"/>
      </c>
    </row>
    <row r="263" spans="147:225" x14ac:dyDescent="0.55000000000000004">
      <c r="GQ263">
        <f ca="1"/>
      </c>
      <c r="GR263" s="11">
        <f ca="1"/>
      </c>
      <c r="GS263" s="11">
        <f ca="1"/>
      </c>
      <c r="GT263" s="11">
        <f ca="1"/>
      </c>
      <c r="GU263" s="11">
        <f ca="1"/>
      </c>
      <c r="GV263" s="11">
        <f ca="1"/>
      </c>
      <c r="HE263">
        <f ca="1"/>
      </c>
    </row>
    <row r="264" spans="147:225" x14ac:dyDescent="0.55000000000000004">
      <c r="GQ264">
        <f ca="1"/>
      </c>
      <c r="GR264" s="11">
        <f ca="1"/>
      </c>
      <c r="GS264" s="11">
        <f ca="1"/>
      </c>
      <c r="GT264" s="11">
        <f ca="1"/>
      </c>
      <c r="GU264" s="11">
        <f ca="1"/>
      </c>
      <c r="GV264" s="11">
        <f ca="1"/>
      </c>
      <c r="HE264">
        <f ca="1"/>
      </c>
    </row>
    <row r="265" spans="147:225" x14ac:dyDescent="0.55000000000000004">
      <c r="GQ265">
        <f ca="1"/>
      </c>
      <c r="GR265" s="11">
        <f ca="1"/>
      </c>
      <c r="GS265" s="11">
        <f ca="1"/>
      </c>
      <c r="GT265" s="11">
        <f ca="1"/>
      </c>
      <c r="GU265" s="11">
        <f ca="1"/>
      </c>
      <c r="GV265" s="11">
        <f ca="1"/>
      </c>
      <c r="HE265">
        <f ca="1"/>
      </c>
    </row>
    <row r="266" spans="147:225" x14ac:dyDescent="0.55000000000000004">
      <c r="GQ266">
        <f ca="1"/>
      </c>
      <c r="GR266" s="11">
        <f ca="1"/>
      </c>
      <c r="GS266" s="11">
        <f ca="1"/>
      </c>
      <c r="GT266" s="11">
        <f ca="1"/>
      </c>
      <c r="GU266" s="11">
        <f ca="1"/>
      </c>
      <c r="GV266" s="11">
        <f ca="1"/>
      </c>
      <c r="HE266">
        <f ca="1"/>
      </c>
    </row>
    <row r="267" spans="147:225" x14ac:dyDescent="0.55000000000000004">
      <c r="GQ267">
        <f ca="1"/>
      </c>
      <c r="GR267" s="11">
        <f ca="1"/>
      </c>
      <c r="GS267" s="11">
        <f ca="1"/>
      </c>
      <c r="GT267" s="11">
        <f ca="1"/>
      </c>
      <c r="GU267" s="11">
        <f ca="1"/>
      </c>
      <c r="GV267" s="11">
        <f ca="1"/>
      </c>
      <c r="HE267">
        <f ca="1"/>
      </c>
    </row>
    <row r="268" spans="147:225" x14ac:dyDescent="0.55000000000000004">
      <c r="GQ268">
        <f ca="1"/>
      </c>
      <c r="GR268" s="11">
        <f ca="1"/>
      </c>
      <c r="GS268" s="11">
        <f ca="1"/>
      </c>
      <c r="GT268" s="11">
        <f ca="1"/>
      </c>
      <c r="GU268" s="11">
        <f ca="1"/>
      </c>
      <c r="GV268" s="11">
        <f ca="1"/>
      </c>
      <c r="HE268">
        <f ca="1"/>
      </c>
    </row>
    <row r="269" spans="147:225" x14ac:dyDescent="0.55000000000000004">
      <c r="GQ269">
        <f ca="1"/>
      </c>
      <c r="GR269" s="11">
        <f ca="1"/>
      </c>
      <c r="GS269" s="11">
        <f ca="1"/>
      </c>
      <c r="GT269" s="11">
        <f ca="1"/>
      </c>
      <c r="GU269" s="11">
        <f ca="1"/>
      </c>
      <c r="GV269" s="11">
        <f ca="1"/>
      </c>
      <c r="HE269">
        <f ca="1"/>
      </c>
    </row>
    <row r="270" spans="147:225" x14ac:dyDescent="0.55000000000000004">
      <c r="GQ270">
        <f ca="1"/>
      </c>
      <c r="GR270" s="11">
        <f ca="1"/>
      </c>
      <c r="GS270" s="11">
        <f ca="1"/>
      </c>
      <c r="GT270" s="11">
        <f ca="1"/>
      </c>
      <c r="GU270" s="11">
        <f ca="1"/>
      </c>
      <c r="GV270" s="11">
        <f ca="1"/>
      </c>
      <c r="HE270">
        <f ca="1"/>
      </c>
    </row>
    <row r="271" spans="147:225" x14ac:dyDescent="0.55000000000000004">
      <c r="GQ271">
        <f ca="1"/>
      </c>
      <c r="GR271" s="11">
        <f ca="1"/>
      </c>
      <c r="GS271" s="11">
        <f ca="1"/>
      </c>
      <c r="GT271" s="11">
        <f ca="1"/>
      </c>
      <c r="GU271" s="11">
        <f ca="1"/>
      </c>
      <c r="GV271" s="11">
        <f ca="1"/>
      </c>
      <c r="HE271">
        <f ca="1"/>
      </c>
    </row>
    <row r="272" spans="147:225" x14ac:dyDescent="0.55000000000000004">
      <c r="GQ272">
        <f ca="1"/>
      </c>
      <c r="GR272" s="11">
        <f ca="1"/>
      </c>
      <c r="GS272" s="11">
        <f ca="1"/>
      </c>
      <c r="GT272" s="11">
        <f ca="1"/>
      </c>
      <c r="GU272" s="11">
        <f ca="1"/>
      </c>
      <c r="GV272" s="11">
        <f ca="1"/>
      </c>
      <c r="HE272">
        <f ca="1"/>
      </c>
    </row>
    <row r="273" spans="200:204" x14ac:dyDescent="0.55000000000000004">
      <c r="GR273" s="11"/>
      <c r="GS273" s="11"/>
      <c r="GT273" s="11"/>
      <c r="GU273" s="11"/>
      <c r="GV273" s="11"/>
    </row>
    <row r="274" spans="200:204" x14ac:dyDescent="0.55000000000000004">
      <c r="GR274" s="11"/>
      <c r="GS274" s="11"/>
      <c r="GT274" s="11"/>
      <c r="GU274" s="11"/>
      <c r="GV274" s="11"/>
    </row>
    <row r="275" spans="200:204" x14ac:dyDescent="0.55000000000000004">
      <c r="GR275" s="11"/>
      <c r="GS275" s="11"/>
      <c r="GT275" s="11"/>
      <c r="GU275" s="11"/>
      <c r="GV275" s="11"/>
    </row>
    <row r="276" spans="200:204" x14ac:dyDescent="0.55000000000000004">
      <c r="GR276" s="11"/>
      <c r="GS276" s="11"/>
      <c r="GT276" s="11"/>
      <c r="GU276" s="11"/>
      <c r="GV276" s="11"/>
    </row>
    <row r="277" spans="200:204" x14ac:dyDescent="0.55000000000000004">
      <c r="GR277" s="11"/>
      <c r="GS277" s="11"/>
      <c r="GT277" s="11"/>
      <c r="GU277" s="11"/>
      <c r="GV277" s="11"/>
    </row>
    <row r="278" spans="200:204" x14ac:dyDescent="0.55000000000000004">
      <c r="GR278" s="11"/>
      <c r="GS278" s="11"/>
      <c r="GT278" s="11"/>
      <c r="GU278" s="11"/>
      <c r="GV278" s="11"/>
    </row>
    <row r="279" spans="200:204" x14ac:dyDescent="0.55000000000000004">
      <c r="GR279" s="11"/>
      <c r="GS279" s="11"/>
      <c r="GT279" s="11"/>
      <c r="GU279" s="11"/>
      <c r="GV279" s="11"/>
    </row>
    <row r="280" spans="200:204" x14ac:dyDescent="0.55000000000000004">
      <c r="GR280" s="11"/>
      <c r="GS280" s="11"/>
      <c r="GT280" s="11"/>
      <c r="GU280" s="11"/>
      <c r="GV280" s="11"/>
    </row>
    <row r="281" spans="200:204" x14ac:dyDescent="0.55000000000000004">
      <c r="GR281" s="11"/>
      <c r="GS281" s="11"/>
      <c r="GT281" s="11"/>
      <c r="GU281" s="11"/>
      <c r="GV281" s="11"/>
    </row>
    <row r="282" spans="200:204" x14ac:dyDescent="0.55000000000000004">
      <c r="GR282" s="11"/>
      <c r="GS282" s="11"/>
      <c r="GT282" s="11"/>
      <c r="GU282" s="11"/>
      <c r="GV282" s="11"/>
    </row>
    <row r="283" spans="200:204" x14ac:dyDescent="0.55000000000000004">
      <c r="GR283" s="11"/>
      <c r="GS283" s="11"/>
      <c r="GT283" s="11"/>
      <c r="GU283" s="11"/>
      <c r="GV283" s="11"/>
    </row>
    <row r="284" spans="200:204" x14ac:dyDescent="0.55000000000000004">
      <c r="GR284" s="11"/>
      <c r="GS284" s="11"/>
      <c r="GT284" s="11"/>
      <c r="GU284" s="11"/>
      <c r="GV284" s="11"/>
    </row>
    <row r="285" spans="200:204" x14ac:dyDescent="0.55000000000000004">
      <c r="GR285" s="11"/>
      <c r="GS285" s="11"/>
      <c r="GT285" s="11"/>
      <c r="GU285" s="11"/>
      <c r="GV285" s="11"/>
    </row>
    <row r="286" spans="200:204" x14ac:dyDescent="0.55000000000000004">
      <c r="GR286" s="11"/>
      <c r="GS286" s="11"/>
      <c r="GT286" s="11"/>
      <c r="GU286" s="11"/>
      <c r="GV286" s="11"/>
    </row>
    <row r="287" spans="200:204" x14ac:dyDescent="0.55000000000000004">
      <c r="GR287" s="11"/>
      <c r="GS287" s="11"/>
      <c r="GT287" s="11"/>
      <c r="GU287" s="11"/>
      <c r="GV287" s="11"/>
    </row>
    <row r="288" spans="200:204" x14ac:dyDescent="0.55000000000000004">
      <c r="GR288" s="11"/>
      <c r="GS288" s="11"/>
      <c r="GT288" s="11"/>
      <c r="GU288" s="11"/>
      <c r="GV288" s="11"/>
    </row>
    <row r="289" spans="146:226" x14ac:dyDescent="0.55000000000000004">
      <c r="GR289" s="11"/>
      <c r="GS289" s="11"/>
      <c r="GT289" s="11"/>
      <c r="GU289" s="11"/>
      <c r="GV289" s="11"/>
    </row>
    <row r="290" spans="146:226" x14ac:dyDescent="0.55000000000000004">
      <c r="GR290" s="11"/>
      <c r="GS290" s="11"/>
      <c r="GT290" s="11"/>
      <c r="GU290" s="11"/>
      <c r="GV290" s="11"/>
    </row>
    <row r="291" spans="146:226" x14ac:dyDescent="0.55000000000000004">
      <c r="GR291" s="11"/>
      <c r="GS291" s="11"/>
      <c r="GT291" s="11"/>
      <c r="GU291" s="11"/>
      <c r="GV291" s="11"/>
    </row>
    <row r="292" spans="146:226" x14ac:dyDescent="0.55000000000000004">
      <c r="GR292" s="11"/>
      <c r="GS292" s="11"/>
      <c r="GT292" s="11"/>
      <c r="GU292" s="11"/>
      <c r="GV292" s="11"/>
    </row>
    <row r="293" spans="146:226" x14ac:dyDescent="0.55000000000000004">
      <c r="GR293" s="11"/>
      <c r="GS293" s="11"/>
      <c r="GT293" s="11"/>
      <c r="GU293" s="11"/>
      <c r="GV293" s="11"/>
    </row>
    <row r="294" spans="146:226" x14ac:dyDescent="0.55000000000000004">
      <c r="GR294" s="11"/>
      <c r="GS294" s="11"/>
      <c r="GT294" s="11"/>
      <c r="GU294" s="11"/>
      <c r="GV294" s="11"/>
    </row>
    <row r="295" spans="146:226" x14ac:dyDescent="0.55000000000000004">
      <c r="GR295" s="11"/>
      <c r="GS295" s="11"/>
      <c r="GT295" s="11"/>
      <c r="GU295" s="11"/>
      <c r="GV295" s="11"/>
    </row>
    <row r="296" spans="146:226" x14ac:dyDescent="0.55000000000000004">
      <c r="GR296" s="11"/>
      <c r="GS296" s="11"/>
      <c r="GT296" s="11"/>
      <c r="GU296" s="11"/>
      <c r="GV296" s="11"/>
    </row>
    <row r="304" spans="146:226" x14ac:dyDescent="0.55000000000000004">
      <c r="EP304" t="s">
        <v>158</v>
      </c>
      <c r="EQ304" cm="1">
        <f t="array" ref="EQ304:FR321">_xlfn.LET(_xlpm.g,_xlfn.DROP(_xlfn.ANCHORARRAY($CO$4),1),_xlfn._xlws.FILTER(_xlpm.g,_xlfn.TAKE(_xlpm.g,,1)=7))</f>
      </c>
      <c r="GQ304" t="s">
        <v>169</v>
      </c>
      <c r="GR304" cm="1">
        <f t="array" aca="1" ref="GR304" ca="1">IFERROR(_xlfn.LET(_xlpm.R,_xlfn.ANCHORARRAY($GR$305),_xlpm.a,ABS(_xlpm.R),"k="&amp;$D$12&amp;"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04" cm="1">
        <f t="array" aca="1" ref="GS304" ca="1">IFERROR(_xlfn.LET(_xlpm.R,_xlfn.ANCHORARRAY($GS$305),_xlpm.a,ABS(_xlpm.R),"k="&amp;$D$28&amp;"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04" cm="1">
        <f t="array" aca="1" ref="GT304" ca="1">IFERROR(_xlfn.LET(_xlpm.R,_xlfn.ANCHORARRAY($GT$305),_xlpm.a,ABS(_xlpm.R),"k="&amp;$D$44&amp;"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04" cm="1">
        <f t="array" aca="1" ref="GU304" ca="1">IFERROR(_xlfn.LET(_xlpm.R,_xlfn.ANCHORARRAY($GU$305),_xlpm.a,ABS(_xlpm.R),"k="&amp;$D$60&amp;"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04" cm="1">
        <f t="array" aca="1" ref="GV304" ca="1">IFERROR(_xlfn.LET(_xlpm.R,_xlfn.ANCHORARRAY($GV$305),_xlpm.a,ABS(_xlpm.R),"k="&amp;$D$76&amp;"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04" t="s">
        <v>44</v>
      </c>
      <c r="GY304" t="s">
        <v>45</v>
      </c>
      <c r="GZ304" t="s">
        <v>46</v>
      </c>
      <c r="HA304" t="s">
        <v>47</v>
      </c>
      <c r="HB304" t="s">
        <v>48</v>
      </c>
      <c r="HD304" t="s">
        <v>174</v>
      </c>
      <c r="HE304">
        <f>"Actual / Mean / Recon (k="&amp;$D$108&amp;")  dashed: Mean ±1σ"</f>
      </c>
      <c r="HF304" t="s">
        <v>175</v>
      </c>
      <c r="HG304" t="s">
        <v>176</v>
      </c>
      <c r="HH304" t="s">
        <v>179</v>
      </c>
      <c r="HI304" t="s">
        <v>180</v>
      </c>
      <c r="HJ304" t="s">
        <v>181</v>
      </c>
      <c r="HK304" t="s">
        <v>182</v>
      </c>
      <c r="HL304" t="s">
        <v>183</v>
      </c>
      <c r="HM304" t="s">
        <v>184</v>
      </c>
      <c r="HN304" t="s">
        <v>185</v>
      </c>
      <c r="HO304" t="s">
        <v>186</v>
      </c>
      <c r="HP304" t="s">
        <v>187</v>
      </c>
      <c r="HQ304" t="s">
        <v>188</v>
      </c>
      <c r="HR304" t="s">
        <v>189</v>
      </c>
    </row>
    <row r="305" spans="147:226" x14ac:dyDescent="0.55000000000000004">
      <c r="GQ305" cm="1">
        <f t="array" aca="1" ref="GQ305:GQ322" ca="1">IF($AU$6="Change",_xlfn.ANCHORARRAY($CJ$4),_xlfn.ANCHORARRAY($CI$4))</f>
      </c>
      <c r="GR305" s="11" cm="1">
        <f t="array" aca="1" ref="GR305:GR322" ca="1">_xlfn.LET(_xlpm.sl,_xlfn.ANCHORARRAY($EQ$304),_xlpm.mu,_xlfn.CHOOSECOLS(_xlpm.sl,8),_xlpm.sg,_xlfn.CHOOSECOLS(_xlpm.sl,9),_xlpm.x,_xlfn.ANCHORARRAY($GQ$305),_xlpm.V,_xlfn.TAKE(_xlfn.DROP(_xlpm.sl,,10),,$D$12),(_xlpm.x-(_xlpm.mu+_xlpm.sg*MMULT(_xlpm.V,MMULT(TRANSPOSE(_xlpm.V),(_xlpm.x-_xlpm.mu)/_xlpm.sg))))*100)</f>
      </c>
      <c r="GS305" s="11" cm="1">
        <f t="array" aca="1" ref="GS305:GS322" ca="1">_xlfn.LET(_xlpm.sl,_xlfn.ANCHORARRAY($EQ$304),_xlpm.mu,_xlfn.CHOOSECOLS(_xlpm.sl,8),_xlpm.sg,_xlfn.CHOOSECOLS(_xlpm.sl,9),_xlpm.x,_xlfn.ANCHORARRAY($GQ$305),_xlpm.V,_xlfn.TAKE(_xlfn.DROP(_xlpm.sl,,10),,$D$28),(_xlpm.x-(_xlpm.mu+_xlpm.sg*MMULT(_xlpm.V,MMULT(TRANSPOSE(_xlpm.V),(_xlpm.x-_xlpm.mu)/_xlpm.sg))))*100)</f>
      </c>
      <c r="GT305" s="11" cm="1">
        <f t="array" aca="1" ref="GT305:GT322" ca="1">_xlfn.LET(_xlpm.sl,_xlfn.ANCHORARRAY($EQ$304),_xlpm.mu,_xlfn.CHOOSECOLS(_xlpm.sl,8),_xlpm.sg,_xlfn.CHOOSECOLS(_xlpm.sl,9),_xlpm.x,_xlfn.ANCHORARRAY($GQ$305),_xlpm.V,_xlfn.TAKE(_xlfn.DROP(_xlpm.sl,,10),,$D$44),(_xlpm.x-(_xlpm.mu+_xlpm.sg*MMULT(_xlpm.V,MMULT(TRANSPOSE(_xlpm.V),(_xlpm.x-_xlpm.mu)/_xlpm.sg))))*100)</f>
      </c>
      <c r="GU305" s="11" cm="1">
        <f t="array" aca="1" ref="GU305:GU322" ca="1">_xlfn.LET(_xlpm.sl,_xlfn.ANCHORARRAY($EQ$304),_xlpm.mu,_xlfn.CHOOSECOLS(_xlpm.sl,8),_xlpm.sg,_xlfn.CHOOSECOLS(_xlpm.sl,9),_xlpm.x,_xlfn.ANCHORARRAY($GQ$305),_xlpm.V,_xlfn.TAKE(_xlfn.DROP(_xlpm.sl,,10),,$D$60),(_xlpm.x-(_xlpm.mu+_xlpm.sg*MMULT(_xlpm.V,MMULT(TRANSPOSE(_xlpm.V),(_xlpm.x-_xlpm.mu)/_xlpm.sg))))*100)</f>
      </c>
      <c r="GV305" s="11" cm="1">
        <f t="array" aca="1" ref="GV305:GV322" ca="1">_xlfn.LET(_xlpm.sl,_xlfn.ANCHORARRAY($EQ$304),_xlpm.mu,_xlfn.CHOOSECOLS(_xlpm.sl,8),_xlpm.sg,_xlfn.CHOOSECOLS(_xlpm.sl,9),_xlpm.x,_xlfn.ANCHORARRAY($GQ$305),_xlpm.V,_xlfn.TAKE(_xlfn.DROP(_xlpm.sl,,10),,$D$76),(_xlpm.x-(_xlpm.mu+_xlpm.sg*MMULT(_xlpm.V,MMULT(TRANSPOSE(_xlpm.V),(_xlpm.x-_xlpm.mu)/_xlpm.sg))))*100)</f>
      </c>
      <c r="GX305" cm="1">
        <f t="array" ref="GX305:GX322">_xlfn.LET(_xlpm.V,_xlfn.DROP(_xlfn.ANCHORARRAY($EQ$304),,10),IF(1&lt;=COLUMNS(_xlpm.V),_xlfn.CHOOSECOLS(_xlpm.V,1),IF(_xlfn.SEQUENCE(ROWS(_xlpm.V)),NA())))</f>
      </c>
      <c r="GY305" cm="1">
        <f t="array" ref="GY305:GY322">_xlfn.LET(_xlpm.V,_xlfn.DROP(_xlfn.ANCHORARRAY($EQ$304),,10),IF(2&lt;=COLUMNS(_xlpm.V),_xlfn.CHOOSECOLS(_xlpm.V,2),IF(_xlfn.SEQUENCE(ROWS(_xlpm.V)),NA())))</f>
      </c>
      <c r="GZ305" cm="1">
        <f t="array" ref="GZ305:GZ322">_xlfn.LET(_xlpm.V,_xlfn.DROP(_xlfn.ANCHORARRAY($EQ$304),,10),IF(3&lt;=COLUMNS(_xlpm.V),_xlfn.CHOOSECOLS(_xlpm.V,3),IF(_xlfn.SEQUENCE(ROWS(_xlpm.V)),NA())))</f>
      </c>
      <c r="HA305" cm="1">
        <f t="array" ref="HA305:HA322">_xlfn.LET(_xlpm.V,_xlfn.DROP(_xlfn.ANCHORARRAY($EQ$304),,10),IF(4&lt;=COLUMNS(_xlpm.V),_xlfn.CHOOSECOLS(_xlpm.V,4),IF(_xlfn.SEQUENCE(ROWS(_xlpm.V)),NA())))</f>
      </c>
      <c r="HB305" cm="1">
        <f t="array" ref="HB305:HB322">_xlfn.LET(_xlpm.V,_xlfn.DROP(_xlfn.ANCHORARRAY($EQ$304),,10),IF(5&lt;=COLUMNS(_xlpm.V),_xlfn.CHOOSECOLS(_xlpm.V,5),IF(_xlfn.SEQUENCE(ROWS(_xlpm.V)),NA())))</f>
      </c>
      <c r="HD305" cm="1">
        <f t="array" ref="HD305:HD322">_xlfn.CHOOSECOLS(_xlfn.ANCHORARRAY($EQ$304),8)</f>
      </c>
      <c r="HE305" cm="1">
        <f t="array" aca="1" ref="HE305:HE322" ca="1">_xlfn.LET(_xlpm.sl,_xlfn.ANCHORARRAY($EQ$304),_xlpm.mu,_xlfn.CHOOSECOLS(_xlpm.sl,8),_xlpm.sg,_xlfn.CHOOSECOLS(_xlpm.sl,9),_xlpm.x,_xlfn.ANCHORARRAY($GQ$305),_xlpm.V,_xlfn.TAKE(_xlfn.DROP(_xlpm.sl,,10),,$D$108),_xlpm.mu+_xlpm.sg*MMULT(_xlpm.V,MMULT(TRANSPOSE(_xlpm.V),(_xlpm.x-_xlpm.mu)/_xlpm.sg)))</f>
      </c>
      <c r="HF305" cm="1">
        <f t="array" ref="HF305:HF322">_xlfn.CHOOSECOLS(_xlfn.ANCHORARRAY($EQ$304),8)+_xlfn.CHOOSECOLS(_xlfn.ANCHORARRAY($EQ$304),10)</f>
      </c>
      <c r="HG305" cm="1">
        <f t="array" ref="HG305:HG322">_xlfn.CHOOSECOLS(_xlfn.ANCHORARRAY($EQ$304),8)-_xlfn.CHOOSECOLS(_xlfn.ANCHORARRAY($EQ$304),10)</f>
      </c>
      <c r="HH305" cm="1">
        <f t="array" ref="HH305:HH322">_xlfn.LET(_xlpm.v,_xlfn.CHOOSECOLS(_xlfn._xlws.FILTER(_xlfn.DROP(_xlfn.ANCHORARRAY($HS$4),1),_xlfn.TAKE(_xlfn.DROP(_xlfn.ANCHORARRAY($HS$4),1),,1)=7),3),IF(_xlpm.v="",NA(),_xlpm.v))</f>
      </c>
      <c r="HI305" cm="1">
        <f t="array" ref="HI305:HI322">-_xlfn.ANCHORARRAY($HH$305)</f>
      </c>
      <c r="HJ305" cm="1">
        <f t="array" ref="HJ305:HJ322">_xlfn.LET(_xlpm.v,_xlfn.CHOOSECOLS(_xlfn._xlws.FILTER(_xlfn.DROP(_xlfn.ANCHORARRAY($HS$4),1),_xlfn.TAKE(_xlfn.DROP(_xlfn.ANCHORARRAY($HS$4),1),,1)=7),4),IF(_xlpm.v="",NA(),_xlpm.v))</f>
      </c>
      <c r="HK305" cm="1">
        <f t="array" ref="HK305:HK322">-_xlfn.ANCHORARRAY($HJ$305)</f>
      </c>
      <c r="HL305" cm="1">
        <f t="array" ref="HL305:HL322">_xlfn.LET(_xlpm.v,_xlfn.CHOOSECOLS(_xlfn._xlws.FILTER(_xlfn.DROP(_xlfn.ANCHORARRAY($HS$4),1),_xlfn.TAKE(_xlfn.DROP(_xlfn.ANCHORARRAY($HS$4),1),,1)=7),5),IF(_xlpm.v="",NA(),_xlpm.v))</f>
      </c>
      <c r="HM305" cm="1">
        <f t="array" ref="HM305:HM322">-_xlfn.ANCHORARRAY($HL$305)</f>
      </c>
      <c r="HN305" cm="1">
        <f t="array" ref="HN305:HN322">_xlfn.LET(_xlpm.v,_xlfn.CHOOSECOLS(_xlfn._xlws.FILTER(_xlfn.DROP(_xlfn.ANCHORARRAY($HS$4),1),_xlfn.TAKE(_xlfn.DROP(_xlfn.ANCHORARRAY($HS$4),1),,1)=7),6),IF(_xlpm.v="",NA(),_xlpm.v))</f>
      </c>
      <c r="HO305" cm="1">
        <f t="array" ref="HO305:HO322">-_xlfn.ANCHORARRAY($HN$305)</f>
      </c>
      <c r="HP305" cm="1">
        <f t="array" ref="HP305:HP322">_xlfn.LET(_xlpm.v,_xlfn.CHOOSECOLS(_xlfn._xlws.FILTER(_xlfn.DROP(_xlfn.ANCHORARRAY($HS$4),1),_xlfn.TAKE(_xlfn.DROP(_xlfn.ANCHORARRAY($HS$4),1),,1)=7),7),IF(_xlpm.v="",NA(),_xlpm.v))</f>
      </c>
      <c r="HQ305" cm="1">
        <f t="array" ref="HQ305:HQ322">-_xlfn.ANCHORARRAY($HP$305)</f>
      </c>
      <c r="HR305" cm="1">
        <f t="array" ref="HR305">IFERROR(INDEX(_xlfn._xlws.FILTER(_xlfn.DROP(_xlfn.ANCHORARRAY($HS$4),1),_xlfn.TAKE(_xlfn.DROP(_xlfn.ANCHORARRAY($HS$4),1),,1)=7),1,2),"")</f>
      </c>
    </row>
    <row r="306" spans="147:226" x14ac:dyDescent="0.55000000000000004">
      <c r="GQ306">
        <f ca="1"/>
      </c>
      <c r="GR306" s="11">
        <f ca="1"/>
      </c>
      <c r="GS306" s="11">
        <f ca="1"/>
      </c>
      <c r="GT306" s="11">
        <f ca="1"/>
      </c>
      <c r="GU306" s="11">
        <f ca="1"/>
      </c>
      <c r="GV306" s="11">
        <f ca="1"/>
      </c>
      <c r="HE306">
        <f ca="1"/>
      </c>
    </row>
    <row r="307" spans="147:226" x14ac:dyDescent="0.55000000000000004">
      <c r="GQ307">
        <f ca="1"/>
      </c>
      <c r="GR307" s="11">
        <f ca="1"/>
      </c>
      <c r="GS307" s="11">
        <f ca="1"/>
      </c>
      <c r="GT307" s="11">
        <f ca="1"/>
      </c>
      <c r="GU307" s="11">
        <f ca="1"/>
      </c>
      <c r="GV307" s="11">
        <f ca="1"/>
      </c>
      <c r="HE307">
        <f ca="1"/>
      </c>
    </row>
    <row r="308" spans="147:226" x14ac:dyDescent="0.55000000000000004">
      <c r="GQ308">
        <f ca="1"/>
      </c>
      <c r="GR308" s="11">
        <f ca="1"/>
      </c>
      <c r="GS308" s="11">
        <f ca="1"/>
      </c>
      <c r="GT308" s="11">
        <f ca="1"/>
      </c>
      <c r="GU308" s="11">
        <f ca="1"/>
      </c>
      <c r="GV308" s="11">
        <f ca="1"/>
      </c>
      <c r="HE308">
        <f ca="1"/>
      </c>
    </row>
    <row r="309" spans="147:226" x14ac:dyDescent="0.55000000000000004">
      <c r="GQ309">
        <f ca="1"/>
      </c>
      <c r="GR309" s="11">
        <f ca="1"/>
      </c>
      <c r="GS309" s="11">
        <f ca="1"/>
      </c>
      <c r="GT309" s="11">
        <f ca="1"/>
      </c>
      <c r="GU309" s="11">
        <f ca="1"/>
      </c>
      <c r="GV309" s="11">
        <f ca="1"/>
      </c>
      <c r="HE309">
        <f ca="1"/>
      </c>
    </row>
    <row r="310" spans="147:226" x14ac:dyDescent="0.55000000000000004">
      <c r="GQ310">
        <f ca="1"/>
      </c>
      <c r="GR310" s="11">
        <f ca="1"/>
      </c>
      <c r="GS310" s="11">
        <f ca="1"/>
      </c>
      <c r="GT310" s="11">
        <f ca="1"/>
      </c>
      <c r="GU310" s="11">
        <f ca="1"/>
      </c>
      <c r="GV310" s="11">
        <f ca="1"/>
      </c>
      <c r="HE310">
        <f ca="1"/>
      </c>
    </row>
    <row r="311" spans="147:226" x14ac:dyDescent="0.55000000000000004">
      <c r="GQ311">
        <f ca="1"/>
      </c>
      <c r="GR311" s="11">
        <f ca="1"/>
      </c>
      <c r="GS311" s="11">
        <f ca="1"/>
      </c>
      <c r="GT311" s="11">
        <f ca="1"/>
      </c>
      <c r="GU311" s="11">
        <f ca="1"/>
      </c>
      <c r="GV311" s="11">
        <f ca="1"/>
      </c>
      <c r="HE311">
        <f ca="1"/>
      </c>
    </row>
    <row r="312" spans="147:226" x14ac:dyDescent="0.55000000000000004">
      <c r="GQ312">
        <f ca="1"/>
      </c>
      <c r="GR312" s="11">
        <f ca="1"/>
      </c>
      <c r="GS312" s="11">
        <f ca="1"/>
      </c>
      <c r="GT312" s="11">
        <f ca="1"/>
      </c>
      <c r="GU312" s="11">
        <f ca="1"/>
      </c>
      <c r="GV312" s="11">
        <f ca="1"/>
      </c>
      <c r="HE312">
        <f ca="1"/>
      </c>
    </row>
    <row r="313" spans="147:226" x14ac:dyDescent="0.55000000000000004">
      <c r="GQ313">
        <f ca="1"/>
      </c>
      <c r="GR313" s="11">
        <f ca="1"/>
      </c>
      <c r="GS313" s="11">
        <f ca="1"/>
      </c>
      <c r="GT313" s="11">
        <f ca="1"/>
      </c>
      <c r="GU313" s="11">
        <f ca="1"/>
      </c>
      <c r="GV313" s="11">
        <f ca="1"/>
      </c>
      <c r="HE313">
        <f ca="1"/>
      </c>
    </row>
    <row r="314" spans="147:226" x14ac:dyDescent="0.55000000000000004">
      <c r="GQ314">
        <f ca="1"/>
      </c>
      <c r="GR314" s="11">
        <f ca="1"/>
      </c>
      <c r="GS314" s="11">
        <f ca="1"/>
      </c>
      <c r="GT314" s="11">
        <f ca="1"/>
      </c>
      <c r="GU314" s="11">
        <f ca="1"/>
      </c>
      <c r="GV314" s="11">
        <f ca="1"/>
      </c>
      <c r="HE314">
        <f ca="1"/>
      </c>
    </row>
    <row r="315" spans="147:226" x14ac:dyDescent="0.55000000000000004">
      <c r="GQ315">
        <f ca="1"/>
      </c>
      <c r="GR315" s="11">
        <f ca="1"/>
      </c>
      <c r="GS315" s="11">
        <f ca="1"/>
      </c>
      <c r="GT315" s="11">
        <f ca="1"/>
      </c>
      <c r="GU315" s="11">
        <f ca="1"/>
      </c>
      <c r="GV315" s="11">
        <f ca="1"/>
      </c>
      <c r="HE315">
        <f ca="1"/>
      </c>
    </row>
    <row r="316" spans="147:226" x14ac:dyDescent="0.55000000000000004">
      <c r="GQ316">
        <f ca="1"/>
      </c>
      <c r="GR316" s="11">
        <f ca="1"/>
      </c>
      <c r="GS316" s="11">
        <f ca="1"/>
      </c>
      <c r="GT316" s="11">
        <f ca="1"/>
      </c>
      <c r="GU316" s="11">
        <f ca="1"/>
      </c>
      <c r="GV316" s="11">
        <f ca="1"/>
      </c>
      <c r="HE316">
        <f ca="1"/>
      </c>
    </row>
    <row r="317" spans="147:226" x14ac:dyDescent="0.55000000000000004">
      <c r="GQ317">
        <f ca="1"/>
      </c>
      <c r="GR317" s="11">
        <f ca="1"/>
      </c>
      <c r="GS317" s="11">
        <f ca="1"/>
      </c>
      <c r="GT317" s="11">
        <f ca="1"/>
      </c>
      <c r="GU317" s="11">
        <f ca="1"/>
      </c>
      <c r="GV317" s="11">
        <f ca="1"/>
      </c>
      <c r="HE317">
        <f ca="1"/>
      </c>
    </row>
    <row r="318" spans="147:226" x14ac:dyDescent="0.55000000000000004">
      <c r="GQ318">
        <f ca="1"/>
      </c>
      <c r="GR318" s="11">
        <f ca="1"/>
      </c>
      <c r="GS318" s="11">
        <f ca="1"/>
      </c>
      <c r="GT318" s="11">
        <f ca="1"/>
      </c>
      <c r="GU318" s="11">
        <f ca="1"/>
      </c>
      <c r="GV318" s="11">
        <f ca="1"/>
      </c>
      <c r="HE318">
        <f ca="1"/>
      </c>
    </row>
    <row r="319" spans="147:226" x14ac:dyDescent="0.55000000000000004">
      <c r="GQ319">
        <f ca="1"/>
      </c>
      <c r="GR319" s="11">
        <f ca="1"/>
      </c>
      <c r="GS319" s="11">
        <f ca="1"/>
      </c>
      <c r="GT319" s="11">
        <f ca="1"/>
      </c>
      <c r="GU319" s="11">
        <f ca="1"/>
      </c>
      <c r="GV319" s="11">
        <f ca="1"/>
      </c>
      <c r="HE319">
        <f ca="1"/>
      </c>
    </row>
    <row r="320" spans="147:226" x14ac:dyDescent="0.55000000000000004">
      <c r="GQ320">
        <f ca="1"/>
      </c>
      <c r="GR320" s="11">
        <f ca="1"/>
      </c>
      <c r="GS320" s="11">
        <f ca="1"/>
      </c>
      <c r="GT320" s="11">
        <f ca="1"/>
      </c>
      <c r="GU320" s="11">
        <f ca="1"/>
      </c>
      <c r="GV320" s="11">
        <f ca="1"/>
      </c>
      <c r="HE320">
        <f ca="1"/>
      </c>
    </row>
    <row r="321" spans="147:225" x14ac:dyDescent="0.55000000000000004">
      <c r="GQ321">
        <f ca="1"/>
      </c>
      <c r="GR321" s="11">
        <f ca="1"/>
      </c>
      <c r="GS321" s="11">
        <f ca="1"/>
      </c>
      <c r="GT321" s="11">
        <f ca="1"/>
      </c>
      <c r="GU321" s="11">
        <f ca="1"/>
      </c>
      <c r="GV321" s="11">
        <f ca="1"/>
      </c>
      <c r="HE321">
        <f ca="1"/>
      </c>
    </row>
    <row r="322" spans="147:225" x14ac:dyDescent="0.55000000000000004">
      <c r="GQ322">
        <f ca="1"/>
      </c>
      <c r="GR322" s="11">
        <f ca="1"/>
      </c>
      <c r="GS322" s="11">
        <f ca="1"/>
      </c>
      <c r="GT322" s="11">
        <f ca="1"/>
      </c>
      <c r="GU322" s="11">
        <f ca="1"/>
      </c>
      <c r="GV322" s="11">
        <f ca="1"/>
      </c>
      <c r="HE322">
        <f ca="1"/>
      </c>
    </row>
    <row r="323" spans="147:225" x14ac:dyDescent="0.55000000000000004">
      <c r="GR323" s="11"/>
      <c r="GS323" s="11"/>
      <c r="GT323" s="11"/>
      <c r="GU323" s="11"/>
      <c r="GV323" s="11"/>
    </row>
    <row r="324" spans="147:225" x14ac:dyDescent="0.55000000000000004">
      <c r="GR324" s="11"/>
      <c r="GS324" s="11"/>
      <c r="GT324" s="11"/>
      <c r="GU324" s="11"/>
      <c r="GV324" s="11"/>
    </row>
    <row r="325" spans="147:225" x14ac:dyDescent="0.55000000000000004">
      <c r="GR325" s="11"/>
      <c r="GS325" s="11"/>
      <c r="GT325" s="11"/>
      <c r="GU325" s="11"/>
      <c r="GV325" s="11"/>
    </row>
    <row r="326" spans="147:225" x14ac:dyDescent="0.55000000000000004">
      <c r="GR326" s="11"/>
      <c r="GS326" s="11"/>
      <c r="GT326" s="11"/>
      <c r="GU326" s="11"/>
      <c r="GV326" s="11"/>
    </row>
    <row r="327" spans="147:225" x14ac:dyDescent="0.55000000000000004">
      <c r="GR327" s="11"/>
      <c r="GS327" s="11"/>
      <c r="GT327" s="11"/>
      <c r="GU327" s="11"/>
      <c r="GV327" s="11"/>
    </row>
    <row r="328" spans="147:225" x14ac:dyDescent="0.55000000000000004">
      <c r="GR328" s="11"/>
      <c r="GS328" s="11"/>
      <c r="GT328" s="11"/>
      <c r="GU328" s="11"/>
      <c r="GV328" s="11"/>
    </row>
    <row r="329" spans="147:225" x14ac:dyDescent="0.55000000000000004">
      <c r="GR329" s="11"/>
      <c r="GS329" s="11"/>
      <c r="GT329" s="11"/>
      <c r="GU329" s="11"/>
      <c r="GV329" s="11"/>
    </row>
    <row r="330" spans="147:225" x14ac:dyDescent="0.55000000000000004">
      <c r="GR330" s="11"/>
      <c r="GS330" s="11"/>
      <c r="GT330" s="11"/>
      <c r="GU330" s="11"/>
      <c r="GV330" s="11"/>
    </row>
    <row r="331" spans="147:225" x14ac:dyDescent="0.55000000000000004">
      <c r="GR331" s="11"/>
      <c r="GS331" s="11"/>
      <c r="GT331" s="11"/>
      <c r="GU331" s="11"/>
      <c r="GV331" s="11"/>
    </row>
    <row r="332" spans="147:225" x14ac:dyDescent="0.55000000000000004">
      <c r="GR332" s="11"/>
      <c r="GS332" s="11"/>
      <c r="GT332" s="11"/>
      <c r="GU332" s="11"/>
      <c r="GV332" s="11"/>
    </row>
    <row r="333" spans="147:225" x14ac:dyDescent="0.55000000000000004">
      <c r="GR333" s="11"/>
      <c r="GS333" s="11"/>
      <c r="GT333" s="11"/>
      <c r="GU333" s="11"/>
      <c r="GV333" s="11"/>
    </row>
    <row r="334" spans="147:225" x14ac:dyDescent="0.55000000000000004">
      <c r="GR334" s="11"/>
      <c r="GS334" s="11"/>
      <c r="GT334" s="11"/>
      <c r="GU334" s="11"/>
      <c r="GV334" s="11"/>
    </row>
    <row r="335" spans="147:225" x14ac:dyDescent="0.55000000000000004">
      <c r="GR335" s="11"/>
      <c r="GS335" s="11"/>
      <c r="GT335" s="11"/>
      <c r="GU335" s="11"/>
      <c r="GV335" s="11"/>
    </row>
    <row r="336" spans="147:225" x14ac:dyDescent="0.55000000000000004">
      <c r="GR336" s="11"/>
      <c r="GS336" s="11"/>
      <c r="GT336" s="11"/>
      <c r="GU336" s="11"/>
      <c r="GV336" s="11"/>
    </row>
    <row r="337" spans="200:204" x14ac:dyDescent="0.55000000000000004">
      <c r="GR337" s="11"/>
      <c r="GS337" s="11"/>
      <c r="GT337" s="11"/>
      <c r="GU337" s="11"/>
      <c r="GV337" s="11"/>
    </row>
    <row r="338" spans="200:204" x14ac:dyDescent="0.55000000000000004">
      <c r="GR338" s="11"/>
      <c r="GS338" s="11"/>
      <c r="GT338" s="11"/>
      <c r="GU338" s="11"/>
      <c r="GV338" s="11"/>
    </row>
    <row r="339" spans="200:204" x14ac:dyDescent="0.55000000000000004">
      <c r="GR339" s="11"/>
      <c r="GS339" s="11"/>
      <c r="GT339" s="11"/>
      <c r="GU339" s="11"/>
      <c r="GV339" s="11"/>
    </row>
    <row r="340" spans="200:204" x14ac:dyDescent="0.55000000000000004">
      <c r="GR340" s="11"/>
      <c r="GS340" s="11"/>
      <c r="GT340" s="11"/>
      <c r="GU340" s="11"/>
      <c r="GV340" s="11"/>
    </row>
    <row r="341" spans="200:204" x14ac:dyDescent="0.55000000000000004">
      <c r="GR341" s="11"/>
      <c r="GS341" s="11"/>
      <c r="GT341" s="11"/>
      <c r="GU341" s="11"/>
      <c r="GV341" s="11"/>
    </row>
    <row r="342" spans="200:204" x14ac:dyDescent="0.55000000000000004">
      <c r="GR342" s="11"/>
      <c r="GS342" s="11"/>
      <c r="GT342" s="11"/>
      <c r="GU342" s="11"/>
      <c r="GV342" s="11"/>
    </row>
    <row r="343" spans="200:204" x14ac:dyDescent="0.55000000000000004">
      <c r="GR343" s="11"/>
      <c r="GS343" s="11"/>
      <c r="GT343" s="11"/>
      <c r="GU343" s="11"/>
      <c r="GV343" s="11"/>
    </row>
    <row r="344" spans="200:204" x14ac:dyDescent="0.55000000000000004">
      <c r="GR344" s="11"/>
      <c r="GS344" s="11"/>
      <c r="GT344" s="11"/>
      <c r="GU344" s="11"/>
      <c r="GV344" s="11"/>
    </row>
    <row r="345" spans="200:204" x14ac:dyDescent="0.55000000000000004">
      <c r="GR345" s="11"/>
      <c r="GS345" s="11"/>
      <c r="GT345" s="11"/>
      <c r="GU345" s="11"/>
      <c r="GV345" s="11"/>
    </row>
    <row r="346" spans="200:204" x14ac:dyDescent="0.55000000000000004">
      <c r="GR346" s="11"/>
      <c r="GS346" s="11"/>
      <c r="GT346" s="11"/>
      <c r="GU346" s="11"/>
      <c r="GV346" s="11"/>
    </row>
    <row r="354" spans="146:226" x14ac:dyDescent="0.55000000000000004">
      <c r="EP354" t="s">
        <v>159</v>
      </c>
      <c r="EQ354" cm="1">
        <f t="array" ref="EQ354:FR371">_xlfn.LET(_xlpm.g,_xlfn.DROP(_xlfn.ANCHORARRAY($CO$4),1),_xlfn._xlws.FILTER(_xlpm.g,_xlfn.TAKE(_xlpm.g,,1)=8))</f>
      </c>
      <c r="GQ354" t="s">
        <v>169</v>
      </c>
      <c r="GR354" cm="1">
        <f t="array" aca="1" ref="GR354" ca="1">IFERROR(_xlfn.LET(_xlpm.R,_xlfn.ANCHORARRAY($GR$355),_xlpm.a,ABS(_xlpm.R),"k="&amp;$D$12&amp;"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354" cm="1">
        <f t="array" aca="1" ref="GS354" ca="1">IFERROR(_xlfn.LET(_xlpm.R,_xlfn.ANCHORARRAY($GS$355),_xlpm.a,ABS(_xlpm.R),"k="&amp;$D$28&amp;"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354" cm="1">
        <f t="array" aca="1" ref="GT354" ca="1">IFERROR(_xlfn.LET(_xlpm.R,_xlfn.ANCHORARRAY($GT$355),_xlpm.a,ABS(_xlpm.R),"k="&amp;$D$44&amp;"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354" cm="1">
        <f t="array" aca="1" ref="GU354" ca="1">IFERROR(_xlfn.LET(_xlpm.R,_xlfn.ANCHORARRAY($GU$355),_xlpm.a,ABS(_xlpm.R),"k="&amp;$D$60&amp;"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354" cm="1">
        <f t="array" aca="1" ref="GV354" ca="1">IFERROR(_xlfn.LET(_xlpm.R,_xlfn.ANCHORARRAY($GV$355),_xlpm.a,ABS(_xlpm.R),"k="&amp;$D$76&amp;"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354" t="s">
        <v>44</v>
      </c>
      <c r="GY354" t="s">
        <v>45</v>
      </c>
      <c r="GZ354" t="s">
        <v>46</v>
      </c>
      <c r="HA354" t="s">
        <v>47</v>
      </c>
      <c r="HB354" t="s">
        <v>48</v>
      </c>
      <c r="HD354" t="s">
        <v>174</v>
      </c>
      <c r="HE354">
        <f>"Actual / Mean / Recon (k="&amp;$D$108&amp;")  dashed: Mean ±1σ"</f>
      </c>
      <c r="HF354" t="s">
        <v>175</v>
      </c>
      <c r="HG354" t="s">
        <v>176</v>
      </c>
      <c r="HH354" t="s">
        <v>179</v>
      </c>
      <c r="HI354" t="s">
        <v>180</v>
      </c>
      <c r="HJ354" t="s">
        <v>181</v>
      </c>
      <c r="HK354" t="s">
        <v>182</v>
      </c>
      <c r="HL354" t="s">
        <v>183</v>
      </c>
      <c r="HM354" t="s">
        <v>184</v>
      </c>
      <c r="HN354" t="s">
        <v>185</v>
      </c>
      <c r="HO354" t="s">
        <v>186</v>
      </c>
      <c r="HP354" t="s">
        <v>187</v>
      </c>
      <c r="HQ354" t="s">
        <v>188</v>
      </c>
      <c r="HR354" t="s">
        <v>189</v>
      </c>
    </row>
    <row r="355" spans="146:226" x14ac:dyDescent="0.55000000000000004">
      <c r="GQ355" cm="1">
        <f t="array" aca="1" ref="GQ355:GQ372" ca="1">IF($BB$6="Change",_xlfn.ANCHORARRAY($CJ$4),_xlfn.ANCHORARRAY($CI$4))</f>
      </c>
      <c r="GR355" s="11" cm="1">
        <f t="array" aca="1" ref="GR355:GR372" ca="1">_xlfn.LET(_xlpm.sl,_xlfn.ANCHORARRAY($EQ$354),_xlpm.mu,_xlfn.CHOOSECOLS(_xlpm.sl,8),_xlpm.sg,_xlfn.CHOOSECOLS(_xlpm.sl,9),_xlpm.x,_xlfn.ANCHORARRAY($GQ$355),_xlpm.V,_xlfn.TAKE(_xlfn.DROP(_xlpm.sl,,10),,$D$12),(_xlpm.x-(_xlpm.mu+_xlpm.sg*MMULT(_xlpm.V,MMULT(TRANSPOSE(_xlpm.V),(_xlpm.x-_xlpm.mu)/_xlpm.sg))))*100)</f>
      </c>
      <c r="GS355" s="11" cm="1">
        <f t="array" aca="1" ref="GS355:GS372" ca="1">_xlfn.LET(_xlpm.sl,_xlfn.ANCHORARRAY($EQ$354),_xlpm.mu,_xlfn.CHOOSECOLS(_xlpm.sl,8),_xlpm.sg,_xlfn.CHOOSECOLS(_xlpm.sl,9),_xlpm.x,_xlfn.ANCHORARRAY($GQ$355),_xlpm.V,_xlfn.TAKE(_xlfn.DROP(_xlpm.sl,,10),,$D$28),(_xlpm.x-(_xlpm.mu+_xlpm.sg*MMULT(_xlpm.V,MMULT(TRANSPOSE(_xlpm.V),(_xlpm.x-_xlpm.mu)/_xlpm.sg))))*100)</f>
      </c>
      <c r="GT355" s="11" cm="1">
        <f t="array" aca="1" ref="GT355:GT372" ca="1">_xlfn.LET(_xlpm.sl,_xlfn.ANCHORARRAY($EQ$354),_xlpm.mu,_xlfn.CHOOSECOLS(_xlpm.sl,8),_xlpm.sg,_xlfn.CHOOSECOLS(_xlpm.sl,9),_xlpm.x,_xlfn.ANCHORARRAY($GQ$355),_xlpm.V,_xlfn.TAKE(_xlfn.DROP(_xlpm.sl,,10),,$D$44),(_xlpm.x-(_xlpm.mu+_xlpm.sg*MMULT(_xlpm.V,MMULT(TRANSPOSE(_xlpm.V),(_xlpm.x-_xlpm.mu)/_xlpm.sg))))*100)</f>
      </c>
      <c r="GU355" s="11" cm="1">
        <f t="array" aca="1" ref="GU355:GU372" ca="1">_xlfn.LET(_xlpm.sl,_xlfn.ANCHORARRAY($EQ$354),_xlpm.mu,_xlfn.CHOOSECOLS(_xlpm.sl,8),_xlpm.sg,_xlfn.CHOOSECOLS(_xlpm.sl,9),_xlpm.x,_xlfn.ANCHORARRAY($GQ$355),_xlpm.V,_xlfn.TAKE(_xlfn.DROP(_xlpm.sl,,10),,$D$60),(_xlpm.x-(_xlpm.mu+_xlpm.sg*MMULT(_xlpm.V,MMULT(TRANSPOSE(_xlpm.V),(_xlpm.x-_xlpm.mu)/_xlpm.sg))))*100)</f>
      </c>
      <c r="GV355" s="11" cm="1">
        <f t="array" aca="1" ref="GV355:GV372" ca="1">_xlfn.LET(_xlpm.sl,_xlfn.ANCHORARRAY($EQ$354),_xlpm.mu,_xlfn.CHOOSECOLS(_xlpm.sl,8),_xlpm.sg,_xlfn.CHOOSECOLS(_xlpm.sl,9),_xlpm.x,_xlfn.ANCHORARRAY($GQ$355),_xlpm.V,_xlfn.TAKE(_xlfn.DROP(_xlpm.sl,,10),,$D$76),(_xlpm.x-(_xlpm.mu+_xlpm.sg*MMULT(_xlpm.V,MMULT(TRANSPOSE(_xlpm.V),(_xlpm.x-_xlpm.mu)/_xlpm.sg))))*100)</f>
      </c>
      <c r="GX355" cm="1">
        <f t="array" ref="GX355:GX372">_xlfn.LET(_xlpm.V,_xlfn.DROP(_xlfn.ANCHORARRAY($EQ$354),,10),IF(1&lt;=COLUMNS(_xlpm.V),_xlfn.CHOOSECOLS(_xlpm.V,1),IF(_xlfn.SEQUENCE(ROWS(_xlpm.V)),NA())))</f>
      </c>
      <c r="GY355" cm="1">
        <f t="array" ref="GY355:GY372">_xlfn.LET(_xlpm.V,_xlfn.DROP(_xlfn.ANCHORARRAY($EQ$354),,10),IF(2&lt;=COLUMNS(_xlpm.V),_xlfn.CHOOSECOLS(_xlpm.V,2),IF(_xlfn.SEQUENCE(ROWS(_xlpm.V)),NA())))</f>
      </c>
      <c r="GZ355" cm="1">
        <f t="array" ref="GZ355:GZ372">_xlfn.LET(_xlpm.V,_xlfn.DROP(_xlfn.ANCHORARRAY($EQ$354),,10),IF(3&lt;=COLUMNS(_xlpm.V),_xlfn.CHOOSECOLS(_xlpm.V,3),IF(_xlfn.SEQUENCE(ROWS(_xlpm.V)),NA())))</f>
      </c>
      <c r="HA355" cm="1">
        <f t="array" ref="HA355:HA372">_xlfn.LET(_xlpm.V,_xlfn.DROP(_xlfn.ANCHORARRAY($EQ$354),,10),IF(4&lt;=COLUMNS(_xlpm.V),_xlfn.CHOOSECOLS(_xlpm.V,4),IF(_xlfn.SEQUENCE(ROWS(_xlpm.V)),NA())))</f>
      </c>
      <c r="HB355" cm="1">
        <f t="array" ref="HB355:HB372">_xlfn.LET(_xlpm.V,_xlfn.DROP(_xlfn.ANCHORARRAY($EQ$354),,10),IF(5&lt;=COLUMNS(_xlpm.V),_xlfn.CHOOSECOLS(_xlpm.V,5),IF(_xlfn.SEQUENCE(ROWS(_xlpm.V)),NA())))</f>
      </c>
      <c r="HD355" cm="1">
        <f t="array" ref="HD355:HD372">_xlfn.CHOOSECOLS(_xlfn.ANCHORARRAY($EQ$354),8)</f>
      </c>
      <c r="HE355" cm="1">
        <f t="array" aca="1" ref="HE355:HE372" ca="1">_xlfn.LET(_xlpm.sl,_xlfn.ANCHORARRAY($EQ$354),_xlpm.mu,_xlfn.CHOOSECOLS(_xlpm.sl,8),_xlpm.sg,_xlfn.CHOOSECOLS(_xlpm.sl,9),_xlpm.x,_xlfn.ANCHORARRAY($GQ$355),_xlpm.V,_xlfn.TAKE(_xlfn.DROP(_xlpm.sl,,10),,$D$108),_xlpm.mu+_xlpm.sg*MMULT(_xlpm.V,MMULT(TRANSPOSE(_xlpm.V),(_xlpm.x-_xlpm.mu)/_xlpm.sg)))</f>
      </c>
      <c r="HF355" cm="1">
        <f t="array" ref="HF355:HF372">_xlfn.CHOOSECOLS(_xlfn.ANCHORARRAY($EQ$354),8)+_xlfn.CHOOSECOLS(_xlfn.ANCHORARRAY($EQ$354),10)</f>
      </c>
      <c r="HG355" cm="1">
        <f t="array" ref="HG355:HG372">_xlfn.CHOOSECOLS(_xlfn.ANCHORARRAY($EQ$354),8)-_xlfn.CHOOSECOLS(_xlfn.ANCHORARRAY($EQ$354),10)</f>
      </c>
      <c r="HH355" cm="1">
        <f t="array" ref="HH355:HH372">_xlfn.LET(_xlpm.v,_xlfn.CHOOSECOLS(_xlfn._xlws.FILTER(_xlfn.DROP(_xlfn.ANCHORARRAY($HS$4),1),_xlfn.TAKE(_xlfn.DROP(_xlfn.ANCHORARRAY($HS$4),1),,1)=8),3),IF(_xlpm.v="",NA(),_xlpm.v))</f>
      </c>
      <c r="HI355" cm="1">
        <f t="array" ref="HI355:HI372">-_xlfn.ANCHORARRAY($HH$355)</f>
      </c>
      <c r="HJ355" cm="1">
        <f t="array" ref="HJ355:HJ372">_xlfn.LET(_xlpm.v,_xlfn.CHOOSECOLS(_xlfn._xlws.FILTER(_xlfn.DROP(_xlfn.ANCHORARRAY($HS$4),1),_xlfn.TAKE(_xlfn.DROP(_xlfn.ANCHORARRAY($HS$4),1),,1)=8),4),IF(_xlpm.v="",NA(),_xlpm.v))</f>
      </c>
      <c r="HK355" cm="1">
        <f t="array" ref="HK355:HK372">-_xlfn.ANCHORARRAY($HJ$355)</f>
      </c>
      <c r="HL355" cm="1">
        <f t="array" ref="HL355:HL372">_xlfn.LET(_xlpm.v,_xlfn.CHOOSECOLS(_xlfn._xlws.FILTER(_xlfn.DROP(_xlfn.ANCHORARRAY($HS$4),1),_xlfn.TAKE(_xlfn.DROP(_xlfn.ANCHORARRAY($HS$4),1),,1)=8),5),IF(_xlpm.v="",NA(),_xlpm.v))</f>
      </c>
      <c r="HM355" cm="1">
        <f t="array" ref="HM355:HM372">-_xlfn.ANCHORARRAY($HL$355)</f>
      </c>
      <c r="HN355" cm="1">
        <f t="array" ref="HN355:HN372">_xlfn.LET(_xlpm.v,_xlfn.CHOOSECOLS(_xlfn._xlws.FILTER(_xlfn.DROP(_xlfn.ANCHORARRAY($HS$4),1),_xlfn.TAKE(_xlfn.DROP(_xlfn.ANCHORARRAY($HS$4),1),,1)=8),6),IF(_xlpm.v="",NA(),_xlpm.v))</f>
      </c>
      <c r="HO355" cm="1">
        <f t="array" ref="HO355:HO372">-_xlfn.ANCHORARRAY($HN$355)</f>
      </c>
      <c r="HP355" cm="1">
        <f t="array" ref="HP355:HP372">_xlfn.LET(_xlpm.v,_xlfn.CHOOSECOLS(_xlfn._xlws.FILTER(_xlfn.DROP(_xlfn.ANCHORARRAY($HS$4),1),_xlfn.TAKE(_xlfn.DROP(_xlfn.ANCHORARRAY($HS$4),1),,1)=8),7),IF(_xlpm.v="",NA(),_xlpm.v))</f>
      </c>
      <c r="HQ355" cm="1">
        <f t="array" ref="HQ355:HQ372">-_xlfn.ANCHORARRAY($HP$355)</f>
      </c>
      <c r="HR355" cm="1">
        <f t="array" ref="HR355">IFERROR(INDEX(_xlfn._xlws.FILTER(_xlfn.DROP(_xlfn.ANCHORARRAY($HS$4),1),_xlfn.TAKE(_xlfn.DROP(_xlfn.ANCHORARRAY($HS$4),1),,1)=8),1,2),"")</f>
      </c>
    </row>
    <row r="356" spans="146:226" x14ac:dyDescent="0.55000000000000004">
      <c r="GQ356">
        <f ca="1"/>
      </c>
      <c r="GR356" s="11">
        <f ca="1"/>
      </c>
      <c r="GS356" s="11">
        <f ca="1"/>
      </c>
      <c r="GT356" s="11">
        <f ca="1"/>
      </c>
      <c r="GU356" s="11">
        <f ca="1"/>
      </c>
      <c r="GV356" s="11">
        <f ca="1"/>
      </c>
      <c r="HE356">
        <f ca="1"/>
      </c>
    </row>
    <row r="357" spans="146:226" x14ac:dyDescent="0.55000000000000004">
      <c r="GQ357">
        <f ca="1"/>
      </c>
      <c r="GR357" s="11">
        <f ca="1"/>
      </c>
      <c r="GS357" s="11">
        <f ca="1"/>
      </c>
      <c r="GT357" s="11">
        <f ca="1"/>
      </c>
      <c r="GU357" s="11">
        <f ca="1"/>
      </c>
      <c r="GV357" s="11">
        <f ca="1"/>
      </c>
      <c r="HE357">
        <f ca="1"/>
      </c>
    </row>
    <row r="358" spans="146:226" x14ac:dyDescent="0.55000000000000004">
      <c r="GQ358">
        <f ca="1"/>
      </c>
      <c r="GR358" s="11">
        <f ca="1"/>
      </c>
      <c r="GS358" s="11">
        <f ca="1"/>
      </c>
      <c r="GT358" s="11">
        <f ca="1"/>
      </c>
      <c r="GU358" s="11">
        <f ca="1"/>
      </c>
      <c r="GV358" s="11">
        <f ca="1"/>
      </c>
      <c r="HE358">
        <f ca="1"/>
      </c>
    </row>
    <row r="359" spans="146:226" x14ac:dyDescent="0.55000000000000004">
      <c r="GQ359">
        <f ca="1"/>
      </c>
      <c r="GR359" s="11">
        <f ca="1"/>
      </c>
      <c r="GS359" s="11">
        <f ca="1"/>
      </c>
      <c r="GT359" s="11">
        <f ca="1"/>
      </c>
      <c r="GU359" s="11">
        <f ca="1"/>
      </c>
      <c r="GV359" s="11">
        <f ca="1"/>
      </c>
      <c r="HE359">
        <f ca="1"/>
      </c>
    </row>
    <row r="360" spans="146:226" x14ac:dyDescent="0.55000000000000004">
      <c r="GQ360">
        <f ca="1"/>
      </c>
      <c r="GR360" s="11">
        <f ca="1"/>
      </c>
      <c r="GS360" s="11">
        <f ca="1"/>
      </c>
      <c r="GT360" s="11">
        <f ca="1"/>
      </c>
      <c r="GU360" s="11">
        <f ca="1"/>
      </c>
      <c r="GV360" s="11">
        <f ca="1"/>
      </c>
      <c r="HE360">
        <f ca="1"/>
      </c>
    </row>
    <row r="361" spans="146:226" x14ac:dyDescent="0.55000000000000004">
      <c r="GQ361">
        <f ca="1"/>
      </c>
      <c r="GR361" s="11">
        <f ca="1"/>
      </c>
      <c r="GS361" s="11">
        <f ca="1"/>
      </c>
      <c r="GT361" s="11">
        <f ca="1"/>
      </c>
      <c r="GU361" s="11">
        <f ca="1"/>
      </c>
      <c r="GV361" s="11">
        <f ca="1"/>
      </c>
      <c r="HE361">
        <f ca="1"/>
      </c>
    </row>
    <row r="362" spans="146:226" x14ac:dyDescent="0.55000000000000004">
      <c r="GQ362">
        <f ca="1"/>
      </c>
      <c r="GR362" s="11">
        <f ca="1"/>
      </c>
      <c r="GS362" s="11">
        <f ca="1"/>
      </c>
      <c r="GT362" s="11">
        <f ca="1"/>
      </c>
      <c r="GU362" s="11">
        <f ca="1"/>
      </c>
      <c r="GV362" s="11">
        <f ca="1"/>
      </c>
      <c r="HE362">
        <f ca="1"/>
      </c>
    </row>
    <row r="363" spans="146:226" x14ac:dyDescent="0.55000000000000004">
      <c r="GQ363">
        <f ca="1"/>
      </c>
      <c r="GR363" s="11">
        <f ca="1"/>
      </c>
      <c r="GS363" s="11">
        <f ca="1"/>
      </c>
      <c r="GT363" s="11">
        <f ca="1"/>
      </c>
      <c r="GU363" s="11">
        <f ca="1"/>
      </c>
      <c r="GV363" s="11">
        <f ca="1"/>
      </c>
      <c r="HE363">
        <f ca="1"/>
      </c>
    </row>
    <row r="364" spans="146:226" x14ac:dyDescent="0.55000000000000004">
      <c r="GQ364">
        <f ca="1"/>
      </c>
      <c r="GR364" s="11">
        <f ca="1"/>
      </c>
      <c r="GS364" s="11">
        <f ca="1"/>
      </c>
      <c r="GT364" s="11">
        <f ca="1"/>
      </c>
      <c r="GU364" s="11">
        <f ca="1"/>
      </c>
      <c r="GV364" s="11">
        <f ca="1"/>
      </c>
      <c r="HE364">
        <f ca="1"/>
      </c>
    </row>
    <row r="365" spans="146:226" x14ac:dyDescent="0.55000000000000004">
      <c r="GQ365">
        <f ca="1"/>
      </c>
      <c r="GR365" s="11">
        <f ca="1"/>
      </c>
      <c r="GS365" s="11">
        <f ca="1"/>
      </c>
      <c r="GT365" s="11">
        <f ca="1"/>
      </c>
      <c r="GU365" s="11">
        <f ca="1"/>
      </c>
      <c r="GV365" s="11">
        <f ca="1"/>
      </c>
      <c r="HE365">
        <f ca="1"/>
      </c>
    </row>
    <row r="366" spans="146:226" x14ac:dyDescent="0.55000000000000004">
      <c r="GQ366">
        <f ca="1"/>
      </c>
      <c r="GR366" s="11">
        <f ca="1"/>
      </c>
      <c r="GS366" s="11">
        <f ca="1"/>
      </c>
      <c r="GT366" s="11">
        <f ca="1"/>
      </c>
      <c r="GU366" s="11">
        <f ca="1"/>
      </c>
      <c r="GV366" s="11">
        <f ca="1"/>
      </c>
      <c r="HE366">
        <f ca="1"/>
      </c>
    </row>
    <row r="367" spans="146:226" x14ac:dyDescent="0.55000000000000004">
      <c r="GQ367">
        <f ca="1"/>
      </c>
      <c r="GR367" s="11">
        <f ca="1"/>
      </c>
      <c r="GS367" s="11">
        <f ca="1"/>
      </c>
      <c r="GT367" s="11">
        <f ca="1"/>
      </c>
      <c r="GU367" s="11">
        <f ca="1"/>
      </c>
      <c r="GV367" s="11">
        <f ca="1"/>
      </c>
      <c r="HE367">
        <f ca="1"/>
      </c>
    </row>
    <row r="368" spans="146:226" x14ac:dyDescent="0.55000000000000004">
      <c r="GQ368">
        <f ca="1"/>
      </c>
      <c r="GR368" s="11">
        <f ca="1"/>
      </c>
      <c r="GS368" s="11">
        <f ca="1"/>
      </c>
      <c r="GT368" s="11">
        <f ca="1"/>
      </c>
      <c r="GU368" s="11">
        <f ca="1"/>
      </c>
      <c r="GV368" s="11">
        <f ca="1"/>
      </c>
      <c r="HE368">
        <f ca="1"/>
      </c>
    </row>
    <row r="369" spans="147:225" x14ac:dyDescent="0.55000000000000004">
      <c r="GQ369">
        <f ca="1"/>
      </c>
      <c r="GR369" s="11">
        <f ca="1"/>
      </c>
      <c r="GS369" s="11">
        <f ca="1"/>
      </c>
      <c r="GT369" s="11">
        <f ca="1"/>
      </c>
      <c r="GU369" s="11">
        <f ca="1"/>
      </c>
      <c r="GV369" s="11">
        <f ca="1"/>
      </c>
      <c r="HE369">
        <f ca="1"/>
      </c>
    </row>
    <row r="370" spans="147:225" x14ac:dyDescent="0.55000000000000004">
      <c r="GQ370">
        <f ca="1"/>
      </c>
      <c r="GR370" s="11">
        <f ca="1"/>
      </c>
      <c r="GS370" s="11">
        <f ca="1"/>
      </c>
      <c r="GT370" s="11">
        <f ca="1"/>
      </c>
      <c r="GU370" s="11">
        <f ca="1"/>
      </c>
      <c r="GV370" s="11">
        <f ca="1"/>
      </c>
      <c r="HE370">
        <f ca="1"/>
      </c>
    </row>
    <row r="371" spans="147:225" x14ac:dyDescent="0.55000000000000004">
      <c r="GQ371">
        <f ca="1"/>
      </c>
      <c r="GR371" s="11">
        <f ca="1"/>
      </c>
      <c r="GS371" s="11">
        <f ca="1"/>
      </c>
      <c r="GT371" s="11">
        <f ca="1"/>
      </c>
      <c r="GU371" s="11">
        <f ca="1"/>
      </c>
      <c r="GV371" s="11">
        <f ca="1"/>
      </c>
      <c r="HE371">
        <f ca="1"/>
      </c>
    </row>
    <row r="372" spans="147:225" x14ac:dyDescent="0.55000000000000004">
      <c r="GQ372">
        <f ca="1"/>
      </c>
      <c r="GR372" s="11">
        <f ca="1"/>
      </c>
      <c r="GS372" s="11">
        <f ca="1"/>
      </c>
      <c r="GT372" s="11">
        <f ca="1"/>
      </c>
      <c r="GU372" s="11">
        <f ca="1"/>
      </c>
      <c r="GV372" s="11">
        <f ca="1"/>
      </c>
      <c r="HE372">
        <f ca="1"/>
      </c>
    </row>
    <row r="373" spans="147:225" x14ac:dyDescent="0.55000000000000004">
      <c r="GR373" s="11"/>
      <c r="GS373" s="11"/>
      <c r="GT373" s="11"/>
      <c r="GU373" s="11"/>
      <c r="GV373" s="11"/>
    </row>
    <row r="374" spans="147:225" x14ac:dyDescent="0.55000000000000004">
      <c r="GR374" s="11"/>
      <c r="GS374" s="11"/>
      <c r="GT374" s="11"/>
      <c r="GU374" s="11"/>
      <c r="GV374" s="11"/>
    </row>
    <row r="375" spans="147:225" x14ac:dyDescent="0.55000000000000004">
      <c r="GR375" s="11"/>
      <c r="GS375" s="11"/>
      <c r="GT375" s="11"/>
      <c r="GU375" s="11"/>
      <c r="GV375" s="11"/>
    </row>
    <row r="376" spans="147:225" x14ac:dyDescent="0.55000000000000004">
      <c r="GR376" s="11"/>
      <c r="GS376" s="11"/>
      <c r="GT376" s="11"/>
      <c r="GU376" s="11"/>
      <c r="GV376" s="11"/>
    </row>
    <row r="377" spans="147:225" x14ac:dyDescent="0.55000000000000004">
      <c r="GR377" s="11"/>
      <c r="GS377" s="11"/>
      <c r="GT377" s="11"/>
      <c r="GU377" s="11"/>
      <c r="GV377" s="11"/>
    </row>
    <row r="378" spans="147:225" x14ac:dyDescent="0.55000000000000004">
      <c r="GR378" s="11"/>
      <c r="GS378" s="11"/>
      <c r="GT378" s="11"/>
      <c r="GU378" s="11"/>
      <c r="GV378" s="11"/>
    </row>
    <row r="379" spans="147:225" x14ac:dyDescent="0.55000000000000004">
      <c r="GR379" s="11"/>
      <c r="GS379" s="11"/>
      <c r="GT379" s="11"/>
      <c r="GU379" s="11"/>
      <c r="GV379" s="11"/>
    </row>
    <row r="380" spans="147:225" x14ac:dyDescent="0.55000000000000004">
      <c r="GR380" s="11"/>
      <c r="GS380" s="11"/>
      <c r="GT380" s="11"/>
      <c r="GU380" s="11"/>
      <c r="GV380" s="11"/>
    </row>
    <row r="381" spans="147:225" x14ac:dyDescent="0.55000000000000004">
      <c r="GR381" s="11"/>
      <c r="GS381" s="11"/>
      <c r="GT381" s="11"/>
      <c r="GU381" s="11"/>
      <c r="GV381" s="11"/>
    </row>
    <row r="382" spans="147:225" x14ac:dyDescent="0.55000000000000004">
      <c r="GR382" s="11"/>
      <c r="GS382" s="11"/>
      <c r="GT382" s="11"/>
      <c r="GU382" s="11"/>
      <c r="GV382" s="11"/>
    </row>
    <row r="383" spans="147:225" x14ac:dyDescent="0.55000000000000004">
      <c r="GR383" s="11"/>
      <c r="GS383" s="11"/>
      <c r="GT383" s="11"/>
      <c r="GU383" s="11"/>
      <c r="GV383" s="11"/>
    </row>
    <row r="384" spans="147:225" x14ac:dyDescent="0.55000000000000004">
      <c r="GR384" s="11"/>
      <c r="GS384" s="11"/>
      <c r="GT384" s="11"/>
      <c r="GU384" s="11"/>
      <c r="GV384" s="11"/>
    </row>
    <row r="385" spans="200:204" x14ac:dyDescent="0.55000000000000004">
      <c r="GR385" s="11"/>
      <c r="GS385" s="11"/>
      <c r="GT385" s="11"/>
      <c r="GU385" s="11"/>
      <c r="GV385" s="11"/>
    </row>
    <row r="386" spans="200:204" x14ac:dyDescent="0.55000000000000004">
      <c r="GR386" s="11"/>
      <c r="GS386" s="11"/>
      <c r="GT386" s="11"/>
      <c r="GU386" s="11"/>
      <c r="GV386" s="11"/>
    </row>
    <row r="387" spans="200:204" x14ac:dyDescent="0.55000000000000004">
      <c r="GR387" s="11"/>
      <c r="GS387" s="11"/>
      <c r="GT387" s="11"/>
      <c r="GU387" s="11"/>
      <c r="GV387" s="11"/>
    </row>
    <row r="388" spans="200:204" x14ac:dyDescent="0.55000000000000004">
      <c r="GR388" s="11"/>
      <c r="GS388" s="11"/>
      <c r="GT388" s="11"/>
      <c r="GU388" s="11"/>
      <c r="GV388" s="11"/>
    </row>
    <row r="389" spans="200:204" x14ac:dyDescent="0.55000000000000004">
      <c r="GR389" s="11"/>
      <c r="GS389" s="11"/>
      <c r="GT389" s="11"/>
      <c r="GU389" s="11"/>
      <c r="GV389" s="11"/>
    </row>
    <row r="390" spans="200:204" x14ac:dyDescent="0.55000000000000004">
      <c r="GR390" s="11"/>
      <c r="GS390" s="11"/>
      <c r="GT390" s="11"/>
      <c r="GU390" s="11"/>
      <c r="GV390" s="11"/>
    </row>
    <row r="391" spans="200:204" x14ac:dyDescent="0.55000000000000004">
      <c r="GR391" s="11"/>
      <c r="GS391" s="11"/>
      <c r="GT391" s="11"/>
      <c r="GU391" s="11"/>
      <c r="GV391" s="11"/>
    </row>
    <row r="392" spans="200:204" x14ac:dyDescent="0.55000000000000004">
      <c r="GR392" s="11"/>
      <c r="GS392" s="11"/>
      <c r="GT392" s="11"/>
      <c r="GU392" s="11"/>
      <c r="GV392" s="11"/>
    </row>
    <row r="393" spans="200:204" x14ac:dyDescent="0.55000000000000004">
      <c r="GR393" s="11"/>
      <c r="GS393" s="11"/>
      <c r="GT393" s="11"/>
      <c r="GU393" s="11"/>
      <c r="GV393" s="11"/>
    </row>
    <row r="394" spans="200:204" x14ac:dyDescent="0.55000000000000004">
      <c r="GR394" s="11"/>
      <c r="GS394" s="11"/>
      <c r="GT394" s="11"/>
      <c r="GU394" s="11"/>
      <c r="GV394" s="11"/>
    </row>
    <row r="395" spans="200:204" x14ac:dyDescent="0.55000000000000004">
      <c r="GR395" s="11"/>
      <c r="GS395" s="11"/>
      <c r="GT395" s="11"/>
      <c r="GU395" s="11"/>
      <c r="GV395" s="11"/>
    </row>
    <row r="396" spans="200:204" x14ac:dyDescent="0.55000000000000004">
      <c r="GR396" s="11"/>
      <c r="GS396" s="11"/>
      <c r="GT396" s="11"/>
      <c r="GU396" s="11"/>
      <c r="GV396" s="11"/>
    </row>
    <row r="404" spans="146:226" x14ac:dyDescent="0.55000000000000004">
      <c r="EP404" t="s">
        <v>160</v>
      </c>
      <c r="EQ404" cm="1">
        <f t="array" ref="EQ404:FR421">_xlfn.LET(_xlpm.g,_xlfn.DROP(_xlfn.ANCHORARRAY($CO$4),1),_xlfn._xlws.FILTER(_xlpm.g,_xlfn.TAKE(_xlpm.g,,1)=9))</f>
      </c>
      <c r="GQ404" t="s">
        <v>169</v>
      </c>
      <c r="GR404" cm="1">
        <f t="array" aca="1" ref="GR404" ca="1">IFERROR(_xlfn.LET(_xlpm.R,_xlfn.ANCHORARRAY($GR$405),_xlpm.a,ABS(_xlpm.R),"k="&amp;$D$12&amp;"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04" cm="1">
        <f t="array" aca="1" ref="GS404" ca="1">IFERROR(_xlfn.LET(_xlpm.R,_xlfn.ANCHORARRAY($GS$405),_xlpm.a,ABS(_xlpm.R),"k="&amp;$D$28&amp;"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04" cm="1">
        <f t="array" aca="1" ref="GT404" ca="1">IFERROR(_xlfn.LET(_xlpm.R,_xlfn.ANCHORARRAY($GT$405),_xlpm.a,ABS(_xlpm.R),"k="&amp;$D$44&amp;"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04" cm="1">
        <f t="array" aca="1" ref="GU404" ca="1">IFERROR(_xlfn.LET(_xlpm.R,_xlfn.ANCHORARRAY($GU$405),_xlpm.a,ABS(_xlpm.R),"k="&amp;$D$60&amp;"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04" cm="1">
        <f t="array" aca="1" ref="GV404" ca="1">IFERROR(_xlfn.LET(_xlpm.R,_xlfn.ANCHORARRAY($GV$405),_xlpm.a,ABS(_xlpm.R),"k="&amp;$D$76&amp;"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04" t="s">
        <v>44</v>
      </c>
      <c r="GY404" t="s">
        <v>45</v>
      </c>
      <c r="GZ404" t="s">
        <v>46</v>
      </c>
      <c r="HA404" t="s">
        <v>47</v>
      </c>
      <c r="HB404" t="s">
        <v>48</v>
      </c>
      <c r="HD404" t="s">
        <v>174</v>
      </c>
      <c r="HE404">
        <f>"Actual / Mean / Recon (k="&amp;$D$108&amp;")  dashed: Mean ±1σ"</f>
      </c>
      <c r="HF404" t="s">
        <v>175</v>
      </c>
      <c r="HG404" t="s">
        <v>176</v>
      </c>
      <c r="HH404" t="s">
        <v>179</v>
      </c>
      <c r="HI404" t="s">
        <v>180</v>
      </c>
      <c r="HJ404" t="s">
        <v>181</v>
      </c>
      <c r="HK404" t="s">
        <v>182</v>
      </c>
      <c r="HL404" t="s">
        <v>183</v>
      </c>
      <c r="HM404" t="s">
        <v>184</v>
      </c>
      <c r="HN404" t="s">
        <v>185</v>
      </c>
      <c r="HO404" t="s">
        <v>186</v>
      </c>
      <c r="HP404" t="s">
        <v>187</v>
      </c>
      <c r="HQ404" t="s">
        <v>188</v>
      </c>
      <c r="HR404" t="s">
        <v>189</v>
      </c>
    </row>
    <row r="405" spans="146:226" x14ac:dyDescent="0.55000000000000004">
      <c r="GQ405" cm="1">
        <f t="array" aca="1" ref="GQ405:GQ422" ca="1">IF($BI$6="Change",_xlfn.ANCHORARRAY($CJ$4),_xlfn.ANCHORARRAY($CI$4))</f>
      </c>
      <c r="GR405" s="11" cm="1">
        <f t="array" aca="1" ref="GR405:GR422" ca="1">_xlfn.LET(_xlpm.sl,_xlfn.ANCHORARRAY($EQ$404),_xlpm.mu,_xlfn.CHOOSECOLS(_xlpm.sl,8),_xlpm.sg,_xlfn.CHOOSECOLS(_xlpm.sl,9),_xlpm.x,_xlfn.ANCHORARRAY($GQ$405),_xlpm.V,_xlfn.TAKE(_xlfn.DROP(_xlpm.sl,,10),,$D$12),(_xlpm.x-(_xlpm.mu+_xlpm.sg*MMULT(_xlpm.V,MMULT(TRANSPOSE(_xlpm.V),(_xlpm.x-_xlpm.mu)/_xlpm.sg))))*100)</f>
      </c>
      <c r="GS405" s="11" cm="1">
        <f t="array" aca="1" ref="GS405:GS422" ca="1">_xlfn.LET(_xlpm.sl,_xlfn.ANCHORARRAY($EQ$404),_xlpm.mu,_xlfn.CHOOSECOLS(_xlpm.sl,8),_xlpm.sg,_xlfn.CHOOSECOLS(_xlpm.sl,9),_xlpm.x,_xlfn.ANCHORARRAY($GQ$405),_xlpm.V,_xlfn.TAKE(_xlfn.DROP(_xlpm.sl,,10),,$D$28),(_xlpm.x-(_xlpm.mu+_xlpm.sg*MMULT(_xlpm.V,MMULT(TRANSPOSE(_xlpm.V),(_xlpm.x-_xlpm.mu)/_xlpm.sg))))*100)</f>
      </c>
      <c r="GT405" s="11" cm="1">
        <f t="array" aca="1" ref="GT405:GT422" ca="1">_xlfn.LET(_xlpm.sl,_xlfn.ANCHORARRAY($EQ$404),_xlpm.mu,_xlfn.CHOOSECOLS(_xlpm.sl,8),_xlpm.sg,_xlfn.CHOOSECOLS(_xlpm.sl,9),_xlpm.x,_xlfn.ANCHORARRAY($GQ$405),_xlpm.V,_xlfn.TAKE(_xlfn.DROP(_xlpm.sl,,10),,$D$44),(_xlpm.x-(_xlpm.mu+_xlpm.sg*MMULT(_xlpm.V,MMULT(TRANSPOSE(_xlpm.V),(_xlpm.x-_xlpm.mu)/_xlpm.sg))))*100)</f>
      </c>
      <c r="GU405" s="11" cm="1">
        <f t="array" aca="1" ref="GU405:GU422" ca="1">_xlfn.LET(_xlpm.sl,_xlfn.ANCHORARRAY($EQ$404),_xlpm.mu,_xlfn.CHOOSECOLS(_xlpm.sl,8),_xlpm.sg,_xlfn.CHOOSECOLS(_xlpm.sl,9),_xlpm.x,_xlfn.ANCHORARRAY($GQ$405),_xlpm.V,_xlfn.TAKE(_xlfn.DROP(_xlpm.sl,,10),,$D$60),(_xlpm.x-(_xlpm.mu+_xlpm.sg*MMULT(_xlpm.V,MMULT(TRANSPOSE(_xlpm.V),(_xlpm.x-_xlpm.mu)/_xlpm.sg))))*100)</f>
      </c>
      <c r="GV405" s="11" cm="1">
        <f t="array" aca="1" ref="GV405:GV422" ca="1">_xlfn.LET(_xlpm.sl,_xlfn.ANCHORARRAY($EQ$404),_xlpm.mu,_xlfn.CHOOSECOLS(_xlpm.sl,8),_xlpm.sg,_xlfn.CHOOSECOLS(_xlpm.sl,9),_xlpm.x,_xlfn.ANCHORARRAY($GQ$405),_xlpm.V,_xlfn.TAKE(_xlfn.DROP(_xlpm.sl,,10),,$D$76),(_xlpm.x-(_xlpm.mu+_xlpm.sg*MMULT(_xlpm.V,MMULT(TRANSPOSE(_xlpm.V),(_xlpm.x-_xlpm.mu)/_xlpm.sg))))*100)</f>
      </c>
      <c r="GX405" cm="1">
        <f t="array" ref="GX405:GX422">_xlfn.LET(_xlpm.V,_xlfn.DROP(_xlfn.ANCHORARRAY($EQ$404),,10),IF(1&lt;=COLUMNS(_xlpm.V),_xlfn.CHOOSECOLS(_xlpm.V,1),IF(_xlfn.SEQUENCE(ROWS(_xlpm.V)),NA())))</f>
      </c>
      <c r="GY405" cm="1">
        <f t="array" ref="GY405:GY422">_xlfn.LET(_xlpm.V,_xlfn.DROP(_xlfn.ANCHORARRAY($EQ$404),,10),IF(2&lt;=COLUMNS(_xlpm.V),_xlfn.CHOOSECOLS(_xlpm.V,2),IF(_xlfn.SEQUENCE(ROWS(_xlpm.V)),NA())))</f>
      </c>
      <c r="GZ405" cm="1">
        <f t="array" ref="GZ405:GZ422">_xlfn.LET(_xlpm.V,_xlfn.DROP(_xlfn.ANCHORARRAY($EQ$404),,10),IF(3&lt;=COLUMNS(_xlpm.V),_xlfn.CHOOSECOLS(_xlpm.V,3),IF(_xlfn.SEQUENCE(ROWS(_xlpm.V)),NA())))</f>
      </c>
      <c r="HA405" cm="1">
        <f t="array" ref="HA405:HA422">_xlfn.LET(_xlpm.V,_xlfn.DROP(_xlfn.ANCHORARRAY($EQ$404),,10),IF(4&lt;=COLUMNS(_xlpm.V),_xlfn.CHOOSECOLS(_xlpm.V,4),IF(_xlfn.SEQUENCE(ROWS(_xlpm.V)),NA())))</f>
      </c>
      <c r="HB405" cm="1">
        <f t="array" ref="HB405:HB422">_xlfn.LET(_xlpm.V,_xlfn.DROP(_xlfn.ANCHORARRAY($EQ$404),,10),IF(5&lt;=COLUMNS(_xlpm.V),_xlfn.CHOOSECOLS(_xlpm.V,5),IF(_xlfn.SEQUENCE(ROWS(_xlpm.V)),NA())))</f>
      </c>
      <c r="HD405" cm="1">
        <f t="array" ref="HD405:HD422">_xlfn.CHOOSECOLS(_xlfn.ANCHORARRAY($EQ$404),8)</f>
      </c>
      <c r="HE405" cm="1">
        <f t="array" aca="1" ref="HE405:HE422" ca="1">_xlfn.LET(_xlpm.sl,_xlfn.ANCHORARRAY($EQ$404),_xlpm.mu,_xlfn.CHOOSECOLS(_xlpm.sl,8),_xlpm.sg,_xlfn.CHOOSECOLS(_xlpm.sl,9),_xlpm.x,_xlfn.ANCHORARRAY($GQ$405),_xlpm.V,_xlfn.TAKE(_xlfn.DROP(_xlpm.sl,,10),,$D$108),_xlpm.mu+_xlpm.sg*MMULT(_xlpm.V,MMULT(TRANSPOSE(_xlpm.V),(_xlpm.x-_xlpm.mu)/_xlpm.sg)))</f>
      </c>
      <c r="HF405" cm="1">
        <f t="array" ref="HF405:HF422">_xlfn.CHOOSECOLS(_xlfn.ANCHORARRAY($EQ$404),8)+_xlfn.CHOOSECOLS(_xlfn.ANCHORARRAY($EQ$404),10)</f>
      </c>
      <c r="HG405" cm="1">
        <f t="array" ref="HG405:HG422">_xlfn.CHOOSECOLS(_xlfn.ANCHORARRAY($EQ$404),8)-_xlfn.CHOOSECOLS(_xlfn.ANCHORARRAY($EQ$404),10)</f>
      </c>
      <c r="HH405" cm="1">
        <f t="array" ref="HH405:HH422">_xlfn.LET(_xlpm.v,_xlfn.CHOOSECOLS(_xlfn._xlws.FILTER(_xlfn.DROP(_xlfn.ANCHORARRAY($HS$4),1),_xlfn.TAKE(_xlfn.DROP(_xlfn.ANCHORARRAY($HS$4),1),,1)=9),3),IF(_xlpm.v="",NA(),_xlpm.v))</f>
      </c>
      <c r="HI405" cm="1">
        <f t="array" ref="HI405:HI422">-_xlfn.ANCHORARRAY($HH$405)</f>
      </c>
      <c r="HJ405" cm="1">
        <f t="array" ref="HJ405:HJ422">_xlfn.LET(_xlpm.v,_xlfn.CHOOSECOLS(_xlfn._xlws.FILTER(_xlfn.DROP(_xlfn.ANCHORARRAY($HS$4),1),_xlfn.TAKE(_xlfn.DROP(_xlfn.ANCHORARRAY($HS$4),1),,1)=9),4),IF(_xlpm.v="",NA(),_xlpm.v))</f>
      </c>
      <c r="HK405" cm="1">
        <f t="array" ref="HK405:HK422">-_xlfn.ANCHORARRAY($HJ$405)</f>
      </c>
      <c r="HL405" cm="1">
        <f t="array" ref="HL405:HL422">_xlfn.LET(_xlpm.v,_xlfn.CHOOSECOLS(_xlfn._xlws.FILTER(_xlfn.DROP(_xlfn.ANCHORARRAY($HS$4),1),_xlfn.TAKE(_xlfn.DROP(_xlfn.ANCHORARRAY($HS$4),1),,1)=9),5),IF(_xlpm.v="",NA(),_xlpm.v))</f>
      </c>
      <c r="HM405" cm="1">
        <f t="array" ref="HM405:HM422">-_xlfn.ANCHORARRAY($HL$405)</f>
      </c>
      <c r="HN405" cm="1">
        <f t="array" ref="HN405:HN422">_xlfn.LET(_xlpm.v,_xlfn.CHOOSECOLS(_xlfn._xlws.FILTER(_xlfn.DROP(_xlfn.ANCHORARRAY($HS$4),1),_xlfn.TAKE(_xlfn.DROP(_xlfn.ANCHORARRAY($HS$4),1),,1)=9),6),IF(_xlpm.v="",NA(),_xlpm.v))</f>
      </c>
      <c r="HO405" cm="1">
        <f t="array" ref="HO405:HO422">-_xlfn.ANCHORARRAY($HN$405)</f>
      </c>
      <c r="HP405" cm="1">
        <f t="array" ref="HP405:HP422">_xlfn.LET(_xlpm.v,_xlfn.CHOOSECOLS(_xlfn._xlws.FILTER(_xlfn.DROP(_xlfn.ANCHORARRAY($HS$4),1),_xlfn.TAKE(_xlfn.DROP(_xlfn.ANCHORARRAY($HS$4),1),,1)=9),7),IF(_xlpm.v="",NA(),_xlpm.v))</f>
      </c>
      <c r="HQ405" cm="1">
        <f t="array" ref="HQ405:HQ422">-_xlfn.ANCHORARRAY($HP$405)</f>
      </c>
      <c r="HR405" cm="1">
        <f t="array" ref="HR405">IFERROR(INDEX(_xlfn._xlws.FILTER(_xlfn.DROP(_xlfn.ANCHORARRAY($HS$4),1),_xlfn.TAKE(_xlfn.DROP(_xlfn.ANCHORARRAY($HS$4),1),,1)=9),1,2),"")</f>
      </c>
    </row>
    <row r="406" spans="146:226" x14ac:dyDescent="0.55000000000000004">
      <c r="GQ406">
        <f ca="1"/>
      </c>
      <c r="GR406" s="11">
        <f ca="1"/>
      </c>
      <c r="GS406" s="11">
        <f ca="1"/>
      </c>
      <c r="GT406" s="11">
        <f ca="1"/>
      </c>
      <c r="GU406" s="11">
        <f ca="1"/>
      </c>
      <c r="GV406" s="11">
        <f ca="1"/>
      </c>
      <c r="HE406">
        <f ca="1"/>
      </c>
    </row>
    <row r="407" spans="146:226" x14ac:dyDescent="0.55000000000000004">
      <c r="GQ407">
        <f ca="1"/>
      </c>
      <c r="GR407" s="11">
        <f ca="1"/>
      </c>
      <c r="GS407" s="11">
        <f ca="1"/>
      </c>
      <c r="GT407" s="11">
        <f ca="1"/>
      </c>
      <c r="GU407" s="11">
        <f ca="1"/>
      </c>
      <c r="GV407" s="11">
        <f ca="1"/>
      </c>
      <c r="HE407">
        <f ca="1"/>
      </c>
    </row>
    <row r="408" spans="146:226" x14ac:dyDescent="0.55000000000000004">
      <c r="GQ408">
        <f ca="1"/>
      </c>
      <c r="GR408" s="11">
        <f ca="1"/>
      </c>
      <c r="GS408" s="11">
        <f ca="1"/>
      </c>
      <c r="GT408" s="11">
        <f ca="1"/>
      </c>
      <c r="GU408" s="11">
        <f ca="1"/>
      </c>
      <c r="GV408" s="11">
        <f ca="1"/>
      </c>
      <c r="HE408">
        <f ca="1"/>
      </c>
    </row>
    <row r="409" spans="146:226" x14ac:dyDescent="0.55000000000000004">
      <c r="GQ409">
        <f ca="1"/>
      </c>
      <c r="GR409" s="11">
        <f ca="1"/>
      </c>
      <c r="GS409" s="11">
        <f ca="1"/>
      </c>
      <c r="GT409" s="11">
        <f ca="1"/>
      </c>
      <c r="GU409" s="11">
        <f ca="1"/>
      </c>
      <c r="GV409" s="11">
        <f ca="1"/>
      </c>
      <c r="HE409">
        <f ca="1"/>
      </c>
    </row>
    <row r="410" spans="146:226" x14ac:dyDescent="0.55000000000000004">
      <c r="GQ410">
        <f ca="1"/>
      </c>
      <c r="GR410" s="11">
        <f ca="1"/>
      </c>
      <c r="GS410" s="11">
        <f ca="1"/>
      </c>
      <c r="GT410" s="11">
        <f ca="1"/>
      </c>
      <c r="GU410" s="11">
        <f ca="1"/>
      </c>
      <c r="GV410" s="11">
        <f ca="1"/>
      </c>
      <c r="HE410">
        <f ca="1"/>
      </c>
    </row>
    <row r="411" spans="146:226" x14ac:dyDescent="0.55000000000000004">
      <c r="GQ411">
        <f ca="1"/>
      </c>
      <c r="GR411" s="11">
        <f ca="1"/>
      </c>
      <c r="GS411" s="11">
        <f ca="1"/>
      </c>
      <c r="GT411" s="11">
        <f ca="1"/>
      </c>
      <c r="GU411" s="11">
        <f ca="1"/>
      </c>
      <c r="GV411" s="11">
        <f ca="1"/>
      </c>
      <c r="HE411">
        <f ca="1"/>
      </c>
    </row>
    <row r="412" spans="146:226" x14ac:dyDescent="0.55000000000000004">
      <c r="GQ412">
        <f ca="1"/>
      </c>
      <c r="GR412" s="11">
        <f ca="1"/>
      </c>
      <c r="GS412" s="11">
        <f ca="1"/>
      </c>
      <c r="GT412" s="11">
        <f ca="1"/>
      </c>
      <c r="GU412" s="11">
        <f ca="1"/>
      </c>
      <c r="GV412" s="11">
        <f ca="1"/>
      </c>
      <c r="HE412">
        <f ca="1"/>
      </c>
    </row>
    <row r="413" spans="146:226" x14ac:dyDescent="0.55000000000000004">
      <c r="GQ413">
        <f ca="1"/>
      </c>
      <c r="GR413" s="11">
        <f ca="1"/>
      </c>
      <c r="GS413" s="11">
        <f ca="1"/>
      </c>
      <c r="GT413" s="11">
        <f ca="1"/>
      </c>
      <c r="GU413" s="11">
        <f ca="1"/>
      </c>
      <c r="GV413" s="11">
        <f ca="1"/>
      </c>
      <c r="HE413">
        <f ca="1"/>
      </c>
    </row>
    <row r="414" spans="146:226" x14ac:dyDescent="0.55000000000000004">
      <c r="GQ414">
        <f ca="1"/>
      </c>
      <c r="GR414" s="11">
        <f ca="1"/>
      </c>
      <c r="GS414" s="11">
        <f ca="1"/>
      </c>
      <c r="GT414" s="11">
        <f ca="1"/>
      </c>
      <c r="GU414" s="11">
        <f ca="1"/>
      </c>
      <c r="GV414" s="11">
        <f ca="1"/>
      </c>
      <c r="HE414">
        <f ca="1"/>
      </c>
    </row>
    <row r="415" spans="146:226" x14ac:dyDescent="0.55000000000000004">
      <c r="GQ415">
        <f ca="1"/>
      </c>
      <c r="GR415" s="11">
        <f ca="1"/>
      </c>
      <c r="GS415" s="11">
        <f ca="1"/>
      </c>
      <c r="GT415" s="11">
        <f ca="1"/>
      </c>
      <c r="GU415" s="11">
        <f ca="1"/>
      </c>
      <c r="GV415" s="11">
        <f ca="1"/>
      </c>
      <c r="HE415">
        <f ca="1"/>
      </c>
    </row>
    <row r="416" spans="146:226" x14ac:dyDescent="0.55000000000000004">
      <c r="GQ416">
        <f ca="1"/>
      </c>
      <c r="GR416" s="11">
        <f ca="1"/>
      </c>
      <c r="GS416" s="11">
        <f ca="1"/>
      </c>
      <c r="GT416" s="11">
        <f ca="1"/>
      </c>
      <c r="GU416" s="11">
        <f ca="1"/>
      </c>
      <c r="GV416" s="11">
        <f ca="1"/>
      </c>
      <c r="HE416">
        <f ca="1"/>
      </c>
    </row>
    <row r="417" spans="147:225" x14ac:dyDescent="0.55000000000000004">
      <c r="GQ417">
        <f ca="1"/>
      </c>
      <c r="GR417" s="11">
        <f ca="1"/>
      </c>
      <c r="GS417" s="11">
        <f ca="1"/>
      </c>
      <c r="GT417" s="11">
        <f ca="1"/>
      </c>
      <c r="GU417" s="11">
        <f ca="1"/>
      </c>
      <c r="GV417" s="11">
        <f ca="1"/>
      </c>
      <c r="HE417">
        <f ca="1"/>
      </c>
    </row>
    <row r="418" spans="147:225" x14ac:dyDescent="0.55000000000000004">
      <c r="GQ418">
        <f ca="1"/>
      </c>
      <c r="GR418" s="11">
        <f ca="1"/>
      </c>
      <c r="GS418" s="11">
        <f ca="1"/>
      </c>
      <c r="GT418" s="11">
        <f ca="1"/>
      </c>
      <c r="GU418" s="11">
        <f ca="1"/>
      </c>
      <c r="GV418" s="11">
        <f ca="1"/>
      </c>
      <c r="HE418">
        <f ca="1"/>
      </c>
    </row>
    <row r="419" spans="147:225" x14ac:dyDescent="0.55000000000000004">
      <c r="GQ419">
        <f ca="1"/>
      </c>
      <c r="GR419" s="11">
        <f ca="1"/>
      </c>
      <c r="GS419" s="11">
        <f ca="1"/>
      </c>
      <c r="GT419" s="11">
        <f ca="1"/>
      </c>
      <c r="GU419" s="11">
        <f ca="1"/>
      </c>
      <c r="GV419" s="11">
        <f ca="1"/>
      </c>
      <c r="HE419">
        <f ca="1"/>
      </c>
    </row>
    <row r="420" spans="147:225" x14ac:dyDescent="0.55000000000000004">
      <c r="GQ420">
        <f ca="1"/>
      </c>
      <c r="GR420" s="11">
        <f ca="1"/>
      </c>
      <c r="GS420" s="11">
        <f ca="1"/>
      </c>
      <c r="GT420" s="11">
        <f ca="1"/>
      </c>
      <c r="GU420" s="11">
        <f ca="1"/>
      </c>
      <c r="GV420" s="11">
        <f ca="1"/>
      </c>
      <c r="HE420">
        <f ca="1"/>
      </c>
    </row>
    <row r="421" spans="147:225" x14ac:dyDescent="0.55000000000000004">
      <c r="GQ421">
        <f ca="1"/>
      </c>
      <c r="GR421" s="11">
        <f ca="1"/>
      </c>
      <c r="GS421" s="11">
        <f ca="1"/>
      </c>
      <c r="GT421" s="11">
        <f ca="1"/>
      </c>
      <c r="GU421" s="11">
        <f ca="1"/>
      </c>
      <c r="GV421" s="11">
        <f ca="1"/>
      </c>
      <c r="HE421">
        <f ca="1"/>
      </c>
    </row>
    <row r="422" spans="147:225" x14ac:dyDescent="0.55000000000000004">
      <c r="GQ422">
        <f ca="1"/>
      </c>
      <c r="GR422" s="11">
        <f ca="1"/>
      </c>
      <c r="GS422" s="11">
        <f ca="1"/>
      </c>
      <c r="GT422" s="11">
        <f ca="1"/>
      </c>
      <c r="GU422" s="11">
        <f ca="1"/>
      </c>
      <c r="GV422" s="11">
        <f ca="1"/>
      </c>
      <c r="HE422">
        <f ca="1"/>
      </c>
    </row>
    <row r="423" spans="147:225" x14ac:dyDescent="0.55000000000000004">
      <c r="GR423" s="11"/>
      <c r="GS423" s="11"/>
      <c r="GT423" s="11"/>
      <c r="GU423" s="11"/>
      <c r="GV423" s="11"/>
    </row>
    <row r="424" spans="147:225" x14ac:dyDescent="0.55000000000000004">
      <c r="GR424" s="11"/>
      <c r="GS424" s="11"/>
      <c r="GT424" s="11"/>
      <c r="GU424" s="11"/>
      <c r="GV424" s="11"/>
    </row>
    <row r="425" spans="147:225" x14ac:dyDescent="0.55000000000000004">
      <c r="GR425" s="11"/>
      <c r="GS425" s="11"/>
      <c r="GT425" s="11"/>
      <c r="GU425" s="11"/>
      <c r="GV425" s="11"/>
    </row>
    <row r="426" spans="147:225" x14ac:dyDescent="0.55000000000000004">
      <c r="GR426" s="11"/>
      <c r="GS426" s="11"/>
      <c r="GT426" s="11"/>
      <c r="GU426" s="11"/>
      <c r="GV426" s="11"/>
    </row>
    <row r="427" spans="147:225" x14ac:dyDescent="0.55000000000000004">
      <c r="GR427" s="11"/>
      <c r="GS427" s="11"/>
      <c r="GT427" s="11"/>
      <c r="GU427" s="11"/>
      <c r="GV427" s="11"/>
    </row>
    <row r="428" spans="147:225" x14ac:dyDescent="0.55000000000000004">
      <c r="GR428" s="11"/>
      <c r="GS428" s="11"/>
      <c r="GT428" s="11"/>
      <c r="GU428" s="11"/>
      <c r="GV428" s="11"/>
    </row>
    <row r="429" spans="147:225" x14ac:dyDescent="0.55000000000000004">
      <c r="GR429" s="11"/>
      <c r="GS429" s="11"/>
      <c r="GT429" s="11"/>
      <c r="GU429" s="11"/>
      <c r="GV429" s="11"/>
    </row>
    <row r="430" spans="147:225" x14ac:dyDescent="0.55000000000000004">
      <c r="GR430" s="11"/>
      <c r="GS430" s="11"/>
      <c r="GT430" s="11"/>
      <c r="GU430" s="11"/>
      <c r="GV430" s="11"/>
    </row>
    <row r="431" spans="147:225" x14ac:dyDescent="0.55000000000000004">
      <c r="GR431" s="11"/>
      <c r="GS431" s="11"/>
      <c r="GT431" s="11"/>
      <c r="GU431" s="11"/>
      <c r="GV431" s="11"/>
    </row>
    <row r="432" spans="147:225" x14ac:dyDescent="0.55000000000000004">
      <c r="GR432" s="11"/>
      <c r="GS432" s="11"/>
      <c r="GT432" s="11"/>
      <c r="GU432" s="11"/>
      <c r="GV432" s="11"/>
    </row>
    <row r="433" spans="200:204" x14ac:dyDescent="0.55000000000000004">
      <c r="GR433" s="11"/>
      <c r="GS433" s="11"/>
      <c r="GT433" s="11"/>
      <c r="GU433" s="11"/>
      <c r="GV433" s="11"/>
    </row>
    <row r="434" spans="200:204" x14ac:dyDescent="0.55000000000000004">
      <c r="GR434" s="11"/>
      <c r="GS434" s="11"/>
      <c r="GT434" s="11"/>
      <c r="GU434" s="11"/>
      <c r="GV434" s="11"/>
    </row>
    <row r="435" spans="200:204" x14ac:dyDescent="0.55000000000000004">
      <c r="GR435" s="11"/>
      <c r="GS435" s="11"/>
      <c r="GT435" s="11"/>
      <c r="GU435" s="11"/>
      <c r="GV435" s="11"/>
    </row>
    <row r="436" spans="200:204" x14ac:dyDescent="0.55000000000000004">
      <c r="GR436" s="11"/>
      <c r="GS436" s="11"/>
      <c r="GT436" s="11"/>
      <c r="GU436" s="11"/>
      <c r="GV436" s="11"/>
    </row>
    <row r="437" spans="200:204" x14ac:dyDescent="0.55000000000000004">
      <c r="GR437" s="11"/>
      <c r="GS437" s="11"/>
      <c r="GT437" s="11"/>
      <c r="GU437" s="11"/>
      <c r="GV437" s="11"/>
    </row>
    <row r="438" spans="200:204" x14ac:dyDescent="0.55000000000000004">
      <c r="GR438" s="11"/>
      <c r="GS438" s="11"/>
      <c r="GT438" s="11"/>
      <c r="GU438" s="11"/>
      <c r="GV438" s="11"/>
    </row>
    <row r="439" spans="200:204" x14ac:dyDescent="0.55000000000000004">
      <c r="GR439" s="11"/>
      <c r="GS439" s="11"/>
      <c r="GT439" s="11"/>
      <c r="GU439" s="11"/>
      <c r="GV439" s="11"/>
    </row>
    <row r="440" spans="200:204" x14ac:dyDescent="0.55000000000000004">
      <c r="GR440" s="11"/>
      <c r="GS440" s="11"/>
      <c r="GT440" s="11"/>
      <c r="GU440" s="11"/>
      <c r="GV440" s="11"/>
    </row>
    <row r="441" spans="200:204" x14ac:dyDescent="0.55000000000000004">
      <c r="GR441" s="11"/>
      <c r="GS441" s="11"/>
      <c r="GT441" s="11"/>
      <c r="GU441" s="11"/>
      <c r="GV441" s="11"/>
    </row>
    <row r="442" spans="200:204" x14ac:dyDescent="0.55000000000000004">
      <c r="GR442" s="11"/>
      <c r="GS442" s="11"/>
      <c r="GT442" s="11"/>
      <c r="GU442" s="11"/>
      <c r="GV442" s="11"/>
    </row>
    <row r="443" spans="200:204" x14ac:dyDescent="0.55000000000000004">
      <c r="GR443" s="11"/>
      <c r="GS443" s="11"/>
      <c r="GT443" s="11"/>
      <c r="GU443" s="11"/>
      <c r="GV443" s="11"/>
    </row>
    <row r="444" spans="200:204" x14ac:dyDescent="0.55000000000000004">
      <c r="GR444" s="11"/>
      <c r="GS444" s="11"/>
      <c r="GT444" s="11"/>
      <c r="GU444" s="11"/>
      <c r="GV444" s="11"/>
    </row>
    <row r="445" spans="200:204" x14ac:dyDescent="0.55000000000000004">
      <c r="GR445" s="11"/>
      <c r="GS445" s="11"/>
      <c r="GT445" s="11"/>
      <c r="GU445" s="11"/>
      <c r="GV445" s="11"/>
    </row>
    <row r="446" spans="200:204" x14ac:dyDescent="0.55000000000000004">
      <c r="GR446" s="11"/>
      <c r="GS446" s="11"/>
      <c r="GT446" s="11"/>
      <c r="GU446" s="11"/>
      <c r="GV446" s="11"/>
    </row>
    <row r="454" spans="146:226" x14ac:dyDescent="0.55000000000000004">
      <c r="EP454" t="s">
        <v>161</v>
      </c>
      <c r="EQ454" cm="1">
        <f t="array" ref="EQ454:FR471">_xlfn.LET(_xlpm.g,_xlfn.DROP(_xlfn.ANCHORARRAY($CO$4),1),_xlfn._xlws.FILTER(_xlpm.g,_xlfn.TAKE(_xlpm.g,,1)=10))</f>
      </c>
      <c r="GQ454" t="s">
        <v>169</v>
      </c>
      <c r="GR454" cm="1">
        <f t="array" aca="1" ref="GR454" ca="1">IFERROR(_xlfn.LET(_xlpm.R,_xlfn.ANCHORARRAY($GR$455),_xlpm.a,ABS(_xlpm.R),"k="&amp;$D$12&amp;"   RMS "&amp;TEXT(SQRT(SUMSQ(_xlpm.R)/ROWS(_xlpm.R)),"0.00")&amp;"bp   Max "&amp;TEXT(MAX(_xlpm.a),"0.00")&amp;"bp ("&amp;_xlfn.XLOOKUP(MAX(_xlpm.a),_xlpm.a,_xlfn.ANCHORARRAY($CB$4))&amp;")"),"k="&amp;$D$12&amp;"   n/a")</f>
      </c>
      <c r="GS454" cm="1">
        <f t="array" aca="1" ref="GS454" ca="1">IFERROR(_xlfn.LET(_xlpm.R,_xlfn.ANCHORARRAY($GS$455),_xlpm.a,ABS(_xlpm.R),"k="&amp;$D$28&amp;"   RMS "&amp;TEXT(SQRT(SUMSQ(_xlpm.R)/ROWS(_xlpm.R)),"0.00")&amp;"bp   Max "&amp;TEXT(MAX(_xlpm.a),"0.00")&amp;"bp ("&amp;_xlfn.XLOOKUP(MAX(_xlpm.a),_xlpm.a,_xlfn.ANCHORARRAY($CB$4))&amp;")"),"k="&amp;$D$28&amp;"   n/a")</f>
      </c>
      <c r="GT454" cm="1">
        <f t="array" aca="1" ref="GT454" ca="1">IFERROR(_xlfn.LET(_xlpm.R,_xlfn.ANCHORARRAY($GT$455),_xlpm.a,ABS(_xlpm.R),"k="&amp;$D$44&amp;"   RMS "&amp;TEXT(SQRT(SUMSQ(_xlpm.R)/ROWS(_xlpm.R)),"0.00")&amp;"bp   Max "&amp;TEXT(MAX(_xlpm.a),"0.00")&amp;"bp ("&amp;_xlfn.XLOOKUP(MAX(_xlpm.a),_xlpm.a,_xlfn.ANCHORARRAY($CB$4))&amp;")"),"k="&amp;$D$44&amp;"   n/a")</f>
      </c>
      <c r="GU454" cm="1">
        <f t="array" aca="1" ref="GU454" ca="1">IFERROR(_xlfn.LET(_xlpm.R,_xlfn.ANCHORARRAY($GU$455),_xlpm.a,ABS(_xlpm.R),"k="&amp;$D$60&amp;"   RMS "&amp;TEXT(SQRT(SUMSQ(_xlpm.R)/ROWS(_xlpm.R)),"0.00")&amp;"bp   Max "&amp;TEXT(MAX(_xlpm.a),"0.00")&amp;"bp ("&amp;_xlfn.XLOOKUP(MAX(_xlpm.a),_xlpm.a,_xlfn.ANCHORARRAY($CB$4))&amp;")"),"k="&amp;$D$60&amp;"   n/a")</f>
      </c>
      <c r="GV454" cm="1">
        <f t="array" aca="1" ref="GV454" ca="1">IFERROR(_xlfn.LET(_xlpm.R,_xlfn.ANCHORARRAY($GV$455),_xlpm.a,ABS(_xlpm.R),"k="&amp;$D$76&amp;"   RMS "&amp;TEXT(SQRT(SUMSQ(_xlpm.R)/ROWS(_xlpm.R)),"0.00")&amp;"bp   Max "&amp;TEXT(MAX(_xlpm.a),"0.00")&amp;"bp ("&amp;_xlfn.XLOOKUP(MAX(_xlpm.a),_xlpm.a,_xlfn.ANCHORARRAY($CB$4))&amp;")"),"k="&amp;$D$76&amp;"   n/a")</f>
      </c>
      <c r="GX454" t="s">
        <v>44</v>
      </c>
      <c r="GY454" t="s">
        <v>45</v>
      </c>
      <c r="GZ454" t="s">
        <v>46</v>
      </c>
      <c r="HA454" t="s">
        <v>47</v>
      </c>
      <c r="HB454" t="s">
        <v>48</v>
      </c>
      <c r="HD454" t="s">
        <v>174</v>
      </c>
      <c r="HE454">
        <f>"Actual / Mean / Recon (k="&amp;$D$108&amp;")  dashed: Mean ±1σ"</f>
      </c>
      <c r="HF454" t="s">
        <v>175</v>
      </c>
      <c r="HG454" t="s">
        <v>176</v>
      </c>
      <c r="HH454" t="s">
        <v>179</v>
      </c>
      <c r="HI454" t="s">
        <v>180</v>
      </c>
      <c r="HJ454" t="s">
        <v>181</v>
      </c>
      <c r="HK454" t="s">
        <v>182</v>
      </c>
      <c r="HL454" t="s">
        <v>183</v>
      </c>
      <c r="HM454" t="s">
        <v>184</v>
      </c>
      <c r="HN454" t="s">
        <v>185</v>
      </c>
      <c r="HO454" t="s">
        <v>186</v>
      </c>
      <c r="HP454" t="s">
        <v>187</v>
      </c>
      <c r="HQ454" t="s">
        <v>188</v>
      </c>
      <c r="HR454" t="s">
        <v>189</v>
      </c>
    </row>
    <row r="455" spans="146:226" x14ac:dyDescent="0.55000000000000004">
      <c r="GQ455" cm="1">
        <f t="array" aca="1" ref="GQ455:GQ472" ca="1">IF($BP$6="Change",_xlfn.ANCHORARRAY($CJ$4),_xlfn.ANCHORARRAY($CI$4))</f>
      </c>
      <c r="GR455" s="11" cm="1">
        <f t="array" aca="1" ref="GR455:GR472" ca="1">_xlfn.LET(_xlpm.sl,_xlfn.ANCHORARRAY($EQ$454),_xlpm.mu,_xlfn.CHOOSECOLS(_xlpm.sl,8),_xlpm.sg,_xlfn.CHOOSECOLS(_xlpm.sl,9),_xlpm.x,_xlfn.ANCHORARRAY($GQ$455),_xlpm.V,_xlfn.TAKE(_xlfn.DROP(_xlpm.sl,,10),,$D$12),(_xlpm.x-(_xlpm.mu+_xlpm.sg*MMULT(_xlpm.V,MMULT(TRANSPOSE(_xlpm.V),(_xlpm.x-_xlpm.mu)/_xlpm.sg))))*100)</f>
      </c>
      <c r="GS455" s="11" cm="1">
        <f t="array" aca="1" ref="GS455:GS472" ca="1">_xlfn.LET(_xlpm.sl,_xlfn.ANCHORARRAY($EQ$454),_xlpm.mu,_xlfn.CHOOSECOLS(_xlpm.sl,8),_xlpm.sg,_xlfn.CHOOSECOLS(_xlpm.sl,9),_xlpm.x,_xlfn.ANCHORARRAY($GQ$455),_xlpm.V,_xlfn.TAKE(_xlfn.DROP(_xlpm.sl,,10),,$D$28),(_xlpm.x-(_xlpm.mu+_xlpm.sg*MMULT(_xlpm.V,MMULT(TRANSPOSE(_xlpm.V),(_xlpm.x-_xlpm.mu)/_xlpm.sg))))*100)</f>
      </c>
      <c r="GT455" s="11" cm="1">
        <f t="array" aca="1" ref="GT455:GT472" ca="1">_xlfn.LET(_xlpm.sl,_xlfn.ANCHORARRAY($EQ$454),_xlpm.mu,_xlfn.CHOOSECOLS(_xlpm.sl,8),_xlpm.sg,_xlfn.CHOOSECOLS(_xlpm.sl,9),_xlpm.x,_xlfn.ANCHORARRAY($GQ$455),_xlpm.V,_xlfn.TAKE(_xlfn.DROP(_xlpm.sl,,10),,$D$44),(_xlpm.x-(_xlpm.mu+_xlpm.sg*MMULT(_xlpm.V,MMULT(TRANSPOSE(_xlpm.V),(_xlpm.x-_xlpm.mu)/_xlpm.sg))))*100)</f>
      </c>
      <c r="GU455" s="11" cm="1">
        <f t="array" aca="1" ref="GU455:GU472" ca="1">_xlfn.LET(_xlpm.sl,_xlfn.ANCHORARRAY($EQ$454),_xlpm.mu,_xlfn.CHOOSECOLS(_xlpm.sl,8),_xlpm.sg,_xlfn.CHOOSECOLS(_xlpm.sl,9),_xlpm.x,_xlfn.ANCHORARRAY($GQ$455),_xlpm.V,_xlfn.TAKE(_xlfn.DROP(_xlpm.sl,,10),,$D$60),(_xlpm.x-(_xlpm.mu+_xlpm.sg*MMULT(_xlpm.V,MMULT(TRANSPOSE(_xlpm.V),(_xlpm.x-_xlpm.mu)/_xlpm.sg))))*100)</f>
      </c>
      <c r="GV455" s="11" cm="1">
        <f t="array" aca="1" ref="GV455:GV472" ca="1">_xlfn.LET(_xlpm.sl,_xlfn.ANCHORARRAY($EQ$454),_xlpm.mu,_xlfn.CHOOSECOLS(_xlpm.sl,8),_xlpm.sg,_xlfn.CHOOSECOLS(_xlpm.sl,9),_xlpm.x,_xlfn.ANCHORARRAY($GQ$455),_xlpm.V,_xlfn.TAKE(_xlfn.DROP(_xlpm.sl,,10),,$D$76),(_xlpm.x-(_xlpm.mu+_xlpm.sg*MMULT(_xlpm.V,MMULT(TRANSPOSE(_xlpm.V),(_xlpm.x-_xlpm.mu)/_xlpm.sg))))*100)</f>
      </c>
      <c r="GX455" cm="1">
        <f t="array" ref="GX455:GX472">_xlfn.LET(_xlpm.V,_xlfn.DROP(_xlfn.ANCHORARRAY($EQ$454),,10),IF(1&lt;=COLUMNS(_xlpm.V),_xlfn.CHOOSECOLS(_xlpm.V,1),IF(_xlfn.SEQUENCE(ROWS(_xlpm.V)),NA())))</f>
      </c>
      <c r="GY455" cm="1">
        <f t="array" ref="GY455:GY472">_xlfn.LET(_xlpm.V,_xlfn.DROP(_xlfn.ANCHORARRAY($EQ$454),,10),IF(2&lt;=COLUMNS(_xlpm.V),_xlfn.CHOOSECOLS(_xlpm.V,2),IF(_xlfn.SEQUENCE(ROWS(_xlpm.V)),NA())))</f>
      </c>
      <c r="GZ455" cm="1">
        <f t="array" ref="GZ455:GZ472">_xlfn.LET(_xlpm.V,_xlfn.DROP(_xlfn.ANCHORARRAY($EQ$454),,10),IF(3&lt;=COLUMNS(_xlpm.V),_xlfn.CHOOSECOLS(_xlpm.V,3),IF(_xlfn.SEQUENCE(ROWS(_xlpm.V)),NA())))</f>
      </c>
      <c r="HA455" cm="1">
        <f t="array" ref="HA455:HA472">_xlfn.LET(_xlpm.V,_xlfn.DROP(_xlfn.ANCHORARRAY($EQ$454),,10),IF(4&lt;=COLUMNS(_xlpm.V),_xlfn.CHOOSECOLS(_xlpm.V,4),IF(_xlfn.SEQUENCE(ROWS(_xlpm.V)),NA())))</f>
      </c>
      <c r="HB455" cm="1">
        <f t="array" ref="HB455:HB472">_xlfn.LET(_xlpm.V,_xlfn.DROP(_xlfn.ANCHORARRAY($EQ$454),,10),IF(5&lt;=COLUMNS(_xlpm.V),_xlfn.CHOOSECOLS(_xlpm.V,5),IF(_xlfn.SEQUENCE(ROWS(_xlpm.V)),NA())))</f>
      </c>
      <c r="HD455" cm="1">
        <f t="array" ref="HD455:HD472">_xlfn.CHOOSECOLS(_xlfn.ANCHORARRAY($EQ$454),8)</f>
      </c>
      <c r="HE455" cm="1">
        <f t="array" aca="1" ref="HE455:HE472" ca="1">_xlfn.LET(_xlpm.sl,_xlfn.ANCHORARRAY($EQ$454),_xlpm.mu,_xlfn.CHOOSECOLS(_xlpm.sl,8),_xlpm.sg,_xlfn.CHOOSECOLS(_xlpm.sl,9),_xlpm.x,_xlfn.ANCHORARRAY($GQ$455),_xlpm.V,_xlfn.TAKE(_xlfn.DROP(_xlpm.sl,,10),,$D$108),_xlpm.mu+_xlpm.sg*MMULT(_xlpm.V,MMULT(TRANSPOSE(_xlpm.V),(_xlpm.x-_xlpm.mu)/_xlpm.sg)))</f>
      </c>
      <c r="HF455" cm="1">
        <f t="array" ref="HF455:HF472">_xlfn.CHOOSECOLS(_xlfn.ANCHORARRAY($EQ$454),8)+_xlfn.CHOOSECOLS(_xlfn.ANCHORARRAY($EQ$454),10)</f>
      </c>
      <c r="HG455" cm="1">
        <f t="array" ref="HG455:HG472">_xlfn.CHOOSECOLS(_xlfn.ANCHORARRAY($EQ$454),8)-_xlfn.CHOOSECOLS(_xlfn.ANCHORARRAY($EQ$454),10)</f>
      </c>
      <c r="HH455" cm="1">
        <f t="array" ref="HH455:HH472">_xlfn.LET(_xlpm.v,_xlfn.CHOOSECOLS(_xlfn._xlws.FILTER(_xlfn.DROP(_xlfn.ANCHORARRAY($HS$4),1),_xlfn.TAKE(_xlfn.DROP(_xlfn.ANCHORARRAY($HS$4),1),,1)=10),3),IF(_xlpm.v="",NA(),_xlpm.v))</f>
      </c>
      <c r="HI455" cm="1">
        <f t="array" ref="HI455:HI472">-_xlfn.ANCHORARRAY($HH$455)</f>
      </c>
      <c r="HJ455" cm="1">
        <f t="array" ref="HJ455:HJ472">_xlfn.LET(_xlpm.v,_xlfn.CHOOSECOLS(_xlfn._xlws.FILTER(_xlfn.DROP(_xlfn.ANCHORARRAY($HS$4),1),_xlfn.TAKE(_xlfn.DROP(_xlfn.ANCHORARRAY($HS$4),1),,1)=10),4),IF(_xlpm.v="",NA(),_xlpm.v))</f>
      </c>
      <c r="HK455" cm="1">
        <f t="array" ref="HK455:HK472">-_xlfn.ANCHORARRAY($HJ$455)</f>
      </c>
      <c r="HL455" cm="1">
        <f t="array" ref="HL455:HL472">_xlfn.LET(_xlpm.v,_xlfn.CHOOSECOLS(_xlfn._xlws.FILTER(_xlfn.DROP(_xlfn.ANCHORARRAY($HS$4),1),_xlfn.TAKE(_xlfn.DROP(_xlfn.ANCHORARRAY($HS$4),1),,1)=10),5),IF(_xlpm.v="",NA(),_xlpm.v))</f>
      </c>
      <c r="HM455" cm="1">
        <f t="array" ref="HM455:HM472">-_xlfn.ANCHORARRAY($HL$455)</f>
      </c>
      <c r="HN455" cm="1">
        <f t="array" ref="HN455:HN472">_xlfn.LET(_xlpm.v,_xlfn.CHOOSECOLS(_xlfn._xlws.FILTER(_xlfn.DROP(_xlfn.ANCHORARRAY($HS$4),1),_xlfn.TAKE(_xlfn.DROP(_xlfn.ANCHORARRAY($HS$4),1),,1)=10),6),IF(_xlpm.v="",NA(),_xlpm.v))</f>
      </c>
      <c r="HO455" cm="1">
        <f t="array" ref="HO455:HO472">-_xlfn.ANCHORARRAY($HN$455)</f>
      </c>
      <c r="HP455" cm="1">
        <f t="array" ref="HP455:HP472">_xlfn.LET(_xlpm.v,_xlfn.CHOOSECOLS(_xlfn._xlws.FILTER(_xlfn.DROP(_xlfn.ANCHORARRAY($HS$4),1),_xlfn.TAKE(_xlfn.DROP(_xlfn.ANCHORARRAY($HS$4),1),,1)=10),7),IF(_xlpm.v="",NA(),_xlpm.v))</f>
      </c>
      <c r="HQ455" cm="1">
        <f t="array" ref="HQ455:HQ472">-_xlfn.ANCHORARRAY($HP$455)</f>
      </c>
      <c r="HR455" cm="1">
        <f t="array" ref="HR455">IFERROR(INDEX(_xlfn._xlws.FILTER(_xlfn.DROP(_xlfn.ANCHORARRAY($HS$4),1),_xlfn.TAKE(_xlfn.DROP(_xlfn.ANCHORARRAY($HS$4),1),,1)=10),1,2),"")</f>
      </c>
    </row>
    <row r="456" spans="146:226" x14ac:dyDescent="0.55000000000000004">
      <c r="GQ456">
        <f ca="1"/>
      </c>
      <c r="GR456" s="11">
        <f ca="1"/>
      </c>
      <c r="GS456" s="11">
        <f ca="1"/>
      </c>
      <c r="GT456" s="11">
        <f ca="1"/>
      </c>
      <c r="GU456" s="11">
        <f ca="1"/>
      </c>
      <c r="GV456" s="11">
        <f ca="1"/>
      </c>
      <c r="HE456">
        <f ca="1"/>
      </c>
    </row>
    <row r="457" spans="146:226" x14ac:dyDescent="0.55000000000000004">
      <c r="GQ457">
        <f ca="1"/>
      </c>
      <c r="GR457" s="11">
        <f ca="1"/>
      </c>
      <c r="GS457" s="11">
        <f ca="1"/>
      </c>
      <c r="GT457" s="11">
        <f ca="1"/>
      </c>
      <c r="GU457" s="11">
        <f ca="1"/>
      </c>
      <c r="GV457" s="11">
        <f ca="1"/>
      </c>
      <c r="HE457">
        <f ca="1"/>
      </c>
    </row>
    <row r="458" spans="146:226" x14ac:dyDescent="0.55000000000000004">
      <c r="GQ458">
        <f ca="1"/>
      </c>
      <c r="GR458" s="11">
        <f ca="1"/>
      </c>
      <c r="GS458" s="11">
        <f ca="1"/>
      </c>
      <c r="GT458" s="11">
        <f ca="1"/>
      </c>
      <c r="GU458" s="11">
        <f ca="1"/>
      </c>
      <c r="GV458" s="11">
        <f ca="1"/>
      </c>
      <c r="HE458">
        <f ca="1"/>
      </c>
    </row>
    <row r="459" spans="146:226" x14ac:dyDescent="0.55000000000000004">
      <c r="GQ459">
        <f ca="1"/>
      </c>
      <c r="GR459" s="11">
        <f ca="1"/>
      </c>
      <c r="GS459" s="11">
        <f ca="1"/>
      </c>
      <c r="GT459" s="11">
        <f ca="1"/>
      </c>
      <c r="GU459" s="11">
        <f ca="1"/>
      </c>
      <c r="GV459" s="11">
        <f ca="1"/>
      </c>
      <c r="HE459">
        <f ca="1"/>
      </c>
    </row>
    <row r="460" spans="146:226" x14ac:dyDescent="0.55000000000000004">
      <c r="GQ460">
        <f ca="1"/>
      </c>
      <c r="GR460" s="11">
        <f ca="1"/>
      </c>
      <c r="GS460" s="11">
        <f ca="1"/>
      </c>
      <c r="GT460" s="11">
        <f ca="1"/>
      </c>
      <c r="GU460" s="11">
        <f ca="1"/>
      </c>
      <c r="GV460" s="11">
        <f ca="1"/>
      </c>
      <c r="HE460">
        <f ca="1"/>
      </c>
    </row>
    <row r="461" spans="146:226" x14ac:dyDescent="0.55000000000000004">
      <c r="GQ461">
        <f ca="1"/>
      </c>
      <c r="GR461" s="11">
        <f ca="1"/>
      </c>
      <c r="GS461" s="11">
        <f ca="1"/>
      </c>
      <c r="GT461" s="11">
        <f ca="1"/>
      </c>
      <c r="GU461" s="11">
        <f ca="1"/>
      </c>
      <c r="GV461" s="11">
        <f ca="1"/>
      </c>
      <c r="HE461">
        <f ca="1"/>
      </c>
    </row>
    <row r="462" spans="146:226" x14ac:dyDescent="0.55000000000000004">
      <c r="GQ462">
        <f ca="1"/>
      </c>
      <c r="GR462" s="11">
        <f ca="1"/>
      </c>
      <c r="GS462" s="11">
        <f ca="1"/>
      </c>
      <c r="GT462" s="11">
        <f ca="1"/>
      </c>
      <c r="GU462" s="11">
        <f ca="1"/>
      </c>
      <c r="GV462" s="11">
        <f ca="1"/>
      </c>
      <c r="HE462">
        <f ca="1"/>
      </c>
    </row>
    <row r="463" spans="146:226" x14ac:dyDescent="0.55000000000000004">
      <c r="GQ463">
        <f ca="1"/>
      </c>
      <c r="GR463" s="11">
        <f ca="1"/>
      </c>
      <c r="GS463" s="11">
        <f ca="1"/>
      </c>
      <c r="GT463" s="11">
        <f ca="1"/>
      </c>
      <c r="GU463" s="11">
        <f ca="1"/>
      </c>
      <c r="GV463" s="11">
        <f ca="1"/>
      </c>
      <c r="HE463">
        <f ca="1"/>
      </c>
    </row>
    <row r="464" spans="146:226" x14ac:dyDescent="0.55000000000000004">
      <c r="GQ464">
        <f ca="1"/>
      </c>
      <c r="GR464" s="11">
        <f ca="1"/>
      </c>
      <c r="GS464" s="11">
        <f ca="1"/>
      </c>
      <c r="GT464" s="11">
        <f ca="1"/>
      </c>
      <c r="GU464" s="11">
        <f ca="1"/>
      </c>
      <c r="GV464" s="11">
        <f ca="1"/>
      </c>
      <c r="HE464">
        <f ca="1"/>
      </c>
    </row>
    <row r="465" spans="147:225" x14ac:dyDescent="0.55000000000000004">
      <c r="GQ465">
        <f ca="1"/>
      </c>
      <c r="GR465" s="11">
        <f ca="1"/>
      </c>
      <c r="GS465" s="11">
        <f ca="1"/>
      </c>
      <c r="GT465" s="11">
        <f ca="1"/>
      </c>
      <c r="GU465" s="11">
        <f ca="1"/>
      </c>
      <c r="GV465" s="11">
        <f ca="1"/>
      </c>
      <c r="HE465">
        <f ca="1"/>
      </c>
    </row>
    <row r="466" spans="147:225" x14ac:dyDescent="0.55000000000000004">
      <c r="GQ466">
        <f ca="1"/>
      </c>
      <c r="GR466" s="11">
        <f ca="1"/>
      </c>
      <c r="GS466" s="11">
        <f ca="1"/>
      </c>
      <c r="GT466" s="11">
        <f ca="1"/>
      </c>
      <c r="GU466" s="11">
        <f ca="1"/>
      </c>
      <c r="GV466" s="11">
        <f ca="1"/>
      </c>
      <c r="HE466">
        <f ca="1"/>
      </c>
    </row>
    <row r="467" spans="147:225" x14ac:dyDescent="0.55000000000000004">
      <c r="GQ467">
        <f ca="1"/>
      </c>
      <c r="GR467" s="11">
        <f ca="1"/>
      </c>
      <c r="GS467" s="11">
        <f ca="1"/>
      </c>
      <c r="GT467" s="11">
        <f ca="1"/>
      </c>
      <c r="GU467" s="11">
        <f ca="1"/>
      </c>
      <c r="GV467" s="11">
        <f ca="1"/>
      </c>
      <c r="HE467">
        <f ca="1"/>
      </c>
    </row>
    <row r="468" spans="147:225" x14ac:dyDescent="0.55000000000000004">
      <c r="GQ468">
        <f ca="1"/>
      </c>
      <c r="GR468" s="11">
        <f ca="1"/>
      </c>
      <c r="GS468" s="11">
        <f ca="1"/>
      </c>
      <c r="GT468" s="11">
        <f ca="1"/>
      </c>
      <c r="GU468" s="11">
        <f ca="1"/>
      </c>
      <c r="GV468" s="11">
        <f ca="1"/>
      </c>
      <c r="HE468">
        <f ca="1"/>
      </c>
    </row>
    <row r="469" spans="147:225" x14ac:dyDescent="0.55000000000000004">
      <c r="GQ469">
        <f ca="1"/>
      </c>
      <c r="GR469" s="11">
        <f ca="1"/>
      </c>
      <c r="GS469" s="11">
        <f ca="1"/>
      </c>
      <c r="GT469" s="11">
        <f ca="1"/>
      </c>
      <c r="GU469" s="11">
        <f ca="1"/>
      </c>
      <c r="GV469" s="11">
        <f ca="1"/>
      </c>
      <c r="HE469">
        <f ca="1"/>
      </c>
    </row>
    <row r="470" spans="147:225" x14ac:dyDescent="0.55000000000000004">
      <c r="GQ470">
        <f ca="1"/>
      </c>
      <c r="GR470" s="11">
        <f ca="1"/>
      </c>
      <c r="GS470" s="11">
        <f ca="1"/>
      </c>
      <c r="GT470" s="11">
        <f ca="1"/>
      </c>
      <c r="GU470" s="11">
        <f ca="1"/>
      </c>
      <c r="GV470" s="11">
        <f ca="1"/>
      </c>
      <c r="HE470">
        <f ca="1"/>
      </c>
    </row>
    <row r="471" spans="147:225" x14ac:dyDescent="0.55000000000000004">
      <c r="GQ471">
        <f ca="1"/>
      </c>
      <c r="GR471" s="11">
        <f ca="1"/>
      </c>
      <c r="GS471" s="11">
        <f ca="1"/>
      </c>
      <c r="GT471" s="11">
        <f ca="1"/>
      </c>
      <c r="GU471" s="11">
        <f ca="1"/>
      </c>
      <c r="GV471" s="11">
        <f ca="1"/>
      </c>
      <c r="HE471">
        <f ca="1"/>
      </c>
    </row>
    <row r="472" spans="147:225" x14ac:dyDescent="0.55000000000000004">
      <c r="GQ472">
        <f ca="1"/>
      </c>
      <c r="GR472" s="11">
        <f ca="1"/>
      </c>
      <c r="GS472" s="11">
        <f ca="1"/>
      </c>
      <c r="GT472" s="11">
        <f ca="1"/>
      </c>
      <c r="GU472" s="11">
        <f ca="1"/>
      </c>
      <c r="GV472" s="11">
        <f ca="1"/>
      </c>
      <c r="HE472">
        <f ca="1"/>
      </c>
    </row>
    <row r="473" spans="147:225" x14ac:dyDescent="0.55000000000000004">
      <c r="GR473" s="11"/>
      <c r="GS473" s="11"/>
      <c r="GT473" s="11"/>
      <c r="GU473" s="11"/>
      <c r="GV473" s="11"/>
    </row>
    <row r="474" spans="147:225" x14ac:dyDescent="0.55000000000000004">
      <c r="GR474" s="11"/>
      <c r="GS474" s="11"/>
      <c r="GT474" s="11"/>
      <c r="GU474" s="11"/>
      <c r="GV474" s="11"/>
    </row>
    <row r="475" spans="147:225" x14ac:dyDescent="0.55000000000000004">
      <c r="GR475" s="11"/>
      <c r="GS475" s="11"/>
      <c r="GT475" s="11"/>
      <c r="GU475" s="11"/>
      <c r="GV475" s="11"/>
    </row>
    <row r="476" spans="147:225" x14ac:dyDescent="0.55000000000000004">
      <c r="GR476" s="11"/>
      <c r="GS476" s="11"/>
      <c r="GT476" s="11"/>
      <c r="GU476" s="11"/>
      <c r="GV476" s="11"/>
    </row>
    <row r="477" spans="147:225" x14ac:dyDescent="0.55000000000000004">
      <c r="GR477" s="11"/>
      <c r="GS477" s="11"/>
      <c r="GT477" s="11"/>
      <c r="GU477" s="11"/>
      <c r="GV477" s="11"/>
    </row>
    <row r="478" spans="147:225" x14ac:dyDescent="0.55000000000000004">
      <c r="GR478" s="11"/>
      <c r="GS478" s="11"/>
      <c r="GT478" s="11"/>
      <c r="GU478" s="11"/>
      <c r="GV478" s="11"/>
    </row>
    <row r="479" spans="147:225" x14ac:dyDescent="0.55000000000000004">
      <c r="GR479" s="11"/>
      <c r="GS479" s="11"/>
      <c r="GT479" s="11"/>
      <c r="GU479" s="11"/>
      <c r="GV479" s="11"/>
    </row>
    <row r="480" spans="147:225" x14ac:dyDescent="0.55000000000000004">
      <c r="GR480" s="11"/>
      <c r="GS480" s="11"/>
      <c r="GT480" s="11"/>
      <c r="GU480" s="11"/>
      <c r="GV480" s="11"/>
    </row>
    <row r="481" spans="200:204" x14ac:dyDescent="0.55000000000000004">
      <c r="GR481" s="11"/>
      <c r="GS481" s="11"/>
      <c r="GT481" s="11"/>
      <c r="GU481" s="11"/>
      <c r="GV481" s="11"/>
    </row>
    <row r="482" spans="200:204" x14ac:dyDescent="0.55000000000000004">
      <c r="GR482" s="11"/>
      <c r="GS482" s="11"/>
      <c r="GT482" s="11"/>
      <c r="GU482" s="11"/>
      <c r="GV482" s="11"/>
    </row>
    <row r="483" spans="200:204" x14ac:dyDescent="0.55000000000000004">
      <c r="GR483" s="11"/>
      <c r="GS483" s="11"/>
      <c r="GT483" s="11"/>
      <c r="GU483" s="11"/>
      <c r="GV483" s="11"/>
    </row>
    <row r="484" spans="200:204" x14ac:dyDescent="0.55000000000000004">
      <c r="GR484" s="11"/>
      <c r="GS484" s="11"/>
      <c r="GT484" s="11"/>
      <c r="GU484" s="11"/>
      <c r="GV484" s="11"/>
    </row>
    <row r="485" spans="200:204" x14ac:dyDescent="0.55000000000000004">
      <c r="GR485" s="11"/>
      <c r="GS485" s="11"/>
      <c r="GT485" s="11"/>
      <c r="GU485" s="11"/>
      <c r="GV485" s="11"/>
    </row>
    <row r="486" spans="200:204" x14ac:dyDescent="0.55000000000000004">
      <c r="GR486" s="11"/>
      <c r="GS486" s="11"/>
      <c r="GT486" s="11"/>
      <c r="GU486" s="11"/>
      <c r="GV486" s="11"/>
    </row>
    <row r="487" spans="200:204" x14ac:dyDescent="0.55000000000000004">
      <c r="GR487" s="11"/>
      <c r="GS487" s="11"/>
      <c r="GT487" s="11"/>
      <c r="GU487" s="11"/>
      <c r="GV487" s="11"/>
    </row>
    <row r="488" spans="200:204" x14ac:dyDescent="0.55000000000000004">
      <c r="GR488" s="11"/>
      <c r="GS488" s="11"/>
      <c r="GT488" s="11"/>
      <c r="GU488" s="11"/>
      <c r="GV488" s="11"/>
    </row>
    <row r="489" spans="200:204" x14ac:dyDescent="0.55000000000000004">
      <c r="GR489" s="11"/>
      <c r="GS489" s="11"/>
      <c r="GT489" s="11"/>
      <c r="GU489" s="11"/>
      <c r="GV489" s="11"/>
    </row>
    <row r="490" spans="200:204" x14ac:dyDescent="0.55000000000000004">
      <c r="GR490" s="11"/>
      <c r="GS490" s="11"/>
      <c r="GT490" s="11"/>
      <c r="GU490" s="11"/>
      <c r="GV490" s="11"/>
    </row>
    <row r="491" spans="200:204" x14ac:dyDescent="0.55000000000000004">
      <c r="GR491" s="11"/>
      <c r="GS491" s="11"/>
      <c r="GT491" s="11"/>
      <c r="GU491" s="11"/>
      <c r="GV491" s="11"/>
    </row>
    <row r="492" spans="200:204" x14ac:dyDescent="0.55000000000000004">
      <c r="GR492" s="11"/>
      <c r="GS492" s="11"/>
      <c r="GT492" s="11"/>
      <c r="GU492" s="11"/>
      <c r="GV492" s="11"/>
    </row>
    <row r="493" spans="200:204" x14ac:dyDescent="0.55000000000000004">
      <c r="GR493" s="11"/>
      <c r="GS493" s="11"/>
      <c r="GT493" s="11"/>
      <c r="GU493" s="11"/>
      <c r="GV493" s="11"/>
    </row>
    <row r="494" spans="200:204" x14ac:dyDescent="0.55000000000000004">
      <c r="GR494" s="11"/>
      <c r="GS494" s="11"/>
      <c r="GT494" s="11"/>
      <c r="GU494" s="11"/>
      <c r="GV494" s="11"/>
    </row>
    <row r="495" spans="200:204" x14ac:dyDescent="0.55000000000000004">
      <c r="GR495" s="11"/>
      <c r="GS495" s="11"/>
      <c r="GT495" s="11"/>
      <c r="GU495" s="11"/>
      <c r="GV495" s="11"/>
    </row>
    <row r="496" spans="200:204" x14ac:dyDescent="0.55000000000000004">
      <c r="GR496" s="11"/>
      <c r="GS496" s="11"/>
      <c r="GT496" s="11"/>
      <c r="GU496" s="11"/>
      <c r="GV496" s="11"/>
    </row>
  </sheetData>
  <phoneticPr fontId="2"/>
  <dataValidations count="11">
    <dataValidation type="list" allowBlank="1" showInputMessage="1" showErrorMessage="1" sqref="B1" xr:uid="{12E6568F-7ED6-43D5-9C23-8BA80B077B7F}">
      <formula1>"Live,Fixed"</formula1>
    </dataValidation>
    <dataValidation type="list" allowBlank="1" showInputMessage="1" showErrorMessage="1" prompt="○=PCAに使う(全ケース共通)。並び順がグラフの横軸の順" sqref="B12:B53" xr:uid="{7D2AA224-911F-43FE-80AD-077363FF75D1}">
      <formula1>"○,×"</formula1>
    </dataValidation>
    <dataValidation type="whole" operator="greaterThanOrEqual" allowBlank="1" showInputMessage="1" showErrorMessage="1" prompt="サンプル数(営業日)。テナーが1本でも欠けた日は除外して、さらに過去へ。空欄=このケースを使わない" sqref="E5 BP5 BI5 BB5 AU5 AN5 AG5 Z5 S5 L5" xr:uid="{40903130-5C5B-4E62-A8E9-0A3FC28C4891}">
      <formula1>2</formula1>
    </dataValidation>
    <dataValidation type="list" allowBlank="1" showInputMessage="1" showErrorMessage="1" prompt="Level=水準のPCA / Change=前営業日からの変化のPCA" sqref="E6 BI6 BB6 AU6 L6 AN6 AG6 Z6 S6 BP6" xr:uid="{87A3F734-9DF1-4D9B-9399-44A018D0046F}">
      <formula1>"Level,Change"</formula1>
    </dataValidation>
    <dataValidation type="list" allowBlank="1" showInputMessage="1" showErrorMessage="1" prompt="No=分散共分散(bp)のPCA / Yes=z-score(相関行列)のPCA" sqref="E7 BP7 BI7 BB7 AU7 AN7 AG7 Z7 S7 L7" xr:uid="{478A49A7-61B2-444E-9DAB-52BB02493A38}">
      <formula1>"Yes,No"</formula1>
    </dataValidation>
    <dataValidation type="whole" allowBlank="1" showInputMessage="1" showErrorMessage="1" prompt="復元に使う主成分の本数(この段の全ケース共通)" sqref="D12 D76 D60 D44 D28" xr:uid="{B1A35BA4-3427-47B4-B722-C18B0FAFBC40}">
      <formula1>1</formula1>
      <formula2>42</formula2>
    </dataValidation>
    <dataValidation type="whole" allowBlank="1" showInputMessage="1" showErrorMessage="1" prompt="復元に使う主成分の本数(この段の全ケース共通)。破線=推定windowの平均±1σ" sqref="D108" xr:uid="{84D5ECE9-1346-4BDC-9259-1EC049A7F0A7}">
      <formula1>1</formula1>
      <formula2>42</formula2>
    </dataValidation>
    <dataValidation type="whole" operator="greaterThanOrEqual" allowBlank="1" showInputMessage="1" showErrorMessage="1" prompt="差分のグラフの±1σをとるサンプル数(営業日)。推定終了日からさかのぼる。空欄=推定のwindowと同じ。windowより大きくすると推定より前の日も入る" sqref="B55" xr:uid="{787AF8F1-6E01-43C2-B30F-DEF51402565D}">
      <formula1>2</formula1>
    </dataValidation>
    <dataValidation type="date" operator="greaterThanOrEqual" allowBlank="1" showInputMessage="1" showErrorMessage="1" prompt="推定期間(window)の最終日。空欄=今日(推定はDBの引け値だけ。DBに今日の値がなければ直近の営業日まで)" sqref="E4 L4 S4 Z4 AG4 AN4 AU4 BB4 BI4 BP4" xr:uid="{6B7EA848-C4B1-40B6-AA85-3B7CB2E8E639}">
      <formula1>1</formula1>
    </dataValidation>
    <dataValidation type="date" operator="greaterThanOrEqual" allowBlank="1" showInputMessage="1" showErrorMessage="1" prompt="復元・差分を見る日(全ケース共通)。空欄=今日(RealTimeのライブの値)。日付=DBのその日の引け値" sqref="A4" xr:uid="{07D39F00-0859-432F-90F6-05FB010042D7}">
      <formula1>1</formula1>
    </dataValidation>
    <dataValidation type="list" allowBlank="1" showInputMessage="1" showErrorMessage="1" prompt="Tenor to mark with a vertical guide line on all charts (blank = none)" sqref="A58:A62" xr:uid="{18A3996A-B383-4B29-B586-48262F8DD582}">
      <formula1>$A$12:$A$53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zoomScale="56" workbookViewId="0">
      <selection activeCell="F28" sqref="F28"/>
    </sheetView>
  </sheetViews>
  <sheetFormatPr defaultRowHeight="18.5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52</v>
      </c>
      <c r="B1" s="18" t="s">
        <v>53</v>
      </c>
      <c r="C1" s="15" t="s">
        <v>54</v>
      </c>
      <c r="D1" s="16" cm="1">
        <f t="array" aca="1" ref="D1" ca="1">LiveInfo("vol",_xlfn.ANCHORARRAY($LA$3))</f>
      </c>
      <c r="E1" s="17" t="s">
        <v>55</v>
      </c>
    </row>
    <row r="2" spans="1:315" ht="22.5" x14ac:dyDescent="0.55000000000000004">
      <c r="A2" t="s">
        <v>223</v>
      </c>
      <c r="F2" s="1"/>
      <c r="BF2" s="1" t="s">
        <v>224</v>
      </c>
      <c r="LA2" t="s">
        <v>57</v>
      </c>
    </row>
    <row r="3" spans="1:315" x14ac:dyDescent="0.55000000000000004">
      <c r="A3" s="4" t="s">
        <v>190</v>
      </c>
      <c r="F3" t="s">
        <v>197</v>
      </c>
      <c r="I3" t="s">
        <v>251</v>
      </c>
      <c r="BI3" t="s">
        <v>225</v>
      </c>
      <c r="BP3" t="s">
        <v>226</v>
      </c>
      <c r="JD3" t="s">
        <v>227</v>
      </c>
      <c r="JE3" t="s">
        <v>198</v>
      </c>
      <c r="JG3" t="s">
        <v>228</v>
      </c>
      <c r="LA3" cm="1">
        <f t="array" aca="1" ref="LA3:LC170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248</v>
      </c>
      <c r="B4" s="3"/>
      <c r="F4" cm="1">
        <f t="array" aca="1" ref="F4:G8" ca="1">PcaWindow(VOL_Labels,VOL_Mode,VOL_Standardize,VOL_window,VOL_WindowEnd,"vol")</f>
      </c>
      <c r="G4" s="7">
        <f ca="1"/>
      </c>
      <c r="I4" cm="1">
        <f t="array" aca="1" ref="I4:J7" ca="1">PcaActualInfo(VOL_Labels,VOL_Mode,VOL_ReconDate,_xlfn.ANCHORARRAY($LA$3),"vol")</f>
      </c>
      <c r="J4" s="7">
        <f ca="1"/>
      </c>
      <c r="P4" t="s">
        <v>229</v>
      </c>
      <c r="BG4" s="7"/>
      <c r="BI4" s="5" t="s">
        <v>231</v>
      </c>
      <c r="BJ4" s="5" t="s">
        <v>232</v>
      </c>
      <c r="BK4" s="5" t="s">
        <v>233</v>
      </c>
      <c r="BL4" s="5" t="s">
        <v>234</v>
      </c>
      <c r="BM4" s="5" t="s">
        <v>235</v>
      </c>
      <c r="BN4" s="5" t="s">
        <v>236</v>
      </c>
      <c r="BP4" cm="1">
        <f t="array" aca="1" ref="BP4:HS160" ca="1">PcaModel(VOL_Labels,VOL_Mode,VOL_Standardize,VOL_window,VOL_WindowEnd,"vol")</f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X4">
        <f ca="1"/>
      </c>
      <c r="GY4">
        <f ca="1"/>
      </c>
      <c r="GZ4">
        <f ca="1"/>
      </c>
      <c r="HA4">
        <f ca="1"/>
      </c>
      <c r="HB4">
        <f ca="1"/>
      </c>
      <c r="HC4">
        <f ca="1"/>
      </c>
      <c r="HD4">
        <f ca="1"/>
      </c>
      <c r="HE4">
        <f ca="1"/>
      </c>
      <c r="HF4">
        <f ca="1"/>
      </c>
      <c r="HG4">
        <f ca="1"/>
      </c>
      <c r="HH4">
        <f ca="1"/>
      </c>
      <c r="HI4">
        <f ca="1"/>
      </c>
      <c r="HJ4">
        <f ca="1"/>
      </c>
      <c r="HK4">
        <f ca="1"/>
      </c>
      <c r="HL4">
        <f ca="1"/>
      </c>
      <c r="HM4">
        <f ca="1"/>
      </c>
      <c r="HN4">
        <f ca="1"/>
      </c>
      <c r="HO4">
        <f ca="1"/>
      </c>
      <c r="HP4">
        <f ca="1"/>
      </c>
      <c r="HQ4">
        <f ca="1"/>
      </c>
      <c r="HR4">
        <f ca="1"/>
      </c>
      <c r="HS4">
        <f ca="1"/>
      </c>
      <c r="JD4" cm="1">
        <f t="array" ref="JD4:JD16">_xlfn._xlws.FILTER($A$15:$A$30,$B$15:$B$30="○")</f>
      </c>
      <c r="JE4" cm="1">
        <f t="array" ref="JE4:JE15">_xlfn._xlws.FILTER($C$15:$C$26,$D$15:$D$26="○")</f>
      </c>
      <c r="JG4" cm="1">
        <f t="array" ref="JG4:JG159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191</v>
      </c>
      <c r="B5" s="2">
        <v>250</v>
      </c>
      <c r="F5">
        <f ca="1"/>
      </c>
      <c r="G5" s="7">
        <f ca="1"/>
      </c>
      <c r="I5">
        <f ca="1"/>
      </c>
      <c r="J5">
        <f ca="1"/>
      </c>
      <c r="P5" t="s">
        <v>230</v>
      </c>
      <c r="BG5" s="7"/>
      <c r="BI5" cm="1">
        <f t="array" aca="1" ref="BI5:BI160" ca="1">_xlfn.DROP(_xlfn.TAKE(_xlfn.ANCHORARRAY($BP$4),,1),1)</f>
      </c>
      <c r="BJ5" s="11" cm="1">
        <f t="array" aca="1" ref="BJ5:BJ160" ca="1">PcaActual(VOL_Labels,VOL_Mode,VOL_ReconDate,_xlfn.ANCHORARRAY($LA$3),"vol")</f>
      </c>
      <c r="BK5" s="11" cm="1">
        <f t="array" aca="1" ref="BK5:BK160" ca="1">_xlfn.DROP(_xlfn.CHOOSECOLS(_xlfn.ANCHORARRAY($BP$4),2),1)</f>
      </c>
      <c r="BL5" s="11" cm="1">
        <f t="array" aca="1" ref="BL5:BL160" ca="1">_xlfn.DROP(_xlfn.CHOOSECOLS(_xlfn.ANCHORARRAY($BP$4),3),1)</f>
      </c>
      <c r="BM5" s="11" cm="1">
        <f t="array" aca="1" ref="BM5:BM160" ca="1">_xlfn.LET(_xlpm.m,_xlfn.ANCHORARRAY(BK5),_xlpm.s,_xlfn.ANCHORARRAY(BL5),_xlpm.x,_xlfn.ANCHORARRAY(BJ5),_xlpm.V,_xlfn.TAKE(_xlfn.DROP(_xlfn.ANCHORARRAY($BP$4),1,4),,VOL_k),_xlpm.m+_xlpm.s*MMULT(_xlpm.V,MMULT(TRANSPOSE(_xlpm.V),(_xlpm.x-_xlpm.m)/_xlpm.s)))</f>
      </c>
      <c r="BN5" s="11" cm="1">
        <f t="array" aca="1" ref="BN5:BN160" ca="1">_xlfn.ANCHORARRAY(BJ5)-_xlfn.ANCHORARRAY(BM5)</f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X5">
        <f ca="1"/>
      </c>
      <c r="GY5">
        <f ca="1"/>
      </c>
      <c r="GZ5">
        <f ca="1"/>
      </c>
      <c r="HA5">
        <f ca="1"/>
      </c>
      <c r="HB5">
        <f ca="1"/>
      </c>
      <c r="HC5">
        <f ca="1"/>
      </c>
      <c r="HD5">
        <f ca="1"/>
      </c>
      <c r="HE5">
        <f ca="1"/>
      </c>
      <c r="HF5">
        <f ca="1"/>
      </c>
      <c r="HG5">
        <f ca="1"/>
      </c>
      <c r="HH5">
        <f ca="1"/>
      </c>
      <c r="HI5">
        <f ca="1"/>
      </c>
      <c r="HJ5">
        <f ca="1"/>
      </c>
      <c r="HK5">
        <f ca="1"/>
      </c>
      <c r="HL5">
        <f ca="1"/>
      </c>
      <c r="HM5">
        <f ca="1"/>
      </c>
      <c r="HN5">
        <f ca="1"/>
      </c>
      <c r="HO5">
        <f ca="1"/>
      </c>
      <c r="HP5">
        <f ca="1"/>
      </c>
      <c r="HQ5">
        <f ca="1"/>
      </c>
      <c r="HR5">
        <f ca="1"/>
      </c>
      <c r="HS5">
        <f ca="1"/>
      </c>
      <c r="LA5">
        <f ca="1"/>
      </c>
      <c r="LB5">
        <f ca="1"/>
      </c>
      <c r="LC5">
        <f ca="1"/>
      </c>
    </row>
    <row r="6" spans="1:315" x14ac:dyDescent="0.55000000000000004">
      <c r="A6" t="s">
        <v>192</v>
      </c>
      <c r="B6" s="2" t="s">
        <v>221</v>
      </c>
      <c r="F6">
        <f ca="1"/>
      </c>
      <c r="G6">
        <f ca="1"/>
      </c>
      <c r="I6">
        <f ca="1"/>
      </c>
      <c r="J6" s="7">
        <f ca="1"/>
      </c>
      <c r="BI6">
        <f ca="1"/>
      </c>
      <c r="BJ6" s="11">
        <f ca="1"/>
      </c>
      <c r="BK6" s="11">
        <f ca="1"/>
      </c>
      <c r="BL6" s="11">
        <f ca="1"/>
      </c>
      <c r="BM6" s="11">
        <f ca="1"/>
      </c>
      <c r="BN6" s="11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X6">
        <f ca="1"/>
      </c>
      <c r="GY6">
        <f ca="1"/>
      </c>
      <c r="GZ6">
        <f ca="1"/>
      </c>
      <c r="HA6">
        <f ca="1"/>
      </c>
      <c r="HB6">
        <f ca="1"/>
      </c>
      <c r="HC6">
        <f ca="1"/>
      </c>
      <c r="HD6">
        <f ca="1"/>
      </c>
      <c r="HE6">
        <f ca="1"/>
      </c>
      <c r="HF6">
        <f ca="1"/>
      </c>
      <c r="HG6">
        <f ca="1"/>
      </c>
      <c r="HH6">
        <f ca="1"/>
      </c>
      <c r="HI6">
        <f ca="1"/>
      </c>
      <c r="HJ6">
        <f ca="1"/>
      </c>
      <c r="HK6">
        <f ca="1"/>
      </c>
      <c r="HL6">
        <f ca="1"/>
      </c>
      <c r="HM6">
        <f ca="1"/>
      </c>
      <c r="HN6">
        <f ca="1"/>
      </c>
      <c r="HO6">
        <f ca="1"/>
      </c>
      <c r="HP6">
        <f ca="1"/>
      </c>
      <c r="HQ6">
        <f ca="1"/>
      </c>
      <c r="HR6">
        <f ca="1"/>
      </c>
      <c r="HS6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193</v>
      </c>
      <c r="B7" s="2" t="s">
        <v>222</v>
      </c>
      <c r="F7">
        <f ca="1"/>
      </c>
      <c r="G7">
        <f ca="1"/>
      </c>
      <c r="I7">
        <f ca="1"/>
      </c>
      <c r="J7" s="8">
        <f ca="1"/>
      </c>
      <c r="BI7">
        <f ca="1"/>
      </c>
      <c r="BJ7" s="11">
        <f ca="1"/>
      </c>
      <c r="BK7" s="11">
        <f ca="1"/>
      </c>
      <c r="BL7" s="11">
        <f ca="1"/>
      </c>
      <c r="BM7" s="11">
        <f ca="1"/>
      </c>
      <c r="BN7" s="11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X7">
        <f ca="1"/>
      </c>
      <c r="GY7">
        <f ca="1"/>
      </c>
      <c r="GZ7">
        <f ca="1"/>
      </c>
      <c r="HA7">
        <f ca="1"/>
      </c>
      <c r="HB7">
        <f ca="1"/>
      </c>
      <c r="HC7">
        <f ca="1"/>
      </c>
      <c r="HD7">
        <f ca="1"/>
      </c>
      <c r="HE7">
        <f ca="1"/>
      </c>
      <c r="HF7">
        <f ca="1"/>
      </c>
      <c r="HG7">
        <f ca="1"/>
      </c>
      <c r="HH7">
        <f ca="1"/>
      </c>
      <c r="HI7">
        <f ca="1"/>
      </c>
      <c r="HJ7">
        <f ca="1"/>
      </c>
      <c r="HK7">
        <f ca="1"/>
      </c>
      <c r="HL7">
        <f ca="1"/>
      </c>
      <c r="HM7">
        <f ca="1"/>
      </c>
      <c r="HN7">
        <f ca="1"/>
      </c>
      <c r="HO7">
        <f ca="1"/>
      </c>
      <c r="HP7">
        <f ca="1"/>
      </c>
      <c r="HQ7">
        <f ca="1"/>
      </c>
      <c r="HR7">
        <f ca="1"/>
      </c>
      <c r="HS7">
        <f ca="1"/>
      </c>
      <c r="LA7">
        <f ca="1"/>
      </c>
      <c r="LB7">
        <f ca="1"/>
      </c>
      <c r="LC7">
        <f ca="1"/>
      </c>
    </row>
    <row r="8" spans="1:315" x14ac:dyDescent="0.55000000000000004">
      <c r="F8">
        <f ca="1"/>
      </c>
      <c r="G8" s="8">
        <f ca="1"/>
      </c>
      <c r="BI8">
        <f ca="1"/>
      </c>
      <c r="BJ8" s="11">
        <f ca="1"/>
      </c>
      <c r="BK8" s="11">
        <f ca="1"/>
      </c>
      <c r="BL8" s="11">
        <f ca="1"/>
      </c>
      <c r="BM8" s="11">
        <f ca="1"/>
      </c>
      <c r="BN8" s="11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X8">
        <f ca="1"/>
      </c>
      <c r="GY8">
        <f ca="1"/>
      </c>
      <c r="GZ8">
        <f ca="1"/>
      </c>
      <c r="HA8">
        <f ca="1"/>
      </c>
      <c r="HB8">
        <f ca="1"/>
      </c>
      <c r="HC8">
        <f ca="1"/>
      </c>
      <c r="HD8">
        <f ca="1"/>
      </c>
      <c r="HE8">
        <f ca="1"/>
      </c>
      <c r="HF8">
        <f ca="1"/>
      </c>
      <c r="HG8">
        <f ca="1"/>
      </c>
      <c r="HH8">
        <f ca="1"/>
      </c>
      <c r="HI8">
        <f ca="1"/>
      </c>
      <c r="HJ8">
        <f ca="1"/>
      </c>
      <c r="HK8">
        <f ca="1"/>
      </c>
      <c r="HL8">
        <f ca="1"/>
      </c>
      <c r="HM8">
        <f ca="1"/>
      </c>
      <c r="HN8">
        <f ca="1"/>
      </c>
      <c r="HO8">
        <f ca="1"/>
      </c>
      <c r="HP8">
        <f ca="1"/>
      </c>
      <c r="HQ8">
        <f ca="1"/>
      </c>
      <c r="HR8">
        <f ca="1"/>
      </c>
      <c r="HS8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249</v>
      </c>
      <c r="BI9">
        <f ca="1"/>
      </c>
      <c r="BJ9" s="11">
        <f ca="1"/>
      </c>
      <c r="BK9" s="11">
        <f ca="1"/>
      </c>
      <c r="BL9" s="11">
        <f ca="1"/>
      </c>
      <c r="BM9" s="11">
        <f ca="1"/>
      </c>
      <c r="BN9" s="11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X9">
        <f ca="1"/>
      </c>
      <c r="GY9">
        <f ca="1"/>
      </c>
      <c r="GZ9">
        <f ca="1"/>
      </c>
      <c r="HA9">
        <f ca="1"/>
      </c>
      <c r="HB9">
        <f ca="1"/>
      </c>
      <c r="HC9">
        <f ca="1"/>
      </c>
      <c r="HD9">
        <f ca="1"/>
      </c>
      <c r="HE9">
        <f ca="1"/>
      </c>
      <c r="HF9">
        <f ca="1"/>
      </c>
      <c r="HG9">
        <f ca="1"/>
      </c>
      <c r="HH9">
        <f ca="1"/>
      </c>
      <c r="HI9">
        <f ca="1"/>
      </c>
      <c r="HJ9">
        <f ca="1"/>
      </c>
      <c r="HK9">
        <f ca="1"/>
      </c>
      <c r="HL9">
        <f ca="1"/>
      </c>
      <c r="HM9">
        <f ca="1"/>
      </c>
      <c r="HN9">
        <f ca="1"/>
      </c>
      <c r="HO9">
        <f ca="1"/>
      </c>
      <c r="HP9">
        <f ca="1"/>
      </c>
      <c r="HQ9">
        <f ca="1"/>
      </c>
      <c r="HR9">
        <f ca="1"/>
      </c>
      <c r="HS9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250</v>
      </c>
      <c r="B10" s="3"/>
      <c r="F10" s="4" t="s">
        <v>237</v>
      </c>
      <c r="U10" s="4" t="s">
        <v>238</v>
      </c>
      <c r="AJ10" s="4" t="s">
        <v>239</v>
      </c>
      <c r="BI10">
        <f ca="1"/>
      </c>
      <c r="BJ10" s="11">
        <f ca="1"/>
      </c>
      <c r="BK10" s="11">
        <f ca="1"/>
      </c>
      <c r="BL10" s="11">
        <f ca="1"/>
      </c>
      <c r="BM10" s="11">
        <f ca="1"/>
      </c>
      <c r="BN10" s="11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X10">
        <f ca="1"/>
      </c>
      <c r="GY10">
        <f ca="1"/>
      </c>
      <c r="GZ10">
        <f ca="1"/>
      </c>
      <c r="HA10">
        <f ca="1"/>
      </c>
      <c r="HB10">
        <f ca="1"/>
      </c>
      <c r="HC10">
        <f ca="1"/>
      </c>
      <c r="HD10">
        <f ca="1"/>
      </c>
      <c r="HE10">
        <f ca="1"/>
      </c>
      <c r="HF10">
        <f ca="1"/>
      </c>
      <c r="HG10">
        <f ca="1"/>
      </c>
      <c r="HH10">
        <f ca="1"/>
      </c>
      <c r="HI10">
        <f ca="1"/>
      </c>
      <c r="HJ10">
        <f ca="1"/>
      </c>
      <c r="HK10">
        <f ca="1"/>
      </c>
      <c r="HL10">
        <f ca="1"/>
      </c>
      <c r="HM10">
        <f ca="1"/>
      </c>
      <c r="HN10">
        <f ca="1"/>
      </c>
      <c r="HO10">
        <f ca="1"/>
      </c>
      <c r="HP10">
        <f ca="1"/>
      </c>
      <c r="HQ10">
        <f ca="1"/>
      </c>
      <c r="HR10">
        <f ca="1"/>
      </c>
      <c r="HS10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194</v>
      </c>
      <c r="B11" s="2">
        <v>3</v>
      </c>
      <c r="F11" s="5" t="s">
        <v>240</v>
      </c>
      <c r="G11" cm="1">
        <f t="array" ref="G11:R11">TRANSPOSE(VOL_Tenors)</f>
      </c>
      <c r="U11" s="5" t="s">
        <v>240</v>
      </c>
      <c r="V11" cm="1">
        <f t="array" ref="V11:AG11">TRANSPOSE(VOL_Tenors)</f>
      </c>
      <c r="AJ11" s="5" t="s">
        <v>215</v>
      </c>
      <c r="AK11" s="5" t="s">
        <v>216</v>
      </c>
      <c r="AL11" s="5" t="s">
        <v>217</v>
      </c>
      <c r="AM11" s="5" t="s">
        <v>218</v>
      </c>
      <c r="AN11" s="5" t="s">
        <v>219</v>
      </c>
      <c r="AO11" s="5" t="s">
        <v>220</v>
      </c>
      <c r="BG11" s="7"/>
      <c r="BI11">
        <f ca="1"/>
      </c>
      <c r="BJ11" s="11">
        <f ca="1"/>
      </c>
      <c r="BK11" s="11">
        <f ca="1"/>
      </c>
      <c r="BL11" s="11">
        <f ca="1"/>
      </c>
      <c r="BM11" s="11">
        <f ca="1"/>
      </c>
      <c r="BN11" s="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X11">
        <f ca="1"/>
      </c>
      <c r="GY11">
        <f ca="1"/>
      </c>
      <c r="GZ11">
        <f ca="1"/>
      </c>
      <c r="HA11">
        <f ca="1"/>
      </c>
      <c r="HB11">
        <f ca="1"/>
      </c>
      <c r="HC11">
        <f ca="1"/>
      </c>
      <c r="HD11">
        <f ca="1"/>
      </c>
      <c r="HE11">
        <f ca="1"/>
      </c>
      <c r="HF11">
        <f ca="1"/>
      </c>
      <c r="HG11">
        <f ca="1"/>
      </c>
      <c r="HH11">
        <f ca="1"/>
      </c>
      <c r="HI11">
        <f ca="1"/>
      </c>
      <c r="HJ11">
        <f ca="1"/>
      </c>
      <c r="HK11">
        <f ca="1"/>
      </c>
      <c r="HL11">
        <f ca="1"/>
      </c>
      <c r="HM11">
        <f ca="1"/>
      </c>
      <c r="HN11">
        <f ca="1"/>
      </c>
      <c r="HO11">
        <f ca="1"/>
      </c>
      <c r="HP11">
        <f ca="1"/>
      </c>
      <c r="HQ11">
        <f ca="1"/>
      </c>
      <c r="HR11">
        <f ca="1"/>
      </c>
      <c r="HS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4">VOL_Expiries</f>
      </c>
      <c r="G12" s="11" cm="1">
        <f t="array" aca="1" ref="G12:R24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4">VOL_Expiries</f>
      </c>
      <c r="V12" s="14" cm="1">
        <f t="array" aca="1" ref="V12:AG24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aca="1" ref="AJ12:AJ21" ca="1">_xlfn.TAKE(_xlfn.DROP(_xlfn.TAKE(_xlfn.ANCHORARRAY($BF$17),,1),1),10)</f>
      </c>
      <c r="AK12" s="11" cm="1">
        <f t="array" aca="1" ref="AK12:AK21" ca="1">_xlfn.TAKE(_xlfn.DROP(_xlfn.CHOOSECOLS(_xlfn.ANCHORARRAY($BF$17),2),1),10)</f>
      </c>
      <c r="AL12" s="12" cm="1">
        <f t="array" aca="1" ref="AL12:AL21" ca="1">_xlfn.ANCHORARRAY(AK12)/SUM(_xlfn.DROP(_xlfn.CHOOSECOLS(_xlfn.ANCHORARRAY($BF$17),2),1))</f>
      </c>
      <c r="AM12" s="12" cm="1">
        <f t="array" aca="1" ref="AM12:AM21" ca="1">_xlfn.SCAN(0,_xlfn.ANCHORARRAY(AL12),_xlfn.LAMBDA(_xlpm.a,_xlpm.b,_xlpm.a+_xlpm.b))</f>
      </c>
      <c r="AN12" s="11" cm="1">
        <f t="array" aca="1" ref="AN12:AN21" ca="1">_xlfn.TAKE(MMULT(TRANSPOSE(_xlfn.DROP(_xlfn.ANCHORARRAY($BP$4),1,4)),(_xlfn.ANCHORARRAY($BJ$5)-_xlfn.ANCHORARRAY($BK$5))/_xlfn.ANCHORARRAY($BL$5)),10)</f>
      </c>
      <c r="AO12" s="14" cm="1">
        <f t="array" aca="1" ref="AO12:AO21" ca="1">IF(_xlfn.SEQUENCE(ROWS(_xlfn.ANCHORARRAY(AJ12)))&lt;=VOL_k,"Yes","")</f>
      </c>
      <c r="BI12">
        <f ca="1"/>
      </c>
      <c r="BJ12" s="11">
        <f ca="1"/>
      </c>
      <c r="BK12" s="11">
        <f ca="1"/>
      </c>
      <c r="BL12" s="11">
        <f ca="1"/>
      </c>
      <c r="BM12" s="11">
        <f ca="1"/>
      </c>
      <c r="BN12" s="11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X12">
        <f ca="1"/>
      </c>
      <c r="GY12">
        <f ca="1"/>
      </c>
      <c r="GZ12">
        <f ca="1"/>
      </c>
      <c r="HA12">
        <f ca="1"/>
      </c>
      <c r="HB12">
        <f ca="1"/>
      </c>
      <c r="HC12">
        <f ca="1"/>
      </c>
      <c r="HD12">
        <f ca="1"/>
      </c>
      <c r="HE12">
        <f ca="1"/>
      </c>
      <c r="HF12">
        <f ca="1"/>
      </c>
      <c r="HG12">
        <f ca="1"/>
      </c>
      <c r="HH12">
        <f ca="1"/>
      </c>
      <c r="HI12">
        <f ca="1"/>
      </c>
      <c r="HJ12">
        <f ca="1"/>
      </c>
      <c r="HK12">
        <f ca="1"/>
      </c>
      <c r="HL12">
        <f ca="1"/>
      </c>
      <c r="HM12">
        <f ca="1"/>
      </c>
      <c r="HN12">
        <f ca="1"/>
      </c>
      <c r="HO12">
        <f ca="1"/>
      </c>
      <c r="HP12">
        <f ca="1"/>
      </c>
      <c r="HQ12">
        <f ca="1"/>
      </c>
      <c r="HR12">
        <f ca="1"/>
      </c>
      <c r="HS12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241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>
        <f ca="1"/>
      </c>
      <c r="AK13" s="11">
        <f ca="1"/>
      </c>
      <c r="AL13" s="12">
        <f ca="1"/>
      </c>
      <c r="AM13" s="12">
        <f ca="1"/>
      </c>
      <c r="AN13" s="11">
        <f ca="1"/>
      </c>
      <c r="AO13" s="14">
        <f ca="1"/>
      </c>
      <c r="BG13" s="7"/>
      <c r="BI13">
        <f ca="1"/>
      </c>
      <c r="BJ13" s="11">
        <f ca="1"/>
      </c>
      <c r="BK13" s="11">
        <f ca="1"/>
      </c>
      <c r="BL13" s="11">
        <f ca="1"/>
      </c>
      <c r="BM13" s="11">
        <f ca="1"/>
      </c>
      <c r="BN13" s="11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X13">
        <f ca="1"/>
      </c>
      <c r="GY13">
        <f ca="1"/>
      </c>
      <c r="GZ13">
        <f ca="1"/>
      </c>
      <c r="HA13">
        <f ca="1"/>
      </c>
      <c r="HB13">
        <f ca="1"/>
      </c>
      <c r="HC13">
        <f ca="1"/>
      </c>
      <c r="HD13">
        <f ca="1"/>
      </c>
      <c r="HE13">
        <f ca="1"/>
      </c>
      <c r="HF13">
        <f ca="1"/>
      </c>
      <c r="HG13">
        <f ca="1"/>
      </c>
      <c r="HH13">
        <f ca="1"/>
      </c>
      <c r="HI13">
        <f ca="1"/>
      </c>
      <c r="HJ13">
        <f ca="1"/>
      </c>
      <c r="HK13">
        <f ca="1"/>
      </c>
      <c r="HL13">
        <f ca="1"/>
      </c>
      <c r="HM13">
        <f ca="1"/>
      </c>
      <c r="HN13">
        <f ca="1"/>
      </c>
      <c r="HO13">
        <f ca="1"/>
      </c>
      <c r="HP13">
        <f ca="1"/>
      </c>
      <c r="HQ13">
        <f ca="1"/>
      </c>
      <c r="HR13">
        <f ca="1"/>
      </c>
      <c r="HS13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242</v>
      </c>
      <c r="B14" s="5" t="s">
        <v>205</v>
      </c>
      <c r="C14" s="5" t="s">
        <v>204</v>
      </c>
      <c r="D14" s="5" t="s">
        <v>205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>
        <f ca="1"/>
      </c>
      <c r="AK14" s="11">
        <f ca="1"/>
      </c>
      <c r="AL14" s="12">
        <f ca="1"/>
      </c>
      <c r="AM14" s="12">
        <f ca="1"/>
      </c>
      <c r="AN14" s="11">
        <f ca="1"/>
      </c>
      <c r="AO14" s="14">
        <f ca="1"/>
      </c>
      <c r="BI14">
        <f ca="1"/>
      </c>
      <c r="BJ14" s="11">
        <f ca="1"/>
      </c>
      <c r="BK14" s="11">
        <f ca="1"/>
      </c>
      <c r="BL14" s="11">
        <f ca="1"/>
      </c>
      <c r="BM14" s="11">
        <f ca="1"/>
      </c>
      <c r="BN14" s="11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X14">
        <f ca="1"/>
      </c>
      <c r="GY14">
        <f ca="1"/>
      </c>
      <c r="GZ14">
        <f ca="1"/>
      </c>
      <c r="HA14">
        <f ca="1"/>
      </c>
      <c r="HB14">
        <f ca="1"/>
      </c>
      <c r="HC14">
        <f ca="1"/>
      </c>
      <c r="HD14">
        <f ca="1"/>
      </c>
      <c r="HE14">
        <f ca="1"/>
      </c>
      <c r="HF14">
        <f ca="1"/>
      </c>
      <c r="HG14">
        <f ca="1"/>
      </c>
      <c r="HH14">
        <f ca="1"/>
      </c>
      <c r="HI14">
        <f ca="1"/>
      </c>
      <c r="HJ14">
        <f ca="1"/>
      </c>
      <c r="HK14">
        <f ca="1"/>
      </c>
      <c r="HL14">
        <f ca="1"/>
      </c>
      <c r="HM14">
        <f ca="1"/>
      </c>
      <c r="HN14">
        <f ca="1"/>
      </c>
      <c r="HO14">
        <f ca="1"/>
      </c>
      <c r="HP14">
        <f ca="1"/>
      </c>
      <c r="HQ14">
        <f ca="1"/>
      </c>
      <c r="HR14">
        <f ca="1"/>
      </c>
      <c r="HS14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367</v>
      </c>
      <c r="B15" s="6" t="s">
        <v>368</v>
      </c>
      <c r="C15" t="s">
        <v>49</v>
      </c>
      <c r="D15" s="6" t="s">
        <v>42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>
        <f ca="1"/>
      </c>
      <c r="AK15" s="11">
        <f ca="1"/>
      </c>
      <c r="AL15" s="12">
        <f ca="1"/>
      </c>
      <c r="AM15" s="12">
        <f ca="1"/>
      </c>
      <c r="AN15" s="11">
        <f ca="1"/>
      </c>
      <c r="AO15" s="14">
        <f ca="1"/>
      </c>
      <c r="BI15">
        <f ca="1"/>
      </c>
      <c r="BJ15" s="11">
        <f ca="1"/>
      </c>
      <c r="BK15" s="11">
        <f ca="1"/>
      </c>
      <c r="BL15" s="11">
        <f ca="1"/>
      </c>
      <c r="BM15" s="11">
        <f ca="1"/>
      </c>
      <c r="BN15" s="11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X15">
        <f ca="1"/>
      </c>
      <c r="GY15">
        <f ca="1"/>
      </c>
      <c r="GZ15">
        <f ca="1"/>
      </c>
      <c r="HA15">
        <f ca="1"/>
      </c>
      <c r="HB15">
        <f ca="1"/>
      </c>
      <c r="HC15">
        <f ca="1"/>
      </c>
      <c r="HD15">
        <f ca="1"/>
      </c>
      <c r="HE15">
        <f ca="1"/>
      </c>
      <c r="HF15">
        <f ca="1"/>
      </c>
      <c r="HG15">
        <f ca="1"/>
      </c>
      <c r="HH15">
        <f ca="1"/>
      </c>
      <c r="HI15">
        <f ca="1"/>
      </c>
      <c r="HJ15">
        <f ca="1"/>
      </c>
      <c r="HK15">
        <f ca="1"/>
      </c>
      <c r="HL15">
        <f ca="1"/>
      </c>
      <c r="HM15">
        <f ca="1"/>
      </c>
      <c r="HN15">
        <f ca="1"/>
      </c>
      <c r="HO15">
        <f ca="1"/>
      </c>
      <c r="HP15">
        <f ca="1"/>
      </c>
      <c r="HQ15">
        <f ca="1"/>
      </c>
      <c r="HR15">
        <f ca="1"/>
      </c>
      <c r="HS15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369</v>
      </c>
      <c r="B16" s="6" t="s">
        <v>368</v>
      </c>
      <c r="C16" t="s">
        <v>50</v>
      </c>
      <c r="D16" s="6" t="s">
        <v>42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>
        <f ca="1"/>
      </c>
      <c r="AK16" s="11">
        <f ca="1"/>
      </c>
      <c r="AL16" s="12">
        <f ca="1"/>
      </c>
      <c r="AM16" s="12">
        <f ca="1"/>
      </c>
      <c r="AN16" s="11">
        <f ca="1"/>
      </c>
      <c r="AO16" s="14">
        <f ca="1"/>
      </c>
      <c r="BF16" t="s">
        <v>206</v>
      </c>
      <c r="BI16">
        <f ca="1"/>
      </c>
      <c r="BJ16" s="11">
        <f ca="1"/>
      </c>
      <c r="BK16" s="11">
        <f ca="1"/>
      </c>
      <c r="BL16" s="11">
        <f ca="1"/>
      </c>
      <c r="BM16" s="11">
        <f ca="1"/>
      </c>
      <c r="BN16" s="11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X16">
        <f ca="1"/>
      </c>
      <c r="GY16">
        <f ca="1"/>
      </c>
      <c r="GZ16">
        <f ca="1"/>
      </c>
      <c r="HA16">
        <f ca="1"/>
      </c>
      <c r="HB16">
        <f ca="1"/>
      </c>
      <c r="HC16">
        <f ca="1"/>
      </c>
      <c r="HD16">
        <f ca="1"/>
      </c>
      <c r="HE16">
        <f ca="1"/>
      </c>
      <c r="HF16">
        <f ca="1"/>
      </c>
      <c r="HG16">
        <f ca="1"/>
      </c>
      <c r="HH16">
        <f ca="1"/>
      </c>
      <c r="HI16">
        <f ca="1"/>
      </c>
      <c r="HJ16">
        <f ca="1"/>
      </c>
      <c r="HK16">
        <f ca="1"/>
      </c>
      <c r="HL16">
        <f ca="1"/>
      </c>
      <c r="HM16">
        <f ca="1"/>
      </c>
      <c r="HN16">
        <f ca="1"/>
      </c>
      <c r="HO16">
        <f ca="1"/>
      </c>
      <c r="HP16">
        <f ca="1"/>
      </c>
      <c r="HQ16">
        <f ca="1"/>
      </c>
      <c r="HR16">
        <f ca="1"/>
      </c>
      <c r="HS16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370</v>
      </c>
      <c r="B17" s="6" t="s">
        <v>368</v>
      </c>
      <c r="C17" t="s">
        <v>51</v>
      </c>
      <c r="D17" s="6" t="s">
        <v>42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>
        <f ca="1"/>
      </c>
      <c r="AK17" s="11">
        <f ca="1"/>
      </c>
      <c r="AL17" s="12">
        <f ca="1"/>
      </c>
      <c r="AM17" s="12">
        <f ca="1"/>
      </c>
      <c r="AN17" s="11">
        <f ca="1"/>
      </c>
      <c r="AO17" s="14">
        <f ca="1"/>
      </c>
      <c r="BF17" cm="1">
        <f t="array" aca="1" ref="BF17:BG173" ca="1">PcaEigen(VOL_Labels,VOL_Mode,VOL_Standardize,VOL_window,VOL_WindowEnd,"vol")</f>
      </c>
      <c r="BG17">
        <f ca="1"/>
      </c>
      <c r="BI17">
        <f ca="1"/>
      </c>
      <c r="BJ17" s="11">
        <f ca="1"/>
      </c>
      <c r="BK17" s="11">
        <f ca="1"/>
      </c>
      <c r="BL17" s="11">
        <f ca="1"/>
      </c>
      <c r="BM17" s="11">
        <f ca="1"/>
      </c>
      <c r="BN17" s="11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X17">
        <f ca="1"/>
      </c>
      <c r="GY17">
        <f ca="1"/>
      </c>
      <c r="GZ17">
        <f ca="1"/>
      </c>
      <c r="HA17">
        <f ca="1"/>
      </c>
      <c r="HB17">
        <f ca="1"/>
      </c>
      <c r="HC17">
        <f ca="1"/>
      </c>
      <c r="HD17">
        <f ca="1"/>
      </c>
      <c r="HE17">
        <f ca="1"/>
      </c>
      <c r="HF17">
        <f ca="1"/>
      </c>
      <c r="HG17">
        <f ca="1"/>
      </c>
      <c r="HH17">
        <f ca="1"/>
      </c>
      <c r="HI17">
        <f ca="1"/>
      </c>
      <c r="HJ17">
        <f ca="1"/>
      </c>
      <c r="HK17">
        <f ca="1"/>
      </c>
      <c r="HL17">
        <f ca="1"/>
      </c>
      <c r="HM17">
        <f ca="1"/>
      </c>
      <c r="HN17">
        <f ca="1"/>
      </c>
      <c r="HO17">
        <f ca="1"/>
      </c>
      <c r="HP17">
        <f ca="1"/>
      </c>
      <c r="HQ17">
        <f ca="1"/>
      </c>
      <c r="HR17">
        <f ca="1"/>
      </c>
      <c r="HS17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371</v>
      </c>
      <c r="B18" s="6" t="s">
        <v>368</v>
      </c>
      <c r="C18" t="s">
        <v>18</v>
      </c>
      <c r="D18" s="6" t="s">
        <v>42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>
        <f ca="1"/>
      </c>
      <c r="AK18" s="11">
        <f ca="1"/>
      </c>
      <c r="AL18" s="12">
        <f ca="1"/>
      </c>
      <c r="AM18" s="12">
        <f ca="1"/>
      </c>
      <c r="AN18" s="11">
        <f ca="1"/>
      </c>
      <c r="AO18" s="14">
        <f ca="1"/>
      </c>
      <c r="BF18">
        <f ca="1"/>
      </c>
      <c r="BG18">
        <f ca="1"/>
      </c>
      <c r="BI18">
        <f ca="1"/>
      </c>
      <c r="BJ18" s="11">
        <f ca="1"/>
      </c>
      <c r="BK18" s="11">
        <f ca="1"/>
      </c>
      <c r="BL18" s="11">
        <f ca="1"/>
      </c>
      <c r="BM18" s="11">
        <f ca="1"/>
      </c>
      <c r="BN18" s="11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X18">
        <f ca="1"/>
      </c>
      <c r="GY18">
        <f ca="1"/>
      </c>
      <c r="GZ18">
        <f ca="1"/>
      </c>
      <c r="HA18">
        <f ca="1"/>
      </c>
      <c r="HB18">
        <f ca="1"/>
      </c>
      <c r="HC18">
        <f ca="1"/>
      </c>
      <c r="HD18">
        <f ca="1"/>
      </c>
      <c r="HE18">
        <f ca="1"/>
      </c>
      <c r="HF18">
        <f ca="1"/>
      </c>
      <c r="HG18">
        <f ca="1"/>
      </c>
      <c r="HH18">
        <f ca="1"/>
      </c>
      <c r="HI18">
        <f ca="1"/>
      </c>
      <c r="HJ18">
        <f ca="1"/>
      </c>
      <c r="HK18">
        <f ca="1"/>
      </c>
      <c r="HL18">
        <f ca="1"/>
      </c>
      <c r="HM18">
        <f ca="1"/>
      </c>
      <c r="HN18">
        <f ca="1"/>
      </c>
      <c r="HO18">
        <f ca="1"/>
      </c>
      <c r="HP18">
        <f ca="1"/>
      </c>
      <c r="HQ18">
        <f ca="1"/>
      </c>
      <c r="HR18">
        <f ca="1"/>
      </c>
      <c r="HS18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372</v>
      </c>
      <c r="B19" s="6" t="s">
        <v>368</v>
      </c>
      <c r="C19" t="s">
        <v>19</v>
      </c>
      <c r="D19" s="6" t="s">
        <v>42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>
        <f ca="1"/>
      </c>
      <c r="AK19" s="11">
        <f ca="1"/>
      </c>
      <c r="AL19" s="12">
        <f ca="1"/>
      </c>
      <c r="AM19" s="12">
        <f ca="1"/>
      </c>
      <c r="AN19" s="11">
        <f ca="1"/>
      </c>
      <c r="AO19" s="14">
        <f ca="1"/>
      </c>
      <c r="BF19">
        <f ca="1"/>
      </c>
      <c r="BG19">
        <f ca="1"/>
      </c>
      <c r="BI19">
        <f ca="1"/>
      </c>
      <c r="BJ19" s="11">
        <f ca="1"/>
      </c>
      <c r="BK19" s="11">
        <f ca="1"/>
      </c>
      <c r="BL19" s="11">
        <f ca="1"/>
      </c>
      <c r="BM19" s="11">
        <f ca="1"/>
      </c>
      <c r="BN19" s="11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X19">
        <f ca="1"/>
      </c>
      <c r="GY19">
        <f ca="1"/>
      </c>
      <c r="GZ19">
        <f ca="1"/>
      </c>
      <c r="HA19">
        <f ca="1"/>
      </c>
      <c r="HB19">
        <f ca="1"/>
      </c>
      <c r="HC19">
        <f ca="1"/>
      </c>
      <c r="HD19">
        <f ca="1"/>
      </c>
      <c r="HE19">
        <f ca="1"/>
      </c>
      <c r="HF19">
        <f ca="1"/>
      </c>
      <c r="HG19">
        <f ca="1"/>
      </c>
      <c r="HH19">
        <f ca="1"/>
      </c>
      <c r="HI19">
        <f ca="1"/>
      </c>
      <c r="HJ19">
        <f ca="1"/>
      </c>
      <c r="HK19">
        <f ca="1"/>
      </c>
      <c r="HL19">
        <f ca="1"/>
      </c>
      <c r="HM19">
        <f ca="1"/>
      </c>
      <c r="HN19">
        <f ca="1"/>
      </c>
      <c r="HO19">
        <f ca="1"/>
      </c>
      <c r="HP19">
        <f ca="1"/>
      </c>
      <c r="HQ19">
        <f ca="1"/>
      </c>
      <c r="HR19">
        <f ca="1"/>
      </c>
      <c r="HS19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373</v>
      </c>
      <c r="B20" s="6" t="s">
        <v>368</v>
      </c>
      <c r="C20" t="s">
        <v>20</v>
      </c>
      <c r="D20" s="6" t="s">
        <v>42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>
        <f ca="1"/>
      </c>
      <c r="AK20" s="11">
        <f ca="1"/>
      </c>
      <c r="AL20" s="12">
        <f ca="1"/>
      </c>
      <c r="AM20" s="12">
        <f ca="1"/>
      </c>
      <c r="AN20" s="11">
        <f ca="1"/>
      </c>
      <c r="AO20" s="14">
        <f ca="1"/>
      </c>
      <c r="BF20">
        <f ca="1"/>
      </c>
      <c r="BG20">
        <f ca="1"/>
      </c>
      <c r="BI20">
        <f ca="1"/>
      </c>
      <c r="BJ20" s="11">
        <f ca="1"/>
      </c>
      <c r="BK20" s="11">
        <f ca="1"/>
      </c>
      <c r="BL20" s="11">
        <f ca="1"/>
      </c>
      <c r="BM20" s="11">
        <f ca="1"/>
      </c>
      <c r="BN20" s="11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GX20">
        <f ca="1"/>
      </c>
      <c r="GY20">
        <f ca="1"/>
      </c>
      <c r="GZ20">
        <f ca="1"/>
      </c>
      <c r="HA20">
        <f ca="1"/>
      </c>
      <c r="HB20">
        <f ca="1"/>
      </c>
      <c r="HC20">
        <f ca="1"/>
      </c>
      <c r="HD20">
        <f ca="1"/>
      </c>
      <c r="HE20">
        <f ca="1"/>
      </c>
      <c r="HF20">
        <f ca="1"/>
      </c>
      <c r="HG20">
        <f ca="1"/>
      </c>
      <c r="HH20">
        <f ca="1"/>
      </c>
      <c r="HI20">
        <f ca="1"/>
      </c>
      <c r="HJ20">
        <f ca="1"/>
      </c>
      <c r="HK20">
        <f ca="1"/>
      </c>
      <c r="HL20">
        <f ca="1"/>
      </c>
      <c r="HM20">
        <f ca="1"/>
      </c>
      <c r="HN20">
        <f ca="1"/>
      </c>
      <c r="HO20">
        <f ca="1"/>
      </c>
      <c r="HP20">
        <f ca="1"/>
      </c>
      <c r="HQ20">
        <f ca="1"/>
      </c>
      <c r="HR20">
        <f ca="1"/>
      </c>
      <c r="HS20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374</v>
      </c>
      <c r="B21" s="6" t="s">
        <v>368</v>
      </c>
      <c r="C21" t="s">
        <v>21</v>
      </c>
      <c r="D21" s="6" t="s">
        <v>42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>
        <f ca="1"/>
      </c>
      <c r="AK21" s="11">
        <f ca="1"/>
      </c>
      <c r="AL21" s="12">
        <f ca="1"/>
      </c>
      <c r="AM21" s="12">
        <f ca="1"/>
      </c>
      <c r="AN21" s="11">
        <f ca="1"/>
      </c>
      <c r="AO21" s="14">
        <f ca="1"/>
      </c>
      <c r="BF21">
        <f ca="1"/>
      </c>
      <c r="BG21">
        <f ca="1"/>
      </c>
      <c r="BI21">
        <f ca="1"/>
      </c>
      <c r="BJ21" s="11">
        <f ca="1"/>
      </c>
      <c r="BK21" s="11">
        <f ca="1"/>
      </c>
      <c r="BL21" s="11">
        <f ca="1"/>
      </c>
      <c r="BM21" s="11">
        <f ca="1"/>
      </c>
      <c r="BN21" s="1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GX21">
        <f ca="1"/>
      </c>
      <c r="GY21">
        <f ca="1"/>
      </c>
      <c r="GZ21">
        <f ca="1"/>
      </c>
      <c r="HA21">
        <f ca="1"/>
      </c>
      <c r="HB21">
        <f ca="1"/>
      </c>
      <c r="HC21">
        <f ca="1"/>
      </c>
      <c r="HD21">
        <f ca="1"/>
      </c>
      <c r="HE21">
        <f ca="1"/>
      </c>
      <c r="HF21">
        <f ca="1"/>
      </c>
      <c r="HG21">
        <f ca="1"/>
      </c>
      <c r="HH21">
        <f ca="1"/>
      </c>
      <c r="HI21">
        <f ca="1"/>
      </c>
      <c r="HJ21">
        <f ca="1"/>
      </c>
      <c r="HK21">
        <f ca="1"/>
      </c>
      <c r="HL21">
        <f ca="1"/>
      </c>
      <c r="HM21">
        <f ca="1"/>
      </c>
      <c r="HN21">
        <f ca="1"/>
      </c>
      <c r="HO21">
        <f ca="1"/>
      </c>
      <c r="HP21">
        <f ca="1"/>
      </c>
      <c r="HQ21">
        <f ca="1"/>
      </c>
      <c r="HR21">
        <f ca="1"/>
      </c>
      <c r="HS2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375</v>
      </c>
      <c r="B22" s="6" t="s">
        <v>368</v>
      </c>
      <c r="C22" t="s">
        <v>22</v>
      </c>
      <c r="D22" s="6" t="s">
        <v>42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F22">
        <f ca="1"/>
      </c>
      <c r="BG22">
        <f ca="1"/>
      </c>
      <c r="BI22">
        <f ca="1"/>
      </c>
      <c r="BJ22" s="11">
        <f ca="1"/>
      </c>
      <c r="BK22" s="11">
        <f ca="1"/>
      </c>
      <c r="BL22" s="11">
        <f ca="1"/>
      </c>
      <c r="BM22" s="11">
        <f ca="1"/>
      </c>
      <c r="BN22" s="11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GX22">
        <f ca="1"/>
      </c>
      <c r="GY22">
        <f ca="1"/>
      </c>
      <c r="GZ22">
        <f ca="1"/>
      </c>
      <c r="HA22">
        <f ca="1"/>
      </c>
      <c r="HB22">
        <f ca="1"/>
      </c>
      <c r="HC22">
        <f ca="1"/>
      </c>
      <c r="HD22">
        <f ca="1"/>
      </c>
      <c r="HE22">
        <f ca="1"/>
      </c>
      <c r="HF22">
        <f ca="1"/>
      </c>
      <c r="HG22">
        <f ca="1"/>
      </c>
      <c r="HH22">
        <f ca="1"/>
      </c>
      <c r="HI22">
        <f ca="1"/>
      </c>
      <c r="HJ22">
        <f ca="1"/>
      </c>
      <c r="HK22">
        <f ca="1"/>
      </c>
      <c r="HL22">
        <f ca="1"/>
      </c>
      <c r="HM22">
        <f ca="1"/>
      </c>
      <c r="HN22">
        <f ca="1"/>
      </c>
      <c r="HO22">
        <f ca="1"/>
      </c>
      <c r="HP22">
        <f ca="1"/>
      </c>
      <c r="HQ22">
        <f ca="1"/>
      </c>
      <c r="HR22">
        <f ca="1"/>
      </c>
      <c r="HS22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376</v>
      </c>
      <c r="B23" s="6" t="s">
        <v>368</v>
      </c>
      <c r="C23" t="s">
        <v>23</v>
      </c>
      <c r="D23" s="6" t="s">
        <v>42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F23">
        <f ca="1"/>
      </c>
      <c r="BG23">
        <f ca="1"/>
      </c>
      <c r="BI23">
        <f ca="1"/>
      </c>
      <c r="BJ23" s="11">
        <f ca="1"/>
      </c>
      <c r="BK23" s="11">
        <f ca="1"/>
      </c>
      <c r="BL23" s="11">
        <f ca="1"/>
      </c>
      <c r="BM23" s="11">
        <f ca="1"/>
      </c>
      <c r="BN23" s="11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GX23">
        <f ca="1"/>
      </c>
      <c r="GY23">
        <f ca="1"/>
      </c>
      <c r="GZ23">
        <f ca="1"/>
      </c>
      <c r="HA23">
        <f ca="1"/>
      </c>
      <c r="HB23">
        <f ca="1"/>
      </c>
      <c r="HC23">
        <f ca="1"/>
      </c>
      <c r="HD23">
        <f ca="1"/>
      </c>
      <c r="HE23">
        <f ca="1"/>
      </c>
      <c r="HF23">
        <f ca="1"/>
      </c>
      <c r="HG23">
        <f ca="1"/>
      </c>
      <c r="HH23">
        <f ca="1"/>
      </c>
      <c r="HI23">
        <f ca="1"/>
      </c>
      <c r="HJ23">
        <f ca="1"/>
      </c>
      <c r="HK23">
        <f ca="1"/>
      </c>
      <c r="HL23">
        <f ca="1"/>
      </c>
      <c r="HM23">
        <f ca="1"/>
      </c>
      <c r="HN23">
        <f ca="1"/>
      </c>
      <c r="HO23">
        <f ca="1"/>
      </c>
      <c r="HP23">
        <f ca="1"/>
      </c>
      <c r="HQ23">
        <f ca="1"/>
      </c>
      <c r="HR23">
        <f ca="1"/>
      </c>
      <c r="HS23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377</v>
      </c>
      <c r="B24" s="6" t="s">
        <v>368</v>
      </c>
      <c r="C24" t="s">
        <v>24</v>
      </c>
      <c r="D24" s="6" t="s">
        <v>42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F24">
        <f ca="1"/>
      </c>
      <c r="BG24">
        <f ca="1"/>
      </c>
      <c r="BI24">
        <f ca="1"/>
      </c>
      <c r="BJ24" s="11">
        <f ca="1"/>
      </c>
      <c r="BK24" s="11">
        <f ca="1"/>
      </c>
      <c r="BL24" s="11">
        <f ca="1"/>
      </c>
      <c r="BM24" s="11">
        <f ca="1"/>
      </c>
      <c r="BN24" s="11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GX24">
        <f ca="1"/>
      </c>
      <c r="GY24">
        <f ca="1"/>
      </c>
      <c r="GZ24">
        <f ca="1"/>
      </c>
      <c r="HA24">
        <f ca="1"/>
      </c>
      <c r="HB24">
        <f ca="1"/>
      </c>
      <c r="HC24">
        <f ca="1"/>
      </c>
      <c r="HD24">
        <f ca="1"/>
      </c>
      <c r="HE24">
        <f ca="1"/>
      </c>
      <c r="HF24">
        <f ca="1"/>
      </c>
      <c r="HG24">
        <f ca="1"/>
      </c>
      <c r="HH24">
        <f ca="1"/>
      </c>
      <c r="HI24">
        <f ca="1"/>
      </c>
      <c r="HJ24">
        <f ca="1"/>
      </c>
      <c r="HK24">
        <f ca="1"/>
      </c>
      <c r="HL24">
        <f ca="1"/>
      </c>
      <c r="HM24">
        <f ca="1"/>
      </c>
      <c r="HN24">
        <f ca="1"/>
      </c>
      <c r="HO24">
        <f ca="1"/>
      </c>
      <c r="HP24">
        <f ca="1"/>
      </c>
      <c r="HQ24">
        <f ca="1"/>
      </c>
      <c r="HR24">
        <f ca="1"/>
      </c>
      <c r="HS24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378</v>
      </c>
      <c r="B25" s="6" t="s">
        <v>368</v>
      </c>
      <c r="C25" t="s">
        <v>27</v>
      </c>
      <c r="D25" s="6" t="s">
        <v>42</v>
      </c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BF25">
        <f ca="1"/>
      </c>
      <c r="BG25">
        <f ca="1"/>
      </c>
      <c r="BI25">
        <f ca="1"/>
      </c>
      <c r="BJ25" s="11">
        <f ca="1"/>
      </c>
      <c r="BK25" s="11">
        <f ca="1"/>
      </c>
      <c r="BL25" s="11">
        <f ca="1"/>
      </c>
      <c r="BM25" s="11">
        <f ca="1"/>
      </c>
      <c r="BN25" s="11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GX25">
        <f ca="1"/>
      </c>
      <c r="GY25">
        <f ca="1"/>
      </c>
      <c r="GZ25">
        <f ca="1"/>
      </c>
      <c r="HA25">
        <f ca="1"/>
      </c>
      <c r="HB25">
        <f ca="1"/>
      </c>
      <c r="HC25">
        <f ca="1"/>
      </c>
      <c r="HD25">
        <f ca="1"/>
      </c>
      <c r="HE25">
        <f ca="1"/>
      </c>
      <c r="HF25">
        <f ca="1"/>
      </c>
      <c r="HG25">
        <f ca="1"/>
      </c>
      <c r="HH25">
        <f ca="1"/>
      </c>
      <c r="HI25">
        <f ca="1"/>
      </c>
      <c r="HJ25">
        <f ca="1"/>
      </c>
      <c r="HK25">
        <f ca="1"/>
      </c>
      <c r="HL25">
        <f ca="1"/>
      </c>
      <c r="HM25">
        <f ca="1"/>
      </c>
      <c r="HN25">
        <f ca="1"/>
      </c>
      <c r="HO25">
        <f ca="1"/>
      </c>
      <c r="HP25">
        <f ca="1"/>
      </c>
      <c r="HQ25">
        <f ca="1"/>
      </c>
      <c r="HR25">
        <f ca="1"/>
      </c>
      <c r="HS25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379</v>
      </c>
      <c r="B26" s="6" t="s">
        <v>368</v>
      </c>
      <c r="C26" t="s">
        <v>28</v>
      </c>
      <c r="D26" s="6" t="s">
        <v>42</v>
      </c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BF26">
        <f ca="1"/>
      </c>
      <c r="BG26">
        <f ca="1"/>
      </c>
      <c r="BI26">
        <f ca="1"/>
      </c>
      <c r="BJ26" s="11">
        <f ca="1"/>
      </c>
      <c r="BK26" s="11">
        <f ca="1"/>
      </c>
      <c r="BL26" s="11">
        <f ca="1"/>
      </c>
      <c r="BM26" s="11">
        <f ca="1"/>
      </c>
      <c r="BN26" s="11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GX26">
        <f ca="1"/>
      </c>
      <c r="GY26">
        <f ca="1"/>
      </c>
      <c r="GZ26">
        <f ca="1"/>
      </c>
      <c r="HA26">
        <f ca="1"/>
      </c>
      <c r="HB26">
        <f ca="1"/>
      </c>
      <c r="HC26">
        <f ca="1"/>
      </c>
      <c r="HD26">
        <f ca="1"/>
      </c>
      <c r="HE26">
        <f ca="1"/>
      </c>
      <c r="HF26">
        <f ca="1"/>
      </c>
      <c r="HG26">
        <f ca="1"/>
      </c>
      <c r="HH26">
        <f ca="1"/>
      </c>
      <c r="HI26">
        <f ca="1"/>
      </c>
      <c r="HJ26">
        <f ca="1"/>
      </c>
      <c r="HK26">
        <f ca="1"/>
      </c>
      <c r="HL26">
        <f ca="1"/>
      </c>
      <c r="HM26">
        <f ca="1"/>
      </c>
      <c r="HN26">
        <f ca="1"/>
      </c>
      <c r="HO26">
        <f ca="1"/>
      </c>
      <c r="HP26">
        <f ca="1"/>
      </c>
      <c r="HQ26">
        <f ca="1"/>
      </c>
      <c r="HR26">
        <f ca="1"/>
      </c>
      <c r="HS26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380</v>
      </c>
      <c r="B27" s="6" t="s">
        <v>368</v>
      </c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BF27">
        <f ca="1"/>
      </c>
      <c r="BG27">
        <f ca="1"/>
      </c>
      <c r="BI27">
        <f ca="1"/>
      </c>
      <c r="BJ27" s="11">
        <f ca="1"/>
      </c>
      <c r="BK27" s="11">
        <f ca="1"/>
      </c>
      <c r="BL27" s="11">
        <f ca="1"/>
      </c>
      <c r="BM27" s="11">
        <f ca="1"/>
      </c>
      <c r="BN27" s="11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GX27">
        <f ca="1"/>
      </c>
      <c r="GY27">
        <f ca="1"/>
      </c>
      <c r="GZ27">
        <f ca="1"/>
      </c>
      <c r="HA27">
        <f ca="1"/>
      </c>
      <c r="HB27">
        <f ca="1"/>
      </c>
      <c r="HC27">
        <f ca="1"/>
      </c>
      <c r="HD27">
        <f ca="1"/>
      </c>
      <c r="HE27">
        <f ca="1"/>
      </c>
      <c r="HF27">
        <f ca="1"/>
      </c>
      <c r="HG27">
        <f ca="1"/>
      </c>
      <c r="HH27">
        <f ca="1"/>
      </c>
      <c r="HI27">
        <f ca="1"/>
      </c>
      <c r="HJ27">
        <f ca="1"/>
      </c>
      <c r="HK27">
        <f ca="1"/>
      </c>
      <c r="HL27">
        <f ca="1"/>
      </c>
      <c r="HM27">
        <f ca="1"/>
      </c>
      <c r="HN27">
        <f ca="1"/>
      </c>
      <c r="HO27">
        <f ca="1"/>
      </c>
      <c r="HP27">
        <f ca="1"/>
      </c>
      <c r="HQ27">
        <f ca="1"/>
      </c>
      <c r="HR27">
        <f ca="1"/>
      </c>
      <c r="HS27">
        <f ca="1"/>
      </c>
      <c r="LA27">
        <f ca="1"/>
      </c>
      <c r="LB27">
        <f ca="1"/>
      </c>
      <c r="LC27">
        <f ca="1"/>
      </c>
    </row>
    <row r="28" spans="1:315" x14ac:dyDescent="0.55000000000000004">
      <c r="B28" s="6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F28">
        <f ca="1"/>
      </c>
      <c r="BG28">
        <f ca="1"/>
      </c>
      <c r="BI28">
        <f ca="1"/>
      </c>
      <c r="BJ28" s="11">
        <f ca="1"/>
      </c>
      <c r="BK28" s="11">
        <f ca="1"/>
      </c>
      <c r="BL28" s="11">
        <f ca="1"/>
      </c>
      <c r="BM28" s="11">
        <f ca="1"/>
      </c>
      <c r="BN28" s="11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GX28">
        <f ca="1"/>
      </c>
      <c r="GY28">
        <f ca="1"/>
      </c>
      <c r="GZ28">
        <f ca="1"/>
      </c>
      <c r="HA28">
        <f ca="1"/>
      </c>
      <c r="HB28">
        <f ca="1"/>
      </c>
      <c r="HC28">
        <f ca="1"/>
      </c>
      <c r="HD28">
        <f ca="1"/>
      </c>
      <c r="HE28">
        <f ca="1"/>
      </c>
      <c r="HF28">
        <f ca="1"/>
      </c>
      <c r="HG28">
        <f ca="1"/>
      </c>
      <c r="HH28">
        <f ca="1"/>
      </c>
      <c r="HI28">
        <f ca="1"/>
      </c>
      <c r="HJ28">
        <f ca="1"/>
      </c>
      <c r="HK28">
        <f ca="1"/>
      </c>
      <c r="HL28">
        <f ca="1"/>
      </c>
      <c r="HM28">
        <f ca="1"/>
      </c>
      <c r="HN28">
        <f ca="1"/>
      </c>
      <c r="HO28">
        <f ca="1"/>
      </c>
      <c r="HP28">
        <f ca="1"/>
      </c>
      <c r="HQ28">
        <f ca="1"/>
      </c>
      <c r="HR28">
        <f ca="1"/>
      </c>
      <c r="HS28">
        <f ca="1"/>
      </c>
      <c r="LA28">
        <f ca="1"/>
      </c>
      <c r="LB28">
        <f ca="1"/>
      </c>
      <c r="LC28">
        <f ca="1"/>
      </c>
    </row>
    <row r="29" spans="1:315" x14ac:dyDescent="0.55000000000000004">
      <c r="B29" s="6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F29">
        <f ca="1"/>
      </c>
      <c r="BG29">
        <f ca="1"/>
      </c>
      <c r="BI29">
        <f ca="1"/>
      </c>
      <c r="BJ29" s="11">
        <f ca="1"/>
      </c>
      <c r="BK29" s="11">
        <f ca="1"/>
      </c>
      <c r="BL29" s="11">
        <f ca="1"/>
      </c>
      <c r="BM29" s="11">
        <f ca="1"/>
      </c>
      <c r="BN29" s="11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GX29">
        <f ca="1"/>
      </c>
      <c r="GY29">
        <f ca="1"/>
      </c>
      <c r="GZ29">
        <f ca="1"/>
      </c>
      <c r="HA29">
        <f ca="1"/>
      </c>
      <c r="HB29">
        <f ca="1"/>
      </c>
      <c r="HC29">
        <f ca="1"/>
      </c>
      <c r="HD29">
        <f ca="1"/>
      </c>
      <c r="HE29">
        <f ca="1"/>
      </c>
      <c r="HF29">
        <f ca="1"/>
      </c>
      <c r="HG29">
        <f ca="1"/>
      </c>
      <c r="HH29">
        <f ca="1"/>
      </c>
      <c r="HI29">
        <f ca="1"/>
      </c>
      <c r="HJ29">
        <f ca="1"/>
      </c>
      <c r="HK29">
        <f ca="1"/>
      </c>
      <c r="HL29">
        <f ca="1"/>
      </c>
      <c r="HM29">
        <f ca="1"/>
      </c>
      <c r="HN29">
        <f ca="1"/>
      </c>
      <c r="HO29">
        <f ca="1"/>
      </c>
      <c r="HP29">
        <f ca="1"/>
      </c>
      <c r="HQ29">
        <f ca="1"/>
      </c>
      <c r="HR29">
        <f ca="1"/>
      </c>
      <c r="HS29">
        <f ca="1"/>
      </c>
      <c r="LA29">
        <f ca="1"/>
      </c>
      <c r="LB29">
        <f ca="1"/>
      </c>
      <c r="LC29">
        <f ca="1"/>
      </c>
    </row>
    <row r="30" spans="1:315" x14ac:dyDescent="0.55000000000000004">
      <c r="B30" s="6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F30">
        <f ca="1"/>
      </c>
      <c r="BG30">
        <f ca="1"/>
      </c>
      <c r="BI30">
        <f ca="1"/>
      </c>
      <c r="BJ30" s="11">
        <f ca="1"/>
      </c>
      <c r="BK30" s="11">
        <f ca="1"/>
      </c>
      <c r="BL30" s="11">
        <f ca="1"/>
      </c>
      <c r="BM30" s="11">
        <f ca="1"/>
      </c>
      <c r="BN30" s="11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GX30">
        <f ca="1"/>
      </c>
      <c r="GY30">
        <f ca="1"/>
      </c>
      <c r="GZ30">
        <f ca="1"/>
      </c>
      <c r="HA30">
        <f ca="1"/>
      </c>
      <c r="HB30">
        <f ca="1"/>
      </c>
      <c r="HC30">
        <f ca="1"/>
      </c>
      <c r="HD30">
        <f ca="1"/>
      </c>
      <c r="HE30">
        <f ca="1"/>
      </c>
      <c r="HF30">
        <f ca="1"/>
      </c>
      <c r="HG30">
        <f ca="1"/>
      </c>
      <c r="HH30">
        <f ca="1"/>
      </c>
      <c r="HI30">
        <f ca="1"/>
      </c>
      <c r="HJ30">
        <f ca="1"/>
      </c>
      <c r="HK30">
        <f ca="1"/>
      </c>
      <c r="HL30">
        <f ca="1"/>
      </c>
      <c r="HM30">
        <f ca="1"/>
      </c>
      <c r="HN30">
        <f ca="1"/>
      </c>
      <c r="HO30">
        <f ca="1"/>
      </c>
      <c r="HP30">
        <f ca="1"/>
      </c>
      <c r="HQ30">
        <f ca="1"/>
      </c>
      <c r="HR30">
        <f ca="1"/>
      </c>
      <c r="HS30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F31">
        <f ca="1"/>
      </c>
      <c r="BG31">
        <f ca="1"/>
      </c>
      <c r="BI31">
        <f ca="1"/>
      </c>
      <c r="BJ31" s="11">
        <f ca="1"/>
      </c>
      <c r="BK31" s="11">
        <f ca="1"/>
      </c>
      <c r="BL31" s="11">
        <f ca="1"/>
      </c>
      <c r="BM31" s="11">
        <f ca="1"/>
      </c>
      <c r="BN31" s="1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GX31">
        <f ca="1"/>
      </c>
      <c r="GY31">
        <f ca="1"/>
      </c>
      <c r="GZ31">
        <f ca="1"/>
      </c>
      <c r="HA31">
        <f ca="1"/>
      </c>
      <c r="HB31">
        <f ca="1"/>
      </c>
      <c r="HC31">
        <f ca="1"/>
      </c>
      <c r="HD31">
        <f ca="1"/>
      </c>
      <c r="HE31">
        <f ca="1"/>
      </c>
      <c r="HF31">
        <f ca="1"/>
      </c>
      <c r="HG31">
        <f ca="1"/>
      </c>
      <c r="HH31">
        <f ca="1"/>
      </c>
      <c r="HI31">
        <f ca="1"/>
      </c>
      <c r="HJ31">
        <f ca="1"/>
      </c>
      <c r="HK31">
        <f ca="1"/>
      </c>
      <c r="HL31">
        <f ca="1"/>
      </c>
      <c r="HM31">
        <f ca="1"/>
      </c>
      <c r="HN31">
        <f ca="1"/>
      </c>
      <c r="HO31">
        <f ca="1"/>
      </c>
      <c r="HP31">
        <f ca="1"/>
      </c>
      <c r="HQ31">
        <f ca="1"/>
      </c>
      <c r="HR31">
        <f ca="1"/>
      </c>
      <c r="HS31">
        <f ca="1"/>
      </c>
      <c r="LA31">
        <f ca="1"/>
      </c>
      <c r="LB31">
        <f ca="1"/>
      </c>
      <c r="LC31">
        <f ca="1"/>
      </c>
    </row>
    <row r="32" spans="1:315" x14ac:dyDescent="0.55000000000000004">
      <c r="BF32">
        <f ca="1"/>
      </c>
      <c r="BG32">
        <f ca="1"/>
      </c>
      <c r="BI32">
        <f ca="1"/>
      </c>
      <c r="BJ32" s="11">
        <f ca="1"/>
      </c>
      <c r="BK32" s="11">
        <f ca="1"/>
      </c>
      <c r="BL32" s="11">
        <f ca="1"/>
      </c>
      <c r="BM32" s="11">
        <f ca="1"/>
      </c>
      <c r="BN32" s="11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GX32">
        <f ca="1"/>
      </c>
      <c r="GY32">
        <f ca="1"/>
      </c>
      <c r="GZ32">
        <f ca="1"/>
      </c>
      <c r="HA32">
        <f ca="1"/>
      </c>
      <c r="HB32">
        <f ca="1"/>
      </c>
      <c r="HC32">
        <f ca="1"/>
      </c>
      <c r="HD32">
        <f ca="1"/>
      </c>
      <c r="HE32">
        <f ca="1"/>
      </c>
      <c r="HF32">
        <f ca="1"/>
      </c>
      <c r="HG32">
        <f ca="1"/>
      </c>
      <c r="HH32">
        <f ca="1"/>
      </c>
      <c r="HI32">
        <f ca="1"/>
      </c>
      <c r="HJ32">
        <f ca="1"/>
      </c>
      <c r="HK32">
        <f ca="1"/>
      </c>
      <c r="HL32">
        <f ca="1"/>
      </c>
      <c r="HM32">
        <f ca="1"/>
      </c>
      <c r="HN32">
        <f ca="1"/>
      </c>
      <c r="HO32">
        <f ca="1"/>
      </c>
      <c r="HP32">
        <f ca="1"/>
      </c>
      <c r="HQ32">
        <f ca="1"/>
      </c>
      <c r="HR32">
        <f ca="1"/>
      </c>
      <c r="HS32">
        <f ca="1"/>
      </c>
      <c r="LA32">
        <f ca="1"/>
      </c>
      <c r="LB32">
        <f ca="1"/>
      </c>
      <c r="LC32">
        <f ca="1"/>
      </c>
    </row>
    <row r="33" spans="6:315" x14ac:dyDescent="0.55000000000000004">
      <c r="BF33">
        <f ca="1"/>
      </c>
      <c r="BG33">
        <f ca="1"/>
      </c>
      <c r="BI33">
        <f ca="1"/>
      </c>
      <c r="BJ33" s="11">
        <f ca="1"/>
      </c>
      <c r="BK33" s="11">
        <f ca="1"/>
      </c>
      <c r="BL33" s="11">
        <f ca="1"/>
      </c>
      <c r="BM33" s="11">
        <f ca="1"/>
      </c>
      <c r="BN33" s="11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GX33">
        <f ca="1"/>
      </c>
      <c r="GY33">
        <f ca="1"/>
      </c>
      <c r="GZ33">
        <f ca="1"/>
      </c>
      <c r="HA33">
        <f ca="1"/>
      </c>
      <c r="HB33">
        <f ca="1"/>
      </c>
      <c r="HC33">
        <f ca="1"/>
      </c>
      <c r="HD33">
        <f ca="1"/>
      </c>
      <c r="HE33">
        <f ca="1"/>
      </c>
      <c r="HF33">
        <f ca="1"/>
      </c>
      <c r="HG33">
        <f ca="1"/>
      </c>
      <c r="HH33">
        <f ca="1"/>
      </c>
      <c r="HI33">
        <f ca="1"/>
      </c>
      <c r="HJ33">
        <f ca="1"/>
      </c>
      <c r="HK33">
        <f ca="1"/>
      </c>
      <c r="HL33">
        <f ca="1"/>
      </c>
      <c r="HM33">
        <f ca="1"/>
      </c>
      <c r="HN33">
        <f ca="1"/>
      </c>
      <c r="HO33">
        <f ca="1"/>
      </c>
      <c r="HP33">
        <f ca="1"/>
      </c>
      <c r="HQ33">
        <f ca="1"/>
      </c>
      <c r="HR33">
        <f ca="1"/>
      </c>
      <c r="HS33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243</v>
      </c>
      <c r="U34" s="4" t="s">
        <v>244</v>
      </c>
      <c r="BF34">
        <f ca="1"/>
      </c>
      <c r="BG34">
        <f ca="1"/>
      </c>
      <c r="BI34">
        <f ca="1"/>
      </c>
      <c r="BJ34" s="11">
        <f ca="1"/>
      </c>
      <c r="BK34" s="11">
        <f ca="1"/>
      </c>
      <c r="BL34" s="11">
        <f ca="1"/>
      </c>
      <c r="BM34" s="11">
        <f ca="1"/>
      </c>
      <c r="BN34" s="11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GX34">
        <f ca="1"/>
      </c>
      <c r="GY34">
        <f ca="1"/>
      </c>
      <c r="GZ34">
        <f ca="1"/>
      </c>
      <c r="HA34">
        <f ca="1"/>
      </c>
      <c r="HB34">
        <f ca="1"/>
      </c>
      <c r="HC34">
        <f ca="1"/>
      </c>
      <c r="HD34">
        <f ca="1"/>
      </c>
      <c r="HE34">
        <f ca="1"/>
      </c>
      <c r="HF34">
        <f ca="1"/>
      </c>
      <c r="HG34">
        <f ca="1"/>
      </c>
      <c r="HH34">
        <f ca="1"/>
      </c>
      <c r="HI34">
        <f ca="1"/>
      </c>
      <c r="HJ34">
        <f ca="1"/>
      </c>
      <c r="HK34">
        <f ca="1"/>
      </c>
      <c r="HL34">
        <f ca="1"/>
      </c>
      <c r="HM34">
        <f ca="1"/>
      </c>
      <c r="HN34">
        <f ca="1"/>
      </c>
      <c r="HO34">
        <f ca="1"/>
      </c>
      <c r="HP34">
        <f ca="1"/>
      </c>
      <c r="HQ34">
        <f ca="1"/>
      </c>
      <c r="HR34">
        <f ca="1"/>
      </c>
      <c r="HS34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240</v>
      </c>
      <c r="G35" cm="1">
        <f t="array" ref="G35:R35">TRANSPOSE(VOL_Tenors)</f>
      </c>
      <c r="U35" s="5" t="s">
        <v>240</v>
      </c>
      <c r="V35" cm="1">
        <f t="array" ref="V35:AG35">TRANSPOSE(VOL_Tenors)</f>
      </c>
      <c r="BF35">
        <f ca="1"/>
      </c>
      <c r="BG35">
        <f ca="1"/>
      </c>
      <c r="BI35">
        <f ca="1"/>
      </c>
      <c r="BJ35" s="11">
        <f ca="1"/>
      </c>
      <c r="BK35" s="11">
        <f ca="1"/>
      </c>
      <c r="BL35" s="11">
        <f ca="1"/>
      </c>
      <c r="BM35" s="11">
        <f ca="1"/>
      </c>
      <c r="BN35" s="11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GX35">
        <f ca="1"/>
      </c>
      <c r="GY35">
        <f ca="1"/>
      </c>
      <c r="GZ35">
        <f ca="1"/>
      </c>
      <c r="HA35">
        <f ca="1"/>
      </c>
      <c r="HB35">
        <f ca="1"/>
      </c>
      <c r="HC35">
        <f ca="1"/>
      </c>
      <c r="HD35">
        <f ca="1"/>
      </c>
      <c r="HE35">
        <f ca="1"/>
      </c>
      <c r="HF35">
        <f ca="1"/>
      </c>
      <c r="HG35">
        <f ca="1"/>
      </c>
      <c r="HH35">
        <f ca="1"/>
      </c>
      <c r="HI35">
        <f ca="1"/>
      </c>
      <c r="HJ35">
        <f ca="1"/>
      </c>
      <c r="HK35">
        <f ca="1"/>
      </c>
      <c r="HL35">
        <f ca="1"/>
      </c>
      <c r="HM35">
        <f ca="1"/>
      </c>
      <c r="HN35">
        <f ca="1"/>
      </c>
      <c r="HO35">
        <f ca="1"/>
      </c>
      <c r="HP35">
        <f ca="1"/>
      </c>
      <c r="HQ35">
        <f ca="1"/>
      </c>
      <c r="HR35">
        <f ca="1"/>
      </c>
      <c r="HS35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48">VOL_Expiries</f>
      </c>
      <c r="G36" s="14" cm="1">
        <f t="array" aca="1" ref="G36:R48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48">VOL_Expiries</f>
      </c>
      <c r="V36" s="14" cm="1">
        <f t="array" aca="1" ref="V36:AG48" ca="1">_xlfn.XLOOKUP(_xlfn.ANCHORARRAY(U36)&amp;"x"&amp;_xlfn.ANCHORARRAY(V35),_xlfn.ANCHORARRAY($BI$5),_xlfn.ANCHORARRAY($BK$5))</f>
      </c>
      <c r="W36" s="14">
        <f ca="1"/>
      </c>
      <c r="X36" s="14">
        <f ca="1"/>
      </c>
      <c r="Y36" s="14">
        <f ca="1"/>
      </c>
      <c r="Z36" s="14">
        <f ca="1"/>
      </c>
      <c r="AA36" s="14">
        <f ca="1"/>
      </c>
      <c r="AB36" s="14">
        <f ca="1"/>
      </c>
      <c r="AC36" s="14">
        <f ca="1"/>
      </c>
      <c r="AD36" s="14">
        <f ca="1"/>
      </c>
      <c r="AE36" s="14">
        <f ca="1"/>
      </c>
      <c r="AF36" s="14">
        <f ca="1"/>
      </c>
      <c r="AG36" s="14">
        <f ca="1"/>
      </c>
      <c r="AH36" s="14"/>
      <c r="AI36" s="14"/>
      <c r="AJ36" s="14"/>
      <c r="AK36" s="14"/>
      <c r="AL36" s="14"/>
      <c r="AM36" s="14"/>
      <c r="AN36" s="14"/>
      <c r="AO36" s="14"/>
      <c r="BF36">
        <f ca="1"/>
      </c>
      <c r="BG36">
        <f ca="1"/>
      </c>
      <c r="BI36">
        <f ca="1"/>
      </c>
      <c r="BJ36" s="11">
        <f ca="1"/>
      </c>
      <c r="BK36" s="11">
        <f ca="1"/>
      </c>
      <c r="BL36" s="11">
        <f ca="1"/>
      </c>
      <c r="BM36" s="11">
        <f ca="1"/>
      </c>
      <c r="BN36" s="11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GX36">
        <f ca="1"/>
      </c>
      <c r="GY36">
        <f ca="1"/>
      </c>
      <c r="GZ36">
        <f ca="1"/>
      </c>
      <c r="HA36">
        <f ca="1"/>
      </c>
      <c r="HB36">
        <f ca="1"/>
      </c>
      <c r="HC36">
        <f ca="1"/>
      </c>
      <c r="HD36">
        <f ca="1"/>
      </c>
      <c r="HE36">
        <f ca="1"/>
      </c>
      <c r="HF36">
        <f ca="1"/>
      </c>
      <c r="HG36">
        <f ca="1"/>
      </c>
      <c r="HH36">
        <f ca="1"/>
      </c>
      <c r="HI36">
        <f ca="1"/>
      </c>
      <c r="HJ36">
        <f ca="1"/>
      </c>
      <c r="HK36">
        <f ca="1"/>
      </c>
      <c r="HL36">
        <f ca="1"/>
      </c>
      <c r="HM36">
        <f ca="1"/>
      </c>
      <c r="HN36">
        <f ca="1"/>
      </c>
      <c r="HO36">
        <f ca="1"/>
      </c>
      <c r="HP36">
        <f ca="1"/>
      </c>
      <c r="HQ36">
        <f ca="1"/>
      </c>
      <c r="HR36">
        <f ca="1"/>
      </c>
      <c r="HS36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>
        <f ca="1"/>
      </c>
      <c r="W37" s="14">
        <f ca="1"/>
      </c>
      <c r="X37" s="14">
        <f ca="1"/>
      </c>
      <c r="Y37" s="14">
        <f ca="1"/>
      </c>
      <c r="Z37" s="14">
        <f ca="1"/>
      </c>
      <c r="AA37" s="14">
        <f ca="1"/>
      </c>
      <c r="AB37" s="14">
        <f ca="1"/>
      </c>
      <c r="AC37" s="14">
        <f ca="1"/>
      </c>
      <c r="AD37" s="14">
        <f ca="1"/>
      </c>
      <c r="AE37" s="14">
        <f ca="1"/>
      </c>
      <c r="AF37" s="14">
        <f ca="1"/>
      </c>
      <c r="AG37" s="14">
        <f ca="1"/>
      </c>
      <c r="AH37" s="14"/>
      <c r="AI37" s="14"/>
      <c r="AJ37" s="14"/>
      <c r="AK37" s="14"/>
      <c r="AL37" s="14"/>
      <c r="AM37" s="14"/>
      <c r="AN37" s="14"/>
      <c r="AO37" s="14"/>
      <c r="BF37">
        <f ca="1"/>
      </c>
      <c r="BG37">
        <f ca="1"/>
      </c>
      <c r="BI37">
        <f ca="1"/>
      </c>
      <c r="BJ37" s="11">
        <f ca="1"/>
      </c>
      <c r="BK37" s="11">
        <f ca="1"/>
      </c>
      <c r="BL37" s="11">
        <f ca="1"/>
      </c>
      <c r="BM37" s="11">
        <f ca="1"/>
      </c>
      <c r="BN37" s="11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GX37">
        <f ca="1"/>
      </c>
      <c r="GY37">
        <f ca="1"/>
      </c>
      <c r="GZ37">
        <f ca="1"/>
      </c>
      <c r="HA37">
        <f ca="1"/>
      </c>
      <c r="HB37">
        <f ca="1"/>
      </c>
      <c r="HC37">
        <f ca="1"/>
      </c>
      <c r="HD37">
        <f ca="1"/>
      </c>
      <c r="HE37">
        <f ca="1"/>
      </c>
      <c r="HF37">
        <f ca="1"/>
      </c>
      <c r="HG37">
        <f ca="1"/>
      </c>
      <c r="HH37">
        <f ca="1"/>
      </c>
      <c r="HI37">
        <f ca="1"/>
      </c>
      <c r="HJ37">
        <f ca="1"/>
      </c>
      <c r="HK37">
        <f ca="1"/>
      </c>
      <c r="HL37">
        <f ca="1"/>
      </c>
      <c r="HM37">
        <f ca="1"/>
      </c>
      <c r="HN37">
        <f ca="1"/>
      </c>
      <c r="HO37">
        <f ca="1"/>
      </c>
      <c r="HP37">
        <f ca="1"/>
      </c>
      <c r="HQ37">
        <f ca="1"/>
      </c>
      <c r="HR37">
        <f ca="1"/>
      </c>
      <c r="HS37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>
        <f ca="1"/>
      </c>
      <c r="W38" s="14">
        <f ca="1"/>
      </c>
      <c r="X38" s="14">
        <f ca="1"/>
      </c>
      <c r="Y38" s="14">
        <f ca="1"/>
      </c>
      <c r="Z38" s="14">
        <f ca="1"/>
      </c>
      <c r="AA38" s="14">
        <f ca="1"/>
      </c>
      <c r="AB38" s="14">
        <f ca="1"/>
      </c>
      <c r="AC38" s="14">
        <f ca="1"/>
      </c>
      <c r="AD38" s="14">
        <f ca="1"/>
      </c>
      <c r="AE38" s="14">
        <f ca="1"/>
      </c>
      <c r="AF38" s="14">
        <f ca="1"/>
      </c>
      <c r="AG38" s="14">
        <f ca="1"/>
      </c>
      <c r="AH38" s="14"/>
      <c r="AI38" s="14"/>
      <c r="AJ38" s="14"/>
      <c r="AK38" s="14"/>
      <c r="AL38" s="14"/>
      <c r="AM38" s="14"/>
      <c r="AN38" s="14"/>
      <c r="AO38" s="14"/>
      <c r="BF38">
        <f ca="1"/>
      </c>
      <c r="BG38">
        <f ca="1"/>
      </c>
      <c r="BI38">
        <f ca="1"/>
      </c>
      <c r="BJ38" s="11">
        <f ca="1"/>
      </c>
      <c r="BK38" s="11">
        <f ca="1"/>
      </c>
      <c r="BL38" s="11">
        <f ca="1"/>
      </c>
      <c r="BM38" s="11">
        <f ca="1"/>
      </c>
      <c r="BN38" s="11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GX38">
        <f ca="1"/>
      </c>
      <c r="GY38">
        <f ca="1"/>
      </c>
      <c r="GZ38">
        <f ca="1"/>
      </c>
      <c r="HA38">
        <f ca="1"/>
      </c>
      <c r="HB38">
        <f ca="1"/>
      </c>
      <c r="HC38">
        <f ca="1"/>
      </c>
      <c r="HD38">
        <f ca="1"/>
      </c>
      <c r="HE38">
        <f ca="1"/>
      </c>
      <c r="HF38">
        <f ca="1"/>
      </c>
      <c r="HG38">
        <f ca="1"/>
      </c>
      <c r="HH38">
        <f ca="1"/>
      </c>
      <c r="HI38">
        <f ca="1"/>
      </c>
      <c r="HJ38">
        <f ca="1"/>
      </c>
      <c r="HK38">
        <f ca="1"/>
      </c>
      <c r="HL38">
        <f ca="1"/>
      </c>
      <c r="HM38">
        <f ca="1"/>
      </c>
      <c r="HN38">
        <f ca="1"/>
      </c>
      <c r="HO38">
        <f ca="1"/>
      </c>
      <c r="HP38">
        <f ca="1"/>
      </c>
      <c r="HQ38">
        <f ca="1"/>
      </c>
      <c r="HR38">
        <f ca="1"/>
      </c>
      <c r="HS38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>
        <f ca="1"/>
      </c>
      <c r="W39" s="14">
        <f ca="1"/>
      </c>
      <c r="X39" s="14">
        <f ca="1"/>
      </c>
      <c r="Y39" s="14">
        <f ca="1"/>
      </c>
      <c r="Z39" s="14">
        <f ca="1"/>
      </c>
      <c r="AA39" s="14">
        <f ca="1"/>
      </c>
      <c r="AB39" s="14">
        <f ca="1"/>
      </c>
      <c r="AC39" s="14">
        <f ca="1"/>
      </c>
      <c r="AD39" s="14">
        <f ca="1"/>
      </c>
      <c r="AE39" s="14">
        <f ca="1"/>
      </c>
      <c r="AF39" s="14">
        <f ca="1"/>
      </c>
      <c r="AG39" s="14">
        <f ca="1"/>
      </c>
      <c r="AH39" s="14"/>
      <c r="AI39" s="14"/>
      <c r="AJ39" s="14"/>
      <c r="AK39" s="14"/>
      <c r="AL39" s="14"/>
      <c r="AM39" s="14"/>
      <c r="AN39" s="14"/>
      <c r="AO39" s="14"/>
      <c r="BF39">
        <f ca="1"/>
      </c>
      <c r="BG39">
        <f ca="1"/>
      </c>
      <c r="BI39">
        <f ca="1"/>
      </c>
      <c r="BJ39" s="11">
        <f ca="1"/>
      </c>
      <c r="BK39" s="11">
        <f ca="1"/>
      </c>
      <c r="BL39" s="11">
        <f ca="1"/>
      </c>
      <c r="BM39" s="11">
        <f ca="1"/>
      </c>
      <c r="BN39" s="11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GX39">
        <f ca="1"/>
      </c>
      <c r="GY39">
        <f ca="1"/>
      </c>
      <c r="GZ39">
        <f ca="1"/>
      </c>
      <c r="HA39">
        <f ca="1"/>
      </c>
      <c r="HB39">
        <f ca="1"/>
      </c>
      <c r="HC39">
        <f ca="1"/>
      </c>
      <c r="HD39">
        <f ca="1"/>
      </c>
      <c r="HE39">
        <f ca="1"/>
      </c>
      <c r="HF39">
        <f ca="1"/>
      </c>
      <c r="HG39">
        <f ca="1"/>
      </c>
      <c r="HH39">
        <f ca="1"/>
      </c>
      <c r="HI39">
        <f ca="1"/>
      </c>
      <c r="HJ39">
        <f ca="1"/>
      </c>
      <c r="HK39">
        <f ca="1"/>
      </c>
      <c r="HL39">
        <f ca="1"/>
      </c>
      <c r="HM39">
        <f ca="1"/>
      </c>
      <c r="HN39">
        <f ca="1"/>
      </c>
      <c r="HO39">
        <f ca="1"/>
      </c>
      <c r="HP39">
        <f ca="1"/>
      </c>
      <c r="HQ39">
        <f ca="1"/>
      </c>
      <c r="HR39">
        <f ca="1"/>
      </c>
      <c r="HS39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>
        <f ca="1"/>
      </c>
      <c r="W40" s="14">
        <f ca="1"/>
      </c>
      <c r="X40" s="14">
        <f ca="1"/>
      </c>
      <c r="Y40" s="14">
        <f ca="1"/>
      </c>
      <c r="Z40" s="14">
        <f ca="1"/>
      </c>
      <c r="AA40" s="14">
        <f ca="1"/>
      </c>
      <c r="AB40" s="14">
        <f ca="1"/>
      </c>
      <c r="AC40" s="14">
        <f ca="1"/>
      </c>
      <c r="AD40" s="14">
        <f ca="1"/>
      </c>
      <c r="AE40" s="14">
        <f ca="1"/>
      </c>
      <c r="AF40" s="14">
        <f ca="1"/>
      </c>
      <c r="AG40" s="14">
        <f ca="1"/>
      </c>
      <c r="AH40" s="14"/>
      <c r="AI40" s="14"/>
      <c r="AJ40" s="14"/>
      <c r="AK40" s="14"/>
      <c r="AL40" s="14"/>
      <c r="AM40" s="14"/>
      <c r="AN40" s="14"/>
      <c r="AO40" s="14"/>
      <c r="BF40">
        <f ca="1"/>
      </c>
      <c r="BG40">
        <f ca="1"/>
      </c>
      <c r="BI40">
        <f ca="1"/>
      </c>
      <c r="BJ40" s="11">
        <f ca="1"/>
      </c>
      <c r="BK40" s="11">
        <f ca="1"/>
      </c>
      <c r="BL40" s="11">
        <f ca="1"/>
      </c>
      <c r="BM40" s="11">
        <f ca="1"/>
      </c>
      <c r="BN40" s="11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GX40">
        <f ca="1"/>
      </c>
      <c r="GY40">
        <f ca="1"/>
      </c>
      <c r="GZ40">
        <f ca="1"/>
      </c>
      <c r="HA40">
        <f ca="1"/>
      </c>
      <c r="HB40">
        <f ca="1"/>
      </c>
      <c r="HC40">
        <f ca="1"/>
      </c>
      <c r="HD40">
        <f ca="1"/>
      </c>
      <c r="HE40">
        <f ca="1"/>
      </c>
      <c r="HF40">
        <f ca="1"/>
      </c>
      <c r="HG40">
        <f ca="1"/>
      </c>
      <c r="HH40">
        <f ca="1"/>
      </c>
      <c r="HI40">
        <f ca="1"/>
      </c>
      <c r="HJ40">
        <f ca="1"/>
      </c>
      <c r="HK40">
        <f ca="1"/>
      </c>
      <c r="HL40">
        <f ca="1"/>
      </c>
      <c r="HM40">
        <f ca="1"/>
      </c>
      <c r="HN40">
        <f ca="1"/>
      </c>
      <c r="HO40">
        <f ca="1"/>
      </c>
      <c r="HP40">
        <f ca="1"/>
      </c>
      <c r="HQ40">
        <f ca="1"/>
      </c>
      <c r="HR40">
        <f ca="1"/>
      </c>
      <c r="HS40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>
        <f ca="1"/>
      </c>
      <c r="W41" s="14">
        <f ca="1"/>
      </c>
      <c r="X41" s="14">
        <f ca="1"/>
      </c>
      <c r="Y41" s="14">
        <f ca="1"/>
      </c>
      <c r="Z41" s="14">
        <f ca="1"/>
      </c>
      <c r="AA41" s="14">
        <f ca="1"/>
      </c>
      <c r="AB41" s="14">
        <f ca="1"/>
      </c>
      <c r="AC41" s="14">
        <f ca="1"/>
      </c>
      <c r="AD41" s="14">
        <f ca="1"/>
      </c>
      <c r="AE41" s="14">
        <f ca="1"/>
      </c>
      <c r="AF41" s="14">
        <f ca="1"/>
      </c>
      <c r="AG41" s="14">
        <f ca="1"/>
      </c>
      <c r="AH41" s="14"/>
      <c r="AI41" s="14"/>
      <c r="AJ41" s="14"/>
      <c r="AK41" s="14"/>
      <c r="AL41" s="14"/>
      <c r="AM41" s="14"/>
      <c r="AN41" s="14"/>
      <c r="AO41" s="14"/>
      <c r="BF41">
        <f ca="1"/>
      </c>
      <c r="BG41">
        <f ca="1"/>
      </c>
      <c r="BI41">
        <f ca="1"/>
      </c>
      <c r="BJ41" s="11">
        <f ca="1"/>
      </c>
      <c r="BK41" s="11">
        <f ca="1"/>
      </c>
      <c r="BL41" s="11">
        <f ca="1"/>
      </c>
      <c r="BM41" s="11">
        <f ca="1"/>
      </c>
      <c r="BN41" s="1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GX41">
        <f ca="1"/>
      </c>
      <c r="GY41">
        <f ca="1"/>
      </c>
      <c r="GZ41">
        <f ca="1"/>
      </c>
      <c r="HA41">
        <f ca="1"/>
      </c>
      <c r="HB41">
        <f ca="1"/>
      </c>
      <c r="HC41">
        <f ca="1"/>
      </c>
      <c r="HD41">
        <f ca="1"/>
      </c>
      <c r="HE41">
        <f ca="1"/>
      </c>
      <c r="HF41">
        <f ca="1"/>
      </c>
      <c r="HG41">
        <f ca="1"/>
      </c>
      <c r="HH41">
        <f ca="1"/>
      </c>
      <c r="HI41">
        <f ca="1"/>
      </c>
      <c r="HJ41">
        <f ca="1"/>
      </c>
      <c r="HK41">
        <f ca="1"/>
      </c>
      <c r="HL41">
        <f ca="1"/>
      </c>
      <c r="HM41">
        <f ca="1"/>
      </c>
      <c r="HN41">
        <f ca="1"/>
      </c>
      <c r="HO41">
        <f ca="1"/>
      </c>
      <c r="HP41">
        <f ca="1"/>
      </c>
      <c r="HQ41">
        <f ca="1"/>
      </c>
      <c r="HR41">
        <f ca="1"/>
      </c>
      <c r="HS4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>
        <f ca="1"/>
      </c>
      <c r="W42" s="14">
        <f ca="1"/>
      </c>
      <c r="X42" s="14">
        <f ca="1"/>
      </c>
      <c r="Y42" s="14">
        <f ca="1"/>
      </c>
      <c r="Z42" s="14">
        <f ca="1"/>
      </c>
      <c r="AA42" s="14">
        <f ca="1"/>
      </c>
      <c r="AB42" s="14">
        <f ca="1"/>
      </c>
      <c r="AC42" s="14">
        <f ca="1"/>
      </c>
      <c r="AD42" s="14">
        <f ca="1"/>
      </c>
      <c r="AE42" s="14">
        <f ca="1"/>
      </c>
      <c r="AF42" s="14">
        <f ca="1"/>
      </c>
      <c r="AG42" s="14">
        <f ca="1"/>
      </c>
      <c r="AH42" s="14"/>
      <c r="AI42" s="14"/>
      <c r="AJ42" s="14"/>
      <c r="AK42" s="14"/>
      <c r="AL42" s="14"/>
      <c r="AM42" s="14"/>
      <c r="AN42" s="14"/>
      <c r="AO42" s="14"/>
      <c r="BF42">
        <f ca="1"/>
      </c>
      <c r="BG42">
        <f ca="1"/>
      </c>
      <c r="BI42">
        <f ca="1"/>
      </c>
      <c r="BJ42" s="11">
        <f ca="1"/>
      </c>
      <c r="BK42" s="11">
        <f ca="1"/>
      </c>
      <c r="BL42" s="11">
        <f ca="1"/>
      </c>
      <c r="BM42" s="11">
        <f ca="1"/>
      </c>
      <c r="BN42" s="11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GX42">
        <f ca="1"/>
      </c>
      <c r="GY42">
        <f ca="1"/>
      </c>
      <c r="GZ42">
        <f ca="1"/>
      </c>
      <c r="HA42">
        <f ca="1"/>
      </c>
      <c r="HB42">
        <f ca="1"/>
      </c>
      <c r="HC42">
        <f ca="1"/>
      </c>
      <c r="HD42">
        <f ca="1"/>
      </c>
      <c r="HE42">
        <f ca="1"/>
      </c>
      <c r="HF42">
        <f ca="1"/>
      </c>
      <c r="HG42">
        <f ca="1"/>
      </c>
      <c r="HH42">
        <f ca="1"/>
      </c>
      <c r="HI42">
        <f ca="1"/>
      </c>
      <c r="HJ42">
        <f ca="1"/>
      </c>
      <c r="HK42">
        <f ca="1"/>
      </c>
      <c r="HL42">
        <f ca="1"/>
      </c>
      <c r="HM42">
        <f ca="1"/>
      </c>
      <c r="HN42">
        <f ca="1"/>
      </c>
      <c r="HO42">
        <f ca="1"/>
      </c>
      <c r="HP42">
        <f ca="1"/>
      </c>
      <c r="HQ42">
        <f ca="1"/>
      </c>
      <c r="HR42">
        <f ca="1"/>
      </c>
      <c r="HS42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>
        <f ca="1"/>
      </c>
      <c r="W43" s="14">
        <f ca="1"/>
      </c>
      <c r="X43" s="14">
        <f ca="1"/>
      </c>
      <c r="Y43" s="14">
        <f ca="1"/>
      </c>
      <c r="Z43" s="14">
        <f ca="1"/>
      </c>
      <c r="AA43" s="14">
        <f ca="1"/>
      </c>
      <c r="AB43" s="14">
        <f ca="1"/>
      </c>
      <c r="AC43" s="14">
        <f ca="1"/>
      </c>
      <c r="AD43" s="14">
        <f ca="1"/>
      </c>
      <c r="AE43" s="14">
        <f ca="1"/>
      </c>
      <c r="AF43" s="14">
        <f ca="1"/>
      </c>
      <c r="AG43" s="14">
        <f ca="1"/>
      </c>
      <c r="AH43" s="14"/>
      <c r="AI43" s="14"/>
      <c r="AJ43" s="14"/>
      <c r="AK43" s="14"/>
      <c r="AL43" s="14"/>
      <c r="AM43" s="14"/>
      <c r="AN43" s="14"/>
      <c r="AO43" s="14"/>
      <c r="BF43">
        <f ca="1"/>
      </c>
      <c r="BG43">
        <f ca="1"/>
      </c>
      <c r="BI43">
        <f ca="1"/>
      </c>
      <c r="BJ43" s="11">
        <f ca="1"/>
      </c>
      <c r="BK43" s="11">
        <f ca="1"/>
      </c>
      <c r="BL43" s="11">
        <f ca="1"/>
      </c>
      <c r="BM43" s="11">
        <f ca="1"/>
      </c>
      <c r="BN43" s="11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GX43">
        <f ca="1"/>
      </c>
      <c r="GY43">
        <f ca="1"/>
      </c>
      <c r="GZ43">
        <f ca="1"/>
      </c>
      <c r="HA43">
        <f ca="1"/>
      </c>
      <c r="HB43">
        <f ca="1"/>
      </c>
      <c r="HC43">
        <f ca="1"/>
      </c>
      <c r="HD43">
        <f ca="1"/>
      </c>
      <c r="HE43">
        <f ca="1"/>
      </c>
      <c r="HF43">
        <f ca="1"/>
      </c>
      <c r="HG43">
        <f ca="1"/>
      </c>
      <c r="HH43">
        <f ca="1"/>
      </c>
      <c r="HI43">
        <f ca="1"/>
      </c>
      <c r="HJ43">
        <f ca="1"/>
      </c>
      <c r="HK43">
        <f ca="1"/>
      </c>
      <c r="HL43">
        <f ca="1"/>
      </c>
      <c r="HM43">
        <f ca="1"/>
      </c>
      <c r="HN43">
        <f ca="1"/>
      </c>
      <c r="HO43">
        <f ca="1"/>
      </c>
      <c r="HP43">
        <f ca="1"/>
      </c>
      <c r="HQ43">
        <f ca="1"/>
      </c>
      <c r="HR43">
        <f ca="1"/>
      </c>
      <c r="HS43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>
        <f ca="1"/>
      </c>
      <c r="W44" s="14">
        <f ca="1"/>
      </c>
      <c r="X44" s="14">
        <f ca="1"/>
      </c>
      <c r="Y44" s="14">
        <f ca="1"/>
      </c>
      <c r="Z44" s="14">
        <f ca="1"/>
      </c>
      <c r="AA44" s="14">
        <f ca="1"/>
      </c>
      <c r="AB44" s="14">
        <f ca="1"/>
      </c>
      <c r="AC44" s="14">
        <f ca="1"/>
      </c>
      <c r="AD44" s="14">
        <f ca="1"/>
      </c>
      <c r="AE44" s="14">
        <f ca="1"/>
      </c>
      <c r="AF44" s="14">
        <f ca="1"/>
      </c>
      <c r="AG44" s="14">
        <f ca="1"/>
      </c>
      <c r="AH44" s="14"/>
      <c r="AI44" s="14"/>
      <c r="AJ44" s="14"/>
      <c r="AK44" s="14"/>
      <c r="AL44" s="14"/>
      <c r="AM44" s="14"/>
      <c r="AN44" s="14"/>
      <c r="AO44" s="14"/>
      <c r="BF44">
        <f ca="1"/>
      </c>
      <c r="BG44">
        <f ca="1"/>
      </c>
      <c r="BI44">
        <f ca="1"/>
      </c>
      <c r="BJ44" s="11">
        <f ca="1"/>
      </c>
      <c r="BK44" s="11">
        <f ca="1"/>
      </c>
      <c r="BL44" s="11">
        <f ca="1"/>
      </c>
      <c r="BM44" s="11">
        <f ca="1"/>
      </c>
      <c r="BN44" s="11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GX44">
        <f ca="1"/>
      </c>
      <c r="GY44">
        <f ca="1"/>
      </c>
      <c r="GZ44">
        <f ca="1"/>
      </c>
      <c r="HA44">
        <f ca="1"/>
      </c>
      <c r="HB44">
        <f ca="1"/>
      </c>
      <c r="HC44">
        <f ca="1"/>
      </c>
      <c r="HD44">
        <f ca="1"/>
      </c>
      <c r="HE44">
        <f ca="1"/>
      </c>
      <c r="HF44">
        <f ca="1"/>
      </c>
      <c r="HG44">
        <f ca="1"/>
      </c>
      <c r="HH44">
        <f ca="1"/>
      </c>
      <c r="HI44">
        <f ca="1"/>
      </c>
      <c r="HJ44">
        <f ca="1"/>
      </c>
      <c r="HK44">
        <f ca="1"/>
      </c>
      <c r="HL44">
        <f ca="1"/>
      </c>
      <c r="HM44">
        <f ca="1"/>
      </c>
      <c r="HN44">
        <f ca="1"/>
      </c>
      <c r="HO44">
        <f ca="1"/>
      </c>
      <c r="HP44">
        <f ca="1"/>
      </c>
      <c r="HQ44">
        <f ca="1"/>
      </c>
      <c r="HR44">
        <f ca="1"/>
      </c>
      <c r="HS44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>
        <f ca="1"/>
      </c>
      <c r="W45" s="14">
        <f ca="1"/>
      </c>
      <c r="X45" s="14">
        <f ca="1"/>
      </c>
      <c r="Y45" s="14">
        <f ca="1"/>
      </c>
      <c r="Z45" s="14">
        <f ca="1"/>
      </c>
      <c r="AA45" s="14">
        <f ca="1"/>
      </c>
      <c r="AB45" s="14">
        <f ca="1"/>
      </c>
      <c r="AC45" s="14">
        <f ca="1"/>
      </c>
      <c r="AD45" s="14">
        <f ca="1"/>
      </c>
      <c r="AE45" s="14">
        <f ca="1"/>
      </c>
      <c r="AF45" s="14">
        <f ca="1"/>
      </c>
      <c r="AG45" s="14">
        <f ca="1"/>
      </c>
      <c r="AH45" s="14"/>
      <c r="AI45" s="14"/>
      <c r="AJ45" s="14"/>
      <c r="AK45" s="14"/>
      <c r="AL45" s="14"/>
      <c r="AM45" s="14"/>
      <c r="AN45" s="14"/>
      <c r="AO45" s="14"/>
      <c r="BF45">
        <f ca="1"/>
      </c>
      <c r="BG45">
        <f ca="1"/>
      </c>
      <c r="BI45">
        <f ca="1"/>
      </c>
      <c r="BJ45" s="11">
        <f ca="1"/>
      </c>
      <c r="BK45" s="11">
        <f ca="1"/>
      </c>
      <c r="BL45" s="11">
        <f ca="1"/>
      </c>
      <c r="BM45" s="11">
        <f ca="1"/>
      </c>
      <c r="BN45" s="11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GX45">
        <f ca="1"/>
      </c>
      <c r="GY45">
        <f ca="1"/>
      </c>
      <c r="GZ45">
        <f ca="1"/>
      </c>
      <c r="HA45">
        <f ca="1"/>
      </c>
      <c r="HB45">
        <f ca="1"/>
      </c>
      <c r="HC45">
        <f ca="1"/>
      </c>
      <c r="HD45">
        <f ca="1"/>
      </c>
      <c r="HE45">
        <f ca="1"/>
      </c>
      <c r="HF45">
        <f ca="1"/>
      </c>
      <c r="HG45">
        <f ca="1"/>
      </c>
      <c r="HH45">
        <f ca="1"/>
      </c>
      <c r="HI45">
        <f ca="1"/>
      </c>
      <c r="HJ45">
        <f ca="1"/>
      </c>
      <c r="HK45">
        <f ca="1"/>
      </c>
      <c r="HL45">
        <f ca="1"/>
      </c>
      <c r="HM45">
        <f ca="1"/>
      </c>
      <c r="HN45">
        <f ca="1"/>
      </c>
      <c r="HO45">
        <f ca="1"/>
      </c>
      <c r="HP45">
        <f ca="1"/>
      </c>
      <c r="HQ45">
        <f ca="1"/>
      </c>
      <c r="HR45">
        <f ca="1"/>
      </c>
      <c r="HS45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>
        <f ca="1"/>
      </c>
      <c r="W46" s="14">
        <f ca="1"/>
      </c>
      <c r="X46" s="14">
        <f ca="1"/>
      </c>
      <c r="Y46" s="14">
        <f ca="1"/>
      </c>
      <c r="Z46" s="14">
        <f ca="1"/>
      </c>
      <c r="AA46" s="14">
        <f ca="1"/>
      </c>
      <c r="AB46" s="14">
        <f ca="1"/>
      </c>
      <c r="AC46" s="14">
        <f ca="1"/>
      </c>
      <c r="AD46" s="14">
        <f ca="1"/>
      </c>
      <c r="AE46" s="14">
        <f ca="1"/>
      </c>
      <c r="AF46" s="14">
        <f ca="1"/>
      </c>
      <c r="AG46" s="14">
        <f ca="1"/>
      </c>
      <c r="AH46" s="14"/>
      <c r="AI46" s="14"/>
      <c r="AJ46" s="14"/>
      <c r="AK46" s="14"/>
      <c r="AL46" s="14"/>
      <c r="AM46" s="14"/>
      <c r="AN46" s="14"/>
      <c r="AO46" s="14"/>
      <c r="BF46">
        <f ca="1"/>
      </c>
      <c r="BG46">
        <f ca="1"/>
      </c>
      <c r="BI46">
        <f ca="1"/>
      </c>
      <c r="BJ46" s="11">
        <f ca="1"/>
      </c>
      <c r="BK46" s="11">
        <f ca="1"/>
      </c>
      <c r="BL46" s="11">
        <f ca="1"/>
      </c>
      <c r="BM46" s="11">
        <f ca="1"/>
      </c>
      <c r="BN46" s="11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GX46">
        <f ca="1"/>
      </c>
      <c r="GY46">
        <f ca="1"/>
      </c>
      <c r="GZ46">
        <f ca="1"/>
      </c>
      <c r="HA46">
        <f ca="1"/>
      </c>
      <c r="HB46">
        <f ca="1"/>
      </c>
      <c r="HC46">
        <f ca="1"/>
      </c>
      <c r="HD46">
        <f ca="1"/>
      </c>
      <c r="HE46">
        <f ca="1"/>
      </c>
      <c r="HF46">
        <f ca="1"/>
      </c>
      <c r="HG46">
        <f ca="1"/>
      </c>
      <c r="HH46">
        <f ca="1"/>
      </c>
      <c r="HI46">
        <f ca="1"/>
      </c>
      <c r="HJ46">
        <f ca="1"/>
      </c>
      <c r="HK46">
        <f ca="1"/>
      </c>
      <c r="HL46">
        <f ca="1"/>
      </c>
      <c r="HM46">
        <f ca="1"/>
      </c>
      <c r="HN46">
        <f ca="1"/>
      </c>
      <c r="HO46">
        <f ca="1"/>
      </c>
      <c r="HP46">
        <f ca="1"/>
      </c>
      <c r="HQ46">
        <f ca="1"/>
      </c>
      <c r="HR46">
        <f ca="1"/>
      </c>
      <c r="HS46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>
        <f ca="1"/>
      </c>
      <c r="W47" s="14">
        <f ca="1"/>
      </c>
      <c r="X47" s="14">
        <f ca="1"/>
      </c>
      <c r="Y47" s="14">
        <f ca="1"/>
      </c>
      <c r="Z47" s="14">
        <f ca="1"/>
      </c>
      <c r="AA47" s="14">
        <f ca="1"/>
      </c>
      <c r="AB47" s="14">
        <f ca="1"/>
      </c>
      <c r="AC47" s="14">
        <f ca="1"/>
      </c>
      <c r="AD47" s="14">
        <f ca="1"/>
      </c>
      <c r="AE47" s="14">
        <f ca="1"/>
      </c>
      <c r="AF47" s="14">
        <f ca="1"/>
      </c>
      <c r="AG47" s="14">
        <f ca="1"/>
      </c>
      <c r="AH47" s="14"/>
      <c r="AI47" s="14"/>
      <c r="AJ47" s="14"/>
      <c r="AK47" s="14"/>
      <c r="AL47" s="14"/>
      <c r="AM47" s="14"/>
      <c r="AN47" s="14"/>
      <c r="AO47" s="14"/>
      <c r="BF47">
        <f ca="1"/>
      </c>
      <c r="BG47">
        <f ca="1"/>
      </c>
      <c r="BI47">
        <f ca="1"/>
      </c>
      <c r="BJ47" s="11">
        <f ca="1"/>
      </c>
      <c r="BK47" s="11">
        <f ca="1"/>
      </c>
      <c r="BL47" s="11">
        <f ca="1"/>
      </c>
      <c r="BM47" s="11">
        <f ca="1"/>
      </c>
      <c r="BN47" s="11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GX47">
        <f ca="1"/>
      </c>
      <c r="GY47">
        <f ca="1"/>
      </c>
      <c r="GZ47">
        <f ca="1"/>
      </c>
      <c r="HA47">
        <f ca="1"/>
      </c>
      <c r="HB47">
        <f ca="1"/>
      </c>
      <c r="HC47">
        <f ca="1"/>
      </c>
      <c r="HD47">
        <f ca="1"/>
      </c>
      <c r="HE47">
        <f ca="1"/>
      </c>
      <c r="HF47">
        <f ca="1"/>
      </c>
      <c r="HG47">
        <f ca="1"/>
      </c>
      <c r="HH47">
        <f ca="1"/>
      </c>
      <c r="HI47">
        <f ca="1"/>
      </c>
      <c r="HJ47">
        <f ca="1"/>
      </c>
      <c r="HK47">
        <f ca="1"/>
      </c>
      <c r="HL47">
        <f ca="1"/>
      </c>
      <c r="HM47">
        <f ca="1"/>
      </c>
      <c r="HN47">
        <f ca="1"/>
      </c>
      <c r="HO47">
        <f ca="1"/>
      </c>
      <c r="HP47">
        <f ca="1"/>
      </c>
      <c r="HQ47">
        <f ca="1"/>
      </c>
      <c r="HR47">
        <f ca="1"/>
      </c>
      <c r="HS47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>
        <f ca="1"/>
      </c>
      <c r="W48" s="14">
        <f ca="1"/>
      </c>
      <c r="X48" s="14">
        <f ca="1"/>
      </c>
      <c r="Y48" s="14">
        <f ca="1"/>
      </c>
      <c r="Z48" s="14">
        <f ca="1"/>
      </c>
      <c r="AA48" s="14">
        <f ca="1"/>
      </c>
      <c r="AB48" s="14">
        <f ca="1"/>
      </c>
      <c r="AC48" s="14">
        <f ca="1"/>
      </c>
      <c r="AD48" s="14">
        <f ca="1"/>
      </c>
      <c r="AE48" s="14">
        <f ca="1"/>
      </c>
      <c r="AF48" s="14">
        <f ca="1"/>
      </c>
      <c r="AG48" s="14">
        <f ca="1"/>
      </c>
      <c r="AH48" s="14"/>
      <c r="AI48" s="14"/>
      <c r="AJ48" s="14"/>
      <c r="AK48" s="14"/>
      <c r="AL48" s="14"/>
      <c r="AM48" s="14"/>
      <c r="AN48" s="14"/>
      <c r="AO48" s="14"/>
      <c r="BF48">
        <f ca="1"/>
      </c>
      <c r="BG48">
        <f ca="1"/>
      </c>
      <c r="BI48">
        <f ca="1"/>
      </c>
      <c r="BJ48" s="11">
        <f ca="1"/>
      </c>
      <c r="BK48" s="11">
        <f ca="1"/>
      </c>
      <c r="BL48" s="11">
        <f ca="1"/>
      </c>
      <c r="BM48" s="11">
        <f ca="1"/>
      </c>
      <c r="BN48" s="11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GX48">
        <f ca="1"/>
      </c>
      <c r="GY48">
        <f ca="1"/>
      </c>
      <c r="GZ48">
        <f ca="1"/>
      </c>
      <c r="HA48">
        <f ca="1"/>
      </c>
      <c r="HB48">
        <f ca="1"/>
      </c>
      <c r="HC48">
        <f ca="1"/>
      </c>
      <c r="HD48">
        <f ca="1"/>
      </c>
      <c r="HE48">
        <f ca="1"/>
      </c>
      <c r="HF48">
        <f ca="1"/>
      </c>
      <c r="HG48">
        <f ca="1"/>
      </c>
      <c r="HH48">
        <f ca="1"/>
      </c>
      <c r="HI48">
        <f ca="1"/>
      </c>
      <c r="HJ48">
        <f ca="1"/>
      </c>
      <c r="HK48">
        <f ca="1"/>
      </c>
      <c r="HL48">
        <f ca="1"/>
      </c>
      <c r="HM48">
        <f ca="1"/>
      </c>
      <c r="HN48">
        <f ca="1"/>
      </c>
      <c r="HO48">
        <f ca="1"/>
      </c>
      <c r="HP48">
        <f ca="1"/>
      </c>
      <c r="HQ48">
        <f ca="1"/>
      </c>
      <c r="HR48">
        <f ca="1"/>
      </c>
      <c r="HS48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F49">
        <f ca="1"/>
      </c>
      <c r="BG49">
        <f ca="1"/>
      </c>
      <c r="BI49">
        <f ca="1"/>
      </c>
      <c r="BJ49" s="11">
        <f ca="1"/>
      </c>
      <c r="BK49" s="11">
        <f ca="1"/>
      </c>
      <c r="BL49" s="11">
        <f ca="1"/>
      </c>
      <c r="BM49" s="11">
        <f ca="1"/>
      </c>
      <c r="BN49" s="11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GX49">
        <f ca="1"/>
      </c>
      <c r="GY49">
        <f ca="1"/>
      </c>
      <c r="GZ49">
        <f ca="1"/>
      </c>
      <c r="HA49">
        <f ca="1"/>
      </c>
      <c r="HB49">
        <f ca="1"/>
      </c>
      <c r="HC49">
        <f ca="1"/>
      </c>
      <c r="HD49">
        <f ca="1"/>
      </c>
      <c r="HE49">
        <f ca="1"/>
      </c>
      <c r="HF49">
        <f ca="1"/>
      </c>
      <c r="HG49">
        <f ca="1"/>
      </c>
      <c r="HH49">
        <f ca="1"/>
      </c>
      <c r="HI49">
        <f ca="1"/>
      </c>
      <c r="HJ49">
        <f ca="1"/>
      </c>
      <c r="HK49">
        <f ca="1"/>
      </c>
      <c r="HL49">
        <f ca="1"/>
      </c>
      <c r="HM49">
        <f ca="1"/>
      </c>
      <c r="HN49">
        <f ca="1"/>
      </c>
      <c r="HO49">
        <f ca="1"/>
      </c>
      <c r="HP49">
        <f ca="1"/>
      </c>
      <c r="HQ49">
        <f ca="1"/>
      </c>
      <c r="HR49">
        <f ca="1"/>
      </c>
      <c r="HS49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F50">
        <f ca="1"/>
      </c>
      <c r="BG50">
        <f ca="1"/>
      </c>
      <c r="BI50">
        <f ca="1"/>
      </c>
      <c r="BJ50" s="11">
        <f ca="1"/>
      </c>
      <c r="BK50" s="11">
        <f ca="1"/>
      </c>
      <c r="BL50" s="11">
        <f ca="1"/>
      </c>
      <c r="BM50" s="11">
        <f ca="1"/>
      </c>
      <c r="BN50" s="11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GX50">
        <f ca="1"/>
      </c>
      <c r="GY50">
        <f ca="1"/>
      </c>
      <c r="GZ50">
        <f ca="1"/>
      </c>
      <c r="HA50">
        <f ca="1"/>
      </c>
      <c r="HB50">
        <f ca="1"/>
      </c>
      <c r="HC50">
        <f ca="1"/>
      </c>
      <c r="HD50">
        <f ca="1"/>
      </c>
      <c r="HE50">
        <f ca="1"/>
      </c>
      <c r="HF50">
        <f ca="1"/>
      </c>
      <c r="HG50">
        <f ca="1"/>
      </c>
      <c r="HH50">
        <f ca="1"/>
      </c>
      <c r="HI50">
        <f ca="1"/>
      </c>
      <c r="HJ50">
        <f ca="1"/>
      </c>
      <c r="HK50">
        <f ca="1"/>
      </c>
      <c r="HL50">
        <f ca="1"/>
      </c>
      <c r="HM50">
        <f ca="1"/>
      </c>
      <c r="HN50">
        <f ca="1"/>
      </c>
      <c r="HO50">
        <f ca="1"/>
      </c>
      <c r="HP50">
        <f ca="1"/>
      </c>
      <c r="HQ50">
        <f ca="1"/>
      </c>
      <c r="HR50">
        <f ca="1"/>
      </c>
      <c r="HS50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F51">
        <f ca="1"/>
      </c>
      <c r="BG51">
        <f ca="1"/>
      </c>
      <c r="BI51">
        <f ca="1"/>
      </c>
      <c r="BJ51" s="11">
        <f ca="1"/>
      </c>
      <c r="BK51" s="11">
        <f ca="1"/>
      </c>
      <c r="BL51" s="11">
        <f ca="1"/>
      </c>
      <c r="BM51" s="11">
        <f ca="1"/>
      </c>
      <c r="BN51" s="1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GX51">
        <f ca="1"/>
      </c>
      <c r="GY51">
        <f ca="1"/>
      </c>
      <c r="GZ51">
        <f ca="1"/>
      </c>
      <c r="HA51">
        <f ca="1"/>
      </c>
      <c r="HB51">
        <f ca="1"/>
      </c>
      <c r="HC51">
        <f ca="1"/>
      </c>
      <c r="HD51">
        <f ca="1"/>
      </c>
      <c r="HE51">
        <f ca="1"/>
      </c>
      <c r="HF51">
        <f ca="1"/>
      </c>
      <c r="HG51">
        <f ca="1"/>
      </c>
      <c r="HH51">
        <f ca="1"/>
      </c>
      <c r="HI51">
        <f ca="1"/>
      </c>
      <c r="HJ51">
        <f ca="1"/>
      </c>
      <c r="HK51">
        <f ca="1"/>
      </c>
      <c r="HL51">
        <f ca="1"/>
      </c>
      <c r="HM51">
        <f ca="1"/>
      </c>
      <c r="HN51">
        <f ca="1"/>
      </c>
      <c r="HO51">
        <f ca="1"/>
      </c>
      <c r="HP51">
        <f ca="1"/>
      </c>
      <c r="HQ51">
        <f ca="1"/>
      </c>
      <c r="HR51">
        <f ca="1"/>
      </c>
      <c r="HS5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F52">
        <f ca="1"/>
      </c>
      <c r="BG52">
        <f ca="1"/>
      </c>
      <c r="BI52">
        <f ca="1"/>
      </c>
      <c r="BJ52" s="11">
        <f ca="1"/>
      </c>
      <c r="BK52" s="11">
        <f ca="1"/>
      </c>
      <c r="BL52" s="11">
        <f ca="1"/>
      </c>
      <c r="BM52" s="11">
        <f ca="1"/>
      </c>
      <c r="BN52" s="11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GX52">
        <f ca="1"/>
      </c>
      <c r="GY52">
        <f ca="1"/>
      </c>
      <c r="GZ52">
        <f ca="1"/>
      </c>
      <c r="HA52">
        <f ca="1"/>
      </c>
      <c r="HB52">
        <f ca="1"/>
      </c>
      <c r="HC52">
        <f ca="1"/>
      </c>
      <c r="HD52">
        <f ca="1"/>
      </c>
      <c r="HE52">
        <f ca="1"/>
      </c>
      <c r="HF52">
        <f ca="1"/>
      </c>
      <c r="HG52">
        <f ca="1"/>
      </c>
      <c r="HH52">
        <f ca="1"/>
      </c>
      <c r="HI52">
        <f ca="1"/>
      </c>
      <c r="HJ52">
        <f ca="1"/>
      </c>
      <c r="HK52">
        <f ca="1"/>
      </c>
      <c r="HL52">
        <f ca="1"/>
      </c>
      <c r="HM52">
        <f ca="1"/>
      </c>
      <c r="HN52">
        <f ca="1"/>
      </c>
      <c r="HO52">
        <f ca="1"/>
      </c>
      <c r="HP52">
        <f ca="1"/>
      </c>
      <c r="HQ52">
        <f ca="1"/>
      </c>
      <c r="HR52">
        <f ca="1"/>
      </c>
      <c r="HS52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F53">
        <f ca="1"/>
      </c>
      <c r="BG53">
        <f ca="1"/>
      </c>
      <c r="BI53">
        <f ca="1"/>
      </c>
      <c r="BJ53" s="11">
        <f ca="1"/>
      </c>
      <c r="BK53" s="11">
        <f ca="1"/>
      </c>
      <c r="BL53" s="11">
        <f ca="1"/>
      </c>
      <c r="BM53" s="11">
        <f ca="1"/>
      </c>
      <c r="BN53" s="11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GX53">
        <f ca="1"/>
      </c>
      <c r="GY53">
        <f ca="1"/>
      </c>
      <c r="GZ53">
        <f ca="1"/>
      </c>
      <c r="HA53">
        <f ca="1"/>
      </c>
      <c r="HB53">
        <f ca="1"/>
      </c>
      <c r="HC53">
        <f ca="1"/>
      </c>
      <c r="HD53">
        <f ca="1"/>
      </c>
      <c r="HE53">
        <f ca="1"/>
      </c>
      <c r="HF53">
        <f ca="1"/>
      </c>
      <c r="HG53">
        <f ca="1"/>
      </c>
      <c r="HH53">
        <f ca="1"/>
      </c>
      <c r="HI53">
        <f ca="1"/>
      </c>
      <c r="HJ53">
        <f ca="1"/>
      </c>
      <c r="HK53">
        <f ca="1"/>
      </c>
      <c r="HL53">
        <f ca="1"/>
      </c>
      <c r="HM53">
        <f ca="1"/>
      </c>
      <c r="HN53">
        <f ca="1"/>
      </c>
      <c r="HO53">
        <f ca="1"/>
      </c>
      <c r="HP53">
        <f ca="1"/>
      </c>
      <c r="HQ53">
        <f ca="1"/>
      </c>
      <c r="HR53">
        <f ca="1"/>
      </c>
      <c r="HS53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F54">
        <f ca="1"/>
      </c>
      <c r="BG54">
        <f ca="1"/>
      </c>
      <c r="BI54">
        <f ca="1"/>
      </c>
      <c r="BJ54" s="11">
        <f ca="1"/>
      </c>
      <c r="BK54" s="11">
        <f ca="1"/>
      </c>
      <c r="BL54" s="11">
        <f ca="1"/>
      </c>
      <c r="BM54" s="11">
        <f ca="1"/>
      </c>
      <c r="BN54" s="11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GX54">
        <f ca="1"/>
      </c>
      <c r="GY54">
        <f ca="1"/>
      </c>
      <c r="GZ54">
        <f ca="1"/>
      </c>
      <c r="HA54">
        <f ca="1"/>
      </c>
      <c r="HB54">
        <f ca="1"/>
      </c>
      <c r="HC54">
        <f ca="1"/>
      </c>
      <c r="HD54">
        <f ca="1"/>
      </c>
      <c r="HE54">
        <f ca="1"/>
      </c>
      <c r="HF54">
        <f ca="1"/>
      </c>
      <c r="HG54">
        <f ca="1"/>
      </c>
      <c r="HH54">
        <f ca="1"/>
      </c>
      <c r="HI54">
        <f ca="1"/>
      </c>
      <c r="HJ54">
        <f ca="1"/>
      </c>
      <c r="HK54">
        <f ca="1"/>
      </c>
      <c r="HL54">
        <f ca="1"/>
      </c>
      <c r="HM54">
        <f ca="1"/>
      </c>
      <c r="HN54">
        <f ca="1"/>
      </c>
      <c r="HO54">
        <f ca="1"/>
      </c>
      <c r="HP54">
        <f ca="1"/>
      </c>
      <c r="HQ54">
        <f ca="1"/>
      </c>
      <c r="HR54">
        <f ca="1"/>
      </c>
      <c r="HS54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F55">
        <f ca="1"/>
      </c>
      <c r="BG55">
        <f ca="1"/>
      </c>
      <c r="BI55">
        <f ca="1"/>
      </c>
      <c r="BJ55" s="11">
        <f ca="1"/>
      </c>
      <c r="BK55" s="11">
        <f ca="1"/>
      </c>
      <c r="BL55" s="11">
        <f ca="1"/>
      </c>
      <c r="BM55" s="11">
        <f ca="1"/>
      </c>
      <c r="BN55" s="11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GX55">
        <f ca="1"/>
      </c>
      <c r="GY55">
        <f ca="1"/>
      </c>
      <c r="GZ55">
        <f ca="1"/>
      </c>
      <c r="HA55">
        <f ca="1"/>
      </c>
      <c r="HB55">
        <f ca="1"/>
      </c>
      <c r="HC55">
        <f ca="1"/>
      </c>
      <c r="HD55">
        <f ca="1"/>
      </c>
      <c r="HE55">
        <f ca="1"/>
      </c>
      <c r="HF55">
        <f ca="1"/>
      </c>
      <c r="HG55">
        <f ca="1"/>
      </c>
      <c r="HH55">
        <f ca="1"/>
      </c>
      <c r="HI55">
        <f ca="1"/>
      </c>
      <c r="HJ55">
        <f ca="1"/>
      </c>
      <c r="HK55">
        <f ca="1"/>
      </c>
      <c r="HL55">
        <f ca="1"/>
      </c>
      <c r="HM55">
        <f ca="1"/>
      </c>
      <c r="HN55">
        <f ca="1"/>
      </c>
      <c r="HO55">
        <f ca="1"/>
      </c>
      <c r="HP55">
        <f ca="1"/>
      </c>
      <c r="HQ55">
        <f ca="1"/>
      </c>
      <c r="HR55">
        <f ca="1"/>
      </c>
      <c r="HS55">
        <f ca="1"/>
      </c>
      <c r="LA55">
        <f ca="1"/>
      </c>
      <c r="LB55">
        <f ca="1"/>
      </c>
      <c r="LC55">
        <f ca="1"/>
      </c>
    </row>
    <row r="56" spans="6:315" x14ac:dyDescent="0.55000000000000004">
      <c r="BF56">
        <f ca="1"/>
      </c>
      <c r="BG56">
        <f ca="1"/>
      </c>
      <c r="BI56">
        <f ca="1"/>
      </c>
      <c r="BJ56" s="11">
        <f ca="1"/>
      </c>
      <c r="BK56" s="11">
        <f ca="1"/>
      </c>
      <c r="BL56" s="11">
        <f ca="1"/>
      </c>
      <c r="BM56" s="11">
        <f ca="1"/>
      </c>
      <c r="BN56" s="11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GX56">
        <f ca="1"/>
      </c>
      <c r="GY56">
        <f ca="1"/>
      </c>
      <c r="GZ56">
        <f ca="1"/>
      </c>
      <c r="HA56">
        <f ca="1"/>
      </c>
      <c r="HB56">
        <f ca="1"/>
      </c>
      <c r="HC56">
        <f ca="1"/>
      </c>
      <c r="HD56">
        <f ca="1"/>
      </c>
      <c r="HE56">
        <f ca="1"/>
      </c>
      <c r="HF56">
        <f ca="1"/>
      </c>
      <c r="HG56">
        <f ca="1"/>
      </c>
      <c r="HH56">
        <f ca="1"/>
      </c>
      <c r="HI56">
        <f ca="1"/>
      </c>
      <c r="HJ56">
        <f ca="1"/>
      </c>
      <c r="HK56">
        <f ca="1"/>
      </c>
      <c r="HL56">
        <f ca="1"/>
      </c>
      <c r="HM56">
        <f ca="1"/>
      </c>
      <c r="HN56">
        <f ca="1"/>
      </c>
      <c r="HO56">
        <f ca="1"/>
      </c>
      <c r="HP56">
        <f ca="1"/>
      </c>
      <c r="HQ56">
        <f ca="1"/>
      </c>
      <c r="HR56">
        <f ca="1"/>
      </c>
      <c r="HS56">
        <f ca="1"/>
      </c>
      <c r="LA56">
        <f ca="1"/>
      </c>
      <c r="LB56">
        <f ca="1"/>
      </c>
      <c r="LC56">
        <f ca="1"/>
      </c>
    </row>
    <row r="57" spans="6:315" x14ac:dyDescent="0.55000000000000004">
      <c r="BF57">
        <f ca="1"/>
      </c>
      <c r="BG57">
        <f ca="1"/>
      </c>
      <c r="BI57">
        <f ca="1"/>
      </c>
      <c r="BJ57" s="11">
        <f ca="1"/>
      </c>
      <c r="BK57" s="11">
        <f ca="1"/>
      </c>
      <c r="BL57" s="11">
        <f ca="1"/>
      </c>
      <c r="BM57" s="11">
        <f ca="1"/>
      </c>
      <c r="BN57" s="11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GX57">
        <f ca="1"/>
      </c>
      <c r="GY57">
        <f ca="1"/>
      </c>
      <c r="GZ57">
        <f ca="1"/>
      </c>
      <c r="HA57">
        <f ca="1"/>
      </c>
      <c r="HB57">
        <f ca="1"/>
      </c>
      <c r="HC57">
        <f ca="1"/>
      </c>
      <c r="HD57">
        <f ca="1"/>
      </c>
      <c r="HE57">
        <f ca="1"/>
      </c>
      <c r="HF57">
        <f ca="1"/>
      </c>
      <c r="HG57">
        <f ca="1"/>
      </c>
      <c r="HH57">
        <f ca="1"/>
      </c>
      <c r="HI57">
        <f ca="1"/>
      </c>
      <c r="HJ57">
        <f ca="1"/>
      </c>
      <c r="HK57">
        <f ca="1"/>
      </c>
      <c r="HL57">
        <f ca="1"/>
      </c>
      <c r="HM57">
        <f ca="1"/>
      </c>
      <c r="HN57">
        <f ca="1"/>
      </c>
      <c r="HO57">
        <f ca="1"/>
      </c>
      <c r="HP57">
        <f ca="1"/>
      </c>
      <c r="HQ57">
        <f ca="1"/>
      </c>
      <c r="HR57">
        <f ca="1"/>
      </c>
      <c r="HS57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245</v>
      </c>
      <c r="U58" s="4" t="s">
        <v>246</v>
      </c>
      <c r="AJ58" s="4" t="s">
        <v>247</v>
      </c>
      <c r="BF58">
        <f ca="1"/>
      </c>
      <c r="BG58">
        <f ca="1"/>
      </c>
      <c r="BI58">
        <f ca="1"/>
      </c>
      <c r="BJ58" s="11">
        <f ca="1"/>
      </c>
      <c r="BK58" s="11">
        <f ca="1"/>
      </c>
      <c r="BL58" s="11">
        <f ca="1"/>
      </c>
      <c r="BM58" s="11">
        <f ca="1"/>
      </c>
      <c r="BN58" s="11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GX58">
        <f ca="1"/>
      </c>
      <c r="GY58">
        <f ca="1"/>
      </c>
      <c r="GZ58">
        <f ca="1"/>
      </c>
      <c r="HA58">
        <f ca="1"/>
      </c>
      <c r="HB58">
        <f ca="1"/>
      </c>
      <c r="HC58">
        <f ca="1"/>
      </c>
      <c r="HD58">
        <f ca="1"/>
      </c>
      <c r="HE58">
        <f ca="1"/>
      </c>
      <c r="HF58">
        <f ca="1"/>
      </c>
      <c r="HG58">
        <f ca="1"/>
      </c>
      <c r="HH58">
        <f ca="1"/>
      </c>
      <c r="HI58">
        <f ca="1"/>
      </c>
      <c r="HJ58">
        <f ca="1"/>
      </c>
      <c r="HK58">
        <f ca="1"/>
      </c>
      <c r="HL58">
        <f ca="1"/>
      </c>
      <c r="HM58">
        <f ca="1"/>
      </c>
      <c r="HN58">
        <f ca="1"/>
      </c>
      <c r="HO58">
        <f ca="1"/>
      </c>
      <c r="HP58">
        <f ca="1"/>
      </c>
      <c r="HQ58">
        <f ca="1"/>
      </c>
      <c r="HR58">
        <f ca="1"/>
      </c>
      <c r="HS58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240</v>
      </c>
      <c r="G59" cm="1">
        <f t="array" ref="G59:R59">TRANSPOSE(VOL_Tenors)</f>
      </c>
      <c r="U59" s="5" t="s">
        <v>240</v>
      </c>
      <c r="V59" cm="1">
        <f t="array" ref="V59:AG59">TRANSPOSE(VOL_Tenors)</f>
      </c>
      <c r="AJ59" s="5" t="s">
        <v>240</v>
      </c>
      <c r="AK59" cm="1">
        <f t="array" ref="AK59:AV59">TRANSPOSE(VOL_Tenors)</f>
      </c>
      <c r="BF59">
        <f ca="1"/>
      </c>
      <c r="BG59">
        <f ca="1"/>
      </c>
      <c r="BI59">
        <f ca="1"/>
      </c>
      <c r="BJ59" s="11">
        <f ca="1"/>
      </c>
      <c r="BK59" s="11">
        <f ca="1"/>
      </c>
      <c r="BL59" s="11">
        <f ca="1"/>
      </c>
      <c r="BM59" s="11">
        <f ca="1"/>
      </c>
      <c r="BN59" s="11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GX59">
        <f ca="1"/>
      </c>
      <c r="GY59">
        <f ca="1"/>
      </c>
      <c r="GZ59">
        <f ca="1"/>
      </c>
      <c r="HA59">
        <f ca="1"/>
      </c>
      <c r="HB59">
        <f ca="1"/>
      </c>
      <c r="HC59">
        <f ca="1"/>
      </c>
      <c r="HD59">
        <f ca="1"/>
      </c>
      <c r="HE59">
        <f ca="1"/>
      </c>
      <c r="HF59">
        <f ca="1"/>
      </c>
      <c r="HG59">
        <f ca="1"/>
      </c>
      <c r="HH59">
        <f ca="1"/>
      </c>
      <c r="HI59">
        <f ca="1"/>
      </c>
      <c r="HJ59">
        <f ca="1"/>
      </c>
      <c r="HK59">
        <f ca="1"/>
      </c>
      <c r="HL59">
        <f ca="1"/>
      </c>
      <c r="HM59">
        <f ca="1"/>
      </c>
      <c r="HN59">
        <f ca="1"/>
      </c>
      <c r="HO59">
        <f ca="1"/>
      </c>
      <c r="HP59">
        <f ca="1"/>
      </c>
      <c r="HQ59">
        <f ca="1"/>
      </c>
      <c r="HR59">
        <f ca="1"/>
      </c>
      <c r="HS59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2">VOL_Expiries</f>
      </c>
      <c r="G60" s="13" cm="1">
        <f t="array" aca="1" ref="G60:R72" ca="1">_xlfn.XLOOKUP(_xlfn.ANCHORARRAY(F60)&amp;"x"&amp;_xlfn.ANCHORARRAY(G59),_xlfn.ANCHORARRAY($BI$5),_xlfn.LET(_xlpm.V,_xlfn.DROP(_xlfn.ANCHORARRAY($BP$4),1,4),IF(1&lt;=COLUMNS(_xlpm.V),_xlfn.CHOOSECOLS(_xlpm.V,MIN(1,COLUMNS(_xlpm.V))),IF(_xlfn.SEQUENCE(ROWS(_xlpm.V)),NA()))))</f>
      </c>
      <c r="H60" s="13">
        <f ca="1"/>
      </c>
      <c r="I60" s="13">
        <f ca="1"/>
      </c>
      <c r="J60" s="13">
        <f ca="1"/>
      </c>
      <c r="K60" s="13">
        <f ca="1"/>
      </c>
      <c r="L60" s="13">
        <f ca="1"/>
      </c>
      <c r="M60" s="13">
        <f ca="1"/>
      </c>
      <c r="N60" s="13">
        <f ca="1"/>
      </c>
      <c r="O60" s="13">
        <f ca="1"/>
      </c>
      <c r="P60" s="13">
        <f ca="1"/>
      </c>
      <c r="Q60" s="13">
        <f ca="1"/>
      </c>
      <c r="R60" s="13">
        <f ca="1"/>
      </c>
      <c r="S60" s="13"/>
      <c r="T60" s="13"/>
      <c r="U60" s="13" cm="1">
        <f t="array" ref="U60:U72">VOL_Expiries</f>
      </c>
      <c r="V60" s="13" cm="1">
        <f t="array" aca="1" ref="V60:AG72" ca="1">_xlfn.XLOOKUP(_xlfn.ANCHORARRAY(U60)&amp;"x"&amp;_xlfn.ANCHORARRAY(V59),_xlfn.ANCHORARRAY($BI$5),_xlfn.LET(_xlpm.V,_xlfn.DROP(_xlfn.ANCHORARRAY($BP$4),1,4),IF(2&lt;=COLUMNS(_xlpm.V),_xlfn.CHOOSECOLS(_xlpm.V,MIN(2,COLUMNS(_xlpm.V))),IF(_xlfn.SEQUENCE(ROWS(_xlpm.V)),NA()))))</f>
      </c>
      <c r="W60" s="13">
        <f ca="1"/>
      </c>
      <c r="X60" s="13">
        <f ca="1"/>
      </c>
      <c r="Y60" s="13">
        <f ca="1"/>
      </c>
      <c r="Z60" s="13">
        <f ca="1"/>
      </c>
      <c r="AA60" s="13">
        <f ca="1"/>
      </c>
      <c r="AB60" s="13">
        <f ca="1"/>
      </c>
      <c r="AC60" s="13">
        <f ca="1"/>
      </c>
      <c r="AD60" s="13">
        <f ca="1"/>
      </c>
      <c r="AE60" s="13">
        <f ca="1"/>
      </c>
      <c r="AF60" s="13">
        <f ca="1"/>
      </c>
      <c r="AG60" s="13">
        <f ca="1"/>
      </c>
      <c r="AH60" s="13"/>
      <c r="AI60" s="13"/>
      <c r="AJ60" s="13" cm="1">
        <f t="array" ref="AJ60:AJ72">VOL_Expiries</f>
      </c>
      <c r="AK60" s="13" cm="1">
        <f t="array" aca="1" ref="AK60:AV72" ca="1">_xlfn.XLOOKUP(_xlfn.ANCHORARRAY(AJ60)&amp;"x"&amp;_xlfn.ANCHORARRAY(AK59),_xlfn.ANCHORARRAY($BI$5),_xlfn.LET(_xlpm.V,_xlfn.DROP(_xlfn.ANCHORARRAY($BP$4),1,4),IF(3&lt;=COLUMNS(_xlpm.V),_xlfn.CHOOSECOLS(_xlpm.V,MIN(3,COLUMNS(_xlpm.V))),IF(_xlfn.SEQUENCE(ROWS(_xlpm.V)),NA()))))</f>
      </c>
      <c r="AL60" s="13">
        <f ca="1"/>
      </c>
      <c r="AM60" s="13">
        <f ca="1"/>
      </c>
      <c r="AN60" s="13">
        <f ca="1"/>
      </c>
      <c r="AO60" s="13">
        <f ca="1"/>
      </c>
      <c r="AP60" s="13">
        <f ca="1"/>
      </c>
      <c r="AQ60" s="13">
        <f ca="1"/>
      </c>
      <c r="AR60" s="13">
        <f ca="1"/>
      </c>
      <c r="AS60" s="13">
        <f ca="1"/>
      </c>
      <c r="AT60" s="13">
        <f ca="1"/>
      </c>
      <c r="AU60" s="13">
        <f ca="1"/>
      </c>
      <c r="AV60" s="13">
        <f ca="1"/>
      </c>
      <c r="AW60" s="13"/>
      <c r="AX60" s="13"/>
      <c r="AY60" s="13"/>
      <c r="AZ60" s="13"/>
      <c r="BA60" s="13"/>
      <c r="BB60" s="13"/>
      <c r="BC60" s="13"/>
      <c r="BD60" s="13"/>
      <c r="BF60">
        <f ca="1"/>
      </c>
      <c r="BG60">
        <f ca="1"/>
      </c>
      <c r="BI60">
        <f ca="1"/>
      </c>
      <c r="BJ60" s="11">
        <f ca="1"/>
      </c>
      <c r="BK60" s="11">
        <f ca="1"/>
      </c>
      <c r="BL60" s="11">
        <f ca="1"/>
      </c>
      <c r="BM60" s="11">
        <f ca="1"/>
      </c>
      <c r="BN60" s="11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GX60">
        <f ca="1"/>
      </c>
      <c r="GY60">
        <f ca="1"/>
      </c>
      <c r="GZ60">
        <f ca="1"/>
      </c>
      <c r="HA60">
        <f ca="1"/>
      </c>
      <c r="HB60">
        <f ca="1"/>
      </c>
      <c r="HC60">
        <f ca="1"/>
      </c>
      <c r="HD60">
        <f ca="1"/>
      </c>
      <c r="HE60">
        <f ca="1"/>
      </c>
      <c r="HF60">
        <f ca="1"/>
      </c>
      <c r="HG60">
        <f ca="1"/>
      </c>
      <c r="HH60">
        <f ca="1"/>
      </c>
      <c r="HI60">
        <f ca="1"/>
      </c>
      <c r="HJ60">
        <f ca="1"/>
      </c>
      <c r="HK60">
        <f ca="1"/>
      </c>
      <c r="HL60">
        <f ca="1"/>
      </c>
      <c r="HM60">
        <f ca="1"/>
      </c>
      <c r="HN60">
        <f ca="1"/>
      </c>
      <c r="HO60">
        <f ca="1"/>
      </c>
      <c r="HP60">
        <f ca="1"/>
      </c>
      <c r="HQ60">
        <f ca="1"/>
      </c>
      <c r="HR60">
        <f ca="1"/>
      </c>
      <c r="HS60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>
        <f ca="1"/>
      </c>
      <c r="H61" s="13">
        <f ca="1"/>
      </c>
      <c r="I61" s="13">
        <f ca="1"/>
      </c>
      <c r="J61" s="13">
        <f ca="1"/>
      </c>
      <c r="K61" s="13">
        <f ca="1"/>
      </c>
      <c r="L61" s="13">
        <f ca="1"/>
      </c>
      <c r="M61" s="13">
        <f ca="1"/>
      </c>
      <c r="N61" s="13">
        <f ca="1"/>
      </c>
      <c r="O61" s="13">
        <f ca="1"/>
      </c>
      <c r="P61" s="13">
        <f ca="1"/>
      </c>
      <c r="Q61" s="13">
        <f ca="1"/>
      </c>
      <c r="R61" s="13">
        <f ca="1"/>
      </c>
      <c r="S61" s="13"/>
      <c r="T61" s="13"/>
      <c r="U61" s="13"/>
      <c r="V61" s="13">
        <f ca="1"/>
      </c>
      <c r="W61" s="13">
        <f ca="1"/>
      </c>
      <c r="X61" s="13">
        <f ca="1"/>
      </c>
      <c r="Y61" s="13">
        <f ca="1"/>
      </c>
      <c r="Z61" s="13">
        <f ca="1"/>
      </c>
      <c r="AA61" s="13">
        <f ca="1"/>
      </c>
      <c r="AB61" s="13">
        <f ca="1"/>
      </c>
      <c r="AC61" s="13">
        <f ca="1"/>
      </c>
      <c r="AD61" s="13">
        <f ca="1"/>
      </c>
      <c r="AE61" s="13">
        <f ca="1"/>
      </c>
      <c r="AF61" s="13">
        <f ca="1"/>
      </c>
      <c r="AG61" s="13">
        <f ca="1"/>
      </c>
      <c r="AH61" s="13"/>
      <c r="AI61" s="13"/>
      <c r="AJ61" s="13"/>
      <c r="AK61" s="13">
        <f ca="1"/>
      </c>
      <c r="AL61" s="13">
        <f ca="1"/>
      </c>
      <c r="AM61" s="13">
        <f ca="1"/>
      </c>
      <c r="AN61" s="13">
        <f ca="1"/>
      </c>
      <c r="AO61" s="13">
        <f ca="1"/>
      </c>
      <c r="AP61" s="13">
        <f ca="1"/>
      </c>
      <c r="AQ61" s="13">
        <f ca="1"/>
      </c>
      <c r="AR61" s="13">
        <f ca="1"/>
      </c>
      <c r="AS61" s="13">
        <f ca="1"/>
      </c>
      <c r="AT61" s="13">
        <f ca="1"/>
      </c>
      <c r="AU61" s="13">
        <f ca="1"/>
      </c>
      <c r="AV61" s="13">
        <f ca="1"/>
      </c>
      <c r="AW61" s="13"/>
      <c r="AX61" s="13"/>
      <c r="AY61" s="13"/>
      <c r="AZ61" s="13"/>
      <c r="BA61" s="13"/>
      <c r="BB61" s="13"/>
      <c r="BC61" s="13"/>
      <c r="BD61" s="13"/>
      <c r="BF61">
        <f ca="1"/>
      </c>
      <c r="BG61">
        <f ca="1"/>
      </c>
      <c r="BI61">
        <f ca="1"/>
      </c>
      <c r="BJ61" s="11">
        <f ca="1"/>
      </c>
      <c r="BK61" s="11">
        <f ca="1"/>
      </c>
      <c r="BL61" s="11">
        <f ca="1"/>
      </c>
      <c r="BM61" s="11">
        <f ca="1"/>
      </c>
      <c r="BN61" s="1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GX61">
        <f ca="1"/>
      </c>
      <c r="GY61">
        <f ca="1"/>
      </c>
      <c r="GZ61">
        <f ca="1"/>
      </c>
      <c r="HA61">
        <f ca="1"/>
      </c>
      <c r="HB61">
        <f ca="1"/>
      </c>
      <c r="HC61">
        <f ca="1"/>
      </c>
      <c r="HD61">
        <f ca="1"/>
      </c>
      <c r="HE61">
        <f ca="1"/>
      </c>
      <c r="HF61">
        <f ca="1"/>
      </c>
      <c r="HG61">
        <f ca="1"/>
      </c>
      <c r="HH61">
        <f ca="1"/>
      </c>
      <c r="HI61">
        <f ca="1"/>
      </c>
      <c r="HJ61">
        <f ca="1"/>
      </c>
      <c r="HK61">
        <f ca="1"/>
      </c>
      <c r="HL61">
        <f ca="1"/>
      </c>
      <c r="HM61">
        <f ca="1"/>
      </c>
      <c r="HN61">
        <f ca="1"/>
      </c>
      <c r="HO61">
        <f ca="1"/>
      </c>
      <c r="HP61">
        <f ca="1"/>
      </c>
      <c r="HQ61">
        <f ca="1"/>
      </c>
      <c r="HR61">
        <f ca="1"/>
      </c>
      <c r="HS6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>
        <f ca="1"/>
      </c>
      <c r="H62" s="13">
        <f ca="1"/>
      </c>
      <c r="I62" s="13">
        <f ca="1"/>
      </c>
      <c r="J62" s="13">
        <f ca="1"/>
      </c>
      <c r="K62" s="13">
        <f ca="1"/>
      </c>
      <c r="L62" s="13">
        <f ca="1"/>
      </c>
      <c r="M62" s="13">
        <f ca="1"/>
      </c>
      <c r="N62" s="13">
        <f ca="1"/>
      </c>
      <c r="O62" s="13">
        <f ca="1"/>
      </c>
      <c r="P62" s="13">
        <f ca="1"/>
      </c>
      <c r="Q62" s="13">
        <f ca="1"/>
      </c>
      <c r="R62" s="13">
        <f ca="1"/>
      </c>
      <c r="S62" s="13"/>
      <c r="T62" s="13"/>
      <c r="U62" s="13"/>
      <c r="V62" s="13">
        <f ca="1"/>
      </c>
      <c r="W62" s="13">
        <f ca="1"/>
      </c>
      <c r="X62" s="13">
        <f ca="1"/>
      </c>
      <c r="Y62" s="13">
        <f ca="1"/>
      </c>
      <c r="Z62" s="13">
        <f ca="1"/>
      </c>
      <c r="AA62" s="13">
        <f ca="1"/>
      </c>
      <c r="AB62" s="13">
        <f ca="1"/>
      </c>
      <c r="AC62" s="13">
        <f ca="1"/>
      </c>
      <c r="AD62" s="13">
        <f ca="1"/>
      </c>
      <c r="AE62" s="13">
        <f ca="1"/>
      </c>
      <c r="AF62" s="13">
        <f ca="1"/>
      </c>
      <c r="AG62" s="13">
        <f ca="1"/>
      </c>
      <c r="AH62" s="13"/>
      <c r="AI62" s="13"/>
      <c r="AJ62" s="13"/>
      <c r="AK62" s="13">
        <f ca="1"/>
      </c>
      <c r="AL62" s="13">
        <f ca="1"/>
      </c>
      <c r="AM62" s="13">
        <f ca="1"/>
      </c>
      <c r="AN62" s="13">
        <f ca="1"/>
      </c>
      <c r="AO62" s="13">
        <f ca="1"/>
      </c>
      <c r="AP62" s="13">
        <f ca="1"/>
      </c>
      <c r="AQ62" s="13">
        <f ca="1"/>
      </c>
      <c r="AR62" s="13">
        <f ca="1"/>
      </c>
      <c r="AS62" s="13">
        <f ca="1"/>
      </c>
      <c r="AT62" s="13">
        <f ca="1"/>
      </c>
      <c r="AU62" s="13">
        <f ca="1"/>
      </c>
      <c r="AV62" s="13">
        <f ca="1"/>
      </c>
      <c r="AW62" s="13"/>
      <c r="AX62" s="13"/>
      <c r="AY62" s="13"/>
      <c r="AZ62" s="13"/>
      <c r="BA62" s="13"/>
      <c r="BB62" s="13"/>
      <c r="BC62" s="13"/>
      <c r="BD62" s="13"/>
      <c r="BF62">
        <f ca="1"/>
      </c>
      <c r="BG62">
        <f ca="1"/>
      </c>
      <c r="BI62">
        <f ca="1"/>
      </c>
      <c r="BJ62" s="11">
        <f ca="1"/>
      </c>
      <c r="BK62" s="11">
        <f ca="1"/>
      </c>
      <c r="BL62" s="11">
        <f ca="1"/>
      </c>
      <c r="BM62" s="11">
        <f ca="1"/>
      </c>
      <c r="BN62" s="11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GX62">
        <f ca="1"/>
      </c>
      <c r="GY62">
        <f ca="1"/>
      </c>
      <c r="GZ62">
        <f ca="1"/>
      </c>
      <c r="HA62">
        <f ca="1"/>
      </c>
      <c r="HB62">
        <f ca="1"/>
      </c>
      <c r="HC62">
        <f ca="1"/>
      </c>
      <c r="HD62">
        <f ca="1"/>
      </c>
      <c r="HE62">
        <f ca="1"/>
      </c>
      <c r="HF62">
        <f ca="1"/>
      </c>
      <c r="HG62">
        <f ca="1"/>
      </c>
      <c r="HH62">
        <f ca="1"/>
      </c>
      <c r="HI62">
        <f ca="1"/>
      </c>
      <c r="HJ62">
        <f ca="1"/>
      </c>
      <c r="HK62">
        <f ca="1"/>
      </c>
      <c r="HL62">
        <f ca="1"/>
      </c>
      <c r="HM62">
        <f ca="1"/>
      </c>
      <c r="HN62">
        <f ca="1"/>
      </c>
      <c r="HO62">
        <f ca="1"/>
      </c>
      <c r="HP62">
        <f ca="1"/>
      </c>
      <c r="HQ62">
        <f ca="1"/>
      </c>
      <c r="HR62">
        <f ca="1"/>
      </c>
      <c r="HS62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>
        <f ca="1"/>
      </c>
      <c r="H63" s="13">
        <f ca="1"/>
      </c>
      <c r="I63" s="13">
        <f ca="1"/>
      </c>
      <c r="J63" s="13">
        <f ca="1"/>
      </c>
      <c r="K63" s="13">
        <f ca="1"/>
      </c>
      <c r="L63" s="13">
        <f ca="1"/>
      </c>
      <c r="M63" s="13">
        <f ca="1"/>
      </c>
      <c r="N63" s="13">
        <f ca="1"/>
      </c>
      <c r="O63" s="13">
        <f ca="1"/>
      </c>
      <c r="P63" s="13">
        <f ca="1"/>
      </c>
      <c r="Q63" s="13">
        <f ca="1"/>
      </c>
      <c r="R63" s="13">
        <f ca="1"/>
      </c>
      <c r="S63" s="13"/>
      <c r="T63" s="13"/>
      <c r="U63" s="13"/>
      <c r="V63" s="13">
        <f ca="1"/>
      </c>
      <c r="W63" s="13">
        <f ca="1"/>
      </c>
      <c r="X63" s="13">
        <f ca="1"/>
      </c>
      <c r="Y63" s="13">
        <f ca="1"/>
      </c>
      <c r="Z63" s="13">
        <f ca="1"/>
      </c>
      <c r="AA63" s="13">
        <f ca="1"/>
      </c>
      <c r="AB63" s="13">
        <f ca="1"/>
      </c>
      <c r="AC63" s="13">
        <f ca="1"/>
      </c>
      <c r="AD63" s="13">
        <f ca="1"/>
      </c>
      <c r="AE63" s="13">
        <f ca="1"/>
      </c>
      <c r="AF63" s="13">
        <f ca="1"/>
      </c>
      <c r="AG63" s="13">
        <f ca="1"/>
      </c>
      <c r="AH63" s="13"/>
      <c r="AI63" s="13"/>
      <c r="AJ63" s="13"/>
      <c r="AK63" s="13">
        <f ca="1"/>
      </c>
      <c r="AL63" s="13">
        <f ca="1"/>
      </c>
      <c r="AM63" s="13">
        <f ca="1"/>
      </c>
      <c r="AN63" s="13">
        <f ca="1"/>
      </c>
      <c r="AO63" s="13">
        <f ca="1"/>
      </c>
      <c r="AP63" s="13">
        <f ca="1"/>
      </c>
      <c r="AQ63" s="13">
        <f ca="1"/>
      </c>
      <c r="AR63" s="13">
        <f ca="1"/>
      </c>
      <c r="AS63" s="13">
        <f ca="1"/>
      </c>
      <c r="AT63" s="13">
        <f ca="1"/>
      </c>
      <c r="AU63" s="13">
        <f ca="1"/>
      </c>
      <c r="AV63" s="13">
        <f ca="1"/>
      </c>
      <c r="AW63" s="13"/>
      <c r="AX63" s="13"/>
      <c r="AY63" s="13"/>
      <c r="AZ63" s="13"/>
      <c r="BA63" s="13"/>
      <c r="BB63" s="13"/>
      <c r="BC63" s="13"/>
      <c r="BD63" s="13"/>
      <c r="BF63">
        <f ca="1"/>
      </c>
      <c r="BG63">
        <f ca="1"/>
      </c>
      <c r="BI63">
        <f ca="1"/>
      </c>
      <c r="BJ63" s="11">
        <f ca="1"/>
      </c>
      <c r="BK63" s="11">
        <f ca="1"/>
      </c>
      <c r="BL63" s="11">
        <f ca="1"/>
      </c>
      <c r="BM63" s="11">
        <f ca="1"/>
      </c>
      <c r="BN63" s="11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GX63">
        <f ca="1"/>
      </c>
      <c r="GY63">
        <f ca="1"/>
      </c>
      <c r="GZ63">
        <f ca="1"/>
      </c>
      <c r="HA63">
        <f ca="1"/>
      </c>
      <c r="HB63">
        <f ca="1"/>
      </c>
      <c r="HC63">
        <f ca="1"/>
      </c>
      <c r="HD63">
        <f ca="1"/>
      </c>
      <c r="HE63">
        <f ca="1"/>
      </c>
      <c r="HF63">
        <f ca="1"/>
      </c>
      <c r="HG63">
        <f ca="1"/>
      </c>
      <c r="HH63">
        <f ca="1"/>
      </c>
      <c r="HI63">
        <f ca="1"/>
      </c>
      <c r="HJ63">
        <f ca="1"/>
      </c>
      <c r="HK63">
        <f ca="1"/>
      </c>
      <c r="HL63">
        <f ca="1"/>
      </c>
      <c r="HM63">
        <f ca="1"/>
      </c>
      <c r="HN63">
        <f ca="1"/>
      </c>
      <c r="HO63">
        <f ca="1"/>
      </c>
      <c r="HP63">
        <f ca="1"/>
      </c>
      <c r="HQ63">
        <f ca="1"/>
      </c>
      <c r="HR63">
        <f ca="1"/>
      </c>
      <c r="HS63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>
        <f ca="1"/>
      </c>
      <c r="H64" s="13">
        <f ca="1"/>
      </c>
      <c r="I64" s="13">
        <f ca="1"/>
      </c>
      <c r="J64" s="13">
        <f ca="1"/>
      </c>
      <c r="K64" s="13">
        <f ca="1"/>
      </c>
      <c r="L64" s="13">
        <f ca="1"/>
      </c>
      <c r="M64" s="13">
        <f ca="1"/>
      </c>
      <c r="N64" s="13">
        <f ca="1"/>
      </c>
      <c r="O64" s="13">
        <f ca="1"/>
      </c>
      <c r="P64" s="13">
        <f ca="1"/>
      </c>
      <c r="Q64" s="13">
        <f ca="1"/>
      </c>
      <c r="R64" s="13">
        <f ca="1"/>
      </c>
      <c r="S64" s="13"/>
      <c r="T64" s="13"/>
      <c r="U64" s="13"/>
      <c r="V64" s="13">
        <f ca="1"/>
      </c>
      <c r="W64" s="13">
        <f ca="1"/>
      </c>
      <c r="X64" s="13">
        <f ca="1"/>
      </c>
      <c r="Y64" s="13">
        <f ca="1"/>
      </c>
      <c r="Z64" s="13">
        <f ca="1"/>
      </c>
      <c r="AA64" s="13">
        <f ca="1"/>
      </c>
      <c r="AB64" s="13">
        <f ca="1"/>
      </c>
      <c r="AC64" s="13">
        <f ca="1"/>
      </c>
      <c r="AD64" s="13">
        <f ca="1"/>
      </c>
      <c r="AE64" s="13">
        <f ca="1"/>
      </c>
      <c r="AF64" s="13">
        <f ca="1"/>
      </c>
      <c r="AG64" s="13">
        <f ca="1"/>
      </c>
      <c r="AH64" s="13"/>
      <c r="AI64" s="13"/>
      <c r="AJ64" s="13"/>
      <c r="AK64" s="13">
        <f ca="1"/>
      </c>
      <c r="AL64" s="13">
        <f ca="1"/>
      </c>
      <c r="AM64" s="13">
        <f ca="1"/>
      </c>
      <c r="AN64" s="13">
        <f ca="1"/>
      </c>
      <c r="AO64" s="13">
        <f ca="1"/>
      </c>
      <c r="AP64" s="13">
        <f ca="1"/>
      </c>
      <c r="AQ64" s="13">
        <f ca="1"/>
      </c>
      <c r="AR64" s="13">
        <f ca="1"/>
      </c>
      <c r="AS64" s="13">
        <f ca="1"/>
      </c>
      <c r="AT64" s="13">
        <f ca="1"/>
      </c>
      <c r="AU64" s="13">
        <f ca="1"/>
      </c>
      <c r="AV64" s="13">
        <f ca="1"/>
      </c>
      <c r="AW64" s="13"/>
      <c r="AX64" s="13"/>
      <c r="AY64" s="13"/>
      <c r="AZ64" s="13"/>
      <c r="BA64" s="13"/>
      <c r="BB64" s="13"/>
      <c r="BC64" s="13"/>
      <c r="BD64" s="13"/>
      <c r="BF64">
        <f ca="1"/>
      </c>
      <c r="BG64">
        <f ca="1"/>
      </c>
      <c r="BI64">
        <f ca="1"/>
      </c>
      <c r="BJ64" s="11">
        <f ca="1"/>
      </c>
      <c r="BK64" s="11">
        <f ca="1"/>
      </c>
      <c r="BL64" s="11">
        <f ca="1"/>
      </c>
      <c r="BM64" s="11">
        <f ca="1"/>
      </c>
      <c r="BN64" s="11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GX64">
        <f ca="1"/>
      </c>
      <c r="GY64">
        <f ca="1"/>
      </c>
      <c r="GZ64">
        <f ca="1"/>
      </c>
      <c r="HA64">
        <f ca="1"/>
      </c>
      <c r="HB64">
        <f ca="1"/>
      </c>
      <c r="HC64">
        <f ca="1"/>
      </c>
      <c r="HD64">
        <f ca="1"/>
      </c>
      <c r="HE64">
        <f ca="1"/>
      </c>
      <c r="HF64">
        <f ca="1"/>
      </c>
      <c r="HG64">
        <f ca="1"/>
      </c>
      <c r="HH64">
        <f ca="1"/>
      </c>
      <c r="HI64">
        <f ca="1"/>
      </c>
      <c r="HJ64">
        <f ca="1"/>
      </c>
      <c r="HK64">
        <f ca="1"/>
      </c>
      <c r="HL64">
        <f ca="1"/>
      </c>
      <c r="HM64">
        <f ca="1"/>
      </c>
      <c r="HN64">
        <f ca="1"/>
      </c>
      <c r="HO64">
        <f ca="1"/>
      </c>
      <c r="HP64">
        <f ca="1"/>
      </c>
      <c r="HQ64">
        <f ca="1"/>
      </c>
      <c r="HR64">
        <f ca="1"/>
      </c>
      <c r="HS64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>
        <f ca="1"/>
      </c>
      <c r="H65" s="13">
        <f ca="1"/>
      </c>
      <c r="I65" s="13">
        <f ca="1"/>
      </c>
      <c r="J65" s="13">
        <f ca="1"/>
      </c>
      <c r="K65" s="13">
        <f ca="1"/>
      </c>
      <c r="L65" s="13">
        <f ca="1"/>
      </c>
      <c r="M65" s="13">
        <f ca="1"/>
      </c>
      <c r="N65" s="13">
        <f ca="1"/>
      </c>
      <c r="O65" s="13">
        <f ca="1"/>
      </c>
      <c r="P65" s="13">
        <f ca="1"/>
      </c>
      <c r="Q65" s="13">
        <f ca="1"/>
      </c>
      <c r="R65" s="13">
        <f ca="1"/>
      </c>
      <c r="S65" s="13"/>
      <c r="T65" s="13"/>
      <c r="U65" s="13"/>
      <c r="V65" s="13">
        <f ca="1"/>
      </c>
      <c r="W65" s="13">
        <f ca="1"/>
      </c>
      <c r="X65" s="13">
        <f ca="1"/>
      </c>
      <c r="Y65" s="13">
        <f ca="1"/>
      </c>
      <c r="Z65" s="13">
        <f ca="1"/>
      </c>
      <c r="AA65" s="13">
        <f ca="1"/>
      </c>
      <c r="AB65" s="13">
        <f ca="1"/>
      </c>
      <c r="AC65" s="13">
        <f ca="1"/>
      </c>
      <c r="AD65" s="13">
        <f ca="1"/>
      </c>
      <c r="AE65" s="13">
        <f ca="1"/>
      </c>
      <c r="AF65" s="13">
        <f ca="1"/>
      </c>
      <c r="AG65" s="13">
        <f ca="1"/>
      </c>
      <c r="AH65" s="13"/>
      <c r="AI65" s="13"/>
      <c r="AJ65" s="13"/>
      <c r="AK65" s="13">
        <f ca="1"/>
      </c>
      <c r="AL65" s="13">
        <f ca="1"/>
      </c>
      <c r="AM65" s="13">
        <f ca="1"/>
      </c>
      <c r="AN65" s="13">
        <f ca="1"/>
      </c>
      <c r="AO65" s="13">
        <f ca="1"/>
      </c>
      <c r="AP65" s="13">
        <f ca="1"/>
      </c>
      <c r="AQ65" s="13">
        <f ca="1"/>
      </c>
      <c r="AR65" s="13">
        <f ca="1"/>
      </c>
      <c r="AS65" s="13">
        <f ca="1"/>
      </c>
      <c r="AT65" s="13">
        <f ca="1"/>
      </c>
      <c r="AU65" s="13">
        <f ca="1"/>
      </c>
      <c r="AV65" s="13">
        <f ca="1"/>
      </c>
      <c r="AW65" s="13"/>
      <c r="AX65" s="13"/>
      <c r="AY65" s="13"/>
      <c r="AZ65" s="13"/>
      <c r="BA65" s="13"/>
      <c r="BB65" s="13"/>
      <c r="BC65" s="13"/>
      <c r="BD65" s="13"/>
      <c r="BF65">
        <f ca="1"/>
      </c>
      <c r="BG65">
        <f ca="1"/>
      </c>
      <c r="BI65">
        <f ca="1"/>
      </c>
      <c r="BJ65" s="11">
        <f ca="1"/>
      </c>
      <c r="BK65" s="11">
        <f ca="1"/>
      </c>
      <c r="BL65" s="11">
        <f ca="1"/>
      </c>
      <c r="BM65" s="11">
        <f ca="1"/>
      </c>
      <c r="BN65" s="11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GX65">
        <f ca="1"/>
      </c>
      <c r="GY65">
        <f ca="1"/>
      </c>
      <c r="GZ65">
        <f ca="1"/>
      </c>
      <c r="HA65">
        <f ca="1"/>
      </c>
      <c r="HB65">
        <f ca="1"/>
      </c>
      <c r="HC65">
        <f ca="1"/>
      </c>
      <c r="HD65">
        <f ca="1"/>
      </c>
      <c r="HE65">
        <f ca="1"/>
      </c>
      <c r="HF65">
        <f ca="1"/>
      </c>
      <c r="HG65">
        <f ca="1"/>
      </c>
      <c r="HH65">
        <f ca="1"/>
      </c>
      <c r="HI65">
        <f ca="1"/>
      </c>
      <c r="HJ65">
        <f ca="1"/>
      </c>
      <c r="HK65">
        <f ca="1"/>
      </c>
      <c r="HL65">
        <f ca="1"/>
      </c>
      <c r="HM65">
        <f ca="1"/>
      </c>
      <c r="HN65">
        <f ca="1"/>
      </c>
      <c r="HO65">
        <f ca="1"/>
      </c>
      <c r="HP65">
        <f ca="1"/>
      </c>
      <c r="HQ65">
        <f ca="1"/>
      </c>
      <c r="HR65">
        <f ca="1"/>
      </c>
      <c r="HS65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>
        <f ca="1"/>
      </c>
      <c r="H66" s="13">
        <f ca="1"/>
      </c>
      <c r="I66" s="13">
        <f ca="1"/>
      </c>
      <c r="J66" s="13">
        <f ca="1"/>
      </c>
      <c r="K66" s="13">
        <f ca="1"/>
      </c>
      <c r="L66" s="13">
        <f ca="1"/>
      </c>
      <c r="M66" s="13">
        <f ca="1"/>
      </c>
      <c r="N66" s="13">
        <f ca="1"/>
      </c>
      <c r="O66" s="13">
        <f ca="1"/>
      </c>
      <c r="P66" s="13">
        <f ca="1"/>
      </c>
      <c r="Q66" s="13">
        <f ca="1"/>
      </c>
      <c r="R66" s="13">
        <f ca="1"/>
      </c>
      <c r="S66" s="13"/>
      <c r="T66" s="13"/>
      <c r="U66" s="13"/>
      <c r="V66" s="13">
        <f ca="1"/>
      </c>
      <c r="W66" s="13">
        <f ca="1"/>
      </c>
      <c r="X66" s="13">
        <f ca="1"/>
      </c>
      <c r="Y66" s="13">
        <f ca="1"/>
      </c>
      <c r="Z66" s="13">
        <f ca="1"/>
      </c>
      <c r="AA66" s="13">
        <f ca="1"/>
      </c>
      <c r="AB66" s="13">
        <f ca="1"/>
      </c>
      <c r="AC66" s="13">
        <f ca="1"/>
      </c>
      <c r="AD66" s="13">
        <f ca="1"/>
      </c>
      <c r="AE66" s="13">
        <f ca="1"/>
      </c>
      <c r="AF66" s="13">
        <f ca="1"/>
      </c>
      <c r="AG66" s="13">
        <f ca="1"/>
      </c>
      <c r="AH66" s="13"/>
      <c r="AI66" s="13"/>
      <c r="AJ66" s="13"/>
      <c r="AK66" s="13">
        <f ca="1"/>
      </c>
      <c r="AL66" s="13">
        <f ca="1"/>
      </c>
      <c r="AM66" s="13">
        <f ca="1"/>
      </c>
      <c r="AN66" s="13">
        <f ca="1"/>
      </c>
      <c r="AO66" s="13">
        <f ca="1"/>
      </c>
      <c r="AP66" s="13">
        <f ca="1"/>
      </c>
      <c r="AQ66" s="13">
        <f ca="1"/>
      </c>
      <c r="AR66" s="13">
        <f ca="1"/>
      </c>
      <c r="AS66" s="13">
        <f ca="1"/>
      </c>
      <c r="AT66" s="13">
        <f ca="1"/>
      </c>
      <c r="AU66" s="13">
        <f ca="1"/>
      </c>
      <c r="AV66" s="13">
        <f ca="1"/>
      </c>
      <c r="AW66" s="13"/>
      <c r="AX66" s="13"/>
      <c r="AY66" s="13"/>
      <c r="AZ66" s="13"/>
      <c r="BA66" s="13"/>
      <c r="BB66" s="13"/>
      <c r="BC66" s="13"/>
      <c r="BD66" s="13"/>
      <c r="BF66">
        <f ca="1"/>
      </c>
      <c r="BG66">
        <f ca="1"/>
      </c>
      <c r="BI66">
        <f ca="1"/>
      </c>
      <c r="BJ66" s="11">
        <f ca="1"/>
      </c>
      <c r="BK66" s="11">
        <f ca="1"/>
      </c>
      <c r="BL66" s="11">
        <f ca="1"/>
      </c>
      <c r="BM66" s="11">
        <f ca="1"/>
      </c>
      <c r="BN66" s="11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GX66">
        <f ca="1"/>
      </c>
      <c r="GY66">
        <f ca="1"/>
      </c>
      <c r="GZ66">
        <f ca="1"/>
      </c>
      <c r="HA66">
        <f ca="1"/>
      </c>
      <c r="HB66">
        <f ca="1"/>
      </c>
      <c r="HC66">
        <f ca="1"/>
      </c>
      <c r="HD66">
        <f ca="1"/>
      </c>
      <c r="HE66">
        <f ca="1"/>
      </c>
      <c r="HF66">
        <f ca="1"/>
      </c>
      <c r="HG66">
        <f ca="1"/>
      </c>
      <c r="HH66">
        <f ca="1"/>
      </c>
      <c r="HI66">
        <f ca="1"/>
      </c>
      <c r="HJ66">
        <f ca="1"/>
      </c>
      <c r="HK66">
        <f ca="1"/>
      </c>
      <c r="HL66">
        <f ca="1"/>
      </c>
      <c r="HM66">
        <f ca="1"/>
      </c>
      <c r="HN66">
        <f ca="1"/>
      </c>
      <c r="HO66">
        <f ca="1"/>
      </c>
      <c r="HP66">
        <f ca="1"/>
      </c>
      <c r="HQ66">
        <f ca="1"/>
      </c>
      <c r="HR66">
        <f ca="1"/>
      </c>
      <c r="HS66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>
        <f ca="1"/>
      </c>
      <c r="H67" s="13">
        <f ca="1"/>
      </c>
      <c r="I67" s="13">
        <f ca="1"/>
      </c>
      <c r="J67" s="13">
        <f ca="1"/>
      </c>
      <c r="K67" s="13">
        <f ca="1"/>
      </c>
      <c r="L67" s="13">
        <f ca="1"/>
      </c>
      <c r="M67" s="13">
        <f ca="1"/>
      </c>
      <c r="N67" s="13">
        <f ca="1"/>
      </c>
      <c r="O67" s="13">
        <f ca="1"/>
      </c>
      <c r="P67" s="13">
        <f ca="1"/>
      </c>
      <c r="Q67" s="13">
        <f ca="1"/>
      </c>
      <c r="R67" s="13">
        <f ca="1"/>
      </c>
      <c r="S67" s="13"/>
      <c r="T67" s="13"/>
      <c r="U67" s="13"/>
      <c r="V67" s="13">
        <f ca="1"/>
      </c>
      <c r="W67" s="13">
        <f ca="1"/>
      </c>
      <c r="X67" s="13">
        <f ca="1"/>
      </c>
      <c r="Y67" s="13">
        <f ca="1"/>
      </c>
      <c r="Z67" s="13">
        <f ca="1"/>
      </c>
      <c r="AA67" s="13">
        <f ca="1"/>
      </c>
      <c r="AB67" s="13">
        <f ca="1"/>
      </c>
      <c r="AC67" s="13">
        <f ca="1"/>
      </c>
      <c r="AD67" s="13">
        <f ca="1"/>
      </c>
      <c r="AE67" s="13">
        <f ca="1"/>
      </c>
      <c r="AF67" s="13">
        <f ca="1"/>
      </c>
      <c r="AG67" s="13">
        <f ca="1"/>
      </c>
      <c r="AH67" s="13"/>
      <c r="AI67" s="13"/>
      <c r="AJ67" s="13"/>
      <c r="AK67" s="13">
        <f ca="1"/>
      </c>
      <c r="AL67" s="13">
        <f ca="1"/>
      </c>
      <c r="AM67" s="13">
        <f ca="1"/>
      </c>
      <c r="AN67" s="13">
        <f ca="1"/>
      </c>
      <c r="AO67" s="13">
        <f ca="1"/>
      </c>
      <c r="AP67" s="13">
        <f ca="1"/>
      </c>
      <c r="AQ67" s="13">
        <f ca="1"/>
      </c>
      <c r="AR67" s="13">
        <f ca="1"/>
      </c>
      <c r="AS67" s="13">
        <f ca="1"/>
      </c>
      <c r="AT67" s="13">
        <f ca="1"/>
      </c>
      <c r="AU67" s="13">
        <f ca="1"/>
      </c>
      <c r="AV67" s="13">
        <f ca="1"/>
      </c>
      <c r="AW67" s="13"/>
      <c r="AX67" s="13"/>
      <c r="AY67" s="13"/>
      <c r="AZ67" s="13"/>
      <c r="BA67" s="13"/>
      <c r="BB67" s="13"/>
      <c r="BC67" s="13"/>
      <c r="BD67" s="13"/>
      <c r="BF67">
        <f ca="1"/>
      </c>
      <c r="BG67">
        <f ca="1"/>
      </c>
      <c r="BI67">
        <f ca="1"/>
      </c>
      <c r="BJ67" s="11">
        <f ca="1"/>
      </c>
      <c r="BK67" s="11">
        <f ca="1"/>
      </c>
      <c r="BL67" s="11">
        <f ca="1"/>
      </c>
      <c r="BM67" s="11">
        <f ca="1"/>
      </c>
      <c r="BN67" s="11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GX67">
        <f ca="1"/>
      </c>
      <c r="GY67">
        <f ca="1"/>
      </c>
      <c r="GZ67">
        <f ca="1"/>
      </c>
      <c r="HA67">
        <f ca="1"/>
      </c>
      <c r="HB67">
        <f ca="1"/>
      </c>
      <c r="HC67">
        <f ca="1"/>
      </c>
      <c r="HD67">
        <f ca="1"/>
      </c>
      <c r="HE67">
        <f ca="1"/>
      </c>
      <c r="HF67">
        <f ca="1"/>
      </c>
      <c r="HG67">
        <f ca="1"/>
      </c>
      <c r="HH67">
        <f ca="1"/>
      </c>
      <c r="HI67">
        <f ca="1"/>
      </c>
      <c r="HJ67">
        <f ca="1"/>
      </c>
      <c r="HK67">
        <f ca="1"/>
      </c>
      <c r="HL67">
        <f ca="1"/>
      </c>
      <c r="HM67">
        <f ca="1"/>
      </c>
      <c r="HN67">
        <f ca="1"/>
      </c>
      <c r="HO67">
        <f ca="1"/>
      </c>
      <c r="HP67">
        <f ca="1"/>
      </c>
      <c r="HQ67">
        <f ca="1"/>
      </c>
      <c r="HR67">
        <f ca="1"/>
      </c>
      <c r="HS67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>
        <f ca="1"/>
      </c>
      <c r="H68" s="13">
        <f ca="1"/>
      </c>
      <c r="I68" s="13">
        <f ca="1"/>
      </c>
      <c r="J68" s="13">
        <f ca="1"/>
      </c>
      <c r="K68" s="13">
        <f ca="1"/>
      </c>
      <c r="L68" s="13">
        <f ca="1"/>
      </c>
      <c r="M68" s="13">
        <f ca="1"/>
      </c>
      <c r="N68" s="13">
        <f ca="1"/>
      </c>
      <c r="O68" s="13">
        <f ca="1"/>
      </c>
      <c r="P68" s="13">
        <f ca="1"/>
      </c>
      <c r="Q68" s="13">
        <f ca="1"/>
      </c>
      <c r="R68" s="13">
        <f ca="1"/>
      </c>
      <c r="S68" s="13"/>
      <c r="T68" s="13"/>
      <c r="U68" s="13"/>
      <c r="V68" s="13">
        <f ca="1"/>
      </c>
      <c r="W68" s="13">
        <f ca="1"/>
      </c>
      <c r="X68" s="13">
        <f ca="1"/>
      </c>
      <c r="Y68" s="13">
        <f ca="1"/>
      </c>
      <c r="Z68" s="13">
        <f ca="1"/>
      </c>
      <c r="AA68" s="13">
        <f ca="1"/>
      </c>
      <c r="AB68" s="13">
        <f ca="1"/>
      </c>
      <c r="AC68" s="13">
        <f ca="1"/>
      </c>
      <c r="AD68" s="13">
        <f ca="1"/>
      </c>
      <c r="AE68" s="13">
        <f ca="1"/>
      </c>
      <c r="AF68" s="13">
        <f ca="1"/>
      </c>
      <c r="AG68" s="13">
        <f ca="1"/>
      </c>
      <c r="AH68" s="13"/>
      <c r="AI68" s="13"/>
      <c r="AJ68" s="13"/>
      <c r="AK68" s="13">
        <f ca="1"/>
      </c>
      <c r="AL68" s="13">
        <f ca="1"/>
      </c>
      <c r="AM68" s="13">
        <f ca="1"/>
      </c>
      <c r="AN68" s="13">
        <f ca="1"/>
      </c>
      <c r="AO68" s="13">
        <f ca="1"/>
      </c>
      <c r="AP68" s="13">
        <f ca="1"/>
      </c>
      <c r="AQ68" s="13">
        <f ca="1"/>
      </c>
      <c r="AR68" s="13">
        <f ca="1"/>
      </c>
      <c r="AS68" s="13">
        <f ca="1"/>
      </c>
      <c r="AT68" s="13">
        <f ca="1"/>
      </c>
      <c r="AU68" s="13">
        <f ca="1"/>
      </c>
      <c r="AV68" s="13">
        <f ca="1"/>
      </c>
      <c r="AW68" s="13"/>
      <c r="AX68" s="13"/>
      <c r="AY68" s="13"/>
      <c r="AZ68" s="13"/>
      <c r="BA68" s="13"/>
      <c r="BB68" s="13"/>
      <c r="BC68" s="13"/>
      <c r="BD68" s="13"/>
      <c r="BF68">
        <f ca="1"/>
      </c>
      <c r="BG68">
        <f ca="1"/>
      </c>
      <c r="BI68">
        <f ca="1"/>
      </c>
      <c r="BJ68" s="11">
        <f ca="1"/>
      </c>
      <c r="BK68" s="11">
        <f ca="1"/>
      </c>
      <c r="BL68" s="11">
        <f ca="1"/>
      </c>
      <c r="BM68" s="11">
        <f ca="1"/>
      </c>
      <c r="BN68" s="11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GX68">
        <f ca="1"/>
      </c>
      <c r="GY68">
        <f ca="1"/>
      </c>
      <c r="GZ68">
        <f ca="1"/>
      </c>
      <c r="HA68">
        <f ca="1"/>
      </c>
      <c r="HB68">
        <f ca="1"/>
      </c>
      <c r="HC68">
        <f ca="1"/>
      </c>
      <c r="HD68">
        <f ca="1"/>
      </c>
      <c r="HE68">
        <f ca="1"/>
      </c>
      <c r="HF68">
        <f ca="1"/>
      </c>
      <c r="HG68">
        <f ca="1"/>
      </c>
      <c r="HH68">
        <f ca="1"/>
      </c>
      <c r="HI68">
        <f ca="1"/>
      </c>
      <c r="HJ68">
        <f ca="1"/>
      </c>
      <c r="HK68">
        <f ca="1"/>
      </c>
      <c r="HL68">
        <f ca="1"/>
      </c>
      <c r="HM68">
        <f ca="1"/>
      </c>
      <c r="HN68">
        <f ca="1"/>
      </c>
      <c r="HO68">
        <f ca="1"/>
      </c>
      <c r="HP68">
        <f ca="1"/>
      </c>
      <c r="HQ68">
        <f ca="1"/>
      </c>
      <c r="HR68">
        <f ca="1"/>
      </c>
      <c r="HS68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>
        <f ca="1"/>
      </c>
      <c r="H69" s="13">
        <f ca="1"/>
      </c>
      <c r="I69" s="13">
        <f ca="1"/>
      </c>
      <c r="J69" s="13">
        <f ca="1"/>
      </c>
      <c r="K69" s="13">
        <f ca="1"/>
      </c>
      <c r="L69" s="13">
        <f ca="1"/>
      </c>
      <c r="M69" s="13">
        <f ca="1"/>
      </c>
      <c r="N69" s="13">
        <f ca="1"/>
      </c>
      <c r="O69" s="13">
        <f ca="1"/>
      </c>
      <c r="P69" s="13">
        <f ca="1"/>
      </c>
      <c r="Q69" s="13">
        <f ca="1"/>
      </c>
      <c r="R69" s="13">
        <f ca="1"/>
      </c>
      <c r="S69" s="13"/>
      <c r="T69" s="13"/>
      <c r="U69" s="13"/>
      <c r="V69" s="13">
        <f ca="1"/>
      </c>
      <c r="W69" s="13">
        <f ca="1"/>
      </c>
      <c r="X69" s="13">
        <f ca="1"/>
      </c>
      <c r="Y69" s="13">
        <f ca="1"/>
      </c>
      <c r="Z69" s="13">
        <f ca="1"/>
      </c>
      <c r="AA69" s="13">
        <f ca="1"/>
      </c>
      <c r="AB69" s="13">
        <f ca="1"/>
      </c>
      <c r="AC69" s="13">
        <f ca="1"/>
      </c>
      <c r="AD69" s="13">
        <f ca="1"/>
      </c>
      <c r="AE69" s="13">
        <f ca="1"/>
      </c>
      <c r="AF69" s="13">
        <f ca="1"/>
      </c>
      <c r="AG69" s="13">
        <f ca="1"/>
      </c>
      <c r="AH69" s="13"/>
      <c r="AI69" s="13"/>
      <c r="AJ69" s="13"/>
      <c r="AK69" s="13">
        <f ca="1"/>
      </c>
      <c r="AL69" s="13">
        <f ca="1"/>
      </c>
      <c r="AM69" s="13">
        <f ca="1"/>
      </c>
      <c r="AN69" s="13">
        <f ca="1"/>
      </c>
      <c r="AO69" s="13">
        <f ca="1"/>
      </c>
      <c r="AP69" s="13">
        <f ca="1"/>
      </c>
      <c r="AQ69" s="13">
        <f ca="1"/>
      </c>
      <c r="AR69" s="13">
        <f ca="1"/>
      </c>
      <c r="AS69" s="13">
        <f ca="1"/>
      </c>
      <c r="AT69" s="13">
        <f ca="1"/>
      </c>
      <c r="AU69" s="13">
        <f ca="1"/>
      </c>
      <c r="AV69" s="13">
        <f ca="1"/>
      </c>
      <c r="AW69" s="13"/>
      <c r="AX69" s="13"/>
      <c r="AY69" s="13"/>
      <c r="AZ69" s="13"/>
      <c r="BA69" s="13"/>
      <c r="BB69" s="13"/>
      <c r="BC69" s="13"/>
      <c r="BD69" s="13"/>
      <c r="BF69">
        <f ca="1"/>
      </c>
      <c r="BG69">
        <f ca="1"/>
      </c>
      <c r="BI69">
        <f ca="1"/>
      </c>
      <c r="BJ69" s="11">
        <f ca="1"/>
      </c>
      <c r="BK69" s="11">
        <f ca="1"/>
      </c>
      <c r="BL69" s="11">
        <f ca="1"/>
      </c>
      <c r="BM69" s="11">
        <f ca="1"/>
      </c>
      <c r="BN69" s="11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GX69">
        <f ca="1"/>
      </c>
      <c r="GY69">
        <f ca="1"/>
      </c>
      <c r="GZ69">
        <f ca="1"/>
      </c>
      <c r="HA69">
        <f ca="1"/>
      </c>
      <c r="HB69">
        <f ca="1"/>
      </c>
      <c r="HC69">
        <f ca="1"/>
      </c>
      <c r="HD69">
        <f ca="1"/>
      </c>
      <c r="HE69">
        <f ca="1"/>
      </c>
      <c r="HF69">
        <f ca="1"/>
      </c>
      <c r="HG69">
        <f ca="1"/>
      </c>
      <c r="HH69">
        <f ca="1"/>
      </c>
      <c r="HI69">
        <f ca="1"/>
      </c>
      <c r="HJ69">
        <f ca="1"/>
      </c>
      <c r="HK69">
        <f ca="1"/>
      </c>
      <c r="HL69">
        <f ca="1"/>
      </c>
      <c r="HM69">
        <f ca="1"/>
      </c>
      <c r="HN69">
        <f ca="1"/>
      </c>
      <c r="HO69">
        <f ca="1"/>
      </c>
      <c r="HP69">
        <f ca="1"/>
      </c>
      <c r="HQ69">
        <f ca="1"/>
      </c>
      <c r="HR69">
        <f ca="1"/>
      </c>
      <c r="HS69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>
        <f ca="1"/>
      </c>
      <c r="H70" s="13">
        <f ca="1"/>
      </c>
      <c r="I70" s="13">
        <f ca="1"/>
      </c>
      <c r="J70" s="13">
        <f ca="1"/>
      </c>
      <c r="K70" s="13">
        <f ca="1"/>
      </c>
      <c r="L70" s="13">
        <f ca="1"/>
      </c>
      <c r="M70" s="13">
        <f ca="1"/>
      </c>
      <c r="N70" s="13">
        <f ca="1"/>
      </c>
      <c r="O70" s="13">
        <f ca="1"/>
      </c>
      <c r="P70" s="13">
        <f ca="1"/>
      </c>
      <c r="Q70" s="13">
        <f ca="1"/>
      </c>
      <c r="R70" s="13">
        <f ca="1"/>
      </c>
      <c r="S70" s="13"/>
      <c r="T70" s="13"/>
      <c r="U70" s="13"/>
      <c r="V70" s="13">
        <f ca="1"/>
      </c>
      <c r="W70" s="13">
        <f ca="1"/>
      </c>
      <c r="X70" s="13">
        <f ca="1"/>
      </c>
      <c r="Y70" s="13">
        <f ca="1"/>
      </c>
      <c r="Z70" s="13">
        <f ca="1"/>
      </c>
      <c r="AA70" s="13">
        <f ca="1"/>
      </c>
      <c r="AB70" s="13">
        <f ca="1"/>
      </c>
      <c r="AC70" s="13">
        <f ca="1"/>
      </c>
      <c r="AD70" s="13">
        <f ca="1"/>
      </c>
      <c r="AE70" s="13">
        <f ca="1"/>
      </c>
      <c r="AF70" s="13">
        <f ca="1"/>
      </c>
      <c r="AG70" s="13">
        <f ca="1"/>
      </c>
      <c r="AH70" s="13"/>
      <c r="AI70" s="13"/>
      <c r="AJ70" s="13"/>
      <c r="AK70" s="13">
        <f ca="1"/>
      </c>
      <c r="AL70" s="13">
        <f ca="1"/>
      </c>
      <c r="AM70" s="13">
        <f ca="1"/>
      </c>
      <c r="AN70" s="13">
        <f ca="1"/>
      </c>
      <c r="AO70" s="13">
        <f ca="1"/>
      </c>
      <c r="AP70" s="13">
        <f ca="1"/>
      </c>
      <c r="AQ70" s="13">
        <f ca="1"/>
      </c>
      <c r="AR70" s="13">
        <f ca="1"/>
      </c>
      <c r="AS70" s="13">
        <f ca="1"/>
      </c>
      <c r="AT70" s="13">
        <f ca="1"/>
      </c>
      <c r="AU70" s="13">
        <f ca="1"/>
      </c>
      <c r="AV70" s="13">
        <f ca="1"/>
      </c>
      <c r="AW70" s="13"/>
      <c r="AX70" s="13"/>
      <c r="AY70" s="13"/>
      <c r="AZ70" s="13"/>
      <c r="BA70" s="13"/>
      <c r="BB70" s="13"/>
      <c r="BC70" s="13"/>
      <c r="BD70" s="13"/>
      <c r="BF70">
        <f ca="1"/>
      </c>
      <c r="BG70">
        <f ca="1"/>
      </c>
      <c r="BI70">
        <f ca="1"/>
      </c>
      <c r="BJ70" s="11">
        <f ca="1"/>
      </c>
      <c r="BK70" s="11">
        <f ca="1"/>
      </c>
      <c r="BL70" s="11">
        <f ca="1"/>
      </c>
      <c r="BM70" s="11">
        <f ca="1"/>
      </c>
      <c r="BN70" s="11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GX70">
        <f ca="1"/>
      </c>
      <c r="GY70">
        <f ca="1"/>
      </c>
      <c r="GZ70">
        <f ca="1"/>
      </c>
      <c r="HA70">
        <f ca="1"/>
      </c>
      <c r="HB70">
        <f ca="1"/>
      </c>
      <c r="HC70">
        <f ca="1"/>
      </c>
      <c r="HD70">
        <f ca="1"/>
      </c>
      <c r="HE70">
        <f ca="1"/>
      </c>
      <c r="HF70">
        <f ca="1"/>
      </c>
      <c r="HG70">
        <f ca="1"/>
      </c>
      <c r="HH70">
        <f ca="1"/>
      </c>
      <c r="HI70">
        <f ca="1"/>
      </c>
      <c r="HJ70">
        <f ca="1"/>
      </c>
      <c r="HK70">
        <f ca="1"/>
      </c>
      <c r="HL70">
        <f ca="1"/>
      </c>
      <c r="HM70">
        <f ca="1"/>
      </c>
      <c r="HN70">
        <f ca="1"/>
      </c>
      <c r="HO70">
        <f ca="1"/>
      </c>
      <c r="HP70">
        <f ca="1"/>
      </c>
      <c r="HQ70">
        <f ca="1"/>
      </c>
      <c r="HR70">
        <f ca="1"/>
      </c>
      <c r="HS70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>
        <f ca="1"/>
      </c>
      <c r="H71" s="13">
        <f ca="1"/>
      </c>
      <c r="I71" s="13">
        <f ca="1"/>
      </c>
      <c r="J71" s="13">
        <f ca="1"/>
      </c>
      <c r="K71" s="13">
        <f ca="1"/>
      </c>
      <c r="L71" s="13">
        <f ca="1"/>
      </c>
      <c r="M71" s="13">
        <f ca="1"/>
      </c>
      <c r="N71" s="13">
        <f ca="1"/>
      </c>
      <c r="O71" s="13">
        <f ca="1"/>
      </c>
      <c r="P71" s="13">
        <f ca="1"/>
      </c>
      <c r="Q71" s="13">
        <f ca="1"/>
      </c>
      <c r="R71" s="13">
        <f ca="1"/>
      </c>
      <c r="S71" s="13"/>
      <c r="T71" s="13"/>
      <c r="U71" s="13"/>
      <c r="V71" s="13">
        <f ca="1"/>
      </c>
      <c r="W71" s="13">
        <f ca="1"/>
      </c>
      <c r="X71" s="13">
        <f ca="1"/>
      </c>
      <c r="Y71" s="13">
        <f ca="1"/>
      </c>
      <c r="Z71" s="13">
        <f ca="1"/>
      </c>
      <c r="AA71" s="13">
        <f ca="1"/>
      </c>
      <c r="AB71" s="13">
        <f ca="1"/>
      </c>
      <c r="AC71" s="13">
        <f ca="1"/>
      </c>
      <c r="AD71" s="13">
        <f ca="1"/>
      </c>
      <c r="AE71" s="13">
        <f ca="1"/>
      </c>
      <c r="AF71" s="13">
        <f ca="1"/>
      </c>
      <c r="AG71" s="13">
        <f ca="1"/>
      </c>
      <c r="AH71" s="13"/>
      <c r="AI71" s="13"/>
      <c r="AJ71" s="13"/>
      <c r="AK71" s="13">
        <f ca="1"/>
      </c>
      <c r="AL71" s="13">
        <f ca="1"/>
      </c>
      <c r="AM71" s="13">
        <f ca="1"/>
      </c>
      <c r="AN71" s="13">
        <f ca="1"/>
      </c>
      <c r="AO71" s="13">
        <f ca="1"/>
      </c>
      <c r="AP71" s="13">
        <f ca="1"/>
      </c>
      <c r="AQ71" s="13">
        <f ca="1"/>
      </c>
      <c r="AR71" s="13">
        <f ca="1"/>
      </c>
      <c r="AS71" s="13">
        <f ca="1"/>
      </c>
      <c r="AT71" s="13">
        <f ca="1"/>
      </c>
      <c r="AU71" s="13">
        <f ca="1"/>
      </c>
      <c r="AV71" s="13">
        <f ca="1"/>
      </c>
      <c r="AW71" s="13"/>
      <c r="AX71" s="13"/>
      <c r="AY71" s="13"/>
      <c r="AZ71" s="13"/>
      <c r="BA71" s="13"/>
      <c r="BB71" s="13"/>
      <c r="BC71" s="13"/>
      <c r="BD71" s="13"/>
      <c r="BF71">
        <f ca="1"/>
      </c>
      <c r="BG71">
        <f ca="1"/>
      </c>
      <c r="BI71">
        <f ca="1"/>
      </c>
      <c r="BJ71" s="11">
        <f ca="1"/>
      </c>
      <c r="BK71" s="11">
        <f ca="1"/>
      </c>
      <c r="BL71" s="11">
        <f ca="1"/>
      </c>
      <c r="BM71" s="11">
        <f ca="1"/>
      </c>
      <c r="BN71" s="1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GX71">
        <f ca="1"/>
      </c>
      <c r="GY71">
        <f ca="1"/>
      </c>
      <c r="GZ71">
        <f ca="1"/>
      </c>
      <c r="HA71">
        <f ca="1"/>
      </c>
      <c r="HB71">
        <f ca="1"/>
      </c>
      <c r="HC71">
        <f ca="1"/>
      </c>
      <c r="HD71">
        <f ca="1"/>
      </c>
      <c r="HE71">
        <f ca="1"/>
      </c>
      <c r="HF71">
        <f ca="1"/>
      </c>
      <c r="HG71">
        <f ca="1"/>
      </c>
      <c r="HH71">
        <f ca="1"/>
      </c>
      <c r="HI71">
        <f ca="1"/>
      </c>
      <c r="HJ71">
        <f ca="1"/>
      </c>
      <c r="HK71">
        <f ca="1"/>
      </c>
      <c r="HL71">
        <f ca="1"/>
      </c>
      <c r="HM71">
        <f ca="1"/>
      </c>
      <c r="HN71">
        <f ca="1"/>
      </c>
      <c r="HO71">
        <f ca="1"/>
      </c>
      <c r="HP71">
        <f ca="1"/>
      </c>
      <c r="HQ71">
        <f ca="1"/>
      </c>
      <c r="HR71">
        <f ca="1"/>
      </c>
      <c r="HS7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>
        <f ca="1"/>
      </c>
      <c r="H72" s="13">
        <f ca="1"/>
      </c>
      <c r="I72" s="13">
        <f ca="1"/>
      </c>
      <c r="J72" s="13">
        <f ca="1"/>
      </c>
      <c r="K72" s="13">
        <f ca="1"/>
      </c>
      <c r="L72" s="13">
        <f ca="1"/>
      </c>
      <c r="M72" s="13">
        <f ca="1"/>
      </c>
      <c r="N72" s="13">
        <f ca="1"/>
      </c>
      <c r="O72" s="13">
        <f ca="1"/>
      </c>
      <c r="P72" s="13">
        <f ca="1"/>
      </c>
      <c r="Q72" s="13">
        <f ca="1"/>
      </c>
      <c r="R72" s="13">
        <f ca="1"/>
      </c>
      <c r="S72" s="13"/>
      <c r="T72" s="13"/>
      <c r="U72" s="13"/>
      <c r="V72" s="13">
        <f ca="1"/>
      </c>
      <c r="W72" s="13">
        <f ca="1"/>
      </c>
      <c r="X72" s="13">
        <f ca="1"/>
      </c>
      <c r="Y72" s="13">
        <f ca="1"/>
      </c>
      <c r="Z72" s="13">
        <f ca="1"/>
      </c>
      <c r="AA72" s="13">
        <f ca="1"/>
      </c>
      <c r="AB72" s="13">
        <f ca="1"/>
      </c>
      <c r="AC72" s="13">
        <f ca="1"/>
      </c>
      <c r="AD72" s="13">
        <f ca="1"/>
      </c>
      <c r="AE72" s="13">
        <f ca="1"/>
      </c>
      <c r="AF72" s="13">
        <f ca="1"/>
      </c>
      <c r="AG72" s="13">
        <f ca="1"/>
      </c>
      <c r="AH72" s="13"/>
      <c r="AI72" s="13"/>
      <c r="AJ72" s="13"/>
      <c r="AK72" s="13">
        <f ca="1"/>
      </c>
      <c r="AL72" s="13">
        <f ca="1"/>
      </c>
      <c r="AM72" s="13">
        <f ca="1"/>
      </c>
      <c r="AN72" s="13">
        <f ca="1"/>
      </c>
      <c r="AO72" s="13">
        <f ca="1"/>
      </c>
      <c r="AP72" s="13">
        <f ca="1"/>
      </c>
      <c r="AQ72" s="13">
        <f ca="1"/>
      </c>
      <c r="AR72" s="13">
        <f ca="1"/>
      </c>
      <c r="AS72" s="13">
        <f ca="1"/>
      </c>
      <c r="AT72" s="13">
        <f ca="1"/>
      </c>
      <c r="AU72" s="13">
        <f ca="1"/>
      </c>
      <c r="AV72" s="13">
        <f ca="1"/>
      </c>
      <c r="AW72" s="13"/>
      <c r="AX72" s="13"/>
      <c r="AY72" s="13"/>
      <c r="AZ72" s="13"/>
      <c r="BA72" s="13"/>
      <c r="BB72" s="13"/>
      <c r="BC72" s="13"/>
      <c r="BD72" s="13"/>
      <c r="BF72">
        <f ca="1"/>
      </c>
      <c r="BG72">
        <f ca="1"/>
      </c>
      <c r="BI72">
        <f ca="1"/>
      </c>
      <c r="BJ72" s="11">
        <f ca="1"/>
      </c>
      <c r="BK72" s="11">
        <f ca="1"/>
      </c>
      <c r="BL72" s="11">
        <f ca="1"/>
      </c>
      <c r="BM72" s="11">
        <f ca="1"/>
      </c>
      <c r="BN72" s="11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GX72">
        <f ca="1"/>
      </c>
      <c r="GY72">
        <f ca="1"/>
      </c>
      <c r="GZ72">
        <f ca="1"/>
      </c>
      <c r="HA72">
        <f ca="1"/>
      </c>
      <c r="HB72">
        <f ca="1"/>
      </c>
      <c r="HC72">
        <f ca="1"/>
      </c>
      <c r="HD72">
        <f ca="1"/>
      </c>
      <c r="HE72">
        <f ca="1"/>
      </c>
      <c r="HF72">
        <f ca="1"/>
      </c>
      <c r="HG72">
        <f ca="1"/>
      </c>
      <c r="HH72">
        <f ca="1"/>
      </c>
      <c r="HI72">
        <f ca="1"/>
      </c>
      <c r="HJ72">
        <f ca="1"/>
      </c>
      <c r="HK72">
        <f ca="1"/>
      </c>
      <c r="HL72">
        <f ca="1"/>
      </c>
      <c r="HM72">
        <f ca="1"/>
      </c>
      <c r="HN72">
        <f ca="1"/>
      </c>
      <c r="HO72">
        <f ca="1"/>
      </c>
      <c r="HP72">
        <f ca="1"/>
      </c>
      <c r="HQ72">
        <f ca="1"/>
      </c>
      <c r="HR72">
        <f ca="1"/>
      </c>
      <c r="HS72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F73">
        <f ca="1"/>
      </c>
      <c r="BG73">
        <f ca="1"/>
      </c>
      <c r="BI73">
        <f ca="1"/>
      </c>
      <c r="BJ73" s="11">
        <f ca="1"/>
      </c>
      <c r="BK73" s="11">
        <f ca="1"/>
      </c>
      <c r="BL73" s="11">
        <f ca="1"/>
      </c>
      <c r="BM73" s="11">
        <f ca="1"/>
      </c>
      <c r="BN73" s="11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GX73">
        <f ca="1"/>
      </c>
      <c r="GY73">
        <f ca="1"/>
      </c>
      <c r="GZ73">
        <f ca="1"/>
      </c>
      <c r="HA73">
        <f ca="1"/>
      </c>
      <c r="HB73">
        <f ca="1"/>
      </c>
      <c r="HC73">
        <f ca="1"/>
      </c>
      <c r="HD73">
        <f ca="1"/>
      </c>
      <c r="HE73">
        <f ca="1"/>
      </c>
      <c r="HF73">
        <f ca="1"/>
      </c>
      <c r="HG73">
        <f ca="1"/>
      </c>
      <c r="HH73">
        <f ca="1"/>
      </c>
      <c r="HI73">
        <f ca="1"/>
      </c>
      <c r="HJ73">
        <f ca="1"/>
      </c>
      <c r="HK73">
        <f ca="1"/>
      </c>
      <c r="HL73">
        <f ca="1"/>
      </c>
      <c r="HM73">
        <f ca="1"/>
      </c>
      <c r="HN73">
        <f ca="1"/>
      </c>
      <c r="HO73">
        <f ca="1"/>
      </c>
      <c r="HP73">
        <f ca="1"/>
      </c>
      <c r="HQ73">
        <f ca="1"/>
      </c>
      <c r="HR73">
        <f ca="1"/>
      </c>
      <c r="HS73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F74">
        <f ca="1"/>
      </c>
      <c r="BG74">
        <f ca="1"/>
      </c>
      <c r="BI74">
        <f ca="1"/>
      </c>
      <c r="BJ74" s="11">
        <f ca="1"/>
      </c>
      <c r="BK74" s="11">
        <f ca="1"/>
      </c>
      <c r="BL74" s="11">
        <f ca="1"/>
      </c>
      <c r="BM74" s="11">
        <f ca="1"/>
      </c>
      <c r="BN74" s="11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GX74">
        <f ca="1"/>
      </c>
      <c r="GY74">
        <f ca="1"/>
      </c>
      <c r="GZ74">
        <f ca="1"/>
      </c>
      <c r="HA74">
        <f ca="1"/>
      </c>
      <c r="HB74">
        <f ca="1"/>
      </c>
      <c r="HC74">
        <f ca="1"/>
      </c>
      <c r="HD74">
        <f ca="1"/>
      </c>
      <c r="HE74">
        <f ca="1"/>
      </c>
      <c r="HF74">
        <f ca="1"/>
      </c>
      <c r="HG74">
        <f ca="1"/>
      </c>
      <c r="HH74">
        <f ca="1"/>
      </c>
      <c r="HI74">
        <f ca="1"/>
      </c>
      <c r="HJ74">
        <f ca="1"/>
      </c>
      <c r="HK74">
        <f ca="1"/>
      </c>
      <c r="HL74">
        <f ca="1"/>
      </c>
      <c r="HM74">
        <f ca="1"/>
      </c>
      <c r="HN74">
        <f ca="1"/>
      </c>
      <c r="HO74">
        <f ca="1"/>
      </c>
      <c r="HP74">
        <f ca="1"/>
      </c>
      <c r="HQ74">
        <f ca="1"/>
      </c>
      <c r="HR74">
        <f ca="1"/>
      </c>
      <c r="HS74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F75">
        <f ca="1"/>
      </c>
      <c r="BG75">
        <f ca="1"/>
      </c>
      <c r="BI75">
        <f ca="1"/>
      </c>
      <c r="BJ75" s="11">
        <f ca="1"/>
      </c>
      <c r="BK75" s="11">
        <f ca="1"/>
      </c>
      <c r="BL75" s="11">
        <f ca="1"/>
      </c>
      <c r="BM75" s="11">
        <f ca="1"/>
      </c>
      <c r="BN75" s="11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GX75">
        <f ca="1"/>
      </c>
      <c r="GY75">
        <f ca="1"/>
      </c>
      <c r="GZ75">
        <f ca="1"/>
      </c>
      <c r="HA75">
        <f ca="1"/>
      </c>
      <c r="HB75">
        <f ca="1"/>
      </c>
      <c r="HC75">
        <f ca="1"/>
      </c>
      <c r="HD75">
        <f ca="1"/>
      </c>
      <c r="HE75">
        <f ca="1"/>
      </c>
      <c r="HF75">
        <f ca="1"/>
      </c>
      <c r="HG75">
        <f ca="1"/>
      </c>
      <c r="HH75">
        <f ca="1"/>
      </c>
      <c r="HI75">
        <f ca="1"/>
      </c>
      <c r="HJ75">
        <f ca="1"/>
      </c>
      <c r="HK75">
        <f ca="1"/>
      </c>
      <c r="HL75">
        <f ca="1"/>
      </c>
      <c r="HM75">
        <f ca="1"/>
      </c>
      <c r="HN75">
        <f ca="1"/>
      </c>
      <c r="HO75">
        <f ca="1"/>
      </c>
      <c r="HP75">
        <f ca="1"/>
      </c>
      <c r="HQ75">
        <f ca="1"/>
      </c>
      <c r="HR75">
        <f ca="1"/>
      </c>
      <c r="HS75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F76">
        <f ca="1"/>
      </c>
      <c r="BG76">
        <f ca="1"/>
      </c>
      <c r="BI76">
        <f ca="1"/>
      </c>
      <c r="BJ76" s="11">
        <f ca="1"/>
      </c>
      <c r="BK76" s="11">
        <f ca="1"/>
      </c>
      <c r="BL76" s="11">
        <f ca="1"/>
      </c>
      <c r="BM76" s="11">
        <f ca="1"/>
      </c>
      <c r="BN76" s="11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GX76">
        <f ca="1"/>
      </c>
      <c r="GY76">
        <f ca="1"/>
      </c>
      <c r="GZ76">
        <f ca="1"/>
      </c>
      <c r="HA76">
        <f ca="1"/>
      </c>
      <c r="HB76">
        <f ca="1"/>
      </c>
      <c r="HC76">
        <f ca="1"/>
      </c>
      <c r="HD76">
        <f ca="1"/>
      </c>
      <c r="HE76">
        <f ca="1"/>
      </c>
      <c r="HF76">
        <f ca="1"/>
      </c>
      <c r="HG76">
        <f ca="1"/>
      </c>
      <c r="HH76">
        <f ca="1"/>
      </c>
      <c r="HI76">
        <f ca="1"/>
      </c>
      <c r="HJ76">
        <f ca="1"/>
      </c>
      <c r="HK76">
        <f ca="1"/>
      </c>
      <c r="HL76">
        <f ca="1"/>
      </c>
      <c r="HM76">
        <f ca="1"/>
      </c>
      <c r="HN76">
        <f ca="1"/>
      </c>
      <c r="HO76">
        <f ca="1"/>
      </c>
      <c r="HP76">
        <f ca="1"/>
      </c>
      <c r="HQ76">
        <f ca="1"/>
      </c>
      <c r="HR76">
        <f ca="1"/>
      </c>
      <c r="HS76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F77">
        <f ca="1"/>
      </c>
      <c r="BG77">
        <f ca="1"/>
      </c>
      <c r="BI77">
        <f ca="1"/>
      </c>
      <c r="BJ77" s="11">
        <f ca="1"/>
      </c>
      <c r="BK77" s="11">
        <f ca="1"/>
      </c>
      <c r="BL77" s="11">
        <f ca="1"/>
      </c>
      <c r="BM77" s="11">
        <f ca="1"/>
      </c>
      <c r="BN77" s="11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GX77">
        <f ca="1"/>
      </c>
      <c r="GY77">
        <f ca="1"/>
      </c>
      <c r="GZ77">
        <f ca="1"/>
      </c>
      <c r="HA77">
        <f ca="1"/>
      </c>
      <c r="HB77">
        <f ca="1"/>
      </c>
      <c r="HC77">
        <f ca="1"/>
      </c>
      <c r="HD77">
        <f ca="1"/>
      </c>
      <c r="HE77">
        <f ca="1"/>
      </c>
      <c r="HF77">
        <f ca="1"/>
      </c>
      <c r="HG77">
        <f ca="1"/>
      </c>
      <c r="HH77">
        <f ca="1"/>
      </c>
      <c r="HI77">
        <f ca="1"/>
      </c>
      <c r="HJ77">
        <f ca="1"/>
      </c>
      <c r="HK77">
        <f ca="1"/>
      </c>
      <c r="HL77">
        <f ca="1"/>
      </c>
      <c r="HM77">
        <f ca="1"/>
      </c>
      <c r="HN77">
        <f ca="1"/>
      </c>
      <c r="HO77">
        <f ca="1"/>
      </c>
      <c r="HP77">
        <f ca="1"/>
      </c>
      <c r="HQ77">
        <f ca="1"/>
      </c>
      <c r="HR77">
        <f ca="1"/>
      </c>
      <c r="HS77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F78">
        <f ca="1"/>
      </c>
      <c r="BG78">
        <f ca="1"/>
      </c>
      <c r="BI78">
        <f ca="1"/>
      </c>
      <c r="BJ78" s="11">
        <f ca="1"/>
      </c>
      <c r="BK78" s="11">
        <f ca="1"/>
      </c>
      <c r="BL78" s="11">
        <f ca="1"/>
      </c>
      <c r="BM78" s="11">
        <f ca="1"/>
      </c>
      <c r="BN78" s="11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GX78">
        <f ca="1"/>
      </c>
      <c r="GY78">
        <f ca="1"/>
      </c>
      <c r="GZ78">
        <f ca="1"/>
      </c>
      <c r="HA78">
        <f ca="1"/>
      </c>
      <c r="HB78">
        <f ca="1"/>
      </c>
      <c r="HC78">
        <f ca="1"/>
      </c>
      <c r="HD78">
        <f ca="1"/>
      </c>
      <c r="HE78">
        <f ca="1"/>
      </c>
      <c r="HF78">
        <f ca="1"/>
      </c>
      <c r="HG78">
        <f ca="1"/>
      </c>
      <c r="HH78">
        <f ca="1"/>
      </c>
      <c r="HI78">
        <f ca="1"/>
      </c>
      <c r="HJ78">
        <f ca="1"/>
      </c>
      <c r="HK78">
        <f ca="1"/>
      </c>
      <c r="HL78">
        <f ca="1"/>
      </c>
      <c r="HM78">
        <f ca="1"/>
      </c>
      <c r="HN78">
        <f ca="1"/>
      </c>
      <c r="HO78">
        <f ca="1"/>
      </c>
      <c r="HP78">
        <f ca="1"/>
      </c>
      <c r="HQ78">
        <f ca="1"/>
      </c>
      <c r="HR78">
        <f ca="1"/>
      </c>
      <c r="HS78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F79">
        <f ca="1"/>
      </c>
      <c r="BG79">
        <f ca="1"/>
      </c>
      <c r="BI79">
        <f ca="1"/>
      </c>
      <c r="BJ79" s="11">
        <f ca="1"/>
      </c>
      <c r="BK79" s="11">
        <f ca="1"/>
      </c>
      <c r="BL79" s="11">
        <f ca="1"/>
      </c>
      <c r="BM79" s="11">
        <f ca="1"/>
      </c>
      <c r="BN79" s="11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GX79">
        <f ca="1"/>
      </c>
      <c r="GY79">
        <f ca="1"/>
      </c>
      <c r="GZ79">
        <f ca="1"/>
      </c>
      <c r="HA79">
        <f ca="1"/>
      </c>
      <c r="HB79">
        <f ca="1"/>
      </c>
      <c r="HC79">
        <f ca="1"/>
      </c>
      <c r="HD79">
        <f ca="1"/>
      </c>
      <c r="HE79">
        <f ca="1"/>
      </c>
      <c r="HF79">
        <f ca="1"/>
      </c>
      <c r="HG79">
        <f ca="1"/>
      </c>
      <c r="HH79">
        <f ca="1"/>
      </c>
      <c r="HI79">
        <f ca="1"/>
      </c>
      <c r="HJ79">
        <f ca="1"/>
      </c>
      <c r="HK79">
        <f ca="1"/>
      </c>
      <c r="HL79">
        <f ca="1"/>
      </c>
      <c r="HM79">
        <f ca="1"/>
      </c>
      <c r="HN79">
        <f ca="1"/>
      </c>
      <c r="HO79">
        <f ca="1"/>
      </c>
      <c r="HP79">
        <f ca="1"/>
      </c>
      <c r="HQ79">
        <f ca="1"/>
      </c>
      <c r="HR79">
        <f ca="1"/>
      </c>
      <c r="HS79">
        <f ca="1"/>
      </c>
      <c r="LA79">
        <f ca="1"/>
      </c>
      <c r="LB79">
        <f ca="1"/>
      </c>
      <c r="LC79">
        <f ca="1"/>
      </c>
    </row>
    <row r="80" spans="6:315" x14ac:dyDescent="0.55000000000000004">
      <c r="BF80">
        <f ca="1"/>
      </c>
      <c r="BG80">
        <f ca="1"/>
      </c>
      <c r="BI80">
        <f ca="1"/>
      </c>
      <c r="BJ80" s="11">
        <f ca="1"/>
      </c>
      <c r="BK80" s="11">
        <f ca="1"/>
      </c>
      <c r="BL80" s="11">
        <f ca="1"/>
      </c>
      <c r="BM80" s="11">
        <f ca="1"/>
      </c>
      <c r="BN80" s="11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GX80">
        <f ca="1"/>
      </c>
      <c r="GY80">
        <f ca="1"/>
      </c>
      <c r="GZ80">
        <f ca="1"/>
      </c>
      <c r="HA80">
        <f ca="1"/>
      </c>
      <c r="HB80">
        <f ca="1"/>
      </c>
      <c r="HC80">
        <f ca="1"/>
      </c>
      <c r="HD80">
        <f ca="1"/>
      </c>
      <c r="HE80">
        <f ca="1"/>
      </c>
      <c r="HF80">
        <f ca="1"/>
      </c>
      <c r="HG80">
        <f ca="1"/>
      </c>
      <c r="HH80">
        <f ca="1"/>
      </c>
      <c r="HI80">
        <f ca="1"/>
      </c>
      <c r="HJ80">
        <f ca="1"/>
      </c>
      <c r="HK80">
        <f ca="1"/>
      </c>
      <c r="HL80">
        <f ca="1"/>
      </c>
      <c r="HM80">
        <f ca="1"/>
      </c>
      <c r="HN80">
        <f ca="1"/>
      </c>
      <c r="HO80">
        <f ca="1"/>
      </c>
      <c r="HP80">
        <f ca="1"/>
      </c>
      <c r="HQ80">
        <f ca="1"/>
      </c>
      <c r="HR80">
        <f ca="1"/>
      </c>
      <c r="HS80">
        <f ca="1"/>
      </c>
      <c r="LA80">
        <f ca="1"/>
      </c>
      <c r="LB80">
        <f ca="1"/>
      </c>
      <c r="LC80">
        <f ca="1"/>
      </c>
    </row>
    <row r="81" spans="58:315" x14ac:dyDescent="0.55000000000000004">
      <c r="BF81">
        <f ca="1"/>
      </c>
      <c r="BG81">
        <f ca="1"/>
      </c>
      <c r="BI81">
        <f ca="1"/>
      </c>
      <c r="BJ81" s="11">
        <f ca="1"/>
      </c>
      <c r="BK81" s="11">
        <f ca="1"/>
      </c>
      <c r="BL81" s="11">
        <f ca="1"/>
      </c>
      <c r="BM81" s="11">
        <f ca="1"/>
      </c>
      <c r="BN81" s="1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GX81">
        <f ca="1"/>
      </c>
      <c r="GY81">
        <f ca="1"/>
      </c>
      <c r="GZ81">
        <f ca="1"/>
      </c>
      <c r="HA81">
        <f ca="1"/>
      </c>
      <c r="HB81">
        <f ca="1"/>
      </c>
      <c r="HC81">
        <f ca="1"/>
      </c>
      <c r="HD81">
        <f ca="1"/>
      </c>
      <c r="HE81">
        <f ca="1"/>
      </c>
      <c r="HF81">
        <f ca="1"/>
      </c>
      <c r="HG81">
        <f ca="1"/>
      </c>
      <c r="HH81">
        <f ca="1"/>
      </c>
      <c r="HI81">
        <f ca="1"/>
      </c>
      <c r="HJ81">
        <f ca="1"/>
      </c>
      <c r="HK81">
        <f ca="1"/>
      </c>
      <c r="HL81">
        <f ca="1"/>
      </c>
      <c r="HM81">
        <f ca="1"/>
      </c>
      <c r="HN81">
        <f ca="1"/>
      </c>
      <c r="HO81">
        <f ca="1"/>
      </c>
      <c r="HP81">
        <f ca="1"/>
      </c>
      <c r="HQ81">
        <f ca="1"/>
      </c>
      <c r="HR81">
        <f ca="1"/>
      </c>
      <c r="HS81">
        <f ca="1"/>
      </c>
      <c r="LA81">
        <f ca="1"/>
      </c>
      <c r="LB81">
        <f ca="1"/>
      </c>
      <c r="LC81">
        <f ca="1"/>
      </c>
    </row>
    <row r="82" spans="58:315" x14ac:dyDescent="0.55000000000000004">
      <c r="BF82">
        <f ca="1"/>
      </c>
      <c r="BG82">
        <f ca="1"/>
      </c>
      <c r="BI82">
        <f ca="1"/>
      </c>
      <c r="BJ82" s="11">
        <f ca="1"/>
      </c>
      <c r="BK82" s="11">
        <f ca="1"/>
      </c>
      <c r="BL82" s="11">
        <f ca="1"/>
      </c>
      <c r="BM82" s="11">
        <f ca="1"/>
      </c>
      <c r="BN82" s="11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GX82">
        <f ca="1"/>
      </c>
      <c r="GY82">
        <f ca="1"/>
      </c>
      <c r="GZ82">
        <f ca="1"/>
      </c>
      <c r="HA82">
        <f ca="1"/>
      </c>
      <c r="HB82">
        <f ca="1"/>
      </c>
      <c r="HC82">
        <f ca="1"/>
      </c>
      <c r="HD82">
        <f ca="1"/>
      </c>
      <c r="HE82">
        <f ca="1"/>
      </c>
      <c r="HF82">
        <f ca="1"/>
      </c>
      <c r="HG82">
        <f ca="1"/>
      </c>
      <c r="HH82">
        <f ca="1"/>
      </c>
      <c r="HI82">
        <f ca="1"/>
      </c>
      <c r="HJ82">
        <f ca="1"/>
      </c>
      <c r="HK82">
        <f ca="1"/>
      </c>
      <c r="HL82">
        <f ca="1"/>
      </c>
      <c r="HM82">
        <f ca="1"/>
      </c>
      <c r="HN82">
        <f ca="1"/>
      </c>
      <c r="HO82">
        <f ca="1"/>
      </c>
      <c r="HP82">
        <f ca="1"/>
      </c>
      <c r="HQ82">
        <f ca="1"/>
      </c>
      <c r="HR82">
        <f ca="1"/>
      </c>
      <c r="HS82">
        <f ca="1"/>
      </c>
      <c r="LA82">
        <f ca="1"/>
      </c>
      <c r="LB82">
        <f ca="1"/>
      </c>
      <c r="LC82">
        <f ca="1"/>
      </c>
    </row>
    <row r="83" spans="58:315" x14ac:dyDescent="0.55000000000000004">
      <c r="BF83">
        <f ca="1"/>
      </c>
      <c r="BG83">
        <f ca="1"/>
      </c>
      <c r="BI83">
        <f ca="1"/>
      </c>
      <c r="BJ83" s="11">
        <f ca="1"/>
      </c>
      <c r="BK83" s="11">
        <f ca="1"/>
      </c>
      <c r="BL83" s="11">
        <f ca="1"/>
      </c>
      <c r="BM83" s="11">
        <f ca="1"/>
      </c>
      <c r="BN83" s="11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GX83">
        <f ca="1"/>
      </c>
      <c r="GY83">
        <f ca="1"/>
      </c>
      <c r="GZ83">
        <f ca="1"/>
      </c>
      <c r="HA83">
        <f ca="1"/>
      </c>
      <c r="HB83">
        <f ca="1"/>
      </c>
      <c r="HC83">
        <f ca="1"/>
      </c>
      <c r="HD83">
        <f ca="1"/>
      </c>
      <c r="HE83">
        <f ca="1"/>
      </c>
      <c r="HF83">
        <f ca="1"/>
      </c>
      <c r="HG83">
        <f ca="1"/>
      </c>
      <c r="HH83">
        <f ca="1"/>
      </c>
      <c r="HI83">
        <f ca="1"/>
      </c>
      <c r="HJ83">
        <f ca="1"/>
      </c>
      <c r="HK83">
        <f ca="1"/>
      </c>
      <c r="HL83">
        <f ca="1"/>
      </c>
      <c r="HM83">
        <f ca="1"/>
      </c>
      <c r="HN83">
        <f ca="1"/>
      </c>
      <c r="HO83">
        <f ca="1"/>
      </c>
      <c r="HP83">
        <f ca="1"/>
      </c>
      <c r="HQ83">
        <f ca="1"/>
      </c>
      <c r="HR83">
        <f ca="1"/>
      </c>
      <c r="HS83">
        <f ca="1"/>
      </c>
      <c r="LA83">
        <f ca="1"/>
      </c>
      <c r="LB83">
        <f ca="1"/>
      </c>
      <c r="LC83">
        <f ca="1"/>
      </c>
    </row>
    <row r="84" spans="58:315" x14ac:dyDescent="0.55000000000000004">
      <c r="BF84">
        <f ca="1"/>
      </c>
      <c r="BG84">
        <f ca="1"/>
      </c>
      <c r="BI84">
        <f ca="1"/>
      </c>
      <c r="BJ84" s="11">
        <f ca="1"/>
      </c>
      <c r="BK84" s="11">
        <f ca="1"/>
      </c>
      <c r="BL84" s="11">
        <f ca="1"/>
      </c>
      <c r="BM84" s="11">
        <f ca="1"/>
      </c>
      <c r="BN84" s="11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GX84">
        <f ca="1"/>
      </c>
      <c r="GY84">
        <f ca="1"/>
      </c>
      <c r="GZ84">
        <f ca="1"/>
      </c>
      <c r="HA84">
        <f ca="1"/>
      </c>
      <c r="HB84">
        <f ca="1"/>
      </c>
      <c r="HC84">
        <f ca="1"/>
      </c>
      <c r="HD84">
        <f ca="1"/>
      </c>
      <c r="HE84">
        <f ca="1"/>
      </c>
      <c r="HF84">
        <f ca="1"/>
      </c>
      <c r="HG84">
        <f ca="1"/>
      </c>
      <c r="HH84">
        <f ca="1"/>
      </c>
      <c r="HI84">
        <f ca="1"/>
      </c>
      <c r="HJ84">
        <f ca="1"/>
      </c>
      <c r="HK84">
        <f ca="1"/>
      </c>
      <c r="HL84">
        <f ca="1"/>
      </c>
      <c r="HM84">
        <f ca="1"/>
      </c>
      <c r="HN84">
        <f ca="1"/>
      </c>
      <c r="HO84">
        <f ca="1"/>
      </c>
      <c r="HP84">
        <f ca="1"/>
      </c>
      <c r="HQ84">
        <f ca="1"/>
      </c>
      <c r="HR84">
        <f ca="1"/>
      </c>
      <c r="HS84">
        <f ca="1"/>
      </c>
      <c r="LA84">
        <f ca="1"/>
      </c>
      <c r="LB84">
        <f ca="1"/>
      </c>
      <c r="LC84">
        <f ca="1"/>
      </c>
    </row>
    <row r="85" spans="58:315" x14ac:dyDescent="0.55000000000000004">
      <c r="BF85">
        <f ca="1"/>
      </c>
      <c r="BG85">
        <f ca="1"/>
      </c>
      <c r="BI85">
        <f ca="1"/>
      </c>
      <c r="BJ85" s="11">
        <f ca="1"/>
      </c>
      <c r="BK85" s="11">
        <f ca="1"/>
      </c>
      <c r="BL85" s="11">
        <f ca="1"/>
      </c>
      <c r="BM85" s="11">
        <f ca="1"/>
      </c>
      <c r="BN85" s="11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GX85">
        <f ca="1"/>
      </c>
      <c r="GY85">
        <f ca="1"/>
      </c>
      <c r="GZ85">
        <f ca="1"/>
      </c>
      <c r="HA85">
        <f ca="1"/>
      </c>
      <c r="HB85">
        <f ca="1"/>
      </c>
      <c r="HC85">
        <f ca="1"/>
      </c>
      <c r="HD85">
        <f ca="1"/>
      </c>
      <c r="HE85">
        <f ca="1"/>
      </c>
      <c r="HF85">
        <f ca="1"/>
      </c>
      <c r="HG85">
        <f ca="1"/>
      </c>
      <c r="HH85">
        <f ca="1"/>
      </c>
      <c r="HI85">
        <f ca="1"/>
      </c>
      <c r="HJ85">
        <f ca="1"/>
      </c>
      <c r="HK85">
        <f ca="1"/>
      </c>
      <c r="HL85">
        <f ca="1"/>
      </c>
      <c r="HM85">
        <f ca="1"/>
      </c>
      <c r="HN85">
        <f ca="1"/>
      </c>
      <c r="HO85">
        <f ca="1"/>
      </c>
      <c r="HP85">
        <f ca="1"/>
      </c>
      <c r="HQ85">
        <f ca="1"/>
      </c>
      <c r="HR85">
        <f ca="1"/>
      </c>
      <c r="HS85">
        <f ca="1"/>
      </c>
      <c r="LA85">
        <f ca="1"/>
      </c>
      <c r="LB85">
        <f ca="1"/>
      </c>
      <c r="LC85">
        <f ca="1"/>
      </c>
    </row>
    <row r="86" spans="58:315" x14ac:dyDescent="0.55000000000000004">
      <c r="BF86">
        <f ca="1"/>
      </c>
      <c r="BG86">
        <f ca="1"/>
      </c>
      <c r="BI86">
        <f ca="1"/>
      </c>
      <c r="BJ86" s="11">
        <f ca="1"/>
      </c>
      <c r="BK86" s="11">
        <f ca="1"/>
      </c>
      <c r="BL86" s="11">
        <f ca="1"/>
      </c>
      <c r="BM86" s="11">
        <f ca="1"/>
      </c>
      <c r="BN86" s="11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GX86">
        <f ca="1"/>
      </c>
      <c r="GY86">
        <f ca="1"/>
      </c>
      <c r="GZ86">
        <f ca="1"/>
      </c>
      <c r="HA86">
        <f ca="1"/>
      </c>
      <c r="HB86">
        <f ca="1"/>
      </c>
      <c r="HC86">
        <f ca="1"/>
      </c>
      <c r="HD86">
        <f ca="1"/>
      </c>
      <c r="HE86">
        <f ca="1"/>
      </c>
      <c r="HF86">
        <f ca="1"/>
      </c>
      <c r="HG86">
        <f ca="1"/>
      </c>
      <c r="HH86">
        <f ca="1"/>
      </c>
      <c r="HI86">
        <f ca="1"/>
      </c>
      <c r="HJ86">
        <f ca="1"/>
      </c>
      <c r="HK86">
        <f ca="1"/>
      </c>
      <c r="HL86">
        <f ca="1"/>
      </c>
      <c r="HM86">
        <f ca="1"/>
      </c>
      <c r="HN86">
        <f ca="1"/>
      </c>
      <c r="HO86">
        <f ca="1"/>
      </c>
      <c r="HP86">
        <f ca="1"/>
      </c>
      <c r="HQ86">
        <f ca="1"/>
      </c>
      <c r="HR86">
        <f ca="1"/>
      </c>
      <c r="HS86">
        <f ca="1"/>
      </c>
      <c r="LA86">
        <f ca="1"/>
      </c>
      <c r="LB86">
        <f ca="1"/>
      </c>
      <c r="LC86">
        <f ca="1"/>
      </c>
    </row>
    <row r="87" spans="58:315" x14ac:dyDescent="0.55000000000000004">
      <c r="BF87">
        <f ca="1"/>
      </c>
      <c r="BG87">
        <f ca="1"/>
      </c>
      <c r="BI87">
        <f ca="1"/>
      </c>
      <c r="BJ87" s="11">
        <f ca="1"/>
      </c>
      <c r="BK87" s="11">
        <f ca="1"/>
      </c>
      <c r="BL87" s="11">
        <f ca="1"/>
      </c>
      <c r="BM87" s="11">
        <f ca="1"/>
      </c>
      <c r="BN87" s="11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GX87">
        <f ca="1"/>
      </c>
      <c r="GY87">
        <f ca="1"/>
      </c>
      <c r="GZ87">
        <f ca="1"/>
      </c>
      <c r="HA87">
        <f ca="1"/>
      </c>
      <c r="HB87">
        <f ca="1"/>
      </c>
      <c r="HC87">
        <f ca="1"/>
      </c>
      <c r="HD87">
        <f ca="1"/>
      </c>
      <c r="HE87">
        <f ca="1"/>
      </c>
      <c r="HF87">
        <f ca="1"/>
      </c>
      <c r="HG87">
        <f ca="1"/>
      </c>
      <c r="HH87">
        <f ca="1"/>
      </c>
      <c r="HI87">
        <f ca="1"/>
      </c>
      <c r="HJ87">
        <f ca="1"/>
      </c>
      <c r="HK87">
        <f ca="1"/>
      </c>
      <c r="HL87">
        <f ca="1"/>
      </c>
      <c r="HM87">
        <f ca="1"/>
      </c>
      <c r="HN87">
        <f ca="1"/>
      </c>
      <c r="HO87">
        <f ca="1"/>
      </c>
      <c r="HP87">
        <f ca="1"/>
      </c>
      <c r="HQ87">
        <f ca="1"/>
      </c>
      <c r="HR87">
        <f ca="1"/>
      </c>
      <c r="HS87">
        <f ca="1"/>
      </c>
      <c r="LA87">
        <f ca="1"/>
      </c>
      <c r="LB87">
        <f ca="1"/>
      </c>
      <c r="LC87">
        <f ca="1"/>
      </c>
    </row>
    <row r="88" spans="58:315" x14ac:dyDescent="0.55000000000000004">
      <c r="BF88">
        <f ca="1"/>
      </c>
      <c r="BG88">
        <f ca="1"/>
      </c>
      <c r="BI88">
        <f ca="1"/>
      </c>
      <c r="BJ88" s="11">
        <f ca="1"/>
      </c>
      <c r="BK88" s="11">
        <f ca="1"/>
      </c>
      <c r="BL88" s="11">
        <f ca="1"/>
      </c>
      <c r="BM88" s="11">
        <f ca="1"/>
      </c>
      <c r="BN88" s="11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GX88">
        <f ca="1"/>
      </c>
      <c r="GY88">
        <f ca="1"/>
      </c>
      <c r="GZ88">
        <f ca="1"/>
      </c>
      <c r="HA88">
        <f ca="1"/>
      </c>
      <c r="HB88">
        <f ca="1"/>
      </c>
      <c r="HC88">
        <f ca="1"/>
      </c>
      <c r="HD88">
        <f ca="1"/>
      </c>
      <c r="HE88">
        <f ca="1"/>
      </c>
      <c r="HF88">
        <f ca="1"/>
      </c>
      <c r="HG88">
        <f ca="1"/>
      </c>
      <c r="HH88">
        <f ca="1"/>
      </c>
      <c r="HI88">
        <f ca="1"/>
      </c>
      <c r="HJ88">
        <f ca="1"/>
      </c>
      <c r="HK88">
        <f ca="1"/>
      </c>
      <c r="HL88">
        <f ca="1"/>
      </c>
      <c r="HM88">
        <f ca="1"/>
      </c>
      <c r="HN88">
        <f ca="1"/>
      </c>
      <c r="HO88">
        <f ca="1"/>
      </c>
      <c r="HP88">
        <f ca="1"/>
      </c>
      <c r="HQ88">
        <f ca="1"/>
      </c>
      <c r="HR88">
        <f ca="1"/>
      </c>
      <c r="HS88">
        <f ca="1"/>
      </c>
      <c r="LA88">
        <f ca="1"/>
      </c>
      <c r="LB88">
        <f ca="1"/>
      </c>
      <c r="LC88">
        <f ca="1"/>
      </c>
    </row>
    <row r="89" spans="58:315" x14ac:dyDescent="0.55000000000000004">
      <c r="BF89">
        <f ca="1"/>
      </c>
      <c r="BG89">
        <f ca="1"/>
      </c>
      <c r="BI89">
        <f ca="1"/>
      </c>
      <c r="BJ89" s="11">
        <f ca="1"/>
      </c>
      <c r="BK89" s="11">
        <f ca="1"/>
      </c>
      <c r="BL89" s="11">
        <f ca="1"/>
      </c>
      <c r="BM89" s="11">
        <f ca="1"/>
      </c>
      <c r="BN89" s="11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GX89">
        <f ca="1"/>
      </c>
      <c r="GY89">
        <f ca="1"/>
      </c>
      <c r="GZ89">
        <f ca="1"/>
      </c>
      <c r="HA89">
        <f ca="1"/>
      </c>
      <c r="HB89">
        <f ca="1"/>
      </c>
      <c r="HC89">
        <f ca="1"/>
      </c>
      <c r="HD89">
        <f ca="1"/>
      </c>
      <c r="HE89">
        <f ca="1"/>
      </c>
      <c r="HF89">
        <f ca="1"/>
      </c>
      <c r="HG89">
        <f ca="1"/>
      </c>
      <c r="HH89">
        <f ca="1"/>
      </c>
      <c r="HI89">
        <f ca="1"/>
      </c>
      <c r="HJ89">
        <f ca="1"/>
      </c>
      <c r="HK89">
        <f ca="1"/>
      </c>
      <c r="HL89">
        <f ca="1"/>
      </c>
      <c r="HM89">
        <f ca="1"/>
      </c>
      <c r="HN89">
        <f ca="1"/>
      </c>
      <c r="HO89">
        <f ca="1"/>
      </c>
      <c r="HP89">
        <f ca="1"/>
      </c>
      <c r="HQ89">
        <f ca="1"/>
      </c>
      <c r="HR89">
        <f ca="1"/>
      </c>
      <c r="HS89">
        <f ca="1"/>
      </c>
      <c r="LA89">
        <f ca="1"/>
      </c>
      <c r="LB89">
        <f ca="1"/>
      </c>
      <c r="LC89">
        <f ca="1"/>
      </c>
    </row>
    <row r="90" spans="58:315" x14ac:dyDescent="0.55000000000000004">
      <c r="BF90">
        <f ca="1"/>
      </c>
      <c r="BG90">
        <f ca="1"/>
      </c>
      <c r="BI90">
        <f ca="1"/>
      </c>
      <c r="BJ90" s="11">
        <f ca="1"/>
      </c>
      <c r="BK90" s="11">
        <f ca="1"/>
      </c>
      <c r="BL90" s="11">
        <f ca="1"/>
      </c>
      <c r="BM90" s="11">
        <f ca="1"/>
      </c>
      <c r="BN90" s="11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GX90">
        <f ca="1"/>
      </c>
      <c r="GY90">
        <f ca="1"/>
      </c>
      <c r="GZ90">
        <f ca="1"/>
      </c>
      <c r="HA90">
        <f ca="1"/>
      </c>
      <c r="HB90">
        <f ca="1"/>
      </c>
      <c r="HC90">
        <f ca="1"/>
      </c>
      <c r="HD90">
        <f ca="1"/>
      </c>
      <c r="HE90">
        <f ca="1"/>
      </c>
      <c r="HF90">
        <f ca="1"/>
      </c>
      <c r="HG90">
        <f ca="1"/>
      </c>
      <c r="HH90">
        <f ca="1"/>
      </c>
      <c r="HI90">
        <f ca="1"/>
      </c>
      <c r="HJ90">
        <f ca="1"/>
      </c>
      <c r="HK90">
        <f ca="1"/>
      </c>
      <c r="HL90">
        <f ca="1"/>
      </c>
      <c r="HM90">
        <f ca="1"/>
      </c>
      <c r="HN90">
        <f ca="1"/>
      </c>
      <c r="HO90">
        <f ca="1"/>
      </c>
      <c r="HP90">
        <f ca="1"/>
      </c>
      <c r="HQ90">
        <f ca="1"/>
      </c>
      <c r="HR90">
        <f ca="1"/>
      </c>
      <c r="HS90">
        <f ca="1"/>
      </c>
      <c r="LA90">
        <f ca="1"/>
      </c>
      <c r="LB90">
        <f ca="1"/>
      </c>
      <c r="LC90">
        <f ca="1"/>
      </c>
    </row>
    <row r="91" spans="58:315" x14ac:dyDescent="0.55000000000000004">
      <c r="BF91">
        <f ca="1"/>
      </c>
      <c r="BG91">
        <f ca="1"/>
      </c>
      <c r="BI91">
        <f ca="1"/>
      </c>
      <c r="BJ91" s="11">
        <f ca="1"/>
      </c>
      <c r="BK91" s="11">
        <f ca="1"/>
      </c>
      <c r="BL91" s="11">
        <f ca="1"/>
      </c>
      <c r="BM91" s="11">
        <f ca="1"/>
      </c>
      <c r="BN91" s="1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GX91">
        <f ca="1"/>
      </c>
      <c r="GY91">
        <f ca="1"/>
      </c>
      <c r="GZ91">
        <f ca="1"/>
      </c>
      <c r="HA91">
        <f ca="1"/>
      </c>
      <c r="HB91">
        <f ca="1"/>
      </c>
      <c r="HC91">
        <f ca="1"/>
      </c>
      <c r="HD91">
        <f ca="1"/>
      </c>
      <c r="HE91">
        <f ca="1"/>
      </c>
      <c r="HF91">
        <f ca="1"/>
      </c>
      <c r="HG91">
        <f ca="1"/>
      </c>
      <c r="HH91">
        <f ca="1"/>
      </c>
      <c r="HI91">
        <f ca="1"/>
      </c>
      <c r="HJ91">
        <f ca="1"/>
      </c>
      <c r="HK91">
        <f ca="1"/>
      </c>
      <c r="HL91">
        <f ca="1"/>
      </c>
      <c r="HM91">
        <f ca="1"/>
      </c>
      <c r="HN91">
        <f ca="1"/>
      </c>
      <c r="HO91">
        <f ca="1"/>
      </c>
      <c r="HP91">
        <f ca="1"/>
      </c>
      <c r="HQ91">
        <f ca="1"/>
      </c>
      <c r="HR91">
        <f ca="1"/>
      </c>
      <c r="HS91">
        <f ca="1"/>
      </c>
      <c r="LA91">
        <f ca="1"/>
      </c>
      <c r="LB91">
        <f ca="1"/>
      </c>
      <c r="LC91">
        <f ca="1"/>
      </c>
    </row>
    <row r="92" spans="58:315" x14ac:dyDescent="0.55000000000000004">
      <c r="BF92">
        <f ca="1"/>
      </c>
      <c r="BG92">
        <f ca="1"/>
      </c>
      <c r="BI92">
        <f ca="1"/>
      </c>
      <c r="BJ92" s="11">
        <f ca="1"/>
      </c>
      <c r="BK92" s="11">
        <f ca="1"/>
      </c>
      <c r="BL92" s="11">
        <f ca="1"/>
      </c>
      <c r="BM92" s="11">
        <f ca="1"/>
      </c>
      <c r="BN92" s="11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GX92">
        <f ca="1"/>
      </c>
      <c r="GY92">
        <f ca="1"/>
      </c>
      <c r="GZ92">
        <f ca="1"/>
      </c>
      <c r="HA92">
        <f ca="1"/>
      </c>
      <c r="HB92">
        <f ca="1"/>
      </c>
      <c r="HC92">
        <f ca="1"/>
      </c>
      <c r="HD92">
        <f ca="1"/>
      </c>
      <c r="HE92">
        <f ca="1"/>
      </c>
      <c r="HF92">
        <f ca="1"/>
      </c>
      <c r="HG92">
        <f ca="1"/>
      </c>
      <c r="HH92">
        <f ca="1"/>
      </c>
      <c r="HI92">
        <f ca="1"/>
      </c>
      <c r="HJ92">
        <f ca="1"/>
      </c>
      <c r="HK92">
        <f ca="1"/>
      </c>
      <c r="HL92">
        <f ca="1"/>
      </c>
      <c r="HM92">
        <f ca="1"/>
      </c>
      <c r="HN92">
        <f ca="1"/>
      </c>
      <c r="HO92">
        <f ca="1"/>
      </c>
      <c r="HP92">
        <f ca="1"/>
      </c>
      <c r="HQ92">
        <f ca="1"/>
      </c>
      <c r="HR92">
        <f ca="1"/>
      </c>
      <c r="HS92">
        <f ca="1"/>
      </c>
      <c r="LA92">
        <f ca="1"/>
      </c>
      <c r="LB92">
        <f ca="1"/>
      </c>
      <c r="LC92">
        <f ca="1"/>
      </c>
    </row>
    <row r="93" spans="58:315" x14ac:dyDescent="0.55000000000000004">
      <c r="BF93">
        <f ca="1"/>
      </c>
      <c r="BG93">
        <f ca="1"/>
      </c>
      <c r="BI93">
        <f ca="1"/>
      </c>
      <c r="BJ93" s="11">
        <f ca="1"/>
      </c>
      <c r="BK93" s="11">
        <f ca="1"/>
      </c>
      <c r="BL93" s="11">
        <f ca="1"/>
      </c>
      <c r="BM93" s="11">
        <f ca="1"/>
      </c>
      <c r="BN93" s="11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GX93">
        <f ca="1"/>
      </c>
      <c r="GY93">
        <f ca="1"/>
      </c>
      <c r="GZ93">
        <f ca="1"/>
      </c>
      <c r="HA93">
        <f ca="1"/>
      </c>
      <c r="HB93">
        <f ca="1"/>
      </c>
      <c r="HC93">
        <f ca="1"/>
      </c>
      <c r="HD93">
        <f ca="1"/>
      </c>
      <c r="HE93">
        <f ca="1"/>
      </c>
      <c r="HF93">
        <f ca="1"/>
      </c>
      <c r="HG93">
        <f ca="1"/>
      </c>
      <c r="HH93">
        <f ca="1"/>
      </c>
      <c r="HI93">
        <f ca="1"/>
      </c>
      <c r="HJ93">
        <f ca="1"/>
      </c>
      <c r="HK93">
        <f ca="1"/>
      </c>
      <c r="HL93">
        <f ca="1"/>
      </c>
      <c r="HM93">
        <f ca="1"/>
      </c>
      <c r="HN93">
        <f ca="1"/>
      </c>
      <c r="HO93">
        <f ca="1"/>
      </c>
      <c r="HP93">
        <f ca="1"/>
      </c>
      <c r="HQ93">
        <f ca="1"/>
      </c>
      <c r="HR93">
        <f ca="1"/>
      </c>
      <c r="HS93">
        <f ca="1"/>
      </c>
      <c r="LA93">
        <f ca="1"/>
      </c>
      <c r="LB93">
        <f ca="1"/>
      </c>
      <c r="LC93">
        <f ca="1"/>
      </c>
    </row>
    <row r="94" spans="58:315" x14ac:dyDescent="0.55000000000000004">
      <c r="BF94">
        <f ca="1"/>
      </c>
      <c r="BG94">
        <f ca="1"/>
      </c>
      <c r="BI94">
        <f ca="1"/>
      </c>
      <c r="BJ94" s="11">
        <f ca="1"/>
      </c>
      <c r="BK94" s="11">
        <f ca="1"/>
      </c>
      <c r="BL94" s="11">
        <f ca="1"/>
      </c>
      <c r="BM94" s="11">
        <f ca="1"/>
      </c>
      <c r="BN94" s="11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GX94">
        <f ca="1"/>
      </c>
      <c r="GY94">
        <f ca="1"/>
      </c>
      <c r="GZ94">
        <f ca="1"/>
      </c>
      <c r="HA94">
        <f ca="1"/>
      </c>
      <c r="HB94">
        <f ca="1"/>
      </c>
      <c r="HC94">
        <f ca="1"/>
      </c>
      <c r="HD94">
        <f ca="1"/>
      </c>
      <c r="HE94">
        <f ca="1"/>
      </c>
      <c r="HF94">
        <f ca="1"/>
      </c>
      <c r="HG94">
        <f ca="1"/>
      </c>
      <c r="HH94">
        <f ca="1"/>
      </c>
      <c r="HI94">
        <f ca="1"/>
      </c>
      <c r="HJ94">
        <f ca="1"/>
      </c>
      <c r="HK94">
        <f ca="1"/>
      </c>
      <c r="HL94">
        <f ca="1"/>
      </c>
      <c r="HM94">
        <f ca="1"/>
      </c>
      <c r="HN94">
        <f ca="1"/>
      </c>
      <c r="HO94">
        <f ca="1"/>
      </c>
      <c r="HP94">
        <f ca="1"/>
      </c>
      <c r="HQ94">
        <f ca="1"/>
      </c>
      <c r="HR94">
        <f ca="1"/>
      </c>
      <c r="HS94">
        <f ca="1"/>
      </c>
      <c r="LA94">
        <f ca="1"/>
      </c>
      <c r="LB94">
        <f ca="1"/>
      </c>
      <c r="LC94">
        <f ca="1"/>
      </c>
    </row>
    <row r="95" spans="58:315" x14ac:dyDescent="0.55000000000000004">
      <c r="BF95">
        <f ca="1"/>
      </c>
      <c r="BG95">
        <f ca="1"/>
      </c>
      <c r="BI95">
        <f ca="1"/>
      </c>
      <c r="BJ95" s="11">
        <f ca="1"/>
      </c>
      <c r="BK95" s="11">
        <f ca="1"/>
      </c>
      <c r="BL95" s="11">
        <f ca="1"/>
      </c>
      <c r="BM95" s="11">
        <f ca="1"/>
      </c>
      <c r="BN95" s="11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GX95">
        <f ca="1"/>
      </c>
      <c r="GY95">
        <f ca="1"/>
      </c>
      <c r="GZ95">
        <f ca="1"/>
      </c>
      <c r="HA95">
        <f ca="1"/>
      </c>
      <c r="HB95">
        <f ca="1"/>
      </c>
      <c r="HC95">
        <f ca="1"/>
      </c>
      <c r="HD95">
        <f ca="1"/>
      </c>
      <c r="HE95">
        <f ca="1"/>
      </c>
      <c r="HF95">
        <f ca="1"/>
      </c>
      <c r="HG95">
        <f ca="1"/>
      </c>
      <c r="HH95">
        <f ca="1"/>
      </c>
      <c r="HI95">
        <f ca="1"/>
      </c>
      <c r="HJ95">
        <f ca="1"/>
      </c>
      <c r="HK95">
        <f ca="1"/>
      </c>
      <c r="HL95">
        <f ca="1"/>
      </c>
      <c r="HM95">
        <f ca="1"/>
      </c>
      <c r="HN95">
        <f ca="1"/>
      </c>
      <c r="HO95">
        <f ca="1"/>
      </c>
      <c r="HP95">
        <f ca="1"/>
      </c>
      <c r="HQ95">
        <f ca="1"/>
      </c>
      <c r="HR95">
        <f ca="1"/>
      </c>
      <c r="HS95">
        <f ca="1"/>
      </c>
      <c r="LA95">
        <f ca="1"/>
      </c>
      <c r="LB95">
        <f ca="1"/>
      </c>
      <c r="LC95">
        <f ca="1"/>
      </c>
    </row>
    <row r="96" spans="58:315" x14ac:dyDescent="0.55000000000000004">
      <c r="BF96">
        <f ca="1"/>
      </c>
      <c r="BG96">
        <f ca="1"/>
      </c>
      <c r="BI96">
        <f ca="1"/>
      </c>
      <c r="BJ96" s="11">
        <f ca="1"/>
      </c>
      <c r="BK96" s="11">
        <f ca="1"/>
      </c>
      <c r="BL96" s="11">
        <f ca="1"/>
      </c>
      <c r="BM96" s="11">
        <f ca="1"/>
      </c>
      <c r="BN96" s="11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GX96">
        <f ca="1"/>
      </c>
      <c r="GY96">
        <f ca="1"/>
      </c>
      <c r="GZ96">
        <f ca="1"/>
      </c>
      <c r="HA96">
        <f ca="1"/>
      </c>
      <c r="HB96">
        <f ca="1"/>
      </c>
      <c r="HC96">
        <f ca="1"/>
      </c>
      <c r="HD96">
        <f ca="1"/>
      </c>
      <c r="HE96">
        <f ca="1"/>
      </c>
      <c r="HF96">
        <f ca="1"/>
      </c>
      <c r="HG96">
        <f ca="1"/>
      </c>
      <c r="HH96">
        <f ca="1"/>
      </c>
      <c r="HI96">
        <f ca="1"/>
      </c>
      <c r="HJ96">
        <f ca="1"/>
      </c>
      <c r="HK96">
        <f ca="1"/>
      </c>
      <c r="HL96">
        <f ca="1"/>
      </c>
      <c r="HM96">
        <f ca="1"/>
      </c>
      <c r="HN96">
        <f ca="1"/>
      </c>
      <c r="HO96">
        <f ca="1"/>
      </c>
      <c r="HP96">
        <f ca="1"/>
      </c>
      <c r="HQ96">
        <f ca="1"/>
      </c>
      <c r="HR96">
        <f ca="1"/>
      </c>
      <c r="HS96">
        <f ca="1"/>
      </c>
      <c r="LA96">
        <f ca="1"/>
      </c>
      <c r="LB96">
        <f ca="1"/>
      </c>
      <c r="LC96">
        <f ca="1"/>
      </c>
    </row>
    <row r="97" spans="58:315" x14ac:dyDescent="0.55000000000000004">
      <c r="BF97">
        <f ca="1"/>
      </c>
      <c r="BG97">
        <f ca="1"/>
      </c>
      <c r="BI97">
        <f ca="1"/>
      </c>
      <c r="BJ97" s="11">
        <f ca="1"/>
      </c>
      <c r="BK97" s="11">
        <f ca="1"/>
      </c>
      <c r="BL97" s="11">
        <f ca="1"/>
      </c>
      <c r="BM97" s="11">
        <f ca="1"/>
      </c>
      <c r="BN97" s="11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GX97">
        <f ca="1"/>
      </c>
      <c r="GY97">
        <f ca="1"/>
      </c>
      <c r="GZ97">
        <f ca="1"/>
      </c>
      <c r="HA97">
        <f ca="1"/>
      </c>
      <c r="HB97">
        <f ca="1"/>
      </c>
      <c r="HC97">
        <f ca="1"/>
      </c>
      <c r="HD97">
        <f ca="1"/>
      </c>
      <c r="HE97">
        <f ca="1"/>
      </c>
      <c r="HF97">
        <f ca="1"/>
      </c>
      <c r="HG97">
        <f ca="1"/>
      </c>
      <c r="HH97">
        <f ca="1"/>
      </c>
      <c r="HI97">
        <f ca="1"/>
      </c>
      <c r="HJ97">
        <f ca="1"/>
      </c>
      <c r="HK97">
        <f ca="1"/>
      </c>
      <c r="HL97">
        <f ca="1"/>
      </c>
      <c r="HM97">
        <f ca="1"/>
      </c>
      <c r="HN97">
        <f ca="1"/>
      </c>
      <c r="HO97">
        <f ca="1"/>
      </c>
      <c r="HP97">
        <f ca="1"/>
      </c>
      <c r="HQ97">
        <f ca="1"/>
      </c>
      <c r="HR97">
        <f ca="1"/>
      </c>
      <c r="HS97">
        <f ca="1"/>
      </c>
      <c r="LA97">
        <f ca="1"/>
      </c>
      <c r="LB97">
        <f ca="1"/>
      </c>
      <c r="LC97">
        <f ca="1"/>
      </c>
    </row>
    <row r="98" spans="58:315" x14ac:dyDescent="0.55000000000000004">
      <c r="BF98">
        <f ca="1"/>
      </c>
      <c r="BG98">
        <f ca="1"/>
      </c>
      <c r="BI98">
        <f ca="1"/>
      </c>
      <c r="BJ98" s="11">
        <f ca="1"/>
      </c>
      <c r="BK98" s="11">
        <f ca="1"/>
      </c>
      <c r="BL98" s="11">
        <f ca="1"/>
      </c>
      <c r="BM98" s="11">
        <f ca="1"/>
      </c>
      <c r="BN98" s="11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GX98">
        <f ca="1"/>
      </c>
      <c r="GY98">
        <f ca="1"/>
      </c>
      <c r="GZ98">
        <f ca="1"/>
      </c>
      <c r="HA98">
        <f ca="1"/>
      </c>
      <c r="HB98">
        <f ca="1"/>
      </c>
      <c r="HC98">
        <f ca="1"/>
      </c>
      <c r="HD98">
        <f ca="1"/>
      </c>
      <c r="HE98">
        <f ca="1"/>
      </c>
      <c r="HF98">
        <f ca="1"/>
      </c>
      <c r="HG98">
        <f ca="1"/>
      </c>
      <c r="HH98">
        <f ca="1"/>
      </c>
      <c r="HI98">
        <f ca="1"/>
      </c>
      <c r="HJ98">
        <f ca="1"/>
      </c>
      <c r="HK98">
        <f ca="1"/>
      </c>
      <c r="HL98">
        <f ca="1"/>
      </c>
      <c r="HM98">
        <f ca="1"/>
      </c>
      <c r="HN98">
        <f ca="1"/>
      </c>
      <c r="HO98">
        <f ca="1"/>
      </c>
      <c r="HP98">
        <f ca="1"/>
      </c>
      <c r="HQ98">
        <f ca="1"/>
      </c>
      <c r="HR98">
        <f ca="1"/>
      </c>
      <c r="HS98">
        <f ca="1"/>
      </c>
      <c r="LA98">
        <f ca="1"/>
      </c>
      <c r="LB98">
        <f ca="1"/>
      </c>
      <c r="LC98">
        <f ca="1"/>
      </c>
    </row>
    <row r="99" spans="58:315" x14ac:dyDescent="0.55000000000000004">
      <c r="BF99">
        <f ca="1"/>
      </c>
      <c r="BG99">
        <f ca="1"/>
      </c>
      <c r="BI99">
        <f ca="1"/>
      </c>
      <c r="BJ99" s="11">
        <f ca="1"/>
      </c>
      <c r="BK99" s="11">
        <f ca="1"/>
      </c>
      <c r="BL99" s="11">
        <f ca="1"/>
      </c>
      <c r="BM99" s="11">
        <f ca="1"/>
      </c>
      <c r="BN99" s="11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GX99">
        <f ca="1"/>
      </c>
      <c r="GY99">
        <f ca="1"/>
      </c>
      <c r="GZ99">
        <f ca="1"/>
      </c>
      <c r="HA99">
        <f ca="1"/>
      </c>
      <c r="HB99">
        <f ca="1"/>
      </c>
      <c r="HC99">
        <f ca="1"/>
      </c>
      <c r="HD99">
        <f ca="1"/>
      </c>
      <c r="HE99">
        <f ca="1"/>
      </c>
      <c r="HF99">
        <f ca="1"/>
      </c>
      <c r="HG99">
        <f ca="1"/>
      </c>
      <c r="HH99">
        <f ca="1"/>
      </c>
      <c r="HI99">
        <f ca="1"/>
      </c>
      <c r="HJ99">
        <f ca="1"/>
      </c>
      <c r="HK99">
        <f ca="1"/>
      </c>
      <c r="HL99">
        <f ca="1"/>
      </c>
      <c r="HM99">
        <f ca="1"/>
      </c>
      <c r="HN99">
        <f ca="1"/>
      </c>
      <c r="HO99">
        <f ca="1"/>
      </c>
      <c r="HP99">
        <f ca="1"/>
      </c>
      <c r="HQ99">
        <f ca="1"/>
      </c>
      <c r="HR99">
        <f ca="1"/>
      </c>
      <c r="HS99">
        <f ca="1"/>
      </c>
      <c r="LA99">
        <f ca="1"/>
      </c>
      <c r="LB99">
        <f ca="1"/>
      </c>
      <c r="LC99">
        <f ca="1"/>
      </c>
    </row>
    <row r="100" spans="58:315" x14ac:dyDescent="0.55000000000000004">
      <c r="BF100">
        <f ca="1"/>
      </c>
      <c r="BG100">
        <f ca="1"/>
      </c>
      <c r="BI100">
        <f ca="1"/>
      </c>
      <c r="BJ100" s="11">
        <f ca="1"/>
      </c>
      <c r="BK100" s="11">
        <f ca="1"/>
      </c>
      <c r="BL100" s="11">
        <f ca="1"/>
      </c>
      <c r="BM100" s="11">
        <f ca="1"/>
      </c>
      <c r="BN100" s="11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GX100">
        <f ca="1"/>
      </c>
      <c r="GY100">
        <f ca="1"/>
      </c>
      <c r="GZ100">
        <f ca="1"/>
      </c>
      <c r="HA100">
        <f ca="1"/>
      </c>
      <c r="HB100">
        <f ca="1"/>
      </c>
      <c r="HC100">
        <f ca="1"/>
      </c>
      <c r="HD100">
        <f ca="1"/>
      </c>
      <c r="HE100">
        <f ca="1"/>
      </c>
      <c r="HF100">
        <f ca="1"/>
      </c>
      <c r="HG100">
        <f ca="1"/>
      </c>
      <c r="HH100">
        <f ca="1"/>
      </c>
      <c r="HI100">
        <f ca="1"/>
      </c>
      <c r="HJ100">
        <f ca="1"/>
      </c>
      <c r="HK100">
        <f ca="1"/>
      </c>
      <c r="HL100">
        <f ca="1"/>
      </c>
      <c r="HM100">
        <f ca="1"/>
      </c>
      <c r="HN100">
        <f ca="1"/>
      </c>
      <c r="HO100">
        <f ca="1"/>
      </c>
      <c r="HP100">
        <f ca="1"/>
      </c>
      <c r="HQ100">
        <f ca="1"/>
      </c>
      <c r="HR100">
        <f ca="1"/>
      </c>
      <c r="HS100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F101">
        <f ca="1"/>
      </c>
      <c r="BG101">
        <f ca="1"/>
      </c>
      <c r="BI101">
        <f ca="1"/>
      </c>
      <c r="BJ101" s="11">
        <f ca="1"/>
      </c>
      <c r="BK101" s="11">
        <f ca="1"/>
      </c>
      <c r="BL101" s="11">
        <f ca="1"/>
      </c>
      <c r="BM101" s="11">
        <f ca="1"/>
      </c>
      <c r="BN101" s="1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GX101">
        <f ca="1"/>
      </c>
      <c r="GY101">
        <f ca="1"/>
      </c>
      <c r="GZ101">
        <f ca="1"/>
      </c>
      <c r="HA101">
        <f ca="1"/>
      </c>
      <c r="HB101">
        <f ca="1"/>
      </c>
      <c r="HC101">
        <f ca="1"/>
      </c>
      <c r="HD101">
        <f ca="1"/>
      </c>
      <c r="HE101">
        <f ca="1"/>
      </c>
      <c r="HF101">
        <f ca="1"/>
      </c>
      <c r="HG101">
        <f ca="1"/>
      </c>
      <c r="HH101">
        <f ca="1"/>
      </c>
      <c r="HI101">
        <f ca="1"/>
      </c>
      <c r="HJ101">
        <f ca="1"/>
      </c>
      <c r="HK101">
        <f ca="1"/>
      </c>
      <c r="HL101">
        <f ca="1"/>
      </c>
      <c r="HM101">
        <f ca="1"/>
      </c>
      <c r="HN101">
        <f ca="1"/>
      </c>
      <c r="HO101">
        <f ca="1"/>
      </c>
      <c r="HP101">
        <f ca="1"/>
      </c>
      <c r="HQ101">
        <f ca="1"/>
      </c>
      <c r="HR101">
        <f ca="1"/>
      </c>
      <c r="HS10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F102">
        <f ca="1"/>
      </c>
      <c r="BG102">
        <f ca="1"/>
      </c>
      <c r="BI102">
        <f ca="1"/>
      </c>
      <c r="BJ102" s="11">
        <f ca="1"/>
      </c>
      <c r="BK102" s="11">
        <f ca="1"/>
      </c>
      <c r="BL102" s="11">
        <f ca="1"/>
      </c>
      <c r="BM102" s="11">
        <f ca="1"/>
      </c>
      <c r="BN102" s="11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GX102">
        <f ca="1"/>
      </c>
      <c r="GY102">
        <f ca="1"/>
      </c>
      <c r="GZ102">
        <f ca="1"/>
      </c>
      <c r="HA102">
        <f ca="1"/>
      </c>
      <c r="HB102">
        <f ca="1"/>
      </c>
      <c r="HC102">
        <f ca="1"/>
      </c>
      <c r="HD102">
        <f ca="1"/>
      </c>
      <c r="HE102">
        <f ca="1"/>
      </c>
      <c r="HF102">
        <f ca="1"/>
      </c>
      <c r="HG102">
        <f ca="1"/>
      </c>
      <c r="HH102">
        <f ca="1"/>
      </c>
      <c r="HI102">
        <f ca="1"/>
      </c>
      <c r="HJ102">
        <f ca="1"/>
      </c>
      <c r="HK102">
        <f ca="1"/>
      </c>
      <c r="HL102">
        <f ca="1"/>
      </c>
      <c r="HM102">
        <f ca="1"/>
      </c>
      <c r="HN102">
        <f ca="1"/>
      </c>
      <c r="HO102">
        <f ca="1"/>
      </c>
      <c r="HP102">
        <f ca="1"/>
      </c>
      <c r="HQ102">
        <f ca="1"/>
      </c>
      <c r="HR102">
        <f ca="1"/>
      </c>
      <c r="HS102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F103">
        <f ca="1"/>
      </c>
      <c r="BG103">
        <f ca="1"/>
      </c>
      <c r="BI103">
        <f ca="1"/>
      </c>
      <c r="BJ103" s="11">
        <f ca="1"/>
      </c>
      <c r="BK103" s="11">
        <f ca="1"/>
      </c>
      <c r="BL103" s="11">
        <f ca="1"/>
      </c>
      <c r="BM103" s="11">
        <f ca="1"/>
      </c>
      <c r="BN103" s="11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GX103">
        <f ca="1"/>
      </c>
      <c r="GY103">
        <f ca="1"/>
      </c>
      <c r="GZ103">
        <f ca="1"/>
      </c>
      <c r="HA103">
        <f ca="1"/>
      </c>
      <c r="HB103">
        <f ca="1"/>
      </c>
      <c r="HC103">
        <f ca="1"/>
      </c>
      <c r="HD103">
        <f ca="1"/>
      </c>
      <c r="HE103">
        <f ca="1"/>
      </c>
      <c r="HF103">
        <f ca="1"/>
      </c>
      <c r="HG103">
        <f ca="1"/>
      </c>
      <c r="HH103">
        <f ca="1"/>
      </c>
      <c r="HI103">
        <f ca="1"/>
      </c>
      <c r="HJ103">
        <f ca="1"/>
      </c>
      <c r="HK103">
        <f ca="1"/>
      </c>
      <c r="HL103">
        <f ca="1"/>
      </c>
      <c r="HM103">
        <f ca="1"/>
      </c>
      <c r="HN103">
        <f ca="1"/>
      </c>
      <c r="HO103">
        <f ca="1"/>
      </c>
      <c r="HP103">
        <f ca="1"/>
      </c>
      <c r="HQ103">
        <f ca="1"/>
      </c>
      <c r="HR103">
        <f ca="1"/>
      </c>
      <c r="HS103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F104">
        <f ca="1"/>
      </c>
      <c r="BG104">
        <f ca="1"/>
      </c>
      <c r="BI104">
        <f ca="1"/>
      </c>
      <c r="BJ104" s="11">
        <f ca="1"/>
      </c>
      <c r="BK104" s="11">
        <f ca="1"/>
      </c>
      <c r="BL104" s="11">
        <f ca="1"/>
      </c>
      <c r="BM104" s="11">
        <f ca="1"/>
      </c>
      <c r="BN104" s="11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GX104">
        <f ca="1"/>
      </c>
      <c r="GY104">
        <f ca="1"/>
      </c>
      <c r="GZ104">
        <f ca="1"/>
      </c>
      <c r="HA104">
        <f ca="1"/>
      </c>
      <c r="HB104">
        <f ca="1"/>
      </c>
      <c r="HC104">
        <f ca="1"/>
      </c>
      <c r="HD104">
        <f ca="1"/>
      </c>
      <c r="HE104">
        <f ca="1"/>
      </c>
      <c r="HF104">
        <f ca="1"/>
      </c>
      <c r="HG104">
        <f ca="1"/>
      </c>
      <c r="HH104">
        <f ca="1"/>
      </c>
      <c r="HI104">
        <f ca="1"/>
      </c>
      <c r="HJ104">
        <f ca="1"/>
      </c>
      <c r="HK104">
        <f ca="1"/>
      </c>
      <c r="HL104">
        <f ca="1"/>
      </c>
      <c r="HM104">
        <f ca="1"/>
      </c>
      <c r="HN104">
        <f ca="1"/>
      </c>
      <c r="HO104">
        <f ca="1"/>
      </c>
      <c r="HP104">
        <f ca="1"/>
      </c>
      <c r="HQ104">
        <f ca="1"/>
      </c>
      <c r="HR104">
        <f ca="1"/>
      </c>
      <c r="HS104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F105">
        <f ca="1"/>
      </c>
      <c r="BG105">
        <f ca="1"/>
      </c>
      <c r="BI105">
        <f ca="1"/>
      </c>
      <c r="BJ105" s="11">
        <f ca="1"/>
      </c>
      <c r="BK105" s="11">
        <f ca="1"/>
      </c>
      <c r="BL105" s="11">
        <f ca="1"/>
      </c>
      <c r="BM105" s="11">
        <f ca="1"/>
      </c>
      <c r="BN105" s="11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GX105">
        <f ca="1"/>
      </c>
      <c r="GY105">
        <f ca="1"/>
      </c>
      <c r="GZ105">
        <f ca="1"/>
      </c>
      <c r="HA105">
        <f ca="1"/>
      </c>
      <c r="HB105">
        <f ca="1"/>
      </c>
      <c r="HC105">
        <f ca="1"/>
      </c>
      <c r="HD105">
        <f ca="1"/>
      </c>
      <c r="HE105">
        <f ca="1"/>
      </c>
      <c r="HF105">
        <f ca="1"/>
      </c>
      <c r="HG105">
        <f ca="1"/>
      </c>
      <c r="HH105">
        <f ca="1"/>
      </c>
      <c r="HI105">
        <f ca="1"/>
      </c>
      <c r="HJ105">
        <f ca="1"/>
      </c>
      <c r="HK105">
        <f ca="1"/>
      </c>
      <c r="HL105">
        <f ca="1"/>
      </c>
      <c r="HM105">
        <f ca="1"/>
      </c>
      <c r="HN105">
        <f ca="1"/>
      </c>
      <c r="HO105">
        <f ca="1"/>
      </c>
      <c r="HP105">
        <f ca="1"/>
      </c>
      <c r="HQ105">
        <f ca="1"/>
      </c>
      <c r="HR105">
        <f ca="1"/>
      </c>
      <c r="HS105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F106">
        <f ca="1"/>
      </c>
      <c r="BG106">
        <f ca="1"/>
      </c>
      <c r="BI106">
        <f ca="1"/>
      </c>
      <c r="BJ106" s="11">
        <f ca="1"/>
      </c>
      <c r="BK106" s="11">
        <f ca="1"/>
      </c>
      <c r="BL106" s="11">
        <f ca="1"/>
      </c>
      <c r="BM106" s="11">
        <f ca="1"/>
      </c>
      <c r="BN106" s="11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GX106">
        <f ca="1"/>
      </c>
      <c r="GY106">
        <f ca="1"/>
      </c>
      <c r="GZ106">
        <f ca="1"/>
      </c>
      <c r="HA106">
        <f ca="1"/>
      </c>
      <c r="HB106">
        <f ca="1"/>
      </c>
      <c r="HC106">
        <f ca="1"/>
      </c>
      <c r="HD106">
        <f ca="1"/>
      </c>
      <c r="HE106">
        <f ca="1"/>
      </c>
      <c r="HF106">
        <f ca="1"/>
      </c>
      <c r="HG106">
        <f ca="1"/>
      </c>
      <c r="HH106">
        <f ca="1"/>
      </c>
      <c r="HI106">
        <f ca="1"/>
      </c>
      <c r="HJ106">
        <f ca="1"/>
      </c>
      <c r="HK106">
        <f ca="1"/>
      </c>
      <c r="HL106">
        <f ca="1"/>
      </c>
      <c r="HM106">
        <f ca="1"/>
      </c>
      <c r="HN106">
        <f ca="1"/>
      </c>
      <c r="HO106">
        <f ca="1"/>
      </c>
      <c r="HP106">
        <f ca="1"/>
      </c>
      <c r="HQ106">
        <f ca="1"/>
      </c>
      <c r="HR106">
        <f ca="1"/>
      </c>
      <c r="HS106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F107">
        <f ca="1"/>
      </c>
      <c r="BG107">
        <f ca="1"/>
      </c>
      <c r="BI107">
        <f ca="1"/>
      </c>
      <c r="BJ107" s="11">
        <f ca="1"/>
      </c>
      <c r="BK107" s="11">
        <f ca="1"/>
      </c>
      <c r="BL107" s="11">
        <f ca="1"/>
      </c>
      <c r="BM107" s="11">
        <f ca="1"/>
      </c>
      <c r="BN107" s="11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GX107">
        <f ca="1"/>
      </c>
      <c r="GY107">
        <f ca="1"/>
      </c>
      <c r="GZ107">
        <f ca="1"/>
      </c>
      <c r="HA107">
        <f ca="1"/>
      </c>
      <c r="HB107">
        <f ca="1"/>
      </c>
      <c r="HC107">
        <f ca="1"/>
      </c>
      <c r="HD107">
        <f ca="1"/>
      </c>
      <c r="HE107">
        <f ca="1"/>
      </c>
      <c r="HF107">
        <f ca="1"/>
      </c>
      <c r="HG107">
        <f ca="1"/>
      </c>
      <c r="HH107">
        <f ca="1"/>
      </c>
      <c r="HI107">
        <f ca="1"/>
      </c>
      <c r="HJ107">
        <f ca="1"/>
      </c>
      <c r="HK107">
        <f ca="1"/>
      </c>
      <c r="HL107">
        <f ca="1"/>
      </c>
      <c r="HM107">
        <f ca="1"/>
      </c>
      <c r="HN107">
        <f ca="1"/>
      </c>
      <c r="HO107">
        <f ca="1"/>
      </c>
      <c r="HP107">
        <f ca="1"/>
      </c>
      <c r="HQ107">
        <f ca="1"/>
      </c>
      <c r="HR107">
        <f ca="1"/>
      </c>
      <c r="HS107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F108">
        <f ca="1"/>
      </c>
      <c r="BG108">
        <f ca="1"/>
      </c>
      <c r="BI108">
        <f ca="1"/>
      </c>
      <c r="BJ108" s="11">
        <f ca="1"/>
      </c>
      <c r="BK108" s="11">
        <f ca="1"/>
      </c>
      <c r="BL108" s="11">
        <f ca="1"/>
      </c>
      <c r="BM108" s="11">
        <f ca="1"/>
      </c>
      <c r="BN108" s="11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GX108">
        <f ca="1"/>
      </c>
      <c r="GY108">
        <f ca="1"/>
      </c>
      <c r="GZ108">
        <f ca="1"/>
      </c>
      <c r="HA108">
        <f ca="1"/>
      </c>
      <c r="HB108">
        <f ca="1"/>
      </c>
      <c r="HC108">
        <f ca="1"/>
      </c>
      <c r="HD108">
        <f ca="1"/>
      </c>
      <c r="HE108">
        <f ca="1"/>
      </c>
      <c r="HF108">
        <f ca="1"/>
      </c>
      <c r="HG108">
        <f ca="1"/>
      </c>
      <c r="HH108">
        <f ca="1"/>
      </c>
      <c r="HI108">
        <f ca="1"/>
      </c>
      <c r="HJ108">
        <f ca="1"/>
      </c>
      <c r="HK108">
        <f ca="1"/>
      </c>
      <c r="HL108">
        <f ca="1"/>
      </c>
      <c r="HM108">
        <f ca="1"/>
      </c>
      <c r="HN108">
        <f ca="1"/>
      </c>
      <c r="HO108">
        <f ca="1"/>
      </c>
      <c r="HP108">
        <f ca="1"/>
      </c>
      <c r="HQ108">
        <f ca="1"/>
      </c>
      <c r="HR108">
        <f ca="1"/>
      </c>
      <c r="HS108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F109">
        <f ca="1"/>
      </c>
      <c r="BG109">
        <f ca="1"/>
      </c>
      <c r="BI109">
        <f ca="1"/>
      </c>
      <c r="BJ109" s="11">
        <f ca="1"/>
      </c>
      <c r="BK109" s="11">
        <f ca="1"/>
      </c>
      <c r="BL109" s="11">
        <f ca="1"/>
      </c>
      <c r="BM109" s="11">
        <f ca="1"/>
      </c>
      <c r="BN109" s="11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GX109">
        <f ca="1"/>
      </c>
      <c r="GY109">
        <f ca="1"/>
      </c>
      <c r="GZ109">
        <f ca="1"/>
      </c>
      <c r="HA109">
        <f ca="1"/>
      </c>
      <c r="HB109">
        <f ca="1"/>
      </c>
      <c r="HC109">
        <f ca="1"/>
      </c>
      <c r="HD109">
        <f ca="1"/>
      </c>
      <c r="HE109">
        <f ca="1"/>
      </c>
      <c r="HF109">
        <f ca="1"/>
      </c>
      <c r="HG109">
        <f ca="1"/>
      </c>
      <c r="HH109">
        <f ca="1"/>
      </c>
      <c r="HI109">
        <f ca="1"/>
      </c>
      <c r="HJ109">
        <f ca="1"/>
      </c>
      <c r="HK109">
        <f ca="1"/>
      </c>
      <c r="HL109">
        <f ca="1"/>
      </c>
      <c r="HM109">
        <f ca="1"/>
      </c>
      <c r="HN109">
        <f ca="1"/>
      </c>
      <c r="HO109">
        <f ca="1"/>
      </c>
      <c r="HP109">
        <f ca="1"/>
      </c>
      <c r="HQ109">
        <f ca="1"/>
      </c>
      <c r="HR109">
        <f ca="1"/>
      </c>
      <c r="HS109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F110">
        <f ca="1"/>
      </c>
      <c r="BG110">
        <f ca="1"/>
      </c>
      <c r="BI110">
        <f ca="1"/>
      </c>
      <c r="BJ110" s="11">
        <f ca="1"/>
      </c>
      <c r="BK110" s="11">
        <f ca="1"/>
      </c>
      <c r="BL110" s="11">
        <f ca="1"/>
      </c>
      <c r="BM110" s="11">
        <f ca="1"/>
      </c>
      <c r="BN110" s="11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GX110">
        <f ca="1"/>
      </c>
      <c r="GY110">
        <f ca="1"/>
      </c>
      <c r="GZ110">
        <f ca="1"/>
      </c>
      <c r="HA110">
        <f ca="1"/>
      </c>
      <c r="HB110">
        <f ca="1"/>
      </c>
      <c r="HC110">
        <f ca="1"/>
      </c>
      <c r="HD110">
        <f ca="1"/>
      </c>
      <c r="HE110">
        <f ca="1"/>
      </c>
      <c r="HF110">
        <f ca="1"/>
      </c>
      <c r="HG110">
        <f ca="1"/>
      </c>
      <c r="HH110">
        <f ca="1"/>
      </c>
      <c r="HI110">
        <f ca="1"/>
      </c>
      <c r="HJ110">
        <f ca="1"/>
      </c>
      <c r="HK110">
        <f ca="1"/>
      </c>
      <c r="HL110">
        <f ca="1"/>
      </c>
      <c r="HM110">
        <f ca="1"/>
      </c>
      <c r="HN110">
        <f ca="1"/>
      </c>
      <c r="HO110">
        <f ca="1"/>
      </c>
      <c r="HP110">
        <f ca="1"/>
      </c>
      <c r="HQ110">
        <f ca="1"/>
      </c>
      <c r="HR110">
        <f ca="1"/>
      </c>
      <c r="HS110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F111">
        <f ca="1"/>
      </c>
      <c r="BG111">
        <f ca="1"/>
      </c>
      <c r="BI111">
        <f ca="1"/>
      </c>
      <c r="BJ111" s="11">
        <f ca="1"/>
      </c>
      <c r="BK111" s="11">
        <f ca="1"/>
      </c>
      <c r="BL111" s="11">
        <f ca="1"/>
      </c>
      <c r="BM111" s="11">
        <f ca="1"/>
      </c>
      <c r="BN111" s="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GX111">
        <f ca="1"/>
      </c>
      <c r="GY111">
        <f ca="1"/>
      </c>
      <c r="GZ111">
        <f ca="1"/>
      </c>
      <c r="HA111">
        <f ca="1"/>
      </c>
      <c r="HB111">
        <f ca="1"/>
      </c>
      <c r="HC111">
        <f ca="1"/>
      </c>
      <c r="HD111">
        <f ca="1"/>
      </c>
      <c r="HE111">
        <f ca="1"/>
      </c>
      <c r="HF111">
        <f ca="1"/>
      </c>
      <c r="HG111">
        <f ca="1"/>
      </c>
      <c r="HH111">
        <f ca="1"/>
      </c>
      <c r="HI111">
        <f ca="1"/>
      </c>
      <c r="HJ111">
        <f ca="1"/>
      </c>
      <c r="HK111">
        <f ca="1"/>
      </c>
      <c r="HL111">
        <f ca="1"/>
      </c>
      <c r="HM111">
        <f ca="1"/>
      </c>
      <c r="HN111">
        <f ca="1"/>
      </c>
      <c r="HO111">
        <f ca="1"/>
      </c>
      <c r="HP111">
        <f ca="1"/>
      </c>
      <c r="HQ111">
        <f ca="1"/>
      </c>
      <c r="HR111">
        <f ca="1"/>
      </c>
      <c r="HS1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F112">
        <f ca="1"/>
      </c>
      <c r="BG112">
        <f ca="1"/>
      </c>
      <c r="BI112">
        <f ca="1"/>
      </c>
      <c r="BJ112" s="11">
        <f ca="1"/>
      </c>
      <c r="BK112" s="11">
        <f ca="1"/>
      </c>
      <c r="BL112" s="11">
        <f ca="1"/>
      </c>
      <c r="BM112" s="11">
        <f ca="1"/>
      </c>
      <c r="BN112" s="11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GX112">
        <f ca="1"/>
      </c>
      <c r="GY112">
        <f ca="1"/>
      </c>
      <c r="GZ112">
        <f ca="1"/>
      </c>
      <c r="HA112">
        <f ca="1"/>
      </c>
      <c r="HB112">
        <f ca="1"/>
      </c>
      <c r="HC112">
        <f ca="1"/>
      </c>
      <c r="HD112">
        <f ca="1"/>
      </c>
      <c r="HE112">
        <f ca="1"/>
      </c>
      <c r="HF112">
        <f ca="1"/>
      </c>
      <c r="HG112">
        <f ca="1"/>
      </c>
      <c r="HH112">
        <f ca="1"/>
      </c>
      <c r="HI112">
        <f ca="1"/>
      </c>
      <c r="HJ112">
        <f ca="1"/>
      </c>
      <c r="HK112">
        <f ca="1"/>
      </c>
      <c r="HL112">
        <f ca="1"/>
      </c>
      <c r="HM112">
        <f ca="1"/>
      </c>
      <c r="HN112">
        <f ca="1"/>
      </c>
      <c r="HO112">
        <f ca="1"/>
      </c>
      <c r="HP112">
        <f ca="1"/>
      </c>
      <c r="HQ112">
        <f ca="1"/>
      </c>
      <c r="HR112">
        <f ca="1"/>
      </c>
      <c r="HS112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F113">
        <f ca="1"/>
      </c>
      <c r="BG113">
        <f ca="1"/>
      </c>
      <c r="BI113">
        <f ca="1"/>
      </c>
      <c r="BJ113" s="11">
        <f ca="1"/>
      </c>
      <c r="BK113" s="11">
        <f ca="1"/>
      </c>
      <c r="BL113" s="11">
        <f ca="1"/>
      </c>
      <c r="BM113" s="11">
        <f ca="1"/>
      </c>
      <c r="BN113" s="11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GX113">
        <f ca="1"/>
      </c>
      <c r="GY113">
        <f ca="1"/>
      </c>
      <c r="GZ113">
        <f ca="1"/>
      </c>
      <c r="HA113">
        <f ca="1"/>
      </c>
      <c r="HB113">
        <f ca="1"/>
      </c>
      <c r="HC113">
        <f ca="1"/>
      </c>
      <c r="HD113">
        <f ca="1"/>
      </c>
      <c r="HE113">
        <f ca="1"/>
      </c>
      <c r="HF113">
        <f ca="1"/>
      </c>
      <c r="HG113">
        <f ca="1"/>
      </c>
      <c r="HH113">
        <f ca="1"/>
      </c>
      <c r="HI113">
        <f ca="1"/>
      </c>
      <c r="HJ113">
        <f ca="1"/>
      </c>
      <c r="HK113">
        <f ca="1"/>
      </c>
      <c r="HL113">
        <f ca="1"/>
      </c>
      <c r="HM113">
        <f ca="1"/>
      </c>
      <c r="HN113">
        <f ca="1"/>
      </c>
      <c r="HO113">
        <f ca="1"/>
      </c>
      <c r="HP113">
        <f ca="1"/>
      </c>
      <c r="HQ113">
        <f ca="1"/>
      </c>
      <c r="HR113">
        <f ca="1"/>
      </c>
      <c r="HS113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F114">
        <f ca="1"/>
      </c>
      <c r="BG114">
        <f ca="1"/>
      </c>
      <c r="BI114">
        <f ca="1"/>
      </c>
      <c r="BJ114" s="11">
        <f ca="1"/>
      </c>
      <c r="BK114" s="11">
        <f ca="1"/>
      </c>
      <c r="BL114" s="11">
        <f ca="1"/>
      </c>
      <c r="BM114" s="11">
        <f ca="1"/>
      </c>
      <c r="BN114" s="11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GX114">
        <f ca="1"/>
      </c>
      <c r="GY114">
        <f ca="1"/>
      </c>
      <c r="GZ114">
        <f ca="1"/>
      </c>
      <c r="HA114">
        <f ca="1"/>
      </c>
      <c r="HB114">
        <f ca="1"/>
      </c>
      <c r="HC114">
        <f ca="1"/>
      </c>
      <c r="HD114">
        <f ca="1"/>
      </c>
      <c r="HE114">
        <f ca="1"/>
      </c>
      <c r="HF114">
        <f ca="1"/>
      </c>
      <c r="HG114">
        <f ca="1"/>
      </c>
      <c r="HH114">
        <f ca="1"/>
      </c>
      <c r="HI114">
        <f ca="1"/>
      </c>
      <c r="HJ114">
        <f ca="1"/>
      </c>
      <c r="HK114">
        <f ca="1"/>
      </c>
      <c r="HL114">
        <f ca="1"/>
      </c>
      <c r="HM114">
        <f ca="1"/>
      </c>
      <c r="HN114">
        <f ca="1"/>
      </c>
      <c r="HO114">
        <f ca="1"/>
      </c>
      <c r="HP114">
        <f ca="1"/>
      </c>
      <c r="HQ114">
        <f ca="1"/>
      </c>
      <c r="HR114">
        <f ca="1"/>
      </c>
      <c r="HS114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F115">
        <f ca="1"/>
      </c>
      <c r="BG115">
        <f ca="1"/>
      </c>
      <c r="BI115">
        <f ca="1"/>
      </c>
      <c r="BJ115" s="11">
        <f ca="1"/>
      </c>
      <c r="BK115" s="11">
        <f ca="1"/>
      </c>
      <c r="BL115" s="11">
        <f ca="1"/>
      </c>
      <c r="BM115" s="11">
        <f ca="1"/>
      </c>
      <c r="BN115" s="11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GX115">
        <f ca="1"/>
      </c>
      <c r="GY115">
        <f ca="1"/>
      </c>
      <c r="GZ115">
        <f ca="1"/>
      </c>
      <c r="HA115">
        <f ca="1"/>
      </c>
      <c r="HB115">
        <f ca="1"/>
      </c>
      <c r="HC115">
        <f ca="1"/>
      </c>
      <c r="HD115">
        <f ca="1"/>
      </c>
      <c r="HE115">
        <f ca="1"/>
      </c>
      <c r="HF115">
        <f ca="1"/>
      </c>
      <c r="HG115">
        <f ca="1"/>
      </c>
      <c r="HH115">
        <f ca="1"/>
      </c>
      <c r="HI115">
        <f ca="1"/>
      </c>
      <c r="HJ115">
        <f ca="1"/>
      </c>
      <c r="HK115">
        <f ca="1"/>
      </c>
      <c r="HL115">
        <f ca="1"/>
      </c>
      <c r="HM115">
        <f ca="1"/>
      </c>
      <c r="HN115">
        <f ca="1"/>
      </c>
      <c r="HO115">
        <f ca="1"/>
      </c>
      <c r="HP115">
        <f ca="1"/>
      </c>
      <c r="HQ115">
        <f ca="1"/>
      </c>
      <c r="HR115">
        <f ca="1"/>
      </c>
      <c r="HS115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F116">
        <f ca="1"/>
      </c>
      <c r="BG116">
        <f ca="1"/>
      </c>
      <c r="BI116">
        <f ca="1"/>
      </c>
      <c r="BJ116" s="11">
        <f ca="1"/>
      </c>
      <c r="BK116" s="11">
        <f ca="1"/>
      </c>
      <c r="BL116" s="11">
        <f ca="1"/>
      </c>
      <c r="BM116" s="11">
        <f ca="1"/>
      </c>
      <c r="BN116" s="11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GX116">
        <f ca="1"/>
      </c>
      <c r="GY116">
        <f ca="1"/>
      </c>
      <c r="GZ116">
        <f ca="1"/>
      </c>
      <c r="HA116">
        <f ca="1"/>
      </c>
      <c r="HB116">
        <f ca="1"/>
      </c>
      <c r="HC116">
        <f ca="1"/>
      </c>
      <c r="HD116">
        <f ca="1"/>
      </c>
      <c r="HE116">
        <f ca="1"/>
      </c>
      <c r="HF116">
        <f ca="1"/>
      </c>
      <c r="HG116">
        <f ca="1"/>
      </c>
      <c r="HH116">
        <f ca="1"/>
      </c>
      <c r="HI116">
        <f ca="1"/>
      </c>
      <c r="HJ116">
        <f ca="1"/>
      </c>
      <c r="HK116">
        <f ca="1"/>
      </c>
      <c r="HL116">
        <f ca="1"/>
      </c>
      <c r="HM116">
        <f ca="1"/>
      </c>
      <c r="HN116">
        <f ca="1"/>
      </c>
      <c r="HO116">
        <f ca="1"/>
      </c>
      <c r="HP116">
        <f ca="1"/>
      </c>
      <c r="HQ116">
        <f ca="1"/>
      </c>
      <c r="HR116">
        <f ca="1"/>
      </c>
      <c r="HS116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F117">
        <f ca="1"/>
      </c>
      <c r="BG117">
        <f ca="1"/>
      </c>
      <c r="BI117">
        <f ca="1"/>
      </c>
      <c r="BJ117" s="11">
        <f ca="1"/>
      </c>
      <c r="BK117" s="11">
        <f ca="1"/>
      </c>
      <c r="BL117" s="11">
        <f ca="1"/>
      </c>
      <c r="BM117" s="11">
        <f ca="1"/>
      </c>
      <c r="BN117" s="11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GX117">
        <f ca="1"/>
      </c>
      <c r="GY117">
        <f ca="1"/>
      </c>
      <c r="GZ117">
        <f ca="1"/>
      </c>
      <c r="HA117">
        <f ca="1"/>
      </c>
      <c r="HB117">
        <f ca="1"/>
      </c>
      <c r="HC117">
        <f ca="1"/>
      </c>
      <c r="HD117">
        <f ca="1"/>
      </c>
      <c r="HE117">
        <f ca="1"/>
      </c>
      <c r="HF117">
        <f ca="1"/>
      </c>
      <c r="HG117">
        <f ca="1"/>
      </c>
      <c r="HH117">
        <f ca="1"/>
      </c>
      <c r="HI117">
        <f ca="1"/>
      </c>
      <c r="HJ117">
        <f ca="1"/>
      </c>
      <c r="HK117">
        <f ca="1"/>
      </c>
      <c r="HL117">
        <f ca="1"/>
      </c>
      <c r="HM117">
        <f ca="1"/>
      </c>
      <c r="HN117">
        <f ca="1"/>
      </c>
      <c r="HO117">
        <f ca="1"/>
      </c>
      <c r="HP117">
        <f ca="1"/>
      </c>
      <c r="HQ117">
        <f ca="1"/>
      </c>
      <c r="HR117">
        <f ca="1"/>
      </c>
      <c r="HS117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F118">
        <f ca="1"/>
      </c>
      <c r="BG118">
        <f ca="1"/>
      </c>
      <c r="BI118">
        <f ca="1"/>
      </c>
      <c r="BJ118" s="11">
        <f ca="1"/>
      </c>
      <c r="BK118" s="11">
        <f ca="1"/>
      </c>
      <c r="BL118" s="11">
        <f ca="1"/>
      </c>
      <c r="BM118" s="11">
        <f ca="1"/>
      </c>
      <c r="BN118" s="11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GX118">
        <f ca="1"/>
      </c>
      <c r="GY118">
        <f ca="1"/>
      </c>
      <c r="GZ118">
        <f ca="1"/>
      </c>
      <c r="HA118">
        <f ca="1"/>
      </c>
      <c r="HB118">
        <f ca="1"/>
      </c>
      <c r="HC118">
        <f ca="1"/>
      </c>
      <c r="HD118">
        <f ca="1"/>
      </c>
      <c r="HE118">
        <f ca="1"/>
      </c>
      <c r="HF118">
        <f ca="1"/>
      </c>
      <c r="HG118">
        <f ca="1"/>
      </c>
      <c r="HH118">
        <f ca="1"/>
      </c>
      <c r="HI118">
        <f ca="1"/>
      </c>
      <c r="HJ118">
        <f ca="1"/>
      </c>
      <c r="HK118">
        <f ca="1"/>
      </c>
      <c r="HL118">
        <f ca="1"/>
      </c>
      <c r="HM118">
        <f ca="1"/>
      </c>
      <c r="HN118">
        <f ca="1"/>
      </c>
      <c r="HO118">
        <f ca="1"/>
      </c>
      <c r="HP118">
        <f ca="1"/>
      </c>
      <c r="HQ118">
        <f ca="1"/>
      </c>
      <c r="HR118">
        <f ca="1"/>
      </c>
      <c r="HS118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F119">
        <f ca="1"/>
      </c>
      <c r="BG119">
        <f ca="1"/>
      </c>
      <c r="BI119">
        <f ca="1"/>
      </c>
      <c r="BJ119" s="11">
        <f ca="1"/>
      </c>
      <c r="BK119" s="11">
        <f ca="1"/>
      </c>
      <c r="BL119" s="11">
        <f ca="1"/>
      </c>
      <c r="BM119" s="11">
        <f ca="1"/>
      </c>
      <c r="BN119" s="11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GX119">
        <f ca="1"/>
      </c>
      <c r="GY119">
        <f ca="1"/>
      </c>
      <c r="GZ119">
        <f ca="1"/>
      </c>
      <c r="HA119">
        <f ca="1"/>
      </c>
      <c r="HB119">
        <f ca="1"/>
      </c>
      <c r="HC119">
        <f ca="1"/>
      </c>
      <c r="HD119">
        <f ca="1"/>
      </c>
      <c r="HE119">
        <f ca="1"/>
      </c>
      <c r="HF119">
        <f ca="1"/>
      </c>
      <c r="HG119">
        <f ca="1"/>
      </c>
      <c r="HH119">
        <f ca="1"/>
      </c>
      <c r="HI119">
        <f ca="1"/>
      </c>
      <c r="HJ119">
        <f ca="1"/>
      </c>
      <c r="HK119">
        <f ca="1"/>
      </c>
      <c r="HL119">
        <f ca="1"/>
      </c>
      <c r="HM119">
        <f ca="1"/>
      </c>
      <c r="HN119">
        <f ca="1"/>
      </c>
      <c r="HO119">
        <f ca="1"/>
      </c>
      <c r="HP119">
        <f ca="1"/>
      </c>
      <c r="HQ119">
        <f ca="1"/>
      </c>
      <c r="HR119">
        <f ca="1"/>
      </c>
      <c r="HS119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F120">
        <f ca="1"/>
      </c>
      <c r="BG120">
        <f ca="1"/>
      </c>
      <c r="BI120">
        <f ca="1"/>
      </c>
      <c r="BJ120" s="11">
        <f ca="1"/>
      </c>
      <c r="BK120" s="11">
        <f ca="1"/>
      </c>
      <c r="BL120" s="11">
        <f ca="1"/>
      </c>
      <c r="BM120" s="11">
        <f ca="1"/>
      </c>
      <c r="BN120" s="11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GX120">
        <f ca="1"/>
      </c>
      <c r="GY120">
        <f ca="1"/>
      </c>
      <c r="GZ120">
        <f ca="1"/>
      </c>
      <c r="HA120">
        <f ca="1"/>
      </c>
      <c r="HB120">
        <f ca="1"/>
      </c>
      <c r="HC120">
        <f ca="1"/>
      </c>
      <c r="HD120">
        <f ca="1"/>
      </c>
      <c r="HE120">
        <f ca="1"/>
      </c>
      <c r="HF120">
        <f ca="1"/>
      </c>
      <c r="HG120">
        <f ca="1"/>
      </c>
      <c r="HH120">
        <f ca="1"/>
      </c>
      <c r="HI120">
        <f ca="1"/>
      </c>
      <c r="HJ120">
        <f ca="1"/>
      </c>
      <c r="HK120">
        <f ca="1"/>
      </c>
      <c r="HL120">
        <f ca="1"/>
      </c>
      <c r="HM120">
        <f ca="1"/>
      </c>
      <c r="HN120">
        <f ca="1"/>
      </c>
      <c r="HO120">
        <f ca="1"/>
      </c>
      <c r="HP120">
        <f ca="1"/>
      </c>
      <c r="HQ120">
        <f ca="1"/>
      </c>
      <c r="HR120">
        <f ca="1"/>
      </c>
      <c r="HS120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F121">
        <f ca="1"/>
      </c>
      <c r="BG121">
        <f ca="1"/>
      </c>
      <c r="BI121">
        <f ca="1"/>
      </c>
      <c r="BJ121" s="11">
        <f ca="1"/>
      </c>
      <c r="BK121" s="11">
        <f ca="1"/>
      </c>
      <c r="BL121" s="11">
        <f ca="1"/>
      </c>
      <c r="BM121" s="11">
        <f ca="1"/>
      </c>
      <c r="BN121" s="1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GX121">
        <f ca="1"/>
      </c>
      <c r="GY121">
        <f ca="1"/>
      </c>
      <c r="GZ121">
        <f ca="1"/>
      </c>
      <c r="HA121">
        <f ca="1"/>
      </c>
      <c r="HB121">
        <f ca="1"/>
      </c>
      <c r="HC121">
        <f ca="1"/>
      </c>
      <c r="HD121">
        <f ca="1"/>
      </c>
      <c r="HE121">
        <f ca="1"/>
      </c>
      <c r="HF121">
        <f ca="1"/>
      </c>
      <c r="HG121">
        <f ca="1"/>
      </c>
      <c r="HH121">
        <f ca="1"/>
      </c>
      <c r="HI121">
        <f ca="1"/>
      </c>
      <c r="HJ121">
        <f ca="1"/>
      </c>
      <c r="HK121">
        <f ca="1"/>
      </c>
      <c r="HL121">
        <f ca="1"/>
      </c>
      <c r="HM121">
        <f ca="1"/>
      </c>
      <c r="HN121">
        <f ca="1"/>
      </c>
      <c r="HO121">
        <f ca="1"/>
      </c>
      <c r="HP121">
        <f ca="1"/>
      </c>
      <c r="HQ121">
        <f ca="1"/>
      </c>
      <c r="HR121">
        <f ca="1"/>
      </c>
      <c r="HS12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F122">
        <f ca="1"/>
      </c>
      <c r="BG122">
        <f ca="1"/>
      </c>
      <c r="BI122">
        <f ca="1"/>
      </c>
      <c r="BJ122" s="11">
        <f ca="1"/>
      </c>
      <c r="BK122" s="11">
        <f ca="1"/>
      </c>
      <c r="BL122" s="11">
        <f ca="1"/>
      </c>
      <c r="BM122" s="11">
        <f ca="1"/>
      </c>
      <c r="BN122" s="11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GX122">
        <f ca="1"/>
      </c>
      <c r="GY122">
        <f ca="1"/>
      </c>
      <c r="GZ122">
        <f ca="1"/>
      </c>
      <c r="HA122">
        <f ca="1"/>
      </c>
      <c r="HB122">
        <f ca="1"/>
      </c>
      <c r="HC122">
        <f ca="1"/>
      </c>
      <c r="HD122">
        <f ca="1"/>
      </c>
      <c r="HE122">
        <f ca="1"/>
      </c>
      <c r="HF122">
        <f ca="1"/>
      </c>
      <c r="HG122">
        <f ca="1"/>
      </c>
      <c r="HH122">
        <f ca="1"/>
      </c>
      <c r="HI122">
        <f ca="1"/>
      </c>
      <c r="HJ122">
        <f ca="1"/>
      </c>
      <c r="HK122">
        <f ca="1"/>
      </c>
      <c r="HL122">
        <f ca="1"/>
      </c>
      <c r="HM122">
        <f ca="1"/>
      </c>
      <c r="HN122">
        <f ca="1"/>
      </c>
      <c r="HO122">
        <f ca="1"/>
      </c>
      <c r="HP122">
        <f ca="1"/>
      </c>
      <c r="HQ122">
        <f ca="1"/>
      </c>
      <c r="HR122">
        <f ca="1"/>
      </c>
      <c r="HS122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F123">
        <f ca="1"/>
      </c>
      <c r="BG123">
        <f ca="1"/>
      </c>
      <c r="BI123">
        <f ca="1"/>
      </c>
      <c r="BJ123" s="11">
        <f ca="1"/>
      </c>
      <c r="BK123" s="11">
        <f ca="1"/>
      </c>
      <c r="BL123" s="11">
        <f ca="1"/>
      </c>
      <c r="BM123" s="11">
        <f ca="1"/>
      </c>
      <c r="BN123" s="11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GX123">
        <f ca="1"/>
      </c>
      <c r="GY123">
        <f ca="1"/>
      </c>
      <c r="GZ123">
        <f ca="1"/>
      </c>
      <c r="HA123">
        <f ca="1"/>
      </c>
      <c r="HB123">
        <f ca="1"/>
      </c>
      <c r="HC123">
        <f ca="1"/>
      </c>
      <c r="HD123">
        <f ca="1"/>
      </c>
      <c r="HE123">
        <f ca="1"/>
      </c>
      <c r="HF123">
        <f ca="1"/>
      </c>
      <c r="HG123">
        <f ca="1"/>
      </c>
      <c r="HH123">
        <f ca="1"/>
      </c>
      <c r="HI123">
        <f ca="1"/>
      </c>
      <c r="HJ123">
        <f ca="1"/>
      </c>
      <c r="HK123">
        <f ca="1"/>
      </c>
      <c r="HL123">
        <f ca="1"/>
      </c>
      <c r="HM123">
        <f ca="1"/>
      </c>
      <c r="HN123">
        <f ca="1"/>
      </c>
      <c r="HO123">
        <f ca="1"/>
      </c>
      <c r="HP123">
        <f ca="1"/>
      </c>
      <c r="HQ123">
        <f ca="1"/>
      </c>
      <c r="HR123">
        <f ca="1"/>
      </c>
      <c r="HS123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F124">
        <f ca="1"/>
      </c>
      <c r="BG124">
        <f ca="1"/>
      </c>
      <c r="BI124">
        <f ca="1"/>
      </c>
      <c r="BJ124" s="11">
        <f ca="1"/>
      </c>
      <c r="BK124" s="11">
        <f ca="1"/>
      </c>
      <c r="BL124" s="11">
        <f ca="1"/>
      </c>
      <c r="BM124" s="11">
        <f ca="1"/>
      </c>
      <c r="BN124" s="11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GX124">
        <f ca="1"/>
      </c>
      <c r="GY124">
        <f ca="1"/>
      </c>
      <c r="GZ124">
        <f ca="1"/>
      </c>
      <c r="HA124">
        <f ca="1"/>
      </c>
      <c r="HB124">
        <f ca="1"/>
      </c>
      <c r="HC124">
        <f ca="1"/>
      </c>
      <c r="HD124">
        <f ca="1"/>
      </c>
      <c r="HE124">
        <f ca="1"/>
      </c>
      <c r="HF124">
        <f ca="1"/>
      </c>
      <c r="HG124">
        <f ca="1"/>
      </c>
      <c r="HH124">
        <f ca="1"/>
      </c>
      <c r="HI124">
        <f ca="1"/>
      </c>
      <c r="HJ124">
        <f ca="1"/>
      </c>
      <c r="HK124">
        <f ca="1"/>
      </c>
      <c r="HL124">
        <f ca="1"/>
      </c>
      <c r="HM124">
        <f ca="1"/>
      </c>
      <c r="HN124">
        <f ca="1"/>
      </c>
      <c r="HO124">
        <f ca="1"/>
      </c>
      <c r="HP124">
        <f ca="1"/>
      </c>
      <c r="HQ124">
        <f ca="1"/>
      </c>
      <c r="HR124">
        <f ca="1"/>
      </c>
      <c r="HS124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F125">
        <f ca="1"/>
      </c>
      <c r="BG125">
        <f ca="1"/>
      </c>
      <c r="BI125">
        <f ca="1"/>
      </c>
      <c r="BJ125" s="11">
        <f ca="1"/>
      </c>
      <c r="BK125" s="11">
        <f ca="1"/>
      </c>
      <c r="BL125" s="11">
        <f ca="1"/>
      </c>
      <c r="BM125" s="11">
        <f ca="1"/>
      </c>
      <c r="BN125" s="11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GX125">
        <f ca="1"/>
      </c>
      <c r="GY125">
        <f ca="1"/>
      </c>
      <c r="GZ125">
        <f ca="1"/>
      </c>
      <c r="HA125">
        <f ca="1"/>
      </c>
      <c r="HB125">
        <f ca="1"/>
      </c>
      <c r="HC125">
        <f ca="1"/>
      </c>
      <c r="HD125">
        <f ca="1"/>
      </c>
      <c r="HE125">
        <f ca="1"/>
      </c>
      <c r="HF125">
        <f ca="1"/>
      </c>
      <c r="HG125">
        <f ca="1"/>
      </c>
      <c r="HH125">
        <f ca="1"/>
      </c>
      <c r="HI125">
        <f ca="1"/>
      </c>
      <c r="HJ125">
        <f ca="1"/>
      </c>
      <c r="HK125">
        <f ca="1"/>
      </c>
      <c r="HL125">
        <f ca="1"/>
      </c>
      <c r="HM125">
        <f ca="1"/>
      </c>
      <c r="HN125">
        <f ca="1"/>
      </c>
      <c r="HO125">
        <f ca="1"/>
      </c>
      <c r="HP125">
        <f ca="1"/>
      </c>
      <c r="HQ125">
        <f ca="1"/>
      </c>
      <c r="HR125">
        <f ca="1"/>
      </c>
      <c r="HS125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F126">
        <f ca="1"/>
      </c>
      <c r="BG126">
        <f ca="1"/>
      </c>
      <c r="BI126">
        <f ca="1"/>
      </c>
      <c r="BJ126" s="11">
        <f ca="1"/>
      </c>
      <c r="BK126" s="11">
        <f ca="1"/>
      </c>
      <c r="BL126" s="11">
        <f ca="1"/>
      </c>
      <c r="BM126" s="11">
        <f ca="1"/>
      </c>
      <c r="BN126" s="11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GX126">
        <f ca="1"/>
      </c>
      <c r="GY126">
        <f ca="1"/>
      </c>
      <c r="GZ126">
        <f ca="1"/>
      </c>
      <c r="HA126">
        <f ca="1"/>
      </c>
      <c r="HB126">
        <f ca="1"/>
      </c>
      <c r="HC126">
        <f ca="1"/>
      </c>
      <c r="HD126">
        <f ca="1"/>
      </c>
      <c r="HE126">
        <f ca="1"/>
      </c>
      <c r="HF126">
        <f ca="1"/>
      </c>
      <c r="HG126">
        <f ca="1"/>
      </c>
      <c r="HH126">
        <f ca="1"/>
      </c>
      <c r="HI126">
        <f ca="1"/>
      </c>
      <c r="HJ126">
        <f ca="1"/>
      </c>
      <c r="HK126">
        <f ca="1"/>
      </c>
      <c r="HL126">
        <f ca="1"/>
      </c>
      <c r="HM126">
        <f ca="1"/>
      </c>
      <c r="HN126">
        <f ca="1"/>
      </c>
      <c r="HO126">
        <f ca="1"/>
      </c>
      <c r="HP126">
        <f ca="1"/>
      </c>
      <c r="HQ126">
        <f ca="1"/>
      </c>
      <c r="HR126">
        <f ca="1"/>
      </c>
      <c r="HS126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F127">
        <f ca="1"/>
      </c>
      <c r="BG127">
        <f ca="1"/>
      </c>
      <c r="BI127">
        <f ca="1"/>
      </c>
      <c r="BJ127" s="11">
        <f ca="1"/>
      </c>
      <c r="BK127" s="11">
        <f ca="1"/>
      </c>
      <c r="BL127" s="11">
        <f ca="1"/>
      </c>
      <c r="BM127" s="11">
        <f ca="1"/>
      </c>
      <c r="BN127" s="11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GX127">
        <f ca="1"/>
      </c>
      <c r="GY127">
        <f ca="1"/>
      </c>
      <c r="GZ127">
        <f ca="1"/>
      </c>
      <c r="HA127">
        <f ca="1"/>
      </c>
      <c r="HB127">
        <f ca="1"/>
      </c>
      <c r="HC127">
        <f ca="1"/>
      </c>
      <c r="HD127">
        <f ca="1"/>
      </c>
      <c r="HE127">
        <f ca="1"/>
      </c>
      <c r="HF127">
        <f ca="1"/>
      </c>
      <c r="HG127">
        <f ca="1"/>
      </c>
      <c r="HH127">
        <f ca="1"/>
      </c>
      <c r="HI127">
        <f ca="1"/>
      </c>
      <c r="HJ127">
        <f ca="1"/>
      </c>
      <c r="HK127">
        <f ca="1"/>
      </c>
      <c r="HL127">
        <f ca="1"/>
      </c>
      <c r="HM127">
        <f ca="1"/>
      </c>
      <c r="HN127">
        <f ca="1"/>
      </c>
      <c r="HO127">
        <f ca="1"/>
      </c>
      <c r="HP127">
        <f ca="1"/>
      </c>
      <c r="HQ127">
        <f ca="1"/>
      </c>
      <c r="HR127">
        <f ca="1"/>
      </c>
      <c r="HS127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F128">
        <f ca="1"/>
      </c>
      <c r="BG128">
        <f ca="1"/>
      </c>
      <c r="BI128">
        <f ca="1"/>
      </c>
      <c r="BJ128" s="11">
        <f ca="1"/>
      </c>
      <c r="BK128" s="11">
        <f ca="1"/>
      </c>
      <c r="BL128" s="11">
        <f ca="1"/>
      </c>
      <c r="BM128" s="11">
        <f ca="1"/>
      </c>
      <c r="BN128" s="11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GX128">
        <f ca="1"/>
      </c>
      <c r="GY128">
        <f ca="1"/>
      </c>
      <c r="GZ128">
        <f ca="1"/>
      </c>
      <c r="HA128">
        <f ca="1"/>
      </c>
      <c r="HB128">
        <f ca="1"/>
      </c>
      <c r="HC128">
        <f ca="1"/>
      </c>
      <c r="HD128">
        <f ca="1"/>
      </c>
      <c r="HE128">
        <f ca="1"/>
      </c>
      <c r="HF128">
        <f ca="1"/>
      </c>
      <c r="HG128">
        <f ca="1"/>
      </c>
      <c r="HH128">
        <f ca="1"/>
      </c>
      <c r="HI128">
        <f ca="1"/>
      </c>
      <c r="HJ128">
        <f ca="1"/>
      </c>
      <c r="HK128">
        <f ca="1"/>
      </c>
      <c r="HL128">
        <f ca="1"/>
      </c>
      <c r="HM128">
        <f ca="1"/>
      </c>
      <c r="HN128">
        <f ca="1"/>
      </c>
      <c r="HO128">
        <f ca="1"/>
      </c>
      <c r="HP128">
        <f ca="1"/>
      </c>
      <c r="HQ128">
        <f ca="1"/>
      </c>
      <c r="HR128">
        <f ca="1"/>
      </c>
      <c r="HS128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F129">
        <f ca="1"/>
      </c>
      <c r="BG129">
        <f ca="1"/>
      </c>
      <c r="BI129">
        <f ca="1"/>
      </c>
      <c r="BJ129" s="11">
        <f ca="1"/>
      </c>
      <c r="BK129" s="11">
        <f ca="1"/>
      </c>
      <c r="BL129" s="11">
        <f ca="1"/>
      </c>
      <c r="BM129" s="11">
        <f ca="1"/>
      </c>
      <c r="BN129" s="11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GX129">
        <f ca="1"/>
      </c>
      <c r="GY129">
        <f ca="1"/>
      </c>
      <c r="GZ129">
        <f ca="1"/>
      </c>
      <c r="HA129">
        <f ca="1"/>
      </c>
      <c r="HB129">
        <f ca="1"/>
      </c>
      <c r="HC129">
        <f ca="1"/>
      </c>
      <c r="HD129">
        <f ca="1"/>
      </c>
      <c r="HE129">
        <f ca="1"/>
      </c>
      <c r="HF129">
        <f ca="1"/>
      </c>
      <c r="HG129">
        <f ca="1"/>
      </c>
      <c r="HH129">
        <f ca="1"/>
      </c>
      <c r="HI129">
        <f ca="1"/>
      </c>
      <c r="HJ129">
        <f ca="1"/>
      </c>
      <c r="HK129">
        <f ca="1"/>
      </c>
      <c r="HL129">
        <f ca="1"/>
      </c>
      <c r="HM129">
        <f ca="1"/>
      </c>
      <c r="HN129">
        <f ca="1"/>
      </c>
      <c r="HO129">
        <f ca="1"/>
      </c>
      <c r="HP129">
        <f ca="1"/>
      </c>
      <c r="HQ129">
        <f ca="1"/>
      </c>
      <c r="HR129">
        <f ca="1"/>
      </c>
      <c r="HS129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F130">
        <f ca="1"/>
      </c>
      <c r="BG130">
        <f ca="1"/>
      </c>
      <c r="BI130">
        <f ca="1"/>
      </c>
      <c r="BJ130" s="11">
        <f ca="1"/>
      </c>
      <c r="BK130" s="11">
        <f ca="1"/>
      </c>
      <c r="BL130" s="11">
        <f ca="1"/>
      </c>
      <c r="BM130" s="11">
        <f ca="1"/>
      </c>
      <c r="BN130" s="11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GX130">
        <f ca="1"/>
      </c>
      <c r="GY130">
        <f ca="1"/>
      </c>
      <c r="GZ130">
        <f ca="1"/>
      </c>
      <c r="HA130">
        <f ca="1"/>
      </c>
      <c r="HB130">
        <f ca="1"/>
      </c>
      <c r="HC130">
        <f ca="1"/>
      </c>
      <c r="HD130">
        <f ca="1"/>
      </c>
      <c r="HE130">
        <f ca="1"/>
      </c>
      <c r="HF130">
        <f ca="1"/>
      </c>
      <c r="HG130">
        <f ca="1"/>
      </c>
      <c r="HH130">
        <f ca="1"/>
      </c>
      <c r="HI130">
        <f ca="1"/>
      </c>
      <c r="HJ130">
        <f ca="1"/>
      </c>
      <c r="HK130">
        <f ca="1"/>
      </c>
      <c r="HL130">
        <f ca="1"/>
      </c>
      <c r="HM130">
        <f ca="1"/>
      </c>
      <c r="HN130">
        <f ca="1"/>
      </c>
      <c r="HO130">
        <f ca="1"/>
      </c>
      <c r="HP130">
        <f ca="1"/>
      </c>
      <c r="HQ130">
        <f ca="1"/>
      </c>
      <c r="HR130">
        <f ca="1"/>
      </c>
      <c r="HS130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F131">
        <f ca="1"/>
      </c>
      <c r="BG131">
        <f ca="1"/>
      </c>
      <c r="BI131">
        <f ca="1"/>
      </c>
      <c r="BJ131" s="11">
        <f ca="1"/>
      </c>
      <c r="BK131" s="11">
        <f ca="1"/>
      </c>
      <c r="BL131" s="11">
        <f ca="1"/>
      </c>
      <c r="BM131" s="11">
        <f ca="1"/>
      </c>
      <c r="BN131" s="1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GX131">
        <f ca="1"/>
      </c>
      <c r="GY131">
        <f ca="1"/>
      </c>
      <c r="GZ131">
        <f ca="1"/>
      </c>
      <c r="HA131">
        <f ca="1"/>
      </c>
      <c r="HB131">
        <f ca="1"/>
      </c>
      <c r="HC131">
        <f ca="1"/>
      </c>
      <c r="HD131">
        <f ca="1"/>
      </c>
      <c r="HE131">
        <f ca="1"/>
      </c>
      <c r="HF131">
        <f ca="1"/>
      </c>
      <c r="HG131">
        <f ca="1"/>
      </c>
      <c r="HH131">
        <f ca="1"/>
      </c>
      <c r="HI131">
        <f ca="1"/>
      </c>
      <c r="HJ131">
        <f ca="1"/>
      </c>
      <c r="HK131">
        <f ca="1"/>
      </c>
      <c r="HL131">
        <f ca="1"/>
      </c>
      <c r="HM131">
        <f ca="1"/>
      </c>
      <c r="HN131">
        <f ca="1"/>
      </c>
      <c r="HO131">
        <f ca="1"/>
      </c>
      <c r="HP131">
        <f ca="1"/>
      </c>
      <c r="HQ131">
        <f ca="1"/>
      </c>
      <c r="HR131">
        <f ca="1"/>
      </c>
      <c r="HS13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F132">
        <f ca="1"/>
      </c>
      <c r="BG132">
        <f ca="1"/>
      </c>
      <c r="BI132">
        <f ca="1"/>
      </c>
      <c r="BJ132" s="11">
        <f ca="1"/>
      </c>
      <c r="BK132" s="11">
        <f ca="1"/>
      </c>
      <c r="BL132" s="11">
        <f ca="1"/>
      </c>
      <c r="BM132" s="11">
        <f ca="1"/>
      </c>
      <c r="BN132" s="11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GX132">
        <f ca="1"/>
      </c>
      <c r="GY132">
        <f ca="1"/>
      </c>
      <c r="GZ132">
        <f ca="1"/>
      </c>
      <c r="HA132">
        <f ca="1"/>
      </c>
      <c r="HB132">
        <f ca="1"/>
      </c>
      <c r="HC132">
        <f ca="1"/>
      </c>
      <c r="HD132">
        <f ca="1"/>
      </c>
      <c r="HE132">
        <f ca="1"/>
      </c>
      <c r="HF132">
        <f ca="1"/>
      </c>
      <c r="HG132">
        <f ca="1"/>
      </c>
      <c r="HH132">
        <f ca="1"/>
      </c>
      <c r="HI132">
        <f ca="1"/>
      </c>
      <c r="HJ132">
        <f ca="1"/>
      </c>
      <c r="HK132">
        <f ca="1"/>
      </c>
      <c r="HL132">
        <f ca="1"/>
      </c>
      <c r="HM132">
        <f ca="1"/>
      </c>
      <c r="HN132">
        <f ca="1"/>
      </c>
      <c r="HO132">
        <f ca="1"/>
      </c>
      <c r="HP132">
        <f ca="1"/>
      </c>
      <c r="HQ132">
        <f ca="1"/>
      </c>
      <c r="HR132">
        <f ca="1"/>
      </c>
      <c r="HS132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F133">
        <f ca="1"/>
      </c>
      <c r="BG133">
        <f ca="1"/>
      </c>
      <c r="BI133">
        <f ca="1"/>
      </c>
      <c r="BJ133" s="11">
        <f ca="1"/>
      </c>
      <c r="BK133" s="11">
        <f ca="1"/>
      </c>
      <c r="BL133" s="11">
        <f ca="1"/>
      </c>
      <c r="BM133" s="11">
        <f ca="1"/>
      </c>
      <c r="BN133" s="11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GX133">
        <f ca="1"/>
      </c>
      <c r="GY133">
        <f ca="1"/>
      </c>
      <c r="GZ133">
        <f ca="1"/>
      </c>
      <c r="HA133">
        <f ca="1"/>
      </c>
      <c r="HB133">
        <f ca="1"/>
      </c>
      <c r="HC133">
        <f ca="1"/>
      </c>
      <c r="HD133">
        <f ca="1"/>
      </c>
      <c r="HE133">
        <f ca="1"/>
      </c>
      <c r="HF133">
        <f ca="1"/>
      </c>
      <c r="HG133">
        <f ca="1"/>
      </c>
      <c r="HH133">
        <f ca="1"/>
      </c>
      <c r="HI133">
        <f ca="1"/>
      </c>
      <c r="HJ133">
        <f ca="1"/>
      </c>
      <c r="HK133">
        <f ca="1"/>
      </c>
      <c r="HL133">
        <f ca="1"/>
      </c>
      <c r="HM133">
        <f ca="1"/>
      </c>
      <c r="HN133">
        <f ca="1"/>
      </c>
      <c r="HO133">
        <f ca="1"/>
      </c>
      <c r="HP133">
        <f ca="1"/>
      </c>
      <c r="HQ133">
        <f ca="1"/>
      </c>
      <c r="HR133">
        <f ca="1"/>
      </c>
      <c r="HS133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F134">
        <f ca="1"/>
      </c>
      <c r="BG134">
        <f ca="1"/>
      </c>
      <c r="BI134">
        <f ca="1"/>
      </c>
      <c r="BJ134" s="11">
        <f ca="1"/>
      </c>
      <c r="BK134" s="11">
        <f ca="1"/>
      </c>
      <c r="BL134" s="11">
        <f ca="1"/>
      </c>
      <c r="BM134" s="11">
        <f ca="1"/>
      </c>
      <c r="BN134" s="11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GX134">
        <f ca="1"/>
      </c>
      <c r="GY134">
        <f ca="1"/>
      </c>
      <c r="GZ134">
        <f ca="1"/>
      </c>
      <c r="HA134">
        <f ca="1"/>
      </c>
      <c r="HB134">
        <f ca="1"/>
      </c>
      <c r="HC134">
        <f ca="1"/>
      </c>
      <c r="HD134">
        <f ca="1"/>
      </c>
      <c r="HE134">
        <f ca="1"/>
      </c>
      <c r="HF134">
        <f ca="1"/>
      </c>
      <c r="HG134">
        <f ca="1"/>
      </c>
      <c r="HH134">
        <f ca="1"/>
      </c>
      <c r="HI134">
        <f ca="1"/>
      </c>
      <c r="HJ134">
        <f ca="1"/>
      </c>
      <c r="HK134">
        <f ca="1"/>
      </c>
      <c r="HL134">
        <f ca="1"/>
      </c>
      <c r="HM134">
        <f ca="1"/>
      </c>
      <c r="HN134">
        <f ca="1"/>
      </c>
      <c r="HO134">
        <f ca="1"/>
      </c>
      <c r="HP134">
        <f ca="1"/>
      </c>
      <c r="HQ134">
        <f ca="1"/>
      </c>
      <c r="HR134">
        <f ca="1"/>
      </c>
      <c r="HS134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F135">
        <f ca="1"/>
      </c>
      <c r="BG135">
        <f ca="1"/>
      </c>
      <c r="BI135">
        <f ca="1"/>
      </c>
      <c r="BJ135" s="11">
        <f ca="1"/>
      </c>
      <c r="BK135" s="11">
        <f ca="1"/>
      </c>
      <c r="BL135" s="11">
        <f ca="1"/>
      </c>
      <c r="BM135" s="11">
        <f ca="1"/>
      </c>
      <c r="BN135" s="11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GX135">
        <f ca="1"/>
      </c>
      <c r="GY135">
        <f ca="1"/>
      </c>
      <c r="GZ135">
        <f ca="1"/>
      </c>
      <c r="HA135">
        <f ca="1"/>
      </c>
      <c r="HB135">
        <f ca="1"/>
      </c>
      <c r="HC135">
        <f ca="1"/>
      </c>
      <c r="HD135">
        <f ca="1"/>
      </c>
      <c r="HE135">
        <f ca="1"/>
      </c>
      <c r="HF135">
        <f ca="1"/>
      </c>
      <c r="HG135">
        <f ca="1"/>
      </c>
      <c r="HH135">
        <f ca="1"/>
      </c>
      <c r="HI135">
        <f ca="1"/>
      </c>
      <c r="HJ135">
        <f ca="1"/>
      </c>
      <c r="HK135">
        <f ca="1"/>
      </c>
      <c r="HL135">
        <f ca="1"/>
      </c>
      <c r="HM135">
        <f ca="1"/>
      </c>
      <c r="HN135">
        <f ca="1"/>
      </c>
      <c r="HO135">
        <f ca="1"/>
      </c>
      <c r="HP135">
        <f ca="1"/>
      </c>
      <c r="HQ135">
        <f ca="1"/>
      </c>
      <c r="HR135">
        <f ca="1"/>
      </c>
      <c r="HS135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F136">
        <f ca="1"/>
      </c>
      <c r="BG136">
        <f ca="1"/>
      </c>
      <c r="BI136">
        <f ca="1"/>
      </c>
      <c r="BJ136" s="11">
        <f ca="1"/>
      </c>
      <c r="BK136" s="11">
        <f ca="1"/>
      </c>
      <c r="BL136" s="11">
        <f ca="1"/>
      </c>
      <c r="BM136" s="11">
        <f ca="1"/>
      </c>
      <c r="BN136" s="11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GX136">
        <f ca="1"/>
      </c>
      <c r="GY136">
        <f ca="1"/>
      </c>
      <c r="GZ136">
        <f ca="1"/>
      </c>
      <c r="HA136">
        <f ca="1"/>
      </c>
      <c r="HB136">
        <f ca="1"/>
      </c>
      <c r="HC136">
        <f ca="1"/>
      </c>
      <c r="HD136">
        <f ca="1"/>
      </c>
      <c r="HE136">
        <f ca="1"/>
      </c>
      <c r="HF136">
        <f ca="1"/>
      </c>
      <c r="HG136">
        <f ca="1"/>
      </c>
      <c r="HH136">
        <f ca="1"/>
      </c>
      <c r="HI136">
        <f ca="1"/>
      </c>
      <c r="HJ136">
        <f ca="1"/>
      </c>
      <c r="HK136">
        <f ca="1"/>
      </c>
      <c r="HL136">
        <f ca="1"/>
      </c>
      <c r="HM136">
        <f ca="1"/>
      </c>
      <c r="HN136">
        <f ca="1"/>
      </c>
      <c r="HO136">
        <f ca="1"/>
      </c>
      <c r="HP136">
        <f ca="1"/>
      </c>
      <c r="HQ136">
        <f ca="1"/>
      </c>
      <c r="HR136">
        <f ca="1"/>
      </c>
      <c r="HS136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F137">
        <f ca="1"/>
      </c>
      <c r="BG137">
        <f ca="1"/>
      </c>
      <c r="BI137">
        <f ca="1"/>
      </c>
      <c r="BJ137" s="11">
        <f ca="1"/>
      </c>
      <c r="BK137" s="11">
        <f ca="1"/>
      </c>
      <c r="BL137" s="11">
        <f ca="1"/>
      </c>
      <c r="BM137" s="11">
        <f ca="1"/>
      </c>
      <c r="BN137" s="11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GX137">
        <f ca="1"/>
      </c>
      <c r="GY137">
        <f ca="1"/>
      </c>
      <c r="GZ137">
        <f ca="1"/>
      </c>
      <c r="HA137">
        <f ca="1"/>
      </c>
      <c r="HB137">
        <f ca="1"/>
      </c>
      <c r="HC137">
        <f ca="1"/>
      </c>
      <c r="HD137">
        <f ca="1"/>
      </c>
      <c r="HE137">
        <f ca="1"/>
      </c>
      <c r="HF137">
        <f ca="1"/>
      </c>
      <c r="HG137">
        <f ca="1"/>
      </c>
      <c r="HH137">
        <f ca="1"/>
      </c>
      <c r="HI137">
        <f ca="1"/>
      </c>
      <c r="HJ137">
        <f ca="1"/>
      </c>
      <c r="HK137">
        <f ca="1"/>
      </c>
      <c r="HL137">
        <f ca="1"/>
      </c>
      <c r="HM137">
        <f ca="1"/>
      </c>
      <c r="HN137">
        <f ca="1"/>
      </c>
      <c r="HO137">
        <f ca="1"/>
      </c>
      <c r="HP137">
        <f ca="1"/>
      </c>
      <c r="HQ137">
        <f ca="1"/>
      </c>
      <c r="HR137">
        <f ca="1"/>
      </c>
      <c r="HS137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F138">
        <f ca="1"/>
      </c>
      <c r="BG138">
        <f ca="1"/>
      </c>
      <c r="BI138">
        <f ca="1"/>
      </c>
      <c r="BJ138" s="11">
        <f ca="1"/>
      </c>
      <c r="BK138" s="11">
        <f ca="1"/>
      </c>
      <c r="BL138" s="11">
        <f ca="1"/>
      </c>
      <c r="BM138" s="11">
        <f ca="1"/>
      </c>
      <c r="BN138" s="11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GX138">
        <f ca="1"/>
      </c>
      <c r="GY138">
        <f ca="1"/>
      </c>
      <c r="GZ138">
        <f ca="1"/>
      </c>
      <c r="HA138">
        <f ca="1"/>
      </c>
      <c r="HB138">
        <f ca="1"/>
      </c>
      <c r="HC138">
        <f ca="1"/>
      </c>
      <c r="HD138">
        <f ca="1"/>
      </c>
      <c r="HE138">
        <f ca="1"/>
      </c>
      <c r="HF138">
        <f ca="1"/>
      </c>
      <c r="HG138">
        <f ca="1"/>
      </c>
      <c r="HH138">
        <f ca="1"/>
      </c>
      <c r="HI138">
        <f ca="1"/>
      </c>
      <c r="HJ138">
        <f ca="1"/>
      </c>
      <c r="HK138">
        <f ca="1"/>
      </c>
      <c r="HL138">
        <f ca="1"/>
      </c>
      <c r="HM138">
        <f ca="1"/>
      </c>
      <c r="HN138">
        <f ca="1"/>
      </c>
      <c r="HO138">
        <f ca="1"/>
      </c>
      <c r="HP138">
        <f ca="1"/>
      </c>
      <c r="HQ138">
        <f ca="1"/>
      </c>
      <c r="HR138">
        <f ca="1"/>
      </c>
      <c r="HS138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F139">
        <f ca="1"/>
      </c>
      <c r="BG139">
        <f ca="1"/>
      </c>
      <c r="BI139">
        <f ca="1"/>
      </c>
      <c r="BJ139" s="11">
        <f ca="1"/>
      </c>
      <c r="BK139" s="11">
        <f ca="1"/>
      </c>
      <c r="BL139" s="11">
        <f ca="1"/>
      </c>
      <c r="BM139" s="11">
        <f ca="1"/>
      </c>
      <c r="BN139" s="11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GX139">
        <f ca="1"/>
      </c>
      <c r="GY139">
        <f ca="1"/>
      </c>
      <c r="GZ139">
        <f ca="1"/>
      </c>
      <c r="HA139">
        <f ca="1"/>
      </c>
      <c r="HB139">
        <f ca="1"/>
      </c>
      <c r="HC139">
        <f ca="1"/>
      </c>
      <c r="HD139">
        <f ca="1"/>
      </c>
      <c r="HE139">
        <f ca="1"/>
      </c>
      <c r="HF139">
        <f ca="1"/>
      </c>
      <c r="HG139">
        <f ca="1"/>
      </c>
      <c r="HH139">
        <f ca="1"/>
      </c>
      <c r="HI139">
        <f ca="1"/>
      </c>
      <c r="HJ139">
        <f ca="1"/>
      </c>
      <c r="HK139">
        <f ca="1"/>
      </c>
      <c r="HL139">
        <f ca="1"/>
      </c>
      <c r="HM139">
        <f ca="1"/>
      </c>
      <c r="HN139">
        <f ca="1"/>
      </c>
      <c r="HO139">
        <f ca="1"/>
      </c>
      <c r="HP139">
        <f ca="1"/>
      </c>
      <c r="HQ139">
        <f ca="1"/>
      </c>
      <c r="HR139">
        <f ca="1"/>
      </c>
      <c r="HS139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F140">
        <f ca="1"/>
      </c>
      <c r="BG140">
        <f ca="1"/>
      </c>
      <c r="BI140">
        <f ca="1"/>
      </c>
      <c r="BJ140" s="11">
        <f ca="1"/>
      </c>
      <c r="BK140" s="11">
        <f ca="1"/>
      </c>
      <c r="BL140" s="11">
        <f ca="1"/>
      </c>
      <c r="BM140" s="11">
        <f ca="1"/>
      </c>
      <c r="BN140" s="11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GX140">
        <f ca="1"/>
      </c>
      <c r="GY140">
        <f ca="1"/>
      </c>
      <c r="GZ140">
        <f ca="1"/>
      </c>
      <c r="HA140">
        <f ca="1"/>
      </c>
      <c r="HB140">
        <f ca="1"/>
      </c>
      <c r="HC140">
        <f ca="1"/>
      </c>
      <c r="HD140">
        <f ca="1"/>
      </c>
      <c r="HE140">
        <f ca="1"/>
      </c>
      <c r="HF140">
        <f ca="1"/>
      </c>
      <c r="HG140">
        <f ca="1"/>
      </c>
      <c r="HH140">
        <f ca="1"/>
      </c>
      <c r="HI140">
        <f ca="1"/>
      </c>
      <c r="HJ140">
        <f ca="1"/>
      </c>
      <c r="HK140">
        <f ca="1"/>
      </c>
      <c r="HL140">
        <f ca="1"/>
      </c>
      <c r="HM140">
        <f ca="1"/>
      </c>
      <c r="HN140">
        <f ca="1"/>
      </c>
      <c r="HO140">
        <f ca="1"/>
      </c>
      <c r="HP140">
        <f ca="1"/>
      </c>
      <c r="HQ140">
        <f ca="1"/>
      </c>
      <c r="HR140">
        <f ca="1"/>
      </c>
      <c r="HS140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F141">
        <f ca="1"/>
      </c>
      <c r="BG141">
        <f ca="1"/>
      </c>
      <c r="BI141">
        <f ca="1"/>
      </c>
      <c r="BJ141" s="11">
        <f ca="1"/>
      </c>
      <c r="BK141" s="11">
        <f ca="1"/>
      </c>
      <c r="BL141" s="11">
        <f ca="1"/>
      </c>
      <c r="BM141" s="11">
        <f ca="1"/>
      </c>
      <c r="BN141" s="1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GX141">
        <f ca="1"/>
      </c>
      <c r="GY141">
        <f ca="1"/>
      </c>
      <c r="GZ141">
        <f ca="1"/>
      </c>
      <c r="HA141">
        <f ca="1"/>
      </c>
      <c r="HB141">
        <f ca="1"/>
      </c>
      <c r="HC141">
        <f ca="1"/>
      </c>
      <c r="HD141">
        <f ca="1"/>
      </c>
      <c r="HE141">
        <f ca="1"/>
      </c>
      <c r="HF141">
        <f ca="1"/>
      </c>
      <c r="HG141">
        <f ca="1"/>
      </c>
      <c r="HH141">
        <f ca="1"/>
      </c>
      <c r="HI141">
        <f ca="1"/>
      </c>
      <c r="HJ141">
        <f ca="1"/>
      </c>
      <c r="HK141">
        <f ca="1"/>
      </c>
      <c r="HL141">
        <f ca="1"/>
      </c>
      <c r="HM141">
        <f ca="1"/>
      </c>
      <c r="HN141">
        <f ca="1"/>
      </c>
      <c r="HO141">
        <f ca="1"/>
      </c>
      <c r="HP141">
        <f ca="1"/>
      </c>
      <c r="HQ141">
        <f ca="1"/>
      </c>
      <c r="HR141">
        <f ca="1"/>
      </c>
      <c r="HS14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F142">
        <f ca="1"/>
      </c>
      <c r="BG142">
        <f ca="1"/>
      </c>
      <c r="BI142">
        <f ca="1"/>
      </c>
      <c r="BJ142" s="11">
        <f ca="1"/>
      </c>
      <c r="BK142" s="11">
        <f ca="1"/>
      </c>
      <c r="BL142" s="11">
        <f ca="1"/>
      </c>
      <c r="BM142" s="11">
        <f ca="1"/>
      </c>
      <c r="BN142" s="11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GX142">
        <f ca="1"/>
      </c>
      <c r="GY142">
        <f ca="1"/>
      </c>
      <c r="GZ142">
        <f ca="1"/>
      </c>
      <c r="HA142">
        <f ca="1"/>
      </c>
      <c r="HB142">
        <f ca="1"/>
      </c>
      <c r="HC142">
        <f ca="1"/>
      </c>
      <c r="HD142">
        <f ca="1"/>
      </c>
      <c r="HE142">
        <f ca="1"/>
      </c>
      <c r="HF142">
        <f ca="1"/>
      </c>
      <c r="HG142">
        <f ca="1"/>
      </c>
      <c r="HH142">
        <f ca="1"/>
      </c>
      <c r="HI142">
        <f ca="1"/>
      </c>
      <c r="HJ142">
        <f ca="1"/>
      </c>
      <c r="HK142">
        <f ca="1"/>
      </c>
      <c r="HL142">
        <f ca="1"/>
      </c>
      <c r="HM142">
        <f ca="1"/>
      </c>
      <c r="HN142">
        <f ca="1"/>
      </c>
      <c r="HO142">
        <f ca="1"/>
      </c>
      <c r="HP142">
        <f ca="1"/>
      </c>
      <c r="HQ142">
        <f ca="1"/>
      </c>
      <c r="HR142">
        <f ca="1"/>
      </c>
      <c r="HS142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F143">
        <f ca="1"/>
      </c>
      <c r="BG143">
        <f ca="1"/>
      </c>
      <c r="BI143">
        <f ca="1"/>
      </c>
      <c r="BJ143" s="11">
        <f ca="1"/>
      </c>
      <c r="BK143" s="11">
        <f ca="1"/>
      </c>
      <c r="BL143" s="11">
        <f ca="1"/>
      </c>
      <c r="BM143" s="11">
        <f ca="1"/>
      </c>
      <c r="BN143" s="11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GX143">
        <f ca="1"/>
      </c>
      <c r="GY143">
        <f ca="1"/>
      </c>
      <c r="GZ143">
        <f ca="1"/>
      </c>
      <c r="HA143">
        <f ca="1"/>
      </c>
      <c r="HB143">
        <f ca="1"/>
      </c>
      <c r="HC143">
        <f ca="1"/>
      </c>
      <c r="HD143">
        <f ca="1"/>
      </c>
      <c r="HE143">
        <f ca="1"/>
      </c>
      <c r="HF143">
        <f ca="1"/>
      </c>
      <c r="HG143">
        <f ca="1"/>
      </c>
      <c r="HH143">
        <f ca="1"/>
      </c>
      <c r="HI143">
        <f ca="1"/>
      </c>
      <c r="HJ143">
        <f ca="1"/>
      </c>
      <c r="HK143">
        <f ca="1"/>
      </c>
      <c r="HL143">
        <f ca="1"/>
      </c>
      <c r="HM143">
        <f ca="1"/>
      </c>
      <c r="HN143">
        <f ca="1"/>
      </c>
      <c r="HO143">
        <f ca="1"/>
      </c>
      <c r="HP143">
        <f ca="1"/>
      </c>
      <c r="HQ143">
        <f ca="1"/>
      </c>
      <c r="HR143">
        <f ca="1"/>
      </c>
      <c r="HS143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F144">
        <f ca="1"/>
      </c>
      <c r="BG144">
        <f ca="1"/>
      </c>
      <c r="BI144">
        <f ca="1"/>
      </c>
      <c r="BJ144" s="11">
        <f ca="1"/>
      </c>
      <c r="BK144" s="11">
        <f ca="1"/>
      </c>
      <c r="BL144" s="11">
        <f ca="1"/>
      </c>
      <c r="BM144" s="11">
        <f ca="1"/>
      </c>
      <c r="BN144" s="11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GX144">
        <f ca="1"/>
      </c>
      <c r="GY144">
        <f ca="1"/>
      </c>
      <c r="GZ144">
        <f ca="1"/>
      </c>
      <c r="HA144">
        <f ca="1"/>
      </c>
      <c r="HB144">
        <f ca="1"/>
      </c>
      <c r="HC144">
        <f ca="1"/>
      </c>
      <c r="HD144">
        <f ca="1"/>
      </c>
      <c r="HE144">
        <f ca="1"/>
      </c>
      <c r="HF144">
        <f ca="1"/>
      </c>
      <c r="HG144">
        <f ca="1"/>
      </c>
      <c r="HH144">
        <f ca="1"/>
      </c>
      <c r="HI144">
        <f ca="1"/>
      </c>
      <c r="HJ144">
        <f ca="1"/>
      </c>
      <c r="HK144">
        <f ca="1"/>
      </c>
      <c r="HL144">
        <f ca="1"/>
      </c>
      <c r="HM144">
        <f ca="1"/>
      </c>
      <c r="HN144">
        <f ca="1"/>
      </c>
      <c r="HO144">
        <f ca="1"/>
      </c>
      <c r="HP144">
        <f ca="1"/>
      </c>
      <c r="HQ144">
        <f ca="1"/>
      </c>
      <c r="HR144">
        <f ca="1"/>
      </c>
      <c r="HS144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F145">
        <f ca="1"/>
      </c>
      <c r="BG145">
        <f ca="1"/>
      </c>
      <c r="BI145">
        <f ca="1"/>
      </c>
      <c r="BJ145" s="11">
        <f ca="1"/>
      </c>
      <c r="BK145" s="11">
        <f ca="1"/>
      </c>
      <c r="BL145" s="11">
        <f ca="1"/>
      </c>
      <c r="BM145" s="11">
        <f ca="1"/>
      </c>
      <c r="BN145" s="11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GX145">
        <f ca="1"/>
      </c>
      <c r="GY145">
        <f ca="1"/>
      </c>
      <c r="GZ145">
        <f ca="1"/>
      </c>
      <c r="HA145">
        <f ca="1"/>
      </c>
      <c r="HB145">
        <f ca="1"/>
      </c>
      <c r="HC145">
        <f ca="1"/>
      </c>
      <c r="HD145">
        <f ca="1"/>
      </c>
      <c r="HE145">
        <f ca="1"/>
      </c>
      <c r="HF145">
        <f ca="1"/>
      </c>
      <c r="HG145">
        <f ca="1"/>
      </c>
      <c r="HH145">
        <f ca="1"/>
      </c>
      <c r="HI145">
        <f ca="1"/>
      </c>
      <c r="HJ145">
        <f ca="1"/>
      </c>
      <c r="HK145">
        <f ca="1"/>
      </c>
      <c r="HL145">
        <f ca="1"/>
      </c>
      <c r="HM145">
        <f ca="1"/>
      </c>
      <c r="HN145">
        <f ca="1"/>
      </c>
      <c r="HO145">
        <f ca="1"/>
      </c>
      <c r="HP145">
        <f ca="1"/>
      </c>
      <c r="HQ145">
        <f ca="1"/>
      </c>
      <c r="HR145">
        <f ca="1"/>
      </c>
      <c r="HS145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F146">
        <f ca="1"/>
      </c>
      <c r="BG146">
        <f ca="1"/>
      </c>
      <c r="BI146">
        <f ca="1"/>
      </c>
      <c r="BJ146" s="11">
        <f ca="1"/>
      </c>
      <c r="BK146" s="11">
        <f ca="1"/>
      </c>
      <c r="BL146" s="11">
        <f ca="1"/>
      </c>
      <c r="BM146" s="11">
        <f ca="1"/>
      </c>
      <c r="BN146" s="11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GX146">
        <f ca="1"/>
      </c>
      <c r="GY146">
        <f ca="1"/>
      </c>
      <c r="GZ146">
        <f ca="1"/>
      </c>
      <c r="HA146">
        <f ca="1"/>
      </c>
      <c r="HB146">
        <f ca="1"/>
      </c>
      <c r="HC146">
        <f ca="1"/>
      </c>
      <c r="HD146">
        <f ca="1"/>
      </c>
      <c r="HE146">
        <f ca="1"/>
      </c>
      <c r="HF146">
        <f ca="1"/>
      </c>
      <c r="HG146">
        <f ca="1"/>
      </c>
      <c r="HH146">
        <f ca="1"/>
      </c>
      <c r="HI146">
        <f ca="1"/>
      </c>
      <c r="HJ146">
        <f ca="1"/>
      </c>
      <c r="HK146">
        <f ca="1"/>
      </c>
      <c r="HL146">
        <f ca="1"/>
      </c>
      <c r="HM146">
        <f ca="1"/>
      </c>
      <c r="HN146">
        <f ca="1"/>
      </c>
      <c r="HO146">
        <f ca="1"/>
      </c>
      <c r="HP146">
        <f ca="1"/>
      </c>
      <c r="HQ146">
        <f ca="1"/>
      </c>
      <c r="HR146">
        <f ca="1"/>
      </c>
      <c r="HS146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F147">
        <f ca="1"/>
      </c>
      <c r="BG147">
        <f ca="1"/>
      </c>
      <c r="BI147">
        <f ca="1"/>
      </c>
      <c r="BJ147" s="11">
        <f ca="1"/>
      </c>
      <c r="BK147" s="11">
        <f ca="1"/>
      </c>
      <c r="BL147" s="11">
        <f ca="1"/>
      </c>
      <c r="BM147" s="11">
        <f ca="1"/>
      </c>
      <c r="BN147" s="11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GX147">
        <f ca="1"/>
      </c>
      <c r="GY147">
        <f ca="1"/>
      </c>
      <c r="GZ147">
        <f ca="1"/>
      </c>
      <c r="HA147">
        <f ca="1"/>
      </c>
      <c r="HB147">
        <f ca="1"/>
      </c>
      <c r="HC147">
        <f ca="1"/>
      </c>
      <c r="HD147">
        <f ca="1"/>
      </c>
      <c r="HE147">
        <f ca="1"/>
      </c>
      <c r="HF147">
        <f ca="1"/>
      </c>
      <c r="HG147">
        <f ca="1"/>
      </c>
      <c r="HH147">
        <f ca="1"/>
      </c>
      <c r="HI147">
        <f ca="1"/>
      </c>
      <c r="HJ147">
        <f ca="1"/>
      </c>
      <c r="HK147">
        <f ca="1"/>
      </c>
      <c r="HL147">
        <f ca="1"/>
      </c>
      <c r="HM147">
        <f ca="1"/>
      </c>
      <c r="HN147">
        <f ca="1"/>
      </c>
      <c r="HO147">
        <f ca="1"/>
      </c>
      <c r="HP147">
        <f ca="1"/>
      </c>
      <c r="HQ147">
        <f ca="1"/>
      </c>
      <c r="HR147">
        <f ca="1"/>
      </c>
      <c r="HS147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F148">
        <f ca="1"/>
      </c>
      <c r="BG148">
        <f ca="1"/>
      </c>
      <c r="BI148">
        <f ca="1"/>
      </c>
      <c r="BJ148" s="11">
        <f ca="1"/>
      </c>
      <c r="BK148" s="11">
        <f ca="1"/>
      </c>
      <c r="BL148" s="11">
        <f ca="1"/>
      </c>
      <c r="BM148" s="11">
        <f ca="1"/>
      </c>
      <c r="BN148" s="11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GX148">
        <f ca="1"/>
      </c>
      <c r="GY148">
        <f ca="1"/>
      </c>
      <c r="GZ148">
        <f ca="1"/>
      </c>
      <c r="HA148">
        <f ca="1"/>
      </c>
      <c r="HB148">
        <f ca="1"/>
      </c>
      <c r="HC148">
        <f ca="1"/>
      </c>
      <c r="HD148">
        <f ca="1"/>
      </c>
      <c r="HE148">
        <f ca="1"/>
      </c>
      <c r="HF148">
        <f ca="1"/>
      </c>
      <c r="HG148">
        <f ca="1"/>
      </c>
      <c r="HH148">
        <f ca="1"/>
      </c>
      <c r="HI148">
        <f ca="1"/>
      </c>
      <c r="HJ148">
        <f ca="1"/>
      </c>
      <c r="HK148">
        <f ca="1"/>
      </c>
      <c r="HL148">
        <f ca="1"/>
      </c>
      <c r="HM148">
        <f ca="1"/>
      </c>
      <c r="HN148">
        <f ca="1"/>
      </c>
      <c r="HO148">
        <f ca="1"/>
      </c>
      <c r="HP148">
        <f ca="1"/>
      </c>
      <c r="HQ148">
        <f ca="1"/>
      </c>
      <c r="HR148">
        <f ca="1"/>
      </c>
      <c r="HS148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F149">
        <f ca="1"/>
      </c>
      <c r="BG149">
        <f ca="1"/>
      </c>
      <c r="BI149">
        <f ca="1"/>
      </c>
      <c r="BJ149" s="11">
        <f ca="1"/>
      </c>
      <c r="BK149" s="11">
        <f ca="1"/>
      </c>
      <c r="BL149" s="11">
        <f ca="1"/>
      </c>
      <c r="BM149" s="11">
        <f ca="1"/>
      </c>
      <c r="BN149" s="11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GX149">
        <f ca="1"/>
      </c>
      <c r="GY149">
        <f ca="1"/>
      </c>
      <c r="GZ149">
        <f ca="1"/>
      </c>
      <c r="HA149">
        <f ca="1"/>
      </c>
      <c r="HB149">
        <f ca="1"/>
      </c>
      <c r="HC149">
        <f ca="1"/>
      </c>
      <c r="HD149">
        <f ca="1"/>
      </c>
      <c r="HE149">
        <f ca="1"/>
      </c>
      <c r="HF149">
        <f ca="1"/>
      </c>
      <c r="HG149">
        <f ca="1"/>
      </c>
      <c r="HH149">
        <f ca="1"/>
      </c>
      <c r="HI149">
        <f ca="1"/>
      </c>
      <c r="HJ149">
        <f ca="1"/>
      </c>
      <c r="HK149">
        <f ca="1"/>
      </c>
      <c r="HL149">
        <f ca="1"/>
      </c>
      <c r="HM149">
        <f ca="1"/>
      </c>
      <c r="HN149">
        <f ca="1"/>
      </c>
      <c r="HO149">
        <f ca="1"/>
      </c>
      <c r="HP149">
        <f ca="1"/>
      </c>
      <c r="HQ149">
        <f ca="1"/>
      </c>
      <c r="HR149">
        <f ca="1"/>
      </c>
      <c r="HS149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F150">
        <f ca="1"/>
      </c>
      <c r="BG150">
        <f ca="1"/>
      </c>
      <c r="BI150">
        <f ca="1"/>
      </c>
      <c r="BJ150" s="11">
        <f ca="1"/>
      </c>
      <c r="BK150" s="11">
        <f ca="1"/>
      </c>
      <c r="BL150" s="11">
        <f ca="1"/>
      </c>
      <c r="BM150" s="11">
        <f ca="1"/>
      </c>
      <c r="BN150" s="11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GX150">
        <f ca="1"/>
      </c>
      <c r="GY150">
        <f ca="1"/>
      </c>
      <c r="GZ150">
        <f ca="1"/>
      </c>
      <c r="HA150">
        <f ca="1"/>
      </c>
      <c r="HB150">
        <f ca="1"/>
      </c>
      <c r="HC150">
        <f ca="1"/>
      </c>
      <c r="HD150">
        <f ca="1"/>
      </c>
      <c r="HE150">
        <f ca="1"/>
      </c>
      <c r="HF150">
        <f ca="1"/>
      </c>
      <c r="HG150">
        <f ca="1"/>
      </c>
      <c r="HH150">
        <f ca="1"/>
      </c>
      <c r="HI150">
        <f ca="1"/>
      </c>
      <c r="HJ150">
        <f ca="1"/>
      </c>
      <c r="HK150">
        <f ca="1"/>
      </c>
      <c r="HL150">
        <f ca="1"/>
      </c>
      <c r="HM150">
        <f ca="1"/>
      </c>
      <c r="HN150">
        <f ca="1"/>
      </c>
      <c r="HO150">
        <f ca="1"/>
      </c>
      <c r="HP150">
        <f ca="1"/>
      </c>
      <c r="HQ150">
        <f ca="1"/>
      </c>
      <c r="HR150">
        <f ca="1"/>
      </c>
      <c r="HS150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F151">
        <f ca="1"/>
      </c>
      <c r="BG151">
        <f ca="1"/>
      </c>
      <c r="BI151">
        <f ca="1"/>
      </c>
      <c r="BJ151" s="11">
        <f ca="1"/>
      </c>
      <c r="BK151" s="11">
        <f ca="1"/>
      </c>
      <c r="BL151" s="11">
        <f ca="1"/>
      </c>
      <c r="BM151" s="11">
        <f ca="1"/>
      </c>
      <c r="BN151" s="1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GX151">
        <f ca="1"/>
      </c>
      <c r="GY151">
        <f ca="1"/>
      </c>
      <c r="GZ151">
        <f ca="1"/>
      </c>
      <c r="HA151">
        <f ca="1"/>
      </c>
      <c r="HB151">
        <f ca="1"/>
      </c>
      <c r="HC151">
        <f ca="1"/>
      </c>
      <c r="HD151">
        <f ca="1"/>
      </c>
      <c r="HE151">
        <f ca="1"/>
      </c>
      <c r="HF151">
        <f ca="1"/>
      </c>
      <c r="HG151">
        <f ca="1"/>
      </c>
      <c r="HH151">
        <f ca="1"/>
      </c>
      <c r="HI151">
        <f ca="1"/>
      </c>
      <c r="HJ151">
        <f ca="1"/>
      </c>
      <c r="HK151">
        <f ca="1"/>
      </c>
      <c r="HL151">
        <f ca="1"/>
      </c>
      <c r="HM151">
        <f ca="1"/>
      </c>
      <c r="HN151">
        <f ca="1"/>
      </c>
      <c r="HO151">
        <f ca="1"/>
      </c>
      <c r="HP151">
        <f ca="1"/>
      </c>
      <c r="HQ151">
        <f ca="1"/>
      </c>
      <c r="HR151">
        <f ca="1"/>
      </c>
      <c r="HS15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F152">
        <f ca="1"/>
      </c>
      <c r="BG152">
        <f ca="1"/>
      </c>
      <c r="BI152">
        <f ca="1"/>
      </c>
      <c r="BJ152" s="11">
        <f ca="1"/>
      </c>
      <c r="BK152" s="11">
        <f ca="1"/>
      </c>
      <c r="BL152" s="11">
        <f ca="1"/>
      </c>
      <c r="BM152" s="11">
        <f ca="1"/>
      </c>
      <c r="BN152" s="11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GX152">
        <f ca="1"/>
      </c>
      <c r="GY152">
        <f ca="1"/>
      </c>
      <c r="GZ152">
        <f ca="1"/>
      </c>
      <c r="HA152">
        <f ca="1"/>
      </c>
      <c r="HB152">
        <f ca="1"/>
      </c>
      <c r="HC152">
        <f ca="1"/>
      </c>
      <c r="HD152">
        <f ca="1"/>
      </c>
      <c r="HE152">
        <f ca="1"/>
      </c>
      <c r="HF152">
        <f ca="1"/>
      </c>
      <c r="HG152">
        <f ca="1"/>
      </c>
      <c r="HH152">
        <f ca="1"/>
      </c>
      <c r="HI152">
        <f ca="1"/>
      </c>
      <c r="HJ152">
        <f ca="1"/>
      </c>
      <c r="HK152">
        <f ca="1"/>
      </c>
      <c r="HL152">
        <f ca="1"/>
      </c>
      <c r="HM152">
        <f ca="1"/>
      </c>
      <c r="HN152">
        <f ca="1"/>
      </c>
      <c r="HO152">
        <f ca="1"/>
      </c>
      <c r="HP152">
        <f ca="1"/>
      </c>
      <c r="HQ152">
        <f ca="1"/>
      </c>
      <c r="HR152">
        <f ca="1"/>
      </c>
      <c r="HS152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F153">
        <f ca="1"/>
      </c>
      <c r="BG153">
        <f ca="1"/>
      </c>
      <c r="BI153">
        <f ca="1"/>
      </c>
      <c r="BJ153" s="11">
        <f ca="1"/>
      </c>
      <c r="BK153" s="11">
        <f ca="1"/>
      </c>
      <c r="BL153" s="11">
        <f ca="1"/>
      </c>
      <c r="BM153" s="11">
        <f ca="1"/>
      </c>
      <c r="BN153" s="11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GX153">
        <f ca="1"/>
      </c>
      <c r="GY153">
        <f ca="1"/>
      </c>
      <c r="GZ153">
        <f ca="1"/>
      </c>
      <c r="HA153">
        <f ca="1"/>
      </c>
      <c r="HB153">
        <f ca="1"/>
      </c>
      <c r="HC153">
        <f ca="1"/>
      </c>
      <c r="HD153">
        <f ca="1"/>
      </c>
      <c r="HE153">
        <f ca="1"/>
      </c>
      <c r="HF153">
        <f ca="1"/>
      </c>
      <c r="HG153">
        <f ca="1"/>
      </c>
      <c r="HH153">
        <f ca="1"/>
      </c>
      <c r="HI153">
        <f ca="1"/>
      </c>
      <c r="HJ153">
        <f ca="1"/>
      </c>
      <c r="HK153">
        <f ca="1"/>
      </c>
      <c r="HL153">
        <f ca="1"/>
      </c>
      <c r="HM153">
        <f ca="1"/>
      </c>
      <c r="HN153">
        <f ca="1"/>
      </c>
      <c r="HO153">
        <f ca="1"/>
      </c>
      <c r="HP153">
        <f ca="1"/>
      </c>
      <c r="HQ153">
        <f ca="1"/>
      </c>
      <c r="HR153">
        <f ca="1"/>
      </c>
      <c r="HS153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F154">
        <f ca="1"/>
      </c>
      <c r="BG154">
        <f ca="1"/>
      </c>
      <c r="BI154">
        <f ca="1"/>
      </c>
      <c r="BJ154" s="11">
        <f ca="1"/>
      </c>
      <c r="BK154" s="11">
        <f ca="1"/>
      </c>
      <c r="BL154" s="11">
        <f ca="1"/>
      </c>
      <c r="BM154" s="11">
        <f ca="1"/>
      </c>
      <c r="BN154" s="11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GX154">
        <f ca="1"/>
      </c>
      <c r="GY154">
        <f ca="1"/>
      </c>
      <c r="GZ154">
        <f ca="1"/>
      </c>
      <c r="HA154">
        <f ca="1"/>
      </c>
      <c r="HB154">
        <f ca="1"/>
      </c>
      <c r="HC154">
        <f ca="1"/>
      </c>
      <c r="HD154">
        <f ca="1"/>
      </c>
      <c r="HE154">
        <f ca="1"/>
      </c>
      <c r="HF154">
        <f ca="1"/>
      </c>
      <c r="HG154">
        <f ca="1"/>
      </c>
      <c r="HH154">
        <f ca="1"/>
      </c>
      <c r="HI154">
        <f ca="1"/>
      </c>
      <c r="HJ154">
        <f ca="1"/>
      </c>
      <c r="HK154">
        <f ca="1"/>
      </c>
      <c r="HL154">
        <f ca="1"/>
      </c>
      <c r="HM154">
        <f ca="1"/>
      </c>
      <c r="HN154">
        <f ca="1"/>
      </c>
      <c r="HO154">
        <f ca="1"/>
      </c>
      <c r="HP154">
        <f ca="1"/>
      </c>
      <c r="HQ154">
        <f ca="1"/>
      </c>
      <c r="HR154">
        <f ca="1"/>
      </c>
      <c r="HS154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F155">
        <f ca="1"/>
      </c>
      <c r="BG155">
        <f ca="1"/>
      </c>
      <c r="BI155">
        <f ca="1"/>
      </c>
      <c r="BJ155" s="11">
        <f ca="1"/>
      </c>
      <c r="BK155" s="11">
        <f ca="1"/>
      </c>
      <c r="BL155" s="11">
        <f ca="1"/>
      </c>
      <c r="BM155" s="11">
        <f ca="1"/>
      </c>
      <c r="BN155" s="11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GX155">
        <f ca="1"/>
      </c>
      <c r="GY155">
        <f ca="1"/>
      </c>
      <c r="GZ155">
        <f ca="1"/>
      </c>
      <c r="HA155">
        <f ca="1"/>
      </c>
      <c r="HB155">
        <f ca="1"/>
      </c>
      <c r="HC155">
        <f ca="1"/>
      </c>
      <c r="HD155">
        <f ca="1"/>
      </c>
      <c r="HE155">
        <f ca="1"/>
      </c>
      <c r="HF155">
        <f ca="1"/>
      </c>
      <c r="HG155">
        <f ca="1"/>
      </c>
      <c r="HH155">
        <f ca="1"/>
      </c>
      <c r="HI155">
        <f ca="1"/>
      </c>
      <c r="HJ155">
        <f ca="1"/>
      </c>
      <c r="HK155">
        <f ca="1"/>
      </c>
      <c r="HL155">
        <f ca="1"/>
      </c>
      <c r="HM155">
        <f ca="1"/>
      </c>
      <c r="HN155">
        <f ca="1"/>
      </c>
      <c r="HO155">
        <f ca="1"/>
      </c>
      <c r="HP155">
        <f ca="1"/>
      </c>
      <c r="HQ155">
        <f ca="1"/>
      </c>
      <c r="HR155">
        <f ca="1"/>
      </c>
      <c r="HS155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F156">
        <f ca="1"/>
      </c>
      <c r="BG156">
        <f ca="1"/>
      </c>
      <c r="BI156">
        <f ca="1"/>
      </c>
      <c r="BJ156" s="11">
        <f ca="1"/>
      </c>
      <c r="BK156" s="11">
        <f ca="1"/>
      </c>
      <c r="BL156" s="11">
        <f ca="1"/>
      </c>
      <c r="BM156" s="11">
        <f ca="1"/>
      </c>
      <c r="BN156" s="11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GX156">
        <f ca="1"/>
      </c>
      <c r="GY156">
        <f ca="1"/>
      </c>
      <c r="GZ156">
        <f ca="1"/>
      </c>
      <c r="HA156">
        <f ca="1"/>
      </c>
      <c r="HB156">
        <f ca="1"/>
      </c>
      <c r="HC156">
        <f ca="1"/>
      </c>
      <c r="HD156">
        <f ca="1"/>
      </c>
      <c r="HE156">
        <f ca="1"/>
      </c>
      <c r="HF156">
        <f ca="1"/>
      </c>
      <c r="HG156">
        <f ca="1"/>
      </c>
      <c r="HH156">
        <f ca="1"/>
      </c>
      <c r="HI156">
        <f ca="1"/>
      </c>
      <c r="HJ156">
        <f ca="1"/>
      </c>
      <c r="HK156">
        <f ca="1"/>
      </c>
      <c r="HL156">
        <f ca="1"/>
      </c>
      <c r="HM156">
        <f ca="1"/>
      </c>
      <c r="HN156">
        <f ca="1"/>
      </c>
      <c r="HO156">
        <f ca="1"/>
      </c>
      <c r="HP156">
        <f ca="1"/>
      </c>
      <c r="HQ156">
        <f ca="1"/>
      </c>
      <c r="HR156">
        <f ca="1"/>
      </c>
      <c r="HS156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F157">
        <f ca="1"/>
      </c>
      <c r="BG157">
        <f ca="1"/>
      </c>
      <c r="BI157">
        <f ca="1"/>
      </c>
      <c r="BJ157" s="11">
        <f ca="1"/>
      </c>
      <c r="BK157" s="11">
        <f ca="1"/>
      </c>
      <c r="BL157" s="11">
        <f ca="1"/>
      </c>
      <c r="BM157" s="11">
        <f ca="1"/>
      </c>
      <c r="BN157" s="11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GX157">
        <f ca="1"/>
      </c>
      <c r="GY157">
        <f ca="1"/>
      </c>
      <c r="GZ157">
        <f ca="1"/>
      </c>
      <c r="HA157">
        <f ca="1"/>
      </c>
      <c r="HB157">
        <f ca="1"/>
      </c>
      <c r="HC157">
        <f ca="1"/>
      </c>
      <c r="HD157">
        <f ca="1"/>
      </c>
      <c r="HE157">
        <f ca="1"/>
      </c>
      <c r="HF157">
        <f ca="1"/>
      </c>
      <c r="HG157">
        <f ca="1"/>
      </c>
      <c r="HH157">
        <f ca="1"/>
      </c>
      <c r="HI157">
        <f ca="1"/>
      </c>
      <c r="HJ157">
        <f ca="1"/>
      </c>
      <c r="HK157">
        <f ca="1"/>
      </c>
      <c r="HL157">
        <f ca="1"/>
      </c>
      <c r="HM157">
        <f ca="1"/>
      </c>
      <c r="HN157">
        <f ca="1"/>
      </c>
      <c r="HO157">
        <f ca="1"/>
      </c>
      <c r="HP157">
        <f ca="1"/>
      </c>
      <c r="HQ157">
        <f ca="1"/>
      </c>
      <c r="HR157">
        <f ca="1"/>
      </c>
      <c r="HS157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F158">
        <f ca="1"/>
      </c>
      <c r="BG158">
        <f ca="1"/>
      </c>
      <c r="BI158">
        <f ca="1"/>
      </c>
      <c r="BJ158" s="11">
        <f ca="1"/>
      </c>
      <c r="BK158" s="11">
        <f ca="1"/>
      </c>
      <c r="BL158" s="11">
        <f ca="1"/>
      </c>
      <c r="BM158" s="11">
        <f ca="1"/>
      </c>
      <c r="BN158" s="11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GX158">
        <f ca="1"/>
      </c>
      <c r="GY158">
        <f ca="1"/>
      </c>
      <c r="GZ158">
        <f ca="1"/>
      </c>
      <c r="HA158">
        <f ca="1"/>
      </c>
      <c r="HB158">
        <f ca="1"/>
      </c>
      <c r="HC158">
        <f ca="1"/>
      </c>
      <c r="HD158">
        <f ca="1"/>
      </c>
      <c r="HE158">
        <f ca="1"/>
      </c>
      <c r="HF158">
        <f ca="1"/>
      </c>
      <c r="HG158">
        <f ca="1"/>
      </c>
      <c r="HH158">
        <f ca="1"/>
      </c>
      <c r="HI158">
        <f ca="1"/>
      </c>
      <c r="HJ158">
        <f ca="1"/>
      </c>
      <c r="HK158">
        <f ca="1"/>
      </c>
      <c r="HL158">
        <f ca="1"/>
      </c>
      <c r="HM158">
        <f ca="1"/>
      </c>
      <c r="HN158">
        <f ca="1"/>
      </c>
      <c r="HO158">
        <f ca="1"/>
      </c>
      <c r="HP158">
        <f ca="1"/>
      </c>
      <c r="HQ158">
        <f ca="1"/>
      </c>
      <c r="HR158">
        <f ca="1"/>
      </c>
      <c r="HS158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F159">
        <f ca="1"/>
      </c>
      <c r="BG159">
        <f ca="1"/>
      </c>
      <c r="BI159">
        <f ca="1"/>
      </c>
      <c r="BJ159" s="11">
        <f ca="1"/>
      </c>
      <c r="BK159" s="11">
        <f ca="1"/>
      </c>
      <c r="BL159" s="11">
        <f ca="1"/>
      </c>
      <c r="BM159" s="11">
        <f ca="1"/>
      </c>
      <c r="BN159" s="11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GX159">
        <f ca="1"/>
      </c>
      <c r="GY159">
        <f ca="1"/>
      </c>
      <c r="GZ159">
        <f ca="1"/>
      </c>
      <c r="HA159">
        <f ca="1"/>
      </c>
      <c r="HB159">
        <f ca="1"/>
      </c>
      <c r="HC159">
        <f ca="1"/>
      </c>
      <c r="HD159">
        <f ca="1"/>
      </c>
      <c r="HE159">
        <f ca="1"/>
      </c>
      <c r="HF159">
        <f ca="1"/>
      </c>
      <c r="HG159">
        <f ca="1"/>
      </c>
      <c r="HH159">
        <f ca="1"/>
      </c>
      <c r="HI159">
        <f ca="1"/>
      </c>
      <c r="HJ159">
        <f ca="1"/>
      </c>
      <c r="HK159">
        <f ca="1"/>
      </c>
      <c r="HL159">
        <f ca="1"/>
      </c>
      <c r="HM159">
        <f ca="1"/>
      </c>
      <c r="HN159">
        <f ca="1"/>
      </c>
      <c r="HO159">
        <f ca="1"/>
      </c>
      <c r="HP159">
        <f ca="1"/>
      </c>
      <c r="HQ159">
        <f ca="1"/>
      </c>
      <c r="HR159">
        <f ca="1"/>
      </c>
      <c r="HS159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F160">
        <f ca="1"/>
      </c>
      <c r="BG160">
        <f ca="1"/>
      </c>
      <c r="BI160">
        <f ca="1"/>
      </c>
      <c r="BJ160" s="11">
        <f ca="1"/>
      </c>
      <c r="BK160" s="11">
        <f ca="1"/>
      </c>
      <c r="BL160" s="11">
        <f ca="1"/>
      </c>
      <c r="BM160" s="11">
        <f ca="1"/>
      </c>
      <c r="BN160" s="11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GX160">
        <f ca="1"/>
      </c>
      <c r="GY160">
        <f ca="1"/>
      </c>
      <c r="GZ160">
        <f ca="1"/>
      </c>
      <c r="HA160">
        <f ca="1"/>
      </c>
      <c r="HB160">
        <f ca="1"/>
      </c>
      <c r="HC160">
        <f ca="1"/>
      </c>
      <c r="HD160">
        <f ca="1"/>
      </c>
      <c r="HE160">
        <f ca="1"/>
      </c>
      <c r="HF160">
        <f ca="1"/>
      </c>
      <c r="HG160">
        <f ca="1"/>
      </c>
      <c r="HH160">
        <f ca="1"/>
      </c>
      <c r="HI160">
        <f ca="1"/>
      </c>
      <c r="HJ160">
        <f ca="1"/>
      </c>
      <c r="HK160">
        <f ca="1"/>
      </c>
      <c r="HL160">
        <f ca="1"/>
      </c>
      <c r="HM160">
        <f ca="1"/>
      </c>
      <c r="HN160">
        <f ca="1"/>
      </c>
      <c r="HO160">
        <f ca="1"/>
      </c>
      <c r="HP160">
        <f ca="1"/>
      </c>
      <c r="HQ160">
        <f ca="1"/>
      </c>
      <c r="HR160">
        <f ca="1"/>
      </c>
      <c r="HS160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F161">
        <f ca="1"/>
      </c>
      <c r="BG161">
        <f ca="1"/>
      </c>
      <c r="BJ161" s="11"/>
      <c r="BK161" s="11"/>
      <c r="BL161" s="11"/>
      <c r="BM161" s="11"/>
      <c r="BN161" s="11"/>
      <c r="LA161">
        <f ca="1"/>
      </c>
      <c r="LB161">
        <f ca="1"/>
      </c>
      <c r="LC161">
        <f ca="1"/>
      </c>
    </row>
    <row r="162" spans="58:315" x14ac:dyDescent="0.55000000000000004">
      <c r="BF162">
        <f ca="1"/>
      </c>
      <c r="BG162">
        <f ca="1"/>
      </c>
      <c r="BJ162" s="11"/>
      <c r="BK162" s="11"/>
      <c r="BL162" s="11"/>
      <c r="BM162" s="11"/>
      <c r="BN162" s="11"/>
      <c r="LA162">
        <f ca="1"/>
      </c>
      <c r="LB162">
        <f ca="1"/>
      </c>
      <c r="LC162">
        <f ca="1"/>
      </c>
    </row>
    <row r="163" spans="58:315" x14ac:dyDescent="0.55000000000000004">
      <c r="BF163">
        <f ca="1"/>
      </c>
      <c r="BG163">
        <f ca="1"/>
      </c>
      <c r="BJ163" s="11"/>
      <c r="BK163" s="11"/>
      <c r="BL163" s="11"/>
      <c r="BM163" s="11"/>
      <c r="BN163" s="11"/>
      <c r="LA163">
        <f ca="1"/>
      </c>
      <c r="LB163">
        <f ca="1"/>
      </c>
      <c r="LC163">
        <f ca="1"/>
      </c>
    </row>
    <row r="164" spans="58:315" x14ac:dyDescent="0.55000000000000004">
      <c r="BF164">
        <f ca="1"/>
      </c>
      <c r="BG164">
        <f ca="1"/>
      </c>
      <c r="BJ164" s="11"/>
      <c r="BK164" s="11"/>
      <c r="BL164" s="11"/>
      <c r="BM164" s="11"/>
      <c r="BN164" s="11"/>
      <c r="LA164">
        <f ca="1"/>
      </c>
      <c r="LB164">
        <f ca="1"/>
      </c>
      <c r="LC164">
        <f ca="1"/>
      </c>
    </row>
    <row r="165" spans="58:315" x14ac:dyDescent="0.55000000000000004">
      <c r="BF165">
        <f ca="1"/>
      </c>
      <c r="BG165">
        <f ca="1"/>
      </c>
      <c r="BJ165" s="11"/>
      <c r="BK165" s="11"/>
      <c r="BL165" s="11"/>
      <c r="BM165" s="11"/>
      <c r="BN165" s="11"/>
      <c r="LA165">
        <f ca="1"/>
      </c>
      <c r="LB165">
        <f ca="1"/>
      </c>
      <c r="LC165">
        <f ca="1"/>
      </c>
    </row>
    <row r="166" spans="58:315" x14ac:dyDescent="0.55000000000000004">
      <c r="BF166">
        <f ca="1"/>
      </c>
      <c r="BG166">
        <f ca="1"/>
      </c>
      <c r="BJ166" s="11"/>
      <c r="BK166" s="11"/>
      <c r="BL166" s="11"/>
      <c r="BM166" s="11"/>
      <c r="BN166" s="11"/>
      <c r="LA166">
        <f ca="1"/>
      </c>
      <c r="LB166">
        <f ca="1"/>
      </c>
      <c r="LC166">
        <f ca="1"/>
      </c>
    </row>
    <row r="167" spans="58:315" x14ac:dyDescent="0.55000000000000004">
      <c r="BF167">
        <f ca="1"/>
      </c>
      <c r="BG167">
        <f ca="1"/>
      </c>
      <c r="BJ167" s="11"/>
      <c r="BK167" s="11"/>
      <c r="BL167" s="11"/>
      <c r="BM167" s="11"/>
      <c r="BN167" s="11"/>
      <c r="LA167">
        <f ca="1"/>
      </c>
      <c r="LB167">
        <f ca="1"/>
      </c>
      <c r="LC167">
        <f ca="1"/>
      </c>
    </row>
    <row r="168" spans="58:315" x14ac:dyDescent="0.55000000000000004">
      <c r="BF168">
        <f ca="1"/>
      </c>
      <c r="BG168">
        <f ca="1"/>
      </c>
      <c r="BJ168" s="11"/>
      <c r="BK168" s="11"/>
      <c r="BL168" s="11"/>
      <c r="BM168" s="11"/>
      <c r="BN168" s="11"/>
      <c r="LA168">
        <f ca="1"/>
      </c>
      <c r="LB168">
        <f ca="1"/>
      </c>
      <c r="LC168">
        <f ca="1"/>
      </c>
    </row>
    <row r="169" spans="58:315" x14ac:dyDescent="0.55000000000000004">
      <c r="BF169">
        <f ca="1"/>
      </c>
      <c r="BG169">
        <f ca="1"/>
      </c>
      <c r="BJ169" s="11"/>
      <c r="BK169" s="11"/>
      <c r="BL169" s="11"/>
      <c r="BM169" s="11"/>
      <c r="BN169" s="11"/>
      <c r="LA169">
        <f ca="1"/>
      </c>
      <c r="LB169">
        <f ca="1"/>
      </c>
      <c r="LC169">
        <f ca="1"/>
      </c>
    </row>
    <row r="170" spans="58:315" x14ac:dyDescent="0.55000000000000004">
      <c r="BF170">
        <f ca="1"/>
      </c>
      <c r="BG170">
        <f ca="1"/>
      </c>
      <c r="BJ170" s="11"/>
      <c r="BK170" s="11"/>
      <c r="BL170" s="11"/>
      <c r="BM170" s="11"/>
      <c r="BN170" s="11"/>
      <c r="LA170">
        <f ca="1"/>
      </c>
      <c r="LB170">
        <f ca="1"/>
      </c>
      <c r="LC170">
        <f ca="1"/>
      </c>
    </row>
    <row r="171" spans="58:315" x14ac:dyDescent="0.55000000000000004">
      <c r="BF171">
        <f ca="1"/>
      </c>
      <c r="BG171">
        <f ca="1"/>
      </c>
      <c r="BJ171" s="11"/>
      <c r="BK171" s="11"/>
      <c r="BL171" s="11"/>
      <c r="BM171" s="11"/>
      <c r="BN171" s="11"/>
    </row>
    <row r="172" spans="58:315" x14ac:dyDescent="0.55000000000000004">
      <c r="BF172">
        <f ca="1"/>
      </c>
      <c r="BG172">
        <f ca="1"/>
      </c>
      <c r="BJ172" s="11"/>
      <c r="BK172" s="11"/>
      <c r="BL172" s="11"/>
      <c r="BM172" s="11"/>
      <c r="BN172" s="11"/>
    </row>
    <row r="173" spans="58:315" x14ac:dyDescent="0.55000000000000004">
      <c r="BF173">
        <f ca="1"/>
      </c>
      <c r="BG173">
        <f ca="1"/>
      </c>
      <c r="BJ173" s="11"/>
      <c r="BK173" s="11"/>
      <c r="BL173" s="11"/>
      <c r="BM173" s="11"/>
      <c r="BN173" s="11"/>
    </row>
    <row r="174" spans="58:315" x14ac:dyDescent="0.55000000000000004">
      <c r="BJ174" s="11"/>
      <c r="BK174" s="11"/>
      <c r="BL174" s="11"/>
      <c r="BM174" s="11"/>
      <c r="BN174" s="11"/>
    </row>
    <row r="175" spans="58:315" x14ac:dyDescent="0.55000000000000004">
      <c r="BJ175" s="11"/>
      <c r="BK175" s="11"/>
      <c r="BL175" s="11"/>
      <c r="BM175" s="11"/>
      <c r="BN175" s="11"/>
    </row>
    <row r="176" spans="58:315" x14ac:dyDescent="0.55000000000000004">
      <c r="BJ176" s="11"/>
      <c r="BK176" s="11"/>
      <c r="BL176" s="11"/>
      <c r="BM176" s="11"/>
      <c r="BN176" s="11"/>
    </row>
    <row r="177" spans="62:66" x14ac:dyDescent="0.55000000000000004">
      <c r="BJ177" s="11"/>
      <c r="BK177" s="11"/>
      <c r="BL177" s="11"/>
      <c r="BM177" s="11"/>
      <c r="BN177" s="11"/>
    </row>
    <row r="178" spans="62:66" x14ac:dyDescent="0.55000000000000004">
      <c r="BJ178" s="11"/>
      <c r="BK178" s="11"/>
      <c r="BL178" s="11"/>
      <c r="BM178" s="11"/>
      <c r="BN178" s="11"/>
    </row>
    <row r="179" spans="62:66" x14ac:dyDescent="0.55000000000000004">
      <c r="BJ179" s="11"/>
      <c r="BK179" s="11"/>
      <c r="BL179" s="11"/>
      <c r="BM179" s="11"/>
      <c r="BN179" s="11"/>
    </row>
    <row r="180" spans="62:66" x14ac:dyDescent="0.55000000000000004">
      <c r="BJ180" s="11"/>
      <c r="BK180" s="11"/>
      <c r="BL180" s="11"/>
      <c r="BM180" s="11"/>
      <c r="BN180" s="11"/>
    </row>
    <row r="181" spans="62:66" x14ac:dyDescent="0.55000000000000004">
      <c r="BJ181" s="11"/>
      <c r="BK181" s="11"/>
      <c r="BL181" s="11"/>
      <c r="BM181" s="11"/>
      <c r="BN181" s="11"/>
    </row>
    <row r="182" spans="62:66" x14ac:dyDescent="0.55000000000000004">
      <c r="BJ182" s="11"/>
      <c r="BK182" s="11"/>
      <c r="BL182" s="11"/>
      <c r="BM182" s="11"/>
      <c r="BN182" s="11"/>
    </row>
    <row r="183" spans="62:66" x14ac:dyDescent="0.55000000000000004">
      <c r="BJ183" s="11"/>
      <c r="BK183" s="11"/>
      <c r="BL183" s="11"/>
      <c r="BM183" s="11"/>
      <c r="BN183" s="11"/>
    </row>
    <row r="184" spans="62:66" x14ac:dyDescent="0.55000000000000004">
      <c r="BJ184" s="11"/>
      <c r="BK184" s="11"/>
      <c r="BL184" s="11"/>
      <c r="BM184" s="11"/>
      <c r="BN184" s="11"/>
    </row>
    <row r="185" spans="62:66" x14ac:dyDescent="0.55000000000000004">
      <c r="BJ185" s="11"/>
      <c r="BK185" s="11"/>
      <c r="BL185" s="11"/>
      <c r="BM185" s="11"/>
      <c r="BN185" s="11"/>
    </row>
    <row r="186" spans="62:66" x14ac:dyDescent="0.55000000000000004">
      <c r="BJ186" s="11"/>
      <c r="BK186" s="11"/>
      <c r="BL186" s="11"/>
      <c r="BM186" s="11"/>
      <c r="BN186" s="11"/>
    </row>
    <row r="187" spans="62:66" x14ac:dyDescent="0.55000000000000004">
      <c r="BJ187" s="11"/>
      <c r="BK187" s="11"/>
      <c r="BL187" s="11"/>
      <c r="BM187" s="11"/>
      <c r="BN187" s="11"/>
    </row>
    <row r="188" spans="62:66" x14ac:dyDescent="0.55000000000000004">
      <c r="BJ188" s="11"/>
      <c r="BK188" s="11"/>
      <c r="BL188" s="11"/>
      <c r="BM188" s="11"/>
      <c r="BN188" s="11"/>
    </row>
    <row r="189" spans="62:66" x14ac:dyDescent="0.55000000000000004">
      <c r="BJ189" s="11"/>
      <c r="BK189" s="11"/>
      <c r="BL189" s="11"/>
      <c r="BM189" s="11"/>
      <c r="BN189" s="11"/>
    </row>
    <row r="190" spans="62:66" x14ac:dyDescent="0.55000000000000004">
      <c r="BJ190" s="11"/>
      <c r="BK190" s="11"/>
      <c r="BL190" s="11"/>
      <c r="BM190" s="11"/>
      <c r="BN190" s="11"/>
    </row>
    <row r="191" spans="62:66" x14ac:dyDescent="0.55000000000000004">
      <c r="BJ191" s="11"/>
      <c r="BK191" s="11"/>
      <c r="BL191" s="11"/>
      <c r="BM191" s="11"/>
      <c r="BN191" s="11"/>
    </row>
    <row r="192" spans="62:66" x14ac:dyDescent="0.55000000000000004">
      <c r="BJ192" s="11"/>
      <c r="BK192" s="11"/>
      <c r="BL192" s="11"/>
      <c r="BM192" s="11"/>
      <c r="BN192" s="11"/>
    </row>
    <row r="193" spans="62:66" x14ac:dyDescent="0.55000000000000004">
      <c r="BJ193" s="11"/>
      <c r="BK193" s="11"/>
      <c r="BL193" s="11"/>
      <c r="BM193" s="11"/>
      <c r="BN193" s="11"/>
    </row>
    <row r="194" spans="62:66" x14ac:dyDescent="0.55000000000000004">
      <c r="BJ194" s="11"/>
      <c r="BK194" s="11"/>
      <c r="BL194" s="11"/>
      <c r="BM194" s="11"/>
      <c r="BN194" s="11"/>
    </row>
    <row r="195" spans="62:66" x14ac:dyDescent="0.55000000000000004">
      <c r="BJ195" s="11"/>
      <c r="BK195" s="11"/>
      <c r="BL195" s="11"/>
      <c r="BM195" s="11"/>
      <c r="BN195" s="11"/>
    </row>
    <row r="196" spans="62:66" x14ac:dyDescent="0.55000000000000004">
      <c r="BJ196" s="11"/>
      <c r="BK196" s="11"/>
      <c r="BL196" s="11"/>
      <c r="BM196" s="11"/>
      <c r="BN196" s="11"/>
    </row>
    <row r="197" spans="62:66" x14ac:dyDescent="0.55000000000000004">
      <c r="BJ197" s="11"/>
      <c r="BK197" s="11"/>
      <c r="BL197" s="11"/>
      <c r="BM197" s="11"/>
      <c r="BN197" s="11"/>
    </row>
    <row r="198" spans="62:66" x14ac:dyDescent="0.55000000000000004">
      <c r="BJ198" s="11"/>
      <c r="BK198" s="11"/>
      <c r="BL198" s="11"/>
      <c r="BM198" s="11"/>
      <c r="BN198" s="11"/>
    </row>
    <row r="199" spans="62:66" x14ac:dyDescent="0.55000000000000004">
      <c r="BJ199" s="11"/>
      <c r="BK199" s="11"/>
      <c r="BL199" s="11"/>
      <c r="BM199" s="11"/>
      <c r="BN199" s="11"/>
    </row>
    <row r="200" spans="62:66" x14ac:dyDescent="0.55000000000000004">
      <c r="BJ200" s="11"/>
      <c r="BK200" s="11"/>
      <c r="BL200" s="11"/>
      <c r="BM200" s="11"/>
      <c r="BN200" s="11"/>
    </row>
    <row r="201" spans="62:66" x14ac:dyDescent="0.55000000000000004">
      <c r="BJ201" s="11"/>
      <c r="BK201" s="11"/>
      <c r="BL201" s="11"/>
      <c r="BM201" s="11"/>
      <c r="BN201" s="11"/>
    </row>
    <row r="202" spans="62:66" x14ac:dyDescent="0.55000000000000004">
      <c r="BJ202" s="11"/>
      <c r="BK202" s="11"/>
      <c r="BL202" s="11"/>
      <c r="BM202" s="11"/>
      <c r="BN202" s="11"/>
    </row>
    <row r="203" spans="62:66" x14ac:dyDescent="0.55000000000000004">
      <c r="BJ203" s="11"/>
      <c r="BK203" s="11"/>
      <c r="BL203" s="11"/>
      <c r="BM203" s="11"/>
      <c r="BN203" s="11"/>
    </row>
    <row r="204" spans="62:66" x14ac:dyDescent="0.55000000000000004">
      <c r="BJ204" s="11"/>
      <c r="BK204" s="11"/>
      <c r="BL204" s="11"/>
      <c r="BM204" s="11"/>
      <c r="BN204" s="11"/>
    </row>
    <row r="205" spans="62:66" x14ac:dyDescent="0.55000000000000004">
      <c r="BJ205" s="11"/>
      <c r="BK205" s="11"/>
      <c r="BL205" s="11"/>
      <c r="BM205" s="11"/>
      <c r="BN205" s="11"/>
    </row>
    <row r="206" spans="62:66" x14ac:dyDescent="0.55000000000000004">
      <c r="BJ206" s="11"/>
      <c r="BK206" s="11"/>
      <c r="BL206" s="11"/>
      <c r="BM206" s="11"/>
      <c r="BN206" s="11"/>
    </row>
    <row r="207" spans="62:66" x14ac:dyDescent="0.55000000000000004">
      <c r="BJ207" s="11"/>
      <c r="BK207" s="11"/>
      <c r="BL207" s="11"/>
      <c r="BM207" s="11"/>
      <c r="BN207" s="11"/>
    </row>
    <row r="208" spans="62:66" x14ac:dyDescent="0.55000000000000004">
      <c r="BJ208" s="11"/>
      <c r="BK208" s="11"/>
      <c r="BL208" s="11"/>
      <c r="BM208" s="11"/>
      <c r="BN208" s="11"/>
    </row>
    <row r="209" spans="62:66" x14ac:dyDescent="0.55000000000000004">
      <c r="BJ209" s="11"/>
      <c r="BK209" s="11"/>
      <c r="BL209" s="11"/>
      <c r="BM209" s="11"/>
      <c r="BN209" s="11"/>
    </row>
    <row r="210" spans="62:66" x14ac:dyDescent="0.55000000000000004">
      <c r="BJ210" s="11"/>
      <c r="BK210" s="11"/>
      <c r="BL210" s="11"/>
      <c r="BM210" s="11"/>
      <c r="BN210" s="11"/>
    </row>
    <row r="211" spans="62:66" x14ac:dyDescent="0.55000000000000004">
      <c r="BJ211" s="11"/>
      <c r="BK211" s="11"/>
      <c r="BL211" s="11"/>
      <c r="BM211" s="11"/>
      <c r="BN211" s="11"/>
    </row>
    <row r="212" spans="62:66" x14ac:dyDescent="0.55000000000000004">
      <c r="BJ212" s="11"/>
      <c r="BK212" s="11"/>
      <c r="BL212" s="11"/>
      <c r="BM212" s="11"/>
      <c r="BN212" s="11"/>
    </row>
    <row r="213" spans="62:66" x14ac:dyDescent="0.55000000000000004">
      <c r="BJ213" s="11"/>
      <c r="BK213" s="11"/>
      <c r="BL213" s="11"/>
      <c r="BM213" s="11"/>
      <c r="BN213" s="11"/>
    </row>
    <row r="214" spans="62:66" x14ac:dyDescent="0.55000000000000004">
      <c r="BJ214" s="11"/>
      <c r="BK214" s="11"/>
      <c r="BL214" s="11"/>
      <c r="BM214" s="11"/>
      <c r="BN214" s="11"/>
    </row>
    <row r="215" spans="62:66" x14ac:dyDescent="0.55000000000000004">
      <c r="BJ215" s="11"/>
      <c r="BK215" s="11"/>
      <c r="BL215" s="11"/>
      <c r="BM215" s="11"/>
      <c r="BN215" s="11"/>
    </row>
    <row r="216" spans="62:66" x14ac:dyDescent="0.55000000000000004">
      <c r="BJ216" s="11"/>
      <c r="BK216" s="11"/>
      <c r="BL216" s="11"/>
      <c r="BM216" s="11"/>
      <c r="BN216" s="11"/>
    </row>
    <row r="217" spans="62:66" x14ac:dyDescent="0.55000000000000004">
      <c r="BJ217" s="11"/>
      <c r="BK217" s="11"/>
      <c r="BL217" s="11"/>
      <c r="BM217" s="11"/>
      <c r="BN217" s="11"/>
    </row>
    <row r="218" spans="62:66" x14ac:dyDescent="0.55000000000000004">
      <c r="BJ218" s="11"/>
      <c r="BK218" s="11"/>
      <c r="BL218" s="11"/>
      <c r="BM218" s="11"/>
      <c r="BN218" s="11"/>
    </row>
    <row r="219" spans="62:66" x14ac:dyDescent="0.55000000000000004">
      <c r="BJ219" s="11"/>
      <c r="BK219" s="11"/>
      <c r="BL219" s="11"/>
      <c r="BM219" s="11"/>
      <c r="BN219" s="11"/>
    </row>
    <row r="220" spans="62:66" x14ac:dyDescent="0.55000000000000004">
      <c r="BJ220" s="11"/>
      <c r="BK220" s="11"/>
      <c r="BL220" s="11"/>
      <c r="BM220" s="11"/>
      <c r="BN220" s="11"/>
    </row>
    <row r="221" spans="62:66" x14ac:dyDescent="0.55000000000000004">
      <c r="BJ221" s="11"/>
      <c r="BK221" s="11"/>
      <c r="BL221" s="11"/>
      <c r="BM221" s="11"/>
      <c r="BN221" s="11"/>
    </row>
    <row r="222" spans="62:66" x14ac:dyDescent="0.55000000000000004">
      <c r="BJ222" s="11"/>
      <c r="BK222" s="11"/>
      <c r="BL222" s="11"/>
      <c r="BM222" s="11"/>
      <c r="BN222" s="11"/>
    </row>
    <row r="223" spans="62:66" x14ac:dyDescent="0.55000000000000004">
      <c r="BJ223" s="11"/>
      <c r="BK223" s="11"/>
      <c r="BL223" s="11"/>
      <c r="BM223" s="11"/>
      <c r="BN223" s="11"/>
    </row>
    <row r="224" spans="62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推定期間(window)の最終日。空欄=今日(推定はDBの引け値だけ。DBに今日の値がなければ直近の営業日まで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復元・差分を見る日。空欄=今日(RealTimeのライブの値)。日付=DBのその日の引け値。Window end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  <dataValidation type="list" allowBlank="1" showInputMessage="1" showErrorMessage="1" prompt="Level=水準のPCA / Change=前営業日からの変化のPCA" sqref="B6" xr:uid="{C5CF4F13-3B4B-4DCA-ACF3-21CE36C9858D}">
      <formula1>"Level,Change"</formula1>
    </dataValidation>
    <dataValidation type="list" allowBlank="1" showInputMessage="1" showErrorMessage="1" prompt="No=分散共分散(bp)のPCA / Yes=z-score(相関行列)のPCA" sqref="B7" xr:uid="{4678EF58-67AC-4A61-AE62-7E2075D5FC8F}">
      <formula1>"Yes,No"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zoomScale="75" workbookViewId="0">
      <selection activeCell="N5" sqref="N5"/>
    </sheetView>
  </sheetViews>
  <sheetFormatPr defaultRowHeight="18.5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58</v>
      </c>
      <c r="B1" s="2" t="s">
        <v>53</v>
      </c>
      <c r="C1" t="s">
        <v>59</v>
      </c>
      <c r="D1" s="19" cm="1">
        <f t="array" aca="1" ref="D1" ca="1">LiveInfo("vol",_xlfn.ANCHORARRAY($BB$3))</f>
      </c>
      <c r="E1" t="s">
        <v>60</v>
      </c>
    </row>
    <row r="2" spans="1:63" ht="20" x14ac:dyDescent="0.55000000000000004">
      <c r="A2" s="20" t="s">
        <v>61</v>
      </c>
      <c r="AB2" s="4" t="s">
        <v>74</v>
      </c>
      <c r="AL2" s="23"/>
      <c r="AV2" s="24" t="s">
        <v>90</v>
      </c>
      <c r="BB2" s="4" t="s">
        <v>91</v>
      </c>
      <c r="BF2" s="23" t="s">
        <v>92</v>
      </c>
      <c r="BG2" s="24"/>
      <c r="BH2" s="24"/>
      <c r="BI2" s="24"/>
      <c r="BJ2" s="24"/>
      <c r="BK2" s="24"/>
    </row>
    <row r="3" spans="1:63" x14ac:dyDescent="0.55000000000000004">
      <c r="A3" s="4" t="s">
        <v>62</v>
      </c>
      <c r="F3" s="4" t="s">
        <v>93</v>
      </c>
      <c r="AB3" cm="1">
        <f t="array" aca="1" ref="AB3:AH467" ca="1">VolHistory($B$5:$B$7)</f>
      </c>
      <c r="AC3">
        <f ca="1"/>
      </c>
      <c r="AD3">
        <f ca="1"/>
      </c>
      <c r="AE3">
        <f ca="1"/>
      </c>
      <c r="AF3">
        <f ca="1"/>
      </c>
      <c r="AG3">
        <f ca="1"/>
      </c>
      <c r="AH3">
        <f ca="1"/>
      </c>
      <c r="AL3" s="23" t="s">
        <v>75</v>
      </c>
      <c r="AM3" s="24" t="s">
        <v>76</v>
      </c>
      <c r="AN3" s="24" t="s">
        <v>77</v>
      </c>
      <c r="AO3" s="24" t="s">
        <v>78</v>
      </c>
      <c r="AP3" s="24" t="s">
        <v>79</v>
      </c>
      <c r="AQ3" s="24" t="s">
        <v>80</v>
      </c>
      <c r="AR3" s="24" t="s">
        <v>81</v>
      </c>
      <c r="AS3" s="24" t="s">
        <v>82</v>
      </c>
      <c r="AT3" s="24" t="s">
        <v>83</v>
      </c>
      <c r="AU3" s="24" t="s">
        <v>84</v>
      </c>
      <c r="AV3" s="24" t="s">
        <v>85</v>
      </c>
      <c r="AW3" s="24" t="s">
        <v>86</v>
      </c>
      <c r="AX3" s="24" t="s">
        <v>87</v>
      </c>
      <c r="AY3" s="24" t="s">
        <v>88</v>
      </c>
      <c r="AZ3" s="24" t="s">
        <v>89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75</v>
      </c>
      <c r="BG3" s="24" t="s">
        <v>85</v>
      </c>
      <c r="BH3" s="24" t="s">
        <v>86</v>
      </c>
      <c r="BI3" s="24" t="s">
        <v>87</v>
      </c>
      <c r="BJ3" s="24" t="s">
        <v>88</v>
      </c>
      <c r="BK3" s="24" t="s">
        <v>89</v>
      </c>
    </row>
    <row r="4" spans="1:63" x14ac:dyDescent="0.55000000000000004">
      <c r="A4" s="4" t="s">
        <v>63</v>
      </c>
      <c r="B4" s="4" t="s">
        <v>64</v>
      </c>
      <c r="C4" s="4" t="s">
        <v>65</v>
      </c>
      <c r="D4" s="4" t="s">
        <v>66</v>
      </c>
      <c r="F4" s="25"/>
      <c r="G4" s="26" t="s">
        <v>94</v>
      </c>
      <c r="H4" s="26" t="s">
        <v>95</v>
      </c>
      <c r="I4" s="26" t="s">
        <v>96</v>
      </c>
      <c r="J4" s="26" t="s">
        <v>97</v>
      </c>
      <c r="AB4">
        <f ca="1"/>
      </c>
      <c r="AC4">
        <f ca="1"/>
      </c>
      <c r="AD4">
        <f ca="1"/>
      </c>
      <c r="AE4">
        <f ca="1"/>
      </c>
      <c r="AF4">
        <f ca="1"/>
      </c>
      <c r="AG4">
        <f ca="1"/>
      </c>
      <c r="AH4">
        <f ca="1"/>
      </c>
      <c r="AL4" s="7" cm="1">
        <f t="array" aca="1" ref="AL4:AL467" ca="1">_xlfn.DROP(_xlfn.TAKE(VHV_Data,,1),1)</f>
      </c>
      <c r="AM4" s="14" cm="1">
        <f t="array" aca="1" ref="AM4:AM467" ca="1">IF($B$5="",NA(),_xlfn.LET(_xlpm.h,_xlfn.TAKE(VHV_Data,1),_xlpm.v,_xlfn.DROP(_xlfn.CHOOSECOLS(VHV_Data,_xlfn.XMATCH($B$5&amp;" IV",_xlpm.h)),1),IF(_xlpm.v="",NA(),_xlpm.v)))</f>
      </c>
      <c r="AN4" s="14" cm="1">
        <f t="array" aca="1" ref="AN4:AN467" ca="1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aca="1" ref="AO4:AO467" ca="1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aca="1" ref="AP4:AP467" ca="1">IF($B$6="",NA(),_xlfn.LET(_xlpm.h,_xlfn.TAKE(VHV_Data,1),_xlpm.v,_xlfn.DROP(_xlfn.CHOOSECOLS(VHV_Data,_xlfn.XMATCH($B$6&amp;" IV",_xlpm.h)),1),IF(_xlpm.v="",NA(),_xlpm.v)))</f>
      </c>
      <c r="AQ4" s="14" cm="1">
        <f t="array" aca="1" ref="AQ4:AQ467" ca="1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aca="1" ref="AR4:AR467" ca="1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aca="1" ref="AS4" ca="1">IF($B$7="",NA(),_xlfn.LET(_xlpm.h,_xlfn.TAKE(VHV_Data,1),_xlpm.v,_xlfn.DROP(_xlfn.CHOOSECOLS(VHV_Data,_xlfn.XMATCH($B$7&amp;" IV",_xlpm.h)),1),IF(_xlpm.v="",NA(),_xlpm.v)))</f>
      </c>
      <c r="AT4" s="14" cm="1">
        <f t="array" aca="1" ref="AT4" ca="1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aca="1" ref="AU4" ca="1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aca="1" ref="AV4:AV467" ca="1">IF($B$5="",0,$C$5*_xlfn.ANCHORARRAY(AM4))+IF($B$6="",0,$C$6*_xlfn.ANCHORARRAY(AP4))+IF($B$7="",0,$C$7*_xlfn.ANCHORARRAY(AS4))</f>
      </c>
      <c r="AW4" s="14" cm="1">
        <f t="array" aca="1" ref="AW4:AW467" ca="1">IF($B$5="",0,$C$5*_xlfn.ANCHORARRAY(AN4))+IF($B$6="",0,$C$6*_xlfn.ANCHORARRAY(AQ4))+IF($B$7="",0,$C$7*_xlfn.ANCHORARRAY(AT4))</f>
      </c>
      <c r="AX4" s="14" cm="1">
        <f t="array" aca="1" ref="AX4:AX467" ca="1">IF($B$5="",0,$C$5*_xlfn.ANCHORARRAY(AO4))+IF($B$6="",0,$C$6*_xlfn.ANCHORARRAY(AR4))+IF($B$7="",0,$C$7*_xlfn.ANCHORARRAY(AU4))</f>
      </c>
      <c r="AY4" s="14" cm="1">
        <f t="array" aca="1" ref="AY4:AY467" ca="1">_xlfn.ANCHORARRAY(AV4)-_xlfn.ANCHORARRAY(AW4)</f>
      </c>
      <c r="AZ4" s="14" cm="1">
        <f t="array" aca="1" ref="AZ4:AZ467" ca="1">_xlfn.ANCHORARRAY(AV4)-_xlfn.ANCHORARRAY(AX4)</f>
      </c>
      <c r="BB4">
        <f ca="1"/>
      </c>
      <c r="BC4">
        <f ca="1"/>
      </c>
      <c r="BD4">
        <f ca="1"/>
      </c>
      <c r="BF4" s="7" cm="1">
        <f t="array" aca="1" ref="BF4:BF467" ca="1">_xlfn._xlws.FILTER(_xlfn.ANCHORARRAY(AL4),_xlfn.ANCHORARRAY(AL4)&gt;=IF(VHV_From="",0,VHV_From))</f>
      </c>
      <c r="BG4" s="14" cm="1">
        <f t="array" aca="1" ref="BG4:BG467" ca="1">_xlfn._xlws.FILTER(_xlfn.ANCHORARRAY(AV4),_xlfn.ANCHORARRAY(AL4)&gt;=IF(VHV_From="",0,VHV_From))</f>
      </c>
      <c r="BH4" s="14" cm="1">
        <f t="array" aca="1" ref="BH4:BH467" ca="1">_xlfn._xlws.FILTER(_xlfn.ANCHORARRAY(AW4),_xlfn.ANCHORARRAY(AL4)&gt;=IF(VHV_From="",0,VHV_From))</f>
      </c>
      <c r="BI4" s="14" cm="1">
        <f t="array" aca="1" ref="BI4:BI467" ca="1">_xlfn._xlws.FILTER(_xlfn.ANCHORARRAY(AX4),_xlfn.ANCHORARRAY(AL4)&gt;=IF(VHV_From="",0,VHV_From))</f>
      </c>
      <c r="BJ4" s="14" cm="1">
        <f t="array" aca="1" ref="BJ4:BJ467" ca="1">_xlfn._xlws.FILTER(_xlfn.ANCHORARRAY(AY4),_xlfn.ANCHORARRAY(AL4)&gt;=IF(VHV_From="",0,VHV_From))</f>
      </c>
      <c r="BK4" s="14" cm="1">
        <f t="array" aca="1" ref="BK4:BK467" ca="1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107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64</v>
      </c>
      <c r="G5" s="27">
        <f>IF($B$5="","",$B$5)</f>
      </c>
      <c r="H5" s="27">
        <f>IF($B$6="","",$B$6)</f>
      </c>
      <c r="I5" s="27">
        <f>IF($B$7="","",$B$7)</f>
      </c>
      <c r="J5" s="27" t="s">
        <v>106</v>
      </c>
      <c r="AB5">
        <f ca="1"/>
      </c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L5" s="7">
        <f ca="1"/>
      </c>
      <c r="AM5" s="14">
        <f ca="1"/>
      </c>
      <c r="AN5" s="14">
        <f ca="1"/>
      </c>
      <c r="AO5" s="14">
        <f ca="1"/>
      </c>
      <c r="AP5" s="14">
        <f ca="1"/>
      </c>
      <c r="AQ5" s="14">
        <f ca="1"/>
      </c>
      <c r="AR5" s="14">
        <f ca="1"/>
      </c>
      <c r="AV5" s="14">
        <f ca="1"/>
      </c>
      <c r="AW5" s="14">
        <f ca="1"/>
      </c>
      <c r="AX5" s="14">
        <f ca="1"/>
      </c>
      <c r="AY5" s="14">
        <f ca="1"/>
      </c>
      <c r="AZ5" s="14">
        <f ca="1"/>
      </c>
      <c r="BB5">
        <f ca="1"/>
      </c>
      <c r="BC5">
        <f ca="1"/>
      </c>
      <c r="BD5">
        <f ca="1"/>
      </c>
      <c r="BF5" s="7">
        <f ca="1"/>
      </c>
      <c r="BG5" s="14">
        <f ca="1"/>
      </c>
      <c r="BH5" s="14">
        <f ca="1"/>
      </c>
      <c r="BI5" s="14">
        <f ca="1"/>
      </c>
      <c r="BJ5" s="14">
        <f ca="1"/>
      </c>
      <c r="BK5" s="14">
        <f ca="1"/>
      </c>
    </row>
    <row r="6" spans="1:63" x14ac:dyDescent="0.55000000000000004">
      <c r="A6" s="21">
        <v>2</v>
      </c>
      <c r="B6" s="2" t="s">
        <v>108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98</v>
      </c>
      <c r="G6" s="28">
        <f ca="1">IF($B$5="","",MAX(VHV_Date))</f>
      </c>
      <c r="H6" s="28">
        <f ca="1">IF($B$6="","",MAX(VHV_Date))</f>
      </c>
      <c r="I6" s="28">
        <f ca="1">IF($B$7="","",MAX(VHV_Date))</f>
      </c>
      <c r="J6" s="28">
        <f ca="1">MAX(VHV_Date)</f>
      </c>
      <c r="AB6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L6" s="7">
        <f ca="1"/>
      </c>
      <c r="AM6" s="14">
        <f ca="1"/>
      </c>
      <c r="AN6" s="14">
        <f ca="1"/>
      </c>
      <c r="AO6" s="14">
        <f ca="1"/>
      </c>
      <c r="AP6" s="14">
        <f ca="1"/>
      </c>
      <c r="AQ6" s="14">
        <f ca="1"/>
      </c>
      <c r="AR6" s="14">
        <f ca="1"/>
      </c>
      <c r="AV6" s="14">
        <f ca="1"/>
      </c>
      <c r="AW6" s="14">
        <f ca="1"/>
      </c>
      <c r="AX6" s="14">
        <f ca="1"/>
      </c>
      <c r="AY6" s="14">
        <f ca="1"/>
      </c>
      <c r="AZ6" s="14">
        <f ca="1"/>
      </c>
      <c r="BB6">
        <f ca="1"/>
      </c>
      <c r="BC6">
        <f ca="1"/>
      </c>
      <c r="BD6">
        <f ca="1"/>
      </c>
      <c r="BF6" s="7">
        <f ca="1"/>
      </c>
      <c r="BG6" s="14">
        <f ca="1"/>
      </c>
      <c r="BH6" s="14">
        <f ca="1"/>
      </c>
      <c r="BI6" s="14">
        <f ca="1"/>
      </c>
      <c r="BJ6" s="14">
        <f ca="1"/>
      </c>
      <c r="BK6" s="14">
        <f ca="1"/>
      </c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99</v>
      </c>
      <c r="G7" s="29" cm="1">
        <f t="array" aca="1" ref="G7" ca="1">IF($B$5="","",_xlfn.TAKE(_xlfn.ANCHORARRAY(AM4),-1))</f>
      </c>
      <c r="H7" s="29" cm="1">
        <f t="array" aca="1" ref="H7" ca="1">IF($B$6="","",_xlfn.TAKE(_xlfn.ANCHORARRAY(AP4),-1))</f>
      </c>
      <c r="I7" s="29" cm="1">
        <f t="array" aca="1" ref="I7" ca="1">IF($B$7="","",_xlfn.TAKE(_xlfn.ANCHORARRAY(AS4),-1))</f>
      </c>
      <c r="J7" s="29" cm="1">
        <f t="array" aca="1" ref="J7" ca="1">_xlfn.TAKE(_xlfn.ANCHORARRAY(AV4),-1)</f>
      </c>
      <c r="AB7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L7" s="7">
        <f ca="1"/>
      </c>
      <c r="AM7" s="14">
        <f ca="1"/>
      </c>
      <c r="AN7" s="14">
        <f ca="1"/>
      </c>
      <c r="AO7" s="14">
        <f ca="1"/>
      </c>
      <c r="AP7" s="14">
        <f ca="1"/>
      </c>
      <c r="AQ7" s="14">
        <f ca="1"/>
      </c>
      <c r="AR7" s="14">
        <f ca="1"/>
      </c>
      <c r="AV7" s="14">
        <f ca="1"/>
      </c>
      <c r="AW7" s="14">
        <f ca="1"/>
      </c>
      <c r="AX7" s="14">
        <f ca="1"/>
      </c>
      <c r="AY7" s="14">
        <f ca="1"/>
      </c>
      <c r="AZ7" s="14">
        <f ca="1"/>
      </c>
      <c r="BB7">
        <f ca="1"/>
      </c>
      <c r="BC7">
        <f ca="1"/>
      </c>
      <c r="BD7">
        <f ca="1"/>
      </c>
      <c r="BF7" s="7">
        <f ca="1"/>
      </c>
      <c r="BG7" s="14">
        <f ca="1"/>
      </c>
      <c r="BH7" s="14">
        <f ca="1"/>
      </c>
      <c r="BI7" s="14">
        <f ca="1"/>
      </c>
      <c r="BJ7" s="14">
        <f ca="1"/>
      </c>
      <c r="BK7" s="14">
        <f ca="1"/>
      </c>
    </row>
    <row r="8" spans="1:63" x14ac:dyDescent="0.55000000000000004">
      <c r="F8" s="25" t="s">
        <v>100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aca="1" ref="I8" ca="1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B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L8" s="7">
        <f ca="1"/>
      </c>
      <c r="AM8" s="14">
        <f ca="1"/>
      </c>
      <c r="AN8" s="14">
        <f ca="1"/>
      </c>
      <c r="AO8" s="14">
        <f ca="1"/>
      </c>
      <c r="AP8" s="14">
        <f ca="1"/>
      </c>
      <c r="AQ8" s="14">
        <f ca="1"/>
      </c>
      <c r="AR8" s="14">
        <f ca="1"/>
      </c>
      <c r="AV8" s="14">
        <f ca="1"/>
      </c>
      <c r="AW8" s="14">
        <f ca="1"/>
      </c>
      <c r="AX8" s="14">
        <f ca="1"/>
      </c>
      <c r="AY8" s="14">
        <f ca="1"/>
      </c>
      <c r="AZ8" s="14">
        <f ca="1"/>
      </c>
      <c r="BB8">
        <f ca="1"/>
      </c>
      <c r="BC8">
        <f ca="1"/>
      </c>
      <c r="BD8">
        <f ca="1"/>
      </c>
      <c r="BF8" s="7">
        <f ca="1"/>
      </c>
      <c r="BG8" s="14">
        <f ca="1"/>
      </c>
      <c r="BH8" s="14">
        <f ca="1"/>
      </c>
      <c r="BI8" s="14">
        <f ca="1"/>
      </c>
      <c r="BJ8" s="14">
        <f ca="1"/>
      </c>
      <c r="BK8" s="14">
        <f ca="1"/>
      </c>
    </row>
    <row r="9" spans="1:63" x14ac:dyDescent="0.55000000000000004">
      <c r="A9" t="s">
        <v>66</v>
      </c>
      <c r="B9" s="2" t="s">
        <v>67</v>
      </c>
      <c r="F9" s="25" t="s">
        <v>101</v>
      </c>
      <c r="G9" s="29" cm="1">
        <f t="array" aca="1" ref="G9" ca="1">IF($B$5="","",_xlfn.TAKE(_xlfn.ANCHORARRAY(AN4),-1))</f>
      </c>
      <c r="H9" s="29" cm="1">
        <f t="array" aca="1" ref="H9" ca="1">IF($B$6="","",_xlfn.TAKE(_xlfn.ANCHORARRAY(AQ4),-1))</f>
      </c>
      <c r="I9" s="29" cm="1">
        <f t="array" aca="1" ref="I9" ca="1">IF($B$7="","",_xlfn.TAKE(_xlfn.ANCHORARRAY(AT4),-1))</f>
      </c>
      <c r="J9" s="29" cm="1">
        <f t="array" aca="1" ref="J9" ca="1">_xlfn.TAKE(_xlfn.ANCHORARRAY(AW4),-1)</f>
      </c>
      <c r="AB9">
        <f ca="1"/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L9" s="7">
        <f ca="1"/>
      </c>
      <c r="AM9" s="14">
        <f ca="1"/>
      </c>
      <c r="AN9" s="14">
        <f ca="1"/>
      </c>
      <c r="AO9" s="14">
        <f ca="1"/>
      </c>
      <c r="AP9" s="14">
        <f ca="1"/>
      </c>
      <c r="AQ9" s="14">
        <f ca="1"/>
      </c>
      <c r="AR9" s="14">
        <f ca="1"/>
      </c>
      <c r="AV9" s="14">
        <f ca="1"/>
      </c>
      <c r="AW9" s="14">
        <f ca="1"/>
      </c>
      <c r="AX9" s="14">
        <f ca="1"/>
      </c>
      <c r="AY9" s="14">
        <f ca="1"/>
      </c>
      <c r="AZ9" s="14">
        <f ca="1"/>
      </c>
      <c r="BB9">
        <f ca="1"/>
      </c>
      <c r="BC9">
        <f ca="1"/>
      </c>
      <c r="BD9">
        <f ca="1"/>
      </c>
      <c r="BF9" s="7">
        <f ca="1"/>
      </c>
      <c r="BG9" s="14">
        <f ca="1"/>
      </c>
      <c r="BH9" s="14">
        <f ca="1"/>
      </c>
      <c r="BI9" s="14">
        <f ca="1"/>
      </c>
      <c r="BJ9" s="14">
        <f ca="1"/>
      </c>
      <c r="BK9" s="14">
        <f ca="1"/>
      </c>
    </row>
    <row r="10" spans="1:63" x14ac:dyDescent="0.55000000000000004">
      <c r="A10" t="s">
        <v>68</v>
      </c>
      <c r="B10" s="2">
        <v>126</v>
      </c>
      <c r="F10" s="25" t="s">
        <v>102</v>
      </c>
      <c r="G10" s="29" cm="1">
        <f t="array" aca="1" ref="G10" ca="1">IF($B$5="","",_xlfn.TAKE(_xlfn.ANCHORARRAY(AO4),-1))</f>
      </c>
      <c r="H10" s="29" cm="1">
        <f t="array" aca="1" ref="H10" ca="1">IF($B$6="","",_xlfn.TAKE(_xlfn.ANCHORARRAY(AR4),-1))</f>
      </c>
      <c r="I10" s="29" cm="1">
        <f t="array" aca="1" ref="I10" ca="1">IF($B$7="","",_xlfn.TAKE(_xlfn.ANCHORARRAY(AU4),-1))</f>
      </c>
      <c r="J10" s="29" cm="1">
        <f t="array" aca="1" ref="J10" ca="1">_xlfn.TAKE(_xlfn.ANCHORARRAY(AX4),-1)</f>
      </c>
      <c r="AB10">
        <f ca="1"/>
      </c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L10" s="7">
        <f ca="1"/>
      </c>
      <c r="AM10" s="14">
        <f ca="1"/>
      </c>
      <c r="AN10" s="14">
        <f ca="1"/>
      </c>
      <c r="AO10" s="14">
        <f ca="1"/>
      </c>
      <c r="AP10" s="14">
        <f ca="1"/>
      </c>
      <c r="AQ10" s="14">
        <f ca="1"/>
      </c>
      <c r="AR10" s="14">
        <f ca="1"/>
      </c>
      <c r="AV10" s="14">
        <f ca="1"/>
      </c>
      <c r="AW10" s="14">
        <f ca="1"/>
      </c>
      <c r="AX10" s="14">
        <f ca="1"/>
      </c>
      <c r="AY10" s="14">
        <f ca="1"/>
      </c>
      <c r="AZ10" s="14">
        <f ca="1"/>
      </c>
      <c r="BB10">
        <f ca="1"/>
      </c>
      <c r="BC10">
        <f ca="1"/>
      </c>
      <c r="BD10">
        <f ca="1"/>
      </c>
      <c r="BF10" s="7">
        <f ca="1"/>
      </c>
      <c r="BG10" s="14">
        <f ca="1"/>
      </c>
      <c r="BH10" s="14">
        <f ca="1"/>
      </c>
      <c r="BI10" s="14">
        <f ca="1"/>
      </c>
      <c r="BJ10" s="14">
        <f ca="1"/>
      </c>
      <c r="BK10" s="14">
        <f ca="1"/>
      </c>
    </row>
    <row r="11" spans="1:63" x14ac:dyDescent="0.55000000000000004">
      <c r="A11" t="s">
        <v>69</v>
      </c>
      <c r="B11" s="2">
        <v>20</v>
      </c>
      <c r="F11" s="25" t="s">
        <v>88</v>
      </c>
      <c r="G11" s="29">
        <f ca="1">IF($B$5="","",G7-G9)</f>
      </c>
      <c r="H11" s="29">
        <f ca="1">IF($B$6="","",H7-H9)</f>
      </c>
      <c r="I11" s="29">
        <f ca="1">IF($B$7="","",I7-I9)</f>
      </c>
      <c r="J11" s="29">
        <f ca="1">J7-J9</f>
      </c>
      <c r="AB11">
        <f ca="1"/>
      </c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L11" s="7">
        <f ca="1"/>
      </c>
      <c r="AM11" s="14">
        <f ca="1"/>
      </c>
      <c r="AN11" s="14">
        <f ca="1"/>
      </c>
      <c r="AO11" s="14">
        <f ca="1"/>
      </c>
      <c r="AP11" s="14">
        <f ca="1"/>
      </c>
      <c r="AQ11" s="14">
        <f ca="1"/>
      </c>
      <c r="AR11" s="14">
        <f ca="1"/>
      </c>
      <c r="AV11" s="14">
        <f ca="1"/>
      </c>
      <c r="AW11" s="14">
        <f ca="1"/>
      </c>
      <c r="AX11" s="14">
        <f ca="1"/>
      </c>
      <c r="AY11" s="14">
        <f ca="1"/>
      </c>
      <c r="AZ11" s="14">
        <f ca="1"/>
      </c>
      <c r="BB11">
        <f ca="1"/>
      </c>
      <c r="BC11">
        <f ca="1"/>
      </c>
      <c r="BD11">
        <f ca="1"/>
      </c>
      <c r="BF11" s="7">
        <f ca="1"/>
      </c>
      <c r="BG11" s="14">
        <f ca="1"/>
      </c>
      <c r="BH11" s="14">
        <f ca="1"/>
      </c>
      <c r="BI11" s="14">
        <f ca="1"/>
      </c>
      <c r="BJ11" s="14">
        <f ca="1"/>
      </c>
      <c r="BK11" s="14">
        <f ca="1"/>
      </c>
    </row>
    <row r="12" spans="1:63" x14ac:dyDescent="0.55000000000000004">
      <c r="A12" t="s">
        <v>70</v>
      </c>
      <c r="B12" s="2">
        <v>252</v>
      </c>
      <c r="F12" s="25" t="s">
        <v>103</v>
      </c>
      <c r="G12" s="29">
        <f ca="1">IF($B$5="","",G8-G9)</f>
      </c>
      <c r="H12" s="29">
        <f ca="1">IF($B$6="","",H8-H9)</f>
      </c>
      <c r="I12" s="29">
        <f ca="1">IF($B$7="","",I8-I9)</f>
      </c>
      <c r="J12" s="29">
        <f ca="1">J8-J9</f>
      </c>
      <c r="AB12">
        <f ca="1"/>
      </c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L12" s="7">
        <f ca="1"/>
      </c>
      <c r="AM12" s="14">
        <f ca="1"/>
      </c>
      <c r="AN12" s="14">
        <f ca="1"/>
      </c>
      <c r="AO12" s="14">
        <f ca="1"/>
      </c>
      <c r="AP12" s="14">
        <f ca="1"/>
      </c>
      <c r="AQ12" s="14">
        <f ca="1"/>
      </c>
      <c r="AR12" s="14">
        <f ca="1"/>
      </c>
      <c r="AV12" s="14">
        <f ca="1"/>
      </c>
      <c r="AW12" s="14">
        <f ca="1"/>
      </c>
      <c r="AX12" s="14">
        <f ca="1"/>
      </c>
      <c r="AY12" s="14">
        <f ca="1"/>
      </c>
      <c r="AZ12" s="14">
        <f ca="1"/>
      </c>
      <c r="BB12">
        <f ca="1"/>
      </c>
      <c r="BC12">
        <f ca="1"/>
      </c>
      <c r="BD12">
        <f ca="1"/>
      </c>
      <c r="BF12" s="7">
        <f ca="1"/>
      </c>
      <c r="BG12" s="14">
        <f ca="1"/>
      </c>
      <c r="BH12" s="14">
        <f ca="1"/>
      </c>
      <c r="BI12" s="14">
        <f ca="1"/>
      </c>
      <c r="BJ12" s="14">
        <f ca="1"/>
      </c>
      <c r="BK12" s="14">
        <f ca="1"/>
      </c>
    </row>
    <row r="13" spans="1:63" x14ac:dyDescent="0.55000000000000004">
      <c r="A13" t="s">
        <v>71</v>
      </c>
      <c r="B13" s="3"/>
      <c r="F13" s="25" t="s">
        <v>89</v>
      </c>
      <c r="G13" s="29">
        <f ca="1">IF($B$5="","",G7-G10)</f>
      </c>
      <c r="H13" s="29">
        <f ca="1">IF($B$6="","",H7-H10)</f>
      </c>
      <c r="I13" s="29">
        <f ca="1">IF($B$7="","",I7-I10)</f>
      </c>
      <c r="J13" s="29">
        <f ca="1">J7-J10</f>
      </c>
      <c r="AB13">
        <f ca="1"/>
      </c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L13" s="7">
        <f ca="1"/>
      </c>
      <c r="AM13" s="14">
        <f ca="1"/>
      </c>
      <c r="AN13" s="14">
        <f ca="1"/>
      </c>
      <c r="AO13" s="14">
        <f ca="1"/>
      </c>
      <c r="AP13" s="14">
        <f ca="1"/>
      </c>
      <c r="AQ13" s="14">
        <f ca="1"/>
      </c>
      <c r="AR13" s="14">
        <f ca="1"/>
      </c>
      <c r="AV13" s="14">
        <f ca="1"/>
      </c>
      <c r="AW13" s="14">
        <f ca="1"/>
      </c>
      <c r="AX13" s="14">
        <f ca="1"/>
      </c>
      <c r="AY13" s="14">
        <f ca="1"/>
      </c>
      <c r="AZ13" s="14">
        <f ca="1"/>
      </c>
      <c r="BB13">
        <f ca="1"/>
      </c>
      <c r="BC13">
        <f ca="1"/>
      </c>
      <c r="BD13">
        <f ca="1"/>
      </c>
      <c r="BF13" s="7">
        <f ca="1"/>
      </c>
      <c r="BG13" s="14">
        <f ca="1"/>
      </c>
      <c r="BH13" s="14">
        <f ca="1"/>
      </c>
      <c r="BI13" s="14">
        <f ca="1"/>
      </c>
      <c r="BJ13" s="14">
        <f ca="1"/>
      </c>
      <c r="BK13" s="14">
        <f ca="1"/>
      </c>
    </row>
    <row r="14" spans="1:63" x14ac:dyDescent="0.55000000000000004">
      <c r="F14" s="25" t="s">
        <v>104</v>
      </c>
      <c r="G14" s="30" cm="1">
        <f t="array" aca="1" ref="G14" ca="1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aca="1" ref="H14" ca="1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aca="1" ref="I14" ca="1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aca="1" ref="J14" ca="1">_xlfn.LET(_xlpm.s,_xlfn._xlws.FILTER(VHV_ChGap,ISNUMBER(VHV_ChGap)),SUM(--(_xlpm.s&lt;=J11))/ROWS(_xlpm.s))</f>
      </c>
      <c r="AB14">
        <f ca="1"/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L14" s="7">
        <f ca="1"/>
      </c>
      <c r="AM14" s="14">
        <f ca="1"/>
      </c>
      <c r="AN14" s="14">
        <f ca="1"/>
      </c>
      <c r="AO14" s="14">
        <f ca="1"/>
      </c>
      <c r="AP14" s="14">
        <f ca="1"/>
      </c>
      <c r="AQ14" s="14">
        <f ca="1"/>
      </c>
      <c r="AR14" s="14">
        <f ca="1"/>
      </c>
      <c r="AV14" s="14">
        <f ca="1"/>
      </c>
      <c r="AW14" s="14">
        <f ca="1"/>
      </c>
      <c r="AX14" s="14">
        <f ca="1"/>
      </c>
      <c r="AY14" s="14">
        <f ca="1"/>
      </c>
      <c r="AZ14" s="14">
        <f ca="1"/>
      </c>
      <c r="BB14">
        <f ca="1"/>
      </c>
      <c r="BC14">
        <f ca="1"/>
      </c>
      <c r="BD14">
        <f ca="1"/>
      </c>
      <c r="BF14" s="7">
        <f ca="1"/>
      </c>
      <c r="BG14" s="14">
        <f ca="1"/>
      </c>
      <c r="BH14" s="14">
        <f ca="1"/>
      </c>
      <c r="BI14" s="14">
        <f ca="1"/>
      </c>
      <c r="BJ14" s="14">
        <f ca="1"/>
      </c>
      <c r="BK14" s="14">
        <f ca="1"/>
      </c>
    </row>
    <row r="15" spans="1:63" x14ac:dyDescent="0.55000000000000004">
      <c r="A15" s="22" t="s">
        <v>72</v>
      </c>
      <c r="F15" s="25" t="s">
        <v>105</v>
      </c>
      <c r="G15" s="30" cm="1">
        <f t="array" aca="1" ref="G15" ca="1">IF($B$5="","",_xlfn.LET(_xlpm.g,_xlfn.ANCHORARRAY(AM4),_xlpm.s,_xlfn._xlws.FILTER(_xlpm.g,ISNUMBER(_xlpm.g)*(VHV_Date&gt;=IF(VHV_From="",0,VHV_From))),SUM(--(_xlpm.s&lt;=G7))/ROWS(_xlpm.s)))</f>
      </c>
      <c r="H15" s="30" cm="1">
        <f t="array" aca="1" ref="H15" ca="1">IF($B$6="","",_xlfn.LET(_xlpm.g,_xlfn.ANCHORARRAY(AP4),_xlpm.s,_xlfn._xlws.FILTER(_xlpm.g,ISNUMBER(_xlpm.g)*(VHV_Date&gt;=IF(VHV_From="",0,VHV_From))),SUM(--(_xlpm.s&lt;=H7))/ROWS(_xlpm.s)))</f>
      </c>
      <c r="I15" s="30" cm="1">
        <f t="array" aca="1" ref="I15" ca="1">IF($B$7="","",_xlfn.LET(_xlpm.g,_xlfn.ANCHORARRAY(AS4),_xlpm.s,_xlfn._xlws.FILTER(_xlpm.g,ISNUMBER(_xlpm.g)*(VHV_Date&gt;=IF(VHV_From="",0,VHV_From))),SUM(--(_xlpm.s&lt;=I7))/ROWS(_xlpm.s)))</f>
      </c>
      <c r="J15" s="30" cm="1">
        <f t="array" aca="1" ref="J15" ca="1">_xlfn.LET(_xlpm.s,_xlfn._xlws.FILTER(VHV_ChIV,ISNUMBER(VHV_ChIV)),SUM(--(_xlpm.s&lt;=J7))/ROWS(_xlpm.s))</f>
      </c>
      <c r="AB15">
        <f ca="1"/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L15" s="7">
        <f ca="1"/>
      </c>
      <c r="AM15" s="14">
        <f ca="1"/>
      </c>
      <c r="AN15" s="14">
        <f ca="1"/>
      </c>
      <c r="AO15" s="14">
        <f ca="1"/>
      </c>
      <c r="AP15" s="14">
        <f ca="1"/>
      </c>
      <c r="AQ15" s="14">
        <f ca="1"/>
      </c>
      <c r="AR15" s="14">
        <f ca="1"/>
      </c>
      <c r="AV15" s="14">
        <f ca="1"/>
      </c>
      <c r="AW15" s="14">
        <f ca="1"/>
      </c>
      <c r="AX15" s="14">
        <f ca="1"/>
      </c>
      <c r="AY15" s="14">
        <f ca="1"/>
      </c>
      <c r="AZ15" s="14">
        <f ca="1"/>
      </c>
      <c r="BB15">
        <f ca="1"/>
      </c>
      <c r="BC15">
        <f ca="1"/>
      </c>
      <c r="BD15">
        <f ca="1"/>
      </c>
      <c r="BF15" s="7">
        <f ca="1"/>
      </c>
      <c r="BG15" s="14">
        <f ca="1"/>
      </c>
      <c r="BH15" s="14">
        <f ca="1"/>
      </c>
      <c r="BI15" s="14">
        <f ca="1"/>
      </c>
      <c r="BJ15" s="14">
        <f ca="1"/>
      </c>
      <c r="BK15" s="14">
        <f ca="1"/>
      </c>
    </row>
    <row r="16" spans="1:63" x14ac:dyDescent="0.55000000000000004">
      <c r="A16" s="22" t="s">
        <v>73</v>
      </c>
      <c r="F16" s="25" t="s">
        <v>66</v>
      </c>
      <c r="G16" s="31">
        <f>IF($B$5="","",$D$5)</f>
      </c>
      <c r="H16" s="31">
        <f>IF($B$6="","",$D$6)</f>
      </c>
      <c r="I16" s="31">
        <f>IF($B$7="","",$D$7)</f>
      </c>
      <c r="J16" s="31"/>
      <c r="AB16">
        <f ca="1"/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L16" s="7">
        <f ca="1"/>
      </c>
      <c r="AM16" s="14">
        <f ca="1"/>
      </c>
      <c r="AN16" s="14">
        <f ca="1"/>
      </c>
      <c r="AO16" s="14">
        <f ca="1"/>
      </c>
      <c r="AP16" s="14">
        <f ca="1"/>
      </c>
      <c r="AQ16" s="14">
        <f ca="1"/>
      </c>
      <c r="AR16" s="14">
        <f ca="1"/>
      </c>
      <c r="AV16" s="14">
        <f ca="1"/>
      </c>
      <c r="AW16" s="14">
        <f ca="1"/>
      </c>
      <c r="AX16" s="14">
        <f ca="1"/>
      </c>
      <c r="AY16" s="14">
        <f ca="1"/>
      </c>
      <c r="AZ16" s="14">
        <f ca="1"/>
      </c>
      <c r="BB16">
        <f ca="1"/>
      </c>
      <c r="BC16">
        <f ca="1"/>
      </c>
      <c r="BD16">
        <f ca="1"/>
      </c>
      <c r="BF16" s="7">
        <f ca="1"/>
      </c>
      <c r="BG16" s="14">
        <f ca="1"/>
      </c>
      <c r="BH16" s="14">
        <f ca="1"/>
      </c>
      <c r="BI16" s="14">
        <f ca="1"/>
      </c>
      <c r="BJ16" s="14">
        <f ca="1"/>
      </c>
      <c r="BK16" s="14">
        <f ca="1"/>
      </c>
    </row>
    <row r="17" spans="28:63" x14ac:dyDescent="0.55000000000000004">
      <c r="AB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L17" s="7">
        <f ca="1"/>
      </c>
      <c r="AM17" s="14">
        <f ca="1"/>
      </c>
      <c r="AN17" s="14">
        <f ca="1"/>
      </c>
      <c r="AO17" s="14">
        <f ca="1"/>
      </c>
      <c r="AP17" s="14">
        <f ca="1"/>
      </c>
      <c r="AQ17" s="14">
        <f ca="1"/>
      </c>
      <c r="AR17" s="14">
        <f ca="1"/>
      </c>
      <c r="AV17" s="14">
        <f ca="1"/>
      </c>
      <c r="AW17" s="14">
        <f ca="1"/>
      </c>
      <c r="AX17" s="14">
        <f ca="1"/>
      </c>
      <c r="AY17" s="14">
        <f ca="1"/>
      </c>
      <c r="AZ17" s="14">
        <f ca="1"/>
      </c>
      <c r="BB17">
        <f ca="1"/>
      </c>
      <c r="BC17">
        <f ca="1"/>
      </c>
      <c r="BD17">
        <f ca="1"/>
      </c>
      <c r="BF17" s="7">
        <f ca="1"/>
      </c>
      <c r="BG17" s="14">
        <f ca="1"/>
      </c>
      <c r="BH17" s="14">
        <f ca="1"/>
      </c>
      <c r="BI17" s="14">
        <f ca="1"/>
      </c>
      <c r="BJ17" s="14">
        <f ca="1"/>
      </c>
      <c r="BK17" s="14">
        <f ca="1"/>
      </c>
    </row>
    <row r="18" spans="28:63" x14ac:dyDescent="0.55000000000000004">
      <c r="AB18">
        <f ca="1"/>
      </c>
      <c r="AC18">
        <f ca="1"/>
      </c>
      <c r="AD18">
        <f ca="1"/>
      </c>
      <c r="AE18">
        <f ca="1"/>
      </c>
      <c r="AF18">
        <f ca="1"/>
      </c>
      <c r="AG18">
        <f ca="1"/>
      </c>
      <c r="AH18">
        <f ca="1"/>
      </c>
      <c r="AL18" s="7">
        <f ca="1"/>
      </c>
      <c r="AM18" s="14">
        <f ca="1"/>
      </c>
      <c r="AN18" s="14">
        <f ca="1"/>
      </c>
      <c r="AO18" s="14">
        <f ca="1"/>
      </c>
      <c r="AP18" s="14">
        <f ca="1"/>
      </c>
      <c r="AQ18" s="14">
        <f ca="1"/>
      </c>
      <c r="AR18" s="14">
        <f ca="1"/>
      </c>
      <c r="AV18" s="14">
        <f ca="1"/>
      </c>
      <c r="AW18" s="14">
        <f ca="1"/>
      </c>
      <c r="AX18" s="14">
        <f ca="1"/>
      </c>
      <c r="AY18" s="14">
        <f ca="1"/>
      </c>
      <c r="AZ18" s="14">
        <f ca="1"/>
      </c>
      <c r="BB18">
        <f ca="1"/>
      </c>
      <c r="BC18">
        <f ca="1"/>
      </c>
      <c r="BD18">
        <f ca="1"/>
      </c>
      <c r="BF18" s="7">
        <f ca="1"/>
      </c>
      <c r="BG18" s="14">
        <f ca="1"/>
      </c>
      <c r="BH18" s="14">
        <f ca="1"/>
      </c>
      <c r="BI18" s="14">
        <f ca="1"/>
      </c>
      <c r="BJ18" s="14">
        <f ca="1"/>
      </c>
      <c r="BK18" s="14">
        <f ca="1"/>
      </c>
    </row>
    <row r="19" spans="28:63" x14ac:dyDescent="0.55000000000000004">
      <c r="AB19">
        <f ca="1"/>
      </c>
      <c r="AC19">
        <f ca="1"/>
      </c>
      <c r="AD19">
        <f ca="1"/>
      </c>
      <c r="AE19">
        <f ca="1"/>
      </c>
      <c r="AF19">
        <f ca="1"/>
      </c>
      <c r="AG19">
        <f ca="1"/>
      </c>
      <c r="AH19">
        <f ca="1"/>
      </c>
      <c r="AL19" s="7">
        <f ca="1"/>
      </c>
      <c r="AM19" s="14">
        <f ca="1"/>
      </c>
      <c r="AN19" s="14">
        <f ca="1"/>
      </c>
      <c r="AO19" s="14">
        <f ca="1"/>
      </c>
      <c r="AP19" s="14">
        <f ca="1"/>
      </c>
      <c r="AQ19" s="14">
        <f ca="1"/>
      </c>
      <c r="AR19" s="14">
        <f ca="1"/>
      </c>
      <c r="AV19" s="14">
        <f ca="1"/>
      </c>
      <c r="AW19" s="14">
        <f ca="1"/>
      </c>
      <c r="AX19" s="14">
        <f ca="1"/>
      </c>
      <c r="AY19" s="14">
        <f ca="1"/>
      </c>
      <c r="AZ19" s="14">
        <f ca="1"/>
      </c>
      <c r="BB19">
        <f ca="1"/>
      </c>
      <c r="BC19">
        <f ca="1"/>
      </c>
      <c r="BD19">
        <f ca="1"/>
      </c>
      <c r="BF19" s="7">
        <f ca="1"/>
      </c>
      <c r="BG19" s="14">
        <f ca="1"/>
      </c>
      <c r="BH19" s="14">
        <f ca="1"/>
      </c>
      <c r="BI19" s="14">
        <f ca="1"/>
      </c>
      <c r="BJ19" s="14">
        <f ca="1"/>
      </c>
      <c r="BK19" s="14">
        <f ca="1"/>
      </c>
    </row>
    <row r="20" spans="28:63" x14ac:dyDescent="0.55000000000000004">
      <c r="AB20">
        <f ca="1"/>
      </c>
      <c r="AC20">
        <f ca="1"/>
      </c>
      <c r="AD20">
        <f ca="1"/>
      </c>
      <c r="AE20">
        <f ca="1"/>
      </c>
      <c r="AF20">
        <f ca="1"/>
      </c>
      <c r="AG20">
        <f ca="1"/>
      </c>
      <c r="AH20">
        <f ca="1"/>
      </c>
      <c r="AL20" s="7">
        <f ca="1"/>
      </c>
      <c r="AM20" s="14">
        <f ca="1"/>
      </c>
      <c r="AN20" s="14">
        <f ca="1"/>
      </c>
      <c r="AO20" s="14">
        <f ca="1"/>
      </c>
      <c r="AP20" s="14">
        <f ca="1"/>
      </c>
      <c r="AQ20" s="14">
        <f ca="1"/>
      </c>
      <c r="AR20" s="14">
        <f ca="1"/>
      </c>
      <c r="AV20" s="14">
        <f ca="1"/>
      </c>
      <c r="AW20" s="14">
        <f ca="1"/>
      </c>
      <c r="AX20" s="14">
        <f ca="1"/>
      </c>
      <c r="AY20" s="14">
        <f ca="1"/>
      </c>
      <c r="AZ20" s="14">
        <f ca="1"/>
      </c>
      <c r="BB20">
        <f ca="1"/>
      </c>
      <c r="BC20">
        <f ca="1"/>
      </c>
      <c r="BD20">
        <f ca="1"/>
      </c>
      <c r="BF20" s="7">
        <f ca="1"/>
      </c>
      <c r="BG20" s="14">
        <f ca="1"/>
      </c>
      <c r="BH20" s="14">
        <f ca="1"/>
      </c>
      <c r="BI20" s="14">
        <f ca="1"/>
      </c>
      <c r="BJ20" s="14">
        <f ca="1"/>
      </c>
      <c r="BK20" s="14">
        <f ca="1"/>
      </c>
    </row>
    <row r="21" spans="28:63" x14ac:dyDescent="0.55000000000000004">
      <c r="AB21">
        <f ca="1"/>
      </c>
      <c r="AC21">
        <f ca="1"/>
      </c>
      <c r="AD21">
        <f ca="1"/>
      </c>
      <c r="AE21">
        <f ca="1"/>
      </c>
      <c r="AF21">
        <f ca="1"/>
      </c>
      <c r="AG21">
        <f ca="1"/>
      </c>
      <c r="AH21">
        <f ca="1"/>
      </c>
      <c r="AL21" s="7">
        <f ca="1"/>
      </c>
      <c r="AM21" s="14">
        <f ca="1"/>
      </c>
      <c r="AN21" s="14">
        <f ca="1"/>
      </c>
      <c r="AO21" s="14">
        <f ca="1"/>
      </c>
      <c r="AP21" s="14">
        <f ca="1"/>
      </c>
      <c r="AQ21" s="14">
        <f ca="1"/>
      </c>
      <c r="AR21" s="14">
        <f ca="1"/>
      </c>
      <c r="AV21" s="14">
        <f ca="1"/>
      </c>
      <c r="AW21" s="14">
        <f ca="1"/>
      </c>
      <c r="AX21" s="14">
        <f ca="1"/>
      </c>
      <c r="AY21" s="14">
        <f ca="1"/>
      </c>
      <c r="AZ21" s="14">
        <f ca="1"/>
      </c>
      <c r="BB21">
        <f ca="1"/>
      </c>
      <c r="BC21">
        <f ca="1"/>
      </c>
      <c r="BD21">
        <f ca="1"/>
      </c>
      <c r="BF21" s="7">
        <f ca="1"/>
      </c>
      <c r="BG21" s="14">
        <f ca="1"/>
      </c>
      <c r="BH21" s="14">
        <f ca="1"/>
      </c>
      <c r="BI21" s="14">
        <f ca="1"/>
      </c>
      <c r="BJ21" s="14">
        <f ca="1"/>
      </c>
      <c r="BK21" s="14">
        <f ca="1"/>
      </c>
    </row>
    <row r="22" spans="28:63" x14ac:dyDescent="0.55000000000000004">
      <c r="AB22">
        <f ca="1"/>
      </c>
      <c r="AC22">
        <f ca="1"/>
      </c>
      <c r="AD22">
        <f ca="1"/>
      </c>
      <c r="AE22">
        <f ca="1"/>
      </c>
      <c r="AF22">
        <f ca="1"/>
      </c>
      <c r="AG22">
        <f ca="1"/>
      </c>
      <c r="AH22">
        <f ca="1"/>
      </c>
      <c r="AL22" s="7">
        <f ca="1"/>
      </c>
      <c r="AM22" s="14">
        <f ca="1"/>
      </c>
      <c r="AN22" s="14">
        <f ca="1"/>
      </c>
      <c r="AO22" s="14">
        <f ca="1"/>
      </c>
      <c r="AP22" s="14">
        <f ca="1"/>
      </c>
      <c r="AQ22" s="14">
        <f ca="1"/>
      </c>
      <c r="AR22" s="14">
        <f ca="1"/>
      </c>
      <c r="AV22" s="14">
        <f ca="1"/>
      </c>
      <c r="AW22" s="14">
        <f ca="1"/>
      </c>
      <c r="AX22" s="14">
        <f ca="1"/>
      </c>
      <c r="AY22" s="14">
        <f ca="1"/>
      </c>
      <c r="AZ22" s="14">
        <f ca="1"/>
      </c>
      <c r="BB22">
        <f ca="1"/>
      </c>
      <c r="BC22">
        <f ca="1"/>
      </c>
      <c r="BD22">
        <f ca="1"/>
      </c>
      <c r="BF22" s="7">
        <f ca="1"/>
      </c>
      <c r="BG22" s="14">
        <f ca="1"/>
      </c>
      <c r="BH22" s="14">
        <f ca="1"/>
      </c>
      <c r="BI22" s="14">
        <f ca="1"/>
      </c>
      <c r="BJ22" s="14">
        <f ca="1"/>
      </c>
      <c r="BK22" s="14">
        <f ca="1"/>
      </c>
    </row>
    <row r="23" spans="28:63" x14ac:dyDescent="0.55000000000000004">
      <c r="AB23">
        <f ca="1"/>
      </c>
      <c r="AC23">
        <f ca="1"/>
      </c>
      <c r="AD23">
        <f ca="1"/>
      </c>
      <c r="AE23">
        <f ca="1"/>
      </c>
      <c r="AF23">
        <f ca="1"/>
      </c>
      <c r="AG23">
        <f ca="1"/>
      </c>
      <c r="AH23">
        <f ca="1"/>
      </c>
      <c r="AL23" s="7">
        <f ca="1"/>
      </c>
      <c r="AM23" s="14">
        <f ca="1"/>
      </c>
      <c r="AN23" s="14">
        <f ca="1"/>
      </c>
      <c r="AO23" s="14">
        <f ca="1"/>
      </c>
      <c r="AP23" s="14">
        <f ca="1"/>
      </c>
      <c r="AQ23" s="14">
        <f ca="1"/>
      </c>
      <c r="AR23" s="14">
        <f ca="1"/>
      </c>
      <c r="AV23" s="14">
        <f ca="1"/>
      </c>
      <c r="AW23" s="14">
        <f ca="1"/>
      </c>
      <c r="AX23" s="14">
        <f ca="1"/>
      </c>
      <c r="AY23" s="14">
        <f ca="1"/>
      </c>
      <c r="AZ23" s="14">
        <f ca="1"/>
      </c>
      <c r="BB23">
        <f ca="1"/>
      </c>
      <c r="BC23">
        <f ca="1"/>
      </c>
      <c r="BD23">
        <f ca="1"/>
      </c>
      <c r="BF23" s="7">
        <f ca="1"/>
      </c>
      <c r="BG23" s="14">
        <f ca="1"/>
      </c>
      <c r="BH23" s="14">
        <f ca="1"/>
      </c>
      <c r="BI23" s="14">
        <f ca="1"/>
      </c>
      <c r="BJ23" s="14">
        <f ca="1"/>
      </c>
      <c r="BK23" s="14">
        <f ca="1"/>
      </c>
    </row>
    <row r="24" spans="28:63" x14ac:dyDescent="0.55000000000000004">
      <c r="AB24">
        <f ca="1"/>
      </c>
      <c r="AC24">
        <f ca="1"/>
      </c>
      <c r="AD24">
        <f ca="1"/>
      </c>
      <c r="AE24">
        <f ca="1"/>
      </c>
      <c r="AF24">
        <f ca="1"/>
      </c>
      <c r="AG24">
        <f ca="1"/>
      </c>
      <c r="AH24">
        <f ca="1"/>
      </c>
      <c r="AL24" s="7">
        <f ca="1"/>
      </c>
      <c r="AM24" s="14">
        <f ca="1"/>
      </c>
      <c r="AN24" s="14">
        <f ca="1"/>
      </c>
      <c r="AO24" s="14">
        <f ca="1"/>
      </c>
      <c r="AP24" s="14">
        <f ca="1"/>
      </c>
      <c r="AQ24" s="14">
        <f ca="1"/>
      </c>
      <c r="AR24" s="14">
        <f ca="1"/>
      </c>
      <c r="AV24" s="14">
        <f ca="1"/>
      </c>
      <c r="AW24" s="14">
        <f ca="1"/>
      </c>
      <c r="AX24" s="14">
        <f ca="1"/>
      </c>
      <c r="AY24" s="14">
        <f ca="1"/>
      </c>
      <c r="AZ24" s="14">
        <f ca="1"/>
      </c>
      <c r="BB24">
        <f ca="1"/>
      </c>
      <c r="BC24">
        <f ca="1"/>
      </c>
      <c r="BD24">
        <f ca="1"/>
      </c>
      <c r="BF24" s="7">
        <f ca="1"/>
      </c>
      <c r="BG24" s="14">
        <f ca="1"/>
      </c>
      <c r="BH24" s="14">
        <f ca="1"/>
      </c>
      <c r="BI24" s="14">
        <f ca="1"/>
      </c>
      <c r="BJ24" s="14">
        <f ca="1"/>
      </c>
      <c r="BK24" s="14">
        <f ca="1"/>
      </c>
    </row>
    <row r="25" spans="28:63" x14ac:dyDescent="0.55000000000000004">
      <c r="AB25">
        <f ca="1"/>
      </c>
      <c r="AC25">
        <f ca="1"/>
      </c>
      <c r="AD25">
        <f ca="1"/>
      </c>
      <c r="AE25">
        <f ca="1"/>
      </c>
      <c r="AF25">
        <f ca="1"/>
      </c>
      <c r="AG25">
        <f ca="1"/>
      </c>
      <c r="AH25">
        <f ca="1"/>
      </c>
      <c r="AL25" s="7">
        <f ca="1"/>
      </c>
      <c r="AM25" s="14">
        <f ca="1"/>
      </c>
      <c r="AN25" s="14">
        <f ca="1"/>
      </c>
      <c r="AO25" s="14">
        <f ca="1"/>
      </c>
      <c r="AP25" s="14">
        <f ca="1"/>
      </c>
      <c r="AQ25" s="14">
        <f ca="1"/>
      </c>
      <c r="AR25" s="14">
        <f ca="1"/>
      </c>
      <c r="AV25" s="14">
        <f ca="1"/>
      </c>
      <c r="AW25" s="14">
        <f ca="1"/>
      </c>
      <c r="AX25" s="14">
        <f ca="1"/>
      </c>
      <c r="AY25" s="14">
        <f ca="1"/>
      </c>
      <c r="AZ25" s="14">
        <f ca="1"/>
      </c>
      <c r="BB25">
        <f ca="1"/>
      </c>
      <c r="BC25">
        <f ca="1"/>
      </c>
      <c r="BD25">
        <f ca="1"/>
      </c>
      <c r="BF25" s="7">
        <f ca="1"/>
      </c>
      <c r="BG25" s="14">
        <f ca="1"/>
      </c>
      <c r="BH25" s="14">
        <f ca="1"/>
      </c>
      <c r="BI25" s="14">
        <f ca="1"/>
      </c>
      <c r="BJ25" s="14">
        <f ca="1"/>
      </c>
      <c r="BK25" s="14">
        <f ca="1"/>
      </c>
    </row>
    <row r="26" spans="28:63" x14ac:dyDescent="0.55000000000000004">
      <c r="AB26">
        <f ca="1"/>
      </c>
      <c r="AC26">
        <f ca="1"/>
      </c>
      <c r="AD26">
        <f ca="1"/>
      </c>
      <c r="AE26">
        <f ca="1"/>
      </c>
      <c r="AF26">
        <f ca="1"/>
      </c>
      <c r="AG26">
        <f ca="1"/>
      </c>
      <c r="AH26">
        <f ca="1"/>
      </c>
      <c r="AL26" s="7">
        <f ca="1"/>
      </c>
      <c r="AM26" s="14">
        <f ca="1"/>
      </c>
      <c r="AN26" s="14">
        <f ca="1"/>
      </c>
      <c r="AO26" s="14">
        <f ca="1"/>
      </c>
      <c r="AP26" s="14">
        <f ca="1"/>
      </c>
      <c r="AQ26" s="14">
        <f ca="1"/>
      </c>
      <c r="AR26" s="14">
        <f ca="1"/>
      </c>
      <c r="AV26" s="14">
        <f ca="1"/>
      </c>
      <c r="AW26" s="14">
        <f ca="1"/>
      </c>
      <c r="AX26" s="14">
        <f ca="1"/>
      </c>
      <c r="AY26" s="14">
        <f ca="1"/>
      </c>
      <c r="AZ26" s="14">
        <f ca="1"/>
      </c>
      <c r="BB26">
        <f ca="1"/>
      </c>
      <c r="BC26">
        <f ca="1"/>
      </c>
      <c r="BD26">
        <f ca="1"/>
      </c>
      <c r="BF26" s="7">
        <f ca="1"/>
      </c>
      <c r="BG26" s="14">
        <f ca="1"/>
      </c>
      <c r="BH26" s="14">
        <f ca="1"/>
      </c>
      <c r="BI26" s="14">
        <f ca="1"/>
      </c>
      <c r="BJ26" s="14">
        <f ca="1"/>
      </c>
      <c r="BK26" s="14">
        <f ca="1"/>
      </c>
    </row>
    <row r="27" spans="28:63" x14ac:dyDescent="0.55000000000000004">
      <c r="AB27">
        <f ca="1"/>
      </c>
      <c r="AC27">
        <f ca="1"/>
      </c>
      <c r="AD27">
        <f ca="1"/>
      </c>
      <c r="AE27">
        <f ca="1"/>
      </c>
      <c r="AF27">
        <f ca="1"/>
      </c>
      <c r="AG27">
        <f ca="1"/>
      </c>
      <c r="AH27">
        <f ca="1"/>
      </c>
      <c r="AL27" s="7">
        <f ca="1"/>
      </c>
      <c r="AM27" s="14">
        <f ca="1"/>
      </c>
      <c r="AN27" s="14">
        <f ca="1"/>
      </c>
      <c r="AO27" s="14">
        <f ca="1"/>
      </c>
      <c r="AP27" s="14">
        <f ca="1"/>
      </c>
      <c r="AQ27" s="14">
        <f ca="1"/>
      </c>
      <c r="AR27" s="14">
        <f ca="1"/>
      </c>
      <c r="AV27" s="14">
        <f ca="1"/>
      </c>
      <c r="AW27" s="14">
        <f ca="1"/>
      </c>
      <c r="AX27" s="14">
        <f ca="1"/>
      </c>
      <c r="AY27" s="14">
        <f ca="1"/>
      </c>
      <c r="AZ27" s="14">
        <f ca="1"/>
      </c>
      <c r="BB27">
        <f ca="1"/>
      </c>
      <c r="BC27">
        <f ca="1"/>
      </c>
      <c r="BD27">
        <f ca="1"/>
      </c>
      <c r="BF27" s="7">
        <f ca="1"/>
      </c>
      <c r="BG27" s="14">
        <f ca="1"/>
      </c>
      <c r="BH27" s="14">
        <f ca="1"/>
      </c>
      <c r="BI27" s="14">
        <f ca="1"/>
      </c>
      <c r="BJ27" s="14">
        <f ca="1"/>
      </c>
      <c r="BK27" s="14">
        <f ca="1"/>
      </c>
    </row>
    <row r="28" spans="28:63" x14ac:dyDescent="0.55000000000000004">
      <c r="AB28">
        <f ca="1"/>
      </c>
      <c r="AC28">
        <f ca="1"/>
      </c>
      <c r="AD28">
        <f ca="1"/>
      </c>
      <c r="AE28">
        <f ca="1"/>
      </c>
      <c r="AF28">
        <f ca="1"/>
      </c>
      <c r="AG28">
        <f ca="1"/>
      </c>
      <c r="AH28">
        <f ca="1"/>
      </c>
      <c r="AL28" s="7">
        <f ca="1"/>
      </c>
      <c r="AM28" s="14">
        <f ca="1"/>
      </c>
      <c r="AN28" s="14">
        <f ca="1"/>
      </c>
      <c r="AO28" s="14">
        <f ca="1"/>
      </c>
      <c r="AP28" s="14">
        <f ca="1"/>
      </c>
      <c r="AQ28" s="14">
        <f ca="1"/>
      </c>
      <c r="AR28" s="14">
        <f ca="1"/>
      </c>
      <c r="AV28" s="14">
        <f ca="1"/>
      </c>
      <c r="AW28" s="14">
        <f ca="1"/>
      </c>
      <c r="AX28" s="14">
        <f ca="1"/>
      </c>
      <c r="AY28" s="14">
        <f ca="1"/>
      </c>
      <c r="AZ28" s="14">
        <f ca="1"/>
      </c>
      <c r="BB28">
        <f ca="1"/>
      </c>
      <c r="BC28">
        <f ca="1"/>
      </c>
      <c r="BD28">
        <f ca="1"/>
      </c>
      <c r="BF28" s="7">
        <f ca="1"/>
      </c>
      <c r="BG28" s="14">
        <f ca="1"/>
      </c>
      <c r="BH28" s="14">
        <f ca="1"/>
      </c>
      <c r="BI28" s="14">
        <f ca="1"/>
      </c>
      <c r="BJ28" s="14">
        <f ca="1"/>
      </c>
      <c r="BK28" s="14">
        <f ca="1"/>
      </c>
    </row>
    <row r="29" spans="28:63" x14ac:dyDescent="0.55000000000000004">
      <c r="AB29">
        <f ca="1"/>
      </c>
      <c r="AC29">
        <f ca="1"/>
      </c>
      <c r="AD29">
        <f ca="1"/>
      </c>
      <c r="AE29">
        <f ca="1"/>
      </c>
      <c r="AF29">
        <f ca="1"/>
      </c>
      <c r="AG29">
        <f ca="1"/>
      </c>
      <c r="AH29">
        <f ca="1"/>
      </c>
      <c r="AL29" s="7">
        <f ca="1"/>
      </c>
      <c r="AM29" s="14">
        <f ca="1"/>
      </c>
      <c r="AN29" s="14">
        <f ca="1"/>
      </c>
      <c r="AO29" s="14">
        <f ca="1"/>
      </c>
      <c r="AP29" s="14">
        <f ca="1"/>
      </c>
      <c r="AQ29" s="14">
        <f ca="1"/>
      </c>
      <c r="AR29" s="14">
        <f ca="1"/>
      </c>
      <c r="AV29" s="14">
        <f ca="1"/>
      </c>
      <c r="AW29" s="14">
        <f ca="1"/>
      </c>
      <c r="AX29" s="14">
        <f ca="1"/>
      </c>
      <c r="AY29" s="14">
        <f ca="1"/>
      </c>
      <c r="AZ29" s="14">
        <f ca="1"/>
      </c>
      <c r="BB29">
        <f ca="1"/>
      </c>
      <c r="BC29">
        <f ca="1"/>
      </c>
      <c r="BD29">
        <f ca="1"/>
      </c>
      <c r="BF29" s="7">
        <f ca="1"/>
      </c>
      <c r="BG29" s="14">
        <f ca="1"/>
      </c>
      <c r="BH29" s="14">
        <f ca="1"/>
      </c>
      <c r="BI29" s="14">
        <f ca="1"/>
      </c>
      <c r="BJ29" s="14">
        <f ca="1"/>
      </c>
      <c r="BK29" s="14">
        <f ca="1"/>
      </c>
    </row>
    <row r="30" spans="28:63" x14ac:dyDescent="0.55000000000000004">
      <c r="AB30">
        <f ca="1"/>
      </c>
      <c r="AC30">
        <f ca="1"/>
      </c>
      <c r="AD30">
        <f ca="1"/>
      </c>
      <c r="AE30">
        <f ca="1"/>
      </c>
      <c r="AF30">
        <f ca="1"/>
      </c>
      <c r="AG30">
        <f ca="1"/>
      </c>
      <c r="AH30">
        <f ca="1"/>
      </c>
      <c r="AL30" s="7">
        <f ca="1"/>
      </c>
      <c r="AM30" s="14">
        <f ca="1"/>
      </c>
      <c r="AN30" s="14">
        <f ca="1"/>
      </c>
      <c r="AO30" s="14">
        <f ca="1"/>
      </c>
      <c r="AP30" s="14">
        <f ca="1"/>
      </c>
      <c r="AQ30" s="14">
        <f ca="1"/>
      </c>
      <c r="AR30" s="14">
        <f ca="1"/>
      </c>
      <c r="AV30" s="14">
        <f ca="1"/>
      </c>
      <c r="AW30" s="14">
        <f ca="1"/>
      </c>
      <c r="AX30" s="14">
        <f ca="1"/>
      </c>
      <c r="AY30" s="14">
        <f ca="1"/>
      </c>
      <c r="AZ30" s="14">
        <f ca="1"/>
      </c>
      <c r="BB30">
        <f ca="1"/>
      </c>
      <c r="BC30">
        <f ca="1"/>
      </c>
      <c r="BD30">
        <f ca="1"/>
      </c>
      <c r="BF30" s="7">
        <f ca="1"/>
      </c>
      <c r="BG30" s="14">
        <f ca="1"/>
      </c>
      <c r="BH30" s="14">
        <f ca="1"/>
      </c>
      <c r="BI30" s="14">
        <f ca="1"/>
      </c>
      <c r="BJ30" s="14">
        <f ca="1"/>
      </c>
      <c r="BK30" s="14">
        <f ca="1"/>
      </c>
    </row>
    <row r="31" spans="28:63" x14ac:dyDescent="0.55000000000000004">
      <c r="AB31">
        <f ca="1"/>
      </c>
      <c r="AC31">
        <f ca="1"/>
      </c>
      <c r="AD31">
        <f ca="1"/>
      </c>
      <c r="AE31">
        <f ca="1"/>
      </c>
      <c r="AF31">
        <f ca="1"/>
      </c>
      <c r="AG31">
        <f ca="1"/>
      </c>
      <c r="AH31">
        <f ca="1"/>
      </c>
      <c r="AL31" s="7">
        <f ca="1"/>
      </c>
      <c r="AM31" s="14">
        <f ca="1"/>
      </c>
      <c r="AN31" s="14">
        <f ca="1"/>
      </c>
      <c r="AO31" s="14">
        <f ca="1"/>
      </c>
      <c r="AP31" s="14">
        <f ca="1"/>
      </c>
      <c r="AQ31" s="14">
        <f ca="1"/>
      </c>
      <c r="AR31" s="14">
        <f ca="1"/>
      </c>
      <c r="AV31" s="14">
        <f ca="1"/>
      </c>
      <c r="AW31" s="14">
        <f ca="1"/>
      </c>
      <c r="AX31" s="14">
        <f ca="1"/>
      </c>
      <c r="AY31" s="14">
        <f ca="1"/>
      </c>
      <c r="AZ31" s="14">
        <f ca="1"/>
      </c>
      <c r="BB31">
        <f ca="1"/>
      </c>
      <c r="BC31">
        <f ca="1"/>
      </c>
      <c r="BD31">
        <f ca="1"/>
      </c>
      <c r="BF31" s="7">
        <f ca="1"/>
      </c>
      <c r="BG31" s="14">
        <f ca="1"/>
      </c>
      <c r="BH31" s="14">
        <f ca="1"/>
      </c>
      <c r="BI31" s="14">
        <f ca="1"/>
      </c>
      <c r="BJ31" s="14">
        <f ca="1"/>
      </c>
      <c r="BK31" s="14">
        <f ca="1"/>
      </c>
    </row>
    <row r="32" spans="28:63" x14ac:dyDescent="0.55000000000000004">
      <c r="AB32">
        <f ca="1"/>
      </c>
      <c r="AC32">
        <f ca="1"/>
      </c>
      <c r="AD32">
        <f ca="1"/>
      </c>
      <c r="AE32">
        <f ca="1"/>
      </c>
      <c r="AF32">
        <f ca="1"/>
      </c>
      <c r="AG32">
        <f ca="1"/>
      </c>
      <c r="AH32">
        <f ca="1"/>
      </c>
      <c r="AL32" s="7">
        <f ca="1"/>
      </c>
      <c r="AM32" s="14">
        <f ca="1"/>
      </c>
      <c r="AN32" s="14">
        <f ca="1"/>
      </c>
      <c r="AO32" s="14">
        <f ca="1"/>
      </c>
      <c r="AP32" s="14">
        <f ca="1"/>
      </c>
      <c r="AQ32" s="14">
        <f ca="1"/>
      </c>
      <c r="AR32" s="14">
        <f ca="1"/>
      </c>
      <c r="AV32" s="14">
        <f ca="1"/>
      </c>
      <c r="AW32" s="14">
        <f ca="1"/>
      </c>
      <c r="AX32" s="14">
        <f ca="1"/>
      </c>
      <c r="AY32" s="14">
        <f ca="1"/>
      </c>
      <c r="AZ32" s="14">
        <f ca="1"/>
      </c>
      <c r="BB32">
        <f ca="1"/>
      </c>
      <c r="BC32">
        <f ca="1"/>
      </c>
      <c r="BD32">
        <f ca="1"/>
      </c>
      <c r="BF32" s="7">
        <f ca="1"/>
      </c>
      <c r="BG32" s="14">
        <f ca="1"/>
      </c>
      <c r="BH32" s="14">
        <f ca="1"/>
      </c>
      <c r="BI32" s="14">
        <f ca="1"/>
      </c>
      <c r="BJ32" s="14">
        <f ca="1"/>
      </c>
      <c r="BK32" s="14">
        <f ca="1"/>
      </c>
    </row>
    <row r="33" spans="28:63" x14ac:dyDescent="0.55000000000000004">
      <c r="AB33">
        <f ca="1"/>
      </c>
      <c r="AC33">
        <f ca="1"/>
      </c>
      <c r="AD33">
        <f ca="1"/>
      </c>
      <c r="AE33">
        <f ca="1"/>
      </c>
      <c r="AF33">
        <f ca="1"/>
      </c>
      <c r="AG33">
        <f ca="1"/>
      </c>
      <c r="AH33">
        <f ca="1"/>
      </c>
      <c r="AL33" s="7">
        <f ca="1"/>
      </c>
      <c r="AM33" s="14">
        <f ca="1"/>
      </c>
      <c r="AN33" s="14">
        <f ca="1"/>
      </c>
      <c r="AO33" s="14">
        <f ca="1"/>
      </c>
      <c r="AP33" s="14">
        <f ca="1"/>
      </c>
      <c r="AQ33" s="14">
        <f ca="1"/>
      </c>
      <c r="AR33" s="14">
        <f ca="1"/>
      </c>
      <c r="AV33" s="14">
        <f ca="1"/>
      </c>
      <c r="AW33" s="14">
        <f ca="1"/>
      </c>
      <c r="AX33" s="14">
        <f ca="1"/>
      </c>
      <c r="AY33" s="14">
        <f ca="1"/>
      </c>
      <c r="AZ33" s="14">
        <f ca="1"/>
      </c>
      <c r="BB33">
        <f ca="1"/>
      </c>
      <c r="BC33">
        <f ca="1"/>
      </c>
      <c r="BD33">
        <f ca="1"/>
      </c>
      <c r="BF33" s="7">
        <f ca="1"/>
      </c>
      <c r="BG33" s="14">
        <f ca="1"/>
      </c>
      <c r="BH33" s="14">
        <f ca="1"/>
      </c>
      <c r="BI33" s="14">
        <f ca="1"/>
      </c>
      <c r="BJ33" s="14">
        <f ca="1"/>
      </c>
      <c r="BK33" s="14">
        <f ca="1"/>
      </c>
    </row>
    <row r="34" spans="28:63" x14ac:dyDescent="0.55000000000000004">
      <c r="AB34">
        <f ca="1"/>
      </c>
      <c r="AC34">
        <f ca="1"/>
      </c>
      <c r="AD34">
        <f ca="1"/>
      </c>
      <c r="AE34">
        <f ca="1"/>
      </c>
      <c r="AF34">
        <f ca="1"/>
      </c>
      <c r="AG34">
        <f ca="1"/>
      </c>
      <c r="AH34">
        <f ca="1"/>
      </c>
      <c r="AL34" s="7">
        <f ca="1"/>
      </c>
      <c r="AM34" s="14">
        <f ca="1"/>
      </c>
      <c r="AN34" s="14">
        <f ca="1"/>
      </c>
      <c r="AO34" s="14">
        <f ca="1"/>
      </c>
      <c r="AP34" s="14">
        <f ca="1"/>
      </c>
      <c r="AQ34" s="14">
        <f ca="1"/>
      </c>
      <c r="AR34" s="14">
        <f ca="1"/>
      </c>
      <c r="AV34" s="14">
        <f ca="1"/>
      </c>
      <c r="AW34" s="14">
        <f ca="1"/>
      </c>
      <c r="AX34" s="14">
        <f ca="1"/>
      </c>
      <c r="AY34" s="14">
        <f ca="1"/>
      </c>
      <c r="AZ34" s="14">
        <f ca="1"/>
      </c>
      <c r="BB34">
        <f ca="1"/>
      </c>
      <c r="BC34">
        <f ca="1"/>
      </c>
      <c r="BD34">
        <f ca="1"/>
      </c>
      <c r="BF34" s="7">
        <f ca="1"/>
      </c>
      <c r="BG34" s="14">
        <f ca="1"/>
      </c>
      <c r="BH34" s="14">
        <f ca="1"/>
      </c>
      <c r="BI34" s="14">
        <f ca="1"/>
      </c>
      <c r="BJ34" s="14">
        <f ca="1"/>
      </c>
      <c r="BK34" s="14">
        <f ca="1"/>
      </c>
    </row>
    <row r="35" spans="28:63" x14ac:dyDescent="0.55000000000000004">
      <c r="AB35">
        <f ca="1"/>
      </c>
      <c r="AC35">
        <f ca="1"/>
      </c>
      <c r="AD35">
        <f ca="1"/>
      </c>
      <c r="AE35">
        <f ca="1"/>
      </c>
      <c r="AF35">
        <f ca="1"/>
      </c>
      <c r="AG35">
        <f ca="1"/>
      </c>
      <c r="AH35">
        <f ca="1"/>
      </c>
      <c r="AL35" s="7">
        <f ca="1"/>
      </c>
      <c r="AM35" s="14">
        <f ca="1"/>
      </c>
      <c r="AN35" s="14">
        <f ca="1"/>
      </c>
      <c r="AO35" s="14">
        <f ca="1"/>
      </c>
      <c r="AP35" s="14">
        <f ca="1"/>
      </c>
      <c r="AQ35" s="14">
        <f ca="1"/>
      </c>
      <c r="AR35" s="14">
        <f ca="1"/>
      </c>
      <c r="AV35" s="14">
        <f ca="1"/>
      </c>
      <c r="AW35" s="14">
        <f ca="1"/>
      </c>
      <c r="AX35" s="14">
        <f ca="1"/>
      </c>
      <c r="AY35" s="14">
        <f ca="1"/>
      </c>
      <c r="AZ35" s="14">
        <f ca="1"/>
      </c>
      <c r="BB35">
        <f ca="1"/>
      </c>
      <c r="BC35">
        <f ca="1"/>
      </c>
      <c r="BD35">
        <f ca="1"/>
      </c>
      <c r="BF35" s="7">
        <f ca="1"/>
      </c>
      <c r="BG35" s="14">
        <f ca="1"/>
      </c>
      <c r="BH35" s="14">
        <f ca="1"/>
      </c>
      <c r="BI35" s="14">
        <f ca="1"/>
      </c>
      <c r="BJ35" s="14">
        <f ca="1"/>
      </c>
      <c r="BK35" s="14">
        <f ca="1"/>
      </c>
    </row>
    <row r="36" spans="28:63" x14ac:dyDescent="0.55000000000000004">
      <c r="AB36">
        <f ca="1"/>
      </c>
      <c r="AC36">
        <f ca="1"/>
      </c>
      <c r="AD36">
        <f ca="1"/>
      </c>
      <c r="AE36">
        <f ca="1"/>
      </c>
      <c r="AF36">
        <f ca="1"/>
      </c>
      <c r="AG36">
        <f ca="1"/>
      </c>
      <c r="AH36">
        <f ca="1"/>
      </c>
      <c r="AL36" s="7">
        <f ca="1"/>
      </c>
      <c r="AM36" s="14">
        <f ca="1"/>
      </c>
      <c r="AN36" s="14">
        <f ca="1"/>
      </c>
      <c r="AO36" s="14">
        <f ca="1"/>
      </c>
      <c r="AP36" s="14">
        <f ca="1"/>
      </c>
      <c r="AQ36" s="14">
        <f ca="1"/>
      </c>
      <c r="AR36" s="14">
        <f ca="1"/>
      </c>
      <c r="AV36" s="14">
        <f ca="1"/>
      </c>
      <c r="AW36" s="14">
        <f ca="1"/>
      </c>
      <c r="AX36" s="14">
        <f ca="1"/>
      </c>
      <c r="AY36" s="14">
        <f ca="1"/>
      </c>
      <c r="AZ36" s="14">
        <f ca="1"/>
      </c>
      <c r="BB36">
        <f ca="1"/>
      </c>
      <c r="BC36">
        <f ca="1"/>
      </c>
      <c r="BD36">
        <f ca="1"/>
      </c>
      <c r="BF36" s="7">
        <f ca="1"/>
      </c>
      <c r="BG36" s="14">
        <f ca="1"/>
      </c>
      <c r="BH36" s="14">
        <f ca="1"/>
      </c>
      <c r="BI36" s="14">
        <f ca="1"/>
      </c>
      <c r="BJ36" s="14">
        <f ca="1"/>
      </c>
      <c r="BK36" s="14">
        <f ca="1"/>
      </c>
    </row>
    <row r="37" spans="28:63" x14ac:dyDescent="0.55000000000000004">
      <c r="AB37">
        <f ca="1"/>
      </c>
      <c r="AC37">
        <f ca="1"/>
      </c>
      <c r="AD37">
        <f ca="1"/>
      </c>
      <c r="AE37">
        <f ca="1"/>
      </c>
      <c r="AF37">
        <f ca="1"/>
      </c>
      <c r="AG37">
        <f ca="1"/>
      </c>
      <c r="AH37">
        <f ca="1"/>
      </c>
      <c r="AL37" s="7">
        <f ca="1"/>
      </c>
      <c r="AM37" s="14">
        <f ca="1"/>
      </c>
      <c r="AN37" s="14">
        <f ca="1"/>
      </c>
      <c r="AO37" s="14">
        <f ca="1"/>
      </c>
      <c r="AP37" s="14">
        <f ca="1"/>
      </c>
      <c r="AQ37" s="14">
        <f ca="1"/>
      </c>
      <c r="AR37" s="14">
        <f ca="1"/>
      </c>
      <c r="AV37" s="14">
        <f ca="1"/>
      </c>
      <c r="AW37" s="14">
        <f ca="1"/>
      </c>
      <c r="AX37" s="14">
        <f ca="1"/>
      </c>
      <c r="AY37" s="14">
        <f ca="1"/>
      </c>
      <c r="AZ37" s="14">
        <f ca="1"/>
      </c>
      <c r="BB37">
        <f ca="1"/>
      </c>
      <c r="BC37">
        <f ca="1"/>
      </c>
      <c r="BD37">
        <f ca="1"/>
      </c>
      <c r="BF37" s="7">
        <f ca="1"/>
      </c>
      <c r="BG37" s="14">
        <f ca="1"/>
      </c>
      <c r="BH37" s="14">
        <f ca="1"/>
      </c>
      <c r="BI37" s="14">
        <f ca="1"/>
      </c>
      <c r="BJ37" s="14">
        <f ca="1"/>
      </c>
      <c r="BK37" s="14">
        <f ca="1"/>
      </c>
    </row>
    <row r="38" spans="28:63" x14ac:dyDescent="0.55000000000000004">
      <c r="AB38">
        <f ca="1"/>
      </c>
      <c r="AC38">
        <f ca="1"/>
      </c>
      <c r="AD38">
        <f ca="1"/>
      </c>
      <c r="AE38">
        <f ca="1"/>
      </c>
      <c r="AF38">
        <f ca="1"/>
      </c>
      <c r="AG38">
        <f ca="1"/>
      </c>
      <c r="AH38">
        <f ca="1"/>
      </c>
      <c r="AL38" s="7">
        <f ca="1"/>
      </c>
      <c r="AM38" s="14">
        <f ca="1"/>
      </c>
      <c r="AN38" s="14">
        <f ca="1"/>
      </c>
      <c r="AO38" s="14">
        <f ca="1"/>
      </c>
      <c r="AP38" s="14">
        <f ca="1"/>
      </c>
      <c r="AQ38" s="14">
        <f ca="1"/>
      </c>
      <c r="AR38" s="14">
        <f ca="1"/>
      </c>
      <c r="AV38" s="14">
        <f ca="1"/>
      </c>
      <c r="AW38" s="14">
        <f ca="1"/>
      </c>
      <c r="AX38" s="14">
        <f ca="1"/>
      </c>
      <c r="AY38" s="14">
        <f ca="1"/>
      </c>
      <c r="AZ38" s="14">
        <f ca="1"/>
      </c>
      <c r="BB38">
        <f ca="1"/>
      </c>
      <c r="BC38">
        <f ca="1"/>
      </c>
      <c r="BD38">
        <f ca="1"/>
      </c>
      <c r="BF38" s="7">
        <f ca="1"/>
      </c>
      <c r="BG38" s="14">
        <f ca="1"/>
      </c>
      <c r="BH38" s="14">
        <f ca="1"/>
      </c>
      <c r="BI38" s="14">
        <f ca="1"/>
      </c>
      <c r="BJ38" s="14">
        <f ca="1"/>
      </c>
      <c r="BK38" s="14">
        <f ca="1"/>
      </c>
    </row>
    <row r="39" spans="28:63" x14ac:dyDescent="0.55000000000000004">
      <c r="AB39">
        <f ca="1"/>
      </c>
      <c r="AC39">
        <f ca="1"/>
      </c>
      <c r="AD39">
        <f ca="1"/>
      </c>
      <c r="AE39">
        <f ca="1"/>
      </c>
      <c r="AF39">
        <f ca="1"/>
      </c>
      <c r="AG39">
        <f ca="1"/>
      </c>
      <c r="AH39">
        <f ca="1"/>
      </c>
      <c r="AL39" s="7">
        <f ca="1"/>
      </c>
      <c r="AM39" s="14">
        <f ca="1"/>
      </c>
      <c r="AN39" s="14">
        <f ca="1"/>
      </c>
      <c r="AO39" s="14">
        <f ca="1"/>
      </c>
      <c r="AP39" s="14">
        <f ca="1"/>
      </c>
      <c r="AQ39" s="14">
        <f ca="1"/>
      </c>
      <c r="AR39" s="14">
        <f ca="1"/>
      </c>
      <c r="AV39" s="14">
        <f ca="1"/>
      </c>
      <c r="AW39" s="14">
        <f ca="1"/>
      </c>
      <c r="AX39" s="14">
        <f ca="1"/>
      </c>
      <c r="AY39" s="14">
        <f ca="1"/>
      </c>
      <c r="AZ39" s="14">
        <f ca="1"/>
      </c>
      <c r="BB39">
        <f ca="1"/>
      </c>
      <c r="BC39">
        <f ca="1"/>
      </c>
      <c r="BD39">
        <f ca="1"/>
      </c>
      <c r="BF39" s="7">
        <f ca="1"/>
      </c>
      <c r="BG39" s="14">
        <f ca="1"/>
      </c>
      <c r="BH39" s="14">
        <f ca="1"/>
      </c>
      <c r="BI39" s="14">
        <f ca="1"/>
      </c>
      <c r="BJ39" s="14">
        <f ca="1"/>
      </c>
      <c r="BK39" s="14">
        <f ca="1"/>
      </c>
    </row>
    <row r="40" spans="28:63" x14ac:dyDescent="0.55000000000000004">
      <c r="AB40">
        <f ca="1"/>
      </c>
      <c r="AC40">
        <f ca="1"/>
      </c>
      <c r="AD40">
        <f ca="1"/>
      </c>
      <c r="AE40">
        <f ca="1"/>
      </c>
      <c r="AF40">
        <f ca="1"/>
      </c>
      <c r="AG40">
        <f ca="1"/>
      </c>
      <c r="AH40">
        <f ca="1"/>
      </c>
      <c r="AL40" s="7">
        <f ca="1"/>
      </c>
      <c r="AM40" s="14">
        <f ca="1"/>
      </c>
      <c r="AN40" s="14">
        <f ca="1"/>
      </c>
      <c r="AO40" s="14">
        <f ca="1"/>
      </c>
      <c r="AP40" s="14">
        <f ca="1"/>
      </c>
      <c r="AQ40" s="14">
        <f ca="1"/>
      </c>
      <c r="AR40" s="14">
        <f ca="1"/>
      </c>
      <c r="AV40" s="14">
        <f ca="1"/>
      </c>
      <c r="AW40" s="14">
        <f ca="1"/>
      </c>
      <c r="AX40" s="14">
        <f ca="1"/>
      </c>
      <c r="AY40" s="14">
        <f ca="1"/>
      </c>
      <c r="AZ40" s="14">
        <f ca="1"/>
      </c>
      <c r="BB40">
        <f ca="1"/>
      </c>
      <c r="BC40">
        <f ca="1"/>
      </c>
      <c r="BD40">
        <f ca="1"/>
      </c>
      <c r="BF40" s="7">
        <f ca="1"/>
      </c>
      <c r="BG40" s="14">
        <f ca="1"/>
      </c>
      <c r="BH40" s="14">
        <f ca="1"/>
      </c>
      <c r="BI40" s="14">
        <f ca="1"/>
      </c>
      <c r="BJ40" s="14">
        <f ca="1"/>
      </c>
      <c r="BK40" s="14">
        <f ca="1"/>
      </c>
    </row>
    <row r="41" spans="28:63" x14ac:dyDescent="0.55000000000000004">
      <c r="AB41">
        <f ca="1"/>
      </c>
      <c r="AC41">
        <f ca="1"/>
      </c>
      <c r="AD41">
        <f ca="1"/>
      </c>
      <c r="AE41">
        <f ca="1"/>
      </c>
      <c r="AF41">
        <f ca="1"/>
      </c>
      <c r="AG41">
        <f ca="1"/>
      </c>
      <c r="AH41">
        <f ca="1"/>
      </c>
      <c r="AL41" s="7">
        <f ca="1"/>
      </c>
      <c r="AM41" s="14">
        <f ca="1"/>
      </c>
      <c r="AN41" s="14">
        <f ca="1"/>
      </c>
      <c r="AO41" s="14">
        <f ca="1"/>
      </c>
      <c r="AP41" s="14">
        <f ca="1"/>
      </c>
      <c r="AQ41" s="14">
        <f ca="1"/>
      </c>
      <c r="AR41" s="14">
        <f ca="1"/>
      </c>
      <c r="AV41" s="14">
        <f ca="1"/>
      </c>
      <c r="AW41" s="14">
        <f ca="1"/>
      </c>
      <c r="AX41" s="14">
        <f ca="1"/>
      </c>
      <c r="AY41" s="14">
        <f ca="1"/>
      </c>
      <c r="AZ41" s="14">
        <f ca="1"/>
      </c>
      <c r="BB41">
        <f ca="1"/>
      </c>
      <c r="BC41">
        <f ca="1"/>
      </c>
      <c r="BD41">
        <f ca="1"/>
      </c>
      <c r="BF41" s="7">
        <f ca="1"/>
      </c>
      <c r="BG41" s="14">
        <f ca="1"/>
      </c>
      <c r="BH41" s="14">
        <f ca="1"/>
      </c>
      <c r="BI41" s="14">
        <f ca="1"/>
      </c>
      <c r="BJ41" s="14">
        <f ca="1"/>
      </c>
      <c r="BK41" s="14">
        <f ca="1"/>
      </c>
    </row>
    <row r="42" spans="28:63" x14ac:dyDescent="0.55000000000000004">
      <c r="AB42">
        <f ca="1"/>
      </c>
      <c r="AC42">
        <f ca="1"/>
      </c>
      <c r="AD42">
        <f ca="1"/>
      </c>
      <c r="AE42">
        <f ca="1"/>
      </c>
      <c r="AF42">
        <f ca="1"/>
      </c>
      <c r="AG42">
        <f ca="1"/>
      </c>
      <c r="AH42">
        <f ca="1"/>
      </c>
      <c r="AL42" s="7">
        <f ca="1"/>
      </c>
      <c r="AM42" s="14">
        <f ca="1"/>
      </c>
      <c r="AN42" s="14">
        <f ca="1"/>
      </c>
      <c r="AO42" s="14">
        <f ca="1"/>
      </c>
      <c r="AP42" s="14">
        <f ca="1"/>
      </c>
      <c r="AQ42" s="14">
        <f ca="1"/>
      </c>
      <c r="AR42" s="14">
        <f ca="1"/>
      </c>
      <c r="AV42" s="14">
        <f ca="1"/>
      </c>
      <c r="AW42" s="14">
        <f ca="1"/>
      </c>
      <c r="AX42" s="14">
        <f ca="1"/>
      </c>
      <c r="AY42" s="14">
        <f ca="1"/>
      </c>
      <c r="AZ42" s="14">
        <f ca="1"/>
      </c>
      <c r="BB42">
        <f ca="1"/>
      </c>
      <c r="BC42">
        <f ca="1"/>
      </c>
      <c r="BD42">
        <f ca="1"/>
      </c>
      <c r="BF42" s="7">
        <f ca="1"/>
      </c>
      <c r="BG42" s="14">
        <f ca="1"/>
      </c>
      <c r="BH42" s="14">
        <f ca="1"/>
      </c>
      <c r="BI42" s="14">
        <f ca="1"/>
      </c>
      <c r="BJ42" s="14">
        <f ca="1"/>
      </c>
      <c r="BK42" s="14">
        <f ca="1"/>
      </c>
    </row>
    <row r="43" spans="28:63" x14ac:dyDescent="0.55000000000000004">
      <c r="AB43">
        <f ca="1"/>
      </c>
      <c r="AC43">
        <f ca="1"/>
      </c>
      <c r="AD43">
        <f ca="1"/>
      </c>
      <c r="AE43">
        <f ca="1"/>
      </c>
      <c r="AF43">
        <f ca="1"/>
      </c>
      <c r="AG43">
        <f ca="1"/>
      </c>
      <c r="AH43">
        <f ca="1"/>
      </c>
      <c r="AL43" s="7">
        <f ca="1"/>
      </c>
      <c r="AM43" s="14">
        <f ca="1"/>
      </c>
      <c r="AN43" s="14">
        <f ca="1"/>
      </c>
      <c r="AO43" s="14">
        <f ca="1"/>
      </c>
      <c r="AP43" s="14">
        <f ca="1"/>
      </c>
      <c r="AQ43" s="14">
        <f ca="1"/>
      </c>
      <c r="AR43" s="14">
        <f ca="1"/>
      </c>
      <c r="AV43" s="14">
        <f ca="1"/>
      </c>
      <c r="AW43" s="14">
        <f ca="1"/>
      </c>
      <c r="AX43" s="14">
        <f ca="1"/>
      </c>
      <c r="AY43" s="14">
        <f ca="1"/>
      </c>
      <c r="AZ43" s="14">
        <f ca="1"/>
      </c>
      <c r="BB43">
        <f ca="1"/>
      </c>
      <c r="BC43">
        <f ca="1"/>
      </c>
      <c r="BD43">
        <f ca="1"/>
      </c>
      <c r="BF43" s="7">
        <f ca="1"/>
      </c>
      <c r="BG43" s="14">
        <f ca="1"/>
      </c>
      <c r="BH43" s="14">
        <f ca="1"/>
      </c>
      <c r="BI43" s="14">
        <f ca="1"/>
      </c>
      <c r="BJ43" s="14">
        <f ca="1"/>
      </c>
      <c r="BK43" s="14">
        <f ca="1"/>
      </c>
    </row>
    <row r="44" spans="28:63" x14ac:dyDescent="0.55000000000000004">
      <c r="AB44">
        <f ca="1"/>
      </c>
      <c r="AC44">
        <f ca="1"/>
      </c>
      <c r="AD44">
        <f ca="1"/>
      </c>
      <c r="AE44">
        <f ca="1"/>
      </c>
      <c r="AF44">
        <f ca="1"/>
      </c>
      <c r="AG44">
        <f ca="1"/>
      </c>
      <c r="AH44">
        <f ca="1"/>
      </c>
      <c r="AL44" s="7">
        <f ca="1"/>
      </c>
      <c r="AM44" s="14">
        <f ca="1"/>
      </c>
      <c r="AN44" s="14">
        <f ca="1"/>
      </c>
      <c r="AO44" s="14">
        <f ca="1"/>
      </c>
      <c r="AP44" s="14">
        <f ca="1"/>
      </c>
      <c r="AQ44" s="14">
        <f ca="1"/>
      </c>
      <c r="AR44" s="14">
        <f ca="1"/>
      </c>
      <c r="AV44" s="14">
        <f ca="1"/>
      </c>
      <c r="AW44" s="14">
        <f ca="1"/>
      </c>
      <c r="AX44" s="14">
        <f ca="1"/>
      </c>
      <c r="AY44" s="14">
        <f ca="1"/>
      </c>
      <c r="AZ44" s="14">
        <f ca="1"/>
      </c>
      <c r="BB44">
        <f ca="1"/>
      </c>
      <c r="BC44">
        <f ca="1"/>
      </c>
      <c r="BD44">
        <f ca="1"/>
      </c>
      <c r="BF44" s="7">
        <f ca="1"/>
      </c>
      <c r="BG44" s="14">
        <f ca="1"/>
      </c>
      <c r="BH44" s="14">
        <f ca="1"/>
      </c>
      <c r="BI44" s="14">
        <f ca="1"/>
      </c>
      <c r="BJ44" s="14">
        <f ca="1"/>
      </c>
      <c r="BK44" s="14">
        <f ca="1"/>
      </c>
    </row>
    <row r="45" spans="28:63" x14ac:dyDescent="0.55000000000000004">
      <c r="AB45">
        <f ca="1"/>
      </c>
      <c r="AC45">
        <f ca="1"/>
      </c>
      <c r="AD45">
        <f ca="1"/>
      </c>
      <c r="AE45">
        <f ca="1"/>
      </c>
      <c r="AF45">
        <f ca="1"/>
      </c>
      <c r="AG45">
        <f ca="1"/>
      </c>
      <c r="AH45">
        <f ca="1"/>
      </c>
      <c r="AL45" s="7">
        <f ca="1"/>
      </c>
      <c r="AM45" s="14">
        <f ca="1"/>
      </c>
      <c r="AN45" s="14">
        <f ca="1"/>
      </c>
      <c r="AO45" s="14">
        <f ca="1"/>
      </c>
      <c r="AP45" s="14">
        <f ca="1"/>
      </c>
      <c r="AQ45" s="14">
        <f ca="1"/>
      </c>
      <c r="AR45" s="14">
        <f ca="1"/>
      </c>
      <c r="AV45" s="14">
        <f ca="1"/>
      </c>
      <c r="AW45" s="14">
        <f ca="1"/>
      </c>
      <c r="AX45" s="14">
        <f ca="1"/>
      </c>
      <c r="AY45" s="14">
        <f ca="1"/>
      </c>
      <c r="AZ45" s="14">
        <f ca="1"/>
      </c>
      <c r="BB45">
        <f ca="1"/>
      </c>
      <c r="BC45">
        <f ca="1"/>
      </c>
      <c r="BD45">
        <f ca="1"/>
      </c>
      <c r="BF45" s="7">
        <f ca="1"/>
      </c>
      <c r="BG45" s="14">
        <f ca="1"/>
      </c>
      <c r="BH45" s="14">
        <f ca="1"/>
      </c>
      <c r="BI45" s="14">
        <f ca="1"/>
      </c>
      <c r="BJ45" s="14">
        <f ca="1"/>
      </c>
      <c r="BK45" s="14">
        <f ca="1"/>
      </c>
    </row>
    <row r="46" spans="28:63" x14ac:dyDescent="0.55000000000000004">
      <c r="AB46">
        <f ca="1"/>
      </c>
      <c r="AC46">
        <f ca="1"/>
      </c>
      <c r="AD46">
        <f ca="1"/>
      </c>
      <c r="AE46">
        <f ca="1"/>
      </c>
      <c r="AF46">
        <f ca="1"/>
      </c>
      <c r="AG46">
        <f ca="1"/>
      </c>
      <c r="AH46">
        <f ca="1"/>
      </c>
      <c r="AL46" s="7">
        <f ca="1"/>
      </c>
      <c r="AM46" s="14">
        <f ca="1"/>
      </c>
      <c r="AN46" s="14">
        <f ca="1"/>
      </c>
      <c r="AO46" s="14">
        <f ca="1"/>
      </c>
      <c r="AP46" s="14">
        <f ca="1"/>
      </c>
      <c r="AQ46" s="14">
        <f ca="1"/>
      </c>
      <c r="AR46" s="14">
        <f ca="1"/>
      </c>
      <c r="AV46" s="14">
        <f ca="1"/>
      </c>
      <c r="AW46" s="14">
        <f ca="1"/>
      </c>
      <c r="AX46" s="14">
        <f ca="1"/>
      </c>
      <c r="AY46" s="14">
        <f ca="1"/>
      </c>
      <c r="AZ46" s="14">
        <f ca="1"/>
      </c>
      <c r="BB46">
        <f ca="1"/>
      </c>
      <c r="BC46">
        <f ca="1"/>
      </c>
      <c r="BD46">
        <f ca="1"/>
      </c>
      <c r="BF46" s="7">
        <f ca="1"/>
      </c>
      <c r="BG46" s="14">
        <f ca="1"/>
      </c>
      <c r="BH46" s="14">
        <f ca="1"/>
      </c>
      <c r="BI46" s="14">
        <f ca="1"/>
      </c>
      <c r="BJ46" s="14">
        <f ca="1"/>
      </c>
      <c r="BK46" s="14">
        <f ca="1"/>
      </c>
    </row>
    <row r="47" spans="28:63" x14ac:dyDescent="0.55000000000000004">
      <c r="AB47">
        <f ca="1"/>
      </c>
      <c r="AC47">
        <f ca="1"/>
      </c>
      <c r="AD47">
        <f ca="1"/>
      </c>
      <c r="AE47">
        <f ca="1"/>
      </c>
      <c r="AF47">
        <f ca="1"/>
      </c>
      <c r="AG47">
        <f ca="1"/>
      </c>
      <c r="AH47">
        <f ca="1"/>
      </c>
      <c r="AL47" s="7">
        <f ca="1"/>
      </c>
      <c r="AM47" s="14">
        <f ca="1"/>
      </c>
      <c r="AN47" s="14">
        <f ca="1"/>
      </c>
      <c r="AO47" s="14">
        <f ca="1"/>
      </c>
      <c r="AP47" s="14">
        <f ca="1"/>
      </c>
      <c r="AQ47" s="14">
        <f ca="1"/>
      </c>
      <c r="AR47" s="14">
        <f ca="1"/>
      </c>
      <c r="AV47" s="14">
        <f ca="1"/>
      </c>
      <c r="AW47" s="14">
        <f ca="1"/>
      </c>
      <c r="AX47" s="14">
        <f ca="1"/>
      </c>
      <c r="AY47" s="14">
        <f ca="1"/>
      </c>
      <c r="AZ47" s="14">
        <f ca="1"/>
      </c>
      <c r="BB47">
        <f ca="1"/>
      </c>
      <c r="BC47">
        <f ca="1"/>
      </c>
      <c r="BD47">
        <f ca="1"/>
      </c>
      <c r="BF47" s="7">
        <f ca="1"/>
      </c>
      <c r="BG47" s="14">
        <f ca="1"/>
      </c>
      <c r="BH47" s="14">
        <f ca="1"/>
      </c>
      <c r="BI47" s="14">
        <f ca="1"/>
      </c>
      <c r="BJ47" s="14">
        <f ca="1"/>
      </c>
      <c r="BK47" s="14">
        <f ca="1"/>
      </c>
    </row>
    <row r="48" spans="28:63" x14ac:dyDescent="0.55000000000000004">
      <c r="AB48">
        <f ca="1"/>
      </c>
      <c r="AC48">
        <f ca="1"/>
      </c>
      <c r="AD48">
        <f ca="1"/>
      </c>
      <c r="AE48">
        <f ca="1"/>
      </c>
      <c r="AF48">
        <f ca="1"/>
      </c>
      <c r="AG48">
        <f ca="1"/>
      </c>
      <c r="AH48">
        <f ca="1"/>
      </c>
      <c r="AL48" s="7">
        <f ca="1"/>
      </c>
      <c r="AM48" s="14">
        <f ca="1"/>
      </c>
      <c r="AN48" s="14">
        <f ca="1"/>
      </c>
      <c r="AO48" s="14">
        <f ca="1"/>
      </c>
      <c r="AP48" s="14">
        <f ca="1"/>
      </c>
      <c r="AQ48" s="14">
        <f ca="1"/>
      </c>
      <c r="AR48" s="14">
        <f ca="1"/>
      </c>
      <c r="AV48" s="14">
        <f ca="1"/>
      </c>
      <c r="AW48" s="14">
        <f ca="1"/>
      </c>
      <c r="AX48" s="14">
        <f ca="1"/>
      </c>
      <c r="AY48" s="14">
        <f ca="1"/>
      </c>
      <c r="AZ48" s="14">
        <f ca="1"/>
      </c>
      <c r="BB48">
        <f ca="1"/>
      </c>
      <c r="BC48">
        <f ca="1"/>
      </c>
      <c r="BD48">
        <f ca="1"/>
      </c>
      <c r="BF48" s="7">
        <f ca="1"/>
      </c>
      <c r="BG48" s="14">
        <f ca="1"/>
      </c>
      <c r="BH48" s="14">
        <f ca="1"/>
      </c>
      <c r="BI48" s="14">
        <f ca="1"/>
      </c>
      <c r="BJ48" s="14">
        <f ca="1"/>
      </c>
      <c r="BK48" s="14">
        <f ca="1"/>
      </c>
    </row>
    <row r="49" spans="28:63" x14ac:dyDescent="0.55000000000000004">
      <c r="AB49">
        <f ca="1"/>
      </c>
      <c r="AC49">
        <f ca="1"/>
      </c>
      <c r="AD49">
        <f ca="1"/>
      </c>
      <c r="AE49">
        <f ca="1"/>
      </c>
      <c r="AF49">
        <f ca="1"/>
      </c>
      <c r="AG49">
        <f ca="1"/>
      </c>
      <c r="AH49">
        <f ca="1"/>
      </c>
      <c r="AL49" s="7">
        <f ca="1"/>
      </c>
      <c r="AM49" s="14">
        <f ca="1"/>
      </c>
      <c r="AN49" s="14">
        <f ca="1"/>
      </c>
      <c r="AO49" s="14">
        <f ca="1"/>
      </c>
      <c r="AP49" s="14">
        <f ca="1"/>
      </c>
      <c r="AQ49" s="14">
        <f ca="1"/>
      </c>
      <c r="AR49" s="14">
        <f ca="1"/>
      </c>
      <c r="AV49" s="14">
        <f ca="1"/>
      </c>
      <c r="AW49" s="14">
        <f ca="1"/>
      </c>
      <c r="AX49" s="14">
        <f ca="1"/>
      </c>
      <c r="AY49" s="14">
        <f ca="1"/>
      </c>
      <c r="AZ49" s="14">
        <f ca="1"/>
      </c>
      <c r="BB49">
        <f ca="1"/>
      </c>
      <c r="BC49">
        <f ca="1"/>
      </c>
      <c r="BD49">
        <f ca="1"/>
      </c>
      <c r="BF49" s="7">
        <f ca="1"/>
      </c>
      <c r="BG49" s="14">
        <f ca="1"/>
      </c>
      <c r="BH49" s="14">
        <f ca="1"/>
      </c>
      <c r="BI49" s="14">
        <f ca="1"/>
      </c>
      <c r="BJ49" s="14">
        <f ca="1"/>
      </c>
      <c r="BK49" s="14">
        <f ca="1"/>
      </c>
    </row>
    <row r="50" spans="28:63" x14ac:dyDescent="0.55000000000000004">
      <c r="AB50">
        <f ca="1"/>
      </c>
      <c r="AC50">
        <f ca="1"/>
      </c>
      <c r="AD50">
        <f ca="1"/>
      </c>
      <c r="AE50">
        <f ca="1"/>
      </c>
      <c r="AF50">
        <f ca="1"/>
      </c>
      <c r="AG50">
        <f ca="1"/>
      </c>
      <c r="AH50">
        <f ca="1"/>
      </c>
      <c r="AL50" s="7">
        <f ca="1"/>
      </c>
      <c r="AM50" s="14">
        <f ca="1"/>
      </c>
      <c r="AN50" s="14">
        <f ca="1"/>
      </c>
      <c r="AO50" s="14">
        <f ca="1"/>
      </c>
      <c r="AP50" s="14">
        <f ca="1"/>
      </c>
      <c r="AQ50" s="14">
        <f ca="1"/>
      </c>
      <c r="AR50" s="14">
        <f ca="1"/>
      </c>
      <c r="AV50" s="14">
        <f ca="1"/>
      </c>
      <c r="AW50" s="14">
        <f ca="1"/>
      </c>
      <c r="AX50" s="14">
        <f ca="1"/>
      </c>
      <c r="AY50" s="14">
        <f ca="1"/>
      </c>
      <c r="AZ50" s="14">
        <f ca="1"/>
      </c>
      <c r="BB50">
        <f ca="1"/>
      </c>
      <c r="BC50">
        <f ca="1"/>
      </c>
      <c r="BD50">
        <f ca="1"/>
      </c>
      <c r="BF50" s="7">
        <f ca="1"/>
      </c>
      <c r="BG50" s="14">
        <f ca="1"/>
      </c>
      <c r="BH50" s="14">
        <f ca="1"/>
      </c>
      <c r="BI50" s="14">
        <f ca="1"/>
      </c>
      <c r="BJ50" s="14">
        <f ca="1"/>
      </c>
      <c r="BK50" s="14">
        <f ca="1"/>
      </c>
    </row>
    <row r="51" spans="28:63" x14ac:dyDescent="0.55000000000000004">
      <c r="AB51">
        <f ca="1"/>
      </c>
      <c r="AC51">
        <f ca="1"/>
      </c>
      <c r="AD51">
        <f ca="1"/>
      </c>
      <c r="AE51">
        <f ca="1"/>
      </c>
      <c r="AF51">
        <f ca="1"/>
      </c>
      <c r="AG51">
        <f ca="1"/>
      </c>
      <c r="AH51">
        <f ca="1"/>
      </c>
      <c r="AL51" s="7">
        <f ca="1"/>
      </c>
      <c r="AM51" s="14">
        <f ca="1"/>
      </c>
      <c r="AN51" s="14">
        <f ca="1"/>
      </c>
      <c r="AO51" s="14">
        <f ca="1"/>
      </c>
      <c r="AP51" s="14">
        <f ca="1"/>
      </c>
      <c r="AQ51" s="14">
        <f ca="1"/>
      </c>
      <c r="AR51" s="14">
        <f ca="1"/>
      </c>
      <c r="AV51" s="14">
        <f ca="1"/>
      </c>
      <c r="AW51" s="14">
        <f ca="1"/>
      </c>
      <c r="AX51" s="14">
        <f ca="1"/>
      </c>
      <c r="AY51" s="14">
        <f ca="1"/>
      </c>
      <c r="AZ51" s="14">
        <f ca="1"/>
      </c>
      <c r="BB51">
        <f ca="1"/>
      </c>
      <c r="BC51">
        <f ca="1"/>
      </c>
      <c r="BD51">
        <f ca="1"/>
      </c>
      <c r="BF51" s="7">
        <f ca="1"/>
      </c>
      <c r="BG51" s="14">
        <f ca="1"/>
      </c>
      <c r="BH51" s="14">
        <f ca="1"/>
      </c>
      <c r="BI51" s="14">
        <f ca="1"/>
      </c>
      <c r="BJ51" s="14">
        <f ca="1"/>
      </c>
      <c r="BK51" s="14">
        <f ca="1"/>
      </c>
    </row>
    <row r="52" spans="28:63" x14ac:dyDescent="0.55000000000000004">
      <c r="AB52">
        <f ca="1"/>
      </c>
      <c r="AC52">
        <f ca="1"/>
      </c>
      <c r="AD52">
        <f ca="1"/>
      </c>
      <c r="AE52">
        <f ca="1"/>
      </c>
      <c r="AF52">
        <f ca="1"/>
      </c>
      <c r="AG52">
        <f ca="1"/>
      </c>
      <c r="AH52">
        <f ca="1"/>
      </c>
      <c r="AL52" s="7">
        <f ca="1"/>
      </c>
      <c r="AM52" s="14">
        <f ca="1"/>
      </c>
      <c r="AN52" s="14">
        <f ca="1"/>
      </c>
      <c r="AO52" s="14">
        <f ca="1"/>
      </c>
      <c r="AP52" s="14">
        <f ca="1"/>
      </c>
      <c r="AQ52" s="14">
        <f ca="1"/>
      </c>
      <c r="AR52" s="14">
        <f ca="1"/>
      </c>
      <c r="AV52" s="14">
        <f ca="1"/>
      </c>
      <c r="AW52" s="14">
        <f ca="1"/>
      </c>
      <c r="AX52" s="14">
        <f ca="1"/>
      </c>
      <c r="AY52" s="14">
        <f ca="1"/>
      </c>
      <c r="AZ52" s="14">
        <f ca="1"/>
      </c>
      <c r="BB52">
        <f ca="1"/>
      </c>
      <c r="BC52">
        <f ca="1"/>
      </c>
      <c r="BD52">
        <f ca="1"/>
      </c>
      <c r="BF52" s="7">
        <f ca="1"/>
      </c>
      <c r="BG52" s="14">
        <f ca="1"/>
      </c>
      <c r="BH52" s="14">
        <f ca="1"/>
      </c>
      <c r="BI52" s="14">
        <f ca="1"/>
      </c>
      <c r="BJ52" s="14">
        <f ca="1"/>
      </c>
      <c r="BK52" s="14">
        <f ca="1"/>
      </c>
    </row>
    <row r="53" spans="28:63" x14ac:dyDescent="0.55000000000000004">
      <c r="AB53">
        <f ca="1"/>
      </c>
      <c r="AC53">
        <f ca="1"/>
      </c>
      <c r="AD53">
        <f ca="1"/>
      </c>
      <c r="AE53">
        <f ca="1"/>
      </c>
      <c r="AF53">
        <f ca="1"/>
      </c>
      <c r="AG53">
        <f ca="1"/>
      </c>
      <c r="AH53">
        <f ca="1"/>
      </c>
      <c r="AL53" s="7">
        <f ca="1"/>
      </c>
      <c r="AM53" s="14">
        <f ca="1"/>
      </c>
      <c r="AN53" s="14">
        <f ca="1"/>
      </c>
      <c r="AO53" s="14">
        <f ca="1"/>
      </c>
      <c r="AP53" s="14">
        <f ca="1"/>
      </c>
      <c r="AQ53" s="14">
        <f ca="1"/>
      </c>
      <c r="AR53" s="14">
        <f ca="1"/>
      </c>
      <c r="AV53" s="14">
        <f ca="1"/>
      </c>
      <c r="AW53" s="14">
        <f ca="1"/>
      </c>
      <c r="AX53" s="14">
        <f ca="1"/>
      </c>
      <c r="AY53" s="14">
        <f ca="1"/>
      </c>
      <c r="AZ53" s="14">
        <f ca="1"/>
      </c>
      <c r="BB53">
        <f ca="1"/>
      </c>
      <c r="BC53">
        <f ca="1"/>
      </c>
      <c r="BD53">
        <f ca="1"/>
      </c>
      <c r="BF53" s="7">
        <f ca="1"/>
      </c>
      <c r="BG53" s="14">
        <f ca="1"/>
      </c>
      <c r="BH53" s="14">
        <f ca="1"/>
      </c>
      <c r="BI53" s="14">
        <f ca="1"/>
      </c>
      <c r="BJ53" s="14">
        <f ca="1"/>
      </c>
      <c r="BK53" s="14">
        <f ca="1"/>
      </c>
    </row>
    <row r="54" spans="28:63" x14ac:dyDescent="0.55000000000000004">
      <c r="AB54">
        <f ca="1"/>
      </c>
      <c r="AC54">
        <f ca="1"/>
      </c>
      <c r="AD54">
        <f ca="1"/>
      </c>
      <c r="AE54">
        <f ca="1"/>
      </c>
      <c r="AF54">
        <f ca="1"/>
      </c>
      <c r="AG54">
        <f ca="1"/>
      </c>
      <c r="AH54">
        <f ca="1"/>
      </c>
      <c r="AL54" s="7">
        <f ca="1"/>
      </c>
      <c r="AM54" s="14">
        <f ca="1"/>
      </c>
      <c r="AN54" s="14">
        <f ca="1"/>
      </c>
      <c r="AO54" s="14">
        <f ca="1"/>
      </c>
      <c r="AP54" s="14">
        <f ca="1"/>
      </c>
      <c r="AQ54" s="14">
        <f ca="1"/>
      </c>
      <c r="AR54" s="14">
        <f ca="1"/>
      </c>
      <c r="AV54" s="14">
        <f ca="1"/>
      </c>
      <c r="AW54" s="14">
        <f ca="1"/>
      </c>
      <c r="AX54" s="14">
        <f ca="1"/>
      </c>
      <c r="AY54" s="14">
        <f ca="1"/>
      </c>
      <c r="AZ54" s="14">
        <f ca="1"/>
      </c>
      <c r="BB54">
        <f ca="1"/>
      </c>
      <c r="BC54">
        <f ca="1"/>
      </c>
      <c r="BD54">
        <f ca="1"/>
      </c>
      <c r="BF54" s="7">
        <f ca="1"/>
      </c>
      <c r="BG54" s="14">
        <f ca="1"/>
      </c>
      <c r="BH54" s="14">
        <f ca="1"/>
      </c>
      <c r="BI54" s="14">
        <f ca="1"/>
      </c>
      <c r="BJ54" s="14">
        <f ca="1"/>
      </c>
      <c r="BK54" s="14">
        <f ca="1"/>
      </c>
    </row>
    <row r="55" spans="28:63" x14ac:dyDescent="0.55000000000000004">
      <c r="AB55">
        <f ca="1"/>
      </c>
      <c r="AC55">
        <f ca="1"/>
      </c>
      <c r="AD55">
        <f ca="1"/>
      </c>
      <c r="AE55">
        <f ca="1"/>
      </c>
      <c r="AF55">
        <f ca="1"/>
      </c>
      <c r="AG55">
        <f ca="1"/>
      </c>
      <c r="AH55">
        <f ca="1"/>
      </c>
      <c r="AL55" s="7">
        <f ca="1"/>
      </c>
      <c r="AM55" s="14">
        <f ca="1"/>
      </c>
      <c r="AN55" s="14">
        <f ca="1"/>
      </c>
      <c r="AO55" s="14">
        <f ca="1"/>
      </c>
      <c r="AP55" s="14">
        <f ca="1"/>
      </c>
      <c r="AQ55" s="14">
        <f ca="1"/>
      </c>
      <c r="AR55" s="14">
        <f ca="1"/>
      </c>
      <c r="AV55" s="14">
        <f ca="1"/>
      </c>
      <c r="AW55" s="14">
        <f ca="1"/>
      </c>
      <c r="AX55" s="14">
        <f ca="1"/>
      </c>
      <c r="AY55" s="14">
        <f ca="1"/>
      </c>
      <c r="AZ55" s="14">
        <f ca="1"/>
      </c>
      <c r="BB55">
        <f ca="1"/>
      </c>
      <c r="BC55">
        <f ca="1"/>
      </c>
      <c r="BD55">
        <f ca="1"/>
      </c>
      <c r="BF55" s="7">
        <f ca="1"/>
      </c>
      <c r="BG55" s="14">
        <f ca="1"/>
      </c>
      <c r="BH55" s="14">
        <f ca="1"/>
      </c>
      <c r="BI55" s="14">
        <f ca="1"/>
      </c>
      <c r="BJ55" s="14">
        <f ca="1"/>
      </c>
      <c r="BK55" s="14">
        <f ca="1"/>
      </c>
    </row>
    <row r="56" spans="28:63" x14ac:dyDescent="0.55000000000000004">
      <c r="AB56">
        <f ca="1"/>
      </c>
      <c r="AC56">
        <f ca="1"/>
      </c>
      <c r="AD56">
        <f ca="1"/>
      </c>
      <c r="AE56">
        <f ca="1"/>
      </c>
      <c r="AF56">
        <f ca="1"/>
      </c>
      <c r="AG56">
        <f ca="1"/>
      </c>
      <c r="AH56">
        <f ca="1"/>
      </c>
      <c r="AL56" s="7">
        <f ca="1"/>
      </c>
      <c r="AM56" s="14">
        <f ca="1"/>
      </c>
      <c r="AN56" s="14">
        <f ca="1"/>
      </c>
      <c r="AO56" s="14">
        <f ca="1"/>
      </c>
      <c r="AP56" s="14">
        <f ca="1"/>
      </c>
      <c r="AQ56" s="14">
        <f ca="1"/>
      </c>
      <c r="AR56" s="14">
        <f ca="1"/>
      </c>
      <c r="AV56" s="14">
        <f ca="1"/>
      </c>
      <c r="AW56" s="14">
        <f ca="1"/>
      </c>
      <c r="AX56" s="14">
        <f ca="1"/>
      </c>
      <c r="AY56" s="14">
        <f ca="1"/>
      </c>
      <c r="AZ56" s="14">
        <f ca="1"/>
      </c>
      <c r="BB56">
        <f ca="1"/>
      </c>
      <c r="BC56">
        <f ca="1"/>
      </c>
      <c r="BD56">
        <f ca="1"/>
      </c>
      <c r="BF56" s="7">
        <f ca="1"/>
      </c>
      <c r="BG56" s="14">
        <f ca="1"/>
      </c>
      <c r="BH56" s="14">
        <f ca="1"/>
      </c>
      <c r="BI56" s="14">
        <f ca="1"/>
      </c>
      <c r="BJ56" s="14">
        <f ca="1"/>
      </c>
      <c r="BK56" s="14">
        <f ca="1"/>
      </c>
    </row>
    <row r="57" spans="28:63" x14ac:dyDescent="0.55000000000000004">
      <c r="AB57">
        <f ca="1"/>
      </c>
      <c r="AC57">
        <f ca="1"/>
      </c>
      <c r="AD57">
        <f ca="1"/>
      </c>
      <c r="AE57">
        <f ca="1"/>
      </c>
      <c r="AF57">
        <f ca="1"/>
      </c>
      <c r="AG57">
        <f ca="1"/>
      </c>
      <c r="AH57">
        <f ca="1"/>
      </c>
      <c r="AL57" s="7">
        <f ca="1"/>
      </c>
      <c r="AM57" s="14">
        <f ca="1"/>
      </c>
      <c r="AN57" s="14">
        <f ca="1"/>
      </c>
      <c r="AO57" s="14">
        <f ca="1"/>
      </c>
      <c r="AP57" s="14">
        <f ca="1"/>
      </c>
      <c r="AQ57" s="14">
        <f ca="1"/>
      </c>
      <c r="AR57" s="14">
        <f ca="1"/>
      </c>
      <c r="AV57" s="14">
        <f ca="1"/>
      </c>
      <c r="AW57" s="14">
        <f ca="1"/>
      </c>
      <c r="AX57" s="14">
        <f ca="1"/>
      </c>
      <c r="AY57" s="14">
        <f ca="1"/>
      </c>
      <c r="AZ57" s="14">
        <f ca="1"/>
      </c>
      <c r="BB57">
        <f ca="1"/>
      </c>
      <c r="BC57">
        <f ca="1"/>
      </c>
      <c r="BD57">
        <f ca="1"/>
      </c>
      <c r="BF57" s="7">
        <f ca="1"/>
      </c>
      <c r="BG57" s="14">
        <f ca="1"/>
      </c>
      <c r="BH57" s="14">
        <f ca="1"/>
      </c>
      <c r="BI57" s="14">
        <f ca="1"/>
      </c>
      <c r="BJ57" s="14">
        <f ca="1"/>
      </c>
      <c r="BK57" s="14">
        <f ca="1"/>
      </c>
    </row>
    <row r="58" spans="28:63" x14ac:dyDescent="0.55000000000000004">
      <c r="AB58">
        <f ca="1"/>
      </c>
      <c r="AC58">
        <f ca="1"/>
      </c>
      <c r="AD58">
        <f ca="1"/>
      </c>
      <c r="AE58">
        <f ca="1"/>
      </c>
      <c r="AF58">
        <f ca="1"/>
      </c>
      <c r="AG58">
        <f ca="1"/>
      </c>
      <c r="AH58">
        <f ca="1"/>
      </c>
      <c r="AL58" s="7">
        <f ca="1"/>
      </c>
      <c r="AM58" s="14">
        <f ca="1"/>
      </c>
      <c r="AN58" s="14">
        <f ca="1"/>
      </c>
      <c r="AO58" s="14">
        <f ca="1"/>
      </c>
      <c r="AP58" s="14">
        <f ca="1"/>
      </c>
      <c r="AQ58" s="14">
        <f ca="1"/>
      </c>
      <c r="AR58" s="14">
        <f ca="1"/>
      </c>
      <c r="AV58" s="14">
        <f ca="1"/>
      </c>
      <c r="AW58" s="14">
        <f ca="1"/>
      </c>
      <c r="AX58" s="14">
        <f ca="1"/>
      </c>
      <c r="AY58" s="14">
        <f ca="1"/>
      </c>
      <c r="AZ58" s="14">
        <f ca="1"/>
      </c>
      <c r="BB58">
        <f ca="1"/>
      </c>
      <c r="BC58">
        <f ca="1"/>
      </c>
      <c r="BD58">
        <f ca="1"/>
      </c>
      <c r="BF58" s="7">
        <f ca="1"/>
      </c>
      <c r="BG58" s="14">
        <f ca="1"/>
      </c>
      <c r="BH58" s="14">
        <f ca="1"/>
      </c>
      <c r="BI58" s="14">
        <f ca="1"/>
      </c>
      <c r="BJ58" s="14">
        <f ca="1"/>
      </c>
      <c r="BK58" s="14">
        <f ca="1"/>
      </c>
    </row>
    <row r="59" spans="28:63" x14ac:dyDescent="0.55000000000000004">
      <c r="AB59">
        <f ca="1"/>
      </c>
      <c r="AC59">
        <f ca="1"/>
      </c>
      <c r="AD59">
        <f ca="1"/>
      </c>
      <c r="AE59">
        <f ca="1"/>
      </c>
      <c r="AF59">
        <f ca="1"/>
      </c>
      <c r="AG59">
        <f ca="1"/>
      </c>
      <c r="AH59">
        <f ca="1"/>
      </c>
      <c r="AL59" s="7">
        <f ca="1"/>
      </c>
      <c r="AM59" s="14">
        <f ca="1"/>
      </c>
      <c r="AN59" s="14">
        <f ca="1"/>
      </c>
      <c r="AO59" s="14">
        <f ca="1"/>
      </c>
      <c r="AP59" s="14">
        <f ca="1"/>
      </c>
      <c r="AQ59" s="14">
        <f ca="1"/>
      </c>
      <c r="AR59" s="14">
        <f ca="1"/>
      </c>
      <c r="AV59" s="14">
        <f ca="1"/>
      </c>
      <c r="AW59" s="14">
        <f ca="1"/>
      </c>
      <c r="AX59" s="14">
        <f ca="1"/>
      </c>
      <c r="AY59" s="14">
        <f ca="1"/>
      </c>
      <c r="AZ59" s="14">
        <f ca="1"/>
      </c>
      <c r="BB59">
        <f ca="1"/>
      </c>
      <c r="BC59">
        <f ca="1"/>
      </c>
      <c r="BD59">
        <f ca="1"/>
      </c>
      <c r="BF59" s="7">
        <f ca="1"/>
      </c>
      <c r="BG59" s="14">
        <f ca="1"/>
      </c>
      <c r="BH59" s="14">
        <f ca="1"/>
      </c>
      <c r="BI59" s="14">
        <f ca="1"/>
      </c>
      <c r="BJ59" s="14">
        <f ca="1"/>
      </c>
      <c r="BK59" s="14">
        <f ca="1"/>
      </c>
    </row>
    <row r="60" spans="28:63" x14ac:dyDescent="0.55000000000000004">
      <c r="AB60">
        <f ca="1"/>
      </c>
      <c r="AC60">
        <f ca="1"/>
      </c>
      <c r="AD60">
        <f ca="1"/>
      </c>
      <c r="AE60">
        <f ca="1"/>
      </c>
      <c r="AF60">
        <f ca="1"/>
      </c>
      <c r="AG60">
        <f ca="1"/>
      </c>
      <c r="AH60">
        <f ca="1"/>
      </c>
      <c r="AL60" s="7">
        <f ca="1"/>
      </c>
      <c r="AM60" s="14">
        <f ca="1"/>
      </c>
      <c r="AN60" s="14">
        <f ca="1"/>
      </c>
      <c r="AO60" s="14">
        <f ca="1"/>
      </c>
      <c r="AP60" s="14">
        <f ca="1"/>
      </c>
      <c r="AQ60" s="14">
        <f ca="1"/>
      </c>
      <c r="AR60" s="14">
        <f ca="1"/>
      </c>
      <c r="AV60" s="14">
        <f ca="1"/>
      </c>
      <c r="AW60" s="14">
        <f ca="1"/>
      </c>
      <c r="AX60" s="14">
        <f ca="1"/>
      </c>
      <c r="AY60" s="14">
        <f ca="1"/>
      </c>
      <c r="AZ60" s="14">
        <f ca="1"/>
      </c>
      <c r="BB60">
        <f ca="1"/>
      </c>
      <c r="BC60">
        <f ca="1"/>
      </c>
      <c r="BD60">
        <f ca="1"/>
      </c>
      <c r="BF60" s="7">
        <f ca="1"/>
      </c>
      <c r="BG60" s="14">
        <f ca="1"/>
      </c>
      <c r="BH60" s="14">
        <f ca="1"/>
      </c>
      <c r="BI60" s="14">
        <f ca="1"/>
      </c>
      <c r="BJ60" s="14">
        <f ca="1"/>
      </c>
      <c r="BK60" s="14">
        <f ca="1"/>
      </c>
    </row>
    <row r="61" spans="28:63" x14ac:dyDescent="0.55000000000000004">
      <c r="AB61">
        <f ca="1"/>
      </c>
      <c r="AC61">
        <f ca="1"/>
      </c>
      <c r="AD61">
        <f ca="1"/>
      </c>
      <c r="AE61">
        <f ca="1"/>
      </c>
      <c r="AF61">
        <f ca="1"/>
      </c>
      <c r="AG61">
        <f ca="1"/>
      </c>
      <c r="AH61">
        <f ca="1"/>
      </c>
      <c r="AL61" s="7">
        <f ca="1"/>
      </c>
      <c r="AM61" s="14">
        <f ca="1"/>
      </c>
      <c r="AN61" s="14">
        <f ca="1"/>
      </c>
      <c r="AO61" s="14">
        <f ca="1"/>
      </c>
      <c r="AP61" s="14">
        <f ca="1"/>
      </c>
      <c r="AQ61" s="14">
        <f ca="1"/>
      </c>
      <c r="AR61" s="14">
        <f ca="1"/>
      </c>
      <c r="AV61" s="14">
        <f ca="1"/>
      </c>
      <c r="AW61" s="14">
        <f ca="1"/>
      </c>
      <c r="AX61" s="14">
        <f ca="1"/>
      </c>
      <c r="AY61" s="14">
        <f ca="1"/>
      </c>
      <c r="AZ61" s="14">
        <f ca="1"/>
      </c>
      <c r="BB61">
        <f ca="1"/>
      </c>
      <c r="BC61">
        <f ca="1"/>
      </c>
      <c r="BD61">
        <f ca="1"/>
      </c>
      <c r="BF61" s="7">
        <f ca="1"/>
      </c>
      <c r="BG61" s="14">
        <f ca="1"/>
      </c>
      <c r="BH61" s="14">
        <f ca="1"/>
      </c>
      <c r="BI61" s="14">
        <f ca="1"/>
      </c>
      <c r="BJ61" s="14">
        <f ca="1"/>
      </c>
      <c r="BK61" s="14">
        <f ca="1"/>
      </c>
    </row>
    <row r="62" spans="28:63" x14ac:dyDescent="0.55000000000000004">
      <c r="AB62">
        <f ca="1"/>
      </c>
      <c r="AC62">
        <f ca="1"/>
      </c>
      <c r="AD62">
        <f ca="1"/>
      </c>
      <c r="AE62">
        <f ca="1"/>
      </c>
      <c r="AF62">
        <f ca="1"/>
      </c>
      <c r="AG62">
        <f ca="1"/>
      </c>
      <c r="AH62">
        <f ca="1"/>
      </c>
      <c r="AL62" s="7">
        <f ca="1"/>
      </c>
      <c r="AM62" s="14">
        <f ca="1"/>
      </c>
      <c r="AN62" s="14">
        <f ca="1"/>
      </c>
      <c r="AO62" s="14">
        <f ca="1"/>
      </c>
      <c r="AP62" s="14">
        <f ca="1"/>
      </c>
      <c r="AQ62" s="14">
        <f ca="1"/>
      </c>
      <c r="AR62" s="14">
        <f ca="1"/>
      </c>
      <c r="AV62" s="14">
        <f ca="1"/>
      </c>
      <c r="AW62" s="14">
        <f ca="1"/>
      </c>
      <c r="AX62" s="14">
        <f ca="1"/>
      </c>
      <c r="AY62" s="14">
        <f ca="1"/>
      </c>
      <c r="AZ62" s="14">
        <f ca="1"/>
      </c>
      <c r="BB62">
        <f ca="1"/>
      </c>
      <c r="BC62">
        <f ca="1"/>
      </c>
      <c r="BD62">
        <f ca="1"/>
      </c>
      <c r="BF62" s="7">
        <f ca="1"/>
      </c>
      <c r="BG62" s="14">
        <f ca="1"/>
      </c>
      <c r="BH62" s="14">
        <f ca="1"/>
      </c>
      <c r="BI62" s="14">
        <f ca="1"/>
      </c>
      <c r="BJ62" s="14">
        <f ca="1"/>
      </c>
      <c r="BK62" s="14">
        <f ca="1"/>
      </c>
    </row>
    <row r="63" spans="28:63" x14ac:dyDescent="0.55000000000000004">
      <c r="AB63">
        <f ca="1"/>
      </c>
      <c r="AC63">
        <f ca="1"/>
      </c>
      <c r="AD63">
        <f ca="1"/>
      </c>
      <c r="AE63">
        <f ca="1"/>
      </c>
      <c r="AF63">
        <f ca="1"/>
      </c>
      <c r="AG63">
        <f ca="1"/>
      </c>
      <c r="AH63">
        <f ca="1"/>
      </c>
      <c r="AL63" s="7">
        <f ca="1"/>
      </c>
      <c r="AM63" s="14">
        <f ca="1"/>
      </c>
      <c r="AN63" s="14">
        <f ca="1"/>
      </c>
      <c r="AO63" s="14">
        <f ca="1"/>
      </c>
      <c r="AP63" s="14">
        <f ca="1"/>
      </c>
      <c r="AQ63" s="14">
        <f ca="1"/>
      </c>
      <c r="AR63" s="14">
        <f ca="1"/>
      </c>
      <c r="AV63" s="14">
        <f ca="1"/>
      </c>
      <c r="AW63" s="14">
        <f ca="1"/>
      </c>
      <c r="AX63" s="14">
        <f ca="1"/>
      </c>
      <c r="AY63" s="14">
        <f ca="1"/>
      </c>
      <c r="AZ63" s="14">
        <f ca="1"/>
      </c>
      <c r="BB63">
        <f ca="1"/>
      </c>
      <c r="BC63">
        <f ca="1"/>
      </c>
      <c r="BD63">
        <f ca="1"/>
      </c>
      <c r="BF63" s="7">
        <f ca="1"/>
      </c>
      <c r="BG63" s="14">
        <f ca="1"/>
      </c>
      <c r="BH63" s="14">
        <f ca="1"/>
      </c>
      <c r="BI63" s="14">
        <f ca="1"/>
      </c>
      <c r="BJ63" s="14">
        <f ca="1"/>
      </c>
      <c r="BK63" s="14">
        <f ca="1"/>
      </c>
    </row>
    <row r="64" spans="28:63" x14ac:dyDescent="0.55000000000000004">
      <c r="AB64">
        <f ca="1"/>
      </c>
      <c r="AC64">
        <f ca="1"/>
      </c>
      <c r="AD64">
        <f ca="1"/>
      </c>
      <c r="AE64">
        <f ca="1"/>
      </c>
      <c r="AF64">
        <f ca="1"/>
      </c>
      <c r="AG64">
        <f ca="1"/>
      </c>
      <c r="AH64">
        <f ca="1"/>
      </c>
      <c r="AL64" s="7">
        <f ca="1"/>
      </c>
      <c r="AM64" s="14">
        <f ca="1"/>
      </c>
      <c r="AN64" s="14">
        <f ca="1"/>
      </c>
      <c r="AO64" s="14">
        <f ca="1"/>
      </c>
      <c r="AP64" s="14">
        <f ca="1"/>
      </c>
      <c r="AQ64" s="14">
        <f ca="1"/>
      </c>
      <c r="AR64" s="14">
        <f ca="1"/>
      </c>
      <c r="AV64" s="14">
        <f ca="1"/>
      </c>
      <c r="AW64" s="14">
        <f ca="1"/>
      </c>
      <c r="AX64" s="14">
        <f ca="1"/>
      </c>
      <c r="AY64" s="14">
        <f ca="1"/>
      </c>
      <c r="AZ64" s="14">
        <f ca="1"/>
      </c>
      <c r="BB64">
        <f ca="1"/>
      </c>
      <c r="BC64">
        <f ca="1"/>
      </c>
      <c r="BD64">
        <f ca="1"/>
      </c>
      <c r="BF64" s="7">
        <f ca="1"/>
      </c>
      <c r="BG64" s="14">
        <f ca="1"/>
      </c>
      <c r="BH64" s="14">
        <f ca="1"/>
      </c>
      <c r="BI64" s="14">
        <f ca="1"/>
      </c>
      <c r="BJ64" s="14">
        <f ca="1"/>
      </c>
      <c r="BK64" s="14">
        <f ca="1"/>
      </c>
    </row>
    <row r="65" spans="28:63" x14ac:dyDescent="0.55000000000000004">
      <c r="AB65">
        <f ca="1"/>
      </c>
      <c r="AC65">
        <f ca="1"/>
      </c>
      <c r="AD65">
        <f ca="1"/>
      </c>
      <c r="AE65">
        <f ca="1"/>
      </c>
      <c r="AF65">
        <f ca="1"/>
      </c>
      <c r="AG65">
        <f ca="1"/>
      </c>
      <c r="AH65">
        <f ca="1"/>
      </c>
      <c r="AL65" s="7">
        <f ca="1"/>
      </c>
      <c r="AM65" s="14">
        <f ca="1"/>
      </c>
      <c r="AN65" s="14">
        <f ca="1"/>
      </c>
      <c r="AO65" s="14">
        <f ca="1"/>
      </c>
      <c r="AP65" s="14">
        <f ca="1"/>
      </c>
      <c r="AQ65" s="14">
        <f ca="1"/>
      </c>
      <c r="AR65" s="14">
        <f ca="1"/>
      </c>
      <c r="AV65" s="14">
        <f ca="1"/>
      </c>
      <c r="AW65" s="14">
        <f ca="1"/>
      </c>
      <c r="AX65" s="14">
        <f ca="1"/>
      </c>
      <c r="AY65" s="14">
        <f ca="1"/>
      </c>
      <c r="AZ65" s="14">
        <f ca="1"/>
      </c>
      <c r="BB65">
        <f ca="1"/>
      </c>
      <c r="BC65">
        <f ca="1"/>
      </c>
      <c r="BD65">
        <f ca="1"/>
      </c>
      <c r="BF65" s="7">
        <f ca="1"/>
      </c>
      <c r="BG65" s="14">
        <f ca="1"/>
      </c>
      <c r="BH65" s="14">
        <f ca="1"/>
      </c>
      <c r="BI65" s="14">
        <f ca="1"/>
      </c>
      <c r="BJ65" s="14">
        <f ca="1"/>
      </c>
      <c r="BK65" s="14">
        <f ca="1"/>
      </c>
    </row>
    <row r="66" spans="28:63" x14ac:dyDescent="0.55000000000000004">
      <c r="AB66">
        <f ca="1"/>
      </c>
      <c r="AC66">
        <f ca="1"/>
      </c>
      <c r="AD66">
        <f ca="1"/>
      </c>
      <c r="AE66">
        <f ca="1"/>
      </c>
      <c r="AF66">
        <f ca="1"/>
      </c>
      <c r="AG66">
        <f ca="1"/>
      </c>
      <c r="AH66">
        <f ca="1"/>
      </c>
      <c r="AL66" s="7">
        <f ca="1"/>
      </c>
      <c r="AM66" s="14">
        <f ca="1"/>
      </c>
      <c r="AN66" s="14">
        <f ca="1"/>
      </c>
      <c r="AO66" s="14">
        <f ca="1"/>
      </c>
      <c r="AP66" s="14">
        <f ca="1"/>
      </c>
      <c r="AQ66" s="14">
        <f ca="1"/>
      </c>
      <c r="AR66" s="14">
        <f ca="1"/>
      </c>
      <c r="AV66" s="14">
        <f ca="1"/>
      </c>
      <c r="AW66" s="14">
        <f ca="1"/>
      </c>
      <c r="AX66" s="14">
        <f ca="1"/>
      </c>
      <c r="AY66" s="14">
        <f ca="1"/>
      </c>
      <c r="AZ66" s="14">
        <f ca="1"/>
      </c>
      <c r="BB66">
        <f ca="1"/>
      </c>
      <c r="BC66">
        <f ca="1"/>
      </c>
      <c r="BD66">
        <f ca="1"/>
      </c>
      <c r="BF66" s="7">
        <f ca="1"/>
      </c>
      <c r="BG66" s="14">
        <f ca="1"/>
      </c>
      <c r="BH66" s="14">
        <f ca="1"/>
      </c>
      <c r="BI66" s="14">
        <f ca="1"/>
      </c>
      <c r="BJ66" s="14">
        <f ca="1"/>
      </c>
      <c r="BK66" s="14">
        <f ca="1"/>
      </c>
    </row>
    <row r="67" spans="28:63" x14ac:dyDescent="0.55000000000000004">
      <c r="AB67">
        <f ca="1"/>
      </c>
      <c r="AC67">
        <f ca="1"/>
      </c>
      <c r="AD67">
        <f ca="1"/>
      </c>
      <c r="AE67">
        <f ca="1"/>
      </c>
      <c r="AF67">
        <f ca="1"/>
      </c>
      <c r="AG67">
        <f ca="1"/>
      </c>
      <c r="AH67">
        <f ca="1"/>
      </c>
      <c r="AL67" s="7">
        <f ca="1"/>
      </c>
      <c r="AM67" s="14">
        <f ca="1"/>
      </c>
      <c r="AN67" s="14">
        <f ca="1"/>
      </c>
      <c r="AO67" s="14">
        <f ca="1"/>
      </c>
      <c r="AP67" s="14">
        <f ca="1"/>
      </c>
      <c r="AQ67" s="14">
        <f ca="1"/>
      </c>
      <c r="AR67" s="14">
        <f ca="1"/>
      </c>
      <c r="AV67" s="14">
        <f ca="1"/>
      </c>
      <c r="AW67" s="14">
        <f ca="1"/>
      </c>
      <c r="AX67" s="14">
        <f ca="1"/>
      </c>
      <c r="AY67" s="14">
        <f ca="1"/>
      </c>
      <c r="AZ67" s="14">
        <f ca="1"/>
      </c>
      <c r="BB67">
        <f ca="1"/>
      </c>
      <c r="BC67">
        <f ca="1"/>
      </c>
      <c r="BD67">
        <f ca="1"/>
      </c>
      <c r="BF67" s="7">
        <f ca="1"/>
      </c>
      <c r="BG67" s="14">
        <f ca="1"/>
      </c>
      <c r="BH67" s="14">
        <f ca="1"/>
      </c>
      <c r="BI67" s="14">
        <f ca="1"/>
      </c>
      <c r="BJ67" s="14">
        <f ca="1"/>
      </c>
      <c r="BK67" s="14">
        <f ca="1"/>
      </c>
    </row>
    <row r="68" spans="28:63" x14ac:dyDescent="0.55000000000000004">
      <c r="AB68">
        <f ca="1"/>
      </c>
      <c r="AC68">
        <f ca="1"/>
      </c>
      <c r="AD68">
        <f ca="1"/>
      </c>
      <c r="AE68">
        <f ca="1"/>
      </c>
      <c r="AF68">
        <f ca="1"/>
      </c>
      <c r="AG68">
        <f ca="1"/>
      </c>
      <c r="AH68">
        <f ca="1"/>
      </c>
      <c r="AL68" s="7">
        <f ca="1"/>
      </c>
      <c r="AM68" s="14">
        <f ca="1"/>
      </c>
      <c r="AN68" s="14">
        <f ca="1"/>
      </c>
      <c r="AO68" s="14">
        <f ca="1"/>
      </c>
      <c r="AP68" s="14">
        <f ca="1"/>
      </c>
      <c r="AQ68" s="14">
        <f ca="1"/>
      </c>
      <c r="AR68" s="14">
        <f ca="1"/>
      </c>
      <c r="AV68" s="14">
        <f ca="1"/>
      </c>
      <c r="AW68" s="14">
        <f ca="1"/>
      </c>
      <c r="AX68" s="14">
        <f ca="1"/>
      </c>
      <c r="AY68" s="14">
        <f ca="1"/>
      </c>
      <c r="AZ68" s="14">
        <f ca="1"/>
      </c>
      <c r="BB68">
        <f ca="1"/>
      </c>
      <c r="BC68">
        <f ca="1"/>
      </c>
      <c r="BD68">
        <f ca="1"/>
      </c>
      <c r="BF68" s="7">
        <f ca="1"/>
      </c>
      <c r="BG68" s="14">
        <f ca="1"/>
      </c>
      <c r="BH68" s="14">
        <f ca="1"/>
      </c>
      <c r="BI68" s="14">
        <f ca="1"/>
      </c>
      <c r="BJ68" s="14">
        <f ca="1"/>
      </c>
      <c r="BK68" s="14">
        <f ca="1"/>
      </c>
    </row>
    <row r="69" spans="28:63" x14ac:dyDescent="0.55000000000000004">
      <c r="AB69">
        <f ca="1"/>
      </c>
      <c r="AC69">
        <f ca="1"/>
      </c>
      <c r="AD69">
        <f ca="1"/>
      </c>
      <c r="AE69">
        <f ca="1"/>
      </c>
      <c r="AF69">
        <f ca="1"/>
      </c>
      <c r="AG69">
        <f ca="1"/>
      </c>
      <c r="AH69">
        <f ca="1"/>
      </c>
      <c r="AL69" s="7">
        <f ca="1"/>
      </c>
      <c r="AM69" s="14">
        <f ca="1"/>
      </c>
      <c r="AN69" s="14">
        <f ca="1"/>
      </c>
      <c r="AO69" s="14">
        <f ca="1"/>
      </c>
      <c r="AP69" s="14">
        <f ca="1"/>
      </c>
      <c r="AQ69" s="14">
        <f ca="1"/>
      </c>
      <c r="AR69" s="14">
        <f ca="1"/>
      </c>
      <c r="AV69" s="14">
        <f ca="1"/>
      </c>
      <c r="AW69" s="14">
        <f ca="1"/>
      </c>
      <c r="AX69" s="14">
        <f ca="1"/>
      </c>
      <c r="AY69" s="14">
        <f ca="1"/>
      </c>
      <c r="AZ69" s="14">
        <f ca="1"/>
      </c>
      <c r="BB69">
        <f ca="1"/>
      </c>
      <c r="BC69">
        <f ca="1"/>
      </c>
      <c r="BD69">
        <f ca="1"/>
      </c>
      <c r="BF69" s="7">
        <f ca="1"/>
      </c>
      <c r="BG69" s="14">
        <f ca="1"/>
      </c>
      <c r="BH69" s="14">
        <f ca="1"/>
      </c>
      <c r="BI69" s="14">
        <f ca="1"/>
      </c>
      <c r="BJ69" s="14">
        <f ca="1"/>
      </c>
      <c r="BK69" s="14">
        <f ca="1"/>
      </c>
    </row>
    <row r="70" spans="28:63" x14ac:dyDescent="0.55000000000000004">
      <c r="AB70">
        <f ca="1"/>
      </c>
      <c r="AC70">
        <f ca="1"/>
      </c>
      <c r="AD70">
        <f ca="1"/>
      </c>
      <c r="AE70">
        <f ca="1"/>
      </c>
      <c r="AF70">
        <f ca="1"/>
      </c>
      <c r="AG70">
        <f ca="1"/>
      </c>
      <c r="AH70">
        <f ca="1"/>
      </c>
      <c r="AL70" s="7">
        <f ca="1"/>
      </c>
      <c r="AM70" s="14">
        <f ca="1"/>
      </c>
      <c r="AN70" s="14">
        <f ca="1"/>
      </c>
      <c r="AO70" s="14">
        <f ca="1"/>
      </c>
      <c r="AP70" s="14">
        <f ca="1"/>
      </c>
      <c r="AQ70" s="14">
        <f ca="1"/>
      </c>
      <c r="AR70" s="14">
        <f ca="1"/>
      </c>
      <c r="AV70" s="14">
        <f ca="1"/>
      </c>
      <c r="AW70" s="14">
        <f ca="1"/>
      </c>
      <c r="AX70" s="14">
        <f ca="1"/>
      </c>
      <c r="AY70" s="14">
        <f ca="1"/>
      </c>
      <c r="AZ70" s="14">
        <f ca="1"/>
      </c>
      <c r="BB70">
        <f ca="1"/>
      </c>
      <c r="BC70">
        <f ca="1"/>
      </c>
      <c r="BD70">
        <f ca="1"/>
      </c>
      <c r="BF70" s="7">
        <f ca="1"/>
      </c>
      <c r="BG70" s="14">
        <f ca="1"/>
      </c>
      <c r="BH70" s="14">
        <f ca="1"/>
      </c>
      <c r="BI70" s="14">
        <f ca="1"/>
      </c>
      <c r="BJ70" s="14">
        <f ca="1"/>
      </c>
      <c r="BK70" s="14">
        <f ca="1"/>
      </c>
    </row>
    <row r="71" spans="28:63" x14ac:dyDescent="0.55000000000000004">
      <c r="AB71">
        <f ca="1"/>
      </c>
      <c r="AC71">
        <f ca="1"/>
      </c>
      <c r="AD71">
        <f ca="1"/>
      </c>
      <c r="AE71">
        <f ca="1"/>
      </c>
      <c r="AF71">
        <f ca="1"/>
      </c>
      <c r="AG71">
        <f ca="1"/>
      </c>
      <c r="AH71">
        <f ca="1"/>
      </c>
      <c r="AL71" s="7">
        <f ca="1"/>
      </c>
      <c r="AM71" s="14">
        <f ca="1"/>
      </c>
      <c r="AN71" s="14">
        <f ca="1"/>
      </c>
      <c r="AO71" s="14">
        <f ca="1"/>
      </c>
      <c r="AP71" s="14">
        <f ca="1"/>
      </c>
      <c r="AQ71" s="14">
        <f ca="1"/>
      </c>
      <c r="AR71" s="14">
        <f ca="1"/>
      </c>
      <c r="AV71" s="14">
        <f ca="1"/>
      </c>
      <c r="AW71" s="14">
        <f ca="1"/>
      </c>
      <c r="AX71" s="14">
        <f ca="1"/>
      </c>
      <c r="AY71" s="14">
        <f ca="1"/>
      </c>
      <c r="AZ71" s="14">
        <f ca="1"/>
      </c>
      <c r="BB71">
        <f ca="1"/>
      </c>
      <c r="BC71">
        <f ca="1"/>
      </c>
      <c r="BD71">
        <f ca="1"/>
      </c>
      <c r="BF71" s="7">
        <f ca="1"/>
      </c>
      <c r="BG71" s="14">
        <f ca="1"/>
      </c>
      <c r="BH71" s="14">
        <f ca="1"/>
      </c>
      <c r="BI71" s="14">
        <f ca="1"/>
      </c>
      <c r="BJ71" s="14">
        <f ca="1"/>
      </c>
      <c r="BK71" s="14">
        <f ca="1"/>
      </c>
    </row>
    <row r="72" spans="28:63" x14ac:dyDescent="0.55000000000000004">
      <c r="AB72">
        <f ca="1"/>
      </c>
      <c r="AC72">
        <f ca="1"/>
      </c>
      <c r="AD72">
        <f ca="1"/>
      </c>
      <c r="AE72">
        <f ca="1"/>
      </c>
      <c r="AF72">
        <f ca="1"/>
      </c>
      <c r="AG72">
        <f ca="1"/>
      </c>
      <c r="AH72">
        <f ca="1"/>
      </c>
      <c r="AL72" s="7">
        <f ca="1"/>
      </c>
      <c r="AM72" s="14">
        <f ca="1"/>
      </c>
      <c r="AN72" s="14">
        <f ca="1"/>
      </c>
      <c r="AO72" s="14">
        <f ca="1"/>
      </c>
      <c r="AP72" s="14">
        <f ca="1"/>
      </c>
      <c r="AQ72" s="14">
        <f ca="1"/>
      </c>
      <c r="AR72" s="14">
        <f ca="1"/>
      </c>
      <c r="AV72" s="14">
        <f ca="1"/>
      </c>
      <c r="AW72" s="14">
        <f ca="1"/>
      </c>
      <c r="AX72" s="14">
        <f ca="1"/>
      </c>
      <c r="AY72" s="14">
        <f ca="1"/>
      </c>
      <c r="AZ72" s="14">
        <f ca="1"/>
      </c>
      <c r="BB72">
        <f ca="1"/>
      </c>
      <c r="BC72">
        <f ca="1"/>
      </c>
      <c r="BD72">
        <f ca="1"/>
      </c>
      <c r="BF72" s="7">
        <f ca="1"/>
      </c>
      <c r="BG72" s="14">
        <f ca="1"/>
      </c>
      <c r="BH72" s="14">
        <f ca="1"/>
      </c>
      <c r="BI72" s="14">
        <f ca="1"/>
      </c>
      <c r="BJ72" s="14">
        <f ca="1"/>
      </c>
      <c r="BK72" s="14">
        <f ca="1"/>
      </c>
    </row>
    <row r="73" spans="28:63" x14ac:dyDescent="0.55000000000000004">
      <c r="AB73">
        <f ca="1"/>
      </c>
      <c r="AC73">
        <f ca="1"/>
      </c>
      <c r="AD73">
        <f ca="1"/>
      </c>
      <c r="AE73">
        <f ca="1"/>
      </c>
      <c r="AF73">
        <f ca="1"/>
      </c>
      <c r="AG73">
        <f ca="1"/>
      </c>
      <c r="AH73">
        <f ca="1"/>
      </c>
      <c r="AL73" s="7">
        <f ca="1"/>
      </c>
      <c r="AM73" s="14">
        <f ca="1"/>
      </c>
      <c r="AN73" s="14">
        <f ca="1"/>
      </c>
      <c r="AO73" s="14">
        <f ca="1"/>
      </c>
      <c r="AP73" s="14">
        <f ca="1"/>
      </c>
      <c r="AQ73" s="14">
        <f ca="1"/>
      </c>
      <c r="AR73" s="14">
        <f ca="1"/>
      </c>
      <c r="AV73" s="14">
        <f ca="1"/>
      </c>
      <c r="AW73" s="14">
        <f ca="1"/>
      </c>
      <c r="AX73" s="14">
        <f ca="1"/>
      </c>
      <c r="AY73" s="14">
        <f ca="1"/>
      </c>
      <c r="AZ73" s="14">
        <f ca="1"/>
      </c>
      <c r="BB73">
        <f ca="1"/>
      </c>
      <c r="BC73">
        <f ca="1"/>
      </c>
      <c r="BD73">
        <f ca="1"/>
      </c>
      <c r="BF73" s="7">
        <f ca="1"/>
      </c>
      <c r="BG73" s="14">
        <f ca="1"/>
      </c>
      <c r="BH73" s="14">
        <f ca="1"/>
      </c>
      <c r="BI73" s="14">
        <f ca="1"/>
      </c>
      <c r="BJ73" s="14">
        <f ca="1"/>
      </c>
      <c r="BK73" s="14">
        <f ca="1"/>
      </c>
    </row>
    <row r="74" spans="28:63" x14ac:dyDescent="0.55000000000000004">
      <c r="AB74">
        <f ca="1"/>
      </c>
      <c r="AC74">
        <f ca="1"/>
      </c>
      <c r="AD74">
        <f ca="1"/>
      </c>
      <c r="AE74">
        <f ca="1"/>
      </c>
      <c r="AF74">
        <f ca="1"/>
      </c>
      <c r="AG74">
        <f ca="1"/>
      </c>
      <c r="AH74">
        <f ca="1"/>
      </c>
      <c r="AL74" s="7">
        <f ca="1"/>
      </c>
      <c r="AM74" s="14">
        <f ca="1"/>
      </c>
      <c r="AN74" s="14">
        <f ca="1"/>
      </c>
      <c r="AO74" s="14">
        <f ca="1"/>
      </c>
      <c r="AP74" s="14">
        <f ca="1"/>
      </c>
      <c r="AQ74" s="14">
        <f ca="1"/>
      </c>
      <c r="AR74" s="14">
        <f ca="1"/>
      </c>
      <c r="AV74" s="14">
        <f ca="1"/>
      </c>
      <c r="AW74" s="14">
        <f ca="1"/>
      </c>
      <c r="AX74" s="14">
        <f ca="1"/>
      </c>
      <c r="AY74" s="14">
        <f ca="1"/>
      </c>
      <c r="AZ74" s="14">
        <f ca="1"/>
      </c>
      <c r="BB74">
        <f ca="1"/>
      </c>
      <c r="BC74">
        <f ca="1"/>
      </c>
      <c r="BD74">
        <f ca="1"/>
      </c>
      <c r="BF74" s="7">
        <f ca="1"/>
      </c>
      <c r="BG74" s="14">
        <f ca="1"/>
      </c>
      <c r="BH74" s="14">
        <f ca="1"/>
      </c>
      <c r="BI74" s="14">
        <f ca="1"/>
      </c>
      <c r="BJ74" s="14">
        <f ca="1"/>
      </c>
      <c r="BK74" s="14">
        <f ca="1"/>
      </c>
    </row>
    <row r="75" spans="28:63" x14ac:dyDescent="0.55000000000000004">
      <c r="AB75">
        <f ca="1"/>
      </c>
      <c r="AC75">
        <f ca="1"/>
      </c>
      <c r="AD75">
        <f ca="1"/>
      </c>
      <c r="AE75">
        <f ca="1"/>
      </c>
      <c r="AF75">
        <f ca="1"/>
      </c>
      <c r="AG75">
        <f ca="1"/>
      </c>
      <c r="AH75">
        <f ca="1"/>
      </c>
      <c r="AL75" s="7">
        <f ca="1"/>
      </c>
      <c r="AM75" s="14">
        <f ca="1"/>
      </c>
      <c r="AN75" s="14">
        <f ca="1"/>
      </c>
      <c r="AO75" s="14">
        <f ca="1"/>
      </c>
      <c r="AP75" s="14">
        <f ca="1"/>
      </c>
      <c r="AQ75" s="14">
        <f ca="1"/>
      </c>
      <c r="AR75" s="14">
        <f ca="1"/>
      </c>
      <c r="AV75" s="14">
        <f ca="1"/>
      </c>
      <c r="AW75" s="14">
        <f ca="1"/>
      </c>
      <c r="AX75" s="14">
        <f ca="1"/>
      </c>
      <c r="AY75" s="14">
        <f ca="1"/>
      </c>
      <c r="AZ75" s="14">
        <f ca="1"/>
      </c>
      <c r="BB75">
        <f ca="1"/>
      </c>
      <c r="BC75">
        <f ca="1"/>
      </c>
      <c r="BD75">
        <f ca="1"/>
      </c>
      <c r="BF75" s="7">
        <f ca="1"/>
      </c>
      <c r="BG75" s="14">
        <f ca="1"/>
      </c>
      <c r="BH75" s="14">
        <f ca="1"/>
      </c>
      <c r="BI75" s="14">
        <f ca="1"/>
      </c>
      <c r="BJ75" s="14">
        <f ca="1"/>
      </c>
      <c r="BK75" s="14">
        <f ca="1"/>
      </c>
    </row>
    <row r="76" spans="28:63" x14ac:dyDescent="0.55000000000000004">
      <c r="AB76">
        <f ca="1"/>
      </c>
      <c r="AC76">
        <f ca="1"/>
      </c>
      <c r="AD76">
        <f ca="1"/>
      </c>
      <c r="AE76">
        <f ca="1"/>
      </c>
      <c r="AF76">
        <f ca="1"/>
      </c>
      <c r="AG76">
        <f ca="1"/>
      </c>
      <c r="AH76">
        <f ca="1"/>
      </c>
      <c r="AL76" s="7">
        <f ca="1"/>
      </c>
      <c r="AM76" s="14">
        <f ca="1"/>
      </c>
      <c r="AN76" s="14">
        <f ca="1"/>
      </c>
      <c r="AO76" s="14">
        <f ca="1"/>
      </c>
      <c r="AP76" s="14">
        <f ca="1"/>
      </c>
      <c r="AQ76" s="14">
        <f ca="1"/>
      </c>
      <c r="AR76" s="14">
        <f ca="1"/>
      </c>
      <c r="AV76" s="14">
        <f ca="1"/>
      </c>
      <c r="AW76" s="14">
        <f ca="1"/>
      </c>
      <c r="AX76" s="14">
        <f ca="1"/>
      </c>
      <c r="AY76" s="14">
        <f ca="1"/>
      </c>
      <c r="AZ76" s="14">
        <f ca="1"/>
      </c>
      <c r="BB76">
        <f ca="1"/>
      </c>
      <c r="BC76">
        <f ca="1"/>
      </c>
      <c r="BD76">
        <f ca="1"/>
      </c>
      <c r="BF76" s="7">
        <f ca="1"/>
      </c>
      <c r="BG76" s="14">
        <f ca="1"/>
      </c>
      <c r="BH76" s="14">
        <f ca="1"/>
      </c>
      <c r="BI76" s="14">
        <f ca="1"/>
      </c>
      <c r="BJ76" s="14">
        <f ca="1"/>
      </c>
      <c r="BK76" s="14">
        <f ca="1"/>
      </c>
    </row>
    <row r="77" spans="28:63" x14ac:dyDescent="0.55000000000000004">
      <c r="AB77">
        <f ca="1"/>
      </c>
      <c r="AC77">
        <f ca="1"/>
      </c>
      <c r="AD77">
        <f ca="1"/>
      </c>
      <c r="AE77">
        <f ca="1"/>
      </c>
      <c r="AF77">
        <f ca="1"/>
      </c>
      <c r="AG77">
        <f ca="1"/>
      </c>
      <c r="AH77">
        <f ca="1"/>
      </c>
      <c r="AL77" s="7">
        <f ca="1"/>
      </c>
      <c r="AM77" s="14">
        <f ca="1"/>
      </c>
      <c r="AN77" s="14">
        <f ca="1"/>
      </c>
      <c r="AO77" s="14">
        <f ca="1"/>
      </c>
      <c r="AP77" s="14">
        <f ca="1"/>
      </c>
      <c r="AQ77" s="14">
        <f ca="1"/>
      </c>
      <c r="AR77" s="14">
        <f ca="1"/>
      </c>
      <c r="AV77" s="14">
        <f ca="1"/>
      </c>
      <c r="AW77" s="14">
        <f ca="1"/>
      </c>
      <c r="AX77" s="14">
        <f ca="1"/>
      </c>
      <c r="AY77" s="14">
        <f ca="1"/>
      </c>
      <c r="AZ77" s="14">
        <f ca="1"/>
      </c>
      <c r="BB77">
        <f ca="1"/>
      </c>
      <c r="BC77">
        <f ca="1"/>
      </c>
      <c r="BD77">
        <f ca="1"/>
      </c>
      <c r="BF77" s="7">
        <f ca="1"/>
      </c>
      <c r="BG77" s="14">
        <f ca="1"/>
      </c>
      <c r="BH77" s="14">
        <f ca="1"/>
      </c>
      <c r="BI77" s="14">
        <f ca="1"/>
      </c>
      <c r="BJ77" s="14">
        <f ca="1"/>
      </c>
      <c r="BK77" s="14">
        <f ca="1"/>
      </c>
    </row>
    <row r="78" spans="28:63" x14ac:dyDescent="0.55000000000000004">
      <c r="AB78">
        <f ca="1"/>
      </c>
      <c r="AC78">
        <f ca="1"/>
      </c>
      <c r="AD78">
        <f ca="1"/>
      </c>
      <c r="AE78">
        <f ca="1"/>
      </c>
      <c r="AF78">
        <f ca="1"/>
      </c>
      <c r="AG78">
        <f ca="1"/>
      </c>
      <c r="AH78">
        <f ca="1"/>
      </c>
      <c r="AL78" s="7">
        <f ca="1"/>
      </c>
      <c r="AM78" s="14">
        <f ca="1"/>
      </c>
      <c r="AN78" s="14">
        <f ca="1"/>
      </c>
      <c r="AO78" s="14">
        <f ca="1"/>
      </c>
      <c r="AP78" s="14">
        <f ca="1"/>
      </c>
      <c r="AQ78" s="14">
        <f ca="1"/>
      </c>
      <c r="AR78" s="14">
        <f ca="1"/>
      </c>
      <c r="AV78" s="14">
        <f ca="1"/>
      </c>
      <c r="AW78" s="14">
        <f ca="1"/>
      </c>
      <c r="AX78" s="14">
        <f ca="1"/>
      </c>
      <c r="AY78" s="14">
        <f ca="1"/>
      </c>
      <c r="AZ78" s="14">
        <f ca="1"/>
      </c>
      <c r="BB78">
        <f ca="1"/>
      </c>
      <c r="BC78">
        <f ca="1"/>
      </c>
      <c r="BD78">
        <f ca="1"/>
      </c>
      <c r="BF78" s="7">
        <f ca="1"/>
      </c>
      <c r="BG78" s="14">
        <f ca="1"/>
      </c>
      <c r="BH78" s="14">
        <f ca="1"/>
      </c>
      <c r="BI78" s="14">
        <f ca="1"/>
      </c>
      <c r="BJ78" s="14">
        <f ca="1"/>
      </c>
      <c r="BK78" s="14">
        <f ca="1"/>
      </c>
    </row>
    <row r="79" spans="28:63" x14ac:dyDescent="0.55000000000000004">
      <c r="AB79">
        <f ca="1"/>
      </c>
      <c r="AC79">
        <f ca="1"/>
      </c>
      <c r="AD79">
        <f ca="1"/>
      </c>
      <c r="AE79">
        <f ca="1"/>
      </c>
      <c r="AF79">
        <f ca="1"/>
      </c>
      <c r="AG79">
        <f ca="1"/>
      </c>
      <c r="AH79">
        <f ca="1"/>
      </c>
      <c r="AL79" s="7">
        <f ca="1"/>
      </c>
      <c r="AM79" s="14">
        <f ca="1"/>
      </c>
      <c r="AN79" s="14">
        <f ca="1"/>
      </c>
      <c r="AO79" s="14">
        <f ca="1"/>
      </c>
      <c r="AP79" s="14">
        <f ca="1"/>
      </c>
      <c r="AQ79" s="14">
        <f ca="1"/>
      </c>
      <c r="AR79" s="14">
        <f ca="1"/>
      </c>
      <c r="AV79" s="14">
        <f ca="1"/>
      </c>
      <c r="AW79" s="14">
        <f ca="1"/>
      </c>
      <c r="AX79" s="14">
        <f ca="1"/>
      </c>
      <c r="AY79" s="14">
        <f ca="1"/>
      </c>
      <c r="AZ79" s="14">
        <f ca="1"/>
      </c>
      <c r="BB79">
        <f ca="1"/>
      </c>
      <c r="BC79">
        <f ca="1"/>
      </c>
      <c r="BD79">
        <f ca="1"/>
      </c>
      <c r="BF79" s="7">
        <f ca="1"/>
      </c>
      <c r="BG79" s="14">
        <f ca="1"/>
      </c>
      <c r="BH79" s="14">
        <f ca="1"/>
      </c>
      <c r="BI79" s="14">
        <f ca="1"/>
      </c>
      <c r="BJ79" s="14">
        <f ca="1"/>
      </c>
      <c r="BK79" s="14">
        <f ca="1"/>
      </c>
    </row>
    <row r="80" spans="28:63" x14ac:dyDescent="0.55000000000000004">
      <c r="AB80">
        <f ca="1"/>
      </c>
      <c r="AC80">
        <f ca="1"/>
      </c>
      <c r="AD80">
        <f ca="1"/>
      </c>
      <c r="AE80">
        <f ca="1"/>
      </c>
      <c r="AF80">
        <f ca="1"/>
      </c>
      <c r="AG80">
        <f ca="1"/>
      </c>
      <c r="AH80">
        <f ca="1"/>
      </c>
      <c r="AL80" s="7">
        <f ca="1"/>
      </c>
      <c r="AM80" s="14">
        <f ca="1"/>
      </c>
      <c r="AN80" s="14">
        <f ca="1"/>
      </c>
      <c r="AO80" s="14">
        <f ca="1"/>
      </c>
      <c r="AP80" s="14">
        <f ca="1"/>
      </c>
      <c r="AQ80" s="14">
        <f ca="1"/>
      </c>
      <c r="AR80" s="14">
        <f ca="1"/>
      </c>
      <c r="AV80" s="14">
        <f ca="1"/>
      </c>
      <c r="AW80" s="14">
        <f ca="1"/>
      </c>
      <c r="AX80" s="14">
        <f ca="1"/>
      </c>
      <c r="AY80" s="14">
        <f ca="1"/>
      </c>
      <c r="AZ80" s="14">
        <f ca="1"/>
      </c>
      <c r="BB80">
        <f ca="1"/>
      </c>
      <c r="BC80">
        <f ca="1"/>
      </c>
      <c r="BD80">
        <f ca="1"/>
      </c>
      <c r="BF80" s="7">
        <f ca="1"/>
      </c>
      <c r="BG80" s="14">
        <f ca="1"/>
      </c>
      <c r="BH80" s="14">
        <f ca="1"/>
      </c>
      <c r="BI80" s="14">
        <f ca="1"/>
      </c>
      <c r="BJ80" s="14">
        <f ca="1"/>
      </c>
      <c r="BK80" s="14">
        <f ca="1"/>
      </c>
    </row>
    <row r="81" spans="28:63" x14ac:dyDescent="0.55000000000000004">
      <c r="AB81">
        <f ca="1"/>
      </c>
      <c r="AC81">
        <f ca="1"/>
      </c>
      <c r="AD81">
        <f ca="1"/>
      </c>
      <c r="AE81">
        <f ca="1"/>
      </c>
      <c r="AF81">
        <f ca="1"/>
      </c>
      <c r="AG81">
        <f ca="1"/>
      </c>
      <c r="AH81">
        <f ca="1"/>
      </c>
      <c r="AL81" s="7">
        <f ca="1"/>
      </c>
      <c r="AM81" s="14">
        <f ca="1"/>
      </c>
      <c r="AN81" s="14">
        <f ca="1"/>
      </c>
      <c r="AO81" s="14">
        <f ca="1"/>
      </c>
      <c r="AP81" s="14">
        <f ca="1"/>
      </c>
      <c r="AQ81" s="14">
        <f ca="1"/>
      </c>
      <c r="AR81" s="14">
        <f ca="1"/>
      </c>
      <c r="AV81" s="14">
        <f ca="1"/>
      </c>
      <c r="AW81" s="14">
        <f ca="1"/>
      </c>
      <c r="AX81" s="14">
        <f ca="1"/>
      </c>
      <c r="AY81" s="14">
        <f ca="1"/>
      </c>
      <c r="AZ81" s="14">
        <f ca="1"/>
      </c>
      <c r="BB81">
        <f ca="1"/>
      </c>
      <c r="BC81">
        <f ca="1"/>
      </c>
      <c r="BD81">
        <f ca="1"/>
      </c>
      <c r="BF81" s="7">
        <f ca="1"/>
      </c>
      <c r="BG81" s="14">
        <f ca="1"/>
      </c>
      <c r="BH81" s="14">
        <f ca="1"/>
      </c>
      <c r="BI81" s="14">
        <f ca="1"/>
      </c>
      <c r="BJ81" s="14">
        <f ca="1"/>
      </c>
      <c r="BK81" s="14">
        <f ca="1"/>
      </c>
    </row>
    <row r="82" spans="28:63" x14ac:dyDescent="0.55000000000000004">
      <c r="AB82">
        <f ca="1"/>
      </c>
      <c r="AC82">
        <f ca="1"/>
      </c>
      <c r="AD82">
        <f ca="1"/>
      </c>
      <c r="AE82">
        <f ca="1"/>
      </c>
      <c r="AF82">
        <f ca="1"/>
      </c>
      <c r="AG82">
        <f ca="1"/>
      </c>
      <c r="AH82">
        <f ca="1"/>
      </c>
      <c r="AL82" s="7">
        <f ca="1"/>
      </c>
      <c r="AM82" s="14">
        <f ca="1"/>
      </c>
      <c r="AN82" s="14">
        <f ca="1"/>
      </c>
      <c r="AO82" s="14">
        <f ca="1"/>
      </c>
      <c r="AP82" s="14">
        <f ca="1"/>
      </c>
      <c r="AQ82" s="14">
        <f ca="1"/>
      </c>
      <c r="AR82" s="14">
        <f ca="1"/>
      </c>
      <c r="AV82" s="14">
        <f ca="1"/>
      </c>
      <c r="AW82" s="14">
        <f ca="1"/>
      </c>
      <c r="AX82" s="14">
        <f ca="1"/>
      </c>
      <c r="AY82" s="14">
        <f ca="1"/>
      </c>
      <c r="AZ82" s="14">
        <f ca="1"/>
      </c>
      <c r="BB82">
        <f ca="1"/>
      </c>
      <c r="BC82">
        <f ca="1"/>
      </c>
      <c r="BD82">
        <f ca="1"/>
      </c>
      <c r="BF82" s="7">
        <f ca="1"/>
      </c>
      <c r="BG82" s="14">
        <f ca="1"/>
      </c>
      <c r="BH82" s="14">
        <f ca="1"/>
      </c>
      <c r="BI82" s="14">
        <f ca="1"/>
      </c>
      <c r="BJ82" s="14">
        <f ca="1"/>
      </c>
      <c r="BK82" s="14">
        <f ca="1"/>
      </c>
    </row>
    <row r="83" spans="28:63" x14ac:dyDescent="0.55000000000000004">
      <c r="AB83">
        <f ca="1"/>
      </c>
      <c r="AC83">
        <f ca="1"/>
      </c>
      <c r="AD83">
        <f ca="1"/>
      </c>
      <c r="AE83">
        <f ca="1"/>
      </c>
      <c r="AF83">
        <f ca="1"/>
      </c>
      <c r="AG83">
        <f ca="1"/>
      </c>
      <c r="AH83">
        <f ca="1"/>
      </c>
      <c r="AL83" s="7">
        <f ca="1"/>
      </c>
      <c r="AM83" s="14">
        <f ca="1"/>
      </c>
      <c r="AN83" s="14">
        <f ca="1"/>
      </c>
      <c r="AO83" s="14">
        <f ca="1"/>
      </c>
      <c r="AP83" s="14">
        <f ca="1"/>
      </c>
      <c r="AQ83" s="14">
        <f ca="1"/>
      </c>
      <c r="AR83" s="14">
        <f ca="1"/>
      </c>
      <c r="AV83" s="14">
        <f ca="1"/>
      </c>
      <c r="AW83" s="14">
        <f ca="1"/>
      </c>
      <c r="AX83" s="14">
        <f ca="1"/>
      </c>
      <c r="AY83" s="14">
        <f ca="1"/>
      </c>
      <c r="AZ83" s="14">
        <f ca="1"/>
      </c>
      <c r="BB83">
        <f ca="1"/>
      </c>
      <c r="BC83">
        <f ca="1"/>
      </c>
      <c r="BD83">
        <f ca="1"/>
      </c>
      <c r="BF83" s="7">
        <f ca="1"/>
      </c>
      <c r="BG83" s="14">
        <f ca="1"/>
      </c>
      <c r="BH83" s="14">
        <f ca="1"/>
      </c>
      <c r="BI83" s="14">
        <f ca="1"/>
      </c>
      <c r="BJ83" s="14">
        <f ca="1"/>
      </c>
      <c r="BK83" s="14">
        <f ca="1"/>
      </c>
    </row>
    <row r="84" spans="28:63" x14ac:dyDescent="0.55000000000000004">
      <c r="AB84">
        <f ca="1"/>
      </c>
      <c r="AC84">
        <f ca="1"/>
      </c>
      <c r="AD84">
        <f ca="1"/>
      </c>
      <c r="AE84">
        <f ca="1"/>
      </c>
      <c r="AF84">
        <f ca="1"/>
      </c>
      <c r="AG84">
        <f ca="1"/>
      </c>
      <c r="AH84">
        <f ca="1"/>
      </c>
      <c r="AL84" s="7">
        <f ca="1"/>
      </c>
      <c r="AM84" s="14">
        <f ca="1"/>
      </c>
      <c r="AN84" s="14">
        <f ca="1"/>
      </c>
      <c r="AO84" s="14">
        <f ca="1"/>
      </c>
      <c r="AP84" s="14">
        <f ca="1"/>
      </c>
      <c r="AQ84" s="14">
        <f ca="1"/>
      </c>
      <c r="AR84" s="14">
        <f ca="1"/>
      </c>
      <c r="AV84" s="14">
        <f ca="1"/>
      </c>
      <c r="AW84" s="14">
        <f ca="1"/>
      </c>
      <c r="AX84" s="14">
        <f ca="1"/>
      </c>
      <c r="AY84" s="14">
        <f ca="1"/>
      </c>
      <c r="AZ84" s="14">
        <f ca="1"/>
      </c>
      <c r="BB84">
        <f ca="1"/>
      </c>
      <c r="BC84">
        <f ca="1"/>
      </c>
      <c r="BD84">
        <f ca="1"/>
      </c>
      <c r="BF84" s="7">
        <f ca="1"/>
      </c>
      <c r="BG84" s="14">
        <f ca="1"/>
      </c>
      <c r="BH84" s="14">
        <f ca="1"/>
      </c>
      <c r="BI84" s="14">
        <f ca="1"/>
      </c>
      <c r="BJ84" s="14">
        <f ca="1"/>
      </c>
      <c r="BK84" s="14">
        <f ca="1"/>
      </c>
    </row>
    <row r="85" spans="28:63" x14ac:dyDescent="0.55000000000000004">
      <c r="AB85">
        <f ca="1"/>
      </c>
      <c r="AC85">
        <f ca="1"/>
      </c>
      <c r="AD85">
        <f ca="1"/>
      </c>
      <c r="AE85">
        <f ca="1"/>
      </c>
      <c r="AF85">
        <f ca="1"/>
      </c>
      <c r="AG85">
        <f ca="1"/>
      </c>
      <c r="AH85">
        <f ca="1"/>
      </c>
      <c r="AL85" s="7">
        <f ca="1"/>
      </c>
      <c r="AM85" s="14">
        <f ca="1"/>
      </c>
      <c r="AN85" s="14">
        <f ca="1"/>
      </c>
      <c r="AO85" s="14">
        <f ca="1"/>
      </c>
      <c r="AP85" s="14">
        <f ca="1"/>
      </c>
      <c r="AQ85" s="14">
        <f ca="1"/>
      </c>
      <c r="AR85" s="14">
        <f ca="1"/>
      </c>
      <c r="AV85" s="14">
        <f ca="1"/>
      </c>
      <c r="AW85" s="14">
        <f ca="1"/>
      </c>
      <c r="AX85" s="14">
        <f ca="1"/>
      </c>
      <c r="AY85" s="14">
        <f ca="1"/>
      </c>
      <c r="AZ85" s="14">
        <f ca="1"/>
      </c>
      <c r="BB85">
        <f ca="1"/>
      </c>
      <c r="BC85">
        <f ca="1"/>
      </c>
      <c r="BD85">
        <f ca="1"/>
      </c>
      <c r="BF85" s="7">
        <f ca="1"/>
      </c>
      <c r="BG85" s="14">
        <f ca="1"/>
      </c>
      <c r="BH85" s="14">
        <f ca="1"/>
      </c>
      <c r="BI85" s="14">
        <f ca="1"/>
      </c>
      <c r="BJ85" s="14">
        <f ca="1"/>
      </c>
      <c r="BK85" s="14">
        <f ca="1"/>
      </c>
    </row>
    <row r="86" spans="28:63" x14ac:dyDescent="0.55000000000000004">
      <c r="AB86">
        <f ca="1"/>
      </c>
      <c r="AC86">
        <f ca="1"/>
      </c>
      <c r="AD86">
        <f ca="1"/>
      </c>
      <c r="AE86">
        <f ca="1"/>
      </c>
      <c r="AF86">
        <f ca="1"/>
      </c>
      <c r="AG86">
        <f ca="1"/>
      </c>
      <c r="AH86">
        <f ca="1"/>
      </c>
      <c r="AL86" s="7">
        <f ca="1"/>
      </c>
      <c r="AM86" s="14">
        <f ca="1"/>
      </c>
      <c r="AN86" s="14">
        <f ca="1"/>
      </c>
      <c r="AO86" s="14">
        <f ca="1"/>
      </c>
      <c r="AP86" s="14">
        <f ca="1"/>
      </c>
      <c r="AQ86" s="14">
        <f ca="1"/>
      </c>
      <c r="AR86" s="14">
        <f ca="1"/>
      </c>
      <c r="AV86" s="14">
        <f ca="1"/>
      </c>
      <c r="AW86" s="14">
        <f ca="1"/>
      </c>
      <c r="AX86" s="14">
        <f ca="1"/>
      </c>
      <c r="AY86" s="14">
        <f ca="1"/>
      </c>
      <c r="AZ86" s="14">
        <f ca="1"/>
      </c>
      <c r="BB86">
        <f ca="1"/>
      </c>
      <c r="BC86">
        <f ca="1"/>
      </c>
      <c r="BD86">
        <f ca="1"/>
      </c>
      <c r="BF86" s="7">
        <f ca="1"/>
      </c>
      <c r="BG86" s="14">
        <f ca="1"/>
      </c>
      <c r="BH86" s="14">
        <f ca="1"/>
      </c>
      <c r="BI86" s="14">
        <f ca="1"/>
      </c>
      <c r="BJ86" s="14">
        <f ca="1"/>
      </c>
      <c r="BK86" s="14">
        <f ca="1"/>
      </c>
    </row>
    <row r="87" spans="28:63" x14ac:dyDescent="0.55000000000000004">
      <c r="AB87">
        <f ca="1"/>
      </c>
      <c r="AC87">
        <f ca="1"/>
      </c>
      <c r="AD87">
        <f ca="1"/>
      </c>
      <c r="AE87">
        <f ca="1"/>
      </c>
      <c r="AF87">
        <f ca="1"/>
      </c>
      <c r="AG87">
        <f ca="1"/>
      </c>
      <c r="AH87">
        <f ca="1"/>
      </c>
      <c r="AL87" s="7">
        <f ca="1"/>
      </c>
      <c r="AM87" s="14">
        <f ca="1"/>
      </c>
      <c r="AN87" s="14">
        <f ca="1"/>
      </c>
      <c r="AO87" s="14">
        <f ca="1"/>
      </c>
      <c r="AP87" s="14">
        <f ca="1"/>
      </c>
      <c r="AQ87" s="14">
        <f ca="1"/>
      </c>
      <c r="AR87" s="14">
        <f ca="1"/>
      </c>
      <c r="AV87" s="14">
        <f ca="1"/>
      </c>
      <c r="AW87" s="14">
        <f ca="1"/>
      </c>
      <c r="AX87" s="14">
        <f ca="1"/>
      </c>
      <c r="AY87" s="14">
        <f ca="1"/>
      </c>
      <c r="AZ87" s="14">
        <f ca="1"/>
      </c>
      <c r="BB87">
        <f ca="1"/>
      </c>
      <c r="BC87">
        <f ca="1"/>
      </c>
      <c r="BD87">
        <f ca="1"/>
      </c>
      <c r="BF87" s="7">
        <f ca="1"/>
      </c>
      <c r="BG87" s="14">
        <f ca="1"/>
      </c>
      <c r="BH87" s="14">
        <f ca="1"/>
      </c>
      <c r="BI87" s="14">
        <f ca="1"/>
      </c>
      <c r="BJ87" s="14">
        <f ca="1"/>
      </c>
      <c r="BK87" s="14">
        <f ca="1"/>
      </c>
    </row>
    <row r="88" spans="28:63" x14ac:dyDescent="0.55000000000000004">
      <c r="AB88">
        <f ca="1"/>
      </c>
      <c r="AC88">
        <f ca="1"/>
      </c>
      <c r="AD88">
        <f ca="1"/>
      </c>
      <c r="AE88">
        <f ca="1"/>
      </c>
      <c r="AF88">
        <f ca="1"/>
      </c>
      <c r="AG88">
        <f ca="1"/>
      </c>
      <c r="AH88">
        <f ca="1"/>
      </c>
      <c r="AL88" s="7">
        <f ca="1"/>
      </c>
      <c r="AM88" s="14">
        <f ca="1"/>
      </c>
      <c r="AN88" s="14">
        <f ca="1"/>
      </c>
      <c r="AO88" s="14">
        <f ca="1"/>
      </c>
      <c r="AP88" s="14">
        <f ca="1"/>
      </c>
      <c r="AQ88" s="14">
        <f ca="1"/>
      </c>
      <c r="AR88" s="14">
        <f ca="1"/>
      </c>
      <c r="AV88" s="14">
        <f ca="1"/>
      </c>
      <c r="AW88" s="14">
        <f ca="1"/>
      </c>
      <c r="AX88" s="14">
        <f ca="1"/>
      </c>
      <c r="AY88" s="14">
        <f ca="1"/>
      </c>
      <c r="AZ88" s="14">
        <f ca="1"/>
      </c>
      <c r="BB88">
        <f ca="1"/>
      </c>
      <c r="BC88">
        <f ca="1"/>
      </c>
      <c r="BD88">
        <f ca="1"/>
      </c>
      <c r="BF88" s="7">
        <f ca="1"/>
      </c>
      <c r="BG88" s="14">
        <f ca="1"/>
      </c>
      <c r="BH88" s="14">
        <f ca="1"/>
      </c>
      <c r="BI88" s="14">
        <f ca="1"/>
      </c>
      <c r="BJ88" s="14">
        <f ca="1"/>
      </c>
      <c r="BK88" s="14">
        <f ca="1"/>
      </c>
    </row>
    <row r="89" spans="28:63" x14ac:dyDescent="0.55000000000000004">
      <c r="AB89">
        <f ca="1"/>
      </c>
      <c r="AC89">
        <f ca="1"/>
      </c>
      <c r="AD89">
        <f ca="1"/>
      </c>
      <c r="AE89">
        <f ca="1"/>
      </c>
      <c r="AF89">
        <f ca="1"/>
      </c>
      <c r="AG89">
        <f ca="1"/>
      </c>
      <c r="AH89">
        <f ca="1"/>
      </c>
      <c r="AL89" s="7">
        <f ca="1"/>
      </c>
      <c r="AM89" s="14">
        <f ca="1"/>
      </c>
      <c r="AN89" s="14">
        <f ca="1"/>
      </c>
      <c r="AO89" s="14">
        <f ca="1"/>
      </c>
      <c r="AP89" s="14">
        <f ca="1"/>
      </c>
      <c r="AQ89" s="14">
        <f ca="1"/>
      </c>
      <c r="AR89" s="14">
        <f ca="1"/>
      </c>
      <c r="AV89" s="14">
        <f ca="1"/>
      </c>
      <c r="AW89" s="14">
        <f ca="1"/>
      </c>
      <c r="AX89" s="14">
        <f ca="1"/>
      </c>
      <c r="AY89" s="14">
        <f ca="1"/>
      </c>
      <c r="AZ89" s="14">
        <f ca="1"/>
      </c>
      <c r="BB89">
        <f ca="1"/>
      </c>
      <c r="BC89">
        <f ca="1"/>
      </c>
      <c r="BD89">
        <f ca="1"/>
      </c>
      <c r="BF89" s="7">
        <f ca="1"/>
      </c>
      <c r="BG89" s="14">
        <f ca="1"/>
      </c>
      <c r="BH89" s="14">
        <f ca="1"/>
      </c>
      <c r="BI89" s="14">
        <f ca="1"/>
      </c>
      <c r="BJ89" s="14">
        <f ca="1"/>
      </c>
      <c r="BK89" s="14">
        <f ca="1"/>
      </c>
    </row>
    <row r="90" spans="28:63" x14ac:dyDescent="0.55000000000000004">
      <c r="AB90">
        <f ca="1"/>
      </c>
      <c r="AC90">
        <f ca="1"/>
      </c>
      <c r="AD90">
        <f ca="1"/>
      </c>
      <c r="AE90">
        <f ca="1"/>
      </c>
      <c r="AF90">
        <f ca="1"/>
      </c>
      <c r="AG90">
        <f ca="1"/>
      </c>
      <c r="AH90">
        <f ca="1"/>
      </c>
      <c r="AL90" s="7">
        <f ca="1"/>
      </c>
      <c r="AM90" s="14">
        <f ca="1"/>
      </c>
      <c r="AN90" s="14">
        <f ca="1"/>
      </c>
      <c r="AO90" s="14">
        <f ca="1"/>
      </c>
      <c r="AP90" s="14">
        <f ca="1"/>
      </c>
      <c r="AQ90" s="14">
        <f ca="1"/>
      </c>
      <c r="AR90" s="14">
        <f ca="1"/>
      </c>
      <c r="AV90" s="14">
        <f ca="1"/>
      </c>
      <c r="AW90" s="14">
        <f ca="1"/>
      </c>
      <c r="AX90" s="14">
        <f ca="1"/>
      </c>
      <c r="AY90" s="14">
        <f ca="1"/>
      </c>
      <c r="AZ90" s="14">
        <f ca="1"/>
      </c>
      <c r="BB90">
        <f ca="1"/>
      </c>
      <c r="BC90">
        <f ca="1"/>
      </c>
      <c r="BD90">
        <f ca="1"/>
      </c>
      <c r="BF90" s="7">
        <f ca="1"/>
      </c>
      <c r="BG90" s="14">
        <f ca="1"/>
      </c>
      <c r="BH90" s="14">
        <f ca="1"/>
      </c>
      <c r="BI90" s="14">
        <f ca="1"/>
      </c>
      <c r="BJ90" s="14">
        <f ca="1"/>
      </c>
      <c r="BK90" s="14">
        <f ca="1"/>
      </c>
    </row>
    <row r="91" spans="28:63" x14ac:dyDescent="0.55000000000000004">
      <c r="AB91">
        <f ca="1"/>
      </c>
      <c r="AC91">
        <f ca="1"/>
      </c>
      <c r="AD91">
        <f ca="1"/>
      </c>
      <c r="AE91">
        <f ca="1"/>
      </c>
      <c r="AF91">
        <f ca="1"/>
      </c>
      <c r="AG91">
        <f ca="1"/>
      </c>
      <c r="AH91">
        <f ca="1"/>
      </c>
      <c r="AL91" s="7">
        <f ca="1"/>
      </c>
      <c r="AM91" s="14">
        <f ca="1"/>
      </c>
      <c r="AN91" s="14">
        <f ca="1"/>
      </c>
      <c r="AO91" s="14">
        <f ca="1"/>
      </c>
      <c r="AP91" s="14">
        <f ca="1"/>
      </c>
      <c r="AQ91" s="14">
        <f ca="1"/>
      </c>
      <c r="AR91" s="14">
        <f ca="1"/>
      </c>
      <c r="AV91" s="14">
        <f ca="1"/>
      </c>
      <c r="AW91" s="14">
        <f ca="1"/>
      </c>
      <c r="AX91" s="14">
        <f ca="1"/>
      </c>
      <c r="AY91" s="14">
        <f ca="1"/>
      </c>
      <c r="AZ91" s="14">
        <f ca="1"/>
      </c>
      <c r="BB91">
        <f ca="1"/>
      </c>
      <c r="BC91">
        <f ca="1"/>
      </c>
      <c r="BD91">
        <f ca="1"/>
      </c>
      <c r="BF91" s="7">
        <f ca="1"/>
      </c>
      <c r="BG91" s="14">
        <f ca="1"/>
      </c>
      <c r="BH91" s="14">
        <f ca="1"/>
      </c>
      <c r="BI91" s="14">
        <f ca="1"/>
      </c>
      <c r="BJ91" s="14">
        <f ca="1"/>
      </c>
      <c r="BK91" s="14">
        <f ca="1"/>
      </c>
    </row>
    <row r="92" spans="28:63" x14ac:dyDescent="0.55000000000000004">
      <c r="AB92">
        <f ca="1"/>
      </c>
      <c r="AC92">
        <f ca="1"/>
      </c>
      <c r="AD92">
        <f ca="1"/>
      </c>
      <c r="AE92">
        <f ca="1"/>
      </c>
      <c r="AF92">
        <f ca="1"/>
      </c>
      <c r="AG92">
        <f ca="1"/>
      </c>
      <c r="AH92">
        <f ca="1"/>
      </c>
      <c r="AL92" s="7">
        <f ca="1"/>
      </c>
      <c r="AM92" s="14">
        <f ca="1"/>
      </c>
      <c r="AN92" s="14">
        <f ca="1"/>
      </c>
      <c r="AO92" s="14">
        <f ca="1"/>
      </c>
      <c r="AP92" s="14">
        <f ca="1"/>
      </c>
      <c r="AQ92" s="14">
        <f ca="1"/>
      </c>
      <c r="AR92" s="14">
        <f ca="1"/>
      </c>
      <c r="AV92" s="14">
        <f ca="1"/>
      </c>
      <c r="AW92" s="14">
        <f ca="1"/>
      </c>
      <c r="AX92" s="14">
        <f ca="1"/>
      </c>
      <c r="AY92" s="14">
        <f ca="1"/>
      </c>
      <c r="AZ92" s="14">
        <f ca="1"/>
      </c>
      <c r="BB92">
        <f ca="1"/>
      </c>
      <c r="BC92">
        <f ca="1"/>
      </c>
      <c r="BD92">
        <f ca="1"/>
      </c>
      <c r="BF92" s="7">
        <f ca="1"/>
      </c>
      <c r="BG92" s="14">
        <f ca="1"/>
      </c>
      <c r="BH92" s="14">
        <f ca="1"/>
      </c>
      <c r="BI92" s="14">
        <f ca="1"/>
      </c>
      <c r="BJ92" s="14">
        <f ca="1"/>
      </c>
      <c r="BK92" s="14">
        <f ca="1"/>
      </c>
    </row>
    <row r="93" spans="28:63" x14ac:dyDescent="0.55000000000000004">
      <c r="AB93">
        <f ca="1"/>
      </c>
      <c r="AC93">
        <f ca="1"/>
      </c>
      <c r="AD93">
        <f ca="1"/>
      </c>
      <c r="AE93">
        <f ca="1"/>
      </c>
      <c r="AF93">
        <f ca="1"/>
      </c>
      <c r="AG93">
        <f ca="1"/>
      </c>
      <c r="AH93">
        <f ca="1"/>
      </c>
      <c r="AL93" s="7">
        <f ca="1"/>
      </c>
      <c r="AM93" s="14">
        <f ca="1"/>
      </c>
      <c r="AN93" s="14">
        <f ca="1"/>
      </c>
      <c r="AO93" s="14">
        <f ca="1"/>
      </c>
      <c r="AP93" s="14">
        <f ca="1"/>
      </c>
      <c r="AQ93" s="14">
        <f ca="1"/>
      </c>
      <c r="AR93" s="14">
        <f ca="1"/>
      </c>
      <c r="AV93" s="14">
        <f ca="1"/>
      </c>
      <c r="AW93" s="14">
        <f ca="1"/>
      </c>
      <c r="AX93" s="14">
        <f ca="1"/>
      </c>
      <c r="AY93" s="14">
        <f ca="1"/>
      </c>
      <c r="AZ93" s="14">
        <f ca="1"/>
      </c>
      <c r="BB93">
        <f ca="1"/>
      </c>
      <c r="BC93">
        <f ca="1"/>
      </c>
      <c r="BD93">
        <f ca="1"/>
      </c>
      <c r="BF93" s="7">
        <f ca="1"/>
      </c>
      <c r="BG93" s="14">
        <f ca="1"/>
      </c>
      <c r="BH93" s="14">
        <f ca="1"/>
      </c>
      <c r="BI93" s="14">
        <f ca="1"/>
      </c>
      <c r="BJ93" s="14">
        <f ca="1"/>
      </c>
      <c r="BK93" s="14">
        <f ca="1"/>
      </c>
    </row>
    <row r="94" spans="28:63" x14ac:dyDescent="0.55000000000000004">
      <c r="AB94">
        <f ca="1"/>
      </c>
      <c r="AC94">
        <f ca="1"/>
      </c>
      <c r="AD94">
        <f ca="1"/>
      </c>
      <c r="AE94">
        <f ca="1"/>
      </c>
      <c r="AF94">
        <f ca="1"/>
      </c>
      <c r="AG94">
        <f ca="1"/>
      </c>
      <c r="AH94">
        <f ca="1"/>
      </c>
      <c r="AL94" s="7">
        <f ca="1"/>
      </c>
      <c r="AM94" s="14">
        <f ca="1"/>
      </c>
      <c r="AN94" s="14">
        <f ca="1"/>
      </c>
      <c r="AO94" s="14">
        <f ca="1"/>
      </c>
      <c r="AP94" s="14">
        <f ca="1"/>
      </c>
      <c r="AQ94" s="14">
        <f ca="1"/>
      </c>
      <c r="AR94" s="14">
        <f ca="1"/>
      </c>
      <c r="AV94" s="14">
        <f ca="1"/>
      </c>
      <c r="AW94" s="14">
        <f ca="1"/>
      </c>
      <c r="AX94" s="14">
        <f ca="1"/>
      </c>
      <c r="AY94" s="14">
        <f ca="1"/>
      </c>
      <c r="AZ94" s="14">
        <f ca="1"/>
      </c>
      <c r="BB94">
        <f ca="1"/>
      </c>
      <c r="BC94">
        <f ca="1"/>
      </c>
      <c r="BD94">
        <f ca="1"/>
      </c>
      <c r="BF94" s="7">
        <f ca="1"/>
      </c>
      <c r="BG94" s="14">
        <f ca="1"/>
      </c>
      <c r="BH94" s="14">
        <f ca="1"/>
      </c>
      <c r="BI94" s="14">
        <f ca="1"/>
      </c>
      <c r="BJ94" s="14">
        <f ca="1"/>
      </c>
      <c r="BK94" s="14">
        <f ca="1"/>
      </c>
    </row>
    <row r="95" spans="28:63" x14ac:dyDescent="0.55000000000000004">
      <c r="AB95">
        <f ca="1"/>
      </c>
      <c r="AC95">
        <f ca="1"/>
      </c>
      <c r="AD95">
        <f ca="1"/>
      </c>
      <c r="AE95">
        <f ca="1"/>
      </c>
      <c r="AF95">
        <f ca="1"/>
      </c>
      <c r="AG95">
        <f ca="1"/>
      </c>
      <c r="AH95">
        <f ca="1"/>
      </c>
      <c r="AL95" s="7">
        <f ca="1"/>
      </c>
      <c r="AM95" s="14">
        <f ca="1"/>
      </c>
      <c r="AN95" s="14">
        <f ca="1"/>
      </c>
      <c r="AO95" s="14">
        <f ca="1"/>
      </c>
      <c r="AP95" s="14">
        <f ca="1"/>
      </c>
      <c r="AQ95" s="14">
        <f ca="1"/>
      </c>
      <c r="AR95" s="14">
        <f ca="1"/>
      </c>
      <c r="AV95" s="14">
        <f ca="1"/>
      </c>
      <c r="AW95" s="14">
        <f ca="1"/>
      </c>
      <c r="AX95" s="14">
        <f ca="1"/>
      </c>
      <c r="AY95" s="14">
        <f ca="1"/>
      </c>
      <c r="AZ95" s="14">
        <f ca="1"/>
      </c>
      <c r="BB95">
        <f ca="1"/>
      </c>
      <c r="BC95">
        <f ca="1"/>
      </c>
      <c r="BD95">
        <f ca="1"/>
      </c>
      <c r="BF95" s="7">
        <f ca="1"/>
      </c>
      <c r="BG95" s="14">
        <f ca="1"/>
      </c>
      <c r="BH95" s="14">
        <f ca="1"/>
      </c>
      <c r="BI95" s="14">
        <f ca="1"/>
      </c>
      <c r="BJ95" s="14">
        <f ca="1"/>
      </c>
      <c r="BK95" s="14">
        <f ca="1"/>
      </c>
    </row>
    <row r="96" spans="28:63" x14ac:dyDescent="0.55000000000000004">
      <c r="AB96">
        <f ca="1"/>
      </c>
      <c r="AC96">
        <f ca="1"/>
      </c>
      <c r="AD96">
        <f ca="1"/>
      </c>
      <c r="AE96">
        <f ca="1"/>
      </c>
      <c r="AF96">
        <f ca="1"/>
      </c>
      <c r="AG96">
        <f ca="1"/>
      </c>
      <c r="AH96">
        <f ca="1"/>
      </c>
      <c r="AL96" s="7">
        <f ca="1"/>
      </c>
      <c r="AM96" s="14">
        <f ca="1"/>
      </c>
      <c r="AN96" s="14">
        <f ca="1"/>
      </c>
      <c r="AO96" s="14">
        <f ca="1"/>
      </c>
      <c r="AP96" s="14">
        <f ca="1"/>
      </c>
      <c r="AQ96" s="14">
        <f ca="1"/>
      </c>
      <c r="AR96" s="14">
        <f ca="1"/>
      </c>
      <c r="AV96" s="14">
        <f ca="1"/>
      </c>
      <c r="AW96" s="14">
        <f ca="1"/>
      </c>
      <c r="AX96" s="14">
        <f ca="1"/>
      </c>
      <c r="AY96" s="14">
        <f ca="1"/>
      </c>
      <c r="AZ96" s="14">
        <f ca="1"/>
      </c>
      <c r="BB96">
        <f ca="1"/>
      </c>
      <c r="BC96">
        <f ca="1"/>
      </c>
      <c r="BD96">
        <f ca="1"/>
      </c>
      <c r="BF96" s="7">
        <f ca="1"/>
      </c>
      <c r="BG96" s="14">
        <f ca="1"/>
      </c>
      <c r="BH96" s="14">
        <f ca="1"/>
      </c>
      <c r="BI96" s="14">
        <f ca="1"/>
      </c>
      <c r="BJ96" s="14">
        <f ca="1"/>
      </c>
      <c r="BK96" s="14">
        <f ca="1"/>
      </c>
    </row>
    <row r="97" spans="28:63" x14ac:dyDescent="0.55000000000000004">
      <c r="AB97">
        <f ca="1"/>
      </c>
      <c r="AC97">
        <f ca="1"/>
      </c>
      <c r="AD97">
        <f ca="1"/>
      </c>
      <c r="AE97">
        <f ca="1"/>
      </c>
      <c r="AF97">
        <f ca="1"/>
      </c>
      <c r="AG97">
        <f ca="1"/>
      </c>
      <c r="AH97">
        <f ca="1"/>
      </c>
      <c r="AL97" s="7">
        <f ca="1"/>
      </c>
      <c r="AM97" s="14">
        <f ca="1"/>
      </c>
      <c r="AN97" s="14">
        <f ca="1"/>
      </c>
      <c r="AO97" s="14">
        <f ca="1"/>
      </c>
      <c r="AP97" s="14">
        <f ca="1"/>
      </c>
      <c r="AQ97" s="14">
        <f ca="1"/>
      </c>
      <c r="AR97" s="14">
        <f ca="1"/>
      </c>
      <c r="AV97" s="14">
        <f ca="1"/>
      </c>
      <c r="AW97" s="14">
        <f ca="1"/>
      </c>
      <c r="AX97" s="14">
        <f ca="1"/>
      </c>
      <c r="AY97" s="14">
        <f ca="1"/>
      </c>
      <c r="AZ97" s="14">
        <f ca="1"/>
      </c>
      <c r="BB97">
        <f ca="1"/>
      </c>
      <c r="BC97">
        <f ca="1"/>
      </c>
      <c r="BD97">
        <f ca="1"/>
      </c>
      <c r="BF97" s="7">
        <f ca="1"/>
      </c>
      <c r="BG97" s="14">
        <f ca="1"/>
      </c>
      <c r="BH97" s="14">
        <f ca="1"/>
      </c>
      <c r="BI97" s="14">
        <f ca="1"/>
      </c>
      <c r="BJ97" s="14">
        <f ca="1"/>
      </c>
      <c r="BK97" s="14">
        <f ca="1"/>
      </c>
    </row>
    <row r="98" spans="28:63" x14ac:dyDescent="0.55000000000000004">
      <c r="AB98">
        <f ca="1"/>
      </c>
      <c r="AC98">
        <f ca="1"/>
      </c>
      <c r="AD98">
        <f ca="1"/>
      </c>
      <c r="AE98">
        <f ca="1"/>
      </c>
      <c r="AF98">
        <f ca="1"/>
      </c>
      <c r="AG98">
        <f ca="1"/>
      </c>
      <c r="AH98">
        <f ca="1"/>
      </c>
      <c r="AL98" s="7">
        <f ca="1"/>
      </c>
      <c r="AM98" s="14">
        <f ca="1"/>
      </c>
      <c r="AN98" s="14">
        <f ca="1"/>
      </c>
      <c r="AO98" s="14">
        <f ca="1"/>
      </c>
      <c r="AP98" s="14">
        <f ca="1"/>
      </c>
      <c r="AQ98" s="14">
        <f ca="1"/>
      </c>
      <c r="AR98" s="14">
        <f ca="1"/>
      </c>
      <c r="AV98" s="14">
        <f ca="1"/>
      </c>
      <c r="AW98" s="14">
        <f ca="1"/>
      </c>
      <c r="AX98" s="14">
        <f ca="1"/>
      </c>
      <c r="AY98" s="14">
        <f ca="1"/>
      </c>
      <c r="AZ98" s="14">
        <f ca="1"/>
      </c>
      <c r="BB98">
        <f ca="1"/>
      </c>
      <c r="BC98">
        <f ca="1"/>
      </c>
      <c r="BD98">
        <f ca="1"/>
      </c>
      <c r="BF98" s="7">
        <f ca="1"/>
      </c>
      <c r="BG98" s="14">
        <f ca="1"/>
      </c>
      <c r="BH98" s="14">
        <f ca="1"/>
      </c>
      <c r="BI98" s="14">
        <f ca="1"/>
      </c>
      <c r="BJ98" s="14">
        <f ca="1"/>
      </c>
      <c r="BK98" s="14">
        <f ca="1"/>
      </c>
    </row>
    <row r="99" spans="28:63" x14ac:dyDescent="0.55000000000000004">
      <c r="AB99">
        <f ca="1"/>
      </c>
      <c r="AC99">
        <f ca="1"/>
      </c>
      <c r="AD99">
        <f ca="1"/>
      </c>
      <c r="AE99">
        <f ca="1"/>
      </c>
      <c r="AF99">
        <f ca="1"/>
      </c>
      <c r="AG99">
        <f ca="1"/>
      </c>
      <c r="AH99">
        <f ca="1"/>
      </c>
      <c r="AL99" s="7">
        <f ca="1"/>
      </c>
      <c r="AM99" s="14">
        <f ca="1"/>
      </c>
      <c r="AN99" s="14">
        <f ca="1"/>
      </c>
      <c r="AO99" s="14">
        <f ca="1"/>
      </c>
      <c r="AP99" s="14">
        <f ca="1"/>
      </c>
      <c r="AQ99" s="14">
        <f ca="1"/>
      </c>
      <c r="AR99" s="14">
        <f ca="1"/>
      </c>
      <c r="AV99" s="14">
        <f ca="1"/>
      </c>
      <c r="AW99" s="14">
        <f ca="1"/>
      </c>
      <c r="AX99" s="14">
        <f ca="1"/>
      </c>
      <c r="AY99" s="14">
        <f ca="1"/>
      </c>
      <c r="AZ99" s="14">
        <f ca="1"/>
      </c>
      <c r="BB99">
        <f ca="1"/>
      </c>
      <c r="BC99">
        <f ca="1"/>
      </c>
      <c r="BD99">
        <f ca="1"/>
      </c>
      <c r="BF99" s="7">
        <f ca="1"/>
      </c>
      <c r="BG99" s="14">
        <f ca="1"/>
      </c>
      <c r="BH99" s="14">
        <f ca="1"/>
      </c>
      <c r="BI99" s="14">
        <f ca="1"/>
      </c>
      <c r="BJ99" s="14">
        <f ca="1"/>
      </c>
      <c r="BK99" s="14">
        <f ca="1"/>
      </c>
    </row>
    <row r="100" spans="28:63" x14ac:dyDescent="0.55000000000000004">
      <c r="AB100">
        <f ca="1"/>
      </c>
      <c r="AC100">
        <f ca="1"/>
      </c>
      <c r="AD100">
        <f ca="1"/>
      </c>
      <c r="AE100">
        <f ca="1"/>
      </c>
      <c r="AF100">
        <f ca="1"/>
      </c>
      <c r="AG100">
        <f ca="1"/>
      </c>
      <c r="AH100">
        <f ca="1"/>
      </c>
      <c r="AL100" s="7">
        <f ca="1"/>
      </c>
      <c r="AM100" s="14">
        <f ca="1"/>
      </c>
      <c r="AN100" s="14">
        <f ca="1"/>
      </c>
      <c r="AO100" s="14">
        <f ca="1"/>
      </c>
      <c r="AP100" s="14">
        <f ca="1"/>
      </c>
      <c r="AQ100" s="14">
        <f ca="1"/>
      </c>
      <c r="AR100" s="14">
        <f ca="1"/>
      </c>
      <c r="AV100" s="14">
        <f ca="1"/>
      </c>
      <c r="AW100" s="14">
        <f ca="1"/>
      </c>
      <c r="AX100" s="14">
        <f ca="1"/>
      </c>
      <c r="AY100" s="14">
        <f ca="1"/>
      </c>
      <c r="AZ100" s="14">
        <f ca="1"/>
      </c>
      <c r="BB100">
        <f ca="1"/>
      </c>
      <c r="BC100">
        <f ca="1"/>
      </c>
      <c r="BD100">
        <f ca="1"/>
      </c>
      <c r="BF100" s="7">
        <f ca="1"/>
      </c>
      <c r="BG100" s="14">
        <f ca="1"/>
      </c>
      <c r="BH100" s="14">
        <f ca="1"/>
      </c>
      <c r="BI100" s="14">
        <f ca="1"/>
      </c>
      <c r="BJ100" s="14">
        <f ca="1"/>
      </c>
      <c r="BK100" s="14">
        <f ca="1"/>
      </c>
    </row>
    <row r="101" spans="28:63" x14ac:dyDescent="0.55000000000000004">
      <c r="AB101">
        <f ca="1"/>
      </c>
      <c r="AC101">
        <f ca="1"/>
      </c>
      <c r="AD101">
        <f ca="1"/>
      </c>
      <c r="AE101">
        <f ca="1"/>
      </c>
      <c r="AF101">
        <f ca="1"/>
      </c>
      <c r="AG101">
        <f ca="1"/>
      </c>
      <c r="AH101">
        <f ca="1"/>
      </c>
      <c r="AL101" s="7">
        <f ca="1"/>
      </c>
      <c r="AM101" s="14">
        <f ca="1"/>
      </c>
      <c r="AN101" s="14">
        <f ca="1"/>
      </c>
      <c r="AO101" s="14">
        <f ca="1"/>
      </c>
      <c r="AP101" s="14">
        <f ca="1"/>
      </c>
      <c r="AQ101" s="14">
        <f ca="1"/>
      </c>
      <c r="AR101" s="14">
        <f ca="1"/>
      </c>
      <c r="AV101" s="14">
        <f ca="1"/>
      </c>
      <c r="AW101" s="14">
        <f ca="1"/>
      </c>
      <c r="AX101" s="14">
        <f ca="1"/>
      </c>
      <c r="AY101" s="14">
        <f ca="1"/>
      </c>
      <c r="AZ101" s="14">
        <f ca="1"/>
      </c>
      <c r="BB101">
        <f ca="1"/>
      </c>
      <c r="BC101">
        <f ca="1"/>
      </c>
      <c r="BD101">
        <f ca="1"/>
      </c>
      <c r="BF101" s="7">
        <f ca="1"/>
      </c>
      <c r="BG101" s="14">
        <f ca="1"/>
      </c>
      <c r="BH101" s="14">
        <f ca="1"/>
      </c>
      <c r="BI101" s="14">
        <f ca="1"/>
      </c>
      <c r="BJ101" s="14">
        <f ca="1"/>
      </c>
      <c r="BK101" s="14">
        <f ca="1"/>
      </c>
    </row>
    <row r="102" spans="28:63" x14ac:dyDescent="0.55000000000000004">
      <c r="AB102">
        <f ca="1"/>
      </c>
      <c r="AC102">
        <f ca="1"/>
      </c>
      <c r="AD102">
        <f ca="1"/>
      </c>
      <c r="AE102">
        <f ca="1"/>
      </c>
      <c r="AF102">
        <f ca="1"/>
      </c>
      <c r="AG102">
        <f ca="1"/>
      </c>
      <c r="AH102">
        <f ca="1"/>
      </c>
      <c r="AL102" s="7">
        <f ca="1"/>
      </c>
      <c r="AM102" s="14">
        <f ca="1"/>
      </c>
      <c r="AN102" s="14">
        <f ca="1"/>
      </c>
      <c r="AO102" s="14">
        <f ca="1"/>
      </c>
      <c r="AP102" s="14">
        <f ca="1"/>
      </c>
      <c r="AQ102" s="14">
        <f ca="1"/>
      </c>
      <c r="AR102" s="14">
        <f ca="1"/>
      </c>
      <c r="AV102" s="14">
        <f ca="1"/>
      </c>
      <c r="AW102" s="14">
        <f ca="1"/>
      </c>
      <c r="AX102" s="14">
        <f ca="1"/>
      </c>
      <c r="AY102" s="14">
        <f ca="1"/>
      </c>
      <c r="AZ102" s="14">
        <f ca="1"/>
      </c>
      <c r="BB102">
        <f ca="1"/>
      </c>
      <c r="BC102">
        <f ca="1"/>
      </c>
      <c r="BD102">
        <f ca="1"/>
      </c>
      <c r="BF102" s="7">
        <f ca="1"/>
      </c>
      <c r="BG102" s="14">
        <f ca="1"/>
      </c>
      <c r="BH102" s="14">
        <f ca="1"/>
      </c>
      <c r="BI102" s="14">
        <f ca="1"/>
      </c>
      <c r="BJ102" s="14">
        <f ca="1"/>
      </c>
      <c r="BK102" s="14">
        <f ca="1"/>
      </c>
    </row>
    <row r="103" spans="28:63" x14ac:dyDescent="0.55000000000000004">
      <c r="AB103">
        <f ca="1"/>
      </c>
      <c r="AC103">
        <f ca="1"/>
      </c>
      <c r="AD103">
        <f ca="1"/>
      </c>
      <c r="AE103">
        <f ca="1"/>
      </c>
      <c r="AF103">
        <f ca="1"/>
      </c>
      <c r="AG103">
        <f ca="1"/>
      </c>
      <c r="AH103">
        <f ca="1"/>
      </c>
      <c r="AL103" s="7">
        <f ca="1"/>
      </c>
      <c r="AM103" s="14">
        <f ca="1"/>
      </c>
      <c r="AN103" s="14">
        <f ca="1"/>
      </c>
      <c r="AO103" s="14">
        <f ca="1"/>
      </c>
      <c r="AP103" s="14">
        <f ca="1"/>
      </c>
      <c r="AQ103" s="14">
        <f ca="1"/>
      </c>
      <c r="AR103" s="14">
        <f ca="1"/>
      </c>
      <c r="AV103" s="14">
        <f ca="1"/>
      </c>
      <c r="AW103" s="14">
        <f ca="1"/>
      </c>
      <c r="AX103" s="14">
        <f ca="1"/>
      </c>
      <c r="AY103" s="14">
        <f ca="1"/>
      </c>
      <c r="AZ103" s="14">
        <f ca="1"/>
      </c>
      <c r="BB103">
        <f ca="1"/>
      </c>
      <c r="BC103">
        <f ca="1"/>
      </c>
      <c r="BD103">
        <f ca="1"/>
      </c>
      <c r="BF103" s="7">
        <f ca="1"/>
      </c>
      <c r="BG103" s="14">
        <f ca="1"/>
      </c>
      <c r="BH103" s="14">
        <f ca="1"/>
      </c>
      <c r="BI103" s="14">
        <f ca="1"/>
      </c>
      <c r="BJ103" s="14">
        <f ca="1"/>
      </c>
      <c r="BK103" s="14">
        <f ca="1"/>
      </c>
    </row>
    <row r="104" spans="28:63" x14ac:dyDescent="0.55000000000000004">
      <c r="AB104">
        <f ca="1"/>
      </c>
      <c r="AC104">
        <f ca="1"/>
      </c>
      <c r="AD104">
        <f ca="1"/>
      </c>
      <c r="AE104">
        <f ca="1"/>
      </c>
      <c r="AF104">
        <f ca="1"/>
      </c>
      <c r="AG104">
        <f ca="1"/>
      </c>
      <c r="AH104">
        <f ca="1"/>
      </c>
      <c r="AL104" s="7">
        <f ca="1"/>
      </c>
      <c r="AM104" s="14">
        <f ca="1"/>
      </c>
      <c r="AN104" s="14">
        <f ca="1"/>
      </c>
      <c r="AO104" s="14">
        <f ca="1"/>
      </c>
      <c r="AP104" s="14">
        <f ca="1"/>
      </c>
      <c r="AQ104" s="14">
        <f ca="1"/>
      </c>
      <c r="AR104" s="14">
        <f ca="1"/>
      </c>
      <c r="AV104" s="14">
        <f ca="1"/>
      </c>
      <c r="AW104" s="14">
        <f ca="1"/>
      </c>
      <c r="AX104" s="14">
        <f ca="1"/>
      </c>
      <c r="AY104" s="14">
        <f ca="1"/>
      </c>
      <c r="AZ104" s="14">
        <f ca="1"/>
      </c>
      <c r="BB104">
        <f ca="1"/>
      </c>
      <c r="BC104">
        <f ca="1"/>
      </c>
      <c r="BD104">
        <f ca="1"/>
      </c>
      <c r="BF104" s="7">
        <f ca="1"/>
      </c>
      <c r="BG104" s="14">
        <f ca="1"/>
      </c>
      <c r="BH104" s="14">
        <f ca="1"/>
      </c>
      <c r="BI104" s="14">
        <f ca="1"/>
      </c>
      <c r="BJ104" s="14">
        <f ca="1"/>
      </c>
      <c r="BK104" s="14">
        <f ca="1"/>
      </c>
    </row>
    <row r="105" spans="28:63" x14ac:dyDescent="0.55000000000000004">
      <c r="AB105">
        <f ca="1"/>
      </c>
      <c r="AC105">
        <f ca="1"/>
      </c>
      <c r="AD105">
        <f ca="1"/>
      </c>
      <c r="AE105">
        <f ca="1"/>
      </c>
      <c r="AF105">
        <f ca="1"/>
      </c>
      <c r="AG105">
        <f ca="1"/>
      </c>
      <c r="AH105">
        <f ca="1"/>
      </c>
      <c r="AL105" s="7">
        <f ca="1"/>
      </c>
      <c r="AM105" s="14">
        <f ca="1"/>
      </c>
      <c r="AN105" s="14">
        <f ca="1"/>
      </c>
      <c r="AO105" s="14">
        <f ca="1"/>
      </c>
      <c r="AP105" s="14">
        <f ca="1"/>
      </c>
      <c r="AQ105" s="14">
        <f ca="1"/>
      </c>
      <c r="AR105" s="14">
        <f ca="1"/>
      </c>
      <c r="AV105" s="14">
        <f ca="1"/>
      </c>
      <c r="AW105" s="14">
        <f ca="1"/>
      </c>
      <c r="AX105" s="14">
        <f ca="1"/>
      </c>
      <c r="AY105" s="14">
        <f ca="1"/>
      </c>
      <c r="AZ105" s="14">
        <f ca="1"/>
      </c>
      <c r="BB105">
        <f ca="1"/>
      </c>
      <c r="BC105">
        <f ca="1"/>
      </c>
      <c r="BD105">
        <f ca="1"/>
      </c>
      <c r="BF105" s="7">
        <f ca="1"/>
      </c>
      <c r="BG105" s="14">
        <f ca="1"/>
      </c>
      <c r="BH105" s="14">
        <f ca="1"/>
      </c>
      <c r="BI105" s="14">
        <f ca="1"/>
      </c>
      <c r="BJ105" s="14">
        <f ca="1"/>
      </c>
      <c r="BK105" s="14">
        <f ca="1"/>
      </c>
    </row>
    <row r="106" spans="28:63" x14ac:dyDescent="0.55000000000000004">
      <c r="AB106">
        <f ca="1"/>
      </c>
      <c r="AC106">
        <f ca="1"/>
      </c>
      <c r="AD106">
        <f ca="1"/>
      </c>
      <c r="AE106">
        <f ca="1"/>
      </c>
      <c r="AF106">
        <f ca="1"/>
      </c>
      <c r="AG106">
        <f ca="1"/>
      </c>
      <c r="AH106">
        <f ca="1"/>
      </c>
      <c r="AL106" s="7">
        <f ca="1"/>
      </c>
      <c r="AM106" s="14">
        <f ca="1"/>
      </c>
      <c r="AN106" s="14">
        <f ca="1"/>
      </c>
      <c r="AO106" s="14">
        <f ca="1"/>
      </c>
      <c r="AP106" s="14">
        <f ca="1"/>
      </c>
      <c r="AQ106" s="14">
        <f ca="1"/>
      </c>
      <c r="AR106" s="14">
        <f ca="1"/>
      </c>
      <c r="AV106" s="14">
        <f ca="1"/>
      </c>
      <c r="AW106" s="14">
        <f ca="1"/>
      </c>
      <c r="AX106" s="14">
        <f ca="1"/>
      </c>
      <c r="AY106" s="14">
        <f ca="1"/>
      </c>
      <c r="AZ106" s="14">
        <f ca="1"/>
      </c>
      <c r="BB106">
        <f ca="1"/>
      </c>
      <c r="BC106">
        <f ca="1"/>
      </c>
      <c r="BD106">
        <f ca="1"/>
      </c>
      <c r="BF106" s="7">
        <f ca="1"/>
      </c>
      <c r="BG106" s="14">
        <f ca="1"/>
      </c>
      <c r="BH106" s="14">
        <f ca="1"/>
      </c>
      <c r="BI106" s="14">
        <f ca="1"/>
      </c>
      <c r="BJ106" s="14">
        <f ca="1"/>
      </c>
      <c r="BK106" s="14">
        <f ca="1"/>
      </c>
    </row>
    <row r="107" spans="28:63" x14ac:dyDescent="0.55000000000000004">
      <c r="AB107">
        <f ca="1"/>
      </c>
      <c r="AC107">
        <f ca="1"/>
      </c>
      <c r="AD107">
        <f ca="1"/>
      </c>
      <c r="AE107">
        <f ca="1"/>
      </c>
      <c r="AF107">
        <f ca="1"/>
      </c>
      <c r="AG107">
        <f ca="1"/>
      </c>
      <c r="AH107">
        <f ca="1"/>
      </c>
      <c r="AL107" s="7">
        <f ca="1"/>
      </c>
      <c r="AM107" s="14">
        <f ca="1"/>
      </c>
      <c r="AN107" s="14">
        <f ca="1"/>
      </c>
      <c r="AO107" s="14">
        <f ca="1"/>
      </c>
      <c r="AP107" s="14">
        <f ca="1"/>
      </c>
      <c r="AQ107" s="14">
        <f ca="1"/>
      </c>
      <c r="AR107" s="14">
        <f ca="1"/>
      </c>
      <c r="AV107" s="14">
        <f ca="1"/>
      </c>
      <c r="AW107" s="14">
        <f ca="1"/>
      </c>
      <c r="AX107" s="14">
        <f ca="1"/>
      </c>
      <c r="AY107" s="14">
        <f ca="1"/>
      </c>
      <c r="AZ107" s="14">
        <f ca="1"/>
      </c>
      <c r="BB107">
        <f ca="1"/>
      </c>
      <c r="BC107">
        <f ca="1"/>
      </c>
      <c r="BD107">
        <f ca="1"/>
      </c>
      <c r="BF107" s="7">
        <f ca="1"/>
      </c>
      <c r="BG107" s="14">
        <f ca="1"/>
      </c>
      <c r="BH107" s="14">
        <f ca="1"/>
      </c>
      <c r="BI107" s="14">
        <f ca="1"/>
      </c>
      <c r="BJ107" s="14">
        <f ca="1"/>
      </c>
      <c r="BK107" s="14">
        <f ca="1"/>
      </c>
    </row>
    <row r="108" spans="28:63" x14ac:dyDescent="0.55000000000000004">
      <c r="AB108">
        <f ca="1"/>
      </c>
      <c r="AC108">
        <f ca="1"/>
      </c>
      <c r="AD108">
        <f ca="1"/>
      </c>
      <c r="AE108">
        <f ca="1"/>
      </c>
      <c r="AF108">
        <f ca="1"/>
      </c>
      <c r="AG108">
        <f ca="1"/>
      </c>
      <c r="AH108">
        <f ca="1"/>
      </c>
      <c r="AL108" s="7">
        <f ca="1"/>
      </c>
      <c r="AM108" s="14">
        <f ca="1"/>
      </c>
      <c r="AN108" s="14">
        <f ca="1"/>
      </c>
      <c r="AO108" s="14">
        <f ca="1"/>
      </c>
      <c r="AP108" s="14">
        <f ca="1"/>
      </c>
      <c r="AQ108" s="14">
        <f ca="1"/>
      </c>
      <c r="AR108" s="14">
        <f ca="1"/>
      </c>
      <c r="AV108" s="14">
        <f ca="1"/>
      </c>
      <c r="AW108" s="14">
        <f ca="1"/>
      </c>
      <c r="AX108" s="14">
        <f ca="1"/>
      </c>
      <c r="AY108" s="14">
        <f ca="1"/>
      </c>
      <c r="AZ108" s="14">
        <f ca="1"/>
      </c>
      <c r="BB108">
        <f ca="1"/>
      </c>
      <c r="BC108">
        <f ca="1"/>
      </c>
      <c r="BD108">
        <f ca="1"/>
      </c>
      <c r="BF108" s="7">
        <f ca="1"/>
      </c>
      <c r="BG108" s="14">
        <f ca="1"/>
      </c>
      <c r="BH108" s="14">
        <f ca="1"/>
      </c>
      <c r="BI108" s="14">
        <f ca="1"/>
      </c>
      <c r="BJ108" s="14">
        <f ca="1"/>
      </c>
      <c r="BK108" s="14">
        <f ca="1"/>
      </c>
    </row>
    <row r="109" spans="28:63" x14ac:dyDescent="0.55000000000000004">
      <c r="AB109">
        <f ca="1"/>
      </c>
      <c r="AC109">
        <f ca="1"/>
      </c>
      <c r="AD109">
        <f ca="1"/>
      </c>
      <c r="AE109">
        <f ca="1"/>
      </c>
      <c r="AF109">
        <f ca="1"/>
      </c>
      <c r="AG109">
        <f ca="1"/>
      </c>
      <c r="AH109">
        <f ca="1"/>
      </c>
      <c r="AL109" s="7">
        <f ca="1"/>
      </c>
      <c r="AM109" s="14">
        <f ca="1"/>
      </c>
      <c r="AN109" s="14">
        <f ca="1"/>
      </c>
      <c r="AO109" s="14">
        <f ca="1"/>
      </c>
      <c r="AP109" s="14">
        <f ca="1"/>
      </c>
      <c r="AQ109" s="14">
        <f ca="1"/>
      </c>
      <c r="AR109" s="14">
        <f ca="1"/>
      </c>
      <c r="AV109" s="14">
        <f ca="1"/>
      </c>
      <c r="AW109" s="14">
        <f ca="1"/>
      </c>
      <c r="AX109" s="14">
        <f ca="1"/>
      </c>
      <c r="AY109" s="14">
        <f ca="1"/>
      </c>
      <c r="AZ109" s="14">
        <f ca="1"/>
      </c>
      <c r="BB109">
        <f ca="1"/>
      </c>
      <c r="BC109">
        <f ca="1"/>
      </c>
      <c r="BD109">
        <f ca="1"/>
      </c>
      <c r="BF109" s="7">
        <f ca="1"/>
      </c>
      <c r="BG109" s="14">
        <f ca="1"/>
      </c>
      <c r="BH109" s="14">
        <f ca="1"/>
      </c>
      <c r="BI109" s="14">
        <f ca="1"/>
      </c>
      <c r="BJ109" s="14">
        <f ca="1"/>
      </c>
      <c r="BK109" s="14">
        <f ca="1"/>
      </c>
    </row>
    <row r="110" spans="28:63" x14ac:dyDescent="0.55000000000000004">
      <c r="AB110">
        <f ca="1"/>
      </c>
      <c r="AC110">
        <f ca="1"/>
      </c>
      <c r="AD110">
        <f ca="1"/>
      </c>
      <c r="AE110">
        <f ca="1"/>
      </c>
      <c r="AF110">
        <f ca="1"/>
      </c>
      <c r="AG110">
        <f ca="1"/>
      </c>
      <c r="AH110">
        <f ca="1"/>
      </c>
      <c r="AL110" s="7">
        <f ca="1"/>
      </c>
      <c r="AM110" s="14">
        <f ca="1"/>
      </c>
      <c r="AN110" s="14">
        <f ca="1"/>
      </c>
      <c r="AO110" s="14">
        <f ca="1"/>
      </c>
      <c r="AP110" s="14">
        <f ca="1"/>
      </c>
      <c r="AQ110" s="14">
        <f ca="1"/>
      </c>
      <c r="AR110" s="14">
        <f ca="1"/>
      </c>
      <c r="AV110" s="14">
        <f ca="1"/>
      </c>
      <c r="AW110" s="14">
        <f ca="1"/>
      </c>
      <c r="AX110" s="14">
        <f ca="1"/>
      </c>
      <c r="AY110" s="14">
        <f ca="1"/>
      </c>
      <c r="AZ110" s="14">
        <f ca="1"/>
      </c>
      <c r="BB110">
        <f ca="1"/>
      </c>
      <c r="BC110">
        <f ca="1"/>
      </c>
      <c r="BD110">
        <f ca="1"/>
      </c>
      <c r="BF110" s="7">
        <f ca="1"/>
      </c>
      <c r="BG110" s="14">
        <f ca="1"/>
      </c>
      <c r="BH110" s="14">
        <f ca="1"/>
      </c>
      <c r="BI110" s="14">
        <f ca="1"/>
      </c>
      <c r="BJ110" s="14">
        <f ca="1"/>
      </c>
      <c r="BK110" s="14">
        <f ca="1"/>
      </c>
    </row>
    <row r="111" spans="28:63" x14ac:dyDescent="0.55000000000000004">
      <c r="AB111">
        <f ca="1"/>
      </c>
      <c r="AC111">
        <f ca="1"/>
      </c>
      <c r="AD111">
        <f ca="1"/>
      </c>
      <c r="AE111">
        <f ca="1"/>
      </c>
      <c r="AF111">
        <f ca="1"/>
      </c>
      <c r="AG111">
        <f ca="1"/>
      </c>
      <c r="AH111">
        <f ca="1"/>
      </c>
      <c r="AL111" s="7">
        <f ca="1"/>
      </c>
      <c r="AM111" s="14">
        <f ca="1"/>
      </c>
      <c r="AN111" s="14">
        <f ca="1"/>
      </c>
      <c r="AO111" s="14">
        <f ca="1"/>
      </c>
      <c r="AP111" s="14">
        <f ca="1"/>
      </c>
      <c r="AQ111" s="14">
        <f ca="1"/>
      </c>
      <c r="AR111" s="14">
        <f ca="1"/>
      </c>
      <c r="AV111" s="14">
        <f ca="1"/>
      </c>
      <c r="AW111" s="14">
        <f ca="1"/>
      </c>
      <c r="AX111" s="14">
        <f ca="1"/>
      </c>
      <c r="AY111" s="14">
        <f ca="1"/>
      </c>
      <c r="AZ111" s="14">
        <f ca="1"/>
      </c>
      <c r="BB111">
        <f ca="1"/>
      </c>
      <c r="BC111">
        <f ca="1"/>
      </c>
      <c r="BD111">
        <f ca="1"/>
      </c>
      <c r="BF111" s="7">
        <f ca="1"/>
      </c>
      <c r="BG111" s="14">
        <f ca="1"/>
      </c>
      <c r="BH111" s="14">
        <f ca="1"/>
      </c>
      <c r="BI111" s="14">
        <f ca="1"/>
      </c>
      <c r="BJ111" s="14">
        <f ca="1"/>
      </c>
      <c r="BK111" s="14">
        <f ca="1"/>
      </c>
    </row>
    <row r="112" spans="28:63" x14ac:dyDescent="0.55000000000000004">
      <c r="AB112">
        <f ca="1"/>
      </c>
      <c r="AC112">
        <f ca="1"/>
      </c>
      <c r="AD112">
        <f ca="1"/>
      </c>
      <c r="AE112">
        <f ca="1"/>
      </c>
      <c r="AF112">
        <f ca="1"/>
      </c>
      <c r="AG112">
        <f ca="1"/>
      </c>
      <c r="AH112">
        <f ca="1"/>
      </c>
      <c r="AL112" s="7">
        <f ca="1"/>
      </c>
      <c r="AM112" s="14">
        <f ca="1"/>
      </c>
      <c r="AN112" s="14">
        <f ca="1"/>
      </c>
      <c r="AO112" s="14">
        <f ca="1"/>
      </c>
      <c r="AP112" s="14">
        <f ca="1"/>
      </c>
      <c r="AQ112" s="14">
        <f ca="1"/>
      </c>
      <c r="AR112" s="14">
        <f ca="1"/>
      </c>
      <c r="AV112" s="14">
        <f ca="1"/>
      </c>
      <c r="AW112" s="14">
        <f ca="1"/>
      </c>
      <c r="AX112" s="14">
        <f ca="1"/>
      </c>
      <c r="AY112" s="14">
        <f ca="1"/>
      </c>
      <c r="AZ112" s="14">
        <f ca="1"/>
      </c>
      <c r="BB112">
        <f ca="1"/>
      </c>
      <c r="BC112">
        <f ca="1"/>
      </c>
      <c r="BD112">
        <f ca="1"/>
      </c>
      <c r="BF112" s="7">
        <f ca="1"/>
      </c>
      <c r="BG112" s="14">
        <f ca="1"/>
      </c>
      <c r="BH112" s="14">
        <f ca="1"/>
      </c>
      <c r="BI112" s="14">
        <f ca="1"/>
      </c>
      <c r="BJ112" s="14">
        <f ca="1"/>
      </c>
      <c r="BK112" s="14">
        <f ca="1"/>
      </c>
    </row>
    <row r="113" spans="28:63" x14ac:dyDescent="0.55000000000000004">
      <c r="AB113">
        <f ca="1"/>
      </c>
      <c r="AC113">
        <f ca="1"/>
      </c>
      <c r="AD113">
        <f ca="1"/>
      </c>
      <c r="AE113">
        <f ca="1"/>
      </c>
      <c r="AF113">
        <f ca="1"/>
      </c>
      <c r="AG113">
        <f ca="1"/>
      </c>
      <c r="AH113">
        <f ca="1"/>
      </c>
      <c r="AL113" s="7">
        <f ca="1"/>
      </c>
      <c r="AM113" s="14">
        <f ca="1"/>
      </c>
      <c r="AN113" s="14">
        <f ca="1"/>
      </c>
      <c r="AO113" s="14">
        <f ca="1"/>
      </c>
      <c r="AP113" s="14">
        <f ca="1"/>
      </c>
      <c r="AQ113" s="14">
        <f ca="1"/>
      </c>
      <c r="AR113" s="14">
        <f ca="1"/>
      </c>
      <c r="AV113" s="14">
        <f ca="1"/>
      </c>
      <c r="AW113" s="14">
        <f ca="1"/>
      </c>
      <c r="AX113" s="14">
        <f ca="1"/>
      </c>
      <c r="AY113" s="14">
        <f ca="1"/>
      </c>
      <c r="AZ113" s="14">
        <f ca="1"/>
      </c>
      <c r="BB113">
        <f ca="1"/>
      </c>
      <c r="BC113">
        <f ca="1"/>
      </c>
      <c r="BD113">
        <f ca="1"/>
      </c>
      <c r="BF113" s="7">
        <f ca="1"/>
      </c>
      <c r="BG113" s="14">
        <f ca="1"/>
      </c>
      <c r="BH113" s="14">
        <f ca="1"/>
      </c>
      <c r="BI113" s="14">
        <f ca="1"/>
      </c>
      <c r="BJ113" s="14">
        <f ca="1"/>
      </c>
      <c r="BK113" s="14">
        <f ca="1"/>
      </c>
    </row>
    <row r="114" spans="28:63" x14ac:dyDescent="0.55000000000000004">
      <c r="AB114">
        <f ca="1"/>
      </c>
      <c r="AC114">
        <f ca="1"/>
      </c>
      <c r="AD114">
        <f ca="1"/>
      </c>
      <c r="AE114">
        <f ca="1"/>
      </c>
      <c r="AF114">
        <f ca="1"/>
      </c>
      <c r="AG114">
        <f ca="1"/>
      </c>
      <c r="AH114">
        <f ca="1"/>
      </c>
      <c r="AL114" s="7">
        <f ca="1"/>
      </c>
      <c r="AM114" s="14">
        <f ca="1"/>
      </c>
      <c r="AN114" s="14">
        <f ca="1"/>
      </c>
      <c r="AO114" s="14">
        <f ca="1"/>
      </c>
      <c r="AP114" s="14">
        <f ca="1"/>
      </c>
      <c r="AQ114" s="14">
        <f ca="1"/>
      </c>
      <c r="AR114" s="14">
        <f ca="1"/>
      </c>
      <c r="AV114" s="14">
        <f ca="1"/>
      </c>
      <c r="AW114" s="14">
        <f ca="1"/>
      </c>
      <c r="AX114" s="14">
        <f ca="1"/>
      </c>
      <c r="AY114" s="14">
        <f ca="1"/>
      </c>
      <c r="AZ114" s="14">
        <f ca="1"/>
      </c>
      <c r="BB114">
        <f ca="1"/>
      </c>
      <c r="BC114">
        <f ca="1"/>
      </c>
      <c r="BD114">
        <f ca="1"/>
      </c>
      <c r="BF114" s="7">
        <f ca="1"/>
      </c>
      <c r="BG114" s="14">
        <f ca="1"/>
      </c>
      <c r="BH114" s="14">
        <f ca="1"/>
      </c>
      <c r="BI114" s="14">
        <f ca="1"/>
      </c>
      <c r="BJ114" s="14">
        <f ca="1"/>
      </c>
      <c r="BK114" s="14">
        <f ca="1"/>
      </c>
    </row>
    <row r="115" spans="28:63" x14ac:dyDescent="0.55000000000000004">
      <c r="AB115">
        <f ca="1"/>
      </c>
      <c r="AC115">
        <f ca="1"/>
      </c>
      <c r="AD115">
        <f ca="1"/>
      </c>
      <c r="AE115">
        <f ca="1"/>
      </c>
      <c r="AF115">
        <f ca="1"/>
      </c>
      <c r="AG115">
        <f ca="1"/>
      </c>
      <c r="AH115">
        <f ca="1"/>
      </c>
      <c r="AL115" s="7">
        <f ca="1"/>
      </c>
      <c r="AM115" s="14">
        <f ca="1"/>
      </c>
      <c r="AN115" s="14">
        <f ca="1"/>
      </c>
      <c r="AO115" s="14">
        <f ca="1"/>
      </c>
      <c r="AP115" s="14">
        <f ca="1"/>
      </c>
      <c r="AQ115" s="14">
        <f ca="1"/>
      </c>
      <c r="AR115" s="14">
        <f ca="1"/>
      </c>
      <c r="AV115" s="14">
        <f ca="1"/>
      </c>
      <c r="AW115" s="14">
        <f ca="1"/>
      </c>
      <c r="AX115" s="14">
        <f ca="1"/>
      </c>
      <c r="AY115" s="14">
        <f ca="1"/>
      </c>
      <c r="AZ115" s="14">
        <f ca="1"/>
      </c>
      <c r="BB115">
        <f ca="1"/>
      </c>
      <c r="BC115">
        <f ca="1"/>
      </c>
      <c r="BD115">
        <f ca="1"/>
      </c>
      <c r="BF115" s="7">
        <f ca="1"/>
      </c>
      <c r="BG115" s="14">
        <f ca="1"/>
      </c>
      <c r="BH115" s="14">
        <f ca="1"/>
      </c>
      <c r="BI115" s="14">
        <f ca="1"/>
      </c>
      <c r="BJ115" s="14">
        <f ca="1"/>
      </c>
      <c r="BK115" s="14">
        <f ca="1"/>
      </c>
    </row>
    <row r="116" spans="28:63" x14ac:dyDescent="0.55000000000000004">
      <c r="AB116">
        <f ca="1"/>
      </c>
      <c r="AC116">
        <f ca="1"/>
      </c>
      <c r="AD116">
        <f ca="1"/>
      </c>
      <c r="AE116">
        <f ca="1"/>
      </c>
      <c r="AF116">
        <f ca="1"/>
      </c>
      <c r="AG116">
        <f ca="1"/>
      </c>
      <c r="AH116">
        <f ca="1"/>
      </c>
      <c r="AL116" s="7">
        <f ca="1"/>
      </c>
      <c r="AM116" s="14">
        <f ca="1"/>
      </c>
      <c r="AN116" s="14">
        <f ca="1"/>
      </c>
      <c r="AO116" s="14">
        <f ca="1"/>
      </c>
      <c r="AP116" s="14">
        <f ca="1"/>
      </c>
      <c r="AQ116" s="14">
        <f ca="1"/>
      </c>
      <c r="AR116" s="14">
        <f ca="1"/>
      </c>
      <c r="AV116" s="14">
        <f ca="1"/>
      </c>
      <c r="AW116" s="14">
        <f ca="1"/>
      </c>
      <c r="AX116" s="14">
        <f ca="1"/>
      </c>
      <c r="AY116" s="14">
        <f ca="1"/>
      </c>
      <c r="AZ116" s="14">
        <f ca="1"/>
      </c>
      <c r="BB116">
        <f ca="1"/>
      </c>
      <c r="BC116">
        <f ca="1"/>
      </c>
      <c r="BD116">
        <f ca="1"/>
      </c>
      <c r="BF116" s="7">
        <f ca="1"/>
      </c>
      <c r="BG116" s="14">
        <f ca="1"/>
      </c>
      <c r="BH116" s="14">
        <f ca="1"/>
      </c>
      <c r="BI116" s="14">
        <f ca="1"/>
      </c>
      <c r="BJ116" s="14">
        <f ca="1"/>
      </c>
      <c r="BK116" s="14">
        <f ca="1"/>
      </c>
    </row>
    <row r="117" spans="28:63" x14ac:dyDescent="0.55000000000000004">
      <c r="AB117">
        <f ca="1"/>
      </c>
      <c r="AC117">
        <f ca="1"/>
      </c>
      <c r="AD117">
        <f ca="1"/>
      </c>
      <c r="AE117">
        <f ca="1"/>
      </c>
      <c r="AF117">
        <f ca="1"/>
      </c>
      <c r="AG117">
        <f ca="1"/>
      </c>
      <c r="AH117">
        <f ca="1"/>
      </c>
      <c r="AL117" s="7">
        <f ca="1"/>
      </c>
      <c r="AM117" s="14">
        <f ca="1"/>
      </c>
      <c r="AN117" s="14">
        <f ca="1"/>
      </c>
      <c r="AO117" s="14">
        <f ca="1"/>
      </c>
      <c r="AP117" s="14">
        <f ca="1"/>
      </c>
      <c r="AQ117" s="14">
        <f ca="1"/>
      </c>
      <c r="AR117" s="14">
        <f ca="1"/>
      </c>
      <c r="AV117" s="14">
        <f ca="1"/>
      </c>
      <c r="AW117" s="14">
        <f ca="1"/>
      </c>
      <c r="AX117" s="14">
        <f ca="1"/>
      </c>
      <c r="AY117" s="14">
        <f ca="1"/>
      </c>
      <c r="AZ117" s="14">
        <f ca="1"/>
      </c>
      <c r="BB117">
        <f ca="1"/>
      </c>
      <c r="BC117">
        <f ca="1"/>
      </c>
      <c r="BD117">
        <f ca="1"/>
      </c>
      <c r="BF117" s="7">
        <f ca="1"/>
      </c>
      <c r="BG117" s="14">
        <f ca="1"/>
      </c>
      <c r="BH117" s="14">
        <f ca="1"/>
      </c>
      <c r="BI117" s="14">
        <f ca="1"/>
      </c>
      <c r="BJ117" s="14">
        <f ca="1"/>
      </c>
      <c r="BK117" s="14">
        <f ca="1"/>
      </c>
    </row>
    <row r="118" spans="28:63" x14ac:dyDescent="0.55000000000000004">
      <c r="AB118">
        <f ca="1"/>
      </c>
      <c r="AC118">
        <f ca="1"/>
      </c>
      <c r="AD118">
        <f ca="1"/>
      </c>
      <c r="AE118">
        <f ca="1"/>
      </c>
      <c r="AF118">
        <f ca="1"/>
      </c>
      <c r="AG118">
        <f ca="1"/>
      </c>
      <c r="AH118">
        <f ca="1"/>
      </c>
      <c r="AL118" s="7">
        <f ca="1"/>
      </c>
      <c r="AM118" s="14">
        <f ca="1"/>
      </c>
      <c r="AN118" s="14">
        <f ca="1"/>
      </c>
      <c r="AO118" s="14">
        <f ca="1"/>
      </c>
      <c r="AP118" s="14">
        <f ca="1"/>
      </c>
      <c r="AQ118" s="14">
        <f ca="1"/>
      </c>
      <c r="AR118" s="14">
        <f ca="1"/>
      </c>
      <c r="AV118" s="14">
        <f ca="1"/>
      </c>
      <c r="AW118" s="14">
        <f ca="1"/>
      </c>
      <c r="AX118" s="14">
        <f ca="1"/>
      </c>
      <c r="AY118" s="14">
        <f ca="1"/>
      </c>
      <c r="AZ118" s="14">
        <f ca="1"/>
      </c>
      <c r="BB118">
        <f ca="1"/>
      </c>
      <c r="BC118">
        <f ca="1"/>
      </c>
      <c r="BD118">
        <f ca="1"/>
      </c>
      <c r="BF118" s="7">
        <f ca="1"/>
      </c>
      <c r="BG118" s="14">
        <f ca="1"/>
      </c>
      <c r="BH118" s="14">
        <f ca="1"/>
      </c>
      <c r="BI118" s="14">
        <f ca="1"/>
      </c>
      <c r="BJ118" s="14">
        <f ca="1"/>
      </c>
      <c r="BK118" s="14">
        <f ca="1"/>
      </c>
    </row>
    <row r="119" spans="28:63" x14ac:dyDescent="0.55000000000000004">
      <c r="AB119">
        <f ca="1"/>
      </c>
      <c r="AC119">
        <f ca="1"/>
      </c>
      <c r="AD119">
        <f ca="1"/>
      </c>
      <c r="AE119">
        <f ca="1"/>
      </c>
      <c r="AF119">
        <f ca="1"/>
      </c>
      <c r="AG119">
        <f ca="1"/>
      </c>
      <c r="AH119">
        <f ca="1"/>
      </c>
      <c r="AL119" s="7">
        <f ca="1"/>
      </c>
      <c r="AM119" s="14">
        <f ca="1"/>
      </c>
      <c r="AN119" s="14">
        <f ca="1"/>
      </c>
      <c r="AO119" s="14">
        <f ca="1"/>
      </c>
      <c r="AP119" s="14">
        <f ca="1"/>
      </c>
      <c r="AQ119" s="14">
        <f ca="1"/>
      </c>
      <c r="AR119" s="14">
        <f ca="1"/>
      </c>
      <c r="AV119" s="14">
        <f ca="1"/>
      </c>
      <c r="AW119" s="14">
        <f ca="1"/>
      </c>
      <c r="AX119" s="14">
        <f ca="1"/>
      </c>
      <c r="AY119" s="14">
        <f ca="1"/>
      </c>
      <c r="AZ119" s="14">
        <f ca="1"/>
      </c>
      <c r="BB119">
        <f ca="1"/>
      </c>
      <c r="BC119">
        <f ca="1"/>
      </c>
      <c r="BD119">
        <f ca="1"/>
      </c>
      <c r="BF119" s="7">
        <f ca="1"/>
      </c>
      <c r="BG119" s="14">
        <f ca="1"/>
      </c>
      <c r="BH119" s="14">
        <f ca="1"/>
      </c>
      <c r="BI119" s="14">
        <f ca="1"/>
      </c>
      <c r="BJ119" s="14">
        <f ca="1"/>
      </c>
      <c r="BK119" s="14">
        <f ca="1"/>
      </c>
    </row>
    <row r="120" spans="28:63" x14ac:dyDescent="0.55000000000000004">
      <c r="AB120">
        <f ca="1"/>
      </c>
      <c r="AC120">
        <f ca="1"/>
      </c>
      <c r="AD120">
        <f ca="1"/>
      </c>
      <c r="AE120">
        <f ca="1"/>
      </c>
      <c r="AF120">
        <f ca="1"/>
      </c>
      <c r="AG120">
        <f ca="1"/>
      </c>
      <c r="AH120">
        <f ca="1"/>
      </c>
      <c r="AL120" s="7">
        <f ca="1"/>
      </c>
      <c r="AM120" s="14">
        <f ca="1"/>
      </c>
      <c r="AN120" s="14">
        <f ca="1"/>
      </c>
      <c r="AO120" s="14">
        <f ca="1"/>
      </c>
      <c r="AP120" s="14">
        <f ca="1"/>
      </c>
      <c r="AQ120" s="14">
        <f ca="1"/>
      </c>
      <c r="AR120" s="14">
        <f ca="1"/>
      </c>
      <c r="AV120" s="14">
        <f ca="1"/>
      </c>
      <c r="AW120" s="14">
        <f ca="1"/>
      </c>
      <c r="AX120" s="14">
        <f ca="1"/>
      </c>
      <c r="AY120" s="14">
        <f ca="1"/>
      </c>
      <c r="AZ120" s="14">
        <f ca="1"/>
      </c>
      <c r="BB120">
        <f ca="1"/>
      </c>
      <c r="BC120">
        <f ca="1"/>
      </c>
      <c r="BD120">
        <f ca="1"/>
      </c>
      <c r="BF120" s="7">
        <f ca="1"/>
      </c>
      <c r="BG120" s="14">
        <f ca="1"/>
      </c>
      <c r="BH120" s="14">
        <f ca="1"/>
      </c>
      <c r="BI120" s="14">
        <f ca="1"/>
      </c>
      <c r="BJ120" s="14">
        <f ca="1"/>
      </c>
      <c r="BK120" s="14">
        <f ca="1"/>
      </c>
    </row>
    <row r="121" spans="28:63" x14ac:dyDescent="0.55000000000000004">
      <c r="AB121">
        <f ca="1"/>
      </c>
      <c r="AC121">
        <f ca="1"/>
      </c>
      <c r="AD121">
        <f ca="1"/>
      </c>
      <c r="AE121">
        <f ca="1"/>
      </c>
      <c r="AF121">
        <f ca="1"/>
      </c>
      <c r="AG121">
        <f ca="1"/>
      </c>
      <c r="AH121">
        <f ca="1"/>
      </c>
      <c r="AL121" s="7">
        <f ca="1"/>
      </c>
      <c r="AM121" s="14">
        <f ca="1"/>
      </c>
      <c r="AN121" s="14">
        <f ca="1"/>
      </c>
      <c r="AO121" s="14">
        <f ca="1"/>
      </c>
      <c r="AP121" s="14">
        <f ca="1"/>
      </c>
      <c r="AQ121" s="14">
        <f ca="1"/>
      </c>
      <c r="AR121" s="14">
        <f ca="1"/>
      </c>
      <c r="AV121" s="14">
        <f ca="1"/>
      </c>
      <c r="AW121" s="14">
        <f ca="1"/>
      </c>
      <c r="AX121" s="14">
        <f ca="1"/>
      </c>
      <c r="AY121" s="14">
        <f ca="1"/>
      </c>
      <c r="AZ121" s="14">
        <f ca="1"/>
      </c>
      <c r="BB121">
        <f ca="1"/>
      </c>
      <c r="BC121">
        <f ca="1"/>
      </c>
      <c r="BD121">
        <f ca="1"/>
      </c>
      <c r="BF121" s="7">
        <f ca="1"/>
      </c>
      <c r="BG121" s="14">
        <f ca="1"/>
      </c>
      <c r="BH121" s="14">
        <f ca="1"/>
      </c>
      <c r="BI121" s="14">
        <f ca="1"/>
      </c>
      <c r="BJ121" s="14">
        <f ca="1"/>
      </c>
      <c r="BK121" s="14">
        <f ca="1"/>
      </c>
    </row>
    <row r="122" spans="28:63" x14ac:dyDescent="0.55000000000000004">
      <c r="AB122">
        <f ca="1"/>
      </c>
      <c r="AC122">
        <f ca="1"/>
      </c>
      <c r="AD122">
        <f ca="1"/>
      </c>
      <c r="AE122">
        <f ca="1"/>
      </c>
      <c r="AF122">
        <f ca="1"/>
      </c>
      <c r="AG122">
        <f ca="1"/>
      </c>
      <c r="AH122">
        <f ca="1"/>
      </c>
      <c r="AL122" s="7">
        <f ca="1"/>
      </c>
      <c r="AM122" s="14">
        <f ca="1"/>
      </c>
      <c r="AN122" s="14">
        <f ca="1"/>
      </c>
      <c r="AO122" s="14">
        <f ca="1"/>
      </c>
      <c r="AP122" s="14">
        <f ca="1"/>
      </c>
      <c r="AQ122" s="14">
        <f ca="1"/>
      </c>
      <c r="AR122" s="14">
        <f ca="1"/>
      </c>
      <c r="AV122" s="14">
        <f ca="1"/>
      </c>
      <c r="AW122" s="14">
        <f ca="1"/>
      </c>
      <c r="AX122" s="14">
        <f ca="1"/>
      </c>
      <c r="AY122" s="14">
        <f ca="1"/>
      </c>
      <c r="AZ122" s="14">
        <f ca="1"/>
      </c>
      <c r="BB122">
        <f ca="1"/>
      </c>
      <c r="BC122">
        <f ca="1"/>
      </c>
      <c r="BD122">
        <f ca="1"/>
      </c>
      <c r="BF122" s="7">
        <f ca="1"/>
      </c>
      <c r="BG122" s="14">
        <f ca="1"/>
      </c>
      <c r="BH122" s="14">
        <f ca="1"/>
      </c>
      <c r="BI122" s="14">
        <f ca="1"/>
      </c>
      <c r="BJ122" s="14">
        <f ca="1"/>
      </c>
      <c r="BK122" s="14">
        <f ca="1"/>
      </c>
    </row>
    <row r="123" spans="28:63" x14ac:dyDescent="0.55000000000000004">
      <c r="AB123">
        <f ca="1"/>
      </c>
      <c r="AC123">
        <f ca="1"/>
      </c>
      <c r="AD123">
        <f ca="1"/>
      </c>
      <c r="AE123">
        <f ca="1"/>
      </c>
      <c r="AF123">
        <f ca="1"/>
      </c>
      <c r="AG123">
        <f ca="1"/>
      </c>
      <c r="AH123">
        <f ca="1"/>
      </c>
      <c r="AL123" s="7">
        <f ca="1"/>
      </c>
      <c r="AM123" s="14">
        <f ca="1"/>
      </c>
      <c r="AN123" s="14">
        <f ca="1"/>
      </c>
      <c r="AO123" s="14">
        <f ca="1"/>
      </c>
      <c r="AP123" s="14">
        <f ca="1"/>
      </c>
      <c r="AQ123" s="14">
        <f ca="1"/>
      </c>
      <c r="AR123" s="14">
        <f ca="1"/>
      </c>
      <c r="AV123" s="14">
        <f ca="1"/>
      </c>
      <c r="AW123" s="14">
        <f ca="1"/>
      </c>
      <c r="AX123" s="14">
        <f ca="1"/>
      </c>
      <c r="AY123" s="14">
        <f ca="1"/>
      </c>
      <c r="AZ123" s="14">
        <f ca="1"/>
      </c>
      <c r="BB123">
        <f ca="1"/>
      </c>
      <c r="BC123">
        <f ca="1"/>
      </c>
      <c r="BD123">
        <f ca="1"/>
      </c>
      <c r="BF123" s="7">
        <f ca="1"/>
      </c>
      <c r="BG123" s="14">
        <f ca="1"/>
      </c>
      <c r="BH123" s="14">
        <f ca="1"/>
      </c>
      <c r="BI123" s="14">
        <f ca="1"/>
      </c>
      <c r="BJ123" s="14">
        <f ca="1"/>
      </c>
      <c r="BK123" s="14">
        <f ca="1"/>
      </c>
    </row>
    <row r="124" spans="28:63" x14ac:dyDescent="0.55000000000000004">
      <c r="AB124">
        <f ca="1"/>
      </c>
      <c r="AC124">
        <f ca="1"/>
      </c>
      <c r="AD124">
        <f ca="1"/>
      </c>
      <c r="AE124">
        <f ca="1"/>
      </c>
      <c r="AF124">
        <f ca="1"/>
      </c>
      <c r="AG124">
        <f ca="1"/>
      </c>
      <c r="AH124">
        <f ca="1"/>
      </c>
      <c r="AL124" s="7">
        <f ca="1"/>
      </c>
      <c r="AM124" s="14">
        <f ca="1"/>
      </c>
      <c r="AN124" s="14">
        <f ca="1"/>
      </c>
      <c r="AO124" s="14">
        <f ca="1"/>
      </c>
      <c r="AP124" s="14">
        <f ca="1"/>
      </c>
      <c r="AQ124" s="14">
        <f ca="1"/>
      </c>
      <c r="AR124" s="14">
        <f ca="1"/>
      </c>
      <c r="AV124" s="14">
        <f ca="1"/>
      </c>
      <c r="AW124" s="14">
        <f ca="1"/>
      </c>
      <c r="AX124" s="14">
        <f ca="1"/>
      </c>
      <c r="AY124" s="14">
        <f ca="1"/>
      </c>
      <c r="AZ124" s="14">
        <f ca="1"/>
      </c>
      <c r="BB124">
        <f ca="1"/>
      </c>
      <c r="BC124">
        <f ca="1"/>
      </c>
      <c r="BD124">
        <f ca="1"/>
      </c>
      <c r="BF124" s="7">
        <f ca="1"/>
      </c>
      <c r="BG124" s="14">
        <f ca="1"/>
      </c>
      <c r="BH124" s="14">
        <f ca="1"/>
      </c>
      <c r="BI124" s="14">
        <f ca="1"/>
      </c>
      <c r="BJ124" s="14">
        <f ca="1"/>
      </c>
      <c r="BK124" s="14">
        <f ca="1"/>
      </c>
    </row>
    <row r="125" spans="28:63" x14ac:dyDescent="0.55000000000000004">
      <c r="AB125">
        <f ca="1"/>
      </c>
      <c r="AC125">
        <f ca="1"/>
      </c>
      <c r="AD125">
        <f ca="1"/>
      </c>
      <c r="AE125">
        <f ca="1"/>
      </c>
      <c r="AF125">
        <f ca="1"/>
      </c>
      <c r="AG125">
        <f ca="1"/>
      </c>
      <c r="AH125">
        <f ca="1"/>
      </c>
      <c r="AL125" s="7">
        <f ca="1"/>
      </c>
      <c r="AM125" s="14">
        <f ca="1"/>
      </c>
      <c r="AN125" s="14">
        <f ca="1"/>
      </c>
      <c r="AO125" s="14">
        <f ca="1"/>
      </c>
      <c r="AP125" s="14">
        <f ca="1"/>
      </c>
      <c r="AQ125" s="14">
        <f ca="1"/>
      </c>
      <c r="AR125" s="14">
        <f ca="1"/>
      </c>
      <c r="AV125" s="14">
        <f ca="1"/>
      </c>
      <c r="AW125" s="14">
        <f ca="1"/>
      </c>
      <c r="AX125" s="14">
        <f ca="1"/>
      </c>
      <c r="AY125" s="14">
        <f ca="1"/>
      </c>
      <c r="AZ125" s="14">
        <f ca="1"/>
      </c>
      <c r="BB125">
        <f ca="1"/>
      </c>
      <c r="BC125">
        <f ca="1"/>
      </c>
      <c r="BD125">
        <f ca="1"/>
      </c>
      <c r="BF125" s="7">
        <f ca="1"/>
      </c>
      <c r="BG125" s="14">
        <f ca="1"/>
      </c>
      <c r="BH125" s="14">
        <f ca="1"/>
      </c>
      <c r="BI125" s="14">
        <f ca="1"/>
      </c>
      <c r="BJ125" s="14">
        <f ca="1"/>
      </c>
      <c r="BK125" s="14">
        <f ca="1"/>
      </c>
    </row>
    <row r="126" spans="28:63" x14ac:dyDescent="0.55000000000000004">
      <c r="AB126">
        <f ca="1"/>
      </c>
      <c r="AC126">
        <f ca="1"/>
      </c>
      <c r="AD126">
        <f ca="1"/>
      </c>
      <c r="AE126">
        <f ca="1"/>
      </c>
      <c r="AF126">
        <f ca="1"/>
      </c>
      <c r="AG126">
        <f ca="1"/>
      </c>
      <c r="AH126">
        <f ca="1"/>
      </c>
      <c r="AL126" s="7">
        <f ca="1"/>
      </c>
      <c r="AM126" s="14">
        <f ca="1"/>
      </c>
      <c r="AN126" s="14">
        <f ca="1"/>
      </c>
      <c r="AO126" s="14">
        <f ca="1"/>
      </c>
      <c r="AP126" s="14">
        <f ca="1"/>
      </c>
      <c r="AQ126" s="14">
        <f ca="1"/>
      </c>
      <c r="AR126" s="14">
        <f ca="1"/>
      </c>
      <c r="AV126" s="14">
        <f ca="1"/>
      </c>
      <c r="AW126" s="14">
        <f ca="1"/>
      </c>
      <c r="AX126" s="14">
        <f ca="1"/>
      </c>
      <c r="AY126" s="14">
        <f ca="1"/>
      </c>
      <c r="AZ126" s="14">
        <f ca="1"/>
      </c>
      <c r="BB126">
        <f ca="1"/>
      </c>
      <c r="BC126">
        <f ca="1"/>
      </c>
      <c r="BD126">
        <f ca="1"/>
      </c>
      <c r="BF126" s="7">
        <f ca="1"/>
      </c>
      <c r="BG126" s="14">
        <f ca="1"/>
      </c>
      <c r="BH126" s="14">
        <f ca="1"/>
      </c>
      <c r="BI126" s="14">
        <f ca="1"/>
      </c>
      <c r="BJ126" s="14">
        <f ca="1"/>
      </c>
      <c r="BK126" s="14">
        <f ca="1"/>
      </c>
    </row>
    <row r="127" spans="28:63" x14ac:dyDescent="0.55000000000000004">
      <c r="AB127">
        <f ca="1"/>
      </c>
      <c r="AC127">
        <f ca="1"/>
      </c>
      <c r="AD127">
        <f ca="1"/>
      </c>
      <c r="AE127">
        <f ca="1"/>
      </c>
      <c r="AF127">
        <f ca="1"/>
      </c>
      <c r="AG127">
        <f ca="1"/>
      </c>
      <c r="AH127">
        <f ca="1"/>
      </c>
      <c r="AL127" s="7">
        <f ca="1"/>
      </c>
      <c r="AM127" s="14">
        <f ca="1"/>
      </c>
      <c r="AN127" s="14">
        <f ca="1"/>
      </c>
      <c r="AO127" s="14">
        <f ca="1"/>
      </c>
      <c r="AP127" s="14">
        <f ca="1"/>
      </c>
      <c r="AQ127" s="14">
        <f ca="1"/>
      </c>
      <c r="AR127" s="14">
        <f ca="1"/>
      </c>
      <c r="AV127" s="14">
        <f ca="1"/>
      </c>
      <c r="AW127" s="14">
        <f ca="1"/>
      </c>
      <c r="AX127" s="14">
        <f ca="1"/>
      </c>
      <c r="AY127" s="14">
        <f ca="1"/>
      </c>
      <c r="AZ127" s="14">
        <f ca="1"/>
      </c>
      <c r="BB127">
        <f ca="1"/>
      </c>
      <c r="BC127">
        <f ca="1"/>
      </c>
      <c r="BD127">
        <f ca="1"/>
      </c>
      <c r="BF127" s="7">
        <f ca="1"/>
      </c>
      <c r="BG127" s="14">
        <f ca="1"/>
      </c>
      <c r="BH127" s="14">
        <f ca="1"/>
      </c>
      <c r="BI127" s="14">
        <f ca="1"/>
      </c>
      <c r="BJ127" s="14">
        <f ca="1"/>
      </c>
      <c r="BK127" s="14">
        <f ca="1"/>
      </c>
    </row>
    <row r="128" spans="28:63" x14ac:dyDescent="0.55000000000000004">
      <c r="AB128">
        <f ca="1"/>
      </c>
      <c r="AC128">
        <f ca="1"/>
      </c>
      <c r="AD128">
        <f ca="1"/>
      </c>
      <c r="AE128">
        <f ca="1"/>
      </c>
      <c r="AF128">
        <f ca="1"/>
      </c>
      <c r="AG128">
        <f ca="1"/>
      </c>
      <c r="AH128">
        <f ca="1"/>
      </c>
      <c r="AL128" s="7">
        <f ca="1"/>
      </c>
      <c r="AM128" s="14">
        <f ca="1"/>
      </c>
      <c r="AN128" s="14">
        <f ca="1"/>
      </c>
      <c r="AO128" s="14">
        <f ca="1"/>
      </c>
      <c r="AP128" s="14">
        <f ca="1"/>
      </c>
      <c r="AQ128" s="14">
        <f ca="1"/>
      </c>
      <c r="AR128" s="14">
        <f ca="1"/>
      </c>
      <c r="AV128" s="14">
        <f ca="1"/>
      </c>
      <c r="AW128" s="14">
        <f ca="1"/>
      </c>
      <c r="AX128" s="14">
        <f ca="1"/>
      </c>
      <c r="AY128" s="14">
        <f ca="1"/>
      </c>
      <c r="AZ128" s="14">
        <f ca="1"/>
      </c>
      <c r="BB128">
        <f ca="1"/>
      </c>
      <c r="BC128">
        <f ca="1"/>
      </c>
      <c r="BD128">
        <f ca="1"/>
      </c>
      <c r="BF128" s="7">
        <f ca="1"/>
      </c>
      <c r="BG128" s="14">
        <f ca="1"/>
      </c>
      <c r="BH128" s="14">
        <f ca="1"/>
      </c>
      <c r="BI128" s="14">
        <f ca="1"/>
      </c>
      <c r="BJ128" s="14">
        <f ca="1"/>
      </c>
      <c r="BK128" s="14">
        <f ca="1"/>
      </c>
    </row>
    <row r="129" spans="28:63" x14ac:dyDescent="0.55000000000000004">
      <c r="AB129">
        <f ca="1"/>
      </c>
      <c r="AC129">
        <f ca="1"/>
      </c>
      <c r="AD129">
        <f ca="1"/>
      </c>
      <c r="AE129">
        <f ca="1"/>
      </c>
      <c r="AF129">
        <f ca="1"/>
      </c>
      <c r="AG129">
        <f ca="1"/>
      </c>
      <c r="AH129">
        <f ca="1"/>
      </c>
      <c r="AL129" s="7">
        <f ca="1"/>
      </c>
      <c r="AM129" s="14">
        <f ca="1"/>
      </c>
      <c r="AN129" s="14">
        <f ca="1"/>
      </c>
      <c r="AO129" s="14">
        <f ca="1"/>
      </c>
      <c r="AP129" s="14">
        <f ca="1"/>
      </c>
      <c r="AQ129" s="14">
        <f ca="1"/>
      </c>
      <c r="AR129" s="14">
        <f ca="1"/>
      </c>
      <c r="AV129" s="14">
        <f ca="1"/>
      </c>
      <c r="AW129" s="14">
        <f ca="1"/>
      </c>
      <c r="AX129" s="14">
        <f ca="1"/>
      </c>
      <c r="AY129" s="14">
        <f ca="1"/>
      </c>
      <c r="AZ129" s="14">
        <f ca="1"/>
      </c>
      <c r="BB129">
        <f ca="1"/>
      </c>
      <c r="BC129">
        <f ca="1"/>
      </c>
      <c r="BD129">
        <f ca="1"/>
      </c>
      <c r="BF129" s="7">
        <f ca="1"/>
      </c>
      <c r="BG129" s="14">
        <f ca="1"/>
      </c>
      <c r="BH129" s="14">
        <f ca="1"/>
      </c>
      <c r="BI129" s="14">
        <f ca="1"/>
      </c>
      <c r="BJ129" s="14">
        <f ca="1"/>
      </c>
      <c r="BK129" s="14">
        <f ca="1"/>
      </c>
    </row>
    <row r="130" spans="28:63" x14ac:dyDescent="0.55000000000000004">
      <c r="AB130">
        <f ca="1"/>
      </c>
      <c r="AC130">
        <f ca="1"/>
      </c>
      <c r="AD130">
        <f ca="1"/>
      </c>
      <c r="AE130">
        <f ca="1"/>
      </c>
      <c r="AF130">
        <f ca="1"/>
      </c>
      <c r="AG130">
        <f ca="1"/>
      </c>
      <c r="AH130">
        <f ca="1"/>
      </c>
      <c r="AL130" s="7">
        <f ca="1"/>
      </c>
      <c r="AM130" s="14">
        <f ca="1"/>
      </c>
      <c r="AN130" s="14">
        <f ca="1"/>
      </c>
      <c r="AO130" s="14">
        <f ca="1"/>
      </c>
      <c r="AP130" s="14">
        <f ca="1"/>
      </c>
      <c r="AQ130" s="14">
        <f ca="1"/>
      </c>
      <c r="AR130" s="14">
        <f ca="1"/>
      </c>
      <c r="AV130" s="14">
        <f ca="1"/>
      </c>
      <c r="AW130" s="14">
        <f ca="1"/>
      </c>
      <c r="AX130" s="14">
        <f ca="1"/>
      </c>
      <c r="AY130" s="14">
        <f ca="1"/>
      </c>
      <c r="AZ130" s="14">
        <f ca="1"/>
      </c>
      <c r="BB130">
        <f ca="1"/>
      </c>
      <c r="BC130">
        <f ca="1"/>
      </c>
      <c r="BD130">
        <f ca="1"/>
      </c>
      <c r="BF130" s="7">
        <f ca="1"/>
      </c>
      <c r="BG130" s="14">
        <f ca="1"/>
      </c>
      <c r="BH130" s="14">
        <f ca="1"/>
      </c>
      <c r="BI130" s="14">
        <f ca="1"/>
      </c>
      <c r="BJ130" s="14">
        <f ca="1"/>
      </c>
      <c r="BK130" s="14">
        <f ca="1"/>
      </c>
    </row>
    <row r="131" spans="28:63" x14ac:dyDescent="0.55000000000000004">
      <c r="AB131">
        <f ca="1"/>
      </c>
      <c r="AC131">
        <f ca="1"/>
      </c>
      <c r="AD131">
        <f ca="1"/>
      </c>
      <c r="AE131">
        <f ca="1"/>
      </c>
      <c r="AF131">
        <f ca="1"/>
      </c>
      <c r="AG131">
        <f ca="1"/>
      </c>
      <c r="AH131">
        <f ca="1"/>
      </c>
      <c r="AL131" s="7">
        <f ca="1"/>
      </c>
      <c r="AM131" s="14">
        <f ca="1"/>
      </c>
      <c r="AN131" s="14">
        <f ca="1"/>
      </c>
      <c r="AO131" s="14">
        <f ca="1"/>
      </c>
      <c r="AP131" s="14">
        <f ca="1"/>
      </c>
      <c r="AQ131" s="14">
        <f ca="1"/>
      </c>
      <c r="AR131" s="14">
        <f ca="1"/>
      </c>
      <c r="AV131" s="14">
        <f ca="1"/>
      </c>
      <c r="AW131" s="14">
        <f ca="1"/>
      </c>
      <c r="AX131" s="14">
        <f ca="1"/>
      </c>
      <c r="AY131" s="14">
        <f ca="1"/>
      </c>
      <c r="AZ131" s="14">
        <f ca="1"/>
      </c>
      <c r="BB131">
        <f ca="1"/>
      </c>
      <c r="BC131">
        <f ca="1"/>
      </c>
      <c r="BD131">
        <f ca="1"/>
      </c>
      <c r="BF131" s="7">
        <f ca="1"/>
      </c>
      <c r="BG131" s="14">
        <f ca="1"/>
      </c>
      <c r="BH131" s="14">
        <f ca="1"/>
      </c>
      <c r="BI131" s="14">
        <f ca="1"/>
      </c>
      <c r="BJ131" s="14">
        <f ca="1"/>
      </c>
      <c r="BK131" s="14">
        <f ca="1"/>
      </c>
    </row>
    <row r="132" spans="28:63" x14ac:dyDescent="0.55000000000000004">
      <c r="AB132">
        <f ca="1"/>
      </c>
      <c r="AC132">
        <f ca="1"/>
      </c>
      <c r="AD132">
        <f ca="1"/>
      </c>
      <c r="AE132">
        <f ca="1"/>
      </c>
      <c r="AF132">
        <f ca="1"/>
      </c>
      <c r="AG132">
        <f ca="1"/>
      </c>
      <c r="AH132">
        <f ca="1"/>
      </c>
      <c r="AL132" s="7">
        <f ca="1"/>
      </c>
      <c r="AM132" s="14">
        <f ca="1"/>
      </c>
      <c r="AN132" s="14">
        <f ca="1"/>
      </c>
      <c r="AO132" s="14">
        <f ca="1"/>
      </c>
      <c r="AP132" s="14">
        <f ca="1"/>
      </c>
      <c r="AQ132" s="14">
        <f ca="1"/>
      </c>
      <c r="AR132" s="14">
        <f ca="1"/>
      </c>
      <c r="AV132" s="14">
        <f ca="1"/>
      </c>
      <c r="AW132" s="14">
        <f ca="1"/>
      </c>
      <c r="AX132" s="14">
        <f ca="1"/>
      </c>
      <c r="AY132" s="14">
        <f ca="1"/>
      </c>
      <c r="AZ132" s="14">
        <f ca="1"/>
      </c>
      <c r="BB132">
        <f ca="1"/>
      </c>
      <c r="BC132">
        <f ca="1"/>
      </c>
      <c r="BD132">
        <f ca="1"/>
      </c>
      <c r="BF132" s="7">
        <f ca="1"/>
      </c>
      <c r="BG132" s="14">
        <f ca="1"/>
      </c>
      <c r="BH132" s="14">
        <f ca="1"/>
      </c>
      <c r="BI132" s="14">
        <f ca="1"/>
      </c>
      <c r="BJ132" s="14">
        <f ca="1"/>
      </c>
      <c r="BK132" s="14">
        <f ca="1"/>
      </c>
    </row>
    <row r="133" spans="28:63" x14ac:dyDescent="0.55000000000000004">
      <c r="AB133">
        <f ca="1"/>
      </c>
      <c r="AC133">
        <f ca="1"/>
      </c>
      <c r="AD133">
        <f ca="1"/>
      </c>
      <c r="AE133">
        <f ca="1"/>
      </c>
      <c r="AF133">
        <f ca="1"/>
      </c>
      <c r="AG133">
        <f ca="1"/>
      </c>
      <c r="AH133">
        <f ca="1"/>
      </c>
      <c r="AL133" s="7">
        <f ca="1"/>
      </c>
      <c r="AM133" s="14">
        <f ca="1"/>
      </c>
      <c r="AN133" s="14">
        <f ca="1"/>
      </c>
      <c r="AO133" s="14">
        <f ca="1"/>
      </c>
      <c r="AP133" s="14">
        <f ca="1"/>
      </c>
      <c r="AQ133" s="14">
        <f ca="1"/>
      </c>
      <c r="AR133" s="14">
        <f ca="1"/>
      </c>
      <c r="AV133" s="14">
        <f ca="1"/>
      </c>
      <c r="AW133" s="14">
        <f ca="1"/>
      </c>
      <c r="AX133" s="14">
        <f ca="1"/>
      </c>
      <c r="AY133" s="14">
        <f ca="1"/>
      </c>
      <c r="AZ133" s="14">
        <f ca="1"/>
      </c>
      <c r="BB133">
        <f ca="1"/>
      </c>
      <c r="BC133">
        <f ca="1"/>
      </c>
      <c r="BD133">
        <f ca="1"/>
      </c>
      <c r="BF133" s="7">
        <f ca="1"/>
      </c>
      <c r="BG133" s="14">
        <f ca="1"/>
      </c>
      <c r="BH133" s="14">
        <f ca="1"/>
      </c>
      <c r="BI133" s="14">
        <f ca="1"/>
      </c>
      <c r="BJ133" s="14">
        <f ca="1"/>
      </c>
      <c r="BK133" s="14">
        <f ca="1"/>
      </c>
    </row>
    <row r="134" spans="28:63" x14ac:dyDescent="0.55000000000000004">
      <c r="AB134">
        <f ca="1"/>
      </c>
      <c r="AC134">
        <f ca="1"/>
      </c>
      <c r="AD134">
        <f ca="1"/>
      </c>
      <c r="AE134">
        <f ca="1"/>
      </c>
      <c r="AF134">
        <f ca="1"/>
      </c>
      <c r="AG134">
        <f ca="1"/>
      </c>
      <c r="AH134">
        <f ca="1"/>
      </c>
      <c r="AL134" s="7">
        <f ca="1"/>
      </c>
      <c r="AM134" s="14">
        <f ca="1"/>
      </c>
      <c r="AN134" s="14">
        <f ca="1"/>
      </c>
      <c r="AO134" s="14">
        <f ca="1"/>
      </c>
      <c r="AP134" s="14">
        <f ca="1"/>
      </c>
      <c r="AQ134" s="14">
        <f ca="1"/>
      </c>
      <c r="AR134" s="14">
        <f ca="1"/>
      </c>
      <c r="AV134" s="14">
        <f ca="1"/>
      </c>
      <c r="AW134" s="14">
        <f ca="1"/>
      </c>
      <c r="AX134" s="14">
        <f ca="1"/>
      </c>
      <c r="AY134" s="14">
        <f ca="1"/>
      </c>
      <c r="AZ134" s="14">
        <f ca="1"/>
      </c>
      <c r="BB134">
        <f ca="1"/>
      </c>
      <c r="BC134">
        <f ca="1"/>
      </c>
      <c r="BD134">
        <f ca="1"/>
      </c>
      <c r="BF134" s="7">
        <f ca="1"/>
      </c>
      <c r="BG134" s="14">
        <f ca="1"/>
      </c>
      <c r="BH134" s="14">
        <f ca="1"/>
      </c>
      <c r="BI134" s="14">
        <f ca="1"/>
      </c>
      <c r="BJ134" s="14">
        <f ca="1"/>
      </c>
      <c r="BK134" s="14">
        <f ca="1"/>
      </c>
    </row>
    <row r="135" spans="28:63" x14ac:dyDescent="0.55000000000000004">
      <c r="AB135">
        <f ca="1"/>
      </c>
      <c r="AC135">
        <f ca="1"/>
      </c>
      <c r="AD135">
        <f ca="1"/>
      </c>
      <c r="AE135">
        <f ca="1"/>
      </c>
      <c r="AF135">
        <f ca="1"/>
      </c>
      <c r="AG135">
        <f ca="1"/>
      </c>
      <c r="AH135">
        <f ca="1"/>
      </c>
      <c r="AL135" s="7">
        <f ca="1"/>
      </c>
      <c r="AM135" s="14">
        <f ca="1"/>
      </c>
      <c r="AN135" s="14">
        <f ca="1"/>
      </c>
      <c r="AO135" s="14">
        <f ca="1"/>
      </c>
      <c r="AP135" s="14">
        <f ca="1"/>
      </c>
      <c r="AQ135" s="14">
        <f ca="1"/>
      </c>
      <c r="AR135" s="14">
        <f ca="1"/>
      </c>
      <c r="AV135" s="14">
        <f ca="1"/>
      </c>
      <c r="AW135" s="14">
        <f ca="1"/>
      </c>
      <c r="AX135" s="14">
        <f ca="1"/>
      </c>
      <c r="AY135" s="14">
        <f ca="1"/>
      </c>
      <c r="AZ135" s="14">
        <f ca="1"/>
      </c>
      <c r="BB135">
        <f ca="1"/>
      </c>
      <c r="BC135">
        <f ca="1"/>
      </c>
      <c r="BD135">
        <f ca="1"/>
      </c>
      <c r="BF135" s="7">
        <f ca="1"/>
      </c>
      <c r="BG135" s="14">
        <f ca="1"/>
      </c>
      <c r="BH135" s="14">
        <f ca="1"/>
      </c>
      <c r="BI135" s="14">
        <f ca="1"/>
      </c>
      <c r="BJ135" s="14">
        <f ca="1"/>
      </c>
      <c r="BK135" s="14">
        <f ca="1"/>
      </c>
    </row>
    <row r="136" spans="28:63" x14ac:dyDescent="0.55000000000000004">
      <c r="AB136">
        <f ca="1"/>
      </c>
      <c r="AC136">
        <f ca="1"/>
      </c>
      <c r="AD136">
        <f ca="1"/>
      </c>
      <c r="AE136">
        <f ca="1"/>
      </c>
      <c r="AF136">
        <f ca="1"/>
      </c>
      <c r="AG136">
        <f ca="1"/>
      </c>
      <c r="AH136">
        <f ca="1"/>
      </c>
      <c r="AL136" s="7">
        <f ca="1"/>
      </c>
      <c r="AM136" s="14">
        <f ca="1"/>
      </c>
      <c r="AN136" s="14">
        <f ca="1"/>
      </c>
      <c r="AO136" s="14">
        <f ca="1"/>
      </c>
      <c r="AP136" s="14">
        <f ca="1"/>
      </c>
      <c r="AQ136" s="14">
        <f ca="1"/>
      </c>
      <c r="AR136" s="14">
        <f ca="1"/>
      </c>
      <c r="AV136" s="14">
        <f ca="1"/>
      </c>
      <c r="AW136" s="14">
        <f ca="1"/>
      </c>
      <c r="AX136" s="14">
        <f ca="1"/>
      </c>
      <c r="AY136" s="14">
        <f ca="1"/>
      </c>
      <c r="AZ136" s="14">
        <f ca="1"/>
      </c>
      <c r="BB136">
        <f ca="1"/>
      </c>
      <c r="BC136">
        <f ca="1"/>
      </c>
      <c r="BD136">
        <f ca="1"/>
      </c>
      <c r="BF136" s="7">
        <f ca="1"/>
      </c>
      <c r="BG136" s="14">
        <f ca="1"/>
      </c>
      <c r="BH136" s="14">
        <f ca="1"/>
      </c>
      <c r="BI136" s="14">
        <f ca="1"/>
      </c>
      <c r="BJ136" s="14">
        <f ca="1"/>
      </c>
      <c r="BK136" s="14">
        <f ca="1"/>
      </c>
    </row>
    <row r="137" spans="28:63" x14ac:dyDescent="0.55000000000000004">
      <c r="AB137">
        <f ca="1"/>
      </c>
      <c r="AC137">
        <f ca="1"/>
      </c>
      <c r="AD137">
        <f ca="1"/>
      </c>
      <c r="AE137">
        <f ca="1"/>
      </c>
      <c r="AF137">
        <f ca="1"/>
      </c>
      <c r="AG137">
        <f ca="1"/>
      </c>
      <c r="AH137">
        <f ca="1"/>
      </c>
      <c r="AL137" s="7">
        <f ca="1"/>
      </c>
      <c r="AM137" s="14">
        <f ca="1"/>
      </c>
      <c r="AN137" s="14">
        <f ca="1"/>
      </c>
      <c r="AO137" s="14">
        <f ca="1"/>
      </c>
      <c r="AP137" s="14">
        <f ca="1"/>
      </c>
      <c r="AQ137" s="14">
        <f ca="1"/>
      </c>
      <c r="AR137" s="14">
        <f ca="1"/>
      </c>
      <c r="AV137" s="14">
        <f ca="1"/>
      </c>
      <c r="AW137" s="14">
        <f ca="1"/>
      </c>
      <c r="AX137" s="14">
        <f ca="1"/>
      </c>
      <c r="AY137" s="14">
        <f ca="1"/>
      </c>
      <c r="AZ137" s="14">
        <f ca="1"/>
      </c>
      <c r="BB137">
        <f ca="1"/>
      </c>
      <c r="BC137">
        <f ca="1"/>
      </c>
      <c r="BD137">
        <f ca="1"/>
      </c>
      <c r="BF137" s="7">
        <f ca="1"/>
      </c>
      <c r="BG137" s="14">
        <f ca="1"/>
      </c>
      <c r="BH137" s="14">
        <f ca="1"/>
      </c>
      <c r="BI137" s="14">
        <f ca="1"/>
      </c>
      <c r="BJ137" s="14">
        <f ca="1"/>
      </c>
      <c r="BK137" s="14">
        <f ca="1"/>
      </c>
    </row>
    <row r="138" spans="28:63" x14ac:dyDescent="0.55000000000000004">
      <c r="AB138">
        <f ca="1"/>
      </c>
      <c r="AC138">
        <f ca="1"/>
      </c>
      <c r="AD138">
        <f ca="1"/>
      </c>
      <c r="AE138">
        <f ca="1"/>
      </c>
      <c r="AF138">
        <f ca="1"/>
      </c>
      <c r="AG138">
        <f ca="1"/>
      </c>
      <c r="AH138">
        <f ca="1"/>
      </c>
      <c r="AL138" s="7">
        <f ca="1"/>
      </c>
      <c r="AM138" s="14">
        <f ca="1"/>
      </c>
      <c r="AN138" s="14">
        <f ca="1"/>
      </c>
      <c r="AO138" s="14">
        <f ca="1"/>
      </c>
      <c r="AP138" s="14">
        <f ca="1"/>
      </c>
      <c r="AQ138" s="14">
        <f ca="1"/>
      </c>
      <c r="AR138" s="14">
        <f ca="1"/>
      </c>
      <c r="AV138" s="14">
        <f ca="1"/>
      </c>
      <c r="AW138" s="14">
        <f ca="1"/>
      </c>
      <c r="AX138" s="14">
        <f ca="1"/>
      </c>
      <c r="AY138" s="14">
        <f ca="1"/>
      </c>
      <c r="AZ138" s="14">
        <f ca="1"/>
      </c>
      <c r="BB138">
        <f ca="1"/>
      </c>
      <c r="BC138">
        <f ca="1"/>
      </c>
      <c r="BD138">
        <f ca="1"/>
      </c>
      <c r="BF138" s="7">
        <f ca="1"/>
      </c>
      <c r="BG138" s="14">
        <f ca="1"/>
      </c>
      <c r="BH138" s="14">
        <f ca="1"/>
      </c>
      <c r="BI138" s="14">
        <f ca="1"/>
      </c>
      <c r="BJ138" s="14">
        <f ca="1"/>
      </c>
      <c r="BK138" s="14">
        <f ca="1"/>
      </c>
    </row>
    <row r="139" spans="28:63" x14ac:dyDescent="0.55000000000000004">
      <c r="AB139">
        <f ca="1"/>
      </c>
      <c r="AC139">
        <f ca="1"/>
      </c>
      <c r="AD139">
        <f ca="1"/>
      </c>
      <c r="AE139">
        <f ca="1"/>
      </c>
      <c r="AF139">
        <f ca="1"/>
      </c>
      <c r="AG139">
        <f ca="1"/>
      </c>
      <c r="AH139">
        <f ca="1"/>
      </c>
      <c r="AL139" s="7">
        <f ca="1"/>
      </c>
      <c r="AM139" s="14">
        <f ca="1"/>
      </c>
      <c r="AN139" s="14">
        <f ca="1"/>
      </c>
      <c r="AO139" s="14">
        <f ca="1"/>
      </c>
      <c r="AP139" s="14">
        <f ca="1"/>
      </c>
      <c r="AQ139" s="14">
        <f ca="1"/>
      </c>
      <c r="AR139" s="14">
        <f ca="1"/>
      </c>
      <c r="AV139" s="14">
        <f ca="1"/>
      </c>
      <c r="AW139" s="14">
        <f ca="1"/>
      </c>
      <c r="AX139" s="14">
        <f ca="1"/>
      </c>
      <c r="AY139" s="14">
        <f ca="1"/>
      </c>
      <c r="AZ139" s="14">
        <f ca="1"/>
      </c>
      <c r="BB139">
        <f ca="1"/>
      </c>
      <c r="BC139">
        <f ca="1"/>
      </c>
      <c r="BD139">
        <f ca="1"/>
      </c>
      <c r="BF139" s="7">
        <f ca="1"/>
      </c>
      <c r="BG139" s="14">
        <f ca="1"/>
      </c>
      <c r="BH139" s="14">
        <f ca="1"/>
      </c>
      <c r="BI139" s="14">
        <f ca="1"/>
      </c>
      <c r="BJ139" s="14">
        <f ca="1"/>
      </c>
      <c r="BK139" s="14">
        <f ca="1"/>
      </c>
    </row>
    <row r="140" spans="28:63" x14ac:dyDescent="0.55000000000000004">
      <c r="AB140">
        <f ca="1"/>
      </c>
      <c r="AC140">
        <f ca="1"/>
      </c>
      <c r="AD140">
        <f ca="1"/>
      </c>
      <c r="AE140">
        <f ca="1"/>
      </c>
      <c r="AF140">
        <f ca="1"/>
      </c>
      <c r="AG140">
        <f ca="1"/>
      </c>
      <c r="AH140">
        <f ca="1"/>
      </c>
      <c r="AL140" s="7">
        <f ca="1"/>
      </c>
      <c r="AM140" s="14">
        <f ca="1"/>
      </c>
      <c r="AN140" s="14">
        <f ca="1"/>
      </c>
      <c r="AO140" s="14">
        <f ca="1"/>
      </c>
      <c r="AP140" s="14">
        <f ca="1"/>
      </c>
      <c r="AQ140" s="14">
        <f ca="1"/>
      </c>
      <c r="AR140" s="14">
        <f ca="1"/>
      </c>
      <c r="AV140" s="14">
        <f ca="1"/>
      </c>
      <c r="AW140" s="14">
        <f ca="1"/>
      </c>
      <c r="AX140" s="14">
        <f ca="1"/>
      </c>
      <c r="AY140" s="14">
        <f ca="1"/>
      </c>
      <c r="AZ140" s="14">
        <f ca="1"/>
      </c>
      <c r="BB140">
        <f ca="1"/>
      </c>
      <c r="BC140">
        <f ca="1"/>
      </c>
      <c r="BD140">
        <f ca="1"/>
      </c>
      <c r="BF140" s="7">
        <f ca="1"/>
      </c>
      <c r="BG140" s="14">
        <f ca="1"/>
      </c>
      <c r="BH140" s="14">
        <f ca="1"/>
      </c>
      <c r="BI140" s="14">
        <f ca="1"/>
      </c>
      <c r="BJ140" s="14">
        <f ca="1"/>
      </c>
      <c r="BK140" s="14">
        <f ca="1"/>
      </c>
    </row>
    <row r="141" spans="28:63" x14ac:dyDescent="0.55000000000000004">
      <c r="AB141">
        <f ca="1"/>
      </c>
      <c r="AC141">
        <f ca="1"/>
      </c>
      <c r="AD141">
        <f ca="1"/>
      </c>
      <c r="AE141">
        <f ca="1"/>
      </c>
      <c r="AF141">
        <f ca="1"/>
      </c>
      <c r="AG141">
        <f ca="1"/>
      </c>
      <c r="AH141">
        <f ca="1"/>
      </c>
      <c r="AL141" s="7">
        <f ca="1"/>
      </c>
      <c r="AM141" s="14">
        <f ca="1"/>
      </c>
      <c r="AN141" s="14">
        <f ca="1"/>
      </c>
      <c r="AO141" s="14">
        <f ca="1"/>
      </c>
      <c r="AP141" s="14">
        <f ca="1"/>
      </c>
      <c r="AQ141" s="14">
        <f ca="1"/>
      </c>
      <c r="AR141" s="14">
        <f ca="1"/>
      </c>
      <c r="AV141" s="14">
        <f ca="1"/>
      </c>
      <c r="AW141" s="14">
        <f ca="1"/>
      </c>
      <c r="AX141" s="14">
        <f ca="1"/>
      </c>
      <c r="AY141" s="14">
        <f ca="1"/>
      </c>
      <c r="AZ141" s="14">
        <f ca="1"/>
      </c>
      <c r="BB141">
        <f ca="1"/>
      </c>
      <c r="BC141">
        <f ca="1"/>
      </c>
      <c r="BD141">
        <f ca="1"/>
      </c>
      <c r="BF141" s="7">
        <f ca="1"/>
      </c>
      <c r="BG141" s="14">
        <f ca="1"/>
      </c>
      <c r="BH141" s="14">
        <f ca="1"/>
      </c>
      <c r="BI141" s="14">
        <f ca="1"/>
      </c>
      <c r="BJ141" s="14">
        <f ca="1"/>
      </c>
      <c r="BK141" s="14">
        <f ca="1"/>
      </c>
    </row>
    <row r="142" spans="28:63" x14ac:dyDescent="0.55000000000000004">
      <c r="AB142">
        <f ca="1"/>
      </c>
      <c r="AC142">
        <f ca="1"/>
      </c>
      <c r="AD142">
        <f ca="1"/>
      </c>
      <c r="AE142">
        <f ca="1"/>
      </c>
      <c r="AF142">
        <f ca="1"/>
      </c>
      <c r="AG142">
        <f ca="1"/>
      </c>
      <c r="AH142">
        <f ca="1"/>
      </c>
      <c r="AL142" s="7">
        <f ca="1"/>
      </c>
      <c r="AM142" s="14">
        <f ca="1"/>
      </c>
      <c r="AN142" s="14">
        <f ca="1"/>
      </c>
      <c r="AO142" s="14">
        <f ca="1"/>
      </c>
      <c r="AP142" s="14">
        <f ca="1"/>
      </c>
      <c r="AQ142" s="14">
        <f ca="1"/>
      </c>
      <c r="AR142" s="14">
        <f ca="1"/>
      </c>
      <c r="AV142" s="14">
        <f ca="1"/>
      </c>
      <c r="AW142" s="14">
        <f ca="1"/>
      </c>
      <c r="AX142" s="14">
        <f ca="1"/>
      </c>
      <c r="AY142" s="14">
        <f ca="1"/>
      </c>
      <c r="AZ142" s="14">
        <f ca="1"/>
      </c>
      <c r="BB142">
        <f ca="1"/>
      </c>
      <c r="BC142">
        <f ca="1"/>
      </c>
      <c r="BD142">
        <f ca="1"/>
      </c>
      <c r="BF142" s="7">
        <f ca="1"/>
      </c>
      <c r="BG142" s="14">
        <f ca="1"/>
      </c>
      <c r="BH142" s="14">
        <f ca="1"/>
      </c>
      <c r="BI142" s="14">
        <f ca="1"/>
      </c>
      <c r="BJ142" s="14">
        <f ca="1"/>
      </c>
      <c r="BK142" s="14">
        <f ca="1"/>
      </c>
    </row>
    <row r="143" spans="28:63" x14ac:dyDescent="0.55000000000000004">
      <c r="AB143">
        <f ca="1"/>
      </c>
      <c r="AC143">
        <f ca="1"/>
      </c>
      <c r="AD143">
        <f ca="1"/>
      </c>
      <c r="AE143">
        <f ca="1"/>
      </c>
      <c r="AF143">
        <f ca="1"/>
      </c>
      <c r="AG143">
        <f ca="1"/>
      </c>
      <c r="AH143">
        <f ca="1"/>
      </c>
      <c r="AL143" s="7">
        <f ca="1"/>
      </c>
      <c r="AM143" s="14">
        <f ca="1"/>
      </c>
      <c r="AN143" s="14">
        <f ca="1"/>
      </c>
      <c r="AO143" s="14">
        <f ca="1"/>
      </c>
      <c r="AP143" s="14">
        <f ca="1"/>
      </c>
      <c r="AQ143" s="14">
        <f ca="1"/>
      </c>
      <c r="AR143" s="14">
        <f ca="1"/>
      </c>
      <c r="AV143" s="14">
        <f ca="1"/>
      </c>
      <c r="AW143" s="14">
        <f ca="1"/>
      </c>
      <c r="AX143" s="14">
        <f ca="1"/>
      </c>
      <c r="AY143" s="14">
        <f ca="1"/>
      </c>
      <c r="AZ143" s="14">
        <f ca="1"/>
      </c>
      <c r="BB143">
        <f ca="1"/>
      </c>
      <c r="BC143">
        <f ca="1"/>
      </c>
      <c r="BD143">
        <f ca="1"/>
      </c>
      <c r="BF143" s="7">
        <f ca="1"/>
      </c>
      <c r="BG143" s="14">
        <f ca="1"/>
      </c>
      <c r="BH143" s="14">
        <f ca="1"/>
      </c>
      <c r="BI143" s="14">
        <f ca="1"/>
      </c>
      <c r="BJ143" s="14">
        <f ca="1"/>
      </c>
      <c r="BK143" s="14">
        <f ca="1"/>
      </c>
    </row>
    <row r="144" spans="28:63" x14ac:dyDescent="0.55000000000000004">
      <c r="AB144">
        <f ca="1"/>
      </c>
      <c r="AC144">
        <f ca="1"/>
      </c>
      <c r="AD144">
        <f ca="1"/>
      </c>
      <c r="AE144">
        <f ca="1"/>
      </c>
      <c r="AF144">
        <f ca="1"/>
      </c>
      <c r="AG144">
        <f ca="1"/>
      </c>
      <c r="AH144">
        <f ca="1"/>
      </c>
      <c r="AL144" s="7">
        <f ca="1"/>
      </c>
      <c r="AM144" s="14">
        <f ca="1"/>
      </c>
      <c r="AN144" s="14">
        <f ca="1"/>
      </c>
      <c r="AO144" s="14">
        <f ca="1"/>
      </c>
      <c r="AP144" s="14">
        <f ca="1"/>
      </c>
      <c r="AQ144" s="14">
        <f ca="1"/>
      </c>
      <c r="AR144" s="14">
        <f ca="1"/>
      </c>
      <c r="AV144" s="14">
        <f ca="1"/>
      </c>
      <c r="AW144" s="14">
        <f ca="1"/>
      </c>
      <c r="AX144" s="14">
        <f ca="1"/>
      </c>
      <c r="AY144" s="14">
        <f ca="1"/>
      </c>
      <c r="AZ144" s="14">
        <f ca="1"/>
      </c>
      <c r="BB144">
        <f ca="1"/>
      </c>
      <c r="BC144">
        <f ca="1"/>
      </c>
      <c r="BD144">
        <f ca="1"/>
      </c>
      <c r="BF144" s="7">
        <f ca="1"/>
      </c>
      <c r="BG144" s="14">
        <f ca="1"/>
      </c>
      <c r="BH144" s="14">
        <f ca="1"/>
      </c>
      <c r="BI144" s="14">
        <f ca="1"/>
      </c>
      <c r="BJ144" s="14">
        <f ca="1"/>
      </c>
      <c r="BK144" s="14">
        <f ca="1"/>
      </c>
    </row>
    <row r="145" spans="28:63" x14ac:dyDescent="0.55000000000000004">
      <c r="AB145">
        <f ca="1"/>
      </c>
      <c r="AC145">
        <f ca="1"/>
      </c>
      <c r="AD145">
        <f ca="1"/>
      </c>
      <c r="AE145">
        <f ca="1"/>
      </c>
      <c r="AF145">
        <f ca="1"/>
      </c>
      <c r="AG145">
        <f ca="1"/>
      </c>
      <c r="AH145">
        <f ca="1"/>
      </c>
      <c r="AL145" s="7">
        <f ca="1"/>
      </c>
      <c r="AM145" s="14">
        <f ca="1"/>
      </c>
      <c r="AN145" s="14">
        <f ca="1"/>
      </c>
      <c r="AO145" s="14">
        <f ca="1"/>
      </c>
      <c r="AP145" s="14">
        <f ca="1"/>
      </c>
      <c r="AQ145" s="14">
        <f ca="1"/>
      </c>
      <c r="AR145" s="14">
        <f ca="1"/>
      </c>
      <c r="AV145" s="14">
        <f ca="1"/>
      </c>
      <c r="AW145" s="14">
        <f ca="1"/>
      </c>
      <c r="AX145" s="14">
        <f ca="1"/>
      </c>
      <c r="AY145" s="14">
        <f ca="1"/>
      </c>
      <c r="AZ145" s="14">
        <f ca="1"/>
      </c>
      <c r="BB145">
        <f ca="1"/>
      </c>
      <c r="BC145">
        <f ca="1"/>
      </c>
      <c r="BD145">
        <f ca="1"/>
      </c>
      <c r="BF145" s="7">
        <f ca="1"/>
      </c>
      <c r="BG145" s="14">
        <f ca="1"/>
      </c>
      <c r="BH145" s="14">
        <f ca="1"/>
      </c>
      <c r="BI145" s="14">
        <f ca="1"/>
      </c>
      <c r="BJ145" s="14">
        <f ca="1"/>
      </c>
      <c r="BK145" s="14">
        <f ca="1"/>
      </c>
    </row>
    <row r="146" spans="28:63" x14ac:dyDescent="0.55000000000000004">
      <c r="AB146">
        <f ca="1"/>
      </c>
      <c r="AC146">
        <f ca="1"/>
      </c>
      <c r="AD146">
        <f ca="1"/>
      </c>
      <c r="AE146">
        <f ca="1"/>
      </c>
      <c r="AF146">
        <f ca="1"/>
      </c>
      <c r="AG146">
        <f ca="1"/>
      </c>
      <c r="AH146">
        <f ca="1"/>
      </c>
      <c r="AL146" s="7">
        <f ca="1"/>
      </c>
      <c r="AM146" s="14">
        <f ca="1"/>
      </c>
      <c r="AN146" s="14">
        <f ca="1"/>
      </c>
      <c r="AO146" s="14">
        <f ca="1"/>
      </c>
      <c r="AP146" s="14">
        <f ca="1"/>
      </c>
      <c r="AQ146" s="14">
        <f ca="1"/>
      </c>
      <c r="AR146" s="14">
        <f ca="1"/>
      </c>
      <c r="AV146" s="14">
        <f ca="1"/>
      </c>
      <c r="AW146" s="14">
        <f ca="1"/>
      </c>
      <c r="AX146" s="14">
        <f ca="1"/>
      </c>
      <c r="AY146" s="14">
        <f ca="1"/>
      </c>
      <c r="AZ146" s="14">
        <f ca="1"/>
      </c>
      <c r="BB146">
        <f ca="1"/>
      </c>
      <c r="BC146">
        <f ca="1"/>
      </c>
      <c r="BD146">
        <f ca="1"/>
      </c>
      <c r="BF146" s="7">
        <f ca="1"/>
      </c>
      <c r="BG146" s="14">
        <f ca="1"/>
      </c>
      <c r="BH146" s="14">
        <f ca="1"/>
      </c>
      <c r="BI146" s="14">
        <f ca="1"/>
      </c>
      <c r="BJ146" s="14">
        <f ca="1"/>
      </c>
      <c r="BK146" s="14">
        <f ca="1"/>
      </c>
    </row>
    <row r="147" spans="28:63" x14ac:dyDescent="0.55000000000000004">
      <c r="AB147">
        <f ca="1"/>
      </c>
      <c r="AC147">
        <f ca="1"/>
      </c>
      <c r="AD147">
        <f ca="1"/>
      </c>
      <c r="AE147">
        <f ca="1"/>
      </c>
      <c r="AF147">
        <f ca="1"/>
      </c>
      <c r="AG147">
        <f ca="1"/>
      </c>
      <c r="AH147">
        <f ca="1"/>
      </c>
      <c r="AL147" s="7">
        <f ca="1"/>
      </c>
      <c r="AM147" s="14">
        <f ca="1"/>
      </c>
      <c r="AN147" s="14">
        <f ca="1"/>
      </c>
      <c r="AO147" s="14">
        <f ca="1"/>
      </c>
      <c r="AP147" s="14">
        <f ca="1"/>
      </c>
      <c r="AQ147" s="14">
        <f ca="1"/>
      </c>
      <c r="AR147" s="14">
        <f ca="1"/>
      </c>
      <c r="AV147" s="14">
        <f ca="1"/>
      </c>
      <c r="AW147" s="14">
        <f ca="1"/>
      </c>
      <c r="AX147" s="14">
        <f ca="1"/>
      </c>
      <c r="AY147" s="14">
        <f ca="1"/>
      </c>
      <c r="AZ147" s="14">
        <f ca="1"/>
      </c>
      <c r="BB147">
        <f ca="1"/>
      </c>
      <c r="BC147">
        <f ca="1"/>
      </c>
      <c r="BD147">
        <f ca="1"/>
      </c>
      <c r="BF147" s="7">
        <f ca="1"/>
      </c>
      <c r="BG147" s="14">
        <f ca="1"/>
      </c>
      <c r="BH147" s="14">
        <f ca="1"/>
      </c>
      <c r="BI147" s="14">
        <f ca="1"/>
      </c>
      <c r="BJ147" s="14">
        <f ca="1"/>
      </c>
      <c r="BK147" s="14">
        <f ca="1"/>
      </c>
    </row>
    <row r="148" spans="28:63" x14ac:dyDescent="0.55000000000000004">
      <c r="AB148">
        <f ca="1"/>
      </c>
      <c r="AC148">
        <f ca="1"/>
      </c>
      <c r="AD148">
        <f ca="1"/>
      </c>
      <c r="AE148">
        <f ca="1"/>
      </c>
      <c r="AF148">
        <f ca="1"/>
      </c>
      <c r="AG148">
        <f ca="1"/>
      </c>
      <c r="AH148">
        <f ca="1"/>
      </c>
      <c r="AL148" s="7">
        <f ca="1"/>
      </c>
      <c r="AM148" s="14">
        <f ca="1"/>
      </c>
      <c r="AN148" s="14">
        <f ca="1"/>
      </c>
      <c r="AO148" s="14">
        <f ca="1"/>
      </c>
      <c r="AP148" s="14">
        <f ca="1"/>
      </c>
      <c r="AQ148" s="14">
        <f ca="1"/>
      </c>
      <c r="AR148" s="14">
        <f ca="1"/>
      </c>
      <c r="AV148" s="14">
        <f ca="1"/>
      </c>
      <c r="AW148" s="14">
        <f ca="1"/>
      </c>
      <c r="AX148" s="14">
        <f ca="1"/>
      </c>
      <c r="AY148" s="14">
        <f ca="1"/>
      </c>
      <c r="AZ148" s="14">
        <f ca="1"/>
      </c>
      <c r="BB148">
        <f ca="1"/>
      </c>
      <c r="BC148">
        <f ca="1"/>
      </c>
      <c r="BD148">
        <f ca="1"/>
      </c>
      <c r="BF148" s="7">
        <f ca="1"/>
      </c>
      <c r="BG148" s="14">
        <f ca="1"/>
      </c>
      <c r="BH148" s="14">
        <f ca="1"/>
      </c>
      <c r="BI148" s="14">
        <f ca="1"/>
      </c>
      <c r="BJ148" s="14">
        <f ca="1"/>
      </c>
      <c r="BK148" s="14">
        <f ca="1"/>
      </c>
    </row>
    <row r="149" spans="28:63" x14ac:dyDescent="0.55000000000000004">
      <c r="AB149">
        <f ca="1"/>
      </c>
      <c r="AC149">
        <f ca="1"/>
      </c>
      <c r="AD149">
        <f ca="1"/>
      </c>
      <c r="AE149">
        <f ca="1"/>
      </c>
      <c r="AF149">
        <f ca="1"/>
      </c>
      <c r="AG149">
        <f ca="1"/>
      </c>
      <c r="AH149">
        <f ca="1"/>
      </c>
      <c r="AL149" s="7">
        <f ca="1"/>
      </c>
      <c r="AM149" s="14">
        <f ca="1"/>
      </c>
      <c r="AN149" s="14">
        <f ca="1"/>
      </c>
      <c r="AO149" s="14">
        <f ca="1"/>
      </c>
      <c r="AP149" s="14">
        <f ca="1"/>
      </c>
      <c r="AQ149" s="14">
        <f ca="1"/>
      </c>
      <c r="AR149" s="14">
        <f ca="1"/>
      </c>
      <c r="AV149" s="14">
        <f ca="1"/>
      </c>
      <c r="AW149" s="14">
        <f ca="1"/>
      </c>
      <c r="AX149" s="14">
        <f ca="1"/>
      </c>
      <c r="AY149" s="14">
        <f ca="1"/>
      </c>
      <c r="AZ149" s="14">
        <f ca="1"/>
      </c>
      <c r="BB149">
        <f ca="1"/>
      </c>
      <c r="BC149">
        <f ca="1"/>
      </c>
      <c r="BD149">
        <f ca="1"/>
      </c>
      <c r="BF149" s="7">
        <f ca="1"/>
      </c>
      <c r="BG149" s="14">
        <f ca="1"/>
      </c>
      <c r="BH149" s="14">
        <f ca="1"/>
      </c>
      <c r="BI149" s="14">
        <f ca="1"/>
      </c>
      <c r="BJ149" s="14">
        <f ca="1"/>
      </c>
      <c r="BK149" s="14">
        <f ca="1"/>
      </c>
    </row>
    <row r="150" spans="28:63" x14ac:dyDescent="0.55000000000000004">
      <c r="AB150">
        <f ca="1"/>
      </c>
      <c r="AC150">
        <f ca="1"/>
      </c>
      <c r="AD150">
        <f ca="1"/>
      </c>
      <c r="AE150">
        <f ca="1"/>
      </c>
      <c r="AF150">
        <f ca="1"/>
      </c>
      <c r="AG150">
        <f ca="1"/>
      </c>
      <c r="AH150">
        <f ca="1"/>
      </c>
      <c r="AL150" s="7">
        <f ca="1"/>
      </c>
      <c r="AM150" s="14">
        <f ca="1"/>
      </c>
      <c r="AN150" s="14">
        <f ca="1"/>
      </c>
      <c r="AO150" s="14">
        <f ca="1"/>
      </c>
      <c r="AP150" s="14">
        <f ca="1"/>
      </c>
      <c r="AQ150" s="14">
        <f ca="1"/>
      </c>
      <c r="AR150" s="14">
        <f ca="1"/>
      </c>
      <c r="AV150" s="14">
        <f ca="1"/>
      </c>
      <c r="AW150" s="14">
        <f ca="1"/>
      </c>
      <c r="AX150" s="14">
        <f ca="1"/>
      </c>
      <c r="AY150" s="14">
        <f ca="1"/>
      </c>
      <c r="AZ150" s="14">
        <f ca="1"/>
      </c>
      <c r="BB150">
        <f ca="1"/>
      </c>
      <c r="BC150">
        <f ca="1"/>
      </c>
      <c r="BD150">
        <f ca="1"/>
      </c>
      <c r="BF150" s="7">
        <f ca="1"/>
      </c>
      <c r="BG150" s="14">
        <f ca="1"/>
      </c>
      <c r="BH150" s="14">
        <f ca="1"/>
      </c>
      <c r="BI150" s="14">
        <f ca="1"/>
      </c>
      <c r="BJ150" s="14">
        <f ca="1"/>
      </c>
      <c r="BK150" s="14">
        <f ca="1"/>
      </c>
    </row>
    <row r="151" spans="28:63" x14ac:dyDescent="0.55000000000000004">
      <c r="AB151">
        <f ca="1"/>
      </c>
      <c r="AC151">
        <f ca="1"/>
      </c>
      <c r="AD151">
        <f ca="1"/>
      </c>
      <c r="AE151">
        <f ca="1"/>
      </c>
      <c r="AF151">
        <f ca="1"/>
      </c>
      <c r="AG151">
        <f ca="1"/>
      </c>
      <c r="AH151">
        <f ca="1"/>
      </c>
      <c r="AL151" s="7">
        <f ca="1"/>
      </c>
      <c r="AM151" s="14">
        <f ca="1"/>
      </c>
      <c r="AN151" s="14">
        <f ca="1"/>
      </c>
      <c r="AO151" s="14">
        <f ca="1"/>
      </c>
      <c r="AP151" s="14">
        <f ca="1"/>
      </c>
      <c r="AQ151" s="14">
        <f ca="1"/>
      </c>
      <c r="AR151" s="14">
        <f ca="1"/>
      </c>
      <c r="AV151" s="14">
        <f ca="1"/>
      </c>
      <c r="AW151" s="14">
        <f ca="1"/>
      </c>
      <c r="AX151" s="14">
        <f ca="1"/>
      </c>
      <c r="AY151" s="14">
        <f ca="1"/>
      </c>
      <c r="AZ151" s="14">
        <f ca="1"/>
      </c>
      <c r="BB151">
        <f ca="1"/>
      </c>
      <c r="BC151">
        <f ca="1"/>
      </c>
      <c r="BD151">
        <f ca="1"/>
      </c>
      <c r="BF151" s="7">
        <f ca="1"/>
      </c>
      <c r="BG151" s="14">
        <f ca="1"/>
      </c>
      <c r="BH151" s="14">
        <f ca="1"/>
      </c>
      <c r="BI151" s="14">
        <f ca="1"/>
      </c>
      <c r="BJ151" s="14">
        <f ca="1"/>
      </c>
      <c r="BK151" s="14">
        <f ca="1"/>
      </c>
    </row>
    <row r="152" spans="28:63" x14ac:dyDescent="0.55000000000000004">
      <c r="AB152">
        <f ca="1"/>
      </c>
      <c r="AC152">
        <f ca="1"/>
      </c>
      <c r="AD152">
        <f ca="1"/>
      </c>
      <c r="AE152">
        <f ca="1"/>
      </c>
      <c r="AF152">
        <f ca="1"/>
      </c>
      <c r="AG152">
        <f ca="1"/>
      </c>
      <c r="AH152">
        <f ca="1"/>
      </c>
      <c r="AL152" s="7">
        <f ca="1"/>
      </c>
      <c r="AM152" s="14">
        <f ca="1"/>
      </c>
      <c r="AN152" s="14">
        <f ca="1"/>
      </c>
      <c r="AO152" s="14">
        <f ca="1"/>
      </c>
      <c r="AP152" s="14">
        <f ca="1"/>
      </c>
      <c r="AQ152" s="14">
        <f ca="1"/>
      </c>
      <c r="AR152" s="14">
        <f ca="1"/>
      </c>
      <c r="AV152" s="14">
        <f ca="1"/>
      </c>
      <c r="AW152" s="14">
        <f ca="1"/>
      </c>
      <c r="AX152" s="14">
        <f ca="1"/>
      </c>
      <c r="AY152" s="14">
        <f ca="1"/>
      </c>
      <c r="AZ152" s="14">
        <f ca="1"/>
      </c>
      <c r="BB152">
        <f ca="1"/>
      </c>
      <c r="BC152">
        <f ca="1"/>
      </c>
      <c r="BD152">
        <f ca="1"/>
      </c>
      <c r="BF152" s="7">
        <f ca="1"/>
      </c>
      <c r="BG152" s="14">
        <f ca="1"/>
      </c>
      <c r="BH152" s="14">
        <f ca="1"/>
      </c>
      <c r="BI152" s="14">
        <f ca="1"/>
      </c>
      <c r="BJ152" s="14">
        <f ca="1"/>
      </c>
      <c r="BK152" s="14">
        <f ca="1"/>
      </c>
    </row>
    <row r="153" spans="28:63" x14ac:dyDescent="0.55000000000000004">
      <c r="AB153">
        <f ca="1"/>
      </c>
      <c r="AC153">
        <f ca="1"/>
      </c>
      <c r="AD153">
        <f ca="1"/>
      </c>
      <c r="AE153">
        <f ca="1"/>
      </c>
      <c r="AF153">
        <f ca="1"/>
      </c>
      <c r="AG153">
        <f ca="1"/>
      </c>
      <c r="AH153">
        <f ca="1"/>
      </c>
      <c r="AL153" s="7">
        <f ca="1"/>
      </c>
      <c r="AM153" s="14">
        <f ca="1"/>
      </c>
      <c r="AN153" s="14">
        <f ca="1"/>
      </c>
      <c r="AO153" s="14">
        <f ca="1"/>
      </c>
      <c r="AP153" s="14">
        <f ca="1"/>
      </c>
      <c r="AQ153" s="14">
        <f ca="1"/>
      </c>
      <c r="AR153" s="14">
        <f ca="1"/>
      </c>
      <c r="AV153" s="14">
        <f ca="1"/>
      </c>
      <c r="AW153" s="14">
        <f ca="1"/>
      </c>
      <c r="AX153" s="14">
        <f ca="1"/>
      </c>
      <c r="AY153" s="14">
        <f ca="1"/>
      </c>
      <c r="AZ153" s="14">
        <f ca="1"/>
      </c>
      <c r="BB153">
        <f ca="1"/>
      </c>
      <c r="BC153">
        <f ca="1"/>
      </c>
      <c r="BD153">
        <f ca="1"/>
      </c>
      <c r="BF153" s="7">
        <f ca="1"/>
      </c>
      <c r="BG153" s="14">
        <f ca="1"/>
      </c>
      <c r="BH153" s="14">
        <f ca="1"/>
      </c>
      <c r="BI153" s="14">
        <f ca="1"/>
      </c>
      <c r="BJ153" s="14">
        <f ca="1"/>
      </c>
      <c r="BK153" s="14">
        <f ca="1"/>
      </c>
    </row>
    <row r="154" spans="28:63" x14ac:dyDescent="0.55000000000000004">
      <c r="AB154">
        <f ca="1"/>
      </c>
      <c r="AC154">
        <f ca="1"/>
      </c>
      <c r="AD154">
        <f ca="1"/>
      </c>
      <c r="AE154">
        <f ca="1"/>
      </c>
      <c r="AF154">
        <f ca="1"/>
      </c>
      <c r="AG154">
        <f ca="1"/>
      </c>
      <c r="AH154">
        <f ca="1"/>
      </c>
      <c r="AL154" s="7">
        <f ca="1"/>
      </c>
      <c r="AM154" s="14">
        <f ca="1"/>
      </c>
      <c r="AN154" s="14">
        <f ca="1"/>
      </c>
      <c r="AO154" s="14">
        <f ca="1"/>
      </c>
      <c r="AP154" s="14">
        <f ca="1"/>
      </c>
      <c r="AQ154" s="14">
        <f ca="1"/>
      </c>
      <c r="AR154" s="14">
        <f ca="1"/>
      </c>
      <c r="AV154" s="14">
        <f ca="1"/>
      </c>
      <c r="AW154" s="14">
        <f ca="1"/>
      </c>
      <c r="AX154" s="14">
        <f ca="1"/>
      </c>
      <c r="AY154" s="14">
        <f ca="1"/>
      </c>
      <c r="AZ154" s="14">
        <f ca="1"/>
      </c>
      <c r="BB154">
        <f ca="1"/>
      </c>
      <c r="BC154">
        <f ca="1"/>
      </c>
      <c r="BD154">
        <f ca="1"/>
      </c>
      <c r="BF154" s="7">
        <f ca="1"/>
      </c>
      <c r="BG154" s="14">
        <f ca="1"/>
      </c>
      <c r="BH154" s="14">
        <f ca="1"/>
      </c>
      <c r="BI154" s="14">
        <f ca="1"/>
      </c>
      <c r="BJ154" s="14">
        <f ca="1"/>
      </c>
      <c r="BK154" s="14">
        <f ca="1"/>
      </c>
    </row>
    <row r="155" spans="28:63" x14ac:dyDescent="0.55000000000000004">
      <c r="AB155">
        <f ca="1"/>
      </c>
      <c r="AC155">
        <f ca="1"/>
      </c>
      <c r="AD155">
        <f ca="1"/>
      </c>
      <c r="AE155">
        <f ca="1"/>
      </c>
      <c r="AF155">
        <f ca="1"/>
      </c>
      <c r="AG155">
        <f ca="1"/>
      </c>
      <c r="AH155">
        <f ca="1"/>
      </c>
      <c r="AL155" s="7">
        <f ca="1"/>
      </c>
      <c r="AM155" s="14">
        <f ca="1"/>
      </c>
      <c r="AN155" s="14">
        <f ca="1"/>
      </c>
      <c r="AO155" s="14">
        <f ca="1"/>
      </c>
      <c r="AP155" s="14">
        <f ca="1"/>
      </c>
      <c r="AQ155" s="14">
        <f ca="1"/>
      </c>
      <c r="AR155" s="14">
        <f ca="1"/>
      </c>
      <c r="AV155" s="14">
        <f ca="1"/>
      </c>
      <c r="AW155" s="14">
        <f ca="1"/>
      </c>
      <c r="AX155" s="14">
        <f ca="1"/>
      </c>
      <c r="AY155" s="14">
        <f ca="1"/>
      </c>
      <c r="AZ155" s="14">
        <f ca="1"/>
      </c>
      <c r="BB155">
        <f ca="1"/>
      </c>
      <c r="BC155">
        <f ca="1"/>
      </c>
      <c r="BD155">
        <f ca="1"/>
      </c>
      <c r="BF155" s="7">
        <f ca="1"/>
      </c>
      <c r="BG155" s="14">
        <f ca="1"/>
      </c>
      <c r="BH155" s="14">
        <f ca="1"/>
      </c>
      <c r="BI155" s="14">
        <f ca="1"/>
      </c>
      <c r="BJ155" s="14">
        <f ca="1"/>
      </c>
      <c r="BK155" s="14">
        <f ca="1"/>
      </c>
    </row>
    <row r="156" spans="28:63" x14ac:dyDescent="0.55000000000000004">
      <c r="AB156">
        <f ca="1"/>
      </c>
      <c r="AC156">
        <f ca="1"/>
      </c>
      <c r="AD156">
        <f ca="1"/>
      </c>
      <c r="AE156">
        <f ca="1"/>
      </c>
      <c r="AF156">
        <f ca="1"/>
      </c>
      <c r="AG156">
        <f ca="1"/>
      </c>
      <c r="AH156">
        <f ca="1"/>
      </c>
      <c r="AL156" s="7">
        <f ca="1"/>
      </c>
      <c r="AM156" s="14">
        <f ca="1"/>
      </c>
      <c r="AN156" s="14">
        <f ca="1"/>
      </c>
      <c r="AO156" s="14">
        <f ca="1"/>
      </c>
      <c r="AP156" s="14">
        <f ca="1"/>
      </c>
      <c r="AQ156" s="14">
        <f ca="1"/>
      </c>
      <c r="AR156" s="14">
        <f ca="1"/>
      </c>
      <c r="AV156" s="14">
        <f ca="1"/>
      </c>
      <c r="AW156" s="14">
        <f ca="1"/>
      </c>
      <c r="AX156" s="14">
        <f ca="1"/>
      </c>
      <c r="AY156" s="14">
        <f ca="1"/>
      </c>
      <c r="AZ156" s="14">
        <f ca="1"/>
      </c>
      <c r="BB156">
        <f ca="1"/>
      </c>
      <c r="BC156">
        <f ca="1"/>
      </c>
      <c r="BD156">
        <f ca="1"/>
      </c>
      <c r="BF156" s="7">
        <f ca="1"/>
      </c>
      <c r="BG156" s="14">
        <f ca="1"/>
      </c>
      <c r="BH156" s="14">
        <f ca="1"/>
      </c>
      <c r="BI156" s="14">
        <f ca="1"/>
      </c>
      <c r="BJ156" s="14">
        <f ca="1"/>
      </c>
      <c r="BK156" s="14">
        <f ca="1"/>
      </c>
    </row>
    <row r="157" spans="28:63" x14ac:dyDescent="0.55000000000000004">
      <c r="AB157">
        <f ca="1"/>
      </c>
      <c r="AC157">
        <f ca="1"/>
      </c>
      <c r="AD157">
        <f ca="1"/>
      </c>
      <c r="AE157">
        <f ca="1"/>
      </c>
      <c r="AF157">
        <f ca="1"/>
      </c>
      <c r="AG157">
        <f ca="1"/>
      </c>
      <c r="AH157">
        <f ca="1"/>
      </c>
      <c r="AL157" s="7">
        <f ca="1"/>
      </c>
      <c r="AM157" s="14">
        <f ca="1"/>
      </c>
      <c r="AN157" s="14">
        <f ca="1"/>
      </c>
      <c r="AO157" s="14">
        <f ca="1"/>
      </c>
      <c r="AP157" s="14">
        <f ca="1"/>
      </c>
      <c r="AQ157" s="14">
        <f ca="1"/>
      </c>
      <c r="AR157" s="14">
        <f ca="1"/>
      </c>
      <c r="AV157" s="14">
        <f ca="1"/>
      </c>
      <c r="AW157" s="14">
        <f ca="1"/>
      </c>
      <c r="AX157" s="14">
        <f ca="1"/>
      </c>
      <c r="AY157" s="14">
        <f ca="1"/>
      </c>
      <c r="AZ157" s="14">
        <f ca="1"/>
      </c>
      <c r="BB157">
        <f ca="1"/>
      </c>
      <c r="BC157">
        <f ca="1"/>
      </c>
      <c r="BD157">
        <f ca="1"/>
      </c>
      <c r="BF157" s="7">
        <f ca="1"/>
      </c>
      <c r="BG157" s="14">
        <f ca="1"/>
      </c>
      <c r="BH157" s="14">
        <f ca="1"/>
      </c>
      <c r="BI157" s="14">
        <f ca="1"/>
      </c>
      <c r="BJ157" s="14">
        <f ca="1"/>
      </c>
      <c r="BK157" s="14">
        <f ca="1"/>
      </c>
    </row>
    <row r="158" spans="28:63" x14ac:dyDescent="0.55000000000000004">
      <c r="AB158">
        <f ca="1"/>
      </c>
      <c r="AC158">
        <f ca="1"/>
      </c>
      <c r="AD158">
        <f ca="1"/>
      </c>
      <c r="AE158">
        <f ca="1"/>
      </c>
      <c r="AF158">
        <f ca="1"/>
      </c>
      <c r="AG158">
        <f ca="1"/>
      </c>
      <c r="AH158">
        <f ca="1"/>
      </c>
      <c r="AL158" s="7">
        <f ca="1"/>
      </c>
      <c r="AM158" s="14">
        <f ca="1"/>
      </c>
      <c r="AN158" s="14">
        <f ca="1"/>
      </c>
      <c r="AO158" s="14">
        <f ca="1"/>
      </c>
      <c r="AP158" s="14">
        <f ca="1"/>
      </c>
      <c r="AQ158" s="14">
        <f ca="1"/>
      </c>
      <c r="AR158" s="14">
        <f ca="1"/>
      </c>
      <c r="AV158" s="14">
        <f ca="1"/>
      </c>
      <c r="AW158" s="14">
        <f ca="1"/>
      </c>
      <c r="AX158" s="14">
        <f ca="1"/>
      </c>
      <c r="AY158" s="14">
        <f ca="1"/>
      </c>
      <c r="AZ158" s="14">
        <f ca="1"/>
      </c>
      <c r="BB158">
        <f ca="1"/>
      </c>
      <c r="BC158">
        <f ca="1"/>
      </c>
      <c r="BD158">
        <f ca="1"/>
      </c>
      <c r="BF158" s="7">
        <f ca="1"/>
      </c>
      <c r="BG158" s="14">
        <f ca="1"/>
      </c>
      <c r="BH158" s="14">
        <f ca="1"/>
      </c>
      <c r="BI158" s="14">
        <f ca="1"/>
      </c>
      <c r="BJ158" s="14">
        <f ca="1"/>
      </c>
      <c r="BK158" s="14">
        <f ca="1"/>
      </c>
    </row>
    <row r="159" spans="28:63" x14ac:dyDescent="0.55000000000000004">
      <c r="AB159">
        <f ca="1"/>
      </c>
      <c r="AC159">
        <f ca="1"/>
      </c>
      <c r="AD159">
        <f ca="1"/>
      </c>
      <c r="AE159">
        <f ca="1"/>
      </c>
      <c r="AF159">
        <f ca="1"/>
      </c>
      <c r="AG159">
        <f ca="1"/>
      </c>
      <c r="AH159">
        <f ca="1"/>
      </c>
      <c r="AL159" s="7">
        <f ca="1"/>
      </c>
      <c r="AM159" s="14">
        <f ca="1"/>
      </c>
      <c r="AN159" s="14">
        <f ca="1"/>
      </c>
      <c r="AO159" s="14">
        <f ca="1"/>
      </c>
      <c r="AP159" s="14">
        <f ca="1"/>
      </c>
      <c r="AQ159" s="14">
        <f ca="1"/>
      </c>
      <c r="AR159" s="14">
        <f ca="1"/>
      </c>
      <c r="AV159" s="14">
        <f ca="1"/>
      </c>
      <c r="AW159" s="14">
        <f ca="1"/>
      </c>
      <c r="AX159" s="14">
        <f ca="1"/>
      </c>
      <c r="AY159" s="14">
        <f ca="1"/>
      </c>
      <c r="AZ159" s="14">
        <f ca="1"/>
      </c>
      <c r="BB159">
        <f ca="1"/>
      </c>
      <c r="BC159">
        <f ca="1"/>
      </c>
      <c r="BD159">
        <f ca="1"/>
      </c>
      <c r="BF159" s="7">
        <f ca="1"/>
      </c>
      <c r="BG159" s="14">
        <f ca="1"/>
      </c>
      <c r="BH159" s="14">
        <f ca="1"/>
      </c>
      <c r="BI159" s="14">
        <f ca="1"/>
      </c>
      <c r="BJ159" s="14">
        <f ca="1"/>
      </c>
      <c r="BK159" s="14">
        <f ca="1"/>
      </c>
    </row>
    <row r="160" spans="28:63" x14ac:dyDescent="0.55000000000000004">
      <c r="AB160">
        <f ca="1"/>
      </c>
      <c r="AC160">
        <f ca="1"/>
      </c>
      <c r="AD160">
        <f ca="1"/>
      </c>
      <c r="AE160">
        <f ca="1"/>
      </c>
      <c r="AF160">
        <f ca="1"/>
      </c>
      <c r="AG160">
        <f ca="1"/>
      </c>
      <c r="AH160">
        <f ca="1"/>
      </c>
      <c r="AL160" s="7">
        <f ca="1"/>
      </c>
      <c r="AM160" s="14">
        <f ca="1"/>
      </c>
      <c r="AN160" s="14">
        <f ca="1"/>
      </c>
      <c r="AO160" s="14">
        <f ca="1"/>
      </c>
      <c r="AP160" s="14">
        <f ca="1"/>
      </c>
      <c r="AQ160" s="14">
        <f ca="1"/>
      </c>
      <c r="AR160" s="14">
        <f ca="1"/>
      </c>
      <c r="AV160" s="14">
        <f ca="1"/>
      </c>
      <c r="AW160" s="14">
        <f ca="1"/>
      </c>
      <c r="AX160" s="14">
        <f ca="1"/>
      </c>
      <c r="AY160" s="14">
        <f ca="1"/>
      </c>
      <c r="AZ160" s="14">
        <f ca="1"/>
      </c>
      <c r="BB160">
        <f ca="1"/>
      </c>
      <c r="BC160">
        <f ca="1"/>
      </c>
      <c r="BD160">
        <f ca="1"/>
      </c>
      <c r="BF160" s="7">
        <f ca="1"/>
      </c>
      <c r="BG160" s="14">
        <f ca="1"/>
      </c>
      <c r="BH160" s="14">
        <f ca="1"/>
      </c>
      <c r="BI160" s="14">
        <f ca="1"/>
      </c>
      <c r="BJ160" s="14">
        <f ca="1"/>
      </c>
      <c r="BK160" s="14">
        <f ca="1"/>
      </c>
    </row>
    <row r="161" spans="28:63" x14ac:dyDescent="0.55000000000000004">
      <c r="AB161">
        <f ca="1"/>
      </c>
      <c r="AC161">
        <f ca="1"/>
      </c>
      <c r="AD161">
        <f ca="1"/>
      </c>
      <c r="AE161">
        <f ca="1"/>
      </c>
      <c r="AF161">
        <f ca="1"/>
      </c>
      <c r="AG161">
        <f ca="1"/>
      </c>
      <c r="AH161">
        <f ca="1"/>
      </c>
      <c r="AL161" s="7">
        <f ca="1"/>
      </c>
      <c r="AM161" s="14">
        <f ca="1"/>
      </c>
      <c r="AN161" s="14">
        <f ca="1"/>
      </c>
      <c r="AO161" s="14">
        <f ca="1"/>
      </c>
      <c r="AP161" s="14">
        <f ca="1"/>
      </c>
      <c r="AQ161" s="14">
        <f ca="1"/>
      </c>
      <c r="AR161" s="14">
        <f ca="1"/>
      </c>
      <c r="AV161" s="14">
        <f ca="1"/>
      </c>
      <c r="AW161" s="14">
        <f ca="1"/>
      </c>
      <c r="AX161" s="14">
        <f ca="1"/>
      </c>
      <c r="AY161" s="14">
        <f ca="1"/>
      </c>
      <c r="AZ161" s="14">
        <f ca="1"/>
      </c>
      <c r="BB161">
        <f ca="1"/>
      </c>
      <c r="BC161">
        <f ca="1"/>
      </c>
      <c r="BD161">
        <f ca="1"/>
      </c>
      <c r="BF161" s="7">
        <f ca="1"/>
      </c>
      <c r="BG161" s="14">
        <f ca="1"/>
      </c>
      <c r="BH161" s="14">
        <f ca="1"/>
      </c>
      <c r="BI161" s="14">
        <f ca="1"/>
      </c>
      <c r="BJ161" s="14">
        <f ca="1"/>
      </c>
      <c r="BK161" s="14">
        <f ca="1"/>
      </c>
    </row>
    <row r="162" spans="28:63" x14ac:dyDescent="0.55000000000000004">
      <c r="AB162">
        <f ca="1"/>
      </c>
      <c r="AC162">
        <f ca="1"/>
      </c>
      <c r="AD162">
        <f ca="1"/>
      </c>
      <c r="AE162">
        <f ca="1"/>
      </c>
      <c r="AF162">
        <f ca="1"/>
      </c>
      <c r="AG162">
        <f ca="1"/>
      </c>
      <c r="AH162">
        <f ca="1"/>
      </c>
      <c r="AL162" s="7">
        <f ca="1"/>
      </c>
      <c r="AM162" s="14">
        <f ca="1"/>
      </c>
      <c r="AN162" s="14">
        <f ca="1"/>
      </c>
      <c r="AO162" s="14">
        <f ca="1"/>
      </c>
      <c r="AP162" s="14">
        <f ca="1"/>
      </c>
      <c r="AQ162" s="14">
        <f ca="1"/>
      </c>
      <c r="AR162" s="14">
        <f ca="1"/>
      </c>
      <c r="AV162" s="14">
        <f ca="1"/>
      </c>
      <c r="AW162" s="14">
        <f ca="1"/>
      </c>
      <c r="AX162" s="14">
        <f ca="1"/>
      </c>
      <c r="AY162" s="14">
        <f ca="1"/>
      </c>
      <c r="AZ162" s="14">
        <f ca="1"/>
      </c>
      <c r="BB162">
        <f ca="1"/>
      </c>
      <c r="BC162">
        <f ca="1"/>
      </c>
      <c r="BD162">
        <f ca="1"/>
      </c>
      <c r="BF162" s="7">
        <f ca="1"/>
      </c>
      <c r="BG162" s="14">
        <f ca="1"/>
      </c>
      <c r="BH162" s="14">
        <f ca="1"/>
      </c>
      <c r="BI162" s="14">
        <f ca="1"/>
      </c>
      <c r="BJ162" s="14">
        <f ca="1"/>
      </c>
      <c r="BK162" s="14">
        <f ca="1"/>
      </c>
    </row>
    <row r="163" spans="28:63" x14ac:dyDescent="0.55000000000000004">
      <c r="AB163">
        <f ca="1"/>
      </c>
      <c r="AC163">
        <f ca="1"/>
      </c>
      <c r="AD163">
        <f ca="1"/>
      </c>
      <c r="AE163">
        <f ca="1"/>
      </c>
      <c r="AF163">
        <f ca="1"/>
      </c>
      <c r="AG163">
        <f ca="1"/>
      </c>
      <c r="AH163">
        <f ca="1"/>
      </c>
      <c r="AL163" s="7">
        <f ca="1"/>
      </c>
      <c r="AM163" s="14">
        <f ca="1"/>
      </c>
      <c r="AN163" s="14">
        <f ca="1"/>
      </c>
      <c r="AO163" s="14">
        <f ca="1"/>
      </c>
      <c r="AP163" s="14">
        <f ca="1"/>
      </c>
      <c r="AQ163" s="14">
        <f ca="1"/>
      </c>
      <c r="AR163" s="14">
        <f ca="1"/>
      </c>
      <c r="AV163" s="14">
        <f ca="1"/>
      </c>
      <c r="AW163" s="14">
        <f ca="1"/>
      </c>
      <c r="AX163" s="14">
        <f ca="1"/>
      </c>
      <c r="AY163" s="14">
        <f ca="1"/>
      </c>
      <c r="AZ163" s="14">
        <f ca="1"/>
      </c>
      <c r="BB163">
        <f ca="1"/>
      </c>
      <c r="BC163">
        <f ca="1"/>
      </c>
      <c r="BD163">
        <f ca="1"/>
      </c>
      <c r="BF163" s="7">
        <f ca="1"/>
      </c>
      <c r="BG163" s="14">
        <f ca="1"/>
      </c>
      <c r="BH163" s="14">
        <f ca="1"/>
      </c>
      <c r="BI163" s="14">
        <f ca="1"/>
      </c>
      <c r="BJ163" s="14">
        <f ca="1"/>
      </c>
      <c r="BK163" s="14">
        <f ca="1"/>
      </c>
    </row>
    <row r="164" spans="28:63" x14ac:dyDescent="0.55000000000000004">
      <c r="AB164">
        <f ca="1"/>
      </c>
      <c r="AC164">
        <f ca="1"/>
      </c>
      <c r="AD164">
        <f ca="1"/>
      </c>
      <c r="AE164">
        <f ca="1"/>
      </c>
      <c r="AF164">
        <f ca="1"/>
      </c>
      <c r="AG164">
        <f ca="1"/>
      </c>
      <c r="AH164">
        <f ca="1"/>
      </c>
      <c r="AL164" s="7">
        <f ca="1"/>
      </c>
      <c r="AM164" s="14">
        <f ca="1"/>
      </c>
      <c r="AN164" s="14">
        <f ca="1"/>
      </c>
      <c r="AO164" s="14">
        <f ca="1"/>
      </c>
      <c r="AP164" s="14">
        <f ca="1"/>
      </c>
      <c r="AQ164" s="14">
        <f ca="1"/>
      </c>
      <c r="AR164" s="14">
        <f ca="1"/>
      </c>
      <c r="AV164" s="14">
        <f ca="1"/>
      </c>
      <c r="AW164" s="14">
        <f ca="1"/>
      </c>
      <c r="AX164" s="14">
        <f ca="1"/>
      </c>
      <c r="AY164" s="14">
        <f ca="1"/>
      </c>
      <c r="AZ164" s="14">
        <f ca="1"/>
      </c>
      <c r="BB164">
        <f ca="1"/>
      </c>
      <c r="BC164">
        <f ca="1"/>
      </c>
      <c r="BD164">
        <f ca="1"/>
      </c>
      <c r="BF164" s="7">
        <f ca="1"/>
      </c>
      <c r="BG164" s="14">
        <f ca="1"/>
      </c>
      <c r="BH164" s="14">
        <f ca="1"/>
      </c>
      <c r="BI164" s="14">
        <f ca="1"/>
      </c>
      <c r="BJ164" s="14">
        <f ca="1"/>
      </c>
      <c r="BK164" s="14">
        <f ca="1"/>
      </c>
    </row>
    <row r="165" spans="28:63" x14ac:dyDescent="0.55000000000000004">
      <c r="AB165">
        <f ca="1"/>
      </c>
      <c r="AC165">
        <f ca="1"/>
      </c>
      <c r="AD165">
        <f ca="1"/>
      </c>
      <c r="AE165">
        <f ca="1"/>
      </c>
      <c r="AF165">
        <f ca="1"/>
      </c>
      <c r="AG165">
        <f ca="1"/>
      </c>
      <c r="AH165">
        <f ca="1"/>
      </c>
      <c r="AL165" s="7">
        <f ca="1"/>
      </c>
      <c r="AM165" s="14">
        <f ca="1"/>
      </c>
      <c r="AN165" s="14">
        <f ca="1"/>
      </c>
      <c r="AO165" s="14">
        <f ca="1"/>
      </c>
      <c r="AP165" s="14">
        <f ca="1"/>
      </c>
      <c r="AQ165" s="14">
        <f ca="1"/>
      </c>
      <c r="AR165" s="14">
        <f ca="1"/>
      </c>
      <c r="AV165" s="14">
        <f ca="1"/>
      </c>
      <c r="AW165" s="14">
        <f ca="1"/>
      </c>
      <c r="AX165" s="14">
        <f ca="1"/>
      </c>
      <c r="AY165" s="14">
        <f ca="1"/>
      </c>
      <c r="AZ165" s="14">
        <f ca="1"/>
      </c>
      <c r="BB165">
        <f ca="1"/>
      </c>
      <c r="BC165">
        <f ca="1"/>
      </c>
      <c r="BD165">
        <f ca="1"/>
      </c>
      <c r="BF165" s="7">
        <f ca="1"/>
      </c>
      <c r="BG165" s="14">
        <f ca="1"/>
      </c>
      <c r="BH165" s="14">
        <f ca="1"/>
      </c>
      <c r="BI165" s="14">
        <f ca="1"/>
      </c>
      <c r="BJ165" s="14">
        <f ca="1"/>
      </c>
      <c r="BK165" s="14">
        <f ca="1"/>
      </c>
    </row>
    <row r="166" spans="28:63" x14ac:dyDescent="0.55000000000000004">
      <c r="AB166">
        <f ca="1"/>
      </c>
      <c r="AC166">
        <f ca="1"/>
      </c>
      <c r="AD166">
        <f ca="1"/>
      </c>
      <c r="AE166">
        <f ca="1"/>
      </c>
      <c r="AF166">
        <f ca="1"/>
      </c>
      <c r="AG166">
        <f ca="1"/>
      </c>
      <c r="AH166">
        <f ca="1"/>
      </c>
      <c r="AL166" s="7">
        <f ca="1"/>
      </c>
      <c r="AM166" s="14">
        <f ca="1"/>
      </c>
      <c r="AN166" s="14">
        <f ca="1"/>
      </c>
      <c r="AO166" s="14">
        <f ca="1"/>
      </c>
      <c r="AP166" s="14">
        <f ca="1"/>
      </c>
      <c r="AQ166" s="14">
        <f ca="1"/>
      </c>
      <c r="AR166" s="14">
        <f ca="1"/>
      </c>
      <c r="AV166" s="14">
        <f ca="1"/>
      </c>
      <c r="AW166" s="14">
        <f ca="1"/>
      </c>
      <c r="AX166" s="14">
        <f ca="1"/>
      </c>
      <c r="AY166" s="14">
        <f ca="1"/>
      </c>
      <c r="AZ166" s="14">
        <f ca="1"/>
      </c>
      <c r="BB166">
        <f ca="1"/>
      </c>
      <c r="BC166">
        <f ca="1"/>
      </c>
      <c r="BD166">
        <f ca="1"/>
      </c>
      <c r="BF166" s="7">
        <f ca="1"/>
      </c>
      <c r="BG166" s="14">
        <f ca="1"/>
      </c>
      <c r="BH166" s="14">
        <f ca="1"/>
      </c>
      <c r="BI166" s="14">
        <f ca="1"/>
      </c>
      <c r="BJ166" s="14">
        <f ca="1"/>
      </c>
      <c r="BK166" s="14">
        <f ca="1"/>
      </c>
    </row>
    <row r="167" spans="28:63" x14ac:dyDescent="0.55000000000000004">
      <c r="AB167">
        <f ca="1"/>
      </c>
      <c r="AC167">
        <f ca="1"/>
      </c>
      <c r="AD167">
        <f ca="1"/>
      </c>
      <c r="AE167">
        <f ca="1"/>
      </c>
      <c r="AF167">
        <f ca="1"/>
      </c>
      <c r="AG167">
        <f ca="1"/>
      </c>
      <c r="AH167">
        <f ca="1"/>
      </c>
      <c r="AL167" s="7">
        <f ca="1"/>
      </c>
      <c r="AM167" s="14">
        <f ca="1"/>
      </c>
      <c r="AN167" s="14">
        <f ca="1"/>
      </c>
      <c r="AO167" s="14">
        <f ca="1"/>
      </c>
      <c r="AP167" s="14">
        <f ca="1"/>
      </c>
      <c r="AQ167" s="14">
        <f ca="1"/>
      </c>
      <c r="AR167" s="14">
        <f ca="1"/>
      </c>
      <c r="AV167" s="14">
        <f ca="1"/>
      </c>
      <c r="AW167" s="14">
        <f ca="1"/>
      </c>
      <c r="AX167" s="14">
        <f ca="1"/>
      </c>
      <c r="AY167" s="14">
        <f ca="1"/>
      </c>
      <c r="AZ167" s="14">
        <f ca="1"/>
      </c>
      <c r="BB167">
        <f ca="1"/>
      </c>
      <c r="BC167">
        <f ca="1"/>
      </c>
      <c r="BD167">
        <f ca="1"/>
      </c>
      <c r="BF167" s="7">
        <f ca="1"/>
      </c>
      <c r="BG167" s="14">
        <f ca="1"/>
      </c>
      <c r="BH167" s="14">
        <f ca="1"/>
      </c>
      <c r="BI167" s="14">
        <f ca="1"/>
      </c>
      <c r="BJ167" s="14">
        <f ca="1"/>
      </c>
      <c r="BK167" s="14">
        <f ca="1"/>
      </c>
    </row>
    <row r="168" spans="28:63" x14ac:dyDescent="0.55000000000000004">
      <c r="AB168">
        <f ca="1"/>
      </c>
      <c r="AC168">
        <f ca="1"/>
      </c>
      <c r="AD168">
        <f ca="1"/>
      </c>
      <c r="AE168">
        <f ca="1"/>
      </c>
      <c r="AF168">
        <f ca="1"/>
      </c>
      <c r="AG168">
        <f ca="1"/>
      </c>
      <c r="AH168">
        <f ca="1"/>
      </c>
      <c r="AL168" s="7">
        <f ca="1"/>
      </c>
      <c r="AM168" s="14">
        <f ca="1"/>
      </c>
      <c r="AN168" s="14">
        <f ca="1"/>
      </c>
      <c r="AO168" s="14">
        <f ca="1"/>
      </c>
      <c r="AP168" s="14">
        <f ca="1"/>
      </c>
      <c r="AQ168" s="14">
        <f ca="1"/>
      </c>
      <c r="AR168" s="14">
        <f ca="1"/>
      </c>
      <c r="AV168" s="14">
        <f ca="1"/>
      </c>
      <c r="AW168" s="14">
        <f ca="1"/>
      </c>
      <c r="AX168" s="14">
        <f ca="1"/>
      </c>
      <c r="AY168" s="14">
        <f ca="1"/>
      </c>
      <c r="AZ168" s="14">
        <f ca="1"/>
      </c>
      <c r="BB168">
        <f ca="1"/>
      </c>
      <c r="BC168">
        <f ca="1"/>
      </c>
      <c r="BD168">
        <f ca="1"/>
      </c>
      <c r="BF168" s="7">
        <f ca="1"/>
      </c>
      <c r="BG168" s="14">
        <f ca="1"/>
      </c>
      <c r="BH168" s="14">
        <f ca="1"/>
      </c>
      <c r="BI168" s="14">
        <f ca="1"/>
      </c>
      <c r="BJ168" s="14">
        <f ca="1"/>
      </c>
      <c r="BK168" s="14">
        <f ca="1"/>
      </c>
    </row>
    <row r="169" spans="28:63" x14ac:dyDescent="0.55000000000000004">
      <c r="AB169">
        <f ca="1"/>
      </c>
      <c r="AC169">
        <f ca="1"/>
      </c>
      <c r="AD169">
        <f ca="1"/>
      </c>
      <c r="AE169">
        <f ca="1"/>
      </c>
      <c r="AF169">
        <f ca="1"/>
      </c>
      <c r="AG169">
        <f ca="1"/>
      </c>
      <c r="AH169">
        <f ca="1"/>
      </c>
      <c r="AL169" s="7">
        <f ca="1"/>
      </c>
      <c r="AM169" s="14">
        <f ca="1"/>
      </c>
      <c r="AN169" s="14">
        <f ca="1"/>
      </c>
      <c r="AO169" s="14">
        <f ca="1"/>
      </c>
      <c r="AP169" s="14">
        <f ca="1"/>
      </c>
      <c r="AQ169" s="14">
        <f ca="1"/>
      </c>
      <c r="AR169" s="14">
        <f ca="1"/>
      </c>
      <c r="AV169" s="14">
        <f ca="1"/>
      </c>
      <c r="AW169" s="14">
        <f ca="1"/>
      </c>
      <c r="AX169" s="14">
        <f ca="1"/>
      </c>
      <c r="AY169" s="14">
        <f ca="1"/>
      </c>
      <c r="AZ169" s="14">
        <f ca="1"/>
      </c>
      <c r="BB169">
        <f ca="1"/>
      </c>
      <c r="BC169">
        <f ca="1"/>
      </c>
      <c r="BD169">
        <f ca="1"/>
      </c>
      <c r="BF169" s="7">
        <f ca="1"/>
      </c>
      <c r="BG169" s="14">
        <f ca="1"/>
      </c>
      <c r="BH169" s="14">
        <f ca="1"/>
      </c>
      <c r="BI169" s="14">
        <f ca="1"/>
      </c>
      <c r="BJ169" s="14">
        <f ca="1"/>
      </c>
      <c r="BK169" s="14">
        <f ca="1"/>
      </c>
    </row>
    <row r="170" spans="28:63" x14ac:dyDescent="0.55000000000000004">
      <c r="AB170">
        <f ca="1"/>
      </c>
      <c r="AC170">
        <f ca="1"/>
      </c>
      <c r="AD170">
        <f ca="1"/>
      </c>
      <c r="AE170">
        <f ca="1"/>
      </c>
      <c r="AF170">
        <f ca="1"/>
      </c>
      <c r="AG170">
        <f ca="1"/>
      </c>
      <c r="AH170">
        <f ca="1"/>
      </c>
      <c r="AL170" s="7">
        <f ca="1"/>
      </c>
      <c r="AM170" s="14">
        <f ca="1"/>
      </c>
      <c r="AN170" s="14">
        <f ca="1"/>
      </c>
      <c r="AO170" s="14">
        <f ca="1"/>
      </c>
      <c r="AP170" s="14">
        <f ca="1"/>
      </c>
      <c r="AQ170" s="14">
        <f ca="1"/>
      </c>
      <c r="AR170" s="14">
        <f ca="1"/>
      </c>
      <c r="AV170" s="14">
        <f ca="1"/>
      </c>
      <c r="AW170" s="14">
        <f ca="1"/>
      </c>
      <c r="AX170" s="14">
        <f ca="1"/>
      </c>
      <c r="AY170" s="14">
        <f ca="1"/>
      </c>
      <c r="AZ170" s="14">
        <f ca="1"/>
      </c>
      <c r="BB170">
        <f ca="1"/>
      </c>
      <c r="BC170">
        <f ca="1"/>
      </c>
      <c r="BD170">
        <f ca="1"/>
      </c>
      <c r="BF170" s="7">
        <f ca="1"/>
      </c>
      <c r="BG170" s="14">
        <f ca="1"/>
      </c>
      <c r="BH170" s="14">
        <f ca="1"/>
      </c>
      <c r="BI170" s="14">
        <f ca="1"/>
      </c>
      <c r="BJ170" s="14">
        <f ca="1"/>
      </c>
      <c r="BK170" s="14">
        <f ca="1"/>
      </c>
    </row>
    <row r="171" spans="28:63" x14ac:dyDescent="0.55000000000000004">
      <c r="AB171">
        <f ca="1"/>
      </c>
      <c r="AC171">
        <f ca="1"/>
      </c>
      <c r="AD171">
        <f ca="1"/>
      </c>
      <c r="AE171">
        <f ca="1"/>
      </c>
      <c r="AF171">
        <f ca="1"/>
      </c>
      <c r="AG171">
        <f ca="1"/>
      </c>
      <c r="AH171">
        <f ca="1"/>
      </c>
      <c r="AL171" s="7">
        <f ca="1"/>
      </c>
      <c r="AM171" s="14">
        <f ca="1"/>
      </c>
      <c r="AN171" s="14">
        <f ca="1"/>
      </c>
      <c r="AO171" s="14">
        <f ca="1"/>
      </c>
      <c r="AP171" s="14">
        <f ca="1"/>
      </c>
      <c r="AQ171" s="14">
        <f ca="1"/>
      </c>
      <c r="AR171" s="14">
        <f ca="1"/>
      </c>
      <c r="AV171" s="14">
        <f ca="1"/>
      </c>
      <c r="AW171" s="14">
        <f ca="1"/>
      </c>
      <c r="AX171" s="14">
        <f ca="1"/>
      </c>
      <c r="AY171" s="14">
        <f ca="1"/>
      </c>
      <c r="AZ171" s="14">
        <f ca="1"/>
      </c>
      <c r="BB171">
        <f ca="1"/>
      </c>
      <c r="BC171">
        <f ca="1"/>
      </c>
      <c r="BD171">
        <f ca="1"/>
      </c>
      <c r="BF171" s="7">
        <f ca="1"/>
      </c>
      <c r="BG171" s="14">
        <f ca="1"/>
      </c>
      <c r="BH171" s="14">
        <f ca="1"/>
      </c>
      <c r="BI171" s="14">
        <f ca="1"/>
      </c>
      <c r="BJ171" s="14">
        <f ca="1"/>
      </c>
      <c r="BK171" s="14">
        <f ca="1"/>
      </c>
    </row>
    <row r="172" spans="28:63" x14ac:dyDescent="0.55000000000000004">
      <c r="AB172">
        <f ca="1"/>
      </c>
      <c r="AC172">
        <f ca="1"/>
      </c>
      <c r="AD172">
        <f ca="1"/>
      </c>
      <c r="AE172">
        <f ca="1"/>
      </c>
      <c r="AF172">
        <f ca="1"/>
      </c>
      <c r="AG172">
        <f ca="1"/>
      </c>
      <c r="AH172">
        <f ca="1"/>
      </c>
      <c r="AL172" s="7">
        <f ca="1"/>
      </c>
      <c r="AM172" s="14">
        <f ca="1"/>
      </c>
      <c r="AN172" s="14">
        <f ca="1"/>
      </c>
      <c r="AO172" s="14">
        <f ca="1"/>
      </c>
      <c r="AP172" s="14">
        <f ca="1"/>
      </c>
      <c r="AQ172" s="14">
        <f ca="1"/>
      </c>
      <c r="AR172" s="14">
        <f ca="1"/>
      </c>
      <c r="AV172" s="14">
        <f ca="1"/>
      </c>
      <c r="AW172" s="14">
        <f ca="1"/>
      </c>
      <c r="AX172" s="14">
        <f ca="1"/>
      </c>
      <c r="AY172" s="14">
        <f ca="1"/>
      </c>
      <c r="AZ172" s="14">
        <f ca="1"/>
      </c>
      <c r="BB172">
        <f ca="1"/>
      </c>
      <c r="BC172">
        <f ca="1"/>
      </c>
      <c r="BD172">
        <f ca="1"/>
      </c>
      <c r="BF172" s="7">
        <f ca="1"/>
      </c>
      <c r="BG172" s="14">
        <f ca="1"/>
      </c>
      <c r="BH172" s="14">
        <f ca="1"/>
      </c>
      <c r="BI172" s="14">
        <f ca="1"/>
      </c>
      <c r="BJ172" s="14">
        <f ca="1"/>
      </c>
      <c r="BK172" s="14">
        <f ca="1"/>
      </c>
    </row>
    <row r="173" spans="28:63" x14ac:dyDescent="0.55000000000000004">
      <c r="AB173">
        <f ca="1"/>
      </c>
      <c r="AC173">
        <f ca="1"/>
      </c>
      <c r="AD173">
        <f ca="1"/>
      </c>
      <c r="AE173">
        <f ca="1"/>
      </c>
      <c r="AF173">
        <f ca="1"/>
      </c>
      <c r="AG173">
        <f ca="1"/>
      </c>
      <c r="AH173">
        <f ca="1"/>
      </c>
      <c r="AL173" s="7">
        <f ca="1"/>
      </c>
      <c r="AM173" s="14">
        <f ca="1"/>
      </c>
      <c r="AN173" s="14">
        <f ca="1"/>
      </c>
      <c r="AO173" s="14">
        <f ca="1"/>
      </c>
      <c r="AP173" s="14">
        <f ca="1"/>
      </c>
      <c r="AQ173" s="14">
        <f ca="1"/>
      </c>
      <c r="AR173" s="14">
        <f ca="1"/>
      </c>
      <c r="AV173" s="14">
        <f ca="1"/>
      </c>
      <c r="AW173" s="14">
        <f ca="1"/>
      </c>
      <c r="AX173" s="14">
        <f ca="1"/>
      </c>
      <c r="AY173" s="14">
        <f ca="1"/>
      </c>
      <c r="AZ173" s="14">
        <f ca="1"/>
      </c>
      <c r="BB173">
        <f ca="1"/>
      </c>
      <c r="BC173">
        <f ca="1"/>
      </c>
      <c r="BD173">
        <f ca="1"/>
      </c>
      <c r="BF173" s="7">
        <f ca="1"/>
      </c>
      <c r="BG173" s="14">
        <f ca="1"/>
      </c>
      <c r="BH173" s="14">
        <f ca="1"/>
      </c>
      <c r="BI173" s="14">
        <f ca="1"/>
      </c>
      <c r="BJ173" s="14">
        <f ca="1"/>
      </c>
      <c r="BK173" s="14">
        <f ca="1"/>
      </c>
    </row>
    <row r="174" spans="28:63" x14ac:dyDescent="0.55000000000000004">
      <c r="AB174">
        <f ca="1"/>
      </c>
      <c r="AC174">
        <f ca="1"/>
      </c>
      <c r="AD174">
        <f ca="1"/>
      </c>
      <c r="AE174">
        <f ca="1"/>
      </c>
      <c r="AF174">
        <f ca="1"/>
      </c>
      <c r="AG174">
        <f ca="1"/>
      </c>
      <c r="AH174">
        <f ca="1"/>
      </c>
      <c r="AL174" s="7">
        <f ca="1"/>
      </c>
      <c r="AM174" s="14">
        <f ca="1"/>
      </c>
      <c r="AN174" s="14">
        <f ca="1"/>
      </c>
      <c r="AO174" s="14">
        <f ca="1"/>
      </c>
      <c r="AP174" s="14">
        <f ca="1"/>
      </c>
      <c r="AQ174" s="14">
        <f ca="1"/>
      </c>
      <c r="AR174" s="14">
        <f ca="1"/>
      </c>
      <c r="AV174" s="14">
        <f ca="1"/>
      </c>
      <c r="AW174" s="14">
        <f ca="1"/>
      </c>
      <c r="AX174" s="14">
        <f ca="1"/>
      </c>
      <c r="AY174" s="14">
        <f ca="1"/>
      </c>
      <c r="AZ174" s="14">
        <f ca="1"/>
      </c>
      <c r="BB174">
        <f ca="1"/>
      </c>
      <c r="BC174">
        <f ca="1"/>
      </c>
      <c r="BD174">
        <f ca="1"/>
      </c>
      <c r="BF174" s="7">
        <f ca="1"/>
      </c>
      <c r="BG174" s="14">
        <f ca="1"/>
      </c>
      <c r="BH174" s="14">
        <f ca="1"/>
      </c>
      <c r="BI174" s="14">
        <f ca="1"/>
      </c>
      <c r="BJ174" s="14">
        <f ca="1"/>
      </c>
      <c r="BK174" s="14">
        <f ca="1"/>
      </c>
    </row>
    <row r="175" spans="28:63" x14ac:dyDescent="0.55000000000000004">
      <c r="AB175">
        <f ca="1"/>
      </c>
      <c r="AC175">
        <f ca="1"/>
      </c>
      <c r="AD175">
        <f ca="1"/>
      </c>
      <c r="AE175">
        <f ca="1"/>
      </c>
      <c r="AF175">
        <f ca="1"/>
      </c>
      <c r="AG175">
        <f ca="1"/>
      </c>
      <c r="AH175">
        <f ca="1"/>
      </c>
      <c r="AL175" s="7">
        <f ca="1"/>
      </c>
      <c r="AM175" s="14">
        <f ca="1"/>
      </c>
      <c r="AN175" s="14">
        <f ca="1"/>
      </c>
      <c r="AO175" s="14">
        <f ca="1"/>
      </c>
      <c r="AP175" s="14">
        <f ca="1"/>
      </c>
      <c r="AQ175" s="14">
        <f ca="1"/>
      </c>
      <c r="AR175" s="14">
        <f ca="1"/>
      </c>
      <c r="AV175" s="14">
        <f ca="1"/>
      </c>
      <c r="AW175" s="14">
        <f ca="1"/>
      </c>
      <c r="AX175" s="14">
        <f ca="1"/>
      </c>
      <c r="AY175" s="14">
        <f ca="1"/>
      </c>
      <c r="AZ175" s="14">
        <f ca="1"/>
      </c>
      <c r="BB175">
        <f ca="1"/>
      </c>
      <c r="BC175">
        <f ca="1"/>
      </c>
      <c r="BD175">
        <f ca="1"/>
      </c>
      <c r="BF175" s="7">
        <f ca="1"/>
      </c>
      <c r="BG175" s="14">
        <f ca="1"/>
      </c>
      <c r="BH175" s="14">
        <f ca="1"/>
      </c>
      <c r="BI175" s="14">
        <f ca="1"/>
      </c>
      <c r="BJ175" s="14">
        <f ca="1"/>
      </c>
      <c r="BK175" s="14">
        <f ca="1"/>
      </c>
    </row>
    <row r="176" spans="28:63" x14ac:dyDescent="0.55000000000000004">
      <c r="AB176">
        <f ca="1"/>
      </c>
      <c r="AC176">
        <f ca="1"/>
      </c>
      <c r="AD176">
        <f ca="1"/>
      </c>
      <c r="AE176">
        <f ca="1"/>
      </c>
      <c r="AF176">
        <f ca="1"/>
      </c>
      <c r="AG176">
        <f ca="1"/>
      </c>
      <c r="AH176">
        <f ca="1"/>
      </c>
      <c r="AL176" s="7">
        <f ca="1"/>
      </c>
      <c r="AM176" s="14">
        <f ca="1"/>
      </c>
      <c r="AN176" s="14">
        <f ca="1"/>
      </c>
      <c r="AO176" s="14">
        <f ca="1"/>
      </c>
      <c r="AP176" s="14">
        <f ca="1"/>
      </c>
      <c r="AQ176" s="14">
        <f ca="1"/>
      </c>
      <c r="AR176" s="14">
        <f ca="1"/>
      </c>
      <c r="AV176" s="14">
        <f ca="1"/>
      </c>
      <c r="AW176" s="14">
        <f ca="1"/>
      </c>
      <c r="AX176" s="14">
        <f ca="1"/>
      </c>
      <c r="AY176" s="14">
        <f ca="1"/>
      </c>
      <c r="AZ176" s="14">
        <f ca="1"/>
      </c>
      <c r="BB176">
        <f ca="1"/>
      </c>
      <c r="BC176">
        <f ca="1"/>
      </c>
      <c r="BD176">
        <f ca="1"/>
      </c>
      <c r="BF176" s="7">
        <f ca="1"/>
      </c>
      <c r="BG176" s="14">
        <f ca="1"/>
      </c>
      <c r="BH176" s="14">
        <f ca="1"/>
      </c>
      <c r="BI176" s="14">
        <f ca="1"/>
      </c>
      <c r="BJ176" s="14">
        <f ca="1"/>
      </c>
      <c r="BK176" s="14">
        <f ca="1"/>
      </c>
    </row>
    <row r="177" spans="28:63" x14ac:dyDescent="0.55000000000000004">
      <c r="AB177">
        <f ca="1"/>
      </c>
      <c r="AC177">
        <f ca="1"/>
      </c>
      <c r="AD177">
        <f ca="1"/>
      </c>
      <c r="AE177">
        <f ca="1"/>
      </c>
      <c r="AF177">
        <f ca="1"/>
      </c>
      <c r="AG177">
        <f ca="1"/>
      </c>
      <c r="AH177">
        <f ca="1"/>
      </c>
      <c r="AL177" s="7">
        <f ca="1"/>
      </c>
      <c r="AM177" s="14">
        <f ca="1"/>
      </c>
      <c r="AN177" s="14">
        <f ca="1"/>
      </c>
      <c r="AO177" s="14">
        <f ca="1"/>
      </c>
      <c r="AP177" s="14">
        <f ca="1"/>
      </c>
      <c r="AQ177" s="14">
        <f ca="1"/>
      </c>
      <c r="AR177" s="14">
        <f ca="1"/>
      </c>
      <c r="AV177" s="14">
        <f ca="1"/>
      </c>
      <c r="AW177" s="14">
        <f ca="1"/>
      </c>
      <c r="AX177" s="14">
        <f ca="1"/>
      </c>
      <c r="AY177" s="14">
        <f ca="1"/>
      </c>
      <c r="AZ177" s="14">
        <f ca="1"/>
      </c>
      <c r="BB177">
        <f ca="1"/>
      </c>
      <c r="BC177">
        <f ca="1"/>
      </c>
      <c r="BD177">
        <f ca="1"/>
      </c>
      <c r="BF177" s="7">
        <f ca="1"/>
      </c>
      <c r="BG177" s="14">
        <f ca="1"/>
      </c>
      <c r="BH177" s="14">
        <f ca="1"/>
      </c>
      <c r="BI177" s="14">
        <f ca="1"/>
      </c>
      <c r="BJ177" s="14">
        <f ca="1"/>
      </c>
      <c r="BK177" s="14">
        <f ca="1"/>
      </c>
    </row>
    <row r="178" spans="28:63" x14ac:dyDescent="0.55000000000000004">
      <c r="AB178">
        <f ca="1"/>
      </c>
      <c r="AC178">
        <f ca="1"/>
      </c>
      <c r="AD178">
        <f ca="1"/>
      </c>
      <c r="AE178">
        <f ca="1"/>
      </c>
      <c r="AF178">
        <f ca="1"/>
      </c>
      <c r="AG178">
        <f ca="1"/>
      </c>
      <c r="AH178">
        <f ca="1"/>
      </c>
      <c r="AL178" s="7">
        <f ca="1"/>
      </c>
      <c r="AM178" s="14">
        <f ca="1"/>
      </c>
      <c r="AN178" s="14">
        <f ca="1"/>
      </c>
      <c r="AO178" s="14">
        <f ca="1"/>
      </c>
      <c r="AP178" s="14">
        <f ca="1"/>
      </c>
      <c r="AQ178" s="14">
        <f ca="1"/>
      </c>
      <c r="AR178" s="14">
        <f ca="1"/>
      </c>
      <c r="AV178" s="14">
        <f ca="1"/>
      </c>
      <c r="AW178" s="14">
        <f ca="1"/>
      </c>
      <c r="AX178" s="14">
        <f ca="1"/>
      </c>
      <c r="AY178" s="14">
        <f ca="1"/>
      </c>
      <c r="AZ178" s="14">
        <f ca="1"/>
      </c>
      <c r="BB178">
        <f ca="1"/>
      </c>
      <c r="BC178">
        <f ca="1"/>
      </c>
      <c r="BD178">
        <f ca="1"/>
      </c>
      <c r="BF178" s="7">
        <f ca="1"/>
      </c>
      <c r="BG178" s="14">
        <f ca="1"/>
      </c>
      <c r="BH178" s="14">
        <f ca="1"/>
      </c>
      <c r="BI178" s="14">
        <f ca="1"/>
      </c>
      <c r="BJ178" s="14">
        <f ca="1"/>
      </c>
      <c r="BK178" s="14">
        <f ca="1"/>
      </c>
    </row>
    <row r="179" spans="28:63" x14ac:dyDescent="0.55000000000000004">
      <c r="AB179">
        <f ca="1"/>
      </c>
      <c r="AC179">
        <f ca="1"/>
      </c>
      <c r="AD179">
        <f ca="1"/>
      </c>
      <c r="AE179">
        <f ca="1"/>
      </c>
      <c r="AF179">
        <f ca="1"/>
      </c>
      <c r="AG179">
        <f ca="1"/>
      </c>
      <c r="AH179">
        <f ca="1"/>
      </c>
      <c r="AL179" s="7">
        <f ca="1"/>
      </c>
      <c r="AM179" s="14">
        <f ca="1"/>
      </c>
      <c r="AN179" s="14">
        <f ca="1"/>
      </c>
      <c r="AO179" s="14">
        <f ca="1"/>
      </c>
      <c r="AP179" s="14">
        <f ca="1"/>
      </c>
      <c r="AQ179" s="14">
        <f ca="1"/>
      </c>
      <c r="AR179" s="14">
        <f ca="1"/>
      </c>
      <c r="AV179" s="14">
        <f ca="1"/>
      </c>
      <c r="AW179" s="14">
        <f ca="1"/>
      </c>
      <c r="AX179" s="14">
        <f ca="1"/>
      </c>
      <c r="AY179" s="14">
        <f ca="1"/>
      </c>
      <c r="AZ179" s="14">
        <f ca="1"/>
      </c>
      <c r="BB179">
        <f ca="1"/>
      </c>
      <c r="BC179">
        <f ca="1"/>
      </c>
      <c r="BD179">
        <f ca="1"/>
      </c>
      <c r="BF179" s="7">
        <f ca="1"/>
      </c>
      <c r="BG179" s="14">
        <f ca="1"/>
      </c>
      <c r="BH179" s="14">
        <f ca="1"/>
      </c>
      <c r="BI179" s="14">
        <f ca="1"/>
      </c>
      <c r="BJ179" s="14">
        <f ca="1"/>
      </c>
      <c r="BK179" s="14">
        <f ca="1"/>
      </c>
    </row>
    <row r="180" spans="28:63" x14ac:dyDescent="0.55000000000000004">
      <c r="AB180">
        <f ca="1"/>
      </c>
      <c r="AC180">
        <f ca="1"/>
      </c>
      <c r="AD180">
        <f ca="1"/>
      </c>
      <c r="AE180">
        <f ca="1"/>
      </c>
      <c r="AF180">
        <f ca="1"/>
      </c>
      <c r="AG180">
        <f ca="1"/>
      </c>
      <c r="AH180">
        <f ca="1"/>
      </c>
      <c r="AL180" s="7">
        <f ca="1"/>
      </c>
      <c r="AM180" s="14">
        <f ca="1"/>
      </c>
      <c r="AN180" s="14">
        <f ca="1"/>
      </c>
      <c r="AO180" s="14">
        <f ca="1"/>
      </c>
      <c r="AP180" s="14">
        <f ca="1"/>
      </c>
      <c r="AQ180" s="14">
        <f ca="1"/>
      </c>
      <c r="AR180" s="14">
        <f ca="1"/>
      </c>
      <c r="AV180" s="14">
        <f ca="1"/>
      </c>
      <c r="AW180" s="14">
        <f ca="1"/>
      </c>
      <c r="AX180" s="14">
        <f ca="1"/>
      </c>
      <c r="AY180" s="14">
        <f ca="1"/>
      </c>
      <c r="AZ180" s="14">
        <f ca="1"/>
      </c>
      <c r="BB180">
        <f ca="1"/>
      </c>
      <c r="BC180">
        <f ca="1"/>
      </c>
      <c r="BD180">
        <f ca="1"/>
      </c>
      <c r="BF180" s="7">
        <f ca="1"/>
      </c>
      <c r="BG180" s="14">
        <f ca="1"/>
      </c>
      <c r="BH180" s="14">
        <f ca="1"/>
      </c>
      <c r="BI180" s="14">
        <f ca="1"/>
      </c>
      <c r="BJ180" s="14">
        <f ca="1"/>
      </c>
      <c r="BK180" s="14">
        <f ca="1"/>
      </c>
    </row>
    <row r="181" spans="28:63" x14ac:dyDescent="0.55000000000000004">
      <c r="AB181">
        <f ca="1"/>
      </c>
      <c r="AC181">
        <f ca="1"/>
      </c>
      <c r="AD181">
        <f ca="1"/>
      </c>
      <c r="AE181">
        <f ca="1"/>
      </c>
      <c r="AF181">
        <f ca="1"/>
      </c>
      <c r="AG181">
        <f ca="1"/>
      </c>
      <c r="AH181">
        <f ca="1"/>
      </c>
      <c r="AL181" s="7">
        <f ca="1"/>
      </c>
      <c r="AM181" s="14">
        <f ca="1"/>
      </c>
      <c r="AN181" s="14">
        <f ca="1"/>
      </c>
      <c r="AO181" s="14">
        <f ca="1"/>
      </c>
      <c r="AP181" s="14">
        <f ca="1"/>
      </c>
      <c r="AQ181" s="14">
        <f ca="1"/>
      </c>
      <c r="AR181" s="14">
        <f ca="1"/>
      </c>
      <c r="AV181" s="14">
        <f ca="1"/>
      </c>
      <c r="AW181" s="14">
        <f ca="1"/>
      </c>
      <c r="AX181" s="14">
        <f ca="1"/>
      </c>
      <c r="AY181" s="14">
        <f ca="1"/>
      </c>
      <c r="AZ181" s="14">
        <f ca="1"/>
      </c>
      <c r="BB181">
        <f ca="1"/>
      </c>
      <c r="BC181">
        <f ca="1"/>
      </c>
      <c r="BD181">
        <f ca="1"/>
      </c>
      <c r="BF181" s="7">
        <f ca="1"/>
      </c>
      <c r="BG181" s="14">
        <f ca="1"/>
      </c>
      <c r="BH181" s="14">
        <f ca="1"/>
      </c>
      <c r="BI181" s="14">
        <f ca="1"/>
      </c>
      <c r="BJ181" s="14">
        <f ca="1"/>
      </c>
      <c r="BK181" s="14">
        <f ca="1"/>
      </c>
    </row>
    <row r="182" spans="28:63" x14ac:dyDescent="0.55000000000000004">
      <c r="AB182">
        <f ca="1"/>
      </c>
      <c r="AC182">
        <f ca="1"/>
      </c>
      <c r="AD182">
        <f ca="1"/>
      </c>
      <c r="AE182">
        <f ca="1"/>
      </c>
      <c r="AF182">
        <f ca="1"/>
      </c>
      <c r="AG182">
        <f ca="1"/>
      </c>
      <c r="AH182">
        <f ca="1"/>
      </c>
      <c r="AL182" s="7">
        <f ca="1"/>
      </c>
      <c r="AM182" s="14">
        <f ca="1"/>
      </c>
      <c r="AN182" s="14">
        <f ca="1"/>
      </c>
      <c r="AO182" s="14">
        <f ca="1"/>
      </c>
      <c r="AP182" s="14">
        <f ca="1"/>
      </c>
      <c r="AQ182" s="14">
        <f ca="1"/>
      </c>
      <c r="AR182" s="14">
        <f ca="1"/>
      </c>
      <c r="AV182" s="14">
        <f ca="1"/>
      </c>
      <c r="AW182" s="14">
        <f ca="1"/>
      </c>
      <c r="AX182" s="14">
        <f ca="1"/>
      </c>
      <c r="AY182" s="14">
        <f ca="1"/>
      </c>
      <c r="AZ182" s="14">
        <f ca="1"/>
      </c>
      <c r="BB182">
        <f ca="1"/>
      </c>
      <c r="BC182">
        <f ca="1"/>
      </c>
      <c r="BD182">
        <f ca="1"/>
      </c>
      <c r="BF182" s="7">
        <f ca="1"/>
      </c>
      <c r="BG182" s="14">
        <f ca="1"/>
      </c>
      <c r="BH182" s="14">
        <f ca="1"/>
      </c>
      <c r="BI182" s="14">
        <f ca="1"/>
      </c>
      <c r="BJ182" s="14">
        <f ca="1"/>
      </c>
      <c r="BK182" s="14">
        <f ca="1"/>
      </c>
    </row>
    <row r="183" spans="28:63" x14ac:dyDescent="0.55000000000000004">
      <c r="AB183">
        <f ca="1"/>
      </c>
      <c r="AC183">
        <f ca="1"/>
      </c>
      <c r="AD183">
        <f ca="1"/>
      </c>
      <c r="AE183">
        <f ca="1"/>
      </c>
      <c r="AF183">
        <f ca="1"/>
      </c>
      <c r="AG183">
        <f ca="1"/>
      </c>
      <c r="AH183">
        <f ca="1"/>
      </c>
      <c r="AL183" s="7">
        <f ca="1"/>
      </c>
      <c r="AM183" s="14">
        <f ca="1"/>
      </c>
      <c r="AN183" s="14">
        <f ca="1"/>
      </c>
      <c r="AO183" s="14">
        <f ca="1"/>
      </c>
      <c r="AP183" s="14">
        <f ca="1"/>
      </c>
      <c r="AQ183" s="14">
        <f ca="1"/>
      </c>
      <c r="AR183" s="14">
        <f ca="1"/>
      </c>
      <c r="AV183" s="14">
        <f ca="1"/>
      </c>
      <c r="AW183" s="14">
        <f ca="1"/>
      </c>
      <c r="AX183" s="14">
        <f ca="1"/>
      </c>
      <c r="AY183" s="14">
        <f ca="1"/>
      </c>
      <c r="AZ183" s="14">
        <f ca="1"/>
      </c>
      <c r="BB183">
        <f ca="1"/>
      </c>
      <c r="BC183">
        <f ca="1"/>
      </c>
      <c r="BD183">
        <f ca="1"/>
      </c>
      <c r="BF183" s="7">
        <f ca="1"/>
      </c>
      <c r="BG183" s="14">
        <f ca="1"/>
      </c>
      <c r="BH183" s="14">
        <f ca="1"/>
      </c>
      <c r="BI183" s="14">
        <f ca="1"/>
      </c>
      <c r="BJ183" s="14">
        <f ca="1"/>
      </c>
      <c r="BK183" s="14">
        <f ca="1"/>
      </c>
    </row>
    <row r="184" spans="28:63" x14ac:dyDescent="0.55000000000000004">
      <c r="AB184">
        <f ca="1"/>
      </c>
      <c r="AC184">
        <f ca="1"/>
      </c>
      <c r="AD184">
        <f ca="1"/>
      </c>
      <c r="AE184">
        <f ca="1"/>
      </c>
      <c r="AF184">
        <f ca="1"/>
      </c>
      <c r="AG184">
        <f ca="1"/>
      </c>
      <c r="AH184">
        <f ca="1"/>
      </c>
      <c r="AL184" s="7">
        <f ca="1"/>
      </c>
      <c r="AM184" s="14">
        <f ca="1"/>
      </c>
      <c r="AN184" s="14">
        <f ca="1"/>
      </c>
      <c r="AO184" s="14">
        <f ca="1"/>
      </c>
      <c r="AP184" s="14">
        <f ca="1"/>
      </c>
      <c r="AQ184" s="14">
        <f ca="1"/>
      </c>
      <c r="AR184" s="14">
        <f ca="1"/>
      </c>
      <c r="AV184" s="14">
        <f ca="1"/>
      </c>
      <c r="AW184" s="14">
        <f ca="1"/>
      </c>
      <c r="AX184" s="14">
        <f ca="1"/>
      </c>
      <c r="AY184" s="14">
        <f ca="1"/>
      </c>
      <c r="AZ184" s="14">
        <f ca="1"/>
      </c>
      <c r="BB184">
        <f ca="1"/>
      </c>
      <c r="BC184">
        <f ca="1"/>
      </c>
      <c r="BD184">
        <f ca="1"/>
      </c>
      <c r="BF184" s="7">
        <f ca="1"/>
      </c>
      <c r="BG184" s="14">
        <f ca="1"/>
      </c>
      <c r="BH184" s="14">
        <f ca="1"/>
      </c>
      <c r="BI184" s="14">
        <f ca="1"/>
      </c>
      <c r="BJ184" s="14">
        <f ca="1"/>
      </c>
      <c r="BK184" s="14">
        <f ca="1"/>
      </c>
    </row>
    <row r="185" spans="28:63" x14ac:dyDescent="0.55000000000000004">
      <c r="AB185">
        <f ca="1"/>
      </c>
      <c r="AC185">
        <f ca="1"/>
      </c>
      <c r="AD185">
        <f ca="1"/>
      </c>
      <c r="AE185">
        <f ca="1"/>
      </c>
      <c r="AF185">
        <f ca="1"/>
      </c>
      <c r="AG185">
        <f ca="1"/>
      </c>
      <c r="AH185">
        <f ca="1"/>
      </c>
      <c r="AL185" s="7">
        <f ca="1"/>
      </c>
      <c r="AM185" s="14">
        <f ca="1"/>
      </c>
      <c r="AN185" s="14">
        <f ca="1"/>
      </c>
      <c r="AO185" s="14">
        <f ca="1"/>
      </c>
      <c r="AP185" s="14">
        <f ca="1"/>
      </c>
      <c r="AQ185" s="14">
        <f ca="1"/>
      </c>
      <c r="AR185" s="14">
        <f ca="1"/>
      </c>
      <c r="AV185" s="14">
        <f ca="1"/>
      </c>
      <c r="AW185" s="14">
        <f ca="1"/>
      </c>
      <c r="AX185" s="14">
        <f ca="1"/>
      </c>
      <c r="AY185" s="14">
        <f ca="1"/>
      </c>
      <c r="AZ185" s="14">
        <f ca="1"/>
      </c>
      <c r="BB185">
        <f ca="1"/>
      </c>
      <c r="BC185">
        <f ca="1"/>
      </c>
      <c r="BD185">
        <f ca="1"/>
      </c>
      <c r="BF185" s="7">
        <f ca="1"/>
      </c>
      <c r="BG185" s="14">
        <f ca="1"/>
      </c>
      <c r="BH185" s="14">
        <f ca="1"/>
      </c>
      <c r="BI185" s="14">
        <f ca="1"/>
      </c>
      <c r="BJ185" s="14">
        <f ca="1"/>
      </c>
      <c r="BK185" s="14">
        <f ca="1"/>
      </c>
    </row>
    <row r="186" spans="28:63" x14ac:dyDescent="0.55000000000000004">
      <c r="AB186">
        <f ca="1"/>
      </c>
      <c r="AC186">
        <f ca="1"/>
      </c>
      <c r="AD186">
        <f ca="1"/>
      </c>
      <c r="AE186">
        <f ca="1"/>
      </c>
      <c r="AF186">
        <f ca="1"/>
      </c>
      <c r="AG186">
        <f ca="1"/>
      </c>
      <c r="AH186">
        <f ca="1"/>
      </c>
      <c r="AL186" s="7">
        <f ca="1"/>
      </c>
      <c r="AM186" s="14">
        <f ca="1"/>
      </c>
      <c r="AN186" s="14">
        <f ca="1"/>
      </c>
      <c r="AO186" s="14">
        <f ca="1"/>
      </c>
      <c r="AP186" s="14">
        <f ca="1"/>
      </c>
      <c r="AQ186" s="14">
        <f ca="1"/>
      </c>
      <c r="AR186" s="14">
        <f ca="1"/>
      </c>
      <c r="AV186" s="14">
        <f ca="1"/>
      </c>
      <c r="AW186" s="14">
        <f ca="1"/>
      </c>
      <c r="AX186" s="14">
        <f ca="1"/>
      </c>
      <c r="AY186" s="14">
        <f ca="1"/>
      </c>
      <c r="AZ186" s="14">
        <f ca="1"/>
      </c>
      <c r="BB186">
        <f ca="1"/>
      </c>
      <c r="BC186">
        <f ca="1"/>
      </c>
      <c r="BD186">
        <f ca="1"/>
      </c>
      <c r="BF186" s="7">
        <f ca="1"/>
      </c>
      <c r="BG186" s="14">
        <f ca="1"/>
      </c>
      <c r="BH186" s="14">
        <f ca="1"/>
      </c>
      <c r="BI186" s="14">
        <f ca="1"/>
      </c>
      <c r="BJ186" s="14">
        <f ca="1"/>
      </c>
      <c r="BK186" s="14">
        <f ca="1"/>
      </c>
    </row>
    <row r="187" spans="28:63" x14ac:dyDescent="0.55000000000000004">
      <c r="AB187">
        <f ca="1"/>
      </c>
      <c r="AC187">
        <f ca="1"/>
      </c>
      <c r="AD187">
        <f ca="1"/>
      </c>
      <c r="AE187">
        <f ca="1"/>
      </c>
      <c r="AF187">
        <f ca="1"/>
      </c>
      <c r="AG187">
        <f ca="1"/>
      </c>
      <c r="AH187">
        <f ca="1"/>
      </c>
      <c r="AL187" s="7">
        <f ca="1"/>
      </c>
      <c r="AM187" s="14">
        <f ca="1"/>
      </c>
      <c r="AN187" s="14">
        <f ca="1"/>
      </c>
      <c r="AO187" s="14">
        <f ca="1"/>
      </c>
      <c r="AP187" s="14">
        <f ca="1"/>
      </c>
      <c r="AQ187" s="14">
        <f ca="1"/>
      </c>
      <c r="AR187" s="14">
        <f ca="1"/>
      </c>
      <c r="AV187" s="14">
        <f ca="1"/>
      </c>
      <c r="AW187" s="14">
        <f ca="1"/>
      </c>
      <c r="AX187" s="14">
        <f ca="1"/>
      </c>
      <c r="AY187" s="14">
        <f ca="1"/>
      </c>
      <c r="AZ187" s="14">
        <f ca="1"/>
      </c>
      <c r="BB187">
        <f ca="1"/>
      </c>
      <c r="BC187">
        <f ca="1"/>
      </c>
      <c r="BD187">
        <f ca="1"/>
      </c>
      <c r="BF187" s="7">
        <f ca="1"/>
      </c>
      <c r="BG187" s="14">
        <f ca="1"/>
      </c>
      <c r="BH187" s="14">
        <f ca="1"/>
      </c>
      <c r="BI187" s="14">
        <f ca="1"/>
      </c>
      <c r="BJ187" s="14">
        <f ca="1"/>
      </c>
      <c r="BK187" s="14">
        <f ca="1"/>
      </c>
    </row>
    <row r="188" spans="28:63" x14ac:dyDescent="0.55000000000000004">
      <c r="AB188">
        <f ca="1"/>
      </c>
      <c r="AC188">
        <f ca="1"/>
      </c>
      <c r="AD188">
        <f ca="1"/>
      </c>
      <c r="AE188">
        <f ca="1"/>
      </c>
      <c r="AF188">
        <f ca="1"/>
      </c>
      <c r="AG188">
        <f ca="1"/>
      </c>
      <c r="AH188">
        <f ca="1"/>
      </c>
      <c r="AL188" s="7">
        <f ca="1"/>
      </c>
      <c r="AM188" s="14">
        <f ca="1"/>
      </c>
      <c r="AN188" s="14">
        <f ca="1"/>
      </c>
      <c r="AO188" s="14">
        <f ca="1"/>
      </c>
      <c r="AP188" s="14">
        <f ca="1"/>
      </c>
      <c r="AQ188" s="14">
        <f ca="1"/>
      </c>
      <c r="AR188" s="14">
        <f ca="1"/>
      </c>
      <c r="AV188" s="14">
        <f ca="1"/>
      </c>
      <c r="AW188" s="14">
        <f ca="1"/>
      </c>
      <c r="AX188" s="14">
        <f ca="1"/>
      </c>
      <c r="AY188" s="14">
        <f ca="1"/>
      </c>
      <c r="AZ188" s="14">
        <f ca="1"/>
      </c>
      <c r="BB188">
        <f ca="1"/>
      </c>
      <c r="BC188">
        <f ca="1"/>
      </c>
      <c r="BD188">
        <f ca="1"/>
      </c>
      <c r="BF188" s="7">
        <f ca="1"/>
      </c>
      <c r="BG188" s="14">
        <f ca="1"/>
      </c>
      <c r="BH188" s="14">
        <f ca="1"/>
      </c>
      <c r="BI188" s="14">
        <f ca="1"/>
      </c>
      <c r="BJ188" s="14">
        <f ca="1"/>
      </c>
      <c r="BK188" s="14">
        <f ca="1"/>
      </c>
    </row>
    <row r="189" spans="28:63" x14ac:dyDescent="0.55000000000000004">
      <c r="AB189">
        <f ca="1"/>
      </c>
      <c r="AC189">
        <f ca="1"/>
      </c>
      <c r="AD189">
        <f ca="1"/>
      </c>
      <c r="AE189">
        <f ca="1"/>
      </c>
      <c r="AF189">
        <f ca="1"/>
      </c>
      <c r="AG189">
        <f ca="1"/>
      </c>
      <c r="AH189">
        <f ca="1"/>
      </c>
      <c r="AL189" s="7">
        <f ca="1"/>
      </c>
      <c r="AM189" s="14">
        <f ca="1"/>
      </c>
      <c r="AN189" s="14">
        <f ca="1"/>
      </c>
      <c r="AO189" s="14">
        <f ca="1"/>
      </c>
      <c r="AP189" s="14">
        <f ca="1"/>
      </c>
      <c r="AQ189" s="14">
        <f ca="1"/>
      </c>
      <c r="AR189" s="14">
        <f ca="1"/>
      </c>
      <c r="AV189" s="14">
        <f ca="1"/>
      </c>
      <c r="AW189" s="14">
        <f ca="1"/>
      </c>
      <c r="AX189" s="14">
        <f ca="1"/>
      </c>
      <c r="AY189" s="14">
        <f ca="1"/>
      </c>
      <c r="AZ189" s="14">
        <f ca="1"/>
      </c>
      <c r="BB189">
        <f ca="1"/>
      </c>
      <c r="BC189">
        <f ca="1"/>
      </c>
      <c r="BD189">
        <f ca="1"/>
      </c>
      <c r="BF189" s="7">
        <f ca="1"/>
      </c>
      <c r="BG189" s="14">
        <f ca="1"/>
      </c>
      <c r="BH189" s="14">
        <f ca="1"/>
      </c>
      <c r="BI189" s="14">
        <f ca="1"/>
      </c>
      <c r="BJ189" s="14">
        <f ca="1"/>
      </c>
      <c r="BK189" s="14">
        <f ca="1"/>
      </c>
    </row>
    <row r="190" spans="28:63" x14ac:dyDescent="0.55000000000000004">
      <c r="AB190">
        <f ca="1"/>
      </c>
      <c r="AC190">
        <f ca="1"/>
      </c>
      <c r="AD190">
        <f ca="1"/>
      </c>
      <c r="AE190">
        <f ca="1"/>
      </c>
      <c r="AF190">
        <f ca="1"/>
      </c>
      <c r="AG190">
        <f ca="1"/>
      </c>
      <c r="AH190">
        <f ca="1"/>
      </c>
      <c r="AL190" s="7">
        <f ca="1"/>
      </c>
      <c r="AM190" s="14">
        <f ca="1"/>
      </c>
      <c r="AN190" s="14">
        <f ca="1"/>
      </c>
      <c r="AO190" s="14">
        <f ca="1"/>
      </c>
      <c r="AP190" s="14">
        <f ca="1"/>
      </c>
      <c r="AQ190" s="14">
        <f ca="1"/>
      </c>
      <c r="AR190" s="14">
        <f ca="1"/>
      </c>
      <c r="AV190" s="14">
        <f ca="1"/>
      </c>
      <c r="AW190" s="14">
        <f ca="1"/>
      </c>
      <c r="AX190" s="14">
        <f ca="1"/>
      </c>
      <c r="AY190" s="14">
        <f ca="1"/>
      </c>
      <c r="AZ190" s="14">
        <f ca="1"/>
      </c>
      <c r="BB190">
        <f ca="1"/>
      </c>
      <c r="BC190">
        <f ca="1"/>
      </c>
      <c r="BD190">
        <f ca="1"/>
      </c>
      <c r="BF190" s="7">
        <f ca="1"/>
      </c>
      <c r="BG190" s="14">
        <f ca="1"/>
      </c>
      <c r="BH190" s="14">
        <f ca="1"/>
      </c>
      <c r="BI190" s="14">
        <f ca="1"/>
      </c>
      <c r="BJ190" s="14">
        <f ca="1"/>
      </c>
      <c r="BK190" s="14">
        <f ca="1"/>
      </c>
    </row>
    <row r="191" spans="28:63" x14ac:dyDescent="0.55000000000000004">
      <c r="AB191">
        <f ca="1"/>
      </c>
      <c r="AC191">
        <f ca="1"/>
      </c>
      <c r="AD191">
        <f ca="1"/>
      </c>
      <c r="AE191">
        <f ca="1"/>
      </c>
      <c r="AF191">
        <f ca="1"/>
      </c>
      <c r="AG191">
        <f ca="1"/>
      </c>
      <c r="AH191">
        <f ca="1"/>
      </c>
      <c r="AL191" s="7">
        <f ca="1"/>
      </c>
      <c r="AM191" s="14">
        <f ca="1"/>
      </c>
      <c r="AN191" s="14">
        <f ca="1"/>
      </c>
      <c r="AO191" s="14">
        <f ca="1"/>
      </c>
      <c r="AP191" s="14">
        <f ca="1"/>
      </c>
      <c r="AQ191" s="14">
        <f ca="1"/>
      </c>
      <c r="AR191" s="14">
        <f ca="1"/>
      </c>
      <c r="AV191" s="14">
        <f ca="1"/>
      </c>
      <c r="AW191" s="14">
        <f ca="1"/>
      </c>
      <c r="AX191" s="14">
        <f ca="1"/>
      </c>
      <c r="AY191" s="14">
        <f ca="1"/>
      </c>
      <c r="AZ191" s="14">
        <f ca="1"/>
      </c>
      <c r="BB191">
        <f ca="1"/>
      </c>
      <c r="BC191">
        <f ca="1"/>
      </c>
      <c r="BD191">
        <f ca="1"/>
      </c>
      <c r="BF191" s="7">
        <f ca="1"/>
      </c>
      <c r="BG191" s="14">
        <f ca="1"/>
      </c>
      <c r="BH191" s="14">
        <f ca="1"/>
      </c>
      <c r="BI191" s="14">
        <f ca="1"/>
      </c>
      <c r="BJ191" s="14">
        <f ca="1"/>
      </c>
      <c r="BK191" s="14">
        <f ca="1"/>
      </c>
    </row>
    <row r="192" spans="28:63" x14ac:dyDescent="0.55000000000000004">
      <c r="AB192">
        <f ca="1"/>
      </c>
      <c r="AC192">
        <f ca="1"/>
      </c>
      <c r="AD192">
        <f ca="1"/>
      </c>
      <c r="AE192">
        <f ca="1"/>
      </c>
      <c r="AF192">
        <f ca="1"/>
      </c>
      <c r="AG192">
        <f ca="1"/>
      </c>
      <c r="AH192">
        <f ca="1"/>
      </c>
      <c r="AL192" s="7">
        <f ca="1"/>
      </c>
      <c r="AM192" s="14">
        <f ca="1"/>
      </c>
      <c r="AN192" s="14">
        <f ca="1"/>
      </c>
      <c r="AO192" s="14">
        <f ca="1"/>
      </c>
      <c r="AP192" s="14">
        <f ca="1"/>
      </c>
      <c r="AQ192" s="14">
        <f ca="1"/>
      </c>
      <c r="AR192" s="14">
        <f ca="1"/>
      </c>
      <c r="AV192" s="14">
        <f ca="1"/>
      </c>
      <c r="AW192" s="14">
        <f ca="1"/>
      </c>
      <c r="AX192" s="14">
        <f ca="1"/>
      </c>
      <c r="AY192" s="14">
        <f ca="1"/>
      </c>
      <c r="AZ192" s="14">
        <f ca="1"/>
      </c>
      <c r="BB192">
        <f ca="1"/>
      </c>
      <c r="BC192">
        <f ca="1"/>
      </c>
      <c r="BD192">
        <f ca="1"/>
      </c>
      <c r="BF192" s="7">
        <f ca="1"/>
      </c>
      <c r="BG192" s="14">
        <f ca="1"/>
      </c>
      <c r="BH192" s="14">
        <f ca="1"/>
      </c>
      <c r="BI192" s="14">
        <f ca="1"/>
      </c>
      <c r="BJ192" s="14">
        <f ca="1"/>
      </c>
      <c r="BK192" s="14">
        <f ca="1"/>
      </c>
    </row>
    <row r="193" spans="28:63" x14ac:dyDescent="0.55000000000000004">
      <c r="AB193">
        <f ca="1"/>
      </c>
      <c r="AC193">
        <f ca="1"/>
      </c>
      <c r="AD193">
        <f ca="1"/>
      </c>
      <c r="AE193">
        <f ca="1"/>
      </c>
      <c r="AF193">
        <f ca="1"/>
      </c>
      <c r="AG193">
        <f ca="1"/>
      </c>
      <c r="AH193">
        <f ca="1"/>
      </c>
      <c r="AL193" s="7">
        <f ca="1"/>
      </c>
      <c r="AM193" s="14">
        <f ca="1"/>
      </c>
      <c r="AN193" s="14">
        <f ca="1"/>
      </c>
      <c r="AO193" s="14">
        <f ca="1"/>
      </c>
      <c r="AP193" s="14">
        <f ca="1"/>
      </c>
      <c r="AQ193" s="14">
        <f ca="1"/>
      </c>
      <c r="AR193" s="14">
        <f ca="1"/>
      </c>
      <c r="AV193" s="14">
        <f ca="1"/>
      </c>
      <c r="AW193" s="14">
        <f ca="1"/>
      </c>
      <c r="AX193" s="14">
        <f ca="1"/>
      </c>
      <c r="AY193" s="14">
        <f ca="1"/>
      </c>
      <c r="AZ193" s="14">
        <f ca="1"/>
      </c>
      <c r="BB193">
        <f ca="1"/>
      </c>
      <c r="BC193">
        <f ca="1"/>
      </c>
      <c r="BD193">
        <f ca="1"/>
      </c>
      <c r="BF193" s="7">
        <f ca="1"/>
      </c>
      <c r="BG193" s="14">
        <f ca="1"/>
      </c>
      <c r="BH193" s="14">
        <f ca="1"/>
      </c>
      <c r="BI193" s="14">
        <f ca="1"/>
      </c>
      <c r="BJ193" s="14">
        <f ca="1"/>
      </c>
      <c r="BK193" s="14">
        <f ca="1"/>
      </c>
    </row>
    <row r="194" spans="28:63" x14ac:dyDescent="0.55000000000000004">
      <c r="AB194">
        <f ca="1"/>
      </c>
      <c r="AC194">
        <f ca="1"/>
      </c>
      <c r="AD194">
        <f ca="1"/>
      </c>
      <c r="AE194">
        <f ca="1"/>
      </c>
      <c r="AF194">
        <f ca="1"/>
      </c>
      <c r="AG194">
        <f ca="1"/>
      </c>
      <c r="AH194">
        <f ca="1"/>
      </c>
      <c r="AL194" s="7">
        <f ca="1"/>
      </c>
      <c r="AM194" s="14">
        <f ca="1"/>
      </c>
      <c r="AN194" s="14">
        <f ca="1"/>
      </c>
      <c r="AO194" s="14">
        <f ca="1"/>
      </c>
      <c r="AP194" s="14">
        <f ca="1"/>
      </c>
      <c r="AQ194" s="14">
        <f ca="1"/>
      </c>
      <c r="AR194" s="14">
        <f ca="1"/>
      </c>
      <c r="AV194" s="14">
        <f ca="1"/>
      </c>
      <c r="AW194" s="14">
        <f ca="1"/>
      </c>
      <c r="AX194" s="14">
        <f ca="1"/>
      </c>
      <c r="AY194" s="14">
        <f ca="1"/>
      </c>
      <c r="AZ194" s="14">
        <f ca="1"/>
      </c>
      <c r="BB194">
        <f ca="1"/>
      </c>
      <c r="BC194">
        <f ca="1"/>
      </c>
      <c r="BD194">
        <f ca="1"/>
      </c>
      <c r="BF194" s="7">
        <f ca="1"/>
      </c>
      <c r="BG194" s="14">
        <f ca="1"/>
      </c>
      <c r="BH194" s="14">
        <f ca="1"/>
      </c>
      <c r="BI194" s="14">
        <f ca="1"/>
      </c>
      <c r="BJ194" s="14">
        <f ca="1"/>
      </c>
      <c r="BK194" s="14">
        <f ca="1"/>
      </c>
    </row>
    <row r="195" spans="28:63" x14ac:dyDescent="0.55000000000000004">
      <c r="AB195">
        <f ca="1"/>
      </c>
      <c r="AC195">
        <f ca="1"/>
      </c>
      <c r="AD195">
        <f ca="1"/>
      </c>
      <c r="AE195">
        <f ca="1"/>
      </c>
      <c r="AF195">
        <f ca="1"/>
      </c>
      <c r="AG195">
        <f ca="1"/>
      </c>
      <c r="AH195">
        <f ca="1"/>
      </c>
      <c r="AL195" s="7">
        <f ca="1"/>
      </c>
      <c r="AM195" s="14">
        <f ca="1"/>
      </c>
      <c r="AN195" s="14">
        <f ca="1"/>
      </c>
      <c r="AO195" s="14">
        <f ca="1"/>
      </c>
      <c r="AP195" s="14">
        <f ca="1"/>
      </c>
      <c r="AQ195" s="14">
        <f ca="1"/>
      </c>
      <c r="AR195" s="14">
        <f ca="1"/>
      </c>
      <c r="AV195" s="14">
        <f ca="1"/>
      </c>
      <c r="AW195" s="14">
        <f ca="1"/>
      </c>
      <c r="AX195" s="14">
        <f ca="1"/>
      </c>
      <c r="AY195" s="14">
        <f ca="1"/>
      </c>
      <c r="AZ195" s="14">
        <f ca="1"/>
      </c>
      <c r="BF195" s="7">
        <f ca="1"/>
      </c>
      <c r="BG195" s="14">
        <f ca="1"/>
      </c>
      <c r="BH195" s="14">
        <f ca="1"/>
      </c>
      <c r="BI195" s="14">
        <f ca="1"/>
      </c>
      <c r="BJ195" s="14">
        <f ca="1"/>
      </c>
      <c r="BK195" s="14">
        <f ca="1"/>
      </c>
    </row>
    <row r="196" spans="28:63" x14ac:dyDescent="0.55000000000000004">
      <c r="AB196">
        <f ca="1"/>
      </c>
      <c r="AC196">
        <f ca="1"/>
      </c>
      <c r="AD196">
        <f ca="1"/>
      </c>
      <c r="AE196">
        <f ca="1"/>
      </c>
      <c r="AF196">
        <f ca="1"/>
      </c>
      <c r="AG196">
        <f ca="1"/>
      </c>
      <c r="AH196">
        <f ca="1"/>
      </c>
      <c r="AL196" s="7">
        <f ca="1"/>
      </c>
      <c r="AM196" s="14">
        <f ca="1"/>
      </c>
      <c r="AN196" s="14">
        <f ca="1"/>
      </c>
      <c r="AO196" s="14">
        <f ca="1"/>
      </c>
      <c r="AP196" s="14">
        <f ca="1"/>
      </c>
      <c r="AQ196" s="14">
        <f ca="1"/>
      </c>
      <c r="AR196" s="14">
        <f ca="1"/>
      </c>
      <c r="AV196" s="14">
        <f ca="1"/>
      </c>
      <c r="AW196" s="14">
        <f ca="1"/>
      </c>
      <c r="AX196" s="14">
        <f ca="1"/>
      </c>
      <c r="AY196" s="14">
        <f ca="1"/>
      </c>
      <c r="AZ196" s="14">
        <f ca="1"/>
      </c>
      <c r="BF196" s="7">
        <f ca="1"/>
      </c>
      <c r="BG196" s="14">
        <f ca="1"/>
      </c>
      <c r="BH196" s="14">
        <f ca="1"/>
      </c>
      <c r="BI196" s="14">
        <f ca="1"/>
      </c>
      <c r="BJ196" s="14">
        <f ca="1"/>
      </c>
      <c r="BK196" s="14">
        <f ca="1"/>
      </c>
    </row>
    <row r="197" spans="28:63" x14ac:dyDescent="0.55000000000000004">
      <c r="AB197">
        <f ca="1"/>
      </c>
      <c r="AC197">
        <f ca="1"/>
      </c>
      <c r="AD197">
        <f ca="1"/>
      </c>
      <c r="AE197">
        <f ca="1"/>
      </c>
      <c r="AF197">
        <f ca="1"/>
      </c>
      <c r="AG197">
        <f ca="1"/>
      </c>
      <c r="AH197">
        <f ca="1"/>
      </c>
      <c r="AL197" s="7">
        <f ca="1"/>
      </c>
      <c r="AM197" s="14">
        <f ca="1"/>
      </c>
      <c r="AN197" s="14">
        <f ca="1"/>
      </c>
      <c r="AO197" s="14">
        <f ca="1"/>
      </c>
      <c r="AP197" s="14">
        <f ca="1"/>
      </c>
      <c r="AQ197" s="14">
        <f ca="1"/>
      </c>
      <c r="AR197" s="14">
        <f ca="1"/>
      </c>
      <c r="AV197" s="14">
        <f ca="1"/>
      </c>
      <c r="AW197" s="14">
        <f ca="1"/>
      </c>
      <c r="AX197" s="14">
        <f ca="1"/>
      </c>
      <c r="AY197" s="14">
        <f ca="1"/>
      </c>
      <c r="AZ197" s="14">
        <f ca="1"/>
      </c>
      <c r="BF197" s="7">
        <f ca="1"/>
      </c>
      <c r="BG197" s="14">
        <f ca="1"/>
      </c>
      <c r="BH197" s="14">
        <f ca="1"/>
      </c>
      <c r="BI197" s="14">
        <f ca="1"/>
      </c>
      <c r="BJ197" s="14">
        <f ca="1"/>
      </c>
      <c r="BK197" s="14">
        <f ca="1"/>
      </c>
    </row>
    <row r="198" spans="28:63" x14ac:dyDescent="0.55000000000000004">
      <c r="AB198">
        <f ca="1"/>
      </c>
      <c r="AC198">
        <f ca="1"/>
      </c>
      <c r="AD198">
        <f ca="1"/>
      </c>
      <c r="AE198">
        <f ca="1"/>
      </c>
      <c r="AF198">
        <f ca="1"/>
      </c>
      <c r="AG198">
        <f ca="1"/>
      </c>
      <c r="AH198">
        <f ca="1"/>
      </c>
      <c r="AL198" s="7">
        <f ca="1"/>
      </c>
      <c r="AM198" s="14">
        <f ca="1"/>
      </c>
      <c r="AN198" s="14">
        <f ca="1"/>
      </c>
      <c r="AO198" s="14">
        <f ca="1"/>
      </c>
      <c r="AP198" s="14">
        <f ca="1"/>
      </c>
      <c r="AQ198" s="14">
        <f ca="1"/>
      </c>
      <c r="AR198" s="14">
        <f ca="1"/>
      </c>
      <c r="AV198" s="14">
        <f ca="1"/>
      </c>
      <c r="AW198" s="14">
        <f ca="1"/>
      </c>
      <c r="AX198" s="14">
        <f ca="1"/>
      </c>
      <c r="AY198" s="14">
        <f ca="1"/>
      </c>
      <c r="AZ198" s="14">
        <f ca="1"/>
      </c>
      <c r="BF198" s="7">
        <f ca="1"/>
      </c>
      <c r="BG198" s="14">
        <f ca="1"/>
      </c>
      <c r="BH198" s="14">
        <f ca="1"/>
      </c>
      <c r="BI198" s="14">
        <f ca="1"/>
      </c>
      <c r="BJ198" s="14">
        <f ca="1"/>
      </c>
      <c r="BK198" s="14">
        <f ca="1"/>
      </c>
    </row>
    <row r="199" spans="28:63" x14ac:dyDescent="0.55000000000000004">
      <c r="AB199">
        <f ca="1"/>
      </c>
      <c r="AC199">
        <f ca="1"/>
      </c>
      <c r="AD199">
        <f ca="1"/>
      </c>
      <c r="AE199">
        <f ca="1"/>
      </c>
      <c r="AF199">
        <f ca="1"/>
      </c>
      <c r="AG199">
        <f ca="1"/>
      </c>
      <c r="AH199">
        <f ca="1"/>
      </c>
      <c r="AL199" s="7">
        <f ca="1"/>
      </c>
      <c r="AM199" s="14">
        <f ca="1"/>
      </c>
      <c r="AN199" s="14">
        <f ca="1"/>
      </c>
      <c r="AO199" s="14">
        <f ca="1"/>
      </c>
      <c r="AP199" s="14">
        <f ca="1"/>
      </c>
      <c r="AQ199" s="14">
        <f ca="1"/>
      </c>
      <c r="AR199" s="14">
        <f ca="1"/>
      </c>
      <c r="AV199" s="14">
        <f ca="1"/>
      </c>
      <c r="AW199" s="14">
        <f ca="1"/>
      </c>
      <c r="AX199" s="14">
        <f ca="1"/>
      </c>
      <c r="AY199" s="14">
        <f ca="1"/>
      </c>
      <c r="AZ199" s="14">
        <f ca="1"/>
      </c>
      <c r="BF199" s="7">
        <f ca="1"/>
      </c>
      <c r="BG199" s="14">
        <f ca="1"/>
      </c>
      <c r="BH199" s="14">
        <f ca="1"/>
      </c>
      <c r="BI199" s="14">
        <f ca="1"/>
      </c>
      <c r="BJ199" s="14">
        <f ca="1"/>
      </c>
      <c r="BK199" s="14">
        <f ca="1"/>
      </c>
    </row>
    <row r="200" spans="28:63" x14ac:dyDescent="0.55000000000000004">
      <c r="AB200">
        <f ca="1"/>
      </c>
      <c r="AC200">
        <f ca="1"/>
      </c>
      <c r="AD200">
        <f ca="1"/>
      </c>
      <c r="AE200">
        <f ca="1"/>
      </c>
      <c r="AF200">
        <f ca="1"/>
      </c>
      <c r="AG200">
        <f ca="1"/>
      </c>
      <c r="AH200">
        <f ca="1"/>
      </c>
      <c r="AL200" s="7">
        <f ca="1"/>
      </c>
      <c r="AM200" s="14">
        <f ca="1"/>
      </c>
      <c r="AN200" s="14">
        <f ca="1"/>
      </c>
      <c r="AO200" s="14">
        <f ca="1"/>
      </c>
      <c r="AP200" s="14">
        <f ca="1"/>
      </c>
      <c r="AQ200" s="14">
        <f ca="1"/>
      </c>
      <c r="AR200" s="14">
        <f ca="1"/>
      </c>
      <c r="AV200" s="14">
        <f ca="1"/>
      </c>
      <c r="AW200" s="14">
        <f ca="1"/>
      </c>
      <c r="AX200" s="14">
        <f ca="1"/>
      </c>
      <c r="AY200" s="14">
        <f ca="1"/>
      </c>
      <c r="AZ200" s="14">
        <f ca="1"/>
      </c>
      <c r="BF200" s="7">
        <f ca="1"/>
      </c>
      <c r="BG200" s="14">
        <f ca="1"/>
      </c>
      <c r="BH200" s="14">
        <f ca="1"/>
      </c>
      <c r="BI200" s="14">
        <f ca="1"/>
      </c>
      <c r="BJ200" s="14">
        <f ca="1"/>
      </c>
      <c r="BK200" s="14">
        <f ca="1"/>
      </c>
    </row>
    <row r="201" spans="28:63" x14ac:dyDescent="0.55000000000000004">
      <c r="AB201">
        <f ca="1"/>
      </c>
      <c r="AC201">
        <f ca="1"/>
      </c>
      <c r="AD201">
        <f ca="1"/>
      </c>
      <c r="AE201">
        <f ca="1"/>
      </c>
      <c r="AF201">
        <f ca="1"/>
      </c>
      <c r="AG201">
        <f ca="1"/>
      </c>
      <c r="AH201">
        <f ca="1"/>
      </c>
      <c r="AL201" s="7">
        <f ca="1"/>
      </c>
      <c r="AM201" s="14">
        <f ca="1"/>
      </c>
      <c r="AN201" s="14">
        <f ca="1"/>
      </c>
      <c r="AO201" s="14">
        <f ca="1"/>
      </c>
      <c r="AP201" s="14">
        <f ca="1"/>
      </c>
      <c r="AQ201" s="14">
        <f ca="1"/>
      </c>
      <c r="AR201" s="14">
        <f ca="1"/>
      </c>
      <c r="AV201" s="14">
        <f ca="1"/>
      </c>
      <c r="AW201" s="14">
        <f ca="1"/>
      </c>
      <c r="AX201" s="14">
        <f ca="1"/>
      </c>
      <c r="AY201" s="14">
        <f ca="1"/>
      </c>
      <c r="AZ201" s="14">
        <f ca="1"/>
      </c>
      <c r="BF201" s="7">
        <f ca="1"/>
      </c>
      <c r="BG201" s="14">
        <f ca="1"/>
      </c>
      <c r="BH201" s="14">
        <f ca="1"/>
      </c>
      <c r="BI201" s="14">
        <f ca="1"/>
      </c>
      <c r="BJ201" s="14">
        <f ca="1"/>
      </c>
      <c r="BK201" s="14">
        <f ca="1"/>
      </c>
    </row>
    <row r="202" spans="28:63" x14ac:dyDescent="0.55000000000000004">
      <c r="AB202">
        <f ca="1"/>
      </c>
      <c r="AC202">
        <f ca="1"/>
      </c>
      <c r="AD202">
        <f ca="1"/>
      </c>
      <c r="AE202">
        <f ca="1"/>
      </c>
      <c r="AF202">
        <f ca="1"/>
      </c>
      <c r="AG202">
        <f ca="1"/>
      </c>
      <c r="AH202">
        <f ca="1"/>
      </c>
      <c r="AL202" s="7">
        <f ca="1"/>
      </c>
      <c r="AM202" s="14">
        <f ca="1"/>
      </c>
      <c r="AN202" s="14">
        <f ca="1"/>
      </c>
      <c r="AO202" s="14">
        <f ca="1"/>
      </c>
      <c r="AP202" s="14">
        <f ca="1"/>
      </c>
      <c r="AQ202" s="14">
        <f ca="1"/>
      </c>
      <c r="AR202" s="14">
        <f ca="1"/>
      </c>
      <c r="AV202" s="14">
        <f ca="1"/>
      </c>
      <c r="AW202" s="14">
        <f ca="1"/>
      </c>
      <c r="AX202" s="14">
        <f ca="1"/>
      </c>
      <c r="AY202" s="14">
        <f ca="1"/>
      </c>
      <c r="AZ202" s="14">
        <f ca="1"/>
      </c>
      <c r="BF202" s="7">
        <f ca="1"/>
      </c>
      <c r="BG202" s="14">
        <f ca="1"/>
      </c>
      <c r="BH202" s="14">
        <f ca="1"/>
      </c>
      <c r="BI202" s="14">
        <f ca="1"/>
      </c>
      <c r="BJ202" s="14">
        <f ca="1"/>
      </c>
      <c r="BK202" s="14">
        <f ca="1"/>
      </c>
    </row>
    <row r="203" spans="28:63" x14ac:dyDescent="0.55000000000000004">
      <c r="AB203">
        <f ca="1"/>
      </c>
      <c r="AC203">
        <f ca="1"/>
      </c>
      <c r="AD203">
        <f ca="1"/>
      </c>
      <c r="AE203">
        <f ca="1"/>
      </c>
      <c r="AF203">
        <f ca="1"/>
      </c>
      <c r="AG203">
        <f ca="1"/>
      </c>
      <c r="AH203">
        <f ca="1"/>
      </c>
      <c r="AL203" s="7">
        <f ca="1"/>
      </c>
      <c r="AM203" s="14">
        <f ca="1"/>
      </c>
      <c r="AN203" s="14">
        <f ca="1"/>
      </c>
      <c r="AO203" s="14">
        <f ca="1"/>
      </c>
      <c r="AP203" s="14">
        <f ca="1"/>
      </c>
      <c r="AQ203" s="14">
        <f ca="1"/>
      </c>
      <c r="AR203" s="14">
        <f ca="1"/>
      </c>
      <c r="AV203" s="14">
        <f ca="1"/>
      </c>
      <c r="AW203" s="14">
        <f ca="1"/>
      </c>
      <c r="AX203" s="14">
        <f ca="1"/>
      </c>
      <c r="AY203" s="14">
        <f ca="1"/>
      </c>
      <c r="AZ203" s="14">
        <f ca="1"/>
      </c>
      <c r="BF203" s="7">
        <f ca="1"/>
      </c>
      <c r="BG203" s="14">
        <f ca="1"/>
      </c>
      <c r="BH203" s="14">
        <f ca="1"/>
      </c>
      <c r="BI203" s="14">
        <f ca="1"/>
      </c>
      <c r="BJ203" s="14">
        <f ca="1"/>
      </c>
      <c r="BK203" s="14">
        <f ca="1"/>
      </c>
    </row>
    <row r="204" spans="28:63" x14ac:dyDescent="0.55000000000000004">
      <c r="AB204">
        <f ca="1"/>
      </c>
      <c r="AC204">
        <f ca="1"/>
      </c>
      <c r="AD204">
        <f ca="1"/>
      </c>
      <c r="AE204">
        <f ca="1"/>
      </c>
      <c r="AF204">
        <f ca="1"/>
      </c>
      <c r="AG204">
        <f ca="1"/>
      </c>
      <c r="AH204">
        <f ca="1"/>
      </c>
      <c r="AL204" s="7">
        <f ca="1"/>
      </c>
      <c r="AM204" s="14">
        <f ca="1"/>
      </c>
      <c r="AN204" s="14">
        <f ca="1"/>
      </c>
      <c r="AO204" s="14">
        <f ca="1"/>
      </c>
      <c r="AP204" s="14">
        <f ca="1"/>
      </c>
      <c r="AQ204" s="14">
        <f ca="1"/>
      </c>
      <c r="AR204" s="14">
        <f ca="1"/>
      </c>
      <c r="AV204" s="14">
        <f ca="1"/>
      </c>
      <c r="AW204" s="14">
        <f ca="1"/>
      </c>
      <c r="AX204" s="14">
        <f ca="1"/>
      </c>
      <c r="AY204" s="14">
        <f ca="1"/>
      </c>
      <c r="AZ204" s="14">
        <f ca="1"/>
      </c>
      <c r="BF204" s="7">
        <f ca="1"/>
      </c>
      <c r="BG204" s="14">
        <f ca="1"/>
      </c>
      <c r="BH204" s="14">
        <f ca="1"/>
      </c>
      <c r="BI204" s="14">
        <f ca="1"/>
      </c>
      <c r="BJ204" s="14">
        <f ca="1"/>
      </c>
      <c r="BK204" s="14">
        <f ca="1"/>
      </c>
    </row>
    <row r="205" spans="28:63" x14ac:dyDescent="0.55000000000000004">
      <c r="AB205">
        <f ca="1"/>
      </c>
      <c r="AC205">
        <f ca="1"/>
      </c>
      <c r="AD205">
        <f ca="1"/>
      </c>
      <c r="AE205">
        <f ca="1"/>
      </c>
      <c r="AF205">
        <f ca="1"/>
      </c>
      <c r="AG205">
        <f ca="1"/>
      </c>
      <c r="AH205">
        <f ca="1"/>
      </c>
      <c r="AL205" s="7">
        <f ca="1"/>
      </c>
      <c r="AM205" s="14">
        <f ca="1"/>
      </c>
      <c r="AN205" s="14">
        <f ca="1"/>
      </c>
      <c r="AO205" s="14">
        <f ca="1"/>
      </c>
      <c r="AP205" s="14">
        <f ca="1"/>
      </c>
      <c r="AQ205" s="14">
        <f ca="1"/>
      </c>
      <c r="AR205" s="14">
        <f ca="1"/>
      </c>
      <c r="AV205" s="14">
        <f ca="1"/>
      </c>
      <c r="AW205" s="14">
        <f ca="1"/>
      </c>
      <c r="AX205" s="14">
        <f ca="1"/>
      </c>
      <c r="AY205" s="14">
        <f ca="1"/>
      </c>
      <c r="AZ205" s="14">
        <f ca="1"/>
      </c>
      <c r="BF205" s="7">
        <f ca="1"/>
      </c>
      <c r="BG205" s="14">
        <f ca="1"/>
      </c>
      <c r="BH205" s="14">
        <f ca="1"/>
      </c>
      <c r="BI205" s="14">
        <f ca="1"/>
      </c>
      <c r="BJ205" s="14">
        <f ca="1"/>
      </c>
      <c r="BK205" s="14">
        <f ca="1"/>
      </c>
    </row>
    <row r="206" spans="28:63" x14ac:dyDescent="0.55000000000000004">
      <c r="AB206">
        <f ca="1"/>
      </c>
      <c r="AC206">
        <f ca="1"/>
      </c>
      <c r="AD206">
        <f ca="1"/>
      </c>
      <c r="AE206">
        <f ca="1"/>
      </c>
      <c r="AF206">
        <f ca="1"/>
      </c>
      <c r="AG206">
        <f ca="1"/>
      </c>
      <c r="AH206">
        <f ca="1"/>
      </c>
      <c r="AL206" s="7">
        <f ca="1"/>
      </c>
      <c r="AM206" s="14">
        <f ca="1"/>
      </c>
      <c r="AN206" s="14">
        <f ca="1"/>
      </c>
      <c r="AO206" s="14">
        <f ca="1"/>
      </c>
      <c r="AP206" s="14">
        <f ca="1"/>
      </c>
      <c r="AQ206" s="14">
        <f ca="1"/>
      </c>
      <c r="AR206" s="14">
        <f ca="1"/>
      </c>
      <c r="AV206" s="14">
        <f ca="1"/>
      </c>
      <c r="AW206" s="14">
        <f ca="1"/>
      </c>
      <c r="AX206" s="14">
        <f ca="1"/>
      </c>
      <c r="AY206" s="14">
        <f ca="1"/>
      </c>
      <c r="AZ206" s="14">
        <f ca="1"/>
      </c>
      <c r="BF206" s="7">
        <f ca="1"/>
      </c>
      <c r="BG206" s="14">
        <f ca="1"/>
      </c>
      <c r="BH206" s="14">
        <f ca="1"/>
      </c>
      <c r="BI206" s="14">
        <f ca="1"/>
      </c>
      <c r="BJ206" s="14">
        <f ca="1"/>
      </c>
      <c r="BK206" s="14">
        <f ca="1"/>
      </c>
    </row>
    <row r="207" spans="28:63" x14ac:dyDescent="0.55000000000000004">
      <c r="AB207">
        <f ca="1"/>
      </c>
      <c r="AC207">
        <f ca="1"/>
      </c>
      <c r="AD207">
        <f ca="1"/>
      </c>
      <c r="AE207">
        <f ca="1"/>
      </c>
      <c r="AF207">
        <f ca="1"/>
      </c>
      <c r="AG207">
        <f ca="1"/>
      </c>
      <c r="AH207">
        <f ca="1"/>
      </c>
      <c r="AL207" s="7">
        <f ca="1"/>
      </c>
      <c r="AM207" s="14">
        <f ca="1"/>
      </c>
      <c r="AN207" s="14">
        <f ca="1"/>
      </c>
      <c r="AO207" s="14">
        <f ca="1"/>
      </c>
      <c r="AP207" s="14">
        <f ca="1"/>
      </c>
      <c r="AQ207" s="14">
        <f ca="1"/>
      </c>
      <c r="AR207" s="14">
        <f ca="1"/>
      </c>
      <c r="AV207" s="14">
        <f ca="1"/>
      </c>
      <c r="AW207" s="14">
        <f ca="1"/>
      </c>
      <c r="AX207" s="14">
        <f ca="1"/>
      </c>
      <c r="AY207" s="14">
        <f ca="1"/>
      </c>
      <c r="AZ207" s="14">
        <f ca="1"/>
      </c>
      <c r="BF207" s="7">
        <f ca="1"/>
      </c>
      <c r="BG207" s="14">
        <f ca="1"/>
      </c>
      <c r="BH207" s="14">
        <f ca="1"/>
      </c>
      <c r="BI207" s="14">
        <f ca="1"/>
      </c>
      <c r="BJ207" s="14">
        <f ca="1"/>
      </c>
      <c r="BK207" s="14">
        <f ca="1"/>
      </c>
    </row>
    <row r="208" spans="28:63" x14ac:dyDescent="0.55000000000000004">
      <c r="AB208">
        <f ca="1"/>
      </c>
      <c r="AC208">
        <f ca="1"/>
      </c>
      <c r="AD208">
        <f ca="1"/>
      </c>
      <c r="AE208">
        <f ca="1"/>
      </c>
      <c r="AF208">
        <f ca="1"/>
      </c>
      <c r="AG208">
        <f ca="1"/>
      </c>
      <c r="AH208">
        <f ca="1"/>
      </c>
      <c r="AL208" s="7">
        <f ca="1"/>
      </c>
      <c r="AM208" s="14">
        <f ca="1"/>
      </c>
      <c r="AN208" s="14">
        <f ca="1"/>
      </c>
      <c r="AO208" s="14">
        <f ca="1"/>
      </c>
      <c r="AP208" s="14">
        <f ca="1"/>
      </c>
      <c r="AQ208" s="14">
        <f ca="1"/>
      </c>
      <c r="AR208" s="14">
        <f ca="1"/>
      </c>
      <c r="AV208" s="14">
        <f ca="1"/>
      </c>
      <c r="AW208" s="14">
        <f ca="1"/>
      </c>
      <c r="AX208" s="14">
        <f ca="1"/>
      </c>
      <c r="AY208" s="14">
        <f ca="1"/>
      </c>
      <c r="AZ208" s="14">
        <f ca="1"/>
      </c>
      <c r="BF208" s="7">
        <f ca="1"/>
      </c>
      <c r="BG208" s="14">
        <f ca="1"/>
      </c>
      <c r="BH208" s="14">
        <f ca="1"/>
      </c>
      <c r="BI208" s="14">
        <f ca="1"/>
      </c>
      <c r="BJ208" s="14">
        <f ca="1"/>
      </c>
      <c r="BK208" s="14">
        <f ca="1"/>
      </c>
    </row>
    <row r="209" spans="28:63" x14ac:dyDescent="0.55000000000000004">
      <c r="AB209">
        <f ca="1"/>
      </c>
      <c r="AC209">
        <f ca="1"/>
      </c>
      <c r="AD209">
        <f ca="1"/>
      </c>
      <c r="AE209">
        <f ca="1"/>
      </c>
      <c r="AF209">
        <f ca="1"/>
      </c>
      <c r="AG209">
        <f ca="1"/>
      </c>
      <c r="AH209">
        <f ca="1"/>
      </c>
      <c r="AL209" s="7">
        <f ca="1"/>
      </c>
      <c r="AM209" s="14">
        <f ca="1"/>
      </c>
      <c r="AN209" s="14">
        <f ca="1"/>
      </c>
      <c r="AO209" s="14">
        <f ca="1"/>
      </c>
      <c r="AP209" s="14">
        <f ca="1"/>
      </c>
      <c r="AQ209" s="14">
        <f ca="1"/>
      </c>
      <c r="AR209" s="14">
        <f ca="1"/>
      </c>
      <c r="AV209" s="14">
        <f ca="1"/>
      </c>
      <c r="AW209" s="14">
        <f ca="1"/>
      </c>
      <c r="AX209" s="14">
        <f ca="1"/>
      </c>
      <c r="AY209" s="14">
        <f ca="1"/>
      </c>
      <c r="AZ209" s="14">
        <f ca="1"/>
      </c>
      <c r="BF209" s="7">
        <f ca="1"/>
      </c>
      <c r="BG209" s="14">
        <f ca="1"/>
      </c>
      <c r="BH209" s="14">
        <f ca="1"/>
      </c>
      <c r="BI209" s="14">
        <f ca="1"/>
      </c>
      <c r="BJ209" s="14">
        <f ca="1"/>
      </c>
      <c r="BK209" s="14">
        <f ca="1"/>
      </c>
    </row>
    <row r="210" spans="28:63" x14ac:dyDescent="0.55000000000000004">
      <c r="AB210">
        <f ca="1"/>
      </c>
      <c r="AC210">
        <f ca="1"/>
      </c>
      <c r="AD210">
        <f ca="1"/>
      </c>
      <c r="AE210">
        <f ca="1"/>
      </c>
      <c r="AF210">
        <f ca="1"/>
      </c>
      <c r="AG210">
        <f ca="1"/>
      </c>
      <c r="AH210">
        <f ca="1"/>
      </c>
      <c r="AL210" s="7">
        <f ca="1"/>
      </c>
      <c r="AM210" s="14">
        <f ca="1"/>
      </c>
      <c r="AN210" s="14">
        <f ca="1"/>
      </c>
      <c r="AO210" s="14">
        <f ca="1"/>
      </c>
      <c r="AP210" s="14">
        <f ca="1"/>
      </c>
      <c r="AQ210" s="14">
        <f ca="1"/>
      </c>
      <c r="AR210" s="14">
        <f ca="1"/>
      </c>
      <c r="AV210" s="14">
        <f ca="1"/>
      </c>
      <c r="AW210" s="14">
        <f ca="1"/>
      </c>
      <c r="AX210" s="14">
        <f ca="1"/>
      </c>
      <c r="AY210" s="14">
        <f ca="1"/>
      </c>
      <c r="AZ210" s="14">
        <f ca="1"/>
      </c>
      <c r="BF210" s="7">
        <f ca="1"/>
      </c>
      <c r="BG210" s="14">
        <f ca="1"/>
      </c>
      <c r="BH210" s="14">
        <f ca="1"/>
      </c>
      <c r="BI210" s="14">
        <f ca="1"/>
      </c>
      <c r="BJ210" s="14">
        <f ca="1"/>
      </c>
      <c r="BK210" s="14">
        <f ca="1"/>
      </c>
    </row>
    <row r="211" spans="28:63" x14ac:dyDescent="0.55000000000000004">
      <c r="AB211">
        <f ca="1"/>
      </c>
      <c r="AC211">
        <f ca="1"/>
      </c>
      <c r="AD211">
        <f ca="1"/>
      </c>
      <c r="AE211">
        <f ca="1"/>
      </c>
      <c r="AF211">
        <f ca="1"/>
      </c>
      <c r="AG211">
        <f ca="1"/>
      </c>
      <c r="AH211">
        <f ca="1"/>
      </c>
      <c r="AL211" s="7">
        <f ca="1"/>
      </c>
      <c r="AM211" s="14">
        <f ca="1"/>
      </c>
      <c r="AN211" s="14">
        <f ca="1"/>
      </c>
      <c r="AO211" s="14">
        <f ca="1"/>
      </c>
      <c r="AP211" s="14">
        <f ca="1"/>
      </c>
      <c r="AQ211" s="14">
        <f ca="1"/>
      </c>
      <c r="AR211" s="14">
        <f ca="1"/>
      </c>
      <c r="AV211" s="14">
        <f ca="1"/>
      </c>
      <c r="AW211" s="14">
        <f ca="1"/>
      </c>
      <c r="AX211" s="14">
        <f ca="1"/>
      </c>
      <c r="AY211" s="14">
        <f ca="1"/>
      </c>
      <c r="AZ211" s="14">
        <f ca="1"/>
      </c>
      <c r="BF211" s="7">
        <f ca="1"/>
      </c>
      <c r="BG211" s="14">
        <f ca="1"/>
      </c>
      <c r="BH211" s="14">
        <f ca="1"/>
      </c>
      <c r="BI211" s="14">
        <f ca="1"/>
      </c>
      <c r="BJ211" s="14">
        <f ca="1"/>
      </c>
      <c r="BK211" s="14">
        <f ca="1"/>
      </c>
    </row>
    <row r="212" spans="28:63" x14ac:dyDescent="0.55000000000000004">
      <c r="AB212">
        <f ca="1"/>
      </c>
      <c r="AC212">
        <f ca="1"/>
      </c>
      <c r="AD212">
        <f ca="1"/>
      </c>
      <c r="AE212">
        <f ca="1"/>
      </c>
      <c r="AF212">
        <f ca="1"/>
      </c>
      <c r="AG212">
        <f ca="1"/>
      </c>
      <c r="AH212">
        <f ca="1"/>
      </c>
      <c r="AL212" s="7">
        <f ca="1"/>
      </c>
      <c r="AM212" s="14">
        <f ca="1"/>
      </c>
      <c r="AN212" s="14">
        <f ca="1"/>
      </c>
      <c r="AO212" s="14">
        <f ca="1"/>
      </c>
      <c r="AP212" s="14">
        <f ca="1"/>
      </c>
      <c r="AQ212" s="14">
        <f ca="1"/>
      </c>
      <c r="AR212" s="14">
        <f ca="1"/>
      </c>
      <c r="AV212" s="14">
        <f ca="1"/>
      </c>
      <c r="AW212" s="14">
        <f ca="1"/>
      </c>
      <c r="AX212" s="14">
        <f ca="1"/>
      </c>
      <c r="AY212" s="14">
        <f ca="1"/>
      </c>
      <c r="AZ212" s="14">
        <f ca="1"/>
      </c>
      <c r="BF212" s="7">
        <f ca="1"/>
      </c>
      <c r="BG212" s="14">
        <f ca="1"/>
      </c>
      <c r="BH212" s="14">
        <f ca="1"/>
      </c>
      <c r="BI212" s="14">
        <f ca="1"/>
      </c>
      <c r="BJ212" s="14">
        <f ca="1"/>
      </c>
      <c r="BK212" s="14">
        <f ca="1"/>
      </c>
    </row>
    <row r="213" spans="28:63" x14ac:dyDescent="0.55000000000000004">
      <c r="AB213">
        <f ca="1"/>
      </c>
      <c r="AC213">
        <f ca="1"/>
      </c>
      <c r="AD213">
        <f ca="1"/>
      </c>
      <c r="AE213">
        <f ca="1"/>
      </c>
      <c r="AF213">
        <f ca="1"/>
      </c>
      <c r="AG213">
        <f ca="1"/>
      </c>
      <c r="AH213">
        <f ca="1"/>
      </c>
      <c r="AL213" s="7">
        <f ca="1"/>
      </c>
      <c r="AM213" s="14">
        <f ca="1"/>
      </c>
      <c r="AN213" s="14">
        <f ca="1"/>
      </c>
      <c r="AO213" s="14">
        <f ca="1"/>
      </c>
      <c r="AP213" s="14">
        <f ca="1"/>
      </c>
      <c r="AQ213" s="14">
        <f ca="1"/>
      </c>
      <c r="AR213" s="14">
        <f ca="1"/>
      </c>
      <c r="AV213" s="14">
        <f ca="1"/>
      </c>
      <c r="AW213" s="14">
        <f ca="1"/>
      </c>
      <c r="AX213" s="14">
        <f ca="1"/>
      </c>
      <c r="AY213" s="14">
        <f ca="1"/>
      </c>
      <c r="AZ213" s="14">
        <f ca="1"/>
      </c>
      <c r="BF213" s="7">
        <f ca="1"/>
      </c>
      <c r="BG213" s="14">
        <f ca="1"/>
      </c>
      <c r="BH213" s="14">
        <f ca="1"/>
      </c>
      <c r="BI213" s="14">
        <f ca="1"/>
      </c>
      <c r="BJ213" s="14">
        <f ca="1"/>
      </c>
      <c r="BK213" s="14">
        <f ca="1"/>
      </c>
    </row>
    <row r="214" spans="28:63" x14ac:dyDescent="0.55000000000000004">
      <c r="AB214">
        <f ca="1"/>
      </c>
      <c r="AC214">
        <f ca="1"/>
      </c>
      <c r="AD214">
        <f ca="1"/>
      </c>
      <c r="AE214">
        <f ca="1"/>
      </c>
      <c r="AF214">
        <f ca="1"/>
      </c>
      <c r="AG214">
        <f ca="1"/>
      </c>
      <c r="AH214">
        <f ca="1"/>
      </c>
      <c r="AL214" s="7">
        <f ca="1"/>
      </c>
      <c r="AM214" s="14">
        <f ca="1"/>
      </c>
      <c r="AN214" s="14">
        <f ca="1"/>
      </c>
      <c r="AO214" s="14">
        <f ca="1"/>
      </c>
      <c r="AP214" s="14">
        <f ca="1"/>
      </c>
      <c r="AQ214" s="14">
        <f ca="1"/>
      </c>
      <c r="AR214" s="14">
        <f ca="1"/>
      </c>
      <c r="AV214" s="14">
        <f ca="1"/>
      </c>
      <c r="AW214" s="14">
        <f ca="1"/>
      </c>
      <c r="AX214" s="14">
        <f ca="1"/>
      </c>
      <c r="AY214" s="14">
        <f ca="1"/>
      </c>
      <c r="AZ214" s="14">
        <f ca="1"/>
      </c>
      <c r="BF214" s="7">
        <f ca="1"/>
      </c>
      <c r="BG214" s="14">
        <f ca="1"/>
      </c>
      <c r="BH214" s="14">
        <f ca="1"/>
      </c>
      <c r="BI214" s="14">
        <f ca="1"/>
      </c>
      <c r="BJ214" s="14">
        <f ca="1"/>
      </c>
      <c r="BK214" s="14">
        <f ca="1"/>
      </c>
    </row>
    <row r="215" spans="28:63" x14ac:dyDescent="0.55000000000000004">
      <c r="AB215">
        <f ca="1"/>
      </c>
      <c r="AC215">
        <f ca="1"/>
      </c>
      <c r="AD215">
        <f ca="1"/>
      </c>
      <c r="AE215">
        <f ca="1"/>
      </c>
      <c r="AF215">
        <f ca="1"/>
      </c>
      <c r="AG215">
        <f ca="1"/>
      </c>
      <c r="AH215">
        <f ca="1"/>
      </c>
      <c r="AL215" s="7">
        <f ca="1"/>
      </c>
      <c r="AM215" s="14">
        <f ca="1"/>
      </c>
      <c r="AN215" s="14">
        <f ca="1"/>
      </c>
      <c r="AO215" s="14">
        <f ca="1"/>
      </c>
      <c r="AP215" s="14">
        <f ca="1"/>
      </c>
      <c r="AQ215" s="14">
        <f ca="1"/>
      </c>
      <c r="AR215" s="14">
        <f ca="1"/>
      </c>
      <c r="AV215" s="14">
        <f ca="1"/>
      </c>
      <c r="AW215" s="14">
        <f ca="1"/>
      </c>
      <c r="AX215" s="14">
        <f ca="1"/>
      </c>
      <c r="AY215" s="14">
        <f ca="1"/>
      </c>
      <c r="AZ215" s="14">
        <f ca="1"/>
      </c>
      <c r="BF215" s="7">
        <f ca="1"/>
      </c>
      <c r="BG215" s="14">
        <f ca="1"/>
      </c>
      <c r="BH215" s="14">
        <f ca="1"/>
      </c>
      <c r="BI215" s="14">
        <f ca="1"/>
      </c>
      <c r="BJ215" s="14">
        <f ca="1"/>
      </c>
      <c r="BK215" s="14">
        <f ca="1"/>
      </c>
    </row>
    <row r="216" spans="28:63" x14ac:dyDescent="0.55000000000000004">
      <c r="AB216">
        <f ca="1"/>
      </c>
      <c r="AC216">
        <f ca="1"/>
      </c>
      <c r="AD216">
        <f ca="1"/>
      </c>
      <c r="AE216">
        <f ca="1"/>
      </c>
      <c r="AF216">
        <f ca="1"/>
      </c>
      <c r="AG216">
        <f ca="1"/>
      </c>
      <c r="AH216">
        <f ca="1"/>
      </c>
      <c r="AL216" s="7">
        <f ca="1"/>
      </c>
      <c r="AM216" s="14">
        <f ca="1"/>
      </c>
      <c r="AN216" s="14">
        <f ca="1"/>
      </c>
      <c r="AO216" s="14">
        <f ca="1"/>
      </c>
      <c r="AP216" s="14">
        <f ca="1"/>
      </c>
      <c r="AQ216" s="14">
        <f ca="1"/>
      </c>
      <c r="AR216" s="14">
        <f ca="1"/>
      </c>
      <c r="AV216" s="14">
        <f ca="1"/>
      </c>
      <c r="AW216" s="14">
        <f ca="1"/>
      </c>
      <c r="AX216" s="14">
        <f ca="1"/>
      </c>
      <c r="AY216" s="14">
        <f ca="1"/>
      </c>
      <c r="AZ216" s="14">
        <f ca="1"/>
      </c>
      <c r="BF216" s="7">
        <f ca="1"/>
      </c>
      <c r="BG216" s="14">
        <f ca="1"/>
      </c>
      <c r="BH216" s="14">
        <f ca="1"/>
      </c>
      <c r="BI216" s="14">
        <f ca="1"/>
      </c>
      <c r="BJ216" s="14">
        <f ca="1"/>
      </c>
      <c r="BK216" s="14">
        <f ca="1"/>
      </c>
    </row>
    <row r="217" spans="28:63" x14ac:dyDescent="0.55000000000000004">
      <c r="AB217">
        <f ca="1"/>
      </c>
      <c r="AC217">
        <f ca="1"/>
      </c>
      <c r="AD217">
        <f ca="1"/>
      </c>
      <c r="AE217">
        <f ca="1"/>
      </c>
      <c r="AF217">
        <f ca="1"/>
      </c>
      <c r="AG217">
        <f ca="1"/>
      </c>
      <c r="AH217">
        <f ca="1"/>
      </c>
      <c r="AL217" s="7">
        <f ca="1"/>
      </c>
      <c r="AM217" s="14">
        <f ca="1"/>
      </c>
      <c r="AN217" s="14">
        <f ca="1"/>
      </c>
      <c r="AO217" s="14">
        <f ca="1"/>
      </c>
      <c r="AP217" s="14">
        <f ca="1"/>
      </c>
      <c r="AQ217" s="14">
        <f ca="1"/>
      </c>
      <c r="AR217" s="14">
        <f ca="1"/>
      </c>
      <c r="AV217" s="14">
        <f ca="1"/>
      </c>
      <c r="AW217" s="14">
        <f ca="1"/>
      </c>
      <c r="AX217" s="14">
        <f ca="1"/>
      </c>
      <c r="AY217" s="14">
        <f ca="1"/>
      </c>
      <c r="AZ217" s="14">
        <f ca="1"/>
      </c>
      <c r="BF217" s="7">
        <f ca="1"/>
      </c>
      <c r="BG217" s="14">
        <f ca="1"/>
      </c>
      <c r="BH217" s="14">
        <f ca="1"/>
      </c>
      <c r="BI217" s="14">
        <f ca="1"/>
      </c>
      <c r="BJ217" s="14">
        <f ca="1"/>
      </c>
      <c r="BK217" s="14">
        <f ca="1"/>
      </c>
    </row>
    <row r="218" spans="28:63" x14ac:dyDescent="0.55000000000000004">
      <c r="AB218">
        <f ca="1"/>
      </c>
      <c r="AC218">
        <f ca="1"/>
      </c>
      <c r="AD218">
        <f ca="1"/>
      </c>
      <c r="AE218">
        <f ca="1"/>
      </c>
      <c r="AF218">
        <f ca="1"/>
      </c>
      <c r="AG218">
        <f ca="1"/>
      </c>
      <c r="AH218">
        <f ca="1"/>
      </c>
      <c r="AL218" s="7">
        <f ca="1"/>
      </c>
      <c r="AM218" s="14">
        <f ca="1"/>
      </c>
      <c r="AN218" s="14">
        <f ca="1"/>
      </c>
      <c r="AO218" s="14">
        <f ca="1"/>
      </c>
      <c r="AP218" s="14">
        <f ca="1"/>
      </c>
      <c r="AQ218" s="14">
        <f ca="1"/>
      </c>
      <c r="AR218" s="14">
        <f ca="1"/>
      </c>
      <c r="AV218" s="14">
        <f ca="1"/>
      </c>
      <c r="AW218" s="14">
        <f ca="1"/>
      </c>
      <c r="AX218" s="14">
        <f ca="1"/>
      </c>
      <c r="AY218" s="14">
        <f ca="1"/>
      </c>
      <c r="AZ218" s="14">
        <f ca="1"/>
      </c>
      <c r="BF218" s="7">
        <f ca="1"/>
      </c>
      <c r="BG218" s="14">
        <f ca="1"/>
      </c>
      <c r="BH218" s="14">
        <f ca="1"/>
      </c>
      <c r="BI218" s="14">
        <f ca="1"/>
      </c>
      <c r="BJ218" s="14">
        <f ca="1"/>
      </c>
      <c r="BK218" s="14">
        <f ca="1"/>
      </c>
    </row>
    <row r="219" spans="28:63" x14ac:dyDescent="0.55000000000000004">
      <c r="AB219">
        <f ca="1"/>
      </c>
      <c r="AC219">
        <f ca="1"/>
      </c>
      <c r="AD219">
        <f ca="1"/>
      </c>
      <c r="AE219">
        <f ca="1"/>
      </c>
      <c r="AF219">
        <f ca="1"/>
      </c>
      <c r="AG219">
        <f ca="1"/>
      </c>
      <c r="AH219">
        <f ca="1"/>
      </c>
      <c r="AL219" s="7">
        <f ca="1"/>
      </c>
      <c r="AM219" s="14">
        <f ca="1"/>
      </c>
      <c r="AN219" s="14">
        <f ca="1"/>
      </c>
      <c r="AO219" s="14">
        <f ca="1"/>
      </c>
      <c r="AP219" s="14">
        <f ca="1"/>
      </c>
      <c r="AQ219" s="14">
        <f ca="1"/>
      </c>
      <c r="AR219" s="14">
        <f ca="1"/>
      </c>
      <c r="AV219" s="14">
        <f ca="1"/>
      </c>
      <c r="AW219" s="14">
        <f ca="1"/>
      </c>
      <c r="AX219" s="14">
        <f ca="1"/>
      </c>
      <c r="AY219" s="14">
        <f ca="1"/>
      </c>
      <c r="AZ219" s="14">
        <f ca="1"/>
      </c>
      <c r="BF219" s="7">
        <f ca="1"/>
      </c>
      <c r="BG219" s="14">
        <f ca="1"/>
      </c>
      <c r="BH219" s="14">
        <f ca="1"/>
      </c>
      <c r="BI219" s="14">
        <f ca="1"/>
      </c>
      <c r="BJ219" s="14">
        <f ca="1"/>
      </c>
      <c r="BK219" s="14">
        <f ca="1"/>
      </c>
    </row>
    <row r="220" spans="28:63" x14ac:dyDescent="0.55000000000000004">
      <c r="AB220">
        <f ca="1"/>
      </c>
      <c r="AC220">
        <f ca="1"/>
      </c>
      <c r="AD220">
        <f ca="1"/>
      </c>
      <c r="AE220">
        <f ca="1"/>
      </c>
      <c r="AF220">
        <f ca="1"/>
      </c>
      <c r="AG220">
        <f ca="1"/>
      </c>
      <c r="AH220">
        <f ca="1"/>
      </c>
      <c r="AL220" s="7">
        <f ca="1"/>
      </c>
      <c r="AM220" s="14">
        <f ca="1"/>
      </c>
      <c r="AN220" s="14">
        <f ca="1"/>
      </c>
      <c r="AO220" s="14">
        <f ca="1"/>
      </c>
      <c r="AP220" s="14">
        <f ca="1"/>
      </c>
      <c r="AQ220" s="14">
        <f ca="1"/>
      </c>
      <c r="AR220" s="14">
        <f ca="1"/>
      </c>
      <c r="AV220" s="14">
        <f ca="1"/>
      </c>
      <c r="AW220" s="14">
        <f ca="1"/>
      </c>
      <c r="AX220" s="14">
        <f ca="1"/>
      </c>
      <c r="AY220" s="14">
        <f ca="1"/>
      </c>
      <c r="AZ220" s="14">
        <f ca="1"/>
      </c>
      <c r="BF220" s="7">
        <f ca="1"/>
      </c>
      <c r="BG220" s="14">
        <f ca="1"/>
      </c>
      <c r="BH220" s="14">
        <f ca="1"/>
      </c>
      <c r="BI220" s="14">
        <f ca="1"/>
      </c>
      <c r="BJ220" s="14">
        <f ca="1"/>
      </c>
      <c r="BK220" s="14">
        <f ca="1"/>
      </c>
    </row>
    <row r="221" spans="28:63" x14ac:dyDescent="0.55000000000000004">
      <c r="AB221">
        <f ca="1"/>
      </c>
      <c r="AC221">
        <f ca="1"/>
      </c>
      <c r="AD221">
        <f ca="1"/>
      </c>
      <c r="AE221">
        <f ca="1"/>
      </c>
      <c r="AF221">
        <f ca="1"/>
      </c>
      <c r="AG221">
        <f ca="1"/>
      </c>
      <c r="AH221">
        <f ca="1"/>
      </c>
      <c r="AL221" s="7">
        <f ca="1"/>
      </c>
      <c r="AM221" s="14">
        <f ca="1"/>
      </c>
      <c r="AN221" s="14">
        <f ca="1"/>
      </c>
      <c r="AO221" s="14">
        <f ca="1"/>
      </c>
      <c r="AP221" s="14">
        <f ca="1"/>
      </c>
      <c r="AQ221" s="14">
        <f ca="1"/>
      </c>
      <c r="AR221" s="14">
        <f ca="1"/>
      </c>
      <c r="AV221" s="14">
        <f ca="1"/>
      </c>
      <c r="AW221" s="14">
        <f ca="1"/>
      </c>
      <c r="AX221" s="14">
        <f ca="1"/>
      </c>
      <c r="AY221" s="14">
        <f ca="1"/>
      </c>
      <c r="AZ221" s="14">
        <f ca="1"/>
      </c>
      <c r="BF221" s="7">
        <f ca="1"/>
      </c>
      <c r="BG221" s="14">
        <f ca="1"/>
      </c>
      <c r="BH221" s="14">
        <f ca="1"/>
      </c>
      <c r="BI221" s="14">
        <f ca="1"/>
      </c>
      <c r="BJ221" s="14">
        <f ca="1"/>
      </c>
      <c r="BK221" s="14">
        <f ca="1"/>
      </c>
    </row>
    <row r="222" spans="28:63" x14ac:dyDescent="0.55000000000000004">
      <c r="AB222">
        <f ca="1"/>
      </c>
      <c r="AC222">
        <f ca="1"/>
      </c>
      <c r="AD222">
        <f ca="1"/>
      </c>
      <c r="AE222">
        <f ca="1"/>
      </c>
      <c r="AF222">
        <f ca="1"/>
      </c>
      <c r="AG222">
        <f ca="1"/>
      </c>
      <c r="AH222">
        <f ca="1"/>
      </c>
      <c r="AL222" s="7">
        <f ca="1"/>
      </c>
      <c r="AM222" s="14">
        <f ca="1"/>
      </c>
      <c r="AN222" s="14">
        <f ca="1"/>
      </c>
      <c r="AO222" s="14">
        <f ca="1"/>
      </c>
      <c r="AP222" s="14">
        <f ca="1"/>
      </c>
      <c r="AQ222" s="14">
        <f ca="1"/>
      </c>
      <c r="AR222" s="14">
        <f ca="1"/>
      </c>
      <c r="AV222" s="14">
        <f ca="1"/>
      </c>
      <c r="AW222" s="14">
        <f ca="1"/>
      </c>
      <c r="AX222" s="14">
        <f ca="1"/>
      </c>
      <c r="AY222" s="14">
        <f ca="1"/>
      </c>
      <c r="AZ222" s="14">
        <f ca="1"/>
      </c>
      <c r="BF222" s="7">
        <f ca="1"/>
      </c>
      <c r="BG222" s="14">
        <f ca="1"/>
      </c>
      <c r="BH222" s="14">
        <f ca="1"/>
      </c>
      <c r="BI222" s="14">
        <f ca="1"/>
      </c>
      <c r="BJ222" s="14">
        <f ca="1"/>
      </c>
      <c r="BK222" s="14">
        <f ca="1"/>
      </c>
    </row>
    <row r="223" spans="28:63" x14ac:dyDescent="0.55000000000000004">
      <c r="AB223">
        <f ca="1"/>
      </c>
      <c r="AC223">
        <f ca="1"/>
      </c>
      <c r="AD223">
        <f ca="1"/>
      </c>
      <c r="AE223">
        <f ca="1"/>
      </c>
      <c r="AF223">
        <f ca="1"/>
      </c>
      <c r="AG223">
        <f ca="1"/>
      </c>
      <c r="AH223">
        <f ca="1"/>
      </c>
      <c r="AL223" s="7">
        <f ca="1"/>
      </c>
      <c r="AM223" s="14">
        <f ca="1"/>
      </c>
      <c r="AN223" s="14">
        <f ca="1"/>
      </c>
      <c r="AO223" s="14">
        <f ca="1"/>
      </c>
      <c r="AP223" s="14">
        <f ca="1"/>
      </c>
      <c r="AQ223" s="14">
        <f ca="1"/>
      </c>
      <c r="AR223" s="14">
        <f ca="1"/>
      </c>
      <c r="AV223" s="14">
        <f ca="1"/>
      </c>
      <c r="AW223" s="14">
        <f ca="1"/>
      </c>
      <c r="AX223" s="14">
        <f ca="1"/>
      </c>
      <c r="AY223" s="14">
        <f ca="1"/>
      </c>
      <c r="AZ223" s="14">
        <f ca="1"/>
      </c>
      <c r="BF223" s="7">
        <f ca="1"/>
      </c>
      <c r="BG223" s="14">
        <f ca="1"/>
      </c>
      <c r="BH223" s="14">
        <f ca="1"/>
      </c>
      <c r="BI223" s="14">
        <f ca="1"/>
      </c>
      <c r="BJ223" s="14">
        <f ca="1"/>
      </c>
      <c r="BK223" s="14">
        <f ca="1"/>
      </c>
    </row>
    <row r="224" spans="28:63" x14ac:dyDescent="0.55000000000000004">
      <c r="AB224">
        <f ca="1"/>
      </c>
      <c r="AC224">
        <f ca="1"/>
      </c>
      <c r="AD224">
        <f ca="1"/>
      </c>
      <c r="AE224">
        <f ca="1"/>
      </c>
      <c r="AF224">
        <f ca="1"/>
      </c>
      <c r="AG224">
        <f ca="1"/>
      </c>
      <c r="AH224">
        <f ca="1"/>
      </c>
      <c r="AL224" s="7">
        <f ca="1"/>
      </c>
      <c r="AM224" s="14">
        <f ca="1"/>
      </c>
      <c r="AN224" s="14">
        <f ca="1"/>
      </c>
      <c r="AO224" s="14">
        <f ca="1"/>
      </c>
      <c r="AP224" s="14">
        <f ca="1"/>
      </c>
      <c r="AQ224" s="14">
        <f ca="1"/>
      </c>
      <c r="AR224" s="14">
        <f ca="1"/>
      </c>
      <c r="AV224" s="14">
        <f ca="1"/>
      </c>
      <c r="AW224" s="14">
        <f ca="1"/>
      </c>
      <c r="AX224" s="14">
        <f ca="1"/>
      </c>
      <c r="AY224" s="14">
        <f ca="1"/>
      </c>
      <c r="AZ224" s="14">
        <f ca="1"/>
      </c>
      <c r="BF224" s="7">
        <f ca="1"/>
      </c>
      <c r="BG224" s="14">
        <f ca="1"/>
      </c>
      <c r="BH224" s="14">
        <f ca="1"/>
      </c>
      <c r="BI224" s="14">
        <f ca="1"/>
      </c>
      <c r="BJ224" s="14">
        <f ca="1"/>
      </c>
      <c r="BK224" s="14">
        <f ca="1"/>
      </c>
    </row>
    <row r="225" spans="28:63" x14ac:dyDescent="0.55000000000000004">
      <c r="AB225">
        <f ca="1"/>
      </c>
      <c r="AC225">
        <f ca="1"/>
      </c>
      <c r="AD225">
        <f ca="1"/>
      </c>
      <c r="AE225">
        <f ca="1"/>
      </c>
      <c r="AF225">
        <f ca="1"/>
      </c>
      <c r="AG225">
        <f ca="1"/>
      </c>
      <c r="AH225">
        <f ca="1"/>
      </c>
      <c r="AL225" s="7">
        <f ca="1"/>
      </c>
      <c r="AM225" s="14">
        <f ca="1"/>
      </c>
      <c r="AN225" s="14">
        <f ca="1"/>
      </c>
      <c r="AO225" s="14">
        <f ca="1"/>
      </c>
      <c r="AP225" s="14">
        <f ca="1"/>
      </c>
      <c r="AQ225" s="14">
        <f ca="1"/>
      </c>
      <c r="AR225" s="14">
        <f ca="1"/>
      </c>
      <c r="AV225" s="14">
        <f ca="1"/>
      </c>
      <c r="AW225" s="14">
        <f ca="1"/>
      </c>
      <c r="AX225" s="14">
        <f ca="1"/>
      </c>
      <c r="AY225" s="14">
        <f ca="1"/>
      </c>
      <c r="AZ225" s="14">
        <f ca="1"/>
      </c>
      <c r="BF225" s="7">
        <f ca="1"/>
      </c>
      <c r="BG225" s="14">
        <f ca="1"/>
      </c>
      <c r="BH225" s="14">
        <f ca="1"/>
      </c>
      <c r="BI225" s="14">
        <f ca="1"/>
      </c>
      <c r="BJ225" s="14">
        <f ca="1"/>
      </c>
      <c r="BK225" s="14">
        <f ca="1"/>
      </c>
    </row>
    <row r="226" spans="28:63" x14ac:dyDescent="0.55000000000000004">
      <c r="AB226">
        <f ca="1"/>
      </c>
      <c r="AC226">
        <f ca="1"/>
      </c>
      <c r="AD226">
        <f ca="1"/>
      </c>
      <c r="AE226">
        <f ca="1"/>
      </c>
      <c r="AF226">
        <f ca="1"/>
      </c>
      <c r="AG226">
        <f ca="1"/>
      </c>
      <c r="AH226">
        <f ca="1"/>
      </c>
      <c r="AL226" s="7">
        <f ca="1"/>
      </c>
      <c r="AM226" s="14">
        <f ca="1"/>
      </c>
      <c r="AN226" s="14">
        <f ca="1"/>
      </c>
      <c r="AO226" s="14">
        <f ca="1"/>
      </c>
      <c r="AP226" s="14">
        <f ca="1"/>
      </c>
      <c r="AQ226" s="14">
        <f ca="1"/>
      </c>
      <c r="AR226" s="14">
        <f ca="1"/>
      </c>
      <c r="AV226" s="14">
        <f ca="1"/>
      </c>
      <c r="AW226" s="14">
        <f ca="1"/>
      </c>
      <c r="AX226" s="14">
        <f ca="1"/>
      </c>
      <c r="AY226" s="14">
        <f ca="1"/>
      </c>
      <c r="AZ226" s="14">
        <f ca="1"/>
      </c>
      <c r="BF226" s="7">
        <f ca="1"/>
      </c>
      <c r="BG226" s="14">
        <f ca="1"/>
      </c>
      <c r="BH226" s="14">
        <f ca="1"/>
      </c>
      <c r="BI226" s="14">
        <f ca="1"/>
      </c>
      <c r="BJ226" s="14">
        <f ca="1"/>
      </c>
      <c r="BK226" s="14">
        <f ca="1"/>
      </c>
    </row>
    <row r="227" spans="28:63" x14ac:dyDescent="0.55000000000000004">
      <c r="AB227">
        <f ca="1"/>
      </c>
      <c r="AC227">
        <f ca="1"/>
      </c>
      <c r="AD227">
        <f ca="1"/>
      </c>
      <c r="AE227">
        <f ca="1"/>
      </c>
      <c r="AF227">
        <f ca="1"/>
      </c>
      <c r="AG227">
        <f ca="1"/>
      </c>
      <c r="AH227">
        <f ca="1"/>
      </c>
      <c r="AL227" s="7">
        <f ca="1"/>
      </c>
      <c r="AM227" s="14">
        <f ca="1"/>
      </c>
      <c r="AN227" s="14">
        <f ca="1"/>
      </c>
      <c r="AO227" s="14">
        <f ca="1"/>
      </c>
      <c r="AP227" s="14">
        <f ca="1"/>
      </c>
      <c r="AQ227" s="14">
        <f ca="1"/>
      </c>
      <c r="AR227" s="14">
        <f ca="1"/>
      </c>
      <c r="AV227" s="14">
        <f ca="1"/>
      </c>
      <c r="AW227" s="14">
        <f ca="1"/>
      </c>
      <c r="AX227" s="14">
        <f ca="1"/>
      </c>
      <c r="AY227" s="14">
        <f ca="1"/>
      </c>
      <c r="AZ227" s="14">
        <f ca="1"/>
      </c>
      <c r="BF227" s="7">
        <f ca="1"/>
      </c>
      <c r="BG227" s="14">
        <f ca="1"/>
      </c>
      <c r="BH227" s="14">
        <f ca="1"/>
      </c>
      <c r="BI227" s="14">
        <f ca="1"/>
      </c>
      <c r="BJ227" s="14">
        <f ca="1"/>
      </c>
      <c r="BK227" s="14">
        <f ca="1"/>
      </c>
    </row>
    <row r="228" spans="28:63" x14ac:dyDescent="0.55000000000000004">
      <c r="AB228">
        <f ca="1"/>
      </c>
      <c r="AC228">
        <f ca="1"/>
      </c>
      <c r="AD228">
        <f ca="1"/>
      </c>
      <c r="AE228">
        <f ca="1"/>
      </c>
      <c r="AF228">
        <f ca="1"/>
      </c>
      <c r="AG228">
        <f ca="1"/>
      </c>
      <c r="AH228">
        <f ca="1"/>
      </c>
      <c r="AL228" s="7">
        <f ca="1"/>
      </c>
      <c r="AM228" s="14">
        <f ca="1"/>
      </c>
      <c r="AN228" s="14">
        <f ca="1"/>
      </c>
      <c r="AO228" s="14">
        <f ca="1"/>
      </c>
      <c r="AP228" s="14">
        <f ca="1"/>
      </c>
      <c r="AQ228" s="14">
        <f ca="1"/>
      </c>
      <c r="AR228" s="14">
        <f ca="1"/>
      </c>
      <c r="AV228" s="14">
        <f ca="1"/>
      </c>
      <c r="AW228" s="14">
        <f ca="1"/>
      </c>
      <c r="AX228" s="14">
        <f ca="1"/>
      </c>
      <c r="AY228" s="14">
        <f ca="1"/>
      </c>
      <c r="AZ228" s="14">
        <f ca="1"/>
      </c>
      <c r="BF228" s="7">
        <f ca="1"/>
      </c>
      <c r="BG228" s="14">
        <f ca="1"/>
      </c>
      <c r="BH228" s="14">
        <f ca="1"/>
      </c>
      <c r="BI228" s="14">
        <f ca="1"/>
      </c>
      <c r="BJ228" s="14">
        <f ca="1"/>
      </c>
      <c r="BK228" s="14">
        <f ca="1"/>
      </c>
    </row>
    <row r="229" spans="28:63" x14ac:dyDescent="0.55000000000000004">
      <c r="AB229">
        <f ca="1"/>
      </c>
      <c r="AC229">
        <f ca="1"/>
      </c>
      <c r="AD229">
        <f ca="1"/>
      </c>
      <c r="AE229">
        <f ca="1"/>
      </c>
      <c r="AF229">
        <f ca="1"/>
      </c>
      <c r="AG229">
        <f ca="1"/>
      </c>
      <c r="AH229">
        <f ca="1"/>
      </c>
      <c r="AL229" s="7">
        <f ca="1"/>
      </c>
      <c r="AM229" s="14">
        <f ca="1"/>
      </c>
      <c r="AN229" s="14">
        <f ca="1"/>
      </c>
      <c r="AO229" s="14">
        <f ca="1"/>
      </c>
      <c r="AP229" s="14">
        <f ca="1"/>
      </c>
      <c r="AQ229" s="14">
        <f ca="1"/>
      </c>
      <c r="AR229" s="14">
        <f ca="1"/>
      </c>
      <c r="AV229" s="14">
        <f ca="1"/>
      </c>
      <c r="AW229" s="14">
        <f ca="1"/>
      </c>
      <c r="AX229" s="14">
        <f ca="1"/>
      </c>
      <c r="AY229" s="14">
        <f ca="1"/>
      </c>
      <c r="AZ229" s="14">
        <f ca="1"/>
      </c>
      <c r="BF229" s="7">
        <f ca="1"/>
      </c>
      <c r="BG229" s="14">
        <f ca="1"/>
      </c>
      <c r="BH229" s="14">
        <f ca="1"/>
      </c>
      <c r="BI229" s="14">
        <f ca="1"/>
      </c>
      <c r="BJ229" s="14">
        <f ca="1"/>
      </c>
      <c r="BK229" s="14">
        <f ca="1"/>
      </c>
    </row>
    <row r="230" spans="28:63" x14ac:dyDescent="0.55000000000000004">
      <c r="AB230">
        <f ca="1"/>
      </c>
      <c r="AC230">
        <f ca="1"/>
      </c>
      <c r="AD230">
        <f ca="1"/>
      </c>
      <c r="AE230">
        <f ca="1"/>
      </c>
      <c r="AF230">
        <f ca="1"/>
      </c>
      <c r="AG230">
        <f ca="1"/>
      </c>
      <c r="AH230">
        <f ca="1"/>
      </c>
      <c r="AL230" s="7">
        <f ca="1"/>
      </c>
      <c r="AM230" s="14">
        <f ca="1"/>
      </c>
      <c r="AN230" s="14">
        <f ca="1"/>
      </c>
      <c r="AO230" s="14">
        <f ca="1"/>
      </c>
      <c r="AP230" s="14">
        <f ca="1"/>
      </c>
      <c r="AQ230" s="14">
        <f ca="1"/>
      </c>
      <c r="AR230" s="14">
        <f ca="1"/>
      </c>
      <c r="AV230" s="14">
        <f ca="1"/>
      </c>
      <c r="AW230" s="14">
        <f ca="1"/>
      </c>
      <c r="AX230" s="14">
        <f ca="1"/>
      </c>
      <c r="AY230" s="14">
        <f ca="1"/>
      </c>
      <c r="AZ230" s="14">
        <f ca="1"/>
      </c>
      <c r="BF230" s="7">
        <f ca="1"/>
      </c>
      <c r="BG230" s="14">
        <f ca="1"/>
      </c>
      <c r="BH230" s="14">
        <f ca="1"/>
      </c>
      <c r="BI230" s="14">
        <f ca="1"/>
      </c>
      <c r="BJ230" s="14">
        <f ca="1"/>
      </c>
      <c r="BK230" s="14">
        <f ca="1"/>
      </c>
    </row>
    <row r="231" spans="28:63" x14ac:dyDescent="0.55000000000000004">
      <c r="AB231">
        <f ca="1"/>
      </c>
      <c r="AC231">
        <f ca="1"/>
      </c>
      <c r="AD231">
        <f ca="1"/>
      </c>
      <c r="AE231">
        <f ca="1"/>
      </c>
      <c r="AF231">
        <f ca="1"/>
      </c>
      <c r="AG231">
        <f ca="1"/>
      </c>
      <c r="AH231">
        <f ca="1"/>
      </c>
      <c r="AL231" s="7">
        <f ca="1"/>
      </c>
      <c r="AM231" s="14">
        <f ca="1"/>
      </c>
      <c r="AN231" s="14">
        <f ca="1"/>
      </c>
      <c r="AO231" s="14">
        <f ca="1"/>
      </c>
      <c r="AP231" s="14">
        <f ca="1"/>
      </c>
      <c r="AQ231" s="14">
        <f ca="1"/>
      </c>
      <c r="AR231" s="14">
        <f ca="1"/>
      </c>
      <c r="AV231" s="14">
        <f ca="1"/>
      </c>
      <c r="AW231" s="14">
        <f ca="1"/>
      </c>
      <c r="AX231" s="14">
        <f ca="1"/>
      </c>
      <c r="AY231" s="14">
        <f ca="1"/>
      </c>
      <c r="AZ231" s="14">
        <f ca="1"/>
      </c>
      <c r="BF231" s="7">
        <f ca="1"/>
      </c>
      <c r="BG231" s="14">
        <f ca="1"/>
      </c>
      <c r="BH231" s="14">
        <f ca="1"/>
      </c>
      <c r="BI231" s="14">
        <f ca="1"/>
      </c>
      <c r="BJ231" s="14">
        <f ca="1"/>
      </c>
      <c r="BK231" s="14">
        <f ca="1"/>
      </c>
    </row>
    <row r="232" spans="28:63" x14ac:dyDescent="0.55000000000000004">
      <c r="AB232">
        <f ca="1"/>
      </c>
      <c r="AC232">
        <f ca="1"/>
      </c>
      <c r="AD232">
        <f ca="1"/>
      </c>
      <c r="AE232">
        <f ca="1"/>
      </c>
      <c r="AF232">
        <f ca="1"/>
      </c>
      <c r="AG232">
        <f ca="1"/>
      </c>
      <c r="AH232">
        <f ca="1"/>
      </c>
      <c r="AL232" s="7">
        <f ca="1"/>
      </c>
      <c r="AM232" s="14">
        <f ca="1"/>
      </c>
      <c r="AN232" s="14">
        <f ca="1"/>
      </c>
      <c r="AO232" s="14">
        <f ca="1"/>
      </c>
      <c r="AP232" s="14">
        <f ca="1"/>
      </c>
      <c r="AQ232" s="14">
        <f ca="1"/>
      </c>
      <c r="AR232" s="14">
        <f ca="1"/>
      </c>
      <c r="AV232" s="14">
        <f ca="1"/>
      </c>
      <c r="AW232" s="14">
        <f ca="1"/>
      </c>
      <c r="AX232" s="14">
        <f ca="1"/>
      </c>
      <c r="AY232" s="14">
        <f ca="1"/>
      </c>
      <c r="AZ232" s="14">
        <f ca="1"/>
      </c>
      <c r="BF232" s="7">
        <f ca="1"/>
      </c>
      <c r="BG232" s="14">
        <f ca="1"/>
      </c>
      <c r="BH232" s="14">
        <f ca="1"/>
      </c>
      <c r="BI232" s="14">
        <f ca="1"/>
      </c>
      <c r="BJ232" s="14">
        <f ca="1"/>
      </c>
      <c r="BK232" s="14">
        <f ca="1"/>
      </c>
    </row>
    <row r="233" spans="28:63" x14ac:dyDescent="0.55000000000000004">
      <c r="AB233">
        <f ca="1"/>
      </c>
      <c r="AC233">
        <f ca="1"/>
      </c>
      <c r="AD233">
        <f ca="1"/>
      </c>
      <c r="AE233">
        <f ca="1"/>
      </c>
      <c r="AF233">
        <f ca="1"/>
      </c>
      <c r="AG233">
        <f ca="1"/>
      </c>
      <c r="AH233">
        <f ca="1"/>
      </c>
      <c r="AL233" s="7">
        <f ca="1"/>
      </c>
      <c r="AM233" s="14">
        <f ca="1"/>
      </c>
      <c r="AN233" s="14">
        <f ca="1"/>
      </c>
      <c r="AO233" s="14">
        <f ca="1"/>
      </c>
      <c r="AP233" s="14">
        <f ca="1"/>
      </c>
      <c r="AQ233" s="14">
        <f ca="1"/>
      </c>
      <c r="AR233" s="14">
        <f ca="1"/>
      </c>
      <c r="AV233" s="14">
        <f ca="1"/>
      </c>
      <c r="AW233" s="14">
        <f ca="1"/>
      </c>
      <c r="AX233" s="14">
        <f ca="1"/>
      </c>
      <c r="AY233" s="14">
        <f ca="1"/>
      </c>
      <c r="AZ233" s="14">
        <f ca="1"/>
      </c>
      <c r="BF233" s="7">
        <f ca="1"/>
      </c>
      <c r="BG233" s="14">
        <f ca="1"/>
      </c>
      <c r="BH233" s="14">
        <f ca="1"/>
      </c>
      <c r="BI233" s="14">
        <f ca="1"/>
      </c>
      <c r="BJ233" s="14">
        <f ca="1"/>
      </c>
      <c r="BK233" s="14">
        <f ca="1"/>
      </c>
    </row>
    <row r="234" spans="28:63" x14ac:dyDescent="0.55000000000000004">
      <c r="AB234">
        <f ca="1"/>
      </c>
      <c r="AC234">
        <f ca="1"/>
      </c>
      <c r="AD234">
        <f ca="1"/>
      </c>
      <c r="AE234">
        <f ca="1"/>
      </c>
      <c r="AF234">
        <f ca="1"/>
      </c>
      <c r="AG234">
        <f ca="1"/>
      </c>
      <c r="AH234">
        <f ca="1"/>
      </c>
      <c r="AL234" s="7">
        <f ca="1"/>
      </c>
      <c r="AM234" s="14">
        <f ca="1"/>
      </c>
      <c r="AN234" s="14">
        <f ca="1"/>
      </c>
      <c r="AO234" s="14">
        <f ca="1"/>
      </c>
      <c r="AP234" s="14">
        <f ca="1"/>
      </c>
      <c r="AQ234" s="14">
        <f ca="1"/>
      </c>
      <c r="AR234" s="14">
        <f ca="1"/>
      </c>
      <c r="AV234" s="14">
        <f ca="1"/>
      </c>
      <c r="AW234" s="14">
        <f ca="1"/>
      </c>
      <c r="AX234" s="14">
        <f ca="1"/>
      </c>
      <c r="AY234" s="14">
        <f ca="1"/>
      </c>
      <c r="AZ234" s="14">
        <f ca="1"/>
      </c>
      <c r="BF234" s="7">
        <f ca="1"/>
      </c>
      <c r="BG234" s="14">
        <f ca="1"/>
      </c>
      <c r="BH234" s="14">
        <f ca="1"/>
      </c>
      <c r="BI234" s="14">
        <f ca="1"/>
      </c>
      <c r="BJ234" s="14">
        <f ca="1"/>
      </c>
      <c r="BK234" s="14">
        <f ca="1"/>
      </c>
    </row>
    <row r="235" spans="28:63" x14ac:dyDescent="0.55000000000000004">
      <c r="AB235">
        <f ca="1"/>
      </c>
      <c r="AC235">
        <f ca="1"/>
      </c>
      <c r="AD235">
        <f ca="1"/>
      </c>
      <c r="AE235">
        <f ca="1"/>
      </c>
      <c r="AF235">
        <f ca="1"/>
      </c>
      <c r="AG235">
        <f ca="1"/>
      </c>
      <c r="AH235">
        <f ca="1"/>
      </c>
      <c r="AL235" s="7">
        <f ca="1"/>
      </c>
      <c r="AM235" s="14">
        <f ca="1"/>
      </c>
      <c r="AN235" s="14">
        <f ca="1"/>
      </c>
      <c r="AO235" s="14">
        <f ca="1"/>
      </c>
      <c r="AP235" s="14">
        <f ca="1"/>
      </c>
      <c r="AQ235" s="14">
        <f ca="1"/>
      </c>
      <c r="AR235" s="14">
        <f ca="1"/>
      </c>
      <c r="AV235" s="14">
        <f ca="1"/>
      </c>
      <c r="AW235" s="14">
        <f ca="1"/>
      </c>
      <c r="AX235" s="14">
        <f ca="1"/>
      </c>
      <c r="AY235" s="14">
        <f ca="1"/>
      </c>
      <c r="AZ235" s="14">
        <f ca="1"/>
      </c>
      <c r="BF235" s="7">
        <f ca="1"/>
      </c>
      <c r="BG235" s="14">
        <f ca="1"/>
      </c>
      <c r="BH235" s="14">
        <f ca="1"/>
      </c>
      <c r="BI235" s="14">
        <f ca="1"/>
      </c>
      <c r="BJ235" s="14">
        <f ca="1"/>
      </c>
      <c r="BK235" s="14">
        <f ca="1"/>
      </c>
    </row>
    <row r="236" spans="28:63" x14ac:dyDescent="0.55000000000000004">
      <c r="AB236">
        <f ca="1"/>
      </c>
      <c r="AC236">
        <f ca="1"/>
      </c>
      <c r="AD236">
        <f ca="1"/>
      </c>
      <c r="AE236">
        <f ca="1"/>
      </c>
      <c r="AF236">
        <f ca="1"/>
      </c>
      <c r="AG236">
        <f ca="1"/>
      </c>
      <c r="AH236">
        <f ca="1"/>
      </c>
      <c r="AL236" s="7">
        <f ca="1"/>
      </c>
      <c r="AM236" s="14">
        <f ca="1"/>
      </c>
      <c r="AN236" s="14">
        <f ca="1"/>
      </c>
      <c r="AO236" s="14">
        <f ca="1"/>
      </c>
      <c r="AP236" s="14">
        <f ca="1"/>
      </c>
      <c r="AQ236" s="14">
        <f ca="1"/>
      </c>
      <c r="AR236" s="14">
        <f ca="1"/>
      </c>
      <c r="AV236" s="14">
        <f ca="1"/>
      </c>
      <c r="AW236" s="14">
        <f ca="1"/>
      </c>
      <c r="AX236" s="14">
        <f ca="1"/>
      </c>
      <c r="AY236" s="14">
        <f ca="1"/>
      </c>
      <c r="AZ236" s="14">
        <f ca="1"/>
      </c>
      <c r="BF236" s="7">
        <f ca="1"/>
      </c>
      <c r="BG236" s="14">
        <f ca="1"/>
      </c>
      <c r="BH236" s="14">
        <f ca="1"/>
      </c>
      <c r="BI236" s="14">
        <f ca="1"/>
      </c>
      <c r="BJ236" s="14">
        <f ca="1"/>
      </c>
      <c r="BK236" s="14">
        <f ca="1"/>
      </c>
    </row>
    <row r="237" spans="28:63" x14ac:dyDescent="0.55000000000000004">
      <c r="AB237">
        <f ca="1"/>
      </c>
      <c r="AC237">
        <f ca="1"/>
      </c>
      <c r="AD237">
        <f ca="1"/>
      </c>
      <c r="AE237">
        <f ca="1"/>
      </c>
      <c r="AF237">
        <f ca="1"/>
      </c>
      <c r="AG237">
        <f ca="1"/>
      </c>
      <c r="AH237">
        <f ca="1"/>
      </c>
      <c r="AL237" s="7">
        <f ca="1"/>
      </c>
      <c r="AM237" s="14">
        <f ca="1"/>
      </c>
      <c r="AN237" s="14">
        <f ca="1"/>
      </c>
      <c r="AO237" s="14">
        <f ca="1"/>
      </c>
      <c r="AP237" s="14">
        <f ca="1"/>
      </c>
      <c r="AQ237" s="14">
        <f ca="1"/>
      </c>
      <c r="AR237" s="14">
        <f ca="1"/>
      </c>
      <c r="AV237" s="14">
        <f ca="1"/>
      </c>
      <c r="AW237" s="14">
        <f ca="1"/>
      </c>
      <c r="AX237" s="14">
        <f ca="1"/>
      </c>
      <c r="AY237" s="14">
        <f ca="1"/>
      </c>
      <c r="AZ237" s="14">
        <f ca="1"/>
      </c>
      <c r="BF237" s="7">
        <f ca="1"/>
      </c>
      <c r="BG237" s="14">
        <f ca="1"/>
      </c>
      <c r="BH237" s="14">
        <f ca="1"/>
      </c>
      <c r="BI237" s="14">
        <f ca="1"/>
      </c>
      <c r="BJ237" s="14">
        <f ca="1"/>
      </c>
      <c r="BK237" s="14">
        <f ca="1"/>
      </c>
    </row>
    <row r="238" spans="28:63" x14ac:dyDescent="0.55000000000000004">
      <c r="AB238">
        <f ca="1"/>
      </c>
      <c r="AC238">
        <f ca="1"/>
      </c>
      <c r="AD238">
        <f ca="1"/>
      </c>
      <c r="AE238">
        <f ca="1"/>
      </c>
      <c r="AF238">
        <f ca="1"/>
      </c>
      <c r="AG238">
        <f ca="1"/>
      </c>
      <c r="AH238">
        <f ca="1"/>
      </c>
      <c r="AL238" s="7">
        <f ca="1"/>
      </c>
      <c r="AM238" s="14">
        <f ca="1"/>
      </c>
      <c r="AN238" s="14">
        <f ca="1"/>
      </c>
      <c r="AO238" s="14">
        <f ca="1"/>
      </c>
      <c r="AP238" s="14">
        <f ca="1"/>
      </c>
      <c r="AQ238" s="14">
        <f ca="1"/>
      </c>
      <c r="AR238" s="14">
        <f ca="1"/>
      </c>
      <c r="AV238" s="14">
        <f ca="1"/>
      </c>
      <c r="AW238" s="14">
        <f ca="1"/>
      </c>
      <c r="AX238" s="14">
        <f ca="1"/>
      </c>
      <c r="AY238" s="14">
        <f ca="1"/>
      </c>
      <c r="AZ238" s="14">
        <f ca="1"/>
      </c>
      <c r="BF238" s="7">
        <f ca="1"/>
      </c>
      <c r="BG238" s="14">
        <f ca="1"/>
      </c>
      <c r="BH238" s="14">
        <f ca="1"/>
      </c>
      <c r="BI238" s="14">
        <f ca="1"/>
      </c>
      <c r="BJ238" s="14">
        <f ca="1"/>
      </c>
      <c r="BK238" s="14">
        <f ca="1"/>
      </c>
    </row>
    <row r="239" spans="28:63" x14ac:dyDescent="0.55000000000000004">
      <c r="AB239">
        <f ca="1"/>
      </c>
      <c r="AC239">
        <f ca="1"/>
      </c>
      <c r="AD239">
        <f ca="1"/>
      </c>
      <c r="AE239">
        <f ca="1"/>
      </c>
      <c r="AF239">
        <f ca="1"/>
      </c>
      <c r="AG239">
        <f ca="1"/>
      </c>
      <c r="AH239">
        <f ca="1"/>
      </c>
      <c r="AL239" s="7">
        <f ca="1"/>
      </c>
      <c r="AM239" s="14">
        <f ca="1"/>
      </c>
      <c r="AN239" s="14">
        <f ca="1"/>
      </c>
      <c r="AO239" s="14">
        <f ca="1"/>
      </c>
      <c r="AP239" s="14">
        <f ca="1"/>
      </c>
      <c r="AQ239" s="14">
        <f ca="1"/>
      </c>
      <c r="AR239" s="14">
        <f ca="1"/>
      </c>
      <c r="AV239" s="14">
        <f ca="1"/>
      </c>
      <c r="AW239" s="14">
        <f ca="1"/>
      </c>
      <c r="AX239" s="14">
        <f ca="1"/>
      </c>
      <c r="AY239" s="14">
        <f ca="1"/>
      </c>
      <c r="AZ239" s="14">
        <f ca="1"/>
      </c>
      <c r="BF239" s="7">
        <f ca="1"/>
      </c>
      <c r="BG239" s="14">
        <f ca="1"/>
      </c>
      <c r="BH239" s="14">
        <f ca="1"/>
      </c>
      <c r="BI239" s="14">
        <f ca="1"/>
      </c>
      <c r="BJ239" s="14">
        <f ca="1"/>
      </c>
      <c r="BK239" s="14">
        <f ca="1"/>
      </c>
    </row>
    <row r="240" spans="28:63" x14ac:dyDescent="0.55000000000000004">
      <c r="AB240">
        <f ca="1"/>
      </c>
      <c r="AC240">
        <f ca="1"/>
      </c>
      <c r="AD240">
        <f ca="1"/>
      </c>
      <c r="AE240">
        <f ca="1"/>
      </c>
      <c r="AF240">
        <f ca="1"/>
      </c>
      <c r="AG240">
        <f ca="1"/>
      </c>
      <c r="AH240">
        <f ca="1"/>
      </c>
      <c r="AL240" s="7">
        <f ca="1"/>
      </c>
      <c r="AM240" s="14">
        <f ca="1"/>
      </c>
      <c r="AN240" s="14">
        <f ca="1"/>
      </c>
      <c r="AO240" s="14">
        <f ca="1"/>
      </c>
      <c r="AP240" s="14">
        <f ca="1"/>
      </c>
      <c r="AQ240" s="14">
        <f ca="1"/>
      </c>
      <c r="AR240" s="14">
        <f ca="1"/>
      </c>
      <c r="AV240" s="14">
        <f ca="1"/>
      </c>
      <c r="AW240" s="14">
        <f ca="1"/>
      </c>
      <c r="AX240" s="14">
        <f ca="1"/>
      </c>
      <c r="AY240" s="14">
        <f ca="1"/>
      </c>
      <c r="AZ240" s="14">
        <f ca="1"/>
      </c>
      <c r="BF240" s="7">
        <f ca="1"/>
      </c>
      <c r="BG240" s="14">
        <f ca="1"/>
      </c>
      <c r="BH240" s="14">
        <f ca="1"/>
      </c>
      <c r="BI240" s="14">
        <f ca="1"/>
      </c>
      <c r="BJ240" s="14">
        <f ca="1"/>
      </c>
      <c r="BK240" s="14">
        <f ca="1"/>
      </c>
    </row>
    <row r="241" spans="28:63" x14ac:dyDescent="0.55000000000000004">
      <c r="AB241">
        <f ca="1"/>
      </c>
      <c r="AC241">
        <f ca="1"/>
      </c>
      <c r="AD241">
        <f ca="1"/>
      </c>
      <c r="AE241">
        <f ca="1"/>
      </c>
      <c r="AF241">
        <f ca="1"/>
      </c>
      <c r="AG241">
        <f ca="1"/>
      </c>
      <c r="AH241">
        <f ca="1"/>
      </c>
      <c r="AL241" s="7">
        <f ca="1"/>
      </c>
      <c r="AM241" s="14">
        <f ca="1"/>
      </c>
      <c r="AN241" s="14">
        <f ca="1"/>
      </c>
      <c r="AO241" s="14">
        <f ca="1"/>
      </c>
      <c r="AP241" s="14">
        <f ca="1"/>
      </c>
      <c r="AQ241" s="14">
        <f ca="1"/>
      </c>
      <c r="AR241" s="14">
        <f ca="1"/>
      </c>
      <c r="AV241" s="14">
        <f ca="1"/>
      </c>
      <c r="AW241" s="14">
        <f ca="1"/>
      </c>
      <c r="AX241" s="14">
        <f ca="1"/>
      </c>
      <c r="AY241" s="14">
        <f ca="1"/>
      </c>
      <c r="AZ241" s="14">
        <f ca="1"/>
      </c>
      <c r="BF241" s="7">
        <f ca="1"/>
      </c>
      <c r="BG241" s="14">
        <f ca="1"/>
      </c>
      <c r="BH241" s="14">
        <f ca="1"/>
      </c>
      <c r="BI241" s="14">
        <f ca="1"/>
      </c>
      <c r="BJ241" s="14">
        <f ca="1"/>
      </c>
      <c r="BK241" s="14">
        <f ca="1"/>
      </c>
    </row>
    <row r="242" spans="28:63" x14ac:dyDescent="0.55000000000000004">
      <c r="AB242">
        <f ca="1"/>
      </c>
      <c r="AC242">
        <f ca="1"/>
      </c>
      <c r="AD242">
        <f ca="1"/>
      </c>
      <c r="AE242">
        <f ca="1"/>
      </c>
      <c r="AF242">
        <f ca="1"/>
      </c>
      <c r="AG242">
        <f ca="1"/>
      </c>
      <c r="AH242">
        <f ca="1"/>
      </c>
      <c r="AL242" s="7">
        <f ca="1"/>
      </c>
      <c r="AM242" s="14">
        <f ca="1"/>
      </c>
      <c r="AN242" s="14">
        <f ca="1"/>
      </c>
      <c r="AO242" s="14">
        <f ca="1"/>
      </c>
      <c r="AP242" s="14">
        <f ca="1"/>
      </c>
      <c r="AQ242" s="14">
        <f ca="1"/>
      </c>
      <c r="AR242" s="14">
        <f ca="1"/>
      </c>
      <c r="AV242" s="14">
        <f ca="1"/>
      </c>
      <c r="AW242" s="14">
        <f ca="1"/>
      </c>
      <c r="AX242" s="14">
        <f ca="1"/>
      </c>
      <c r="AY242" s="14">
        <f ca="1"/>
      </c>
      <c r="AZ242" s="14">
        <f ca="1"/>
      </c>
      <c r="BF242" s="7">
        <f ca="1"/>
      </c>
      <c r="BG242" s="14">
        <f ca="1"/>
      </c>
      <c r="BH242" s="14">
        <f ca="1"/>
      </c>
      <c r="BI242" s="14">
        <f ca="1"/>
      </c>
      <c r="BJ242" s="14">
        <f ca="1"/>
      </c>
      <c r="BK242" s="14">
        <f ca="1"/>
      </c>
    </row>
    <row r="243" spans="28:63" x14ac:dyDescent="0.55000000000000004">
      <c r="AB243">
        <f ca="1"/>
      </c>
      <c r="AC243">
        <f ca="1"/>
      </c>
      <c r="AD243">
        <f ca="1"/>
      </c>
      <c r="AE243">
        <f ca="1"/>
      </c>
      <c r="AF243">
        <f ca="1"/>
      </c>
      <c r="AG243">
        <f ca="1"/>
      </c>
      <c r="AH243">
        <f ca="1"/>
      </c>
      <c r="AL243" s="7">
        <f ca="1"/>
      </c>
      <c r="AM243" s="14">
        <f ca="1"/>
      </c>
      <c r="AN243" s="14">
        <f ca="1"/>
      </c>
      <c r="AO243" s="14">
        <f ca="1"/>
      </c>
      <c r="AP243" s="14">
        <f ca="1"/>
      </c>
      <c r="AQ243" s="14">
        <f ca="1"/>
      </c>
      <c r="AR243" s="14">
        <f ca="1"/>
      </c>
      <c r="AV243" s="14">
        <f ca="1"/>
      </c>
      <c r="AW243" s="14">
        <f ca="1"/>
      </c>
      <c r="AX243" s="14">
        <f ca="1"/>
      </c>
      <c r="AY243" s="14">
        <f ca="1"/>
      </c>
      <c r="AZ243" s="14">
        <f ca="1"/>
      </c>
      <c r="BF243" s="7">
        <f ca="1"/>
      </c>
      <c r="BG243" s="14">
        <f ca="1"/>
      </c>
      <c r="BH243" s="14">
        <f ca="1"/>
      </c>
      <c r="BI243" s="14">
        <f ca="1"/>
      </c>
      <c r="BJ243" s="14">
        <f ca="1"/>
      </c>
      <c r="BK243" s="14">
        <f ca="1"/>
      </c>
    </row>
    <row r="244" spans="28:63" x14ac:dyDescent="0.55000000000000004">
      <c r="AB244">
        <f ca="1"/>
      </c>
      <c r="AC244">
        <f ca="1"/>
      </c>
      <c r="AD244">
        <f ca="1"/>
      </c>
      <c r="AE244">
        <f ca="1"/>
      </c>
      <c r="AF244">
        <f ca="1"/>
      </c>
      <c r="AG244">
        <f ca="1"/>
      </c>
      <c r="AH244">
        <f ca="1"/>
      </c>
      <c r="AL244" s="7">
        <f ca="1"/>
      </c>
      <c r="AM244" s="14">
        <f ca="1"/>
      </c>
      <c r="AN244" s="14">
        <f ca="1"/>
      </c>
      <c r="AO244" s="14">
        <f ca="1"/>
      </c>
      <c r="AP244" s="14">
        <f ca="1"/>
      </c>
      <c r="AQ244" s="14">
        <f ca="1"/>
      </c>
      <c r="AR244" s="14">
        <f ca="1"/>
      </c>
      <c r="AV244" s="14">
        <f ca="1"/>
      </c>
      <c r="AW244" s="14">
        <f ca="1"/>
      </c>
      <c r="AX244" s="14">
        <f ca="1"/>
      </c>
      <c r="AY244" s="14">
        <f ca="1"/>
      </c>
      <c r="AZ244" s="14">
        <f ca="1"/>
      </c>
      <c r="BF244" s="7">
        <f ca="1"/>
      </c>
      <c r="BG244" s="14">
        <f ca="1"/>
      </c>
      <c r="BH244" s="14">
        <f ca="1"/>
      </c>
      <c r="BI244" s="14">
        <f ca="1"/>
      </c>
      <c r="BJ244" s="14">
        <f ca="1"/>
      </c>
      <c r="BK244" s="14">
        <f ca="1"/>
      </c>
    </row>
    <row r="245" spans="28:63" x14ac:dyDescent="0.55000000000000004">
      <c r="AB245">
        <f ca="1"/>
      </c>
      <c r="AC245">
        <f ca="1"/>
      </c>
      <c r="AD245">
        <f ca="1"/>
      </c>
      <c r="AE245">
        <f ca="1"/>
      </c>
      <c r="AF245">
        <f ca="1"/>
      </c>
      <c r="AG245">
        <f ca="1"/>
      </c>
      <c r="AH245">
        <f ca="1"/>
      </c>
      <c r="AL245" s="7">
        <f ca="1"/>
      </c>
      <c r="AM245" s="14">
        <f ca="1"/>
      </c>
      <c r="AN245" s="14">
        <f ca="1"/>
      </c>
      <c r="AO245" s="14">
        <f ca="1"/>
      </c>
      <c r="AP245" s="14">
        <f ca="1"/>
      </c>
      <c r="AQ245" s="14">
        <f ca="1"/>
      </c>
      <c r="AR245" s="14">
        <f ca="1"/>
      </c>
      <c r="AV245" s="14">
        <f ca="1"/>
      </c>
      <c r="AW245" s="14">
        <f ca="1"/>
      </c>
      <c r="AX245" s="14">
        <f ca="1"/>
      </c>
      <c r="AY245" s="14">
        <f ca="1"/>
      </c>
      <c r="AZ245" s="14">
        <f ca="1"/>
      </c>
      <c r="BF245" s="7">
        <f ca="1"/>
      </c>
      <c r="BG245" s="14">
        <f ca="1"/>
      </c>
      <c r="BH245" s="14">
        <f ca="1"/>
      </c>
      <c r="BI245" s="14">
        <f ca="1"/>
      </c>
      <c r="BJ245" s="14">
        <f ca="1"/>
      </c>
      <c r="BK245" s="14">
        <f ca="1"/>
      </c>
    </row>
    <row r="246" spans="28:63" x14ac:dyDescent="0.55000000000000004">
      <c r="AB246">
        <f ca="1"/>
      </c>
      <c r="AC246">
        <f ca="1"/>
      </c>
      <c r="AD246">
        <f ca="1"/>
      </c>
      <c r="AE246">
        <f ca="1"/>
      </c>
      <c r="AF246">
        <f ca="1"/>
      </c>
      <c r="AG246">
        <f ca="1"/>
      </c>
      <c r="AH246">
        <f ca="1"/>
      </c>
      <c r="AL246" s="7">
        <f ca="1"/>
      </c>
      <c r="AM246" s="14">
        <f ca="1"/>
      </c>
      <c r="AN246" s="14">
        <f ca="1"/>
      </c>
      <c r="AO246" s="14">
        <f ca="1"/>
      </c>
      <c r="AP246" s="14">
        <f ca="1"/>
      </c>
      <c r="AQ246" s="14">
        <f ca="1"/>
      </c>
      <c r="AR246" s="14">
        <f ca="1"/>
      </c>
      <c r="AV246" s="14">
        <f ca="1"/>
      </c>
      <c r="AW246" s="14">
        <f ca="1"/>
      </c>
      <c r="AX246" s="14">
        <f ca="1"/>
      </c>
      <c r="AY246" s="14">
        <f ca="1"/>
      </c>
      <c r="AZ246" s="14">
        <f ca="1"/>
      </c>
      <c r="BF246" s="7">
        <f ca="1"/>
      </c>
      <c r="BG246" s="14">
        <f ca="1"/>
      </c>
      <c r="BH246" s="14">
        <f ca="1"/>
      </c>
      <c r="BI246" s="14">
        <f ca="1"/>
      </c>
      <c r="BJ246" s="14">
        <f ca="1"/>
      </c>
      <c r="BK246" s="14">
        <f ca="1"/>
      </c>
    </row>
    <row r="247" spans="28:63" x14ac:dyDescent="0.55000000000000004">
      <c r="AB247">
        <f ca="1"/>
      </c>
      <c r="AC247">
        <f ca="1"/>
      </c>
      <c r="AD247">
        <f ca="1"/>
      </c>
      <c r="AE247">
        <f ca="1"/>
      </c>
      <c r="AF247">
        <f ca="1"/>
      </c>
      <c r="AG247">
        <f ca="1"/>
      </c>
      <c r="AH247">
        <f ca="1"/>
      </c>
      <c r="AL247" s="7">
        <f ca="1"/>
      </c>
      <c r="AM247" s="14">
        <f ca="1"/>
      </c>
      <c r="AN247" s="14">
        <f ca="1"/>
      </c>
      <c r="AO247" s="14">
        <f ca="1"/>
      </c>
      <c r="AP247" s="14">
        <f ca="1"/>
      </c>
      <c r="AQ247" s="14">
        <f ca="1"/>
      </c>
      <c r="AR247" s="14">
        <f ca="1"/>
      </c>
      <c r="AV247" s="14">
        <f ca="1"/>
      </c>
      <c r="AW247" s="14">
        <f ca="1"/>
      </c>
      <c r="AX247" s="14">
        <f ca="1"/>
      </c>
      <c r="AY247" s="14">
        <f ca="1"/>
      </c>
      <c r="AZ247" s="14">
        <f ca="1"/>
      </c>
      <c r="BF247" s="7">
        <f ca="1"/>
      </c>
      <c r="BG247" s="14">
        <f ca="1"/>
      </c>
      <c r="BH247" s="14">
        <f ca="1"/>
      </c>
      <c r="BI247" s="14">
        <f ca="1"/>
      </c>
      <c r="BJ247" s="14">
        <f ca="1"/>
      </c>
      <c r="BK247" s="14">
        <f ca="1"/>
      </c>
    </row>
    <row r="248" spans="28:63" x14ac:dyDescent="0.55000000000000004">
      <c r="AB248">
        <f ca="1"/>
      </c>
      <c r="AC248">
        <f ca="1"/>
      </c>
      <c r="AD248">
        <f ca="1"/>
      </c>
      <c r="AE248">
        <f ca="1"/>
      </c>
      <c r="AF248">
        <f ca="1"/>
      </c>
      <c r="AG248">
        <f ca="1"/>
      </c>
      <c r="AH248">
        <f ca="1"/>
      </c>
      <c r="AL248" s="7">
        <f ca="1"/>
      </c>
      <c r="AM248" s="14">
        <f ca="1"/>
      </c>
      <c r="AN248" s="14">
        <f ca="1"/>
      </c>
      <c r="AO248" s="14">
        <f ca="1"/>
      </c>
      <c r="AP248" s="14">
        <f ca="1"/>
      </c>
      <c r="AQ248" s="14">
        <f ca="1"/>
      </c>
      <c r="AR248" s="14">
        <f ca="1"/>
      </c>
      <c r="AV248" s="14">
        <f ca="1"/>
      </c>
      <c r="AW248" s="14">
        <f ca="1"/>
      </c>
      <c r="AX248" s="14">
        <f ca="1"/>
      </c>
      <c r="AY248" s="14">
        <f ca="1"/>
      </c>
      <c r="AZ248" s="14">
        <f ca="1"/>
      </c>
      <c r="BF248" s="7">
        <f ca="1"/>
      </c>
      <c r="BG248" s="14">
        <f ca="1"/>
      </c>
      <c r="BH248" s="14">
        <f ca="1"/>
      </c>
      <c r="BI248" s="14">
        <f ca="1"/>
      </c>
      <c r="BJ248" s="14">
        <f ca="1"/>
      </c>
      <c r="BK248" s="14">
        <f ca="1"/>
      </c>
    </row>
    <row r="249" spans="28:63" x14ac:dyDescent="0.55000000000000004">
      <c r="AB249">
        <f ca="1"/>
      </c>
      <c r="AC249">
        <f ca="1"/>
      </c>
      <c r="AD249">
        <f ca="1"/>
      </c>
      <c r="AE249">
        <f ca="1"/>
      </c>
      <c r="AF249">
        <f ca="1"/>
      </c>
      <c r="AG249">
        <f ca="1"/>
      </c>
      <c r="AH249">
        <f ca="1"/>
      </c>
      <c r="AL249" s="7">
        <f ca="1"/>
      </c>
      <c r="AM249" s="14">
        <f ca="1"/>
      </c>
      <c r="AN249" s="14">
        <f ca="1"/>
      </c>
      <c r="AO249" s="14">
        <f ca="1"/>
      </c>
      <c r="AP249" s="14">
        <f ca="1"/>
      </c>
      <c r="AQ249" s="14">
        <f ca="1"/>
      </c>
      <c r="AR249" s="14">
        <f ca="1"/>
      </c>
      <c r="AV249" s="14">
        <f ca="1"/>
      </c>
      <c r="AW249" s="14">
        <f ca="1"/>
      </c>
      <c r="AX249" s="14">
        <f ca="1"/>
      </c>
      <c r="AY249" s="14">
        <f ca="1"/>
      </c>
      <c r="AZ249" s="14">
        <f ca="1"/>
      </c>
      <c r="BF249" s="7">
        <f ca="1"/>
      </c>
      <c r="BG249" s="14">
        <f ca="1"/>
      </c>
      <c r="BH249" s="14">
        <f ca="1"/>
      </c>
      <c r="BI249" s="14">
        <f ca="1"/>
      </c>
      <c r="BJ249" s="14">
        <f ca="1"/>
      </c>
      <c r="BK249" s="14">
        <f ca="1"/>
      </c>
    </row>
    <row r="250" spans="28:63" x14ac:dyDescent="0.55000000000000004">
      <c r="AB250">
        <f ca="1"/>
      </c>
      <c r="AC250">
        <f ca="1"/>
      </c>
      <c r="AD250">
        <f ca="1"/>
      </c>
      <c r="AE250">
        <f ca="1"/>
      </c>
      <c r="AF250">
        <f ca="1"/>
      </c>
      <c r="AG250">
        <f ca="1"/>
      </c>
      <c r="AH250">
        <f ca="1"/>
      </c>
      <c r="AL250" s="7">
        <f ca="1"/>
      </c>
      <c r="AM250" s="14">
        <f ca="1"/>
      </c>
      <c r="AN250" s="14">
        <f ca="1"/>
      </c>
      <c r="AO250" s="14">
        <f ca="1"/>
      </c>
      <c r="AP250" s="14">
        <f ca="1"/>
      </c>
      <c r="AQ250" s="14">
        <f ca="1"/>
      </c>
      <c r="AR250" s="14">
        <f ca="1"/>
      </c>
      <c r="AV250" s="14">
        <f ca="1"/>
      </c>
      <c r="AW250" s="14">
        <f ca="1"/>
      </c>
      <c r="AX250" s="14">
        <f ca="1"/>
      </c>
      <c r="AY250" s="14">
        <f ca="1"/>
      </c>
      <c r="AZ250" s="14">
        <f ca="1"/>
      </c>
      <c r="BF250" s="7">
        <f ca="1"/>
      </c>
      <c r="BG250" s="14">
        <f ca="1"/>
      </c>
      <c r="BH250" s="14">
        <f ca="1"/>
      </c>
      <c r="BI250" s="14">
        <f ca="1"/>
      </c>
      <c r="BJ250" s="14">
        <f ca="1"/>
      </c>
      <c r="BK250" s="14">
        <f ca="1"/>
      </c>
    </row>
    <row r="251" spans="28:63" x14ac:dyDescent="0.55000000000000004">
      <c r="AB251">
        <f ca="1"/>
      </c>
      <c r="AC251">
        <f ca="1"/>
      </c>
      <c r="AD251">
        <f ca="1"/>
      </c>
      <c r="AE251">
        <f ca="1"/>
      </c>
      <c r="AF251">
        <f ca="1"/>
      </c>
      <c r="AG251">
        <f ca="1"/>
      </c>
      <c r="AH251">
        <f ca="1"/>
      </c>
      <c r="AL251" s="7">
        <f ca="1"/>
      </c>
      <c r="AM251" s="14">
        <f ca="1"/>
      </c>
      <c r="AN251" s="14">
        <f ca="1"/>
      </c>
      <c r="AO251" s="14">
        <f ca="1"/>
      </c>
      <c r="AP251" s="14">
        <f ca="1"/>
      </c>
      <c r="AQ251" s="14">
        <f ca="1"/>
      </c>
      <c r="AR251" s="14">
        <f ca="1"/>
      </c>
      <c r="AV251" s="14">
        <f ca="1"/>
      </c>
      <c r="AW251" s="14">
        <f ca="1"/>
      </c>
      <c r="AX251" s="14">
        <f ca="1"/>
      </c>
      <c r="AY251" s="14">
        <f ca="1"/>
      </c>
      <c r="AZ251" s="14">
        <f ca="1"/>
      </c>
      <c r="BF251" s="7">
        <f ca="1"/>
      </c>
      <c r="BG251" s="14">
        <f ca="1"/>
      </c>
      <c r="BH251" s="14">
        <f ca="1"/>
      </c>
      <c r="BI251" s="14">
        <f ca="1"/>
      </c>
      <c r="BJ251" s="14">
        <f ca="1"/>
      </c>
      <c r="BK251" s="14">
        <f ca="1"/>
      </c>
    </row>
    <row r="252" spans="28:63" x14ac:dyDescent="0.55000000000000004">
      <c r="AB252">
        <f ca="1"/>
      </c>
      <c r="AC252">
        <f ca="1"/>
      </c>
      <c r="AD252">
        <f ca="1"/>
      </c>
      <c r="AE252">
        <f ca="1"/>
      </c>
      <c r="AF252">
        <f ca="1"/>
      </c>
      <c r="AG252">
        <f ca="1"/>
      </c>
      <c r="AH252">
        <f ca="1"/>
      </c>
      <c r="AL252" s="7">
        <f ca="1"/>
      </c>
      <c r="AM252" s="14">
        <f ca="1"/>
      </c>
      <c r="AN252" s="14">
        <f ca="1"/>
      </c>
      <c r="AO252" s="14">
        <f ca="1"/>
      </c>
      <c r="AP252" s="14">
        <f ca="1"/>
      </c>
      <c r="AQ252" s="14">
        <f ca="1"/>
      </c>
      <c r="AR252" s="14">
        <f ca="1"/>
      </c>
      <c r="AV252" s="14">
        <f ca="1"/>
      </c>
      <c r="AW252" s="14">
        <f ca="1"/>
      </c>
      <c r="AX252" s="14">
        <f ca="1"/>
      </c>
      <c r="AY252" s="14">
        <f ca="1"/>
      </c>
      <c r="AZ252" s="14">
        <f ca="1"/>
      </c>
      <c r="BF252" s="7">
        <f ca="1"/>
      </c>
      <c r="BG252" s="14">
        <f ca="1"/>
      </c>
      <c r="BH252" s="14">
        <f ca="1"/>
      </c>
      <c r="BI252" s="14">
        <f ca="1"/>
      </c>
      <c r="BJ252" s="14">
        <f ca="1"/>
      </c>
      <c r="BK252" s="14">
        <f ca="1"/>
      </c>
    </row>
    <row r="253" spans="28:63" x14ac:dyDescent="0.55000000000000004">
      <c r="AB253">
        <f ca="1"/>
      </c>
      <c r="AC253">
        <f ca="1"/>
      </c>
      <c r="AD253">
        <f ca="1"/>
      </c>
      <c r="AE253">
        <f ca="1"/>
      </c>
      <c r="AF253">
        <f ca="1"/>
      </c>
      <c r="AG253">
        <f ca="1"/>
      </c>
      <c r="AH253">
        <f ca="1"/>
      </c>
      <c r="AL253" s="7">
        <f ca="1"/>
      </c>
      <c r="AM253" s="14">
        <f ca="1"/>
      </c>
      <c r="AN253" s="14">
        <f ca="1"/>
      </c>
      <c r="AO253" s="14">
        <f ca="1"/>
      </c>
      <c r="AP253" s="14">
        <f ca="1"/>
      </c>
      <c r="AQ253" s="14">
        <f ca="1"/>
      </c>
      <c r="AR253" s="14">
        <f ca="1"/>
      </c>
      <c r="AV253" s="14">
        <f ca="1"/>
      </c>
      <c r="AW253" s="14">
        <f ca="1"/>
      </c>
      <c r="AX253" s="14">
        <f ca="1"/>
      </c>
      <c r="AY253" s="14">
        <f ca="1"/>
      </c>
      <c r="AZ253" s="14">
        <f ca="1"/>
      </c>
      <c r="BF253" s="7">
        <f ca="1"/>
      </c>
      <c r="BG253" s="14">
        <f ca="1"/>
      </c>
      <c r="BH253" s="14">
        <f ca="1"/>
      </c>
      <c r="BI253" s="14">
        <f ca="1"/>
      </c>
      <c r="BJ253" s="14">
        <f ca="1"/>
      </c>
      <c r="BK253" s="14">
        <f ca="1"/>
      </c>
    </row>
    <row r="254" spans="28:63" x14ac:dyDescent="0.55000000000000004">
      <c r="AB254">
        <f ca="1"/>
      </c>
      <c r="AC254">
        <f ca="1"/>
      </c>
      <c r="AD254">
        <f ca="1"/>
      </c>
      <c r="AE254">
        <f ca="1"/>
      </c>
      <c r="AF254">
        <f ca="1"/>
      </c>
      <c r="AG254">
        <f ca="1"/>
      </c>
      <c r="AH254">
        <f ca="1"/>
      </c>
      <c r="AL254" s="7">
        <f ca="1"/>
      </c>
      <c r="AM254" s="14">
        <f ca="1"/>
      </c>
      <c r="AN254" s="14">
        <f ca="1"/>
      </c>
      <c r="AO254" s="14">
        <f ca="1"/>
      </c>
      <c r="AP254" s="14">
        <f ca="1"/>
      </c>
      <c r="AQ254" s="14">
        <f ca="1"/>
      </c>
      <c r="AR254" s="14">
        <f ca="1"/>
      </c>
      <c r="AV254" s="14">
        <f ca="1"/>
      </c>
      <c r="AW254" s="14">
        <f ca="1"/>
      </c>
      <c r="AX254" s="14">
        <f ca="1"/>
      </c>
      <c r="AY254" s="14">
        <f ca="1"/>
      </c>
      <c r="AZ254" s="14">
        <f ca="1"/>
      </c>
      <c r="BF254" s="7">
        <f ca="1"/>
      </c>
      <c r="BG254" s="14">
        <f ca="1"/>
      </c>
      <c r="BH254" s="14">
        <f ca="1"/>
      </c>
      <c r="BI254" s="14">
        <f ca="1"/>
      </c>
      <c r="BJ254" s="14">
        <f ca="1"/>
      </c>
      <c r="BK254" s="14">
        <f ca="1"/>
      </c>
    </row>
    <row r="255" spans="28:63" x14ac:dyDescent="0.55000000000000004">
      <c r="AB255">
        <f ca="1"/>
      </c>
      <c r="AC255">
        <f ca="1"/>
      </c>
      <c r="AD255">
        <f ca="1"/>
      </c>
      <c r="AE255">
        <f ca="1"/>
      </c>
      <c r="AF255">
        <f ca="1"/>
      </c>
      <c r="AG255">
        <f ca="1"/>
      </c>
      <c r="AH255">
        <f ca="1"/>
      </c>
      <c r="AL255" s="7">
        <f ca="1"/>
      </c>
      <c r="AM255" s="14">
        <f ca="1"/>
      </c>
      <c r="AN255" s="14">
        <f ca="1"/>
      </c>
      <c r="AO255" s="14">
        <f ca="1"/>
      </c>
      <c r="AP255" s="14">
        <f ca="1"/>
      </c>
      <c r="AQ255" s="14">
        <f ca="1"/>
      </c>
      <c r="AR255" s="14">
        <f ca="1"/>
      </c>
      <c r="AV255" s="14">
        <f ca="1"/>
      </c>
      <c r="AW255" s="14">
        <f ca="1"/>
      </c>
      <c r="AX255" s="14">
        <f ca="1"/>
      </c>
      <c r="AY255" s="14">
        <f ca="1"/>
      </c>
      <c r="AZ255" s="14">
        <f ca="1"/>
      </c>
      <c r="BF255" s="7">
        <f ca="1"/>
      </c>
      <c r="BG255" s="14">
        <f ca="1"/>
      </c>
      <c r="BH255" s="14">
        <f ca="1"/>
      </c>
      <c r="BI255" s="14">
        <f ca="1"/>
      </c>
      <c r="BJ255" s="14">
        <f ca="1"/>
      </c>
      <c r="BK255" s="14">
        <f ca="1"/>
      </c>
    </row>
    <row r="256" spans="28:63" x14ac:dyDescent="0.55000000000000004">
      <c r="AB256">
        <f ca="1"/>
      </c>
      <c r="AC256">
        <f ca="1"/>
      </c>
      <c r="AD256">
        <f ca="1"/>
      </c>
      <c r="AE256">
        <f ca="1"/>
      </c>
      <c r="AF256">
        <f ca="1"/>
      </c>
      <c r="AG256">
        <f ca="1"/>
      </c>
      <c r="AH256">
        <f ca="1"/>
      </c>
      <c r="AL256" s="7">
        <f ca="1"/>
      </c>
      <c r="AM256" s="14">
        <f ca="1"/>
      </c>
      <c r="AN256" s="14">
        <f ca="1"/>
      </c>
      <c r="AO256" s="14">
        <f ca="1"/>
      </c>
      <c r="AP256" s="14">
        <f ca="1"/>
      </c>
      <c r="AQ256" s="14">
        <f ca="1"/>
      </c>
      <c r="AR256" s="14">
        <f ca="1"/>
      </c>
      <c r="AV256" s="14">
        <f ca="1"/>
      </c>
      <c r="AW256" s="14">
        <f ca="1"/>
      </c>
      <c r="AX256" s="14">
        <f ca="1"/>
      </c>
      <c r="AY256" s="14">
        <f ca="1"/>
      </c>
      <c r="AZ256" s="14">
        <f ca="1"/>
      </c>
      <c r="BF256" s="7">
        <f ca="1"/>
      </c>
      <c r="BG256" s="14">
        <f ca="1"/>
      </c>
      <c r="BH256" s="14">
        <f ca="1"/>
      </c>
      <c r="BI256" s="14">
        <f ca="1"/>
      </c>
      <c r="BJ256" s="14">
        <f ca="1"/>
      </c>
      <c r="BK256" s="14">
        <f ca="1"/>
      </c>
    </row>
    <row r="257" spans="28:63" x14ac:dyDescent="0.55000000000000004">
      <c r="AB257">
        <f ca="1"/>
      </c>
      <c r="AC257">
        <f ca="1"/>
      </c>
      <c r="AD257">
        <f ca="1"/>
      </c>
      <c r="AE257">
        <f ca="1"/>
      </c>
      <c r="AF257">
        <f ca="1"/>
      </c>
      <c r="AG257">
        <f ca="1"/>
      </c>
      <c r="AH257">
        <f ca="1"/>
      </c>
      <c r="AL257" s="7">
        <f ca="1"/>
      </c>
      <c r="AM257" s="14">
        <f ca="1"/>
      </c>
      <c r="AN257" s="14">
        <f ca="1"/>
      </c>
      <c r="AO257" s="14">
        <f ca="1"/>
      </c>
      <c r="AP257" s="14">
        <f ca="1"/>
      </c>
      <c r="AQ257" s="14">
        <f ca="1"/>
      </c>
      <c r="AR257" s="14">
        <f ca="1"/>
      </c>
      <c r="AV257" s="14">
        <f ca="1"/>
      </c>
      <c r="AW257" s="14">
        <f ca="1"/>
      </c>
      <c r="AX257" s="14">
        <f ca="1"/>
      </c>
      <c r="AY257" s="14">
        <f ca="1"/>
      </c>
      <c r="AZ257" s="14">
        <f ca="1"/>
      </c>
      <c r="BF257" s="7">
        <f ca="1"/>
      </c>
      <c r="BG257" s="14">
        <f ca="1"/>
      </c>
      <c r="BH257" s="14">
        <f ca="1"/>
      </c>
      <c r="BI257" s="14">
        <f ca="1"/>
      </c>
      <c r="BJ257" s="14">
        <f ca="1"/>
      </c>
      <c r="BK257" s="14">
        <f ca="1"/>
      </c>
    </row>
    <row r="258" spans="28:63" x14ac:dyDescent="0.55000000000000004">
      <c r="AB258">
        <f ca="1"/>
      </c>
      <c r="AC258">
        <f ca="1"/>
      </c>
      <c r="AD258">
        <f ca="1"/>
      </c>
      <c r="AE258">
        <f ca="1"/>
      </c>
      <c r="AF258">
        <f ca="1"/>
      </c>
      <c r="AG258">
        <f ca="1"/>
      </c>
      <c r="AH258">
        <f ca="1"/>
      </c>
      <c r="AL258" s="7">
        <f ca="1"/>
      </c>
      <c r="AM258" s="14">
        <f ca="1"/>
      </c>
      <c r="AN258" s="14">
        <f ca="1"/>
      </c>
      <c r="AO258" s="14">
        <f ca="1"/>
      </c>
      <c r="AP258" s="14">
        <f ca="1"/>
      </c>
      <c r="AQ258" s="14">
        <f ca="1"/>
      </c>
      <c r="AR258" s="14">
        <f ca="1"/>
      </c>
      <c r="AV258" s="14">
        <f ca="1"/>
      </c>
      <c r="AW258" s="14">
        <f ca="1"/>
      </c>
      <c r="AX258" s="14">
        <f ca="1"/>
      </c>
      <c r="AY258" s="14">
        <f ca="1"/>
      </c>
      <c r="AZ258" s="14">
        <f ca="1"/>
      </c>
      <c r="BF258" s="7">
        <f ca="1"/>
      </c>
      <c r="BG258" s="14">
        <f ca="1"/>
      </c>
      <c r="BH258" s="14">
        <f ca="1"/>
      </c>
      <c r="BI258" s="14">
        <f ca="1"/>
      </c>
      <c r="BJ258" s="14">
        <f ca="1"/>
      </c>
      <c r="BK258" s="14">
        <f ca="1"/>
      </c>
    </row>
    <row r="259" spans="28:63" x14ac:dyDescent="0.55000000000000004">
      <c r="AB259">
        <f ca="1"/>
      </c>
      <c r="AC259">
        <f ca="1"/>
      </c>
      <c r="AD259">
        <f ca="1"/>
      </c>
      <c r="AE259">
        <f ca="1"/>
      </c>
      <c r="AF259">
        <f ca="1"/>
      </c>
      <c r="AG259">
        <f ca="1"/>
      </c>
      <c r="AH259">
        <f ca="1"/>
      </c>
      <c r="AL259" s="7">
        <f ca="1"/>
      </c>
      <c r="AM259" s="14">
        <f ca="1"/>
      </c>
      <c r="AN259" s="14">
        <f ca="1"/>
      </c>
      <c r="AO259" s="14">
        <f ca="1"/>
      </c>
      <c r="AP259" s="14">
        <f ca="1"/>
      </c>
      <c r="AQ259" s="14">
        <f ca="1"/>
      </c>
      <c r="AR259" s="14">
        <f ca="1"/>
      </c>
      <c r="AV259" s="14">
        <f ca="1"/>
      </c>
      <c r="AW259" s="14">
        <f ca="1"/>
      </c>
      <c r="AX259" s="14">
        <f ca="1"/>
      </c>
      <c r="AY259" s="14">
        <f ca="1"/>
      </c>
      <c r="AZ259" s="14">
        <f ca="1"/>
      </c>
      <c r="BF259" s="7">
        <f ca="1"/>
      </c>
      <c r="BG259" s="14">
        <f ca="1"/>
      </c>
      <c r="BH259" s="14">
        <f ca="1"/>
      </c>
      <c r="BI259" s="14">
        <f ca="1"/>
      </c>
      <c r="BJ259" s="14">
        <f ca="1"/>
      </c>
      <c r="BK259" s="14">
        <f ca="1"/>
      </c>
    </row>
    <row r="260" spans="28:63" x14ac:dyDescent="0.55000000000000004">
      <c r="AB260">
        <f ca="1"/>
      </c>
      <c r="AC260">
        <f ca="1"/>
      </c>
      <c r="AD260">
        <f ca="1"/>
      </c>
      <c r="AE260">
        <f ca="1"/>
      </c>
      <c r="AF260">
        <f ca="1"/>
      </c>
      <c r="AG260">
        <f ca="1"/>
      </c>
      <c r="AH260">
        <f ca="1"/>
      </c>
      <c r="AL260" s="7">
        <f ca="1"/>
      </c>
      <c r="AM260" s="14">
        <f ca="1"/>
      </c>
      <c r="AN260" s="14">
        <f ca="1"/>
      </c>
      <c r="AO260" s="14">
        <f ca="1"/>
      </c>
      <c r="AP260" s="14">
        <f ca="1"/>
      </c>
      <c r="AQ260" s="14">
        <f ca="1"/>
      </c>
      <c r="AR260" s="14">
        <f ca="1"/>
      </c>
      <c r="AV260" s="14">
        <f ca="1"/>
      </c>
      <c r="AW260" s="14">
        <f ca="1"/>
      </c>
      <c r="AX260" s="14">
        <f ca="1"/>
      </c>
      <c r="AY260" s="14">
        <f ca="1"/>
      </c>
      <c r="AZ260" s="14">
        <f ca="1"/>
      </c>
      <c r="BF260" s="7">
        <f ca="1"/>
      </c>
      <c r="BG260" s="14">
        <f ca="1"/>
      </c>
      <c r="BH260" s="14">
        <f ca="1"/>
      </c>
      <c r="BI260" s="14">
        <f ca="1"/>
      </c>
      <c r="BJ260" s="14">
        <f ca="1"/>
      </c>
      <c r="BK260" s="14">
        <f ca="1"/>
      </c>
    </row>
    <row r="261" spans="28:63" x14ac:dyDescent="0.55000000000000004">
      <c r="AB261">
        <f ca="1"/>
      </c>
      <c r="AC261">
        <f ca="1"/>
      </c>
      <c r="AD261">
        <f ca="1"/>
      </c>
      <c r="AE261">
        <f ca="1"/>
      </c>
      <c r="AF261">
        <f ca="1"/>
      </c>
      <c r="AG261">
        <f ca="1"/>
      </c>
      <c r="AH261">
        <f ca="1"/>
      </c>
      <c r="AL261" s="7">
        <f ca="1"/>
      </c>
      <c r="AM261" s="14">
        <f ca="1"/>
      </c>
      <c r="AN261" s="14">
        <f ca="1"/>
      </c>
      <c r="AO261" s="14">
        <f ca="1"/>
      </c>
      <c r="AP261" s="14">
        <f ca="1"/>
      </c>
      <c r="AQ261" s="14">
        <f ca="1"/>
      </c>
      <c r="AR261" s="14">
        <f ca="1"/>
      </c>
      <c r="AV261" s="14">
        <f ca="1"/>
      </c>
      <c r="AW261" s="14">
        <f ca="1"/>
      </c>
      <c r="AX261" s="14">
        <f ca="1"/>
      </c>
      <c r="AY261" s="14">
        <f ca="1"/>
      </c>
      <c r="AZ261" s="14">
        <f ca="1"/>
      </c>
      <c r="BF261" s="7">
        <f ca="1"/>
      </c>
      <c r="BG261" s="14">
        <f ca="1"/>
      </c>
      <c r="BH261" s="14">
        <f ca="1"/>
      </c>
      <c r="BI261" s="14">
        <f ca="1"/>
      </c>
      <c r="BJ261" s="14">
        <f ca="1"/>
      </c>
      <c r="BK261" s="14">
        <f ca="1"/>
      </c>
    </row>
    <row r="262" spans="28:63" x14ac:dyDescent="0.55000000000000004">
      <c r="AB262">
        <f ca="1"/>
      </c>
      <c r="AC262">
        <f ca="1"/>
      </c>
      <c r="AD262">
        <f ca="1"/>
      </c>
      <c r="AE262">
        <f ca="1"/>
      </c>
      <c r="AF262">
        <f ca="1"/>
      </c>
      <c r="AG262">
        <f ca="1"/>
      </c>
      <c r="AH262">
        <f ca="1"/>
      </c>
      <c r="AL262" s="7">
        <f ca="1"/>
      </c>
      <c r="AM262" s="14">
        <f ca="1"/>
      </c>
      <c r="AN262" s="14">
        <f ca="1"/>
      </c>
      <c r="AO262" s="14">
        <f ca="1"/>
      </c>
      <c r="AP262" s="14">
        <f ca="1"/>
      </c>
      <c r="AQ262" s="14">
        <f ca="1"/>
      </c>
      <c r="AR262" s="14">
        <f ca="1"/>
      </c>
      <c r="AV262" s="14">
        <f ca="1"/>
      </c>
      <c r="AW262" s="14">
        <f ca="1"/>
      </c>
      <c r="AX262" s="14">
        <f ca="1"/>
      </c>
      <c r="AY262" s="14">
        <f ca="1"/>
      </c>
      <c r="AZ262" s="14">
        <f ca="1"/>
      </c>
      <c r="BF262" s="7">
        <f ca="1"/>
      </c>
      <c r="BG262" s="14">
        <f ca="1"/>
      </c>
      <c r="BH262" s="14">
        <f ca="1"/>
      </c>
      <c r="BI262" s="14">
        <f ca="1"/>
      </c>
      <c r="BJ262" s="14">
        <f ca="1"/>
      </c>
      <c r="BK262" s="14">
        <f ca="1"/>
      </c>
    </row>
    <row r="263" spans="28:63" x14ac:dyDescent="0.55000000000000004">
      <c r="AB263">
        <f ca="1"/>
      </c>
      <c r="AC263">
        <f ca="1"/>
      </c>
      <c r="AD263">
        <f ca="1"/>
      </c>
      <c r="AE263">
        <f ca="1"/>
      </c>
      <c r="AF263">
        <f ca="1"/>
      </c>
      <c r="AG263">
        <f ca="1"/>
      </c>
      <c r="AH263">
        <f ca="1"/>
      </c>
      <c r="AL263" s="7">
        <f ca="1"/>
      </c>
      <c r="AM263" s="14">
        <f ca="1"/>
      </c>
      <c r="AN263" s="14">
        <f ca="1"/>
      </c>
      <c r="AO263" s="14">
        <f ca="1"/>
      </c>
      <c r="AP263" s="14">
        <f ca="1"/>
      </c>
      <c r="AQ263" s="14">
        <f ca="1"/>
      </c>
      <c r="AR263" s="14">
        <f ca="1"/>
      </c>
      <c r="AV263" s="14">
        <f ca="1"/>
      </c>
      <c r="AW263" s="14">
        <f ca="1"/>
      </c>
      <c r="AX263" s="14">
        <f ca="1"/>
      </c>
      <c r="AY263" s="14">
        <f ca="1"/>
      </c>
      <c r="AZ263" s="14">
        <f ca="1"/>
      </c>
      <c r="BF263" s="7">
        <f ca="1"/>
      </c>
      <c r="BG263" s="14">
        <f ca="1"/>
      </c>
      <c r="BH263" s="14">
        <f ca="1"/>
      </c>
      <c r="BI263" s="14">
        <f ca="1"/>
      </c>
      <c r="BJ263" s="14">
        <f ca="1"/>
      </c>
      <c r="BK263" s="14">
        <f ca="1"/>
      </c>
    </row>
    <row r="264" spans="28:63" x14ac:dyDescent="0.55000000000000004">
      <c r="AB264">
        <f ca="1"/>
      </c>
      <c r="AC264">
        <f ca="1"/>
      </c>
      <c r="AD264">
        <f ca="1"/>
      </c>
      <c r="AE264">
        <f ca="1"/>
      </c>
      <c r="AF264">
        <f ca="1"/>
      </c>
      <c r="AG264">
        <f ca="1"/>
      </c>
      <c r="AH264">
        <f ca="1"/>
      </c>
      <c r="AL264" s="7">
        <f ca="1"/>
      </c>
      <c r="AM264" s="14">
        <f ca="1"/>
      </c>
      <c r="AN264" s="14">
        <f ca="1"/>
      </c>
      <c r="AO264" s="14">
        <f ca="1"/>
      </c>
      <c r="AP264" s="14">
        <f ca="1"/>
      </c>
      <c r="AQ264" s="14">
        <f ca="1"/>
      </c>
      <c r="AR264" s="14">
        <f ca="1"/>
      </c>
      <c r="AV264" s="14">
        <f ca="1"/>
      </c>
      <c r="AW264" s="14">
        <f ca="1"/>
      </c>
      <c r="AX264" s="14">
        <f ca="1"/>
      </c>
      <c r="AY264" s="14">
        <f ca="1"/>
      </c>
      <c r="AZ264" s="14">
        <f ca="1"/>
      </c>
      <c r="BF264" s="7">
        <f ca="1"/>
      </c>
      <c r="BG264" s="14">
        <f ca="1"/>
      </c>
      <c r="BH264" s="14">
        <f ca="1"/>
      </c>
      <c r="BI264" s="14">
        <f ca="1"/>
      </c>
      <c r="BJ264" s="14">
        <f ca="1"/>
      </c>
      <c r="BK264" s="14">
        <f ca="1"/>
      </c>
    </row>
    <row r="265" spans="28:63" x14ac:dyDescent="0.55000000000000004">
      <c r="AB265">
        <f ca="1"/>
      </c>
      <c r="AC265">
        <f ca="1"/>
      </c>
      <c r="AD265">
        <f ca="1"/>
      </c>
      <c r="AE265">
        <f ca="1"/>
      </c>
      <c r="AF265">
        <f ca="1"/>
      </c>
      <c r="AG265">
        <f ca="1"/>
      </c>
      <c r="AH265">
        <f ca="1"/>
      </c>
      <c r="AL265" s="7">
        <f ca="1"/>
      </c>
      <c r="AM265" s="14">
        <f ca="1"/>
      </c>
      <c r="AN265" s="14">
        <f ca="1"/>
      </c>
      <c r="AO265" s="14">
        <f ca="1"/>
      </c>
      <c r="AP265" s="14">
        <f ca="1"/>
      </c>
      <c r="AQ265" s="14">
        <f ca="1"/>
      </c>
      <c r="AR265" s="14">
        <f ca="1"/>
      </c>
      <c r="AV265" s="14">
        <f ca="1"/>
      </c>
      <c r="AW265" s="14">
        <f ca="1"/>
      </c>
      <c r="AX265" s="14">
        <f ca="1"/>
      </c>
      <c r="AY265" s="14">
        <f ca="1"/>
      </c>
      <c r="AZ265" s="14">
        <f ca="1"/>
      </c>
      <c r="BF265" s="7">
        <f ca="1"/>
      </c>
      <c r="BG265" s="14">
        <f ca="1"/>
      </c>
      <c r="BH265" s="14">
        <f ca="1"/>
      </c>
      <c r="BI265" s="14">
        <f ca="1"/>
      </c>
      <c r="BJ265" s="14">
        <f ca="1"/>
      </c>
      <c r="BK265" s="14">
        <f ca="1"/>
      </c>
    </row>
    <row r="266" spans="28:63" x14ac:dyDescent="0.55000000000000004">
      <c r="AB266">
        <f ca="1"/>
      </c>
      <c r="AC266">
        <f ca="1"/>
      </c>
      <c r="AD266">
        <f ca="1"/>
      </c>
      <c r="AE266">
        <f ca="1"/>
      </c>
      <c r="AF266">
        <f ca="1"/>
      </c>
      <c r="AG266">
        <f ca="1"/>
      </c>
      <c r="AH266">
        <f ca="1"/>
      </c>
      <c r="AL266" s="7">
        <f ca="1"/>
      </c>
      <c r="AM266" s="14">
        <f ca="1"/>
      </c>
      <c r="AN266" s="14">
        <f ca="1"/>
      </c>
      <c r="AO266" s="14">
        <f ca="1"/>
      </c>
      <c r="AP266" s="14">
        <f ca="1"/>
      </c>
      <c r="AQ266" s="14">
        <f ca="1"/>
      </c>
      <c r="AR266" s="14">
        <f ca="1"/>
      </c>
      <c r="AV266" s="14">
        <f ca="1"/>
      </c>
      <c r="AW266" s="14">
        <f ca="1"/>
      </c>
      <c r="AX266" s="14">
        <f ca="1"/>
      </c>
      <c r="AY266" s="14">
        <f ca="1"/>
      </c>
      <c r="AZ266" s="14">
        <f ca="1"/>
      </c>
      <c r="BF266" s="7">
        <f ca="1"/>
      </c>
      <c r="BG266" s="14">
        <f ca="1"/>
      </c>
      <c r="BH266" s="14">
        <f ca="1"/>
      </c>
      <c r="BI266" s="14">
        <f ca="1"/>
      </c>
      <c r="BJ266" s="14">
        <f ca="1"/>
      </c>
      <c r="BK266" s="14">
        <f ca="1"/>
      </c>
    </row>
    <row r="267" spans="28:63" x14ac:dyDescent="0.55000000000000004">
      <c r="AB267">
        <f ca="1"/>
      </c>
      <c r="AC267">
        <f ca="1"/>
      </c>
      <c r="AD267">
        <f ca="1"/>
      </c>
      <c r="AE267">
        <f ca="1"/>
      </c>
      <c r="AF267">
        <f ca="1"/>
      </c>
      <c r="AG267">
        <f ca="1"/>
      </c>
      <c r="AH267">
        <f ca="1"/>
      </c>
      <c r="AL267" s="7">
        <f ca="1"/>
      </c>
      <c r="AM267" s="14">
        <f ca="1"/>
      </c>
      <c r="AN267" s="14">
        <f ca="1"/>
      </c>
      <c r="AO267" s="14">
        <f ca="1"/>
      </c>
      <c r="AP267" s="14">
        <f ca="1"/>
      </c>
      <c r="AQ267" s="14">
        <f ca="1"/>
      </c>
      <c r="AR267" s="14">
        <f ca="1"/>
      </c>
      <c r="AV267" s="14">
        <f ca="1"/>
      </c>
      <c r="AW267" s="14">
        <f ca="1"/>
      </c>
      <c r="AX267" s="14">
        <f ca="1"/>
      </c>
      <c r="AY267" s="14">
        <f ca="1"/>
      </c>
      <c r="AZ267" s="14">
        <f ca="1"/>
      </c>
      <c r="BF267" s="7">
        <f ca="1"/>
      </c>
      <c r="BG267" s="14">
        <f ca="1"/>
      </c>
      <c r="BH267" s="14">
        <f ca="1"/>
      </c>
      <c r="BI267" s="14">
        <f ca="1"/>
      </c>
      <c r="BJ267" s="14">
        <f ca="1"/>
      </c>
      <c r="BK267" s="14">
        <f ca="1"/>
      </c>
    </row>
    <row r="268" spans="28:63" x14ac:dyDescent="0.55000000000000004">
      <c r="AB268">
        <f ca="1"/>
      </c>
      <c r="AC268">
        <f ca="1"/>
      </c>
      <c r="AD268">
        <f ca="1"/>
      </c>
      <c r="AE268">
        <f ca="1"/>
      </c>
      <c r="AF268">
        <f ca="1"/>
      </c>
      <c r="AG268">
        <f ca="1"/>
      </c>
      <c r="AH268">
        <f ca="1"/>
      </c>
      <c r="AL268" s="7">
        <f ca="1"/>
      </c>
      <c r="AM268" s="14">
        <f ca="1"/>
      </c>
      <c r="AN268" s="14">
        <f ca="1"/>
      </c>
      <c r="AO268" s="14">
        <f ca="1"/>
      </c>
      <c r="AP268" s="14">
        <f ca="1"/>
      </c>
      <c r="AQ268" s="14">
        <f ca="1"/>
      </c>
      <c r="AR268" s="14">
        <f ca="1"/>
      </c>
      <c r="AV268" s="14">
        <f ca="1"/>
      </c>
      <c r="AW268" s="14">
        <f ca="1"/>
      </c>
      <c r="AX268" s="14">
        <f ca="1"/>
      </c>
      <c r="AY268" s="14">
        <f ca="1"/>
      </c>
      <c r="AZ268" s="14">
        <f ca="1"/>
      </c>
      <c r="BF268" s="7">
        <f ca="1"/>
      </c>
      <c r="BG268" s="14">
        <f ca="1"/>
      </c>
      <c r="BH268" s="14">
        <f ca="1"/>
      </c>
      <c r="BI268" s="14">
        <f ca="1"/>
      </c>
      <c r="BJ268" s="14">
        <f ca="1"/>
      </c>
      <c r="BK268" s="14">
        <f ca="1"/>
      </c>
    </row>
    <row r="269" spans="28:63" x14ac:dyDescent="0.55000000000000004">
      <c r="AB269">
        <f ca="1"/>
      </c>
      <c r="AC269">
        <f ca="1"/>
      </c>
      <c r="AD269">
        <f ca="1"/>
      </c>
      <c r="AE269">
        <f ca="1"/>
      </c>
      <c r="AF269">
        <f ca="1"/>
      </c>
      <c r="AG269">
        <f ca="1"/>
      </c>
      <c r="AH269">
        <f ca="1"/>
      </c>
      <c r="AL269" s="7">
        <f ca="1"/>
      </c>
      <c r="AM269" s="14">
        <f ca="1"/>
      </c>
      <c r="AN269" s="14">
        <f ca="1"/>
      </c>
      <c r="AO269" s="14">
        <f ca="1"/>
      </c>
      <c r="AP269" s="14">
        <f ca="1"/>
      </c>
      <c r="AQ269" s="14">
        <f ca="1"/>
      </c>
      <c r="AR269" s="14">
        <f ca="1"/>
      </c>
      <c r="AV269" s="14">
        <f ca="1"/>
      </c>
      <c r="AW269" s="14">
        <f ca="1"/>
      </c>
      <c r="AX269" s="14">
        <f ca="1"/>
      </c>
      <c r="AY269" s="14">
        <f ca="1"/>
      </c>
      <c r="AZ269" s="14">
        <f ca="1"/>
      </c>
      <c r="BF269" s="7">
        <f ca="1"/>
      </c>
      <c r="BG269" s="14">
        <f ca="1"/>
      </c>
      <c r="BH269" s="14">
        <f ca="1"/>
      </c>
      <c r="BI269" s="14">
        <f ca="1"/>
      </c>
      <c r="BJ269" s="14">
        <f ca="1"/>
      </c>
      <c r="BK269" s="14">
        <f ca="1"/>
      </c>
    </row>
    <row r="270" spans="28:63" x14ac:dyDescent="0.55000000000000004">
      <c r="AB270">
        <f ca="1"/>
      </c>
      <c r="AC270">
        <f ca="1"/>
      </c>
      <c r="AD270">
        <f ca="1"/>
      </c>
      <c r="AE270">
        <f ca="1"/>
      </c>
      <c r="AF270">
        <f ca="1"/>
      </c>
      <c r="AG270">
        <f ca="1"/>
      </c>
      <c r="AH270">
        <f ca="1"/>
      </c>
      <c r="AL270" s="7">
        <f ca="1"/>
      </c>
      <c r="AM270" s="14">
        <f ca="1"/>
      </c>
      <c r="AN270" s="14">
        <f ca="1"/>
      </c>
      <c r="AO270" s="14">
        <f ca="1"/>
      </c>
      <c r="AP270" s="14">
        <f ca="1"/>
      </c>
      <c r="AQ270" s="14">
        <f ca="1"/>
      </c>
      <c r="AR270" s="14">
        <f ca="1"/>
      </c>
      <c r="AV270" s="14">
        <f ca="1"/>
      </c>
      <c r="AW270" s="14">
        <f ca="1"/>
      </c>
      <c r="AX270" s="14">
        <f ca="1"/>
      </c>
      <c r="AY270" s="14">
        <f ca="1"/>
      </c>
      <c r="AZ270" s="14">
        <f ca="1"/>
      </c>
      <c r="BF270" s="7">
        <f ca="1"/>
      </c>
      <c r="BG270" s="14">
        <f ca="1"/>
      </c>
      <c r="BH270" s="14">
        <f ca="1"/>
      </c>
      <c r="BI270" s="14">
        <f ca="1"/>
      </c>
      <c r="BJ270" s="14">
        <f ca="1"/>
      </c>
      <c r="BK270" s="14">
        <f ca="1"/>
      </c>
    </row>
    <row r="271" spans="28:63" x14ac:dyDescent="0.55000000000000004">
      <c r="AB271">
        <f ca="1"/>
      </c>
      <c r="AC271">
        <f ca="1"/>
      </c>
      <c r="AD271">
        <f ca="1"/>
      </c>
      <c r="AE271">
        <f ca="1"/>
      </c>
      <c r="AF271">
        <f ca="1"/>
      </c>
      <c r="AG271">
        <f ca="1"/>
      </c>
      <c r="AH271">
        <f ca="1"/>
      </c>
      <c r="AL271" s="7">
        <f ca="1"/>
      </c>
      <c r="AM271" s="14">
        <f ca="1"/>
      </c>
      <c r="AN271" s="14">
        <f ca="1"/>
      </c>
      <c r="AO271" s="14">
        <f ca="1"/>
      </c>
      <c r="AP271" s="14">
        <f ca="1"/>
      </c>
      <c r="AQ271" s="14">
        <f ca="1"/>
      </c>
      <c r="AR271" s="14">
        <f ca="1"/>
      </c>
      <c r="AV271" s="14">
        <f ca="1"/>
      </c>
      <c r="AW271" s="14">
        <f ca="1"/>
      </c>
      <c r="AX271" s="14">
        <f ca="1"/>
      </c>
      <c r="AY271" s="14">
        <f ca="1"/>
      </c>
      <c r="AZ271" s="14">
        <f ca="1"/>
      </c>
      <c r="BF271" s="7">
        <f ca="1"/>
      </c>
      <c r="BG271" s="14">
        <f ca="1"/>
      </c>
      <c r="BH271" s="14">
        <f ca="1"/>
      </c>
      <c r="BI271" s="14">
        <f ca="1"/>
      </c>
      <c r="BJ271" s="14">
        <f ca="1"/>
      </c>
      <c r="BK271" s="14">
        <f ca="1"/>
      </c>
    </row>
    <row r="272" spans="28:63" x14ac:dyDescent="0.55000000000000004">
      <c r="AB272">
        <f ca="1"/>
      </c>
      <c r="AC272">
        <f ca="1"/>
      </c>
      <c r="AD272">
        <f ca="1"/>
      </c>
      <c r="AE272">
        <f ca="1"/>
      </c>
      <c r="AF272">
        <f ca="1"/>
      </c>
      <c r="AG272">
        <f ca="1"/>
      </c>
      <c r="AH272">
        <f ca="1"/>
      </c>
      <c r="AL272" s="7">
        <f ca="1"/>
      </c>
      <c r="AM272" s="14">
        <f ca="1"/>
      </c>
      <c r="AN272" s="14">
        <f ca="1"/>
      </c>
      <c r="AO272" s="14">
        <f ca="1"/>
      </c>
      <c r="AP272" s="14">
        <f ca="1"/>
      </c>
      <c r="AQ272" s="14">
        <f ca="1"/>
      </c>
      <c r="AR272" s="14">
        <f ca="1"/>
      </c>
      <c r="AV272" s="14">
        <f ca="1"/>
      </c>
      <c r="AW272" s="14">
        <f ca="1"/>
      </c>
      <c r="AX272" s="14">
        <f ca="1"/>
      </c>
      <c r="AY272" s="14">
        <f ca="1"/>
      </c>
      <c r="AZ272" s="14">
        <f ca="1"/>
      </c>
      <c r="BF272" s="7">
        <f ca="1"/>
      </c>
      <c r="BG272" s="14">
        <f ca="1"/>
      </c>
      <c r="BH272" s="14">
        <f ca="1"/>
      </c>
      <c r="BI272" s="14">
        <f ca="1"/>
      </c>
      <c r="BJ272" s="14">
        <f ca="1"/>
      </c>
      <c r="BK272" s="14">
        <f ca="1"/>
      </c>
    </row>
    <row r="273" spans="28:63" x14ac:dyDescent="0.55000000000000004">
      <c r="AB273">
        <f ca="1"/>
      </c>
      <c r="AC273">
        <f ca="1"/>
      </c>
      <c r="AD273">
        <f ca="1"/>
      </c>
      <c r="AE273">
        <f ca="1"/>
      </c>
      <c r="AF273">
        <f ca="1"/>
      </c>
      <c r="AG273">
        <f ca="1"/>
      </c>
      <c r="AH273">
        <f ca="1"/>
      </c>
      <c r="AL273" s="7">
        <f ca="1"/>
      </c>
      <c r="AM273" s="14">
        <f ca="1"/>
      </c>
      <c r="AN273" s="14">
        <f ca="1"/>
      </c>
      <c r="AO273" s="14">
        <f ca="1"/>
      </c>
      <c r="AP273" s="14">
        <f ca="1"/>
      </c>
      <c r="AQ273" s="14">
        <f ca="1"/>
      </c>
      <c r="AR273" s="14">
        <f ca="1"/>
      </c>
      <c r="AV273" s="14">
        <f ca="1"/>
      </c>
      <c r="AW273" s="14">
        <f ca="1"/>
      </c>
      <c r="AX273" s="14">
        <f ca="1"/>
      </c>
      <c r="AY273" s="14">
        <f ca="1"/>
      </c>
      <c r="AZ273" s="14">
        <f ca="1"/>
      </c>
      <c r="BF273" s="7">
        <f ca="1"/>
      </c>
      <c r="BG273" s="14">
        <f ca="1"/>
      </c>
      <c r="BH273" s="14">
        <f ca="1"/>
      </c>
      <c r="BI273" s="14">
        <f ca="1"/>
      </c>
      <c r="BJ273" s="14">
        <f ca="1"/>
      </c>
      <c r="BK273" s="14">
        <f ca="1"/>
      </c>
    </row>
    <row r="274" spans="28:63" x14ac:dyDescent="0.55000000000000004">
      <c r="AB274">
        <f ca="1"/>
      </c>
      <c r="AC274">
        <f ca="1"/>
      </c>
      <c r="AD274">
        <f ca="1"/>
      </c>
      <c r="AE274">
        <f ca="1"/>
      </c>
      <c r="AF274">
        <f ca="1"/>
      </c>
      <c r="AG274">
        <f ca="1"/>
      </c>
      <c r="AH274">
        <f ca="1"/>
      </c>
      <c r="AL274" s="7">
        <f ca="1"/>
      </c>
      <c r="AM274" s="14">
        <f ca="1"/>
      </c>
      <c r="AN274" s="14">
        <f ca="1"/>
      </c>
      <c r="AO274" s="14">
        <f ca="1"/>
      </c>
      <c r="AP274" s="14">
        <f ca="1"/>
      </c>
      <c r="AQ274" s="14">
        <f ca="1"/>
      </c>
      <c r="AR274" s="14">
        <f ca="1"/>
      </c>
      <c r="AV274" s="14">
        <f ca="1"/>
      </c>
      <c r="AW274" s="14">
        <f ca="1"/>
      </c>
      <c r="AX274" s="14">
        <f ca="1"/>
      </c>
      <c r="AY274" s="14">
        <f ca="1"/>
      </c>
      <c r="AZ274" s="14">
        <f ca="1"/>
      </c>
      <c r="BF274" s="7">
        <f ca="1"/>
      </c>
      <c r="BG274" s="14">
        <f ca="1"/>
      </c>
      <c r="BH274" s="14">
        <f ca="1"/>
      </c>
      <c r="BI274" s="14">
        <f ca="1"/>
      </c>
      <c r="BJ274" s="14">
        <f ca="1"/>
      </c>
      <c r="BK274" s="14">
        <f ca="1"/>
      </c>
    </row>
    <row r="275" spans="28:63" x14ac:dyDescent="0.55000000000000004">
      <c r="AB275">
        <f ca="1"/>
      </c>
      <c r="AC275">
        <f ca="1"/>
      </c>
      <c r="AD275">
        <f ca="1"/>
      </c>
      <c r="AE275">
        <f ca="1"/>
      </c>
      <c r="AF275">
        <f ca="1"/>
      </c>
      <c r="AG275">
        <f ca="1"/>
      </c>
      <c r="AH275">
        <f ca="1"/>
      </c>
      <c r="AL275" s="7">
        <f ca="1"/>
      </c>
      <c r="AM275" s="14">
        <f ca="1"/>
      </c>
      <c r="AN275" s="14">
        <f ca="1"/>
      </c>
      <c r="AO275" s="14">
        <f ca="1"/>
      </c>
      <c r="AP275" s="14">
        <f ca="1"/>
      </c>
      <c r="AQ275" s="14">
        <f ca="1"/>
      </c>
      <c r="AR275" s="14">
        <f ca="1"/>
      </c>
      <c r="AV275" s="14">
        <f ca="1"/>
      </c>
      <c r="AW275" s="14">
        <f ca="1"/>
      </c>
      <c r="AX275" s="14">
        <f ca="1"/>
      </c>
      <c r="AY275" s="14">
        <f ca="1"/>
      </c>
      <c r="AZ275" s="14">
        <f ca="1"/>
      </c>
      <c r="BF275" s="7">
        <f ca="1"/>
      </c>
      <c r="BG275" s="14">
        <f ca="1"/>
      </c>
      <c r="BH275" s="14">
        <f ca="1"/>
      </c>
      <c r="BI275" s="14">
        <f ca="1"/>
      </c>
      <c r="BJ275" s="14">
        <f ca="1"/>
      </c>
      <c r="BK275" s="14">
        <f ca="1"/>
      </c>
    </row>
    <row r="276" spans="28:63" x14ac:dyDescent="0.55000000000000004">
      <c r="AB276">
        <f ca="1"/>
      </c>
      <c r="AC276">
        <f ca="1"/>
      </c>
      <c r="AD276">
        <f ca="1"/>
      </c>
      <c r="AE276">
        <f ca="1"/>
      </c>
      <c r="AF276">
        <f ca="1"/>
      </c>
      <c r="AG276">
        <f ca="1"/>
      </c>
      <c r="AH276">
        <f ca="1"/>
      </c>
      <c r="AL276" s="7">
        <f ca="1"/>
      </c>
      <c r="AM276" s="14">
        <f ca="1"/>
      </c>
      <c r="AN276" s="14">
        <f ca="1"/>
      </c>
      <c r="AO276" s="14">
        <f ca="1"/>
      </c>
      <c r="AP276" s="14">
        <f ca="1"/>
      </c>
      <c r="AQ276" s="14">
        <f ca="1"/>
      </c>
      <c r="AR276" s="14">
        <f ca="1"/>
      </c>
      <c r="AV276" s="14">
        <f ca="1"/>
      </c>
      <c r="AW276" s="14">
        <f ca="1"/>
      </c>
      <c r="AX276" s="14">
        <f ca="1"/>
      </c>
      <c r="AY276" s="14">
        <f ca="1"/>
      </c>
      <c r="AZ276" s="14">
        <f ca="1"/>
      </c>
      <c r="BF276" s="7">
        <f ca="1"/>
      </c>
      <c r="BG276" s="14">
        <f ca="1"/>
      </c>
      <c r="BH276" s="14">
        <f ca="1"/>
      </c>
      <c r="BI276" s="14">
        <f ca="1"/>
      </c>
      <c r="BJ276" s="14">
        <f ca="1"/>
      </c>
      <c r="BK276" s="14">
        <f ca="1"/>
      </c>
    </row>
    <row r="277" spans="28:63" x14ac:dyDescent="0.55000000000000004">
      <c r="AB277">
        <f ca="1"/>
      </c>
      <c r="AC277">
        <f ca="1"/>
      </c>
      <c r="AD277">
        <f ca="1"/>
      </c>
      <c r="AE277">
        <f ca="1"/>
      </c>
      <c r="AF277">
        <f ca="1"/>
      </c>
      <c r="AG277">
        <f ca="1"/>
      </c>
      <c r="AH277">
        <f ca="1"/>
      </c>
      <c r="AL277" s="7">
        <f ca="1"/>
      </c>
      <c r="AM277" s="14">
        <f ca="1"/>
      </c>
      <c r="AN277" s="14">
        <f ca="1"/>
      </c>
      <c r="AO277" s="14">
        <f ca="1"/>
      </c>
      <c r="AP277" s="14">
        <f ca="1"/>
      </c>
      <c r="AQ277" s="14">
        <f ca="1"/>
      </c>
      <c r="AR277" s="14">
        <f ca="1"/>
      </c>
      <c r="AV277" s="14">
        <f ca="1"/>
      </c>
      <c r="AW277" s="14">
        <f ca="1"/>
      </c>
      <c r="AX277" s="14">
        <f ca="1"/>
      </c>
      <c r="AY277" s="14">
        <f ca="1"/>
      </c>
      <c r="AZ277" s="14">
        <f ca="1"/>
      </c>
      <c r="BF277" s="7">
        <f ca="1"/>
      </c>
      <c r="BG277" s="14">
        <f ca="1"/>
      </c>
      <c r="BH277" s="14">
        <f ca="1"/>
      </c>
      <c r="BI277" s="14">
        <f ca="1"/>
      </c>
      <c r="BJ277" s="14">
        <f ca="1"/>
      </c>
      <c r="BK277" s="14">
        <f ca="1"/>
      </c>
    </row>
    <row r="278" spans="28:63" x14ac:dyDescent="0.55000000000000004">
      <c r="AB278">
        <f ca="1"/>
      </c>
      <c r="AC278">
        <f ca="1"/>
      </c>
      <c r="AD278">
        <f ca="1"/>
      </c>
      <c r="AE278">
        <f ca="1"/>
      </c>
      <c r="AF278">
        <f ca="1"/>
      </c>
      <c r="AG278">
        <f ca="1"/>
      </c>
      <c r="AH278">
        <f ca="1"/>
      </c>
      <c r="AL278" s="7">
        <f ca="1"/>
      </c>
      <c r="AM278" s="14">
        <f ca="1"/>
      </c>
      <c r="AN278" s="14">
        <f ca="1"/>
      </c>
      <c r="AO278" s="14">
        <f ca="1"/>
      </c>
      <c r="AP278" s="14">
        <f ca="1"/>
      </c>
      <c r="AQ278" s="14">
        <f ca="1"/>
      </c>
      <c r="AR278" s="14">
        <f ca="1"/>
      </c>
      <c r="AV278" s="14">
        <f ca="1"/>
      </c>
      <c r="AW278" s="14">
        <f ca="1"/>
      </c>
      <c r="AX278" s="14">
        <f ca="1"/>
      </c>
      <c r="AY278" s="14">
        <f ca="1"/>
      </c>
      <c r="AZ278" s="14">
        <f ca="1"/>
      </c>
      <c r="BF278" s="7">
        <f ca="1"/>
      </c>
      <c r="BG278" s="14">
        <f ca="1"/>
      </c>
      <c r="BH278" s="14">
        <f ca="1"/>
      </c>
      <c r="BI278" s="14">
        <f ca="1"/>
      </c>
      <c r="BJ278" s="14">
        <f ca="1"/>
      </c>
      <c r="BK278" s="14">
        <f ca="1"/>
      </c>
    </row>
    <row r="279" spans="28:63" x14ac:dyDescent="0.55000000000000004">
      <c r="AB279">
        <f ca="1"/>
      </c>
      <c r="AC279">
        <f ca="1"/>
      </c>
      <c r="AD279">
        <f ca="1"/>
      </c>
      <c r="AE279">
        <f ca="1"/>
      </c>
      <c r="AF279">
        <f ca="1"/>
      </c>
      <c r="AG279">
        <f ca="1"/>
      </c>
      <c r="AH279">
        <f ca="1"/>
      </c>
      <c r="AL279" s="7">
        <f ca="1"/>
      </c>
      <c r="AM279" s="14">
        <f ca="1"/>
      </c>
      <c r="AN279" s="14">
        <f ca="1"/>
      </c>
      <c r="AO279" s="14">
        <f ca="1"/>
      </c>
      <c r="AP279" s="14">
        <f ca="1"/>
      </c>
      <c r="AQ279" s="14">
        <f ca="1"/>
      </c>
      <c r="AR279" s="14">
        <f ca="1"/>
      </c>
      <c r="AV279" s="14">
        <f ca="1"/>
      </c>
      <c r="AW279" s="14">
        <f ca="1"/>
      </c>
      <c r="AX279" s="14">
        <f ca="1"/>
      </c>
      <c r="AY279" s="14">
        <f ca="1"/>
      </c>
      <c r="AZ279" s="14">
        <f ca="1"/>
      </c>
      <c r="BF279" s="7">
        <f ca="1"/>
      </c>
      <c r="BG279" s="14">
        <f ca="1"/>
      </c>
      <c r="BH279" s="14">
        <f ca="1"/>
      </c>
      <c r="BI279" s="14">
        <f ca="1"/>
      </c>
      <c r="BJ279" s="14">
        <f ca="1"/>
      </c>
      <c r="BK279" s="14">
        <f ca="1"/>
      </c>
    </row>
    <row r="280" spans="28:63" x14ac:dyDescent="0.55000000000000004">
      <c r="AB280">
        <f ca="1"/>
      </c>
      <c r="AC280">
        <f ca="1"/>
      </c>
      <c r="AD280">
        <f ca="1"/>
      </c>
      <c r="AE280">
        <f ca="1"/>
      </c>
      <c r="AF280">
        <f ca="1"/>
      </c>
      <c r="AG280">
        <f ca="1"/>
      </c>
      <c r="AH280">
        <f ca="1"/>
      </c>
      <c r="AL280" s="7">
        <f ca="1"/>
      </c>
      <c r="AM280" s="14">
        <f ca="1"/>
      </c>
      <c r="AN280" s="14">
        <f ca="1"/>
      </c>
      <c r="AO280" s="14">
        <f ca="1"/>
      </c>
      <c r="AP280" s="14">
        <f ca="1"/>
      </c>
      <c r="AQ280" s="14">
        <f ca="1"/>
      </c>
      <c r="AR280" s="14">
        <f ca="1"/>
      </c>
      <c r="AV280" s="14">
        <f ca="1"/>
      </c>
      <c r="AW280" s="14">
        <f ca="1"/>
      </c>
      <c r="AX280" s="14">
        <f ca="1"/>
      </c>
      <c r="AY280" s="14">
        <f ca="1"/>
      </c>
      <c r="AZ280" s="14">
        <f ca="1"/>
      </c>
      <c r="BF280" s="7">
        <f ca="1"/>
      </c>
      <c r="BG280" s="14">
        <f ca="1"/>
      </c>
      <c r="BH280" s="14">
        <f ca="1"/>
      </c>
      <c r="BI280" s="14">
        <f ca="1"/>
      </c>
      <c r="BJ280" s="14">
        <f ca="1"/>
      </c>
      <c r="BK280" s="14">
        <f ca="1"/>
      </c>
    </row>
    <row r="281" spans="28:63" x14ac:dyDescent="0.55000000000000004">
      <c r="AB281">
        <f ca="1"/>
      </c>
      <c r="AC281">
        <f ca="1"/>
      </c>
      <c r="AD281">
        <f ca="1"/>
      </c>
      <c r="AE281">
        <f ca="1"/>
      </c>
      <c r="AF281">
        <f ca="1"/>
      </c>
      <c r="AG281">
        <f ca="1"/>
      </c>
      <c r="AH281">
        <f ca="1"/>
      </c>
      <c r="AL281" s="7">
        <f ca="1"/>
      </c>
      <c r="AM281" s="14">
        <f ca="1"/>
      </c>
      <c r="AN281" s="14">
        <f ca="1"/>
      </c>
      <c r="AO281" s="14">
        <f ca="1"/>
      </c>
      <c r="AP281" s="14">
        <f ca="1"/>
      </c>
      <c r="AQ281" s="14">
        <f ca="1"/>
      </c>
      <c r="AR281" s="14">
        <f ca="1"/>
      </c>
      <c r="AV281" s="14">
        <f ca="1"/>
      </c>
      <c r="AW281" s="14">
        <f ca="1"/>
      </c>
      <c r="AX281" s="14">
        <f ca="1"/>
      </c>
      <c r="AY281" s="14">
        <f ca="1"/>
      </c>
      <c r="AZ281" s="14">
        <f ca="1"/>
      </c>
      <c r="BF281" s="7">
        <f ca="1"/>
      </c>
      <c r="BG281" s="14">
        <f ca="1"/>
      </c>
      <c r="BH281" s="14">
        <f ca="1"/>
      </c>
      <c r="BI281" s="14">
        <f ca="1"/>
      </c>
      <c r="BJ281" s="14">
        <f ca="1"/>
      </c>
      <c r="BK281" s="14">
        <f ca="1"/>
      </c>
    </row>
    <row r="282" spans="28:63" x14ac:dyDescent="0.55000000000000004">
      <c r="AB282">
        <f ca="1"/>
      </c>
      <c r="AC282">
        <f ca="1"/>
      </c>
      <c r="AD282">
        <f ca="1"/>
      </c>
      <c r="AE282">
        <f ca="1"/>
      </c>
      <c r="AF282">
        <f ca="1"/>
      </c>
      <c r="AG282">
        <f ca="1"/>
      </c>
      <c r="AH282">
        <f ca="1"/>
      </c>
      <c r="AL282" s="7">
        <f ca="1"/>
      </c>
      <c r="AM282" s="14">
        <f ca="1"/>
      </c>
      <c r="AN282" s="14">
        <f ca="1"/>
      </c>
      <c r="AO282" s="14">
        <f ca="1"/>
      </c>
      <c r="AP282" s="14">
        <f ca="1"/>
      </c>
      <c r="AQ282" s="14">
        <f ca="1"/>
      </c>
      <c r="AR282" s="14">
        <f ca="1"/>
      </c>
      <c r="AV282" s="14">
        <f ca="1"/>
      </c>
      <c r="AW282" s="14">
        <f ca="1"/>
      </c>
      <c r="AX282" s="14">
        <f ca="1"/>
      </c>
      <c r="AY282" s="14">
        <f ca="1"/>
      </c>
      <c r="AZ282" s="14">
        <f ca="1"/>
      </c>
      <c r="BF282" s="7">
        <f ca="1"/>
      </c>
      <c r="BG282" s="14">
        <f ca="1"/>
      </c>
      <c r="BH282" s="14">
        <f ca="1"/>
      </c>
      <c r="BI282" s="14">
        <f ca="1"/>
      </c>
      <c r="BJ282" s="14">
        <f ca="1"/>
      </c>
      <c r="BK282" s="14">
        <f ca="1"/>
      </c>
    </row>
    <row r="283" spans="28:63" x14ac:dyDescent="0.55000000000000004">
      <c r="AB283">
        <f ca="1"/>
      </c>
      <c r="AC283">
        <f ca="1"/>
      </c>
      <c r="AD283">
        <f ca="1"/>
      </c>
      <c r="AE283">
        <f ca="1"/>
      </c>
      <c r="AF283">
        <f ca="1"/>
      </c>
      <c r="AG283">
        <f ca="1"/>
      </c>
      <c r="AH283">
        <f ca="1"/>
      </c>
      <c r="AL283" s="7">
        <f ca="1"/>
      </c>
      <c r="AM283" s="14">
        <f ca="1"/>
      </c>
      <c r="AN283" s="14">
        <f ca="1"/>
      </c>
      <c r="AO283" s="14">
        <f ca="1"/>
      </c>
      <c r="AP283" s="14">
        <f ca="1"/>
      </c>
      <c r="AQ283" s="14">
        <f ca="1"/>
      </c>
      <c r="AR283" s="14">
        <f ca="1"/>
      </c>
      <c r="AV283" s="14">
        <f ca="1"/>
      </c>
      <c r="AW283" s="14">
        <f ca="1"/>
      </c>
      <c r="AX283" s="14">
        <f ca="1"/>
      </c>
      <c r="AY283" s="14">
        <f ca="1"/>
      </c>
      <c r="AZ283" s="14">
        <f ca="1"/>
      </c>
      <c r="BF283" s="7">
        <f ca="1"/>
      </c>
      <c r="BG283" s="14">
        <f ca="1"/>
      </c>
      <c r="BH283" s="14">
        <f ca="1"/>
      </c>
      <c r="BI283" s="14">
        <f ca="1"/>
      </c>
      <c r="BJ283" s="14">
        <f ca="1"/>
      </c>
      <c r="BK283" s="14">
        <f ca="1"/>
      </c>
    </row>
    <row r="284" spans="28:63" x14ac:dyDescent="0.55000000000000004">
      <c r="AB284">
        <f ca="1"/>
      </c>
      <c r="AC284">
        <f ca="1"/>
      </c>
      <c r="AD284">
        <f ca="1"/>
      </c>
      <c r="AE284">
        <f ca="1"/>
      </c>
      <c r="AF284">
        <f ca="1"/>
      </c>
      <c r="AG284">
        <f ca="1"/>
      </c>
      <c r="AH284">
        <f ca="1"/>
      </c>
      <c r="AL284" s="7">
        <f ca="1"/>
      </c>
      <c r="AM284" s="14">
        <f ca="1"/>
      </c>
      <c r="AN284" s="14">
        <f ca="1"/>
      </c>
      <c r="AO284" s="14">
        <f ca="1"/>
      </c>
      <c r="AP284" s="14">
        <f ca="1"/>
      </c>
      <c r="AQ284" s="14">
        <f ca="1"/>
      </c>
      <c r="AR284" s="14">
        <f ca="1"/>
      </c>
      <c r="AV284" s="14">
        <f ca="1"/>
      </c>
      <c r="AW284" s="14">
        <f ca="1"/>
      </c>
      <c r="AX284" s="14">
        <f ca="1"/>
      </c>
      <c r="AY284" s="14">
        <f ca="1"/>
      </c>
      <c r="AZ284" s="14">
        <f ca="1"/>
      </c>
      <c r="BF284" s="7">
        <f ca="1"/>
      </c>
      <c r="BG284" s="14">
        <f ca="1"/>
      </c>
      <c r="BH284" s="14">
        <f ca="1"/>
      </c>
      <c r="BI284" s="14">
        <f ca="1"/>
      </c>
      <c r="BJ284" s="14">
        <f ca="1"/>
      </c>
      <c r="BK284" s="14">
        <f ca="1"/>
      </c>
    </row>
    <row r="285" spans="28:63" x14ac:dyDescent="0.55000000000000004">
      <c r="AB285">
        <f ca="1"/>
      </c>
      <c r="AC285">
        <f ca="1"/>
      </c>
      <c r="AD285">
        <f ca="1"/>
      </c>
      <c r="AE285">
        <f ca="1"/>
      </c>
      <c r="AF285">
        <f ca="1"/>
      </c>
      <c r="AG285">
        <f ca="1"/>
      </c>
      <c r="AH285">
        <f ca="1"/>
      </c>
      <c r="AL285" s="7">
        <f ca="1"/>
      </c>
      <c r="AM285" s="14">
        <f ca="1"/>
      </c>
      <c r="AN285" s="14">
        <f ca="1"/>
      </c>
      <c r="AO285" s="14">
        <f ca="1"/>
      </c>
      <c r="AP285" s="14">
        <f ca="1"/>
      </c>
      <c r="AQ285" s="14">
        <f ca="1"/>
      </c>
      <c r="AR285" s="14">
        <f ca="1"/>
      </c>
      <c r="AV285" s="14">
        <f ca="1"/>
      </c>
      <c r="AW285" s="14">
        <f ca="1"/>
      </c>
      <c r="AX285" s="14">
        <f ca="1"/>
      </c>
      <c r="AY285" s="14">
        <f ca="1"/>
      </c>
      <c r="AZ285" s="14">
        <f ca="1"/>
      </c>
      <c r="BF285" s="7">
        <f ca="1"/>
      </c>
      <c r="BG285" s="14">
        <f ca="1"/>
      </c>
      <c r="BH285" s="14">
        <f ca="1"/>
      </c>
      <c r="BI285" s="14">
        <f ca="1"/>
      </c>
      <c r="BJ285" s="14">
        <f ca="1"/>
      </c>
      <c r="BK285" s="14">
        <f ca="1"/>
      </c>
    </row>
    <row r="286" spans="28:63" x14ac:dyDescent="0.55000000000000004">
      <c r="AB286">
        <f ca="1"/>
      </c>
      <c r="AC286">
        <f ca="1"/>
      </c>
      <c r="AD286">
        <f ca="1"/>
      </c>
      <c r="AE286">
        <f ca="1"/>
      </c>
      <c r="AF286">
        <f ca="1"/>
      </c>
      <c r="AG286">
        <f ca="1"/>
      </c>
      <c r="AH286">
        <f ca="1"/>
      </c>
      <c r="AL286" s="7">
        <f ca="1"/>
      </c>
      <c r="AM286" s="14">
        <f ca="1"/>
      </c>
      <c r="AN286" s="14">
        <f ca="1"/>
      </c>
      <c r="AO286" s="14">
        <f ca="1"/>
      </c>
      <c r="AP286" s="14">
        <f ca="1"/>
      </c>
      <c r="AQ286" s="14">
        <f ca="1"/>
      </c>
      <c r="AR286" s="14">
        <f ca="1"/>
      </c>
      <c r="AV286" s="14">
        <f ca="1"/>
      </c>
      <c r="AW286" s="14">
        <f ca="1"/>
      </c>
      <c r="AX286" s="14">
        <f ca="1"/>
      </c>
      <c r="AY286" s="14">
        <f ca="1"/>
      </c>
      <c r="AZ286" s="14">
        <f ca="1"/>
      </c>
      <c r="BF286" s="7">
        <f ca="1"/>
      </c>
      <c r="BG286" s="14">
        <f ca="1"/>
      </c>
      <c r="BH286" s="14">
        <f ca="1"/>
      </c>
      <c r="BI286" s="14">
        <f ca="1"/>
      </c>
      <c r="BJ286" s="14">
        <f ca="1"/>
      </c>
      <c r="BK286" s="14">
        <f ca="1"/>
      </c>
    </row>
    <row r="287" spans="28:63" x14ac:dyDescent="0.55000000000000004">
      <c r="AB287">
        <f ca="1"/>
      </c>
      <c r="AC287">
        <f ca="1"/>
      </c>
      <c r="AD287">
        <f ca="1"/>
      </c>
      <c r="AE287">
        <f ca="1"/>
      </c>
      <c r="AF287">
        <f ca="1"/>
      </c>
      <c r="AG287">
        <f ca="1"/>
      </c>
      <c r="AH287">
        <f ca="1"/>
      </c>
      <c r="AL287" s="7">
        <f ca="1"/>
      </c>
      <c r="AM287" s="14">
        <f ca="1"/>
      </c>
      <c r="AN287" s="14">
        <f ca="1"/>
      </c>
      <c r="AO287" s="14">
        <f ca="1"/>
      </c>
      <c r="AP287" s="14">
        <f ca="1"/>
      </c>
      <c r="AQ287" s="14">
        <f ca="1"/>
      </c>
      <c r="AR287" s="14">
        <f ca="1"/>
      </c>
      <c r="AV287" s="14">
        <f ca="1"/>
      </c>
      <c r="AW287" s="14">
        <f ca="1"/>
      </c>
      <c r="AX287" s="14">
        <f ca="1"/>
      </c>
      <c r="AY287" s="14">
        <f ca="1"/>
      </c>
      <c r="AZ287" s="14">
        <f ca="1"/>
      </c>
      <c r="BF287" s="7">
        <f ca="1"/>
      </c>
      <c r="BG287" s="14">
        <f ca="1"/>
      </c>
      <c r="BH287" s="14">
        <f ca="1"/>
      </c>
      <c r="BI287" s="14">
        <f ca="1"/>
      </c>
      <c r="BJ287" s="14">
        <f ca="1"/>
      </c>
      <c r="BK287" s="14">
        <f ca="1"/>
      </c>
    </row>
    <row r="288" spans="28:63" x14ac:dyDescent="0.55000000000000004">
      <c r="AB288">
        <f ca="1"/>
      </c>
      <c r="AC288">
        <f ca="1"/>
      </c>
      <c r="AD288">
        <f ca="1"/>
      </c>
      <c r="AE288">
        <f ca="1"/>
      </c>
      <c r="AF288">
        <f ca="1"/>
      </c>
      <c r="AG288">
        <f ca="1"/>
      </c>
      <c r="AH288">
        <f ca="1"/>
      </c>
      <c r="AL288" s="7">
        <f ca="1"/>
      </c>
      <c r="AM288" s="14">
        <f ca="1"/>
      </c>
      <c r="AN288" s="14">
        <f ca="1"/>
      </c>
      <c r="AO288" s="14">
        <f ca="1"/>
      </c>
      <c r="AP288" s="14">
        <f ca="1"/>
      </c>
      <c r="AQ288" s="14">
        <f ca="1"/>
      </c>
      <c r="AR288" s="14">
        <f ca="1"/>
      </c>
      <c r="AV288" s="14">
        <f ca="1"/>
      </c>
      <c r="AW288" s="14">
        <f ca="1"/>
      </c>
      <c r="AX288" s="14">
        <f ca="1"/>
      </c>
      <c r="AY288" s="14">
        <f ca="1"/>
      </c>
      <c r="AZ288" s="14">
        <f ca="1"/>
      </c>
      <c r="BF288" s="7">
        <f ca="1"/>
      </c>
      <c r="BG288" s="14">
        <f ca="1"/>
      </c>
      <c r="BH288" s="14">
        <f ca="1"/>
      </c>
      <c r="BI288" s="14">
        <f ca="1"/>
      </c>
      <c r="BJ288" s="14">
        <f ca="1"/>
      </c>
      <c r="BK288" s="14">
        <f ca="1"/>
      </c>
    </row>
    <row r="289" spans="28:63" x14ac:dyDescent="0.55000000000000004">
      <c r="AB289">
        <f ca="1"/>
      </c>
      <c r="AC289">
        <f ca="1"/>
      </c>
      <c r="AD289">
        <f ca="1"/>
      </c>
      <c r="AE289">
        <f ca="1"/>
      </c>
      <c r="AF289">
        <f ca="1"/>
      </c>
      <c r="AG289">
        <f ca="1"/>
      </c>
      <c r="AH289">
        <f ca="1"/>
      </c>
      <c r="AL289" s="7">
        <f ca="1"/>
      </c>
      <c r="AM289" s="14">
        <f ca="1"/>
      </c>
      <c r="AN289" s="14">
        <f ca="1"/>
      </c>
      <c r="AO289" s="14">
        <f ca="1"/>
      </c>
      <c r="AP289" s="14">
        <f ca="1"/>
      </c>
      <c r="AQ289" s="14">
        <f ca="1"/>
      </c>
      <c r="AR289" s="14">
        <f ca="1"/>
      </c>
      <c r="AV289" s="14">
        <f ca="1"/>
      </c>
      <c r="AW289" s="14">
        <f ca="1"/>
      </c>
      <c r="AX289" s="14">
        <f ca="1"/>
      </c>
      <c r="AY289" s="14">
        <f ca="1"/>
      </c>
      <c r="AZ289" s="14">
        <f ca="1"/>
      </c>
      <c r="BF289" s="7">
        <f ca="1"/>
      </c>
      <c r="BG289" s="14">
        <f ca="1"/>
      </c>
      <c r="BH289" s="14">
        <f ca="1"/>
      </c>
      <c r="BI289" s="14">
        <f ca="1"/>
      </c>
      <c r="BJ289" s="14">
        <f ca="1"/>
      </c>
      <c r="BK289" s="14">
        <f ca="1"/>
      </c>
    </row>
    <row r="290" spans="28:63" x14ac:dyDescent="0.55000000000000004">
      <c r="AB290">
        <f ca="1"/>
      </c>
      <c r="AC290">
        <f ca="1"/>
      </c>
      <c r="AD290">
        <f ca="1"/>
      </c>
      <c r="AE290">
        <f ca="1"/>
      </c>
      <c r="AF290">
        <f ca="1"/>
      </c>
      <c r="AG290">
        <f ca="1"/>
      </c>
      <c r="AH290">
        <f ca="1"/>
      </c>
      <c r="AL290" s="7">
        <f ca="1"/>
      </c>
      <c r="AM290" s="14">
        <f ca="1"/>
      </c>
      <c r="AN290" s="14">
        <f ca="1"/>
      </c>
      <c r="AO290" s="14">
        <f ca="1"/>
      </c>
      <c r="AP290" s="14">
        <f ca="1"/>
      </c>
      <c r="AQ290" s="14">
        <f ca="1"/>
      </c>
      <c r="AR290" s="14">
        <f ca="1"/>
      </c>
      <c r="AV290" s="14">
        <f ca="1"/>
      </c>
      <c r="AW290" s="14">
        <f ca="1"/>
      </c>
      <c r="AX290" s="14">
        <f ca="1"/>
      </c>
      <c r="AY290" s="14">
        <f ca="1"/>
      </c>
      <c r="AZ290" s="14">
        <f ca="1"/>
      </c>
      <c r="BF290" s="7">
        <f ca="1"/>
      </c>
      <c r="BG290" s="14">
        <f ca="1"/>
      </c>
      <c r="BH290" s="14">
        <f ca="1"/>
      </c>
      <c r="BI290" s="14">
        <f ca="1"/>
      </c>
      <c r="BJ290" s="14">
        <f ca="1"/>
      </c>
      <c r="BK290" s="14">
        <f ca="1"/>
      </c>
    </row>
    <row r="291" spans="28:63" x14ac:dyDescent="0.55000000000000004">
      <c r="AB291">
        <f ca="1"/>
      </c>
      <c r="AC291">
        <f ca="1"/>
      </c>
      <c r="AD291">
        <f ca="1"/>
      </c>
      <c r="AE291">
        <f ca="1"/>
      </c>
      <c r="AF291">
        <f ca="1"/>
      </c>
      <c r="AG291">
        <f ca="1"/>
      </c>
      <c r="AH291">
        <f ca="1"/>
      </c>
      <c r="AL291" s="7">
        <f ca="1"/>
      </c>
      <c r="AM291" s="14">
        <f ca="1"/>
      </c>
      <c r="AN291" s="14">
        <f ca="1"/>
      </c>
      <c r="AO291" s="14">
        <f ca="1"/>
      </c>
      <c r="AP291" s="14">
        <f ca="1"/>
      </c>
      <c r="AQ291" s="14">
        <f ca="1"/>
      </c>
      <c r="AR291" s="14">
        <f ca="1"/>
      </c>
      <c r="AV291" s="14">
        <f ca="1"/>
      </c>
      <c r="AW291" s="14">
        <f ca="1"/>
      </c>
      <c r="AX291" s="14">
        <f ca="1"/>
      </c>
      <c r="AY291" s="14">
        <f ca="1"/>
      </c>
      <c r="AZ291" s="14">
        <f ca="1"/>
      </c>
      <c r="BF291" s="7">
        <f ca="1"/>
      </c>
      <c r="BG291" s="14">
        <f ca="1"/>
      </c>
      <c r="BH291" s="14">
        <f ca="1"/>
      </c>
      <c r="BI291" s="14">
        <f ca="1"/>
      </c>
      <c r="BJ291" s="14">
        <f ca="1"/>
      </c>
      <c r="BK291" s="14">
        <f ca="1"/>
      </c>
    </row>
    <row r="292" spans="28:63" x14ac:dyDescent="0.55000000000000004">
      <c r="AB292">
        <f ca="1"/>
      </c>
      <c r="AC292">
        <f ca="1"/>
      </c>
      <c r="AD292">
        <f ca="1"/>
      </c>
      <c r="AE292">
        <f ca="1"/>
      </c>
      <c r="AF292">
        <f ca="1"/>
      </c>
      <c r="AG292">
        <f ca="1"/>
      </c>
      <c r="AH292">
        <f ca="1"/>
      </c>
      <c r="AL292" s="7">
        <f ca="1"/>
      </c>
      <c r="AM292" s="14">
        <f ca="1"/>
      </c>
      <c r="AN292" s="14">
        <f ca="1"/>
      </c>
      <c r="AO292" s="14">
        <f ca="1"/>
      </c>
      <c r="AP292" s="14">
        <f ca="1"/>
      </c>
      <c r="AQ292" s="14">
        <f ca="1"/>
      </c>
      <c r="AR292" s="14">
        <f ca="1"/>
      </c>
      <c r="AV292" s="14">
        <f ca="1"/>
      </c>
      <c r="AW292" s="14">
        <f ca="1"/>
      </c>
      <c r="AX292" s="14">
        <f ca="1"/>
      </c>
      <c r="AY292" s="14">
        <f ca="1"/>
      </c>
      <c r="AZ292" s="14">
        <f ca="1"/>
      </c>
      <c r="BF292" s="7">
        <f ca="1"/>
      </c>
      <c r="BG292" s="14">
        <f ca="1"/>
      </c>
      <c r="BH292" s="14">
        <f ca="1"/>
      </c>
      <c r="BI292" s="14">
        <f ca="1"/>
      </c>
      <c r="BJ292" s="14">
        <f ca="1"/>
      </c>
      <c r="BK292" s="14">
        <f ca="1"/>
      </c>
    </row>
    <row r="293" spans="28:63" x14ac:dyDescent="0.55000000000000004">
      <c r="AB293">
        <f ca="1"/>
      </c>
      <c r="AC293">
        <f ca="1"/>
      </c>
      <c r="AD293">
        <f ca="1"/>
      </c>
      <c r="AE293">
        <f ca="1"/>
      </c>
      <c r="AF293">
        <f ca="1"/>
      </c>
      <c r="AG293">
        <f ca="1"/>
      </c>
      <c r="AH293">
        <f ca="1"/>
      </c>
      <c r="AL293" s="7">
        <f ca="1"/>
      </c>
      <c r="AM293" s="14">
        <f ca="1"/>
      </c>
      <c r="AN293" s="14">
        <f ca="1"/>
      </c>
      <c r="AO293" s="14">
        <f ca="1"/>
      </c>
      <c r="AP293" s="14">
        <f ca="1"/>
      </c>
      <c r="AQ293" s="14">
        <f ca="1"/>
      </c>
      <c r="AR293" s="14">
        <f ca="1"/>
      </c>
      <c r="AV293" s="14">
        <f ca="1"/>
      </c>
      <c r="AW293" s="14">
        <f ca="1"/>
      </c>
      <c r="AX293" s="14">
        <f ca="1"/>
      </c>
      <c r="AY293" s="14">
        <f ca="1"/>
      </c>
      <c r="AZ293" s="14">
        <f ca="1"/>
      </c>
      <c r="BF293" s="7">
        <f ca="1"/>
      </c>
      <c r="BG293" s="14">
        <f ca="1"/>
      </c>
      <c r="BH293" s="14">
        <f ca="1"/>
      </c>
      <c r="BI293" s="14">
        <f ca="1"/>
      </c>
      <c r="BJ293" s="14">
        <f ca="1"/>
      </c>
      <c r="BK293" s="14">
        <f ca="1"/>
      </c>
    </row>
    <row r="294" spans="28:63" x14ac:dyDescent="0.55000000000000004">
      <c r="AB294">
        <f ca="1"/>
      </c>
      <c r="AC294">
        <f ca="1"/>
      </c>
      <c r="AD294">
        <f ca="1"/>
      </c>
      <c r="AE294">
        <f ca="1"/>
      </c>
      <c r="AF294">
        <f ca="1"/>
      </c>
      <c r="AG294">
        <f ca="1"/>
      </c>
      <c r="AH294">
        <f ca="1"/>
      </c>
      <c r="AL294" s="7">
        <f ca="1"/>
      </c>
      <c r="AM294" s="14">
        <f ca="1"/>
      </c>
      <c r="AN294" s="14">
        <f ca="1"/>
      </c>
      <c r="AO294" s="14">
        <f ca="1"/>
      </c>
      <c r="AP294" s="14">
        <f ca="1"/>
      </c>
      <c r="AQ294" s="14">
        <f ca="1"/>
      </c>
      <c r="AR294" s="14">
        <f ca="1"/>
      </c>
      <c r="AV294" s="14">
        <f ca="1"/>
      </c>
      <c r="AW294" s="14">
        <f ca="1"/>
      </c>
      <c r="AX294" s="14">
        <f ca="1"/>
      </c>
      <c r="AY294" s="14">
        <f ca="1"/>
      </c>
      <c r="AZ294" s="14">
        <f ca="1"/>
      </c>
      <c r="BF294" s="7">
        <f ca="1"/>
      </c>
      <c r="BG294" s="14">
        <f ca="1"/>
      </c>
      <c r="BH294" s="14">
        <f ca="1"/>
      </c>
      <c r="BI294" s="14">
        <f ca="1"/>
      </c>
      <c r="BJ294" s="14">
        <f ca="1"/>
      </c>
      <c r="BK294" s="14">
        <f ca="1"/>
      </c>
    </row>
    <row r="295" spans="28:63" x14ac:dyDescent="0.55000000000000004">
      <c r="AB295">
        <f ca="1"/>
      </c>
      <c r="AC295">
        <f ca="1"/>
      </c>
      <c r="AD295">
        <f ca="1"/>
      </c>
      <c r="AE295">
        <f ca="1"/>
      </c>
      <c r="AF295">
        <f ca="1"/>
      </c>
      <c r="AG295">
        <f ca="1"/>
      </c>
      <c r="AH295">
        <f ca="1"/>
      </c>
      <c r="AL295" s="7">
        <f ca="1"/>
      </c>
      <c r="AM295" s="14">
        <f ca="1"/>
      </c>
      <c r="AN295" s="14">
        <f ca="1"/>
      </c>
      <c r="AO295" s="14">
        <f ca="1"/>
      </c>
      <c r="AP295" s="14">
        <f ca="1"/>
      </c>
      <c r="AQ295" s="14">
        <f ca="1"/>
      </c>
      <c r="AR295" s="14">
        <f ca="1"/>
      </c>
      <c r="AV295" s="14">
        <f ca="1"/>
      </c>
      <c r="AW295" s="14">
        <f ca="1"/>
      </c>
      <c r="AX295" s="14">
        <f ca="1"/>
      </c>
      <c r="AY295" s="14">
        <f ca="1"/>
      </c>
      <c r="AZ295" s="14">
        <f ca="1"/>
      </c>
      <c r="BF295" s="7">
        <f ca="1"/>
      </c>
      <c r="BG295" s="14">
        <f ca="1"/>
      </c>
      <c r="BH295" s="14">
        <f ca="1"/>
      </c>
      <c r="BI295" s="14">
        <f ca="1"/>
      </c>
      <c r="BJ295" s="14">
        <f ca="1"/>
      </c>
      <c r="BK295" s="14">
        <f ca="1"/>
      </c>
    </row>
    <row r="296" spans="28:63" x14ac:dyDescent="0.55000000000000004">
      <c r="AB296">
        <f ca="1"/>
      </c>
      <c r="AC296">
        <f ca="1"/>
      </c>
      <c r="AD296">
        <f ca="1"/>
      </c>
      <c r="AE296">
        <f ca="1"/>
      </c>
      <c r="AF296">
        <f ca="1"/>
      </c>
      <c r="AG296">
        <f ca="1"/>
      </c>
      <c r="AH296">
        <f ca="1"/>
      </c>
      <c r="AL296" s="7">
        <f ca="1"/>
      </c>
      <c r="AM296" s="14">
        <f ca="1"/>
      </c>
      <c r="AN296" s="14">
        <f ca="1"/>
      </c>
      <c r="AO296" s="14">
        <f ca="1"/>
      </c>
      <c r="AP296" s="14">
        <f ca="1"/>
      </c>
      <c r="AQ296" s="14">
        <f ca="1"/>
      </c>
      <c r="AR296" s="14">
        <f ca="1"/>
      </c>
      <c r="AV296" s="14">
        <f ca="1"/>
      </c>
      <c r="AW296" s="14">
        <f ca="1"/>
      </c>
      <c r="AX296" s="14">
        <f ca="1"/>
      </c>
      <c r="AY296" s="14">
        <f ca="1"/>
      </c>
      <c r="AZ296" s="14">
        <f ca="1"/>
      </c>
      <c r="BF296" s="7">
        <f ca="1"/>
      </c>
      <c r="BG296" s="14">
        <f ca="1"/>
      </c>
      <c r="BH296" s="14">
        <f ca="1"/>
      </c>
      <c r="BI296" s="14">
        <f ca="1"/>
      </c>
      <c r="BJ296" s="14">
        <f ca="1"/>
      </c>
      <c r="BK296" s="14">
        <f ca="1"/>
      </c>
    </row>
    <row r="297" spans="28:63" x14ac:dyDescent="0.55000000000000004">
      <c r="AB297">
        <f ca="1"/>
      </c>
      <c r="AC297">
        <f ca="1"/>
      </c>
      <c r="AD297">
        <f ca="1"/>
      </c>
      <c r="AE297">
        <f ca="1"/>
      </c>
      <c r="AF297">
        <f ca="1"/>
      </c>
      <c r="AG297">
        <f ca="1"/>
      </c>
      <c r="AH297">
        <f ca="1"/>
      </c>
      <c r="AL297" s="7">
        <f ca="1"/>
      </c>
      <c r="AM297" s="14">
        <f ca="1"/>
      </c>
      <c r="AN297" s="14">
        <f ca="1"/>
      </c>
      <c r="AO297" s="14">
        <f ca="1"/>
      </c>
      <c r="AP297" s="14">
        <f ca="1"/>
      </c>
      <c r="AQ297" s="14">
        <f ca="1"/>
      </c>
      <c r="AR297" s="14">
        <f ca="1"/>
      </c>
      <c r="AV297" s="14">
        <f ca="1"/>
      </c>
      <c r="AW297" s="14">
        <f ca="1"/>
      </c>
      <c r="AX297" s="14">
        <f ca="1"/>
      </c>
      <c r="AY297" s="14">
        <f ca="1"/>
      </c>
      <c r="AZ297" s="14">
        <f ca="1"/>
      </c>
      <c r="BF297" s="7">
        <f ca="1"/>
      </c>
      <c r="BG297" s="14">
        <f ca="1"/>
      </c>
      <c r="BH297" s="14">
        <f ca="1"/>
      </c>
      <c r="BI297" s="14">
        <f ca="1"/>
      </c>
      <c r="BJ297" s="14">
        <f ca="1"/>
      </c>
      <c r="BK297" s="14">
        <f ca="1"/>
      </c>
    </row>
    <row r="298" spans="28:63" x14ac:dyDescent="0.55000000000000004">
      <c r="AB298">
        <f ca="1"/>
      </c>
      <c r="AC298">
        <f ca="1"/>
      </c>
      <c r="AD298">
        <f ca="1"/>
      </c>
      <c r="AE298">
        <f ca="1"/>
      </c>
      <c r="AF298">
        <f ca="1"/>
      </c>
      <c r="AG298">
        <f ca="1"/>
      </c>
      <c r="AH298">
        <f ca="1"/>
      </c>
      <c r="AL298" s="7">
        <f ca="1"/>
      </c>
      <c r="AM298" s="14">
        <f ca="1"/>
      </c>
      <c r="AN298" s="14">
        <f ca="1"/>
      </c>
      <c r="AO298" s="14">
        <f ca="1"/>
      </c>
      <c r="AP298" s="14">
        <f ca="1"/>
      </c>
      <c r="AQ298" s="14">
        <f ca="1"/>
      </c>
      <c r="AR298" s="14">
        <f ca="1"/>
      </c>
      <c r="AV298" s="14">
        <f ca="1"/>
      </c>
      <c r="AW298" s="14">
        <f ca="1"/>
      </c>
      <c r="AX298" s="14">
        <f ca="1"/>
      </c>
      <c r="AY298" s="14">
        <f ca="1"/>
      </c>
      <c r="AZ298" s="14">
        <f ca="1"/>
      </c>
      <c r="BF298" s="7">
        <f ca="1"/>
      </c>
      <c r="BG298" s="14">
        <f ca="1"/>
      </c>
      <c r="BH298" s="14">
        <f ca="1"/>
      </c>
      <c r="BI298" s="14">
        <f ca="1"/>
      </c>
      <c r="BJ298" s="14">
        <f ca="1"/>
      </c>
      <c r="BK298" s="14">
        <f ca="1"/>
      </c>
    </row>
    <row r="299" spans="28:63" x14ac:dyDescent="0.55000000000000004">
      <c r="AB299">
        <f ca="1"/>
      </c>
      <c r="AC299">
        <f ca="1"/>
      </c>
      <c r="AD299">
        <f ca="1"/>
      </c>
      <c r="AE299">
        <f ca="1"/>
      </c>
      <c r="AF299">
        <f ca="1"/>
      </c>
      <c r="AG299">
        <f ca="1"/>
      </c>
      <c r="AH299">
        <f ca="1"/>
      </c>
      <c r="AL299" s="7">
        <f ca="1"/>
      </c>
      <c r="AM299" s="14">
        <f ca="1"/>
      </c>
      <c r="AN299" s="14">
        <f ca="1"/>
      </c>
      <c r="AO299" s="14">
        <f ca="1"/>
      </c>
      <c r="AP299" s="14">
        <f ca="1"/>
      </c>
      <c r="AQ299" s="14">
        <f ca="1"/>
      </c>
      <c r="AR299" s="14">
        <f ca="1"/>
      </c>
      <c r="AV299" s="14">
        <f ca="1"/>
      </c>
      <c r="AW299" s="14">
        <f ca="1"/>
      </c>
      <c r="AX299" s="14">
        <f ca="1"/>
      </c>
      <c r="AY299" s="14">
        <f ca="1"/>
      </c>
      <c r="AZ299" s="14">
        <f ca="1"/>
      </c>
      <c r="BF299" s="7">
        <f ca="1"/>
      </c>
      <c r="BG299" s="14">
        <f ca="1"/>
      </c>
      <c r="BH299" s="14">
        <f ca="1"/>
      </c>
      <c r="BI299" s="14">
        <f ca="1"/>
      </c>
      <c r="BJ299" s="14">
        <f ca="1"/>
      </c>
      <c r="BK299" s="14">
        <f ca="1"/>
      </c>
    </row>
    <row r="300" spans="28:63" x14ac:dyDescent="0.55000000000000004">
      <c r="AB300">
        <f ca="1"/>
      </c>
      <c r="AC300">
        <f ca="1"/>
      </c>
      <c r="AD300">
        <f ca="1"/>
      </c>
      <c r="AE300">
        <f ca="1"/>
      </c>
      <c r="AF300">
        <f ca="1"/>
      </c>
      <c r="AG300">
        <f ca="1"/>
      </c>
      <c r="AH300">
        <f ca="1"/>
      </c>
      <c r="AL300" s="7">
        <f ca="1"/>
      </c>
      <c r="AM300" s="14">
        <f ca="1"/>
      </c>
      <c r="AN300" s="14">
        <f ca="1"/>
      </c>
      <c r="AO300" s="14">
        <f ca="1"/>
      </c>
      <c r="AP300" s="14">
        <f ca="1"/>
      </c>
      <c r="AQ300" s="14">
        <f ca="1"/>
      </c>
      <c r="AR300" s="14">
        <f ca="1"/>
      </c>
      <c r="AV300" s="14">
        <f ca="1"/>
      </c>
      <c r="AW300" s="14">
        <f ca="1"/>
      </c>
      <c r="AX300" s="14">
        <f ca="1"/>
      </c>
      <c r="AY300" s="14">
        <f ca="1"/>
      </c>
      <c r="AZ300" s="14">
        <f ca="1"/>
      </c>
      <c r="BF300" s="7">
        <f ca="1"/>
      </c>
      <c r="BG300" s="14">
        <f ca="1"/>
      </c>
      <c r="BH300" s="14">
        <f ca="1"/>
      </c>
      <c r="BI300" s="14">
        <f ca="1"/>
      </c>
      <c r="BJ300" s="14">
        <f ca="1"/>
      </c>
      <c r="BK300" s="14">
        <f ca="1"/>
      </c>
    </row>
    <row r="301" spans="28:63" x14ac:dyDescent="0.55000000000000004">
      <c r="AB301">
        <f ca="1"/>
      </c>
      <c r="AC301">
        <f ca="1"/>
      </c>
      <c r="AD301">
        <f ca="1"/>
      </c>
      <c r="AE301">
        <f ca="1"/>
      </c>
      <c r="AF301">
        <f ca="1"/>
      </c>
      <c r="AG301">
        <f ca="1"/>
      </c>
      <c r="AH301">
        <f ca="1"/>
      </c>
      <c r="AL301" s="7">
        <f ca="1"/>
      </c>
      <c r="AM301" s="14">
        <f ca="1"/>
      </c>
      <c r="AN301" s="14">
        <f ca="1"/>
      </c>
      <c r="AO301" s="14">
        <f ca="1"/>
      </c>
      <c r="AP301" s="14">
        <f ca="1"/>
      </c>
      <c r="AQ301" s="14">
        <f ca="1"/>
      </c>
      <c r="AR301" s="14">
        <f ca="1"/>
      </c>
      <c r="AV301" s="14">
        <f ca="1"/>
      </c>
      <c r="AW301" s="14">
        <f ca="1"/>
      </c>
      <c r="AX301" s="14">
        <f ca="1"/>
      </c>
      <c r="AY301" s="14">
        <f ca="1"/>
      </c>
      <c r="AZ301" s="14">
        <f ca="1"/>
      </c>
      <c r="BF301" s="7">
        <f ca="1"/>
      </c>
      <c r="BG301" s="14">
        <f ca="1"/>
      </c>
      <c r="BH301" s="14">
        <f ca="1"/>
      </c>
      <c r="BI301" s="14">
        <f ca="1"/>
      </c>
      <c r="BJ301" s="14">
        <f ca="1"/>
      </c>
      <c r="BK301" s="14">
        <f ca="1"/>
      </c>
    </row>
    <row r="302" spans="28:63" x14ac:dyDescent="0.55000000000000004">
      <c r="AB302">
        <f ca="1"/>
      </c>
      <c r="AC302">
        <f ca="1"/>
      </c>
      <c r="AD302">
        <f ca="1"/>
      </c>
      <c r="AE302">
        <f ca="1"/>
      </c>
      <c r="AF302">
        <f ca="1"/>
      </c>
      <c r="AG302">
        <f ca="1"/>
      </c>
      <c r="AH302">
        <f ca="1"/>
      </c>
      <c r="AL302" s="7">
        <f ca="1"/>
      </c>
      <c r="AM302" s="14">
        <f ca="1"/>
      </c>
      <c r="AN302" s="14">
        <f ca="1"/>
      </c>
      <c r="AO302" s="14">
        <f ca="1"/>
      </c>
      <c r="AP302" s="14">
        <f ca="1"/>
      </c>
      <c r="AQ302" s="14">
        <f ca="1"/>
      </c>
      <c r="AR302" s="14">
        <f ca="1"/>
      </c>
      <c r="AV302" s="14">
        <f ca="1"/>
      </c>
      <c r="AW302" s="14">
        <f ca="1"/>
      </c>
      <c r="AX302" s="14">
        <f ca="1"/>
      </c>
      <c r="AY302" s="14">
        <f ca="1"/>
      </c>
      <c r="AZ302" s="14">
        <f ca="1"/>
      </c>
      <c r="BF302" s="7">
        <f ca="1"/>
      </c>
      <c r="BG302" s="14">
        <f ca="1"/>
      </c>
      <c r="BH302" s="14">
        <f ca="1"/>
      </c>
      <c r="BI302" s="14">
        <f ca="1"/>
      </c>
      <c r="BJ302" s="14">
        <f ca="1"/>
      </c>
      <c r="BK302" s="14">
        <f ca="1"/>
      </c>
    </row>
    <row r="303" spans="28:63" x14ac:dyDescent="0.55000000000000004">
      <c r="AB303">
        <f ca="1"/>
      </c>
      <c r="AC303">
        <f ca="1"/>
      </c>
      <c r="AD303">
        <f ca="1"/>
      </c>
      <c r="AE303">
        <f ca="1"/>
      </c>
      <c r="AF303">
        <f ca="1"/>
      </c>
      <c r="AG303">
        <f ca="1"/>
      </c>
      <c r="AH303">
        <f ca="1"/>
      </c>
      <c r="AL303" s="7">
        <f ca="1"/>
      </c>
      <c r="AM303" s="14">
        <f ca="1"/>
      </c>
      <c r="AN303" s="14">
        <f ca="1"/>
      </c>
      <c r="AO303" s="14">
        <f ca="1"/>
      </c>
      <c r="AP303" s="14">
        <f ca="1"/>
      </c>
      <c r="AQ303" s="14">
        <f ca="1"/>
      </c>
      <c r="AR303" s="14">
        <f ca="1"/>
      </c>
      <c r="AV303" s="14">
        <f ca="1"/>
      </c>
      <c r="AW303" s="14">
        <f ca="1"/>
      </c>
      <c r="AX303" s="14">
        <f ca="1"/>
      </c>
      <c r="AY303" s="14">
        <f ca="1"/>
      </c>
      <c r="AZ303" s="14">
        <f ca="1"/>
      </c>
      <c r="BF303" s="7">
        <f ca="1"/>
      </c>
      <c r="BG303" s="14">
        <f ca="1"/>
      </c>
      <c r="BH303" s="14">
        <f ca="1"/>
      </c>
      <c r="BI303" s="14">
        <f ca="1"/>
      </c>
      <c r="BJ303" s="14">
        <f ca="1"/>
      </c>
      <c r="BK303" s="14">
        <f ca="1"/>
      </c>
    </row>
    <row r="304" spans="28:63" x14ac:dyDescent="0.55000000000000004">
      <c r="AB304">
        <f ca="1"/>
      </c>
      <c r="AC304">
        <f ca="1"/>
      </c>
      <c r="AD304">
        <f ca="1"/>
      </c>
      <c r="AE304">
        <f ca="1"/>
      </c>
      <c r="AF304">
        <f ca="1"/>
      </c>
      <c r="AG304">
        <f ca="1"/>
      </c>
      <c r="AH304">
        <f ca="1"/>
      </c>
      <c r="AL304" s="7">
        <f ca="1"/>
      </c>
      <c r="AM304" s="14">
        <f ca="1"/>
      </c>
      <c r="AN304" s="14">
        <f ca="1"/>
      </c>
      <c r="AO304" s="14">
        <f ca="1"/>
      </c>
      <c r="AP304" s="14">
        <f ca="1"/>
      </c>
      <c r="AQ304" s="14">
        <f ca="1"/>
      </c>
      <c r="AR304" s="14">
        <f ca="1"/>
      </c>
      <c r="AV304" s="14">
        <f ca="1"/>
      </c>
      <c r="AW304" s="14">
        <f ca="1"/>
      </c>
      <c r="AX304" s="14">
        <f ca="1"/>
      </c>
      <c r="AY304" s="14">
        <f ca="1"/>
      </c>
      <c r="AZ304" s="14">
        <f ca="1"/>
      </c>
      <c r="BF304" s="7">
        <f ca="1"/>
      </c>
      <c r="BG304" s="14">
        <f ca="1"/>
      </c>
      <c r="BH304" s="14">
        <f ca="1"/>
      </c>
      <c r="BI304" s="14">
        <f ca="1"/>
      </c>
      <c r="BJ304" s="14">
        <f ca="1"/>
      </c>
      <c r="BK304" s="14">
        <f ca="1"/>
      </c>
    </row>
    <row r="305" spans="28:63" x14ac:dyDescent="0.55000000000000004">
      <c r="AB305">
        <f ca="1"/>
      </c>
      <c r="AC305">
        <f ca="1"/>
      </c>
      <c r="AD305">
        <f ca="1"/>
      </c>
      <c r="AE305">
        <f ca="1"/>
      </c>
      <c r="AF305">
        <f ca="1"/>
      </c>
      <c r="AG305">
        <f ca="1"/>
      </c>
      <c r="AH305">
        <f ca="1"/>
      </c>
      <c r="AL305" s="7">
        <f ca="1"/>
      </c>
      <c r="AM305" s="14">
        <f ca="1"/>
      </c>
      <c r="AN305" s="14">
        <f ca="1"/>
      </c>
      <c r="AO305" s="14">
        <f ca="1"/>
      </c>
      <c r="AP305" s="14">
        <f ca="1"/>
      </c>
      <c r="AQ305" s="14">
        <f ca="1"/>
      </c>
      <c r="AR305" s="14">
        <f ca="1"/>
      </c>
      <c r="AV305" s="14">
        <f ca="1"/>
      </c>
      <c r="AW305" s="14">
        <f ca="1"/>
      </c>
      <c r="AX305" s="14">
        <f ca="1"/>
      </c>
      <c r="AY305" s="14">
        <f ca="1"/>
      </c>
      <c r="AZ305" s="14">
        <f ca="1"/>
      </c>
      <c r="BF305" s="7">
        <f ca="1"/>
      </c>
      <c r="BG305" s="14">
        <f ca="1"/>
      </c>
      <c r="BH305" s="14">
        <f ca="1"/>
      </c>
      <c r="BI305" s="14">
        <f ca="1"/>
      </c>
      <c r="BJ305" s="14">
        <f ca="1"/>
      </c>
      <c r="BK305" s="14">
        <f ca="1"/>
      </c>
    </row>
    <row r="306" spans="28:63" x14ac:dyDescent="0.55000000000000004">
      <c r="AB306">
        <f ca="1"/>
      </c>
      <c r="AC306">
        <f ca="1"/>
      </c>
      <c r="AD306">
        <f ca="1"/>
      </c>
      <c r="AE306">
        <f ca="1"/>
      </c>
      <c r="AF306">
        <f ca="1"/>
      </c>
      <c r="AG306">
        <f ca="1"/>
      </c>
      <c r="AH306">
        <f ca="1"/>
      </c>
      <c r="AL306" s="7">
        <f ca="1"/>
      </c>
      <c r="AM306" s="14">
        <f ca="1"/>
      </c>
      <c r="AN306" s="14">
        <f ca="1"/>
      </c>
      <c r="AO306" s="14">
        <f ca="1"/>
      </c>
      <c r="AP306" s="14">
        <f ca="1"/>
      </c>
      <c r="AQ306" s="14">
        <f ca="1"/>
      </c>
      <c r="AR306" s="14">
        <f ca="1"/>
      </c>
      <c r="AV306" s="14">
        <f ca="1"/>
      </c>
      <c r="AW306" s="14">
        <f ca="1"/>
      </c>
      <c r="AX306" s="14">
        <f ca="1"/>
      </c>
      <c r="AY306" s="14">
        <f ca="1"/>
      </c>
      <c r="AZ306" s="14">
        <f ca="1"/>
      </c>
      <c r="BF306" s="7">
        <f ca="1"/>
      </c>
      <c r="BG306" s="14">
        <f ca="1"/>
      </c>
      <c r="BH306" s="14">
        <f ca="1"/>
      </c>
      <c r="BI306" s="14">
        <f ca="1"/>
      </c>
      <c r="BJ306" s="14">
        <f ca="1"/>
      </c>
      <c r="BK306" s="14">
        <f ca="1"/>
      </c>
    </row>
    <row r="307" spans="28:63" x14ac:dyDescent="0.55000000000000004">
      <c r="AB307">
        <f ca="1"/>
      </c>
      <c r="AC307">
        <f ca="1"/>
      </c>
      <c r="AD307">
        <f ca="1"/>
      </c>
      <c r="AE307">
        <f ca="1"/>
      </c>
      <c r="AF307">
        <f ca="1"/>
      </c>
      <c r="AG307">
        <f ca="1"/>
      </c>
      <c r="AH307">
        <f ca="1"/>
      </c>
      <c r="AL307" s="7">
        <f ca="1"/>
      </c>
      <c r="AM307" s="14">
        <f ca="1"/>
      </c>
      <c r="AN307" s="14">
        <f ca="1"/>
      </c>
      <c r="AO307" s="14">
        <f ca="1"/>
      </c>
      <c r="AP307" s="14">
        <f ca="1"/>
      </c>
      <c r="AQ307" s="14">
        <f ca="1"/>
      </c>
      <c r="AR307" s="14">
        <f ca="1"/>
      </c>
      <c r="AV307" s="14">
        <f ca="1"/>
      </c>
      <c r="AW307" s="14">
        <f ca="1"/>
      </c>
      <c r="AX307" s="14">
        <f ca="1"/>
      </c>
      <c r="AY307" s="14">
        <f ca="1"/>
      </c>
      <c r="AZ307" s="14">
        <f ca="1"/>
      </c>
      <c r="BF307" s="7">
        <f ca="1"/>
      </c>
      <c r="BG307" s="14">
        <f ca="1"/>
      </c>
      <c r="BH307" s="14">
        <f ca="1"/>
      </c>
      <c r="BI307" s="14">
        <f ca="1"/>
      </c>
      <c r="BJ307" s="14">
        <f ca="1"/>
      </c>
      <c r="BK307" s="14">
        <f ca="1"/>
      </c>
    </row>
    <row r="308" spans="28:63" x14ac:dyDescent="0.55000000000000004">
      <c r="AB308">
        <f ca="1"/>
      </c>
      <c r="AC308">
        <f ca="1"/>
      </c>
      <c r="AD308">
        <f ca="1"/>
      </c>
      <c r="AE308">
        <f ca="1"/>
      </c>
      <c r="AF308">
        <f ca="1"/>
      </c>
      <c r="AG308">
        <f ca="1"/>
      </c>
      <c r="AH308">
        <f ca="1"/>
      </c>
      <c r="AL308" s="7">
        <f ca="1"/>
      </c>
      <c r="AM308" s="14">
        <f ca="1"/>
      </c>
      <c r="AN308" s="14">
        <f ca="1"/>
      </c>
      <c r="AO308" s="14">
        <f ca="1"/>
      </c>
      <c r="AP308" s="14">
        <f ca="1"/>
      </c>
      <c r="AQ308" s="14">
        <f ca="1"/>
      </c>
      <c r="AR308" s="14">
        <f ca="1"/>
      </c>
      <c r="AV308" s="14">
        <f ca="1"/>
      </c>
      <c r="AW308" s="14">
        <f ca="1"/>
      </c>
      <c r="AX308" s="14">
        <f ca="1"/>
      </c>
      <c r="AY308" s="14">
        <f ca="1"/>
      </c>
      <c r="AZ308" s="14">
        <f ca="1"/>
      </c>
      <c r="BF308" s="7">
        <f ca="1"/>
      </c>
      <c r="BG308" s="14">
        <f ca="1"/>
      </c>
      <c r="BH308" s="14">
        <f ca="1"/>
      </c>
      <c r="BI308" s="14">
        <f ca="1"/>
      </c>
      <c r="BJ308" s="14">
        <f ca="1"/>
      </c>
      <c r="BK308" s="14">
        <f ca="1"/>
      </c>
    </row>
    <row r="309" spans="28:63" x14ac:dyDescent="0.55000000000000004">
      <c r="AB309">
        <f ca="1"/>
      </c>
      <c r="AC309">
        <f ca="1"/>
      </c>
      <c r="AD309">
        <f ca="1"/>
      </c>
      <c r="AE309">
        <f ca="1"/>
      </c>
      <c r="AF309">
        <f ca="1"/>
      </c>
      <c r="AG309">
        <f ca="1"/>
      </c>
      <c r="AH309">
        <f ca="1"/>
      </c>
      <c r="AL309" s="7">
        <f ca="1"/>
      </c>
      <c r="AM309" s="14">
        <f ca="1"/>
      </c>
      <c r="AN309" s="14">
        <f ca="1"/>
      </c>
      <c r="AO309" s="14">
        <f ca="1"/>
      </c>
      <c r="AP309" s="14">
        <f ca="1"/>
      </c>
      <c r="AQ309" s="14">
        <f ca="1"/>
      </c>
      <c r="AR309" s="14">
        <f ca="1"/>
      </c>
      <c r="AV309" s="14">
        <f ca="1"/>
      </c>
      <c r="AW309" s="14">
        <f ca="1"/>
      </c>
      <c r="AX309" s="14">
        <f ca="1"/>
      </c>
      <c r="AY309" s="14">
        <f ca="1"/>
      </c>
      <c r="AZ309" s="14">
        <f ca="1"/>
      </c>
      <c r="BF309" s="7">
        <f ca="1"/>
      </c>
      <c r="BG309" s="14">
        <f ca="1"/>
      </c>
      <c r="BH309" s="14">
        <f ca="1"/>
      </c>
      <c r="BI309" s="14">
        <f ca="1"/>
      </c>
      <c r="BJ309" s="14">
        <f ca="1"/>
      </c>
      <c r="BK309" s="14">
        <f ca="1"/>
      </c>
    </row>
    <row r="310" spans="28:63" x14ac:dyDescent="0.55000000000000004">
      <c r="AB310">
        <f ca="1"/>
      </c>
      <c r="AC310">
        <f ca="1"/>
      </c>
      <c r="AD310">
        <f ca="1"/>
      </c>
      <c r="AE310">
        <f ca="1"/>
      </c>
      <c r="AF310">
        <f ca="1"/>
      </c>
      <c r="AG310">
        <f ca="1"/>
      </c>
      <c r="AH310">
        <f ca="1"/>
      </c>
      <c r="AL310" s="7">
        <f ca="1"/>
      </c>
      <c r="AM310" s="14">
        <f ca="1"/>
      </c>
      <c r="AN310" s="14">
        <f ca="1"/>
      </c>
      <c r="AO310" s="14">
        <f ca="1"/>
      </c>
      <c r="AP310" s="14">
        <f ca="1"/>
      </c>
      <c r="AQ310" s="14">
        <f ca="1"/>
      </c>
      <c r="AR310" s="14">
        <f ca="1"/>
      </c>
      <c r="AV310" s="14">
        <f ca="1"/>
      </c>
      <c r="AW310" s="14">
        <f ca="1"/>
      </c>
      <c r="AX310" s="14">
        <f ca="1"/>
      </c>
      <c r="AY310" s="14">
        <f ca="1"/>
      </c>
      <c r="AZ310" s="14">
        <f ca="1"/>
      </c>
      <c r="BF310" s="7">
        <f ca="1"/>
      </c>
      <c r="BG310" s="14">
        <f ca="1"/>
      </c>
      <c r="BH310" s="14">
        <f ca="1"/>
      </c>
      <c r="BI310" s="14">
        <f ca="1"/>
      </c>
      <c r="BJ310" s="14">
        <f ca="1"/>
      </c>
      <c r="BK310" s="14">
        <f ca="1"/>
      </c>
    </row>
    <row r="311" spans="28:63" x14ac:dyDescent="0.55000000000000004">
      <c r="AB311">
        <f ca="1"/>
      </c>
      <c r="AC311">
        <f ca="1"/>
      </c>
      <c r="AD311">
        <f ca="1"/>
      </c>
      <c r="AE311">
        <f ca="1"/>
      </c>
      <c r="AF311">
        <f ca="1"/>
      </c>
      <c r="AG311">
        <f ca="1"/>
      </c>
      <c r="AH311">
        <f ca="1"/>
      </c>
      <c r="AL311" s="7">
        <f ca="1"/>
      </c>
      <c r="AM311" s="14">
        <f ca="1"/>
      </c>
      <c r="AN311" s="14">
        <f ca="1"/>
      </c>
      <c r="AO311" s="14">
        <f ca="1"/>
      </c>
      <c r="AP311" s="14">
        <f ca="1"/>
      </c>
      <c r="AQ311" s="14">
        <f ca="1"/>
      </c>
      <c r="AR311" s="14">
        <f ca="1"/>
      </c>
      <c r="AV311" s="14">
        <f ca="1"/>
      </c>
      <c r="AW311" s="14">
        <f ca="1"/>
      </c>
      <c r="AX311" s="14">
        <f ca="1"/>
      </c>
      <c r="AY311" s="14">
        <f ca="1"/>
      </c>
      <c r="AZ311" s="14">
        <f ca="1"/>
      </c>
      <c r="BF311" s="7">
        <f ca="1"/>
      </c>
      <c r="BG311" s="14">
        <f ca="1"/>
      </c>
      <c r="BH311" s="14">
        <f ca="1"/>
      </c>
      <c r="BI311" s="14">
        <f ca="1"/>
      </c>
      <c r="BJ311" s="14">
        <f ca="1"/>
      </c>
      <c r="BK311" s="14">
        <f ca="1"/>
      </c>
    </row>
    <row r="312" spans="28:63" x14ac:dyDescent="0.55000000000000004">
      <c r="AB312">
        <f ca="1"/>
      </c>
      <c r="AC312">
        <f ca="1"/>
      </c>
      <c r="AD312">
        <f ca="1"/>
      </c>
      <c r="AE312">
        <f ca="1"/>
      </c>
      <c r="AF312">
        <f ca="1"/>
      </c>
      <c r="AG312">
        <f ca="1"/>
      </c>
      <c r="AH312">
        <f ca="1"/>
      </c>
      <c r="AL312" s="7">
        <f ca="1"/>
      </c>
      <c r="AM312" s="14">
        <f ca="1"/>
      </c>
      <c r="AN312" s="14">
        <f ca="1"/>
      </c>
      <c r="AO312" s="14">
        <f ca="1"/>
      </c>
      <c r="AP312" s="14">
        <f ca="1"/>
      </c>
      <c r="AQ312" s="14">
        <f ca="1"/>
      </c>
      <c r="AR312" s="14">
        <f ca="1"/>
      </c>
      <c r="AV312" s="14">
        <f ca="1"/>
      </c>
      <c r="AW312" s="14">
        <f ca="1"/>
      </c>
      <c r="AX312" s="14">
        <f ca="1"/>
      </c>
      <c r="AY312" s="14">
        <f ca="1"/>
      </c>
      <c r="AZ312" s="14">
        <f ca="1"/>
      </c>
      <c r="BF312" s="7">
        <f ca="1"/>
      </c>
      <c r="BG312" s="14">
        <f ca="1"/>
      </c>
      <c r="BH312" s="14">
        <f ca="1"/>
      </c>
      <c r="BI312" s="14">
        <f ca="1"/>
      </c>
      <c r="BJ312" s="14">
        <f ca="1"/>
      </c>
      <c r="BK312" s="14">
        <f ca="1"/>
      </c>
    </row>
    <row r="313" spans="28:63" x14ac:dyDescent="0.55000000000000004">
      <c r="AB313">
        <f ca="1"/>
      </c>
      <c r="AC313">
        <f ca="1"/>
      </c>
      <c r="AD313">
        <f ca="1"/>
      </c>
      <c r="AE313">
        <f ca="1"/>
      </c>
      <c r="AF313">
        <f ca="1"/>
      </c>
      <c r="AG313">
        <f ca="1"/>
      </c>
      <c r="AH313">
        <f ca="1"/>
      </c>
      <c r="AL313" s="7">
        <f ca="1"/>
      </c>
      <c r="AM313" s="14">
        <f ca="1"/>
      </c>
      <c r="AN313" s="14">
        <f ca="1"/>
      </c>
      <c r="AO313" s="14">
        <f ca="1"/>
      </c>
      <c r="AP313" s="14">
        <f ca="1"/>
      </c>
      <c r="AQ313" s="14">
        <f ca="1"/>
      </c>
      <c r="AR313" s="14">
        <f ca="1"/>
      </c>
      <c r="AV313" s="14">
        <f ca="1"/>
      </c>
      <c r="AW313" s="14">
        <f ca="1"/>
      </c>
      <c r="AX313" s="14">
        <f ca="1"/>
      </c>
      <c r="AY313" s="14">
        <f ca="1"/>
      </c>
      <c r="AZ313" s="14">
        <f ca="1"/>
      </c>
      <c r="BF313" s="7">
        <f ca="1"/>
      </c>
      <c r="BG313" s="14">
        <f ca="1"/>
      </c>
      <c r="BH313" s="14">
        <f ca="1"/>
      </c>
      <c r="BI313" s="14">
        <f ca="1"/>
      </c>
      <c r="BJ313" s="14">
        <f ca="1"/>
      </c>
      <c r="BK313" s="14">
        <f ca="1"/>
      </c>
    </row>
    <row r="314" spans="28:63" x14ac:dyDescent="0.55000000000000004">
      <c r="AB314">
        <f ca="1"/>
      </c>
      <c r="AC314">
        <f ca="1"/>
      </c>
      <c r="AD314">
        <f ca="1"/>
      </c>
      <c r="AE314">
        <f ca="1"/>
      </c>
      <c r="AF314">
        <f ca="1"/>
      </c>
      <c r="AG314">
        <f ca="1"/>
      </c>
      <c r="AH314">
        <f ca="1"/>
      </c>
      <c r="AL314" s="7">
        <f ca="1"/>
      </c>
      <c r="AM314" s="14">
        <f ca="1"/>
      </c>
      <c r="AN314" s="14">
        <f ca="1"/>
      </c>
      <c r="AO314" s="14">
        <f ca="1"/>
      </c>
      <c r="AP314" s="14">
        <f ca="1"/>
      </c>
      <c r="AQ314" s="14">
        <f ca="1"/>
      </c>
      <c r="AR314" s="14">
        <f ca="1"/>
      </c>
      <c r="AV314" s="14">
        <f ca="1"/>
      </c>
      <c r="AW314" s="14">
        <f ca="1"/>
      </c>
      <c r="AX314" s="14">
        <f ca="1"/>
      </c>
      <c r="AY314" s="14">
        <f ca="1"/>
      </c>
      <c r="AZ314" s="14">
        <f ca="1"/>
      </c>
      <c r="BF314" s="7">
        <f ca="1"/>
      </c>
      <c r="BG314" s="14">
        <f ca="1"/>
      </c>
      <c r="BH314" s="14">
        <f ca="1"/>
      </c>
      <c r="BI314" s="14">
        <f ca="1"/>
      </c>
      <c r="BJ314" s="14">
        <f ca="1"/>
      </c>
      <c r="BK314" s="14">
        <f ca="1"/>
      </c>
    </row>
    <row r="315" spans="28:63" x14ac:dyDescent="0.55000000000000004">
      <c r="AB315">
        <f ca="1"/>
      </c>
      <c r="AC315">
        <f ca="1"/>
      </c>
      <c r="AD315">
        <f ca="1"/>
      </c>
      <c r="AE315">
        <f ca="1"/>
      </c>
      <c r="AF315">
        <f ca="1"/>
      </c>
      <c r="AG315">
        <f ca="1"/>
      </c>
      <c r="AH315">
        <f ca="1"/>
      </c>
      <c r="AL315" s="7">
        <f ca="1"/>
      </c>
      <c r="AM315" s="14">
        <f ca="1"/>
      </c>
      <c r="AN315" s="14">
        <f ca="1"/>
      </c>
      <c r="AO315" s="14">
        <f ca="1"/>
      </c>
      <c r="AP315" s="14">
        <f ca="1"/>
      </c>
      <c r="AQ315" s="14">
        <f ca="1"/>
      </c>
      <c r="AR315" s="14">
        <f ca="1"/>
      </c>
      <c r="AV315" s="14">
        <f ca="1"/>
      </c>
      <c r="AW315" s="14">
        <f ca="1"/>
      </c>
      <c r="AX315" s="14">
        <f ca="1"/>
      </c>
      <c r="AY315" s="14">
        <f ca="1"/>
      </c>
      <c r="AZ315" s="14">
        <f ca="1"/>
      </c>
      <c r="BF315" s="7">
        <f ca="1"/>
      </c>
      <c r="BG315" s="14">
        <f ca="1"/>
      </c>
      <c r="BH315" s="14">
        <f ca="1"/>
      </c>
      <c r="BI315" s="14">
        <f ca="1"/>
      </c>
      <c r="BJ315" s="14">
        <f ca="1"/>
      </c>
      <c r="BK315" s="14">
        <f ca="1"/>
      </c>
    </row>
    <row r="316" spans="28:63" x14ac:dyDescent="0.55000000000000004">
      <c r="AB316">
        <f ca="1"/>
      </c>
      <c r="AC316">
        <f ca="1"/>
      </c>
      <c r="AD316">
        <f ca="1"/>
      </c>
      <c r="AE316">
        <f ca="1"/>
      </c>
      <c r="AF316">
        <f ca="1"/>
      </c>
      <c r="AG316">
        <f ca="1"/>
      </c>
      <c r="AH316">
        <f ca="1"/>
      </c>
      <c r="AL316" s="7">
        <f ca="1"/>
      </c>
      <c r="AM316" s="14">
        <f ca="1"/>
      </c>
      <c r="AN316" s="14">
        <f ca="1"/>
      </c>
      <c r="AO316" s="14">
        <f ca="1"/>
      </c>
      <c r="AP316" s="14">
        <f ca="1"/>
      </c>
      <c r="AQ316" s="14">
        <f ca="1"/>
      </c>
      <c r="AR316" s="14">
        <f ca="1"/>
      </c>
      <c r="AV316" s="14">
        <f ca="1"/>
      </c>
      <c r="AW316" s="14">
        <f ca="1"/>
      </c>
      <c r="AX316" s="14">
        <f ca="1"/>
      </c>
      <c r="AY316" s="14">
        <f ca="1"/>
      </c>
      <c r="AZ316" s="14">
        <f ca="1"/>
      </c>
      <c r="BF316" s="7">
        <f ca="1"/>
      </c>
      <c r="BG316" s="14">
        <f ca="1"/>
      </c>
      <c r="BH316" s="14">
        <f ca="1"/>
      </c>
      <c r="BI316" s="14">
        <f ca="1"/>
      </c>
      <c r="BJ316" s="14">
        <f ca="1"/>
      </c>
      <c r="BK316" s="14">
        <f ca="1"/>
      </c>
    </row>
    <row r="317" spans="28:63" x14ac:dyDescent="0.55000000000000004">
      <c r="AB317">
        <f ca="1"/>
      </c>
      <c r="AC317">
        <f ca="1"/>
      </c>
      <c r="AD317">
        <f ca="1"/>
      </c>
      <c r="AE317">
        <f ca="1"/>
      </c>
      <c r="AF317">
        <f ca="1"/>
      </c>
      <c r="AG317">
        <f ca="1"/>
      </c>
      <c r="AH317">
        <f ca="1"/>
      </c>
      <c r="AL317" s="7">
        <f ca="1"/>
      </c>
      <c r="AM317" s="14">
        <f ca="1"/>
      </c>
      <c r="AN317" s="14">
        <f ca="1"/>
      </c>
      <c r="AO317" s="14">
        <f ca="1"/>
      </c>
      <c r="AP317" s="14">
        <f ca="1"/>
      </c>
      <c r="AQ317" s="14">
        <f ca="1"/>
      </c>
      <c r="AR317" s="14">
        <f ca="1"/>
      </c>
      <c r="AV317" s="14">
        <f ca="1"/>
      </c>
      <c r="AW317" s="14">
        <f ca="1"/>
      </c>
      <c r="AX317" s="14">
        <f ca="1"/>
      </c>
      <c r="AY317" s="14">
        <f ca="1"/>
      </c>
      <c r="AZ317" s="14">
        <f ca="1"/>
      </c>
      <c r="BF317" s="7">
        <f ca="1"/>
      </c>
      <c r="BG317" s="14">
        <f ca="1"/>
      </c>
      <c r="BH317" s="14">
        <f ca="1"/>
      </c>
      <c r="BI317" s="14">
        <f ca="1"/>
      </c>
      <c r="BJ317" s="14">
        <f ca="1"/>
      </c>
      <c r="BK317" s="14">
        <f ca="1"/>
      </c>
    </row>
    <row r="318" spans="28:63" x14ac:dyDescent="0.55000000000000004">
      <c r="AB318">
        <f ca="1"/>
      </c>
      <c r="AC318">
        <f ca="1"/>
      </c>
      <c r="AD318">
        <f ca="1"/>
      </c>
      <c r="AE318">
        <f ca="1"/>
      </c>
      <c r="AF318">
        <f ca="1"/>
      </c>
      <c r="AG318">
        <f ca="1"/>
      </c>
      <c r="AH318">
        <f ca="1"/>
      </c>
      <c r="AL318" s="7">
        <f ca="1"/>
      </c>
      <c r="AM318" s="14">
        <f ca="1"/>
      </c>
      <c r="AN318" s="14">
        <f ca="1"/>
      </c>
      <c r="AO318" s="14">
        <f ca="1"/>
      </c>
      <c r="AP318" s="14">
        <f ca="1"/>
      </c>
      <c r="AQ318" s="14">
        <f ca="1"/>
      </c>
      <c r="AR318" s="14">
        <f ca="1"/>
      </c>
      <c r="AV318" s="14">
        <f ca="1"/>
      </c>
      <c r="AW318" s="14">
        <f ca="1"/>
      </c>
      <c r="AX318" s="14">
        <f ca="1"/>
      </c>
      <c r="AY318" s="14">
        <f ca="1"/>
      </c>
      <c r="AZ318" s="14">
        <f ca="1"/>
      </c>
      <c r="BF318" s="7">
        <f ca="1"/>
      </c>
      <c r="BG318" s="14">
        <f ca="1"/>
      </c>
      <c r="BH318" s="14">
        <f ca="1"/>
      </c>
      <c r="BI318" s="14">
        <f ca="1"/>
      </c>
      <c r="BJ318" s="14">
        <f ca="1"/>
      </c>
      <c r="BK318" s="14">
        <f ca="1"/>
      </c>
    </row>
    <row r="319" spans="28:63" x14ac:dyDescent="0.55000000000000004">
      <c r="AB319">
        <f ca="1"/>
      </c>
      <c r="AC319">
        <f ca="1"/>
      </c>
      <c r="AD319">
        <f ca="1"/>
      </c>
      <c r="AE319">
        <f ca="1"/>
      </c>
      <c r="AF319">
        <f ca="1"/>
      </c>
      <c r="AG319">
        <f ca="1"/>
      </c>
      <c r="AH319">
        <f ca="1"/>
      </c>
      <c r="AL319" s="7">
        <f ca="1"/>
      </c>
      <c r="AM319" s="14">
        <f ca="1"/>
      </c>
      <c r="AN319" s="14">
        <f ca="1"/>
      </c>
      <c r="AO319" s="14">
        <f ca="1"/>
      </c>
      <c r="AP319" s="14">
        <f ca="1"/>
      </c>
      <c r="AQ319" s="14">
        <f ca="1"/>
      </c>
      <c r="AR319" s="14">
        <f ca="1"/>
      </c>
      <c r="AV319" s="14">
        <f ca="1"/>
      </c>
      <c r="AW319" s="14">
        <f ca="1"/>
      </c>
      <c r="AX319" s="14">
        <f ca="1"/>
      </c>
      <c r="AY319" s="14">
        <f ca="1"/>
      </c>
      <c r="AZ319" s="14">
        <f ca="1"/>
      </c>
      <c r="BF319" s="7">
        <f ca="1"/>
      </c>
      <c r="BG319" s="14">
        <f ca="1"/>
      </c>
      <c r="BH319" s="14">
        <f ca="1"/>
      </c>
      <c r="BI319" s="14">
        <f ca="1"/>
      </c>
      <c r="BJ319" s="14">
        <f ca="1"/>
      </c>
      <c r="BK319" s="14">
        <f ca="1"/>
      </c>
    </row>
    <row r="320" spans="28:63" x14ac:dyDescent="0.55000000000000004">
      <c r="AB320">
        <f ca="1"/>
      </c>
      <c r="AC320">
        <f ca="1"/>
      </c>
      <c r="AD320">
        <f ca="1"/>
      </c>
      <c r="AE320">
        <f ca="1"/>
      </c>
      <c r="AF320">
        <f ca="1"/>
      </c>
      <c r="AG320">
        <f ca="1"/>
      </c>
      <c r="AH320">
        <f ca="1"/>
      </c>
      <c r="AL320" s="7">
        <f ca="1"/>
      </c>
      <c r="AM320" s="14">
        <f ca="1"/>
      </c>
      <c r="AN320" s="14">
        <f ca="1"/>
      </c>
      <c r="AO320" s="14">
        <f ca="1"/>
      </c>
      <c r="AP320" s="14">
        <f ca="1"/>
      </c>
      <c r="AQ320" s="14">
        <f ca="1"/>
      </c>
      <c r="AR320" s="14">
        <f ca="1"/>
      </c>
      <c r="AV320" s="14">
        <f ca="1"/>
      </c>
      <c r="AW320" s="14">
        <f ca="1"/>
      </c>
      <c r="AX320" s="14">
        <f ca="1"/>
      </c>
      <c r="AY320" s="14">
        <f ca="1"/>
      </c>
      <c r="AZ320" s="14">
        <f ca="1"/>
      </c>
      <c r="BF320" s="7">
        <f ca="1"/>
      </c>
      <c r="BG320" s="14">
        <f ca="1"/>
      </c>
      <c r="BH320" s="14">
        <f ca="1"/>
      </c>
      <c r="BI320" s="14">
        <f ca="1"/>
      </c>
      <c r="BJ320" s="14">
        <f ca="1"/>
      </c>
      <c r="BK320" s="14">
        <f ca="1"/>
      </c>
    </row>
    <row r="321" spans="28:63" x14ac:dyDescent="0.55000000000000004">
      <c r="AB321">
        <f ca="1"/>
      </c>
      <c r="AC321">
        <f ca="1"/>
      </c>
      <c r="AD321">
        <f ca="1"/>
      </c>
      <c r="AE321">
        <f ca="1"/>
      </c>
      <c r="AF321">
        <f ca="1"/>
      </c>
      <c r="AG321">
        <f ca="1"/>
      </c>
      <c r="AH321">
        <f ca="1"/>
      </c>
      <c r="AL321" s="7">
        <f ca="1"/>
      </c>
      <c r="AM321" s="14">
        <f ca="1"/>
      </c>
      <c r="AN321" s="14">
        <f ca="1"/>
      </c>
      <c r="AO321" s="14">
        <f ca="1"/>
      </c>
      <c r="AP321" s="14">
        <f ca="1"/>
      </c>
      <c r="AQ321" s="14">
        <f ca="1"/>
      </c>
      <c r="AR321" s="14">
        <f ca="1"/>
      </c>
      <c r="AV321" s="14">
        <f ca="1"/>
      </c>
      <c r="AW321" s="14">
        <f ca="1"/>
      </c>
      <c r="AX321" s="14">
        <f ca="1"/>
      </c>
      <c r="AY321" s="14">
        <f ca="1"/>
      </c>
      <c r="AZ321" s="14">
        <f ca="1"/>
      </c>
      <c r="BF321" s="7">
        <f ca="1"/>
      </c>
      <c r="BG321" s="14">
        <f ca="1"/>
      </c>
      <c r="BH321" s="14">
        <f ca="1"/>
      </c>
      <c r="BI321" s="14">
        <f ca="1"/>
      </c>
      <c r="BJ321" s="14">
        <f ca="1"/>
      </c>
      <c r="BK321" s="14">
        <f ca="1"/>
      </c>
    </row>
    <row r="322" spans="28:63" x14ac:dyDescent="0.55000000000000004">
      <c r="AB322">
        <f ca="1"/>
      </c>
      <c r="AC322">
        <f ca="1"/>
      </c>
      <c r="AD322">
        <f ca="1"/>
      </c>
      <c r="AE322">
        <f ca="1"/>
      </c>
      <c r="AF322">
        <f ca="1"/>
      </c>
      <c r="AG322">
        <f ca="1"/>
      </c>
      <c r="AH322">
        <f ca="1"/>
      </c>
      <c r="AL322" s="7">
        <f ca="1"/>
      </c>
      <c r="AM322" s="14">
        <f ca="1"/>
      </c>
      <c r="AN322" s="14">
        <f ca="1"/>
      </c>
      <c r="AO322" s="14">
        <f ca="1"/>
      </c>
      <c r="AP322" s="14">
        <f ca="1"/>
      </c>
      <c r="AQ322" s="14">
        <f ca="1"/>
      </c>
      <c r="AR322" s="14">
        <f ca="1"/>
      </c>
      <c r="AV322" s="14">
        <f ca="1"/>
      </c>
      <c r="AW322" s="14">
        <f ca="1"/>
      </c>
      <c r="AX322" s="14">
        <f ca="1"/>
      </c>
      <c r="AY322" s="14">
        <f ca="1"/>
      </c>
      <c r="AZ322" s="14">
        <f ca="1"/>
      </c>
      <c r="BF322" s="7">
        <f ca="1"/>
      </c>
      <c r="BG322" s="14">
        <f ca="1"/>
      </c>
      <c r="BH322" s="14">
        <f ca="1"/>
      </c>
      <c r="BI322" s="14">
        <f ca="1"/>
      </c>
      <c r="BJ322" s="14">
        <f ca="1"/>
      </c>
      <c r="BK322" s="14">
        <f ca="1"/>
      </c>
    </row>
    <row r="323" spans="28:63" x14ac:dyDescent="0.55000000000000004">
      <c r="AB323">
        <f ca="1"/>
      </c>
      <c r="AC323">
        <f ca="1"/>
      </c>
      <c r="AD323">
        <f ca="1"/>
      </c>
      <c r="AE323">
        <f ca="1"/>
      </c>
      <c r="AF323">
        <f ca="1"/>
      </c>
      <c r="AG323">
        <f ca="1"/>
      </c>
      <c r="AH323">
        <f ca="1"/>
      </c>
      <c r="AL323" s="7">
        <f ca="1"/>
      </c>
      <c r="AM323" s="14">
        <f ca="1"/>
      </c>
      <c r="AN323" s="14">
        <f ca="1"/>
      </c>
      <c r="AO323" s="14">
        <f ca="1"/>
      </c>
      <c r="AP323" s="14">
        <f ca="1"/>
      </c>
      <c r="AQ323" s="14">
        <f ca="1"/>
      </c>
      <c r="AR323" s="14">
        <f ca="1"/>
      </c>
      <c r="AV323" s="14">
        <f ca="1"/>
      </c>
      <c r="AW323" s="14">
        <f ca="1"/>
      </c>
      <c r="AX323" s="14">
        <f ca="1"/>
      </c>
      <c r="AY323" s="14">
        <f ca="1"/>
      </c>
      <c r="AZ323" s="14">
        <f ca="1"/>
      </c>
      <c r="BF323" s="7">
        <f ca="1"/>
      </c>
      <c r="BG323" s="14">
        <f ca="1"/>
      </c>
      <c r="BH323" s="14">
        <f ca="1"/>
      </c>
      <c r="BI323" s="14">
        <f ca="1"/>
      </c>
      <c r="BJ323" s="14">
        <f ca="1"/>
      </c>
      <c r="BK323" s="14">
        <f ca="1"/>
      </c>
    </row>
    <row r="324" spans="28:63" x14ac:dyDescent="0.55000000000000004">
      <c r="AB324">
        <f ca="1"/>
      </c>
      <c r="AC324">
        <f ca="1"/>
      </c>
      <c r="AD324">
        <f ca="1"/>
      </c>
      <c r="AE324">
        <f ca="1"/>
      </c>
      <c r="AF324">
        <f ca="1"/>
      </c>
      <c r="AG324">
        <f ca="1"/>
      </c>
      <c r="AH324">
        <f ca="1"/>
      </c>
      <c r="AL324" s="7">
        <f ca="1"/>
      </c>
      <c r="AM324" s="14">
        <f ca="1"/>
      </c>
      <c r="AN324" s="14">
        <f ca="1"/>
      </c>
      <c r="AO324" s="14">
        <f ca="1"/>
      </c>
      <c r="AP324" s="14">
        <f ca="1"/>
      </c>
      <c r="AQ324" s="14">
        <f ca="1"/>
      </c>
      <c r="AR324" s="14">
        <f ca="1"/>
      </c>
      <c r="AV324" s="14">
        <f ca="1"/>
      </c>
      <c r="AW324" s="14">
        <f ca="1"/>
      </c>
      <c r="AX324" s="14">
        <f ca="1"/>
      </c>
      <c r="AY324" s="14">
        <f ca="1"/>
      </c>
      <c r="AZ324" s="14">
        <f ca="1"/>
      </c>
      <c r="BF324" s="7">
        <f ca="1"/>
      </c>
      <c r="BG324" s="14">
        <f ca="1"/>
      </c>
      <c r="BH324" s="14">
        <f ca="1"/>
      </c>
      <c r="BI324" s="14">
        <f ca="1"/>
      </c>
      <c r="BJ324" s="14">
        <f ca="1"/>
      </c>
      <c r="BK324" s="14">
        <f ca="1"/>
      </c>
    </row>
    <row r="325" spans="28:63" x14ac:dyDescent="0.55000000000000004">
      <c r="AB325">
        <f ca="1"/>
      </c>
      <c r="AC325">
        <f ca="1"/>
      </c>
      <c r="AD325">
        <f ca="1"/>
      </c>
      <c r="AE325">
        <f ca="1"/>
      </c>
      <c r="AF325">
        <f ca="1"/>
      </c>
      <c r="AG325">
        <f ca="1"/>
      </c>
      <c r="AH325">
        <f ca="1"/>
      </c>
      <c r="AL325" s="7">
        <f ca="1"/>
      </c>
      <c r="AM325" s="14">
        <f ca="1"/>
      </c>
      <c r="AN325" s="14">
        <f ca="1"/>
      </c>
      <c r="AO325" s="14">
        <f ca="1"/>
      </c>
      <c r="AP325" s="14">
        <f ca="1"/>
      </c>
      <c r="AQ325" s="14">
        <f ca="1"/>
      </c>
      <c r="AR325" s="14">
        <f ca="1"/>
      </c>
      <c r="AV325" s="14">
        <f ca="1"/>
      </c>
      <c r="AW325" s="14">
        <f ca="1"/>
      </c>
      <c r="AX325" s="14">
        <f ca="1"/>
      </c>
      <c r="AY325" s="14">
        <f ca="1"/>
      </c>
      <c r="AZ325" s="14">
        <f ca="1"/>
      </c>
      <c r="BF325" s="7">
        <f ca="1"/>
      </c>
      <c r="BG325" s="14">
        <f ca="1"/>
      </c>
      <c r="BH325" s="14">
        <f ca="1"/>
      </c>
      <c r="BI325" s="14">
        <f ca="1"/>
      </c>
      <c r="BJ325" s="14">
        <f ca="1"/>
      </c>
      <c r="BK325" s="14">
        <f ca="1"/>
      </c>
    </row>
    <row r="326" spans="28:63" x14ac:dyDescent="0.55000000000000004">
      <c r="AB326">
        <f ca="1"/>
      </c>
      <c r="AC326">
        <f ca="1"/>
      </c>
      <c r="AD326">
        <f ca="1"/>
      </c>
      <c r="AE326">
        <f ca="1"/>
      </c>
      <c r="AF326">
        <f ca="1"/>
      </c>
      <c r="AG326">
        <f ca="1"/>
      </c>
      <c r="AH326">
        <f ca="1"/>
      </c>
      <c r="AL326" s="7">
        <f ca="1"/>
      </c>
      <c r="AM326" s="14">
        <f ca="1"/>
      </c>
      <c r="AN326" s="14">
        <f ca="1"/>
      </c>
      <c r="AO326" s="14">
        <f ca="1"/>
      </c>
      <c r="AP326" s="14">
        <f ca="1"/>
      </c>
      <c r="AQ326" s="14">
        <f ca="1"/>
      </c>
      <c r="AR326" s="14">
        <f ca="1"/>
      </c>
      <c r="AV326" s="14">
        <f ca="1"/>
      </c>
      <c r="AW326" s="14">
        <f ca="1"/>
      </c>
      <c r="AX326" s="14">
        <f ca="1"/>
      </c>
      <c r="AY326" s="14">
        <f ca="1"/>
      </c>
      <c r="AZ326" s="14">
        <f ca="1"/>
      </c>
      <c r="BF326" s="7">
        <f ca="1"/>
      </c>
      <c r="BG326" s="14">
        <f ca="1"/>
      </c>
      <c r="BH326" s="14">
        <f ca="1"/>
      </c>
      <c r="BI326" s="14">
        <f ca="1"/>
      </c>
      <c r="BJ326" s="14">
        <f ca="1"/>
      </c>
      <c r="BK326" s="14">
        <f ca="1"/>
      </c>
    </row>
    <row r="327" spans="28:63" x14ac:dyDescent="0.55000000000000004">
      <c r="AB327">
        <f ca="1"/>
      </c>
      <c r="AC327">
        <f ca="1"/>
      </c>
      <c r="AD327">
        <f ca="1"/>
      </c>
      <c r="AE327">
        <f ca="1"/>
      </c>
      <c r="AF327">
        <f ca="1"/>
      </c>
      <c r="AG327">
        <f ca="1"/>
      </c>
      <c r="AH327">
        <f ca="1"/>
      </c>
      <c r="AL327" s="7">
        <f ca="1"/>
      </c>
      <c r="AM327" s="14">
        <f ca="1"/>
      </c>
      <c r="AN327" s="14">
        <f ca="1"/>
      </c>
      <c r="AO327" s="14">
        <f ca="1"/>
      </c>
      <c r="AP327" s="14">
        <f ca="1"/>
      </c>
      <c r="AQ327" s="14">
        <f ca="1"/>
      </c>
      <c r="AR327" s="14">
        <f ca="1"/>
      </c>
      <c r="AV327" s="14">
        <f ca="1"/>
      </c>
      <c r="AW327" s="14">
        <f ca="1"/>
      </c>
      <c r="AX327" s="14">
        <f ca="1"/>
      </c>
      <c r="AY327" s="14">
        <f ca="1"/>
      </c>
      <c r="AZ327" s="14">
        <f ca="1"/>
      </c>
      <c r="BF327" s="7">
        <f ca="1"/>
      </c>
      <c r="BG327" s="14">
        <f ca="1"/>
      </c>
      <c r="BH327" s="14">
        <f ca="1"/>
      </c>
      <c r="BI327" s="14">
        <f ca="1"/>
      </c>
      <c r="BJ327" s="14">
        <f ca="1"/>
      </c>
      <c r="BK327" s="14">
        <f ca="1"/>
      </c>
    </row>
    <row r="328" spans="28:63" x14ac:dyDescent="0.55000000000000004">
      <c r="AB328">
        <f ca="1"/>
      </c>
      <c r="AC328">
        <f ca="1"/>
      </c>
      <c r="AD328">
        <f ca="1"/>
      </c>
      <c r="AE328">
        <f ca="1"/>
      </c>
      <c r="AF328">
        <f ca="1"/>
      </c>
      <c r="AG328">
        <f ca="1"/>
      </c>
      <c r="AH328">
        <f ca="1"/>
      </c>
      <c r="AL328" s="7">
        <f ca="1"/>
      </c>
      <c r="AM328" s="14">
        <f ca="1"/>
      </c>
      <c r="AN328" s="14">
        <f ca="1"/>
      </c>
      <c r="AO328" s="14">
        <f ca="1"/>
      </c>
      <c r="AP328" s="14">
        <f ca="1"/>
      </c>
      <c r="AQ328" s="14">
        <f ca="1"/>
      </c>
      <c r="AR328" s="14">
        <f ca="1"/>
      </c>
      <c r="AV328" s="14">
        <f ca="1"/>
      </c>
      <c r="AW328" s="14">
        <f ca="1"/>
      </c>
      <c r="AX328" s="14">
        <f ca="1"/>
      </c>
      <c r="AY328" s="14">
        <f ca="1"/>
      </c>
      <c r="AZ328" s="14">
        <f ca="1"/>
      </c>
      <c r="BF328" s="7">
        <f ca="1"/>
      </c>
      <c r="BG328" s="14">
        <f ca="1"/>
      </c>
      <c r="BH328" s="14">
        <f ca="1"/>
      </c>
      <c r="BI328" s="14">
        <f ca="1"/>
      </c>
      <c r="BJ328" s="14">
        <f ca="1"/>
      </c>
      <c r="BK328" s="14">
        <f ca="1"/>
      </c>
    </row>
    <row r="329" spans="28:63" x14ac:dyDescent="0.55000000000000004">
      <c r="AB329">
        <f ca="1"/>
      </c>
      <c r="AC329">
        <f ca="1"/>
      </c>
      <c r="AD329">
        <f ca="1"/>
      </c>
      <c r="AE329">
        <f ca="1"/>
      </c>
      <c r="AF329">
        <f ca="1"/>
      </c>
      <c r="AG329">
        <f ca="1"/>
      </c>
      <c r="AH329">
        <f ca="1"/>
      </c>
      <c r="AL329" s="7">
        <f ca="1"/>
      </c>
      <c r="AM329" s="14">
        <f ca="1"/>
      </c>
      <c r="AN329" s="14">
        <f ca="1"/>
      </c>
      <c r="AO329" s="14">
        <f ca="1"/>
      </c>
      <c r="AP329" s="14">
        <f ca="1"/>
      </c>
      <c r="AQ329" s="14">
        <f ca="1"/>
      </c>
      <c r="AR329" s="14">
        <f ca="1"/>
      </c>
      <c r="AV329" s="14">
        <f ca="1"/>
      </c>
      <c r="AW329" s="14">
        <f ca="1"/>
      </c>
      <c r="AX329" s="14">
        <f ca="1"/>
      </c>
      <c r="AY329" s="14">
        <f ca="1"/>
      </c>
      <c r="AZ329" s="14">
        <f ca="1"/>
      </c>
      <c r="BF329" s="7">
        <f ca="1"/>
      </c>
      <c r="BG329" s="14">
        <f ca="1"/>
      </c>
      <c r="BH329" s="14">
        <f ca="1"/>
      </c>
      <c r="BI329" s="14">
        <f ca="1"/>
      </c>
      <c r="BJ329" s="14">
        <f ca="1"/>
      </c>
      <c r="BK329" s="14">
        <f ca="1"/>
      </c>
    </row>
    <row r="330" spans="28:63" x14ac:dyDescent="0.55000000000000004">
      <c r="AB330">
        <f ca="1"/>
      </c>
      <c r="AC330">
        <f ca="1"/>
      </c>
      <c r="AD330">
        <f ca="1"/>
      </c>
      <c r="AE330">
        <f ca="1"/>
      </c>
      <c r="AF330">
        <f ca="1"/>
      </c>
      <c r="AG330">
        <f ca="1"/>
      </c>
      <c r="AH330">
        <f ca="1"/>
      </c>
      <c r="AL330" s="7">
        <f ca="1"/>
      </c>
      <c r="AM330" s="14">
        <f ca="1"/>
      </c>
      <c r="AN330" s="14">
        <f ca="1"/>
      </c>
      <c r="AO330" s="14">
        <f ca="1"/>
      </c>
      <c r="AP330" s="14">
        <f ca="1"/>
      </c>
      <c r="AQ330" s="14">
        <f ca="1"/>
      </c>
      <c r="AR330" s="14">
        <f ca="1"/>
      </c>
      <c r="AV330" s="14">
        <f ca="1"/>
      </c>
      <c r="AW330" s="14">
        <f ca="1"/>
      </c>
      <c r="AX330" s="14">
        <f ca="1"/>
      </c>
      <c r="AY330" s="14">
        <f ca="1"/>
      </c>
      <c r="AZ330" s="14">
        <f ca="1"/>
      </c>
      <c r="BF330" s="7">
        <f ca="1"/>
      </c>
      <c r="BG330" s="14">
        <f ca="1"/>
      </c>
      <c r="BH330" s="14">
        <f ca="1"/>
      </c>
      <c r="BI330" s="14">
        <f ca="1"/>
      </c>
      <c r="BJ330" s="14">
        <f ca="1"/>
      </c>
      <c r="BK330" s="14">
        <f ca="1"/>
      </c>
    </row>
    <row r="331" spans="28:63" x14ac:dyDescent="0.55000000000000004">
      <c r="AB331">
        <f ca="1"/>
      </c>
      <c r="AC331">
        <f ca="1"/>
      </c>
      <c r="AD331">
        <f ca="1"/>
      </c>
      <c r="AE331">
        <f ca="1"/>
      </c>
      <c r="AF331">
        <f ca="1"/>
      </c>
      <c r="AG331">
        <f ca="1"/>
      </c>
      <c r="AH331">
        <f ca="1"/>
      </c>
      <c r="AL331" s="7">
        <f ca="1"/>
      </c>
      <c r="AM331" s="14">
        <f ca="1"/>
      </c>
      <c r="AN331" s="14">
        <f ca="1"/>
      </c>
      <c r="AO331" s="14">
        <f ca="1"/>
      </c>
      <c r="AP331" s="14">
        <f ca="1"/>
      </c>
      <c r="AQ331" s="14">
        <f ca="1"/>
      </c>
      <c r="AR331" s="14">
        <f ca="1"/>
      </c>
      <c r="AV331" s="14">
        <f ca="1"/>
      </c>
      <c r="AW331" s="14">
        <f ca="1"/>
      </c>
      <c r="AX331" s="14">
        <f ca="1"/>
      </c>
      <c r="AY331" s="14">
        <f ca="1"/>
      </c>
      <c r="AZ331" s="14">
        <f ca="1"/>
      </c>
      <c r="BF331" s="7">
        <f ca="1"/>
      </c>
      <c r="BG331" s="14">
        <f ca="1"/>
      </c>
      <c r="BH331" s="14">
        <f ca="1"/>
      </c>
      <c r="BI331" s="14">
        <f ca="1"/>
      </c>
      <c r="BJ331" s="14">
        <f ca="1"/>
      </c>
      <c r="BK331" s="14">
        <f ca="1"/>
      </c>
    </row>
    <row r="332" spans="28:63" x14ac:dyDescent="0.55000000000000004">
      <c r="AB332">
        <f ca="1"/>
      </c>
      <c r="AC332">
        <f ca="1"/>
      </c>
      <c r="AD332">
        <f ca="1"/>
      </c>
      <c r="AE332">
        <f ca="1"/>
      </c>
      <c r="AF332">
        <f ca="1"/>
      </c>
      <c r="AG332">
        <f ca="1"/>
      </c>
      <c r="AH332">
        <f ca="1"/>
      </c>
      <c r="AL332" s="7">
        <f ca="1"/>
      </c>
      <c r="AM332" s="14">
        <f ca="1"/>
      </c>
      <c r="AN332" s="14">
        <f ca="1"/>
      </c>
      <c r="AO332" s="14">
        <f ca="1"/>
      </c>
      <c r="AP332" s="14">
        <f ca="1"/>
      </c>
      <c r="AQ332" s="14">
        <f ca="1"/>
      </c>
      <c r="AR332" s="14">
        <f ca="1"/>
      </c>
      <c r="AV332" s="14">
        <f ca="1"/>
      </c>
      <c r="AW332" s="14">
        <f ca="1"/>
      </c>
      <c r="AX332" s="14">
        <f ca="1"/>
      </c>
      <c r="AY332" s="14">
        <f ca="1"/>
      </c>
      <c r="AZ332" s="14">
        <f ca="1"/>
      </c>
      <c r="BF332" s="7">
        <f ca="1"/>
      </c>
      <c r="BG332" s="14">
        <f ca="1"/>
      </c>
      <c r="BH332" s="14">
        <f ca="1"/>
      </c>
      <c r="BI332" s="14">
        <f ca="1"/>
      </c>
      <c r="BJ332" s="14">
        <f ca="1"/>
      </c>
      <c r="BK332" s="14">
        <f ca="1"/>
      </c>
    </row>
    <row r="333" spans="28:63" x14ac:dyDescent="0.55000000000000004">
      <c r="AB333">
        <f ca="1"/>
      </c>
      <c r="AC333">
        <f ca="1"/>
      </c>
      <c r="AD333">
        <f ca="1"/>
      </c>
      <c r="AE333">
        <f ca="1"/>
      </c>
      <c r="AF333">
        <f ca="1"/>
      </c>
      <c r="AG333">
        <f ca="1"/>
      </c>
      <c r="AH333">
        <f ca="1"/>
      </c>
      <c r="AL333" s="7">
        <f ca="1"/>
      </c>
      <c r="AM333" s="14">
        <f ca="1"/>
      </c>
      <c r="AN333" s="14">
        <f ca="1"/>
      </c>
      <c r="AO333" s="14">
        <f ca="1"/>
      </c>
      <c r="AP333" s="14">
        <f ca="1"/>
      </c>
      <c r="AQ333" s="14">
        <f ca="1"/>
      </c>
      <c r="AR333" s="14">
        <f ca="1"/>
      </c>
      <c r="AV333" s="14">
        <f ca="1"/>
      </c>
      <c r="AW333" s="14">
        <f ca="1"/>
      </c>
      <c r="AX333" s="14">
        <f ca="1"/>
      </c>
      <c r="AY333" s="14">
        <f ca="1"/>
      </c>
      <c r="AZ333" s="14">
        <f ca="1"/>
      </c>
      <c r="BF333" s="7">
        <f ca="1"/>
      </c>
      <c r="BG333" s="14">
        <f ca="1"/>
      </c>
      <c r="BH333" s="14">
        <f ca="1"/>
      </c>
      <c r="BI333" s="14">
        <f ca="1"/>
      </c>
      <c r="BJ333" s="14">
        <f ca="1"/>
      </c>
      <c r="BK333" s="14">
        <f ca="1"/>
      </c>
    </row>
    <row r="334" spans="28:63" x14ac:dyDescent="0.55000000000000004">
      <c r="AB334">
        <f ca="1"/>
      </c>
      <c r="AC334">
        <f ca="1"/>
      </c>
      <c r="AD334">
        <f ca="1"/>
      </c>
      <c r="AE334">
        <f ca="1"/>
      </c>
      <c r="AF334">
        <f ca="1"/>
      </c>
      <c r="AG334">
        <f ca="1"/>
      </c>
      <c r="AH334">
        <f ca="1"/>
      </c>
      <c r="AL334" s="7">
        <f ca="1"/>
      </c>
      <c r="AM334" s="14">
        <f ca="1"/>
      </c>
      <c r="AN334" s="14">
        <f ca="1"/>
      </c>
      <c r="AO334" s="14">
        <f ca="1"/>
      </c>
      <c r="AP334" s="14">
        <f ca="1"/>
      </c>
      <c r="AQ334" s="14">
        <f ca="1"/>
      </c>
      <c r="AR334" s="14">
        <f ca="1"/>
      </c>
      <c r="AV334" s="14">
        <f ca="1"/>
      </c>
      <c r="AW334" s="14">
        <f ca="1"/>
      </c>
      <c r="AX334" s="14">
        <f ca="1"/>
      </c>
      <c r="AY334" s="14">
        <f ca="1"/>
      </c>
      <c r="AZ334" s="14">
        <f ca="1"/>
      </c>
      <c r="BF334" s="7">
        <f ca="1"/>
      </c>
      <c r="BG334" s="14">
        <f ca="1"/>
      </c>
      <c r="BH334" s="14">
        <f ca="1"/>
      </c>
      <c r="BI334" s="14">
        <f ca="1"/>
      </c>
      <c r="BJ334" s="14">
        <f ca="1"/>
      </c>
      <c r="BK334" s="14">
        <f ca="1"/>
      </c>
    </row>
    <row r="335" spans="28:63" x14ac:dyDescent="0.55000000000000004">
      <c r="AB335">
        <f ca="1"/>
      </c>
      <c r="AC335">
        <f ca="1"/>
      </c>
      <c r="AD335">
        <f ca="1"/>
      </c>
      <c r="AE335">
        <f ca="1"/>
      </c>
      <c r="AF335">
        <f ca="1"/>
      </c>
      <c r="AG335">
        <f ca="1"/>
      </c>
      <c r="AH335">
        <f ca="1"/>
      </c>
      <c r="AL335" s="7">
        <f ca="1"/>
      </c>
      <c r="AM335" s="14">
        <f ca="1"/>
      </c>
      <c r="AN335" s="14">
        <f ca="1"/>
      </c>
      <c r="AO335" s="14">
        <f ca="1"/>
      </c>
      <c r="AP335" s="14">
        <f ca="1"/>
      </c>
      <c r="AQ335" s="14">
        <f ca="1"/>
      </c>
      <c r="AR335" s="14">
        <f ca="1"/>
      </c>
      <c r="AV335" s="14">
        <f ca="1"/>
      </c>
      <c r="AW335" s="14">
        <f ca="1"/>
      </c>
      <c r="AX335" s="14">
        <f ca="1"/>
      </c>
      <c r="AY335" s="14">
        <f ca="1"/>
      </c>
      <c r="AZ335" s="14">
        <f ca="1"/>
      </c>
      <c r="BF335" s="7">
        <f ca="1"/>
      </c>
      <c r="BG335" s="14">
        <f ca="1"/>
      </c>
      <c r="BH335" s="14">
        <f ca="1"/>
      </c>
      <c r="BI335" s="14">
        <f ca="1"/>
      </c>
      <c r="BJ335" s="14">
        <f ca="1"/>
      </c>
      <c r="BK335" s="14">
        <f ca="1"/>
      </c>
    </row>
    <row r="336" spans="28:63" x14ac:dyDescent="0.55000000000000004">
      <c r="AB336">
        <f ca="1"/>
      </c>
      <c r="AC336">
        <f ca="1"/>
      </c>
      <c r="AD336">
        <f ca="1"/>
      </c>
      <c r="AE336">
        <f ca="1"/>
      </c>
      <c r="AF336">
        <f ca="1"/>
      </c>
      <c r="AG336">
        <f ca="1"/>
      </c>
      <c r="AH336">
        <f ca="1"/>
      </c>
      <c r="AL336" s="7">
        <f ca="1"/>
      </c>
      <c r="AM336" s="14">
        <f ca="1"/>
      </c>
      <c r="AN336" s="14">
        <f ca="1"/>
      </c>
      <c r="AO336" s="14">
        <f ca="1"/>
      </c>
      <c r="AP336" s="14">
        <f ca="1"/>
      </c>
      <c r="AQ336" s="14">
        <f ca="1"/>
      </c>
      <c r="AR336" s="14">
        <f ca="1"/>
      </c>
      <c r="AV336" s="14">
        <f ca="1"/>
      </c>
      <c r="AW336" s="14">
        <f ca="1"/>
      </c>
      <c r="AX336" s="14">
        <f ca="1"/>
      </c>
      <c r="AY336" s="14">
        <f ca="1"/>
      </c>
      <c r="AZ336" s="14">
        <f ca="1"/>
      </c>
      <c r="BF336" s="7">
        <f ca="1"/>
      </c>
      <c r="BG336" s="14">
        <f ca="1"/>
      </c>
      <c r="BH336" s="14">
        <f ca="1"/>
      </c>
      <c r="BI336" s="14">
        <f ca="1"/>
      </c>
      <c r="BJ336" s="14">
        <f ca="1"/>
      </c>
      <c r="BK336" s="14">
        <f ca="1"/>
      </c>
    </row>
    <row r="337" spans="28:63" x14ac:dyDescent="0.55000000000000004">
      <c r="AB337">
        <f ca="1"/>
      </c>
      <c r="AC337">
        <f ca="1"/>
      </c>
      <c r="AD337">
        <f ca="1"/>
      </c>
      <c r="AE337">
        <f ca="1"/>
      </c>
      <c r="AF337">
        <f ca="1"/>
      </c>
      <c r="AG337">
        <f ca="1"/>
      </c>
      <c r="AH337">
        <f ca="1"/>
      </c>
      <c r="AL337" s="7">
        <f ca="1"/>
      </c>
      <c r="AM337" s="14">
        <f ca="1"/>
      </c>
      <c r="AN337" s="14">
        <f ca="1"/>
      </c>
      <c r="AO337" s="14">
        <f ca="1"/>
      </c>
      <c r="AP337" s="14">
        <f ca="1"/>
      </c>
      <c r="AQ337" s="14">
        <f ca="1"/>
      </c>
      <c r="AR337" s="14">
        <f ca="1"/>
      </c>
      <c r="AV337" s="14">
        <f ca="1"/>
      </c>
      <c r="AW337" s="14">
        <f ca="1"/>
      </c>
      <c r="AX337" s="14">
        <f ca="1"/>
      </c>
      <c r="AY337" s="14">
        <f ca="1"/>
      </c>
      <c r="AZ337" s="14">
        <f ca="1"/>
      </c>
      <c r="BF337" s="7">
        <f ca="1"/>
      </c>
      <c r="BG337" s="14">
        <f ca="1"/>
      </c>
      <c r="BH337" s="14">
        <f ca="1"/>
      </c>
      <c r="BI337" s="14">
        <f ca="1"/>
      </c>
      <c r="BJ337" s="14">
        <f ca="1"/>
      </c>
      <c r="BK337" s="14">
        <f ca="1"/>
      </c>
    </row>
    <row r="338" spans="28:63" x14ac:dyDescent="0.55000000000000004">
      <c r="AB338">
        <f ca="1"/>
      </c>
      <c r="AC338">
        <f ca="1"/>
      </c>
      <c r="AD338">
        <f ca="1"/>
      </c>
      <c r="AE338">
        <f ca="1"/>
      </c>
      <c r="AF338">
        <f ca="1"/>
      </c>
      <c r="AG338">
        <f ca="1"/>
      </c>
      <c r="AH338">
        <f ca="1"/>
      </c>
      <c r="AL338" s="7">
        <f ca="1"/>
      </c>
      <c r="AM338" s="14">
        <f ca="1"/>
      </c>
      <c r="AN338" s="14">
        <f ca="1"/>
      </c>
      <c r="AO338" s="14">
        <f ca="1"/>
      </c>
      <c r="AP338" s="14">
        <f ca="1"/>
      </c>
      <c r="AQ338" s="14">
        <f ca="1"/>
      </c>
      <c r="AR338" s="14">
        <f ca="1"/>
      </c>
      <c r="AV338" s="14">
        <f ca="1"/>
      </c>
      <c r="AW338" s="14">
        <f ca="1"/>
      </c>
      <c r="AX338" s="14">
        <f ca="1"/>
      </c>
      <c r="AY338" s="14">
        <f ca="1"/>
      </c>
      <c r="AZ338" s="14">
        <f ca="1"/>
      </c>
      <c r="BF338" s="7">
        <f ca="1"/>
      </c>
      <c r="BG338" s="14">
        <f ca="1"/>
      </c>
      <c r="BH338" s="14">
        <f ca="1"/>
      </c>
      <c r="BI338" s="14">
        <f ca="1"/>
      </c>
      <c r="BJ338" s="14">
        <f ca="1"/>
      </c>
      <c r="BK338" s="14">
        <f ca="1"/>
      </c>
    </row>
    <row r="339" spans="28:63" x14ac:dyDescent="0.55000000000000004">
      <c r="AB339">
        <f ca="1"/>
      </c>
      <c r="AC339">
        <f ca="1"/>
      </c>
      <c r="AD339">
        <f ca="1"/>
      </c>
      <c r="AE339">
        <f ca="1"/>
      </c>
      <c r="AF339">
        <f ca="1"/>
      </c>
      <c r="AG339">
        <f ca="1"/>
      </c>
      <c r="AH339">
        <f ca="1"/>
      </c>
      <c r="AL339" s="7">
        <f ca="1"/>
      </c>
      <c r="AM339" s="14">
        <f ca="1"/>
      </c>
      <c r="AN339" s="14">
        <f ca="1"/>
      </c>
      <c r="AO339" s="14">
        <f ca="1"/>
      </c>
      <c r="AP339" s="14">
        <f ca="1"/>
      </c>
      <c r="AQ339" s="14">
        <f ca="1"/>
      </c>
      <c r="AR339" s="14">
        <f ca="1"/>
      </c>
      <c r="AV339" s="14">
        <f ca="1"/>
      </c>
      <c r="AW339" s="14">
        <f ca="1"/>
      </c>
      <c r="AX339" s="14">
        <f ca="1"/>
      </c>
      <c r="AY339" s="14">
        <f ca="1"/>
      </c>
      <c r="AZ339" s="14">
        <f ca="1"/>
      </c>
      <c r="BF339" s="7">
        <f ca="1"/>
      </c>
      <c r="BG339" s="14">
        <f ca="1"/>
      </c>
      <c r="BH339" s="14">
        <f ca="1"/>
      </c>
      <c r="BI339" s="14">
        <f ca="1"/>
      </c>
      <c r="BJ339" s="14">
        <f ca="1"/>
      </c>
      <c r="BK339" s="14">
        <f ca="1"/>
      </c>
    </row>
    <row r="340" spans="28:63" x14ac:dyDescent="0.55000000000000004">
      <c r="AB340">
        <f ca="1"/>
      </c>
      <c r="AC340">
        <f ca="1"/>
      </c>
      <c r="AD340">
        <f ca="1"/>
      </c>
      <c r="AE340">
        <f ca="1"/>
      </c>
      <c r="AF340">
        <f ca="1"/>
      </c>
      <c r="AG340">
        <f ca="1"/>
      </c>
      <c r="AH340">
        <f ca="1"/>
      </c>
      <c r="AL340" s="7">
        <f ca="1"/>
      </c>
      <c r="AM340" s="14">
        <f ca="1"/>
      </c>
      <c r="AN340" s="14">
        <f ca="1"/>
      </c>
      <c r="AO340" s="14">
        <f ca="1"/>
      </c>
      <c r="AP340" s="14">
        <f ca="1"/>
      </c>
      <c r="AQ340" s="14">
        <f ca="1"/>
      </c>
      <c r="AR340" s="14">
        <f ca="1"/>
      </c>
      <c r="AV340" s="14">
        <f ca="1"/>
      </c>
      <c r="AW340" s="14">
        <f ca="1"/>
      </c>
      <c r="AX340" s="14">
        <f ca="1"/>
      </c>
      <c r="AY340" s="14">
        <f ca="1"/>
      </c>
      <c r="AZ340" s="14">
        <f ca="1"/>
      </c>
      <c r="BF340" s="7">
        <f ca="1"/>
      </c>
      <c r="BG340" s="14">
        <f ca="1"/>
      </c>
      <c r="BH340" s="14">
        <f ca="1"/>
      </c>
      <c r="BI340" s="14">
        <f ca="1"/>
      </c>
      <c r="BJ340" s="14">
        <f ca="1"/>
      </c>
      <c r="BK340" s="14">
        <f ca="1"/>
      </c>
    </row>
    <row r="341" spans="28:63" x14ac:dyDescent="0.55000000000000004">
      <c r="AB341">
        <f ca="1"/>
      </c>
      <c r="AC341">
        <f ca="1"/>
      </c>
      <c r="AD341">
        <f ca="1"/>
      </c>
      <c r="AE341">
        <f ca="1"/>
      </c>
      <c r="AF341">
        <f ca="1"/>
      </c>
      <c r="AG341">
        <f ca="1"/>
      </c>
      <c r="AH341">
        <f ca="1"/>
      </c>
      <c r="AL341" s="7">
        <f ca="1"/>
      </c>
      <c r="AM341" s="14">
        <f ca="1"/>
      </c>
      <c r="AN341" s="14">
        <f ca="1"/>
      </c>
      <c r="AO341" s="14">
        <f ca="1"/>
      </c>
      <c r="AP341" s="14">
        <f ca="1"/>
      </c>
      <c r="AQ341" s="14">
        <f ca="1"/>
      </c>
      <c r="AR341" s="14">
        <f ca="1"/>
      </c>
      <c r="AV341" s="14">
        <f ca="1"/>
      </c>
      <c r="AW341" s="14">
        <f ca="1"/>
      </c>
      <c r="AX341" s="14">
        <f ca="1"/>
      </c>
      <c r="AY341" s="14">
        <f ca="1"/>
      </c>
      <c r="AZ341" s="14">
        <f ca="1"/>
      </c>
      <c r="BF341" s="7">
        <f ca="1"/>
      </c>
      <c r="BG341" s="14">
        <f ca="1"/>
      </c>
      <c r="BH341" s="14">
        <f ca="1"/>
      </c>
      <c r="BI341" s="14">
        <f ca="1"/>
      </c>
      <c r="BJ341" s="14">
        <f ca="1"/>
      </c>
      <c r="BK341" s="14">
        <f ca="1"/>
      </c>
    </row>
    <row r="342" spans="28:63" x14ac:dyDescent="0.55000000000000004">
      <c r="AB342">
        <f ca="1"/>
      </c>
      <c r="AC342">
        <f ca="1"/>
      </c>
      <c r="AD342">
        <f ca="1"/>
      </c>
      <c r="AE342">
        <f ca="1"/>
      </c>
      <c r="AF342">
        <f ca="1"/>
      </c>
      <c r="AG342">
        <f ca="1"/>
      </c>
      <c r="AH342">
        <f ca="1"/>
      </c>
      <c r="AL342" s="7">
        <f ca="1"/>
      </c>
      <c r="AM342" s="14">
        <f ca="1"/>
      </c>
      <c r="AN342" s="14">
        <f ca="1"/>
      </c>
      <c r="AO342" s="14">
        <f ca="1"/>
      </c>
      <c r="AP342" s="14">
        <f ca="1"/>
      </c>
      <c r="AQ342" s="14">
        <f ca="1"/>
      </c>
      <c r="AR342" s="14">
        <f ca="1"/>
      </c>
      <c r="AV342" s="14">
        <f ca="1"/>
      </c>
      <c r="AW342" s="14">
        <f ca="1"/>
      </c>
      <c r="AX342" s="14">
        <f ca="1"/>
      </c>
      <c r="AY342" s="14">
        <f ca="1"/>
      </c>
      <c r="AZ342" s="14">
        <f ca="1"/>
      </c>
      <c r="BF342" s="7">
        <f ca="1"/>
      </c>
      <c r="BG342" s="14">
        <f ca="1"/>
      </c>
      <c r="BH342" s="14">
        <f ca="1"/>
      </c>
      <c r="BI342" s="14">
        <f ca="1"/>
      </c>
      <c r="BJ342" s="14">
        <f ca="1"/>
      </c>
      <c r="BK342" s="14">
        <f ca="1"/>
      </c>
    </row>
    <row r="343" spans="28:63" x14ac:dyDescent="0.55000000000000004">
      <c r="AB343">
        <f ca="1"/>
      </c>
      <c r="AC343">
        <f ca="1"/>
      </c>
      <c r="AD343">
        <f ca="1"/>
      </c>
      <c r="AE343">
        <f ca="1"/>
      </c>
      <c r="AF343">
        <f ca="1"/>
      </c>
      <c r="AG343">
        <f ca="1"/>
      </c>
      <c r="AH343">
        <f ca="1"/>
      </c>
      <c r="AL343" s="7">
        <f ca="1"/>
      </c>
      <c r="AM343" s="14">
        <f ca="1"/>
      </c>
      <c r="AN343" s="14">
        <f ca="1"/>
      </c>
      <c r="AO343" s="14">
        <f ca="1"/>
      </c>
      <c r="AP343" s="14">
        <f ca="1"/>
      </c>
      <c r="AQ343" s="14">
        <f ca="1"/>
      </c>
      <c r="AR343" s="14">
        <f ca="1"/>
      </c>
      <c r="AV343" s="14">
        <f ca="1"/>
      </c>
      <c r="AW343" s="14">
        <f ca="1"/>
      </c>
      <c r="AX343" s="14">
        <f ca="1"/>
      </c>
      <c r="AY343" s="14">
        <f ca="1"/>
      </c>
      <c r="AZ343" s="14">
        <f ca="1"/>
      </c>
      <c r="BF343" s="7">
        <f ca="1"/>
      </c>
      <c r="BG343" s="14">
        <f ca="1"/>
      </c>
      <c r="BH343" s="14">
        <f ca="1"/>
      </c>
      <c r="BI343" s="14">
        <f ca="1"/>
      </c>
      <c r="BJ343" s="14">
        <f ca="1"/>
      </c>
      <c r="BK343" s="14">
        <f ca="1"/>
      </c>
    </row>
    <row r="344" spans="28:63" x14ac:dyDescent="0.55000000000000004">
      <c r="AB344">
        <f ca="1"/>
      </c>
      <c r="AC344">
        <f ca="1"/>
      </c>
      <c r="AD344">
        <f ca="1"/>
      </c>
      <c r="AE344">
        <f ca="1"/>
      </c>
      <c r="AF344">
        <f ca="1"/>
      </c>
      <c r="AG344">
        <f ca="1"/>
      </c>
      <c r="AH344">
        <f ca="1"/>
      </c>
      <c r="AL344" s="7">
        <f ca="1"/>
      </c>
      <c r="AM344" s="14">
        <f ca="1"/>
      </c>
      <c r="AN344" s="14">
        <f ca="1"/>
      </c>
      <c r="AO344" s="14">
        <f ca="1"/>
      </c>
      <c r="AP344" s="14">
        <f ca="1"/>
      </c>
      <c r="AQ344" s="14">
        <f ca="1"/>
      </c>
      <c r="AR344" s="14">
        <f ca="1"/>
      </c>
      <c r="AV344" s="14">
        <f ca="1"/>
      </c>
      <c r="AW344" s="14">
        <f ca="1"/>
      </c>
      <c r="AX344" s="14">
        <f ca="1"/>
      </c>
      <c r="AY344" s="14">
        <f ca="1"/>
      </c>
      <c r="AZ344" s="14">
        <f ca="1"/>
      </c>
      <c r="BF344" s="7">
        <f ca="1"/>
      </c>
      <c r="BG344" s="14">
        <f ca="1"/>
      </c>
      <c r="BH344" s="14">
        <f ca="1"/>
      </c>
      <c r="BI344" s="14">
        <f ca="1"/>
      </c>
      <c r="BJ344" s="14">
        <f ca="1"/>
      </c>
      <c r="BK344" s="14">
        <f ca="1"/>
      </c>
    </row>
    <row r="345" spans="28:63" x14ac:dyDescent="0.55000000000000004">
      <c r="AB345">
        <f ca="1"/>
      </c>
      <c r="AC345">
        <f ca="1"/>
      </c>
      <c r="AD345">
        <f ca="1"/>
      </c>
      <c r="AE345">
        <f ca="1"/>
      </c>
      <c r="AF345">
        <f ca="1"/>
      </c>
      <c r="AG345">
        <f ca="1"/>
      </c>
      <c r="AH345">
        <f ca="1"/>
      </c>
      <c r="AL345" s="7">
        <f ca="1"/>
      </c>
      <c r="AM345" s="14">
        <f ca="1"/>
      </c>
      <c r="AN345" s="14">
        <f ca="1"/>
      </c>
      <c r="AO345" s="14">
        <f ca="1"/>
      </c>
      <c r="AP345" s="14">
        <f ca="1"/>
      </c>
      <c r="AQ345" s="14">
        <f ca="1"/>
      </c>
      <c r="AR345" s="14">
        <f ca="1"/>
      </c>
      <c r="AV345" s="14">
        <f ca="1"/>
      </c>
      <c r="AW345" s="14">
        <f ca="1"/>
      </c>
      <c r="AX345" s="14">
        <f ca="1"/>
      </c>
      <c r="AY345" s="14">
        <f ca="1"/>
      </c>
      <c r="AZ345" s="14">
        <f ca="1"/>
      </c>
      <c r="BF345" s="7">
        <f ca="1"/>
      </c>
      <c r="BG345" s="14">
        <f ca="1"/>
      </c>
      <c r="BH345" s="14">
        <f ca="1"/>
      </c>
      <c r="BI345" s="14">
        <f ca="1"/>
      </c>
      <c r="BJ345" s="14">
        <f ca="1"/>
      </c>
      <c r="BK345" s="14">
        <f ca="1"/>
      </c>
    </row>
    <row r="346" spans="28:63" x14ac:dyDescent="0.55000000000000004">
      <c r="AB346">
        <f ca="1"/>
      </c>
      <c r="AC346">
        <f ca="1"/>
      </c>
      <c r="AD346">
        <f ca="1"/>
      </c>
      <c r="AE346">
        <f ca="1"/>
      </c>
      <c r="AF346">
        <f ca="1"/>
      </c>
      <c r="AG346">
        <f ca="1"/>
      </c>
      <c r="AH346">
        <f ca="1"/>
      </c>
      <c r="AL346" s="7">
        <f ca="1"/>
      </c>
      <c r="AM346" s="14">
        <f ca="1"/>
      </c>
      <c r="AN346" s="14">
        <f ca="1"/>
      </c>
      <c r="AO346" s="14">
        <f ca="1"/>
      </c>
      <c r="AP346" s="14">
        <f ca="1"/>
      </c>
      <c r="AQ346" s="14">
        <f ca="1"/>
      </c>
      <c r="AR346" s="14">
        <f ca="1"/>
      </c>
      <c r="AV346" s="14">
        <f ca="1"/>
      </c>
      <c r="AW346" s="14">
        <f ca="1"/>
      </c>
      <c r="AX346" s="14">
        <f ca="1"/>
      </c>
      <c r="AY346" s="14">
        <f ca="1"/>
      </c>
      <c r="AZ346" s="14">
        <f ca="1"/>
      </c>
      <c r="BF346" s="7">
        <f ca="1"/>
      </c>
      <c r="BG346" s="14">
        <f ca="1"/>
      </c>
      <c r="BH346" s="14">
        <f ca="1"/>
      </c>
      <c r="BI346" s="14">
        <f ca="1"/>
      </c>
      <c r="BJ346" s="14">
        <f ca="1"/>
      </c>
      <c r="BK346" s="14">
        <f ca="1"/>
      </c>
    </row>
    <row r="347" spans="28:63" x14ac:dyDescent="0.55000000000000004">
      <c r="AB347">
        <f ca="1"/>
      </c>
      <c r="AC347">
        <f ca="1"/>
      </c>
      <c r="AD347">
        <f ca="1"/>
      </c>
      <c r="AE347">
        <f ca="1"/>
      </c>
      <c r="AF347">
        <f ca="1"/>
      </c>
      <c r="AG347">
        <f ca="1"/>
      </c>
      <c r="AH347">
        <f ca="1"/>
      </c>
      <c r="AL347" s="7">
        <f ca="1"/>
      </c>
      <c r="AM347" s="14">
        <f ca="1"/>
      </c>
      <c r="AN347" s="14">
        <f ca="1"/>
      </c>
      <c r="AO347" s="14">
        <f ca="1"/>
      </c>
      <c r="AP347" s="14">
        <f ca="1"/>
      </c>
      <c r="AQ347" s="14">
        <f ca="1"/>
      </c>
      <c r="AR347" s="14">
        <f ca="1"/>
      </c>
      <c r="AV347" s="14">
        <f ca="1"/>
      </c>
      <c r="AW347" s="14">
        <f ca="1"/>
      </c>
      <c r="AX347" s="14">
        <f ca="1"/>
      </c>
      <c r="AY347" s="14">
        <f ca="1"/>
      </c>
      <c r="AZ347" s="14">
        <f ca="1"/>
      </c>
      <c r="BF347" s="7">
        <f ca="1"/>
      </c>
      <c r="BG347" s="14">
        <f ca="1"/>
      </c>
      <c r="BH347" s="14">
        <f ca="1"/>
      </c>
      <c r="BI347" s="14">
        <f ca="1"/>
      </c>
      <c r="BJ347" s="14">
        <f ca="1"/>
      </c>
      <c r="BK347" s="14">
        <f ca="1"/>
      </c>
    </row>
    <row r="348" spans="28:63" x14ac:dyDescent="0.55000000000000004">
      <c r="AB348">
        <f ca="1"/>
      </c>
      <c r="AC348">
        <f ca="1"/>
      </c>
      <c r="AD348">
        <f ca="1"/>
      </c>
      <c r="AE348">
        <f ca="1"/>
      </c>
      <c r="AF348">
        <f ca="1"/>
      </c>
      <c r="AG348">
        <f ca="1"/>
      </c>
      <c r="AH348">
        <f ca="1"/>
      </c>
      <c r="AL348" s="7">
        <f ca="1"/>
      </c>
      <c r="AM348" s="14">
        <f ca="1"/>
      </c>
      <c r="AN348" s="14">
        <f ca="1"/>
      </c>
      <c r="AO348" s="14">
        <f ca="1"/>
      </c>
      <c r="AP348" s="14">
        <f ca="1"/>
      </c>
      <c r="AQ348" s="14">
        <f ca="1"/>
      </c>
      <c r="AR348" s="14">
        <f ca="1"/>
      </c>
      <c r="AV348" s="14">
        <f ca="1"/>
      </c>
      <c r="AW348" s="14">
        <f ca="1"/>
      </c>
      <c r="AX348" s="14">
        <f ca="1"/>
      </c>
      <c r="AY348" s="14">
        <f ca="1"/>
      </c>
      <c r="AZ348" s="14">
        <f ca="1"/>
      </c>
      <c r="BF348" s="7">
        <f ca="1"/>
      </c>
      <c r="BG348" s="14">
        <f ca="1"/>
      </c>
      <c r="BH348" s="14">
        <f ca="1"/>
      </c>
      <c r="BI348" s="14">
        <f ca="1"/>
      </c>
      <c r="BJ348" s="14">
        <f ca="1"/>
      </c>
      <c r="BK348" s="14">
        <f ca="1"/>
      </c>
    </row>
    <row r="349" spans="28:63" x14ac:dyDescent="0.55000000000000004">
      <c r="AB349">
        <f ca="1"/>
      </c>
      <c r="AC349">
        <f ca="1"/>
      </c>
      <c r="AD349">
        <f ca="1"/>
      </c>
      <c r="AE349">
        <f ca="1"/>
      </c>
      <c r="AF349">
        <f ca="1"/>
      </c>
      <c r="AG349">
        <f ca="1"/>
      </c>
      <c r="AH349">
        <f ca="1"/>
      </c>
      <c r="AL349" s="7">
        <f ca="1"/>
      </c>
      <c r="AM349" s="14">
        <f ca="1"/>
      </c>
      <c r="AN349" s="14">
        <f ca="1"/>
      </c>
      <c r="AO349" s="14">
        <f ca="1"/>
      </c>
      <c r="AP349" s="14">
        <f ca="1"/>
      </c>
      <c r="AQ349" s="14">
        <f ca="1"/>
      </c>
      <c r="AR349" s="14">
        <f ca="1"/>
      </c>
      <c r="AV349" s="14">
        <f ca="1"/>
      </c>
      <c r="AW349" s="14">
        <f ca="1"/>
      </c>
      <c r="AX349" s="14">
        <f ca="1"/>
      </c>
      <c r="AY349" s="14">
        <f ca="1"/>
      </c>
      <c r="AZ349" s="14">
        <f ca="1"/>
      </c>
      <c r="BF349" s="7">
        <f ca="1"/>
      </c>
      <c r="BG349" s="14">
        <f ca="1"/>
      </c>
      <c r="BH349" s="14">
        <f ca="1"/>
      </c>
      <c r="BI349" s="14">
        <f ca="1"/>
      </c>
      <c r="BJ349" s="14">
        <f ca="1"/>
      </c>
      <c r="BK349" s="14">
        <f ca="1"/>
      </c>
    </row>
    <row r="350" spans="28:63" x14ac:dyDescent="0.55000000000000004">
      <c r="AB350">
        <f ca="1"/>
      </c>
      <c r="AC350">
        <f ca="1"/>
      </c>
      <c r="AD350">
        <f ca="1"/>
      </c>
      <c r="AE350">
        <f ca="1"/>
      </c>
      <c r="AF350">
        <f ca="1"/>
      </c>
      <c r="AG350">
        <f ca="1"/>
      </c>
      <c r="AH350">
        <f ca="1"/>
      </c>
      <c r="AL350" s="7">
        <f ca="1"/>
      </c>
      <c r="AM350" s="14">
        <f ca="1"/>
      </c>
      <c r="AN350" s="14">
        <f ca="1"/>
      </c>
      <c r="AO350" s="14">
        <f ca="1"/>
      </c>
      <c r="AP350" s="14">
        <f ca="1"/>
      </c>
      <c r="AQ350" s="14">
        <f ca="1"/>
      </c>
      <c r="AR350" s="14">
        <f ca="1"/>
      </c>
      <c r="AV350" s="14">
        <f ca="1"/>
      </c>
      <c r="AW350" s="14">
        <f ca="1"/>
      </c>
      <c r="AX350" s="14">
        <f ca="1"/>
      </c>
      <c r="AY350" s="14">
        <f ca="1"/>
      </c>
      <c r="AZ350" s="14">
        <f ca="1"/>
      </c>
      <c r="BF350" s="7">
        <f ca="1"/>
      </c>
      <c r="BG350" s="14">
        <f ca="1"/>
      </c>
      <c r="BH350" s="14">
        <f ca="1"/>
      </c>
      <c r="BI350" s="14">
        <f ca="1"/>
      </c>
      <c r="BJ350" s="14">
        <f ca="1"/>
      </c>
      <c r="BK350" s="14">
        <f ca="1"/>
      </c>
    </row>
    <row r="351" spans="28:63" x14ac:dyDescent="0.55000000000000004">
      <c r="AB351">
        <f ca="1"/>
      </c>
      <c r="AC351">
        <f ca="1"/>
      </c>
      <c r="AD351">
        <f ca="1"/>
      </c>
      <c r="AE351">
        <f ca="1"/>
      </c>
      <c r="AF351">
        <f ca="1"/>
      </c>
      <c r="AG351">
        <f ca="1"/>
      </c>
      <c r="AH351">
        <f ca="1"/>
      </c>
      <c r="AL351" s="7">
        <f ca="1"/>
      </c>
      <c r="AM351" s="14">
        <f ca="1"/>
      </c>
      <c r="AN351" s="14">
        <f ca="1"/>
      </c>
      <c r="AO351" s="14">
        <f ca="1"/>
      </c>
      <c r="AP351" s="14">
        <f ca="1"/>
      </c>
      <c r="AQ351" s="14">
        <f ca="1"/>
      </c>
      <c r="AR351" s="14">
        <f ca="1"/>
      </c>
      <c r="AV351" s="14">
        <f ca="1"/>
      </c>
      <c r="AW351" s="14">
        <f ca="1"/>
      </c>
      <c r="AX351" s="14">
        <f ca="1"/>
      </c>
      <c r="AY351" s="14">
        <f ca="1"/>
      </c>
      <c r="AZ351" s="14">
        <f ca="1"/>
      </c>
      <c r="BF351" s="7">
        <f ca="1"/>
      </c>
      <c r="BG351" s="14">
        <f ca="1"/>
      </c>
      <c r="BH351" s="14">
        <f ca="1"/>
      </c>
      <c r="BI351" s="14">
        <f ca="1"/>
      </c>
      <c r="BJ351" s="14">
        <f ca="1"/>
      </c>
      <c r="BK351" s="14">
        <f ca="1"/>
      </c>
    </row>
    <row r="352" spans="28:63" x14ac:dyDescent="0.55000000000000004">
      <c r="AB352">
        <f ca="1"/>
      </c>
      <c r="AC352">
        <f ca="1"/>
      </c>
      <c r="AD352">
        <f ca="1"/>
      </c>
      <c r="AE352">
        <f ca="1"/>
      </c>
      <c r="AF352">
        <f ca="1"/>
      </c>
      <c r="AG352">
        <f ca="1"/>
      </c>
      <c r="AH352">
        <f ca="1"/>
      </c>
      <c r="AL352" s="7">
        <f ca="1"/>
      </c>
      <c r="AM352" s="14">
        <f ca="1"/>
      </c>
      <c r="AN352" s="14">
        <f ca="1"/>
      </c>
      <c r="AO352" s="14">
        <f ca="1"/>
      </c>
      <c r="AP352" s="14">
        <f ca="1"/>
      </c>
      <c r="AQ352" s="14">
        <f ca="1"/>
      </c>
      <c r="AR352" s="14">
        <f ca="1"/>
      </c>
      <c r="AV352" s="14">
        <f ca="1"/>
      </c>
      <c r="AW352" s="14">
        <f ca="1"/>
      </c>
      <c r="AX352" s="14">
        <f ca="1"/>
      </c>
      <c r="AY352" s="14">
        <f ca="1"/>
      </c>
      <c r="AZ352" s="14">
        <f ca="1"/>
      </c>
      <c r="BF352" s="7">
        <f ca="1"/>
      </c>
      <c r="BG352" s="14">
        <f ca="1"/>
      </c>
      <c r="BH352" s="14">
        <f ca="1"/>
      </c>
      <c r="BI352" s="14">
        <f ca="1"/>
      </c>
      <c r="BJ352" s="14">
        <f ca="1"/>
      </c>
      <c r="BK352" s="14">
        <f ca="1"/>
      </c>
    </row>
    <row r="353" spans="28:63" x14ac:dyDescent="0.55000000000000004">
      <c r="AB353">
        <f ca="1"/>
      </c>
      <c r="AC353">
        <f ca="1"/>
      </c>
      <c r="AD353">
        <f ca="1"/>
      </c>
      <c r="AE353">
        <f ca="1"/>
      </c>
      <c r="AF353">
        <f ca="1"/>
      </c>
      <c r="AG353">
        <f ca="1"/>
      </c>
      <c r="AH353">
        <f ca="1"/>
      </c>
      <c r="AL353" s="7">
        <f ca="1"/>
      </c>
      <c r="AM353" s="14">
        <f ca="1"/>
      </c>
      <c r="AN353" s="14">
        <f ca="1"/>
      </c>
      <c r="AO353" s="14">
        <f ca="1"/>
      </c>
      <c r="AP353" s="14">
        <f ca="1"/>
      </c>
      <c r="AQ353" s="14">
        <f ca="1"/>
      </c>
      <c r="AR353" s="14">
        <f ca="1"/>
      </c>
      <c r="AV353" s="14">
        <f ca="1"/>
      </c>
      <c r="AW353" s="14">
        <f ca="1"/>
      </c>
      <c r="AX353" s="14">
        <f ca="1"/>
      </c>
      <c r="AY353" s="14">
        <f ca="1"/>
      </c>
      <c r="AZ353" s="14">
        <f ca="1"/>
      </c>
      <c r="BF353" s="7">
        <f ca="1"/>
      </c>
      <c r="BG353" s="14">
        <f ca="1"/>
      </c>
      <c r="BH353" s="14">
        <f ca="1"/>
      </c>
      <c r="BI353" s="14">
        <f ca="1"/>
      </c>
      <c r="BJ353" s="14">
        <f ca="1"/>
      </c>
      <c r="BK353" s="14">
        <f ca="1"/>
      </c>
    </row>
    <row r="354" spans="28:63" x14ac:dyDescent="0.55000000000000004">
      <c r="AB354">
        <f ca="1"/>
      </c>
      <c r="AC354">
        <f ca="1"/>
      </c>
      <c r="AD354">
        <f ca="1"/>
      </c>
      <c r="AE354">
        <f ca="1"/>
      </c>
      <c r="AF354">
        <f ca="1"/>
      </c>
      <c r="AG354">
        <f ca="1"/>
      </c>
      <c r="AH354">
        <f ca="1"/>
      </c>
      <c r="AL354" s="7">
        <f ca="1"/>
      </c>
      <c r="AM354" s="14">
        <f ca="1"/>
      </c>
      <c r="AN354" s="14">
        <f ca="1"/>
      </c>
      <c r="AO354" s="14">
        <f ca="1"/>
      </c>
      <c r="AP354" s="14">
        <f ca="1"/>
      </c>
      <c r="AQ354" s="14">
        <f ca="1"/>
      </c>
      <c r="AR354" s="14">
        <f ca="1"/>
      </c>
      <c r="AV354" s="14">
        <f ca="1"/>
      </c>
      <c r="AW354" s="14">
        <f ca="1"/>
      </c>
      <c r="AX354" s="14">
        <f ca="1"/>
      </c>
      <c r="AY354" s="14">
        <f ca="1"/>
      </c>
      <c r="AZ354" s="14">
        <f ca="1"/>
      </c>
      <c r="BF354" s="7">
        <f ca="1"/>
      </c>
      <c r="BG354" s="14">
        <f ca="1"/>
      </c>
      <c r="BH354" s="14">
        <f ca="1"/>
      </c>
      <c r="BI354" s="14">
        <f ca="1"/>
      </c>
      <c r="BJ354" s="14">
        <f ca="1"/>
      </c>
      <c r="BK354" s="14">
        <f ca="1"/>
      </c>
    </row>
    <row r="355" spans="28:63" x14ac:dyDescent="0.55000000000000004">
      <c r="AB355">
        <f ca="1"/>
      </c>
      <c r="AC355">
        <f ca="1"/>
      </c>
      <c r="AD355">
        <f ca="1"/>
      </c>
      <c r="AE355">
        <f ca="1"/>
      </c>
      <c r="AF355">
        <f ca="1"/>
      </c>
      <c r="AG355">
        <f ca="1"/>
      </c>
      <c r="AH355">
        <f ca="1"/>
      </c>
      <c r="AL355" s="7">
        <f ca="1"/>
      </c>
      <c r="AM355" s="14">
        <f ca="1"/>
      </c>
      <c r="AN355" s="14">
        <f ca="1"/>
      </c>
      <c r="AO355" s="14">
        <f ca="1"/>
      </c>
      <c r="AP355" s="14">
        <f ca="1"/>
      </c>
      <c r="AQ355" s="14">
        <f ca="1"/>
      </c>
      <c r="AR355" s="14">
        <f ca="1"/>
      </c>
      <c r="AV355" s="14">
        <f ca="1"/>
      </c>
      <c r="AW355" s="14">
        <f ca="1"/>
      </c>
      <c r="AX355" s="14">
        <f ca="1"/>
      </c>
      <c r="AY355" s="14">
        <f ca="1"/>
      </c>
      <c r="AZ355" s="14">
        <f ca="1"/>
      </c>
      <c r="BF355" s="7">
        <f ca="1"/>
      </c>
      <c r="BG355" s="14">
        <f ca="1"/>
      </c>
      <c r="BH355" s="14">
        <f ca="1"/>
      </c>
      <c r="BI355" s="14">
        <f ca="1"/>
      </c>
      <c r="BJ355" s="14">
        <f ca="1"/>
      </c>
      <c r="BK355" s="14">
        <f ca="1"/>
      </c>
    </row>
    <row r="356" spans="28:63" x14ac:dyDescent="0.55000000000000004">
      <c r="AB356">
        <f ca="1"/>
      </c>
      <c r="AC356">
        <f ca="1"/>
      </c>
      <c r="AD356">
        <f ca="1"/>
      </c>
      <c r="AE356">
        <f ca="1"/>
      </c>
      <c r="AF356">
        <f ca="1"/>
      </c>
      <c r="AG356">
        <f ca="1"/>
      </c>
      <c r="AH356">
        <f ca="1"/>
      </c>
      <c r="AL356" s="7">
        <f ca="1"/>
      </c>
      <c r="AM356" s="14">
        <f ca="1"/>
      </c>
      <c r="AN356" s="14">
        <f ca="1"/>
      </c>
      <c r="AO356" s="14">
        <f ca="1"/>
      </c>
      <c r="AP356" s="14">
        <f ca="1"/>
      </c>
      <c r="AQ356" s="14">
        <f ca="1"/>
      </c>
      <c r="AR356" s="14">
        <f ca="1"/>
      </c>
      <c r="AV356" s="14">
        <f ca="1"/>
      </c>
      <c r="AW356" s="14">
        <f ca="1"/>
      </c>
      <c r="AX356" s="14">
        <f ca="1"/>
      </c>
      <c r="AY356" s="14">
        <f ca="1"/>
      </c>
      <c r="AZ356" s="14">
        <f ca="1"/>
      </c>
      <c r="BF356" s="7">
        <f ca="1"/>
      </c>
      <c r="BG356" s="14">
        <f ca="1"/>
      </c>
      <c r="BH356" s="14">
        <f ca="1"/>
      </c>
      <c r="BI356" s="14">
        <f ca="1"/>
      </c>
      <c r="BJ356" s="14">
        <f ca="1"/>
      </c>
      <c r="BK356" s="14">
        <f ca="1"/>
      </c>
    </row>
    <row r="357" spans="28:63" x14ac:dyDescent="0.55000000000000004">
      <c r="AB357">
        <f ca="1"/>
      </c>
      <c r="AC357">
        <f ca="1"/>
      </c>
      <c r="AD357">
        <f ca="1"/>
      </c>
      <c r="AE357">
        <f ca="1"/>
      </c>
      <c r="AF357">
        <f ca="1"/>
      </c>
      <c r="AG357">
        <f ca="1"/>
      </c>
      <c r="AH357">
        <f ca="1"/>
      </c>
      <c r="AL357" s="7">
        <f ca="1"/>
      </c>
      <c r="AM357" s="14">
        <f ca="1"/>
      </c>
      <c r="AN357" s="14">
        <f ca="1"/>
      </c>
      <c r="AO357" s="14">
        <f ca="1"/>
      </c>
      <c r="AP357" s="14">
        <f ca="1"/>
      </c>
      <c r="AQ357" s="14">
        <f ca="1"/>
      </c>
      <c r="AR357" s="14">
        <f ca="1"/>
      </c>
      <c r="AV357" s="14">
        <f ca="1"/>
      </c>
      <c r="AW357" s="14">
        <f ca="1"/>
      </c>
      <c r="AX357" s="14">
        <f ca="1"/>
      </c>
      <c r="AY357" s="14">
        <f ca="1"/>
      </c>
      <c r="AZ357" s="14">
        <f ca="1"/>
      </c>
      <c r="BF357" s="7">
        <f ca="1"/>
      </c>
      <c r="BG357" s="14">
        <f ca="1"/>
      </c>
      <c r="BH357" s="14">
        <f ca="1"/>
      </c>
      <c r="BI357" s="14">
        <f ca="1"/>
      </c>
      <c r="BJ357" s="14">
        <f ca="1"/>
      </c>
      <c r="BK357" s="14">
        <f ca="1"/>
      </c>
    </row>
    <row r="358" spans="28:63" x14ac:dyDescent="0.55000000000000004">
      <c r="AB358">
        <f ca="1"/>
      </c>
      <c r="AC358">
        <f ca="1"/>
      </c>
      <c r="AD358">
        <f ca="1"/>
      </c>
      <c r="AE358">
        <f ca="1"/>
      </c>
      <c r="AF358">
        <f ca="1"/>
      </c>
      <c r="AG358">
        <f ca="1"/>
      </c>
      <c r="AH358">
        <f ca="1"/>
      </c>
      <c r="AL358" s="7">
        <f ca="1"/>
      </c>
      <c r="AM358" s="14">
        <f ca="1"/>
      </c>
      <c r="AN358" s="14">
        <f ca="1"/>
      </c>
      <c r="AO358" s="14">
        <f ca="1"/>
      </c>
      <c r="AP358" s="14">
        <f ca="1"/>
      </c>
      <c r="AQ358" s="14">
        <f ca="1"/>
      </c>
      <c r="AR358" s="14">
        <f ca="1"/>
      </c>
      <c r="AV358" s="14">
        <f ca="1"/>
      </c>
      <c r="AW358" s="14">
        <f ca="1"/>
      </c>
      <c r="AX358" s="14">
        <f ca="1"/>
      </c>
      <c r="AY358" s="14">
        <f ca="1"/>
      </c>
      <c r="AZ358" s="14">
        <f ca="1"/>
      </c>
      <c r="BF358" s="7">
        <f ca="1"/>
      </c>
      <c r="BG358" s="14">
        <f ca="1"/>
      </c>
      <c r="BH358" s="14">
        <f ca="1"/>
      </c>
      <c r="BI358" s="14">
        <f ca="1"/>
      </c>
      <c r="BJ358" s="14">
        <f ca="1"/>
      </c>
      <c r="BK358" s="14">
        <f ca="1"/>
      </c>
    </row>
    <row r="359" spans="28:63" x14ac:dyDescent="0.55000000000000004">
      <c r="AB359">
        <f ca="1"/>
      </c>
      <c r="AC359">
        <f ca="1"/>
      </c>
      <c r="AD359">
        <f ca="1"/>
      </c>
      <c r="AE359">
        <f ca="1"/>
      </c>
      <c r="AF359">
        <f ca="1"/>
      </c>
      <c r="AG359">
        <f ca="1"/>
      </c>
      <c r="AH359">
        <f ca="1"/>
      </c>
      <c r="AL359" s="7">
        <f ca="1"/>
      </c>
      <c r="AM359" s="14">
        <f ca="1"/>
      </c>
      <c r="AN359" s="14">
        <f ca="1"/>
      </c>
      <c r="AO359" s="14">
        <f ca="1"/>
      </c>
      <c r="AP359" s="14">
        <f ca="1"/>
      </c>
      <c r="AQ359" s="14">
        <f ca="1"/>
      </c>
      <c r="AR359" s="14">
        <f ca="1"/>
      </c>
      <c r="AV359" s="14">
        <f ca="1"/>
      </c>
      <c r="AW359" s="14">
        <f ca="1"/>
      </c>
      <c r="AX359" s="14">
        <f ca="1"/>
      </c>
      <c r="AY359" s="14">
        <f ca="1"/>
      </c>
      <c r="AZ359" s="14">
        <f ca="1"/>
      </c>
      <c r="BF359" s="7">
        <f ca="1"/>
      </c>
      <c r="BG359" s="14">
        <f ca="1"/>
      </c>
      <c r="BH359" s="14">
        <f ca="1"/>
      </c>
      <c r="BI359" s="14">
        <f ca="1"/>
      </c>
      <c r="BJ359" s="14">
        <f ca="1"/>
      </c>
      <c r="BK359" s="14">
        <f ca="1"/>
      </c>
    </row>
    <row r="360" spans="28:63" x14ac:dyDescent="0.55000000000000004">
      <c r="AB360">
        <f ca="1"/>
      </c>
      <c r="AC360">
        <f ca="1"/>
      </c>
      <c r="AD360">
        <f ca="1"/>
      </c>
      <c r="AE360">
        <f ca="1"/>
      </c>
      <c r="AF360">
        <f ca="1"/>
      </c>
      <c r="AG360">
        <f ca="1"/>
      </c>
      <c r="AH360">
        <f ca="1"/>
      </c>
      <c r="AL360" s="7">
        <f ca="1"/>
      </c>
      <c r="AM360" s="14">
        <f ca="1"/>
      </c>
      <c r="AN360" s="14">
        <f ca="1"/>
      </c>
      <c r="AO360" s="14">
        <f ca="1"/>
      </c>
      <c r="AP360" s="14">
        <f ca="1"/>
      </c>
      <c r="AQ360" s="14">
        <f ca="1"/>
      </c>
      <c r="AR360" s="14">
        <f ca="1"/>
      </c>
      <c r="AV360" s="14">
        <f ca="1"/>
      </c>
      <c r="AW360" s="14">
        <f ca="1"/>
      </c>
      <c r="AX360" s="14">
        <f ca="1"/>
      </c>
      <c r="AY360" s="14">
        <f ca="1"/>
      </c>
      <c r="AZ360" s="14">
        <f ca="1"/>
      </c>
      <c r="BF360" s="7">
        <f ca="1"/>
      </c>
      <c r="BG360" s="14">
        <f ca="1"/>
      </c>
      <c r="BH360" s="14">
        <f ca="1"/>
      </c>
      <c r="BI360" s="14">
        <f ca="1"/>
      </c>
      <c r="BJ360" s="14">
        <f ca="1"/>
      </c>
      <c r="BK360" s="14">
        <f ca="1"/>
      </c>
    </row>
    <row r="361" spans="28:63" x14ac:dyDescent="0.55000000000000004">
      <c r="AB361">
        <f ca="1"/>
      </c>
      <c r="AC361">
        <f ca="1"/>
      </c>
      <c r="AD361">
        <f ca="1"/>
      </c>
      <c r="AE361">
        <f ca="1"/>
      </c>
      <c r="AF361">
        <f ca="1"/>
      </c>
      <c r="AG361">
        <f ca="1"/>
      </c>
      <c r="AH361">
        <f ca="1"/>
      </c>
      <c r="AL361" s="7">
        <f ca="1"/>
      </c>
      <c r="AM361" s="14">
        <f ca="1"/>
      </c>
      <c r="AN361" s="14">
        <f ca="1"/>
      </c>
      <c r="AO361" s="14">
        <f ca="1"/>
      </c>
      <c r="AP361" s="14">
        <f ca="1"/>
      </c>
      <c r="AQ361" s="14">
        <f ca="1"/>
      </c>
      <c r="AR361" s="14">
        <f ca="1"/>
      </c>
      <c r="AV361" s="14">
        <f ca="1"/>
      </c>
      <c r="AW361" s="14">
        <f ca="1"/>
      </c>
      <c r="AX361" s="14">
        <f ca="1"/>
      </c>
      <c r="AY361" s="14">
        <f ca="1"/>
      </c>
      <c r="AZ361" s="14">
        <f ca="1"/>
      </c>
      <c r="BF361" s="7">
        <f ca="1"/>
      </c>
      <c r="BG361" s="14">
        <f ca="1"/>
      </c>
      <c r="BH361" s="14">
        <f ca="1"/>
      </c>
      <c r="BI361" s="14">
        <f ca="1"/>
      </c>
      <c r="BJ361" s="14">
        <f ca="1"/>
      </c>
      <c r="BK361" s="14">
        <f ca="1"/>
      </c>
    </row>
    <row r="362" spans="28:63" x14ac:dyDescent="0.55000000000000004">
      <c r="AB362">
        <f ca="1"/>
      </c>
      <c r="AC362">
        <f ca="1"/>
      </c>
      <c r="AD362">
        <f ca="1"/>
      </c>
      <c r="AE362">
        <f ca="1"/>
      </c>
      <c r="AF362">
        <f ca="1"/>
      </c>
      <c r="AG362">
        <f ca="1"/>
      </c>
      <c r="AH362">
        <f ca="1"/>
      </c>
      <c r="AL362" s="7">
        <f ca="1"/>
      </c>
      <c r="AM362" s="14">
        <f ca="1"/>
      </c>
      <c r="AN362" s="14">
        <f ca="1"/>
      </c>
      <c r="AO362" s="14">
        <f ca="1"/>
      </c>
      <c r="AP362" s="14">
        <f ca="1"/>
      </c>
      <c r="AQ362" s="14">
        <f ca="1"/>
      </c>
      <c r="AR362" s="14">
        <f ca="1"/>
      </c>
      <c r="AV362" s="14">
        <f ca="1"/>
      </c>
      <c r="AW362" s="14">
        <f ca="1"/>
      </c>
      <c r="AX362" s="14">
        <f ca="1"/>
      </c>
      <c r="AY362" s="14">
        <f ca="1"/>
      </c>
      <c r="AZ362" s="14">
        <f ca="1"/>
      </c>
      <c r="BF362" s="7">
        <f ca="1"/>
      </c>
      <c r="BG362" s="14">
        <f ca="1"/>
      </c>
      <c r="BH362" s="14">
        <f ca="1"/>
      </c>
      <c r="BI362" s="14">
        <f ca="1"/>
      </c>
      <c r="BJ362" s="14">
        <f ca="1"/>
      </c>
      <c r="BK362" s="14">
        <f ca="1"/>
      </c>
    </row>
    <row r="363" spans="28:63" x14ac:dyDescent="0.55000000000000004">
      <c r="AB363">
        <f ca="1"/>
      </c>
      <c r="AC363">
        <f ca="1"/>
      </c>
      <c r="AD363">
        <f ca="1"/>
      </c>
      <c r="AE363">
        <f ca="1"/>
      </c>
      <c r="AF363">
        <f ca="1"/>
      </c>
      <c r="AG363">
        <f ca="1"/>
      </c>
      <c r="AH363">
        <f ca="1"/>
      </c>
      <c r="AL363" s="7">
        <f ca="1"/>
      </c>
      <c r="AM363" s="14">
        <f ca="1"/>
      </c>
      <c r="AN363" s="14">
        <f ca="1"/>
      </c>
      <c r="AO363" s="14">
        <f ca="1"/>
      </c>
      <c r="AP363" s="14">
        <f ca="1"/>
      </c>
      <c r="AQ363" s="14">
        <f ca="1"/>
      </c>
      <c r="AR363" s="14">
        <f ca="1"/>
      </c>
      <c r="AV363" s="14">
        <f ca="1"/>
      </c>
      <c r="AW363" s="14">
        <f ca="1"/>
      </c>
      <c r="AX363" s="14">
        <f ca="1"/>
      </c>
      <c r="AY363" s="14">
        <f ca="1"/>
      </c>
      <c r="AZ363" s="14">
        <f ca="1"/>
      </c>
      <c r="BF363" s="7">
        <f ca="1"/>
      </c>
      <c r="BG363" s="14">
        <f ca="1"/>
      </c>
      <c r="BH363" s="14">
        <f ca="1"/>
      </c>
      <c r="BI363" s="14">
        <f ca="1"/>
      </c>
      <c r="BJ363" s="14">
        <f ca="1"/>
      </c>
      <c r="BK363" s="14">
        <f ca="1"/>
      </c>
    </row>
    <row r="364" spans="28:63" x14ac:dyDescent="0.55000000000000004">
      <c r="AB364">
        <f ca="1"/>
      </c>
      <c r="AC364">
        <f ca="1"/>
      </c>
      <c r="AD364">
        <f ca="1"/>
      </c>
      <c r="AE364">
        <f ca="1"/>
      </c>
      <c r="AF364">
        <f ca="1"/>
      </c>
      <c r="AG364">
        <f ca="1"/>
      </c>
      <c r="AH364">
        <f ca="1"/>
      </c>
      <c r="AL364" s="7">
        <f ca="1"/>
      </c>
      <c r="AM364" s="14">
        <f ca="1"/>
      </c>
      <c r="AN364" s="14">
        <f ca="1"/>
      </c>
      <c r="AO364" s="14">
        <f ca="1"/>
      </c>
      <c r="AP364" s="14">
        <f ca="1"/>
      </c>
      <c r="AQ364" s="14">
        <f ca="1"/>
      </c>
      <c r="AR364" s="14">
        <f ca="1"/>
      </c>
      <c r="AV364" s="14">
        <f ca="1"/>
      </c>
      <c r="AW364" s="14">
        <f ca="1"/>
      </c>
      <c r="AX364" s="14">
        <f ca="1"/>
      </c>
      <c r="AY364" s="14">
        <f ca="1"/>
      </c>
      <c r="AZ364" s="14">
        <f ca="1"/>
      </c>
      <c r="BF364" s="7">
        <f ca="1"/>
      </c>
      <c r="BG364" s="14">
        <f ca="1"/>
      </c>
      <c r="BH364" s="14">
        <f ca="1"/>
      </c>
      <c r="BI364" s="14">
        <f ca="1"/>
      </c>
      <c r="BJ364" s="14">
        <f ca="1"/>
      </c>
      <c r="BK364" s="14">
        <f ca="1"/>
      </c>
    </row>
    <row r="365" spans="28:63" x14ac:dyDescent="0.55000000000000004">
      <c r="AB365">
        <f ca="1"/>
      </c>
      <c r="AC365">
        <f ca="1"/>
      </c>
      <c r="AD365">
        <f ca="1"/>
      </c>
      <c r="AE365">
        <f ca="1"/>
      </c>
      <c r="AF365">
        <f ca="1"/>
      </c>
      <c r="AG365">
        <f ca="1"/>
      </c>
      <c r="AH365">
        <f ca="1"/>
      </c>
      <c r="AL365" s="7">
        <f ca="1"/>
      </c>
      <c r="AM365" s="14">
        <f ca="1"/>
      </c>
      <c r="AN365" s="14">
        <f ca="1"/>
      </c>
      <c r="AO365" s="14">
        <f ca="1"/>
      </c>
      <c r="AP365" s="14">
        <f ca="1"/>
      </c>
      <c r="AQ365" s="14">
        <f ca="1"/>
      </c>
      <c r="AR365" s="14">
        <f ca="1"/>
      </c>
      <c r="AV365" s="14">
        <f ca="1"/>
      </c>
      <c r="AW365" s="14">
        <f ca="1"/>
      </c>
      <c r="AX365" s="14">
        <f ca="1"/>
      </c>
      <c r="AY365" s="14">
        <f ca="1"/>
      </c>
      <c r="AZ365" s="14">
        <f ca="1"/>
      </c>
      <c r="BF365" s="7">
        <f ca="1"/>
      </c>
      <c r="BG365" s="14">
        <f ca="1"/>
      </c>
      <c r="BH365" s="14">
        <f ca="1"/>
      </c>
      <c r="BI365" s="14">
        <f ca="1"/>
      </c>
      <c r="BJ365" s="14">
        <f ca="1"/>
      </c>
      <c r="BK365" s="14">
        <f ca="1"/>
      </c>
    </row>
    <row r="366" spans="28:63" x14ac:dyDescent="0.55000000000000004">
      <c r="AB366">
        <f ca="1"/>
      </c>
      <c r="AC366">
        <f ca="1"/>
      </c>
      <c r="AD366">
        <f ca="1"/>
      </c>
      <c r="AE366">
        <f ca="1"/>
      </c>
      <c r="AF366">
        <f ca="1"/>
      </c>
      <c r="AG366">
        <f ca="1"/>
      </c>
      <c r="AH366">
        <f ca="1"/>
      </c>
      <c r="AL366" s="7">
        <f ca="1"/>
      </c>
      <c r="AM366" s="14">
        <f ca="1"/>
      </c>
      <c r="AN366" s="14">
        <f ca="1"/>
      </c>
      <c r="AO366" s="14">
        <f ca="1"/>
      </c>
      <c r="AP366" s="14">
        <f ca="1"/>
      </c>
      <c r="AQ366" s="14">
        <f ca="1"/>
      </c>
      <c r="AR366" s="14">
        <f ca="1"/>
      </c>
      <c r="AV366" s="14">
        <f ca="1"/>
      </c>
      <c r="AW366" s="14">
        <f ca="1"/>
      </c>
      <c r="AX366" s="14">
        <f ca="1"/>
      </c>
      <c r="AY366" s="14">
        <f ca="1"/>
      </c>
      <c r="AZ366" s="14">
        <f ca="1"/>
      </c>
      <c r="BF366" s="7">
        <f ca="1"/>
      </c>
      <c r="BG366" s="14">
        <f ca="1"/>
      </c>
      <c r="BH366" s="14">
        <f ca="1"/>
      </c>
      <c r="BI366" s="14">
        <f ca="1"/>
      </c>
      <c r="BJ366" s="14">
        <f ca="1"/>
      </c>
      <c r="BK366" s="14">
        <f ca="1"/>
      </c>
    </row>
    <row r="367" spans="28:63" x14ac:dyDescent="0.55000000000000004">
      <c r="AB367">
        <f ca="1"/>
      </c>
      <c r="AC367">
        <f ca="1"/>
      </c>
      <c r="AD367">
        <f ca="1"/>
      </c>
      <c r="AE367">
        <f ca="1"/>
      </c>
      <c r="AF367">
        <f ca="1"/>
      </c>
      <c r="AG367">
        <f ca="1"/>
      </c>
      <c r="AH367">
        <f ca="1"/>
      </c>
      <c r="AL367" s="7">
        <f ca="1"/>
      </c>
      <c r="AM367" s="14">
        <f ca="1"/>
      </c>
      <c r="AN367" s="14">
        <f ca="1"/>
      </c>
      <c r="AO367" s="14">
        <f ca="1"/>
      </c>
      <c r="AP367" s="14">
        <f ca="1"/>
      </c>
      <c r="AQ367" s="14">
        <f ca="1"/>
      </c>
      <c r="AR367" s="14">
        <f ca="1"/>
      </c>
      <c r="AV367" s="14">
        <f ca="1"/>
      </c>
      <c r="AW367" s="14">
        <f ca="1"/>
      </c>
      <c r="AX367" s="14">
        <f ca="1"/>
      </c>
      <c r="AY367" s="14">
        <f ca="1"/>
      </c>
      <c r="AZ367" s="14">
        <f ca="1"/>
      </c>
      <c r="BF367" s="7">
        <f ca="1"/>
      </c>
      <c r="BG367" s="14">
        <f ca="1"/>
      </c>
      <c r="BH367" s="14">
        <f ca="1"/>
      </c>
      <c r="BI367" s="14">
        <f ca="1"/>
      </c>
      <c r="BJ367" s="14">
        <f ca="1"/>
      </c>
      <c r="BK367" s="14">
        <f ca="1"/>
      </c>
    </row>
    <row r="368" spans="28:63" x14ac:dyDescent="0.55000000000000004">
      <c r="AB368">
        <f ca="1"/>
      </c>
      <c r="AC368">
        <f ca="1"/>
      </c>
      <c r="AD368">
        <f ca="1"/>
      </c>
      <c r="AE368">
        <f ca="1"/>
      </c>
      <c r="AF368">
        <f ca="1"/>
      </c>
      <c r="AG368">
        <f ca="1"/>
      </c>
      <c r="AH368">
        <f ca="1"/>
      </c>
      <c r="AL368" s="7">
        <f ca="1"/>
      </c>
      <c r="AM368" s="14">
        <f ca="1"/>
      </c>
      <c r="AN368" s="14">
        <f ca="1"/>
      </c>
      <c r="AO368" s="14">
        <f ca="1"/>
      </c>
      <c r="AP368" s="14">
        <f ca="1"/>
      </c>
      <c r="AQ368" s="14">
        <f ca="1"/>
      </c>
      <c r="AR368" s="14">
        <f ca="1"/>
      </c>
      <c r="AV368" s="14">
        <f ca="1"/>
      </c>
      <c r="AW368" s="14">
        <f ca="1"/>
      </c>
      <c r="AX368" s="14">
        <f ca="1"/>
      </c>
      <c r="AY368" s="14">
        <f ca="1"/>
      </c>
      <c r="AZ368" s="14">
        <f ca="1"/>
      </c>
      <c r="BF368" s="7">
        <f ca="1"/>
      </c>
      <c r="BG368" s="14">
        <f ca="1"/>
      </c>
      <c r="BH368" s="14">
        <f ca="1"/>
      </c>
      <c r="BI368" s="14">
        <f ca="1"/>
      </c>
      <c r="BJ368" s="14">
        <f ca="1"/>
      </c>
      <c r="BK368" s="14">
        <f ca="1"/>
      </c>
    </row>
    <row r="369" spans="28:63" x14ac:dyDescent="0.55000000000000004">
      <c r="AB369">
        <f ca="1"/>
      </c>
      <c r="AC369">
        <f ca="1"/>
      </c>
      <c r="AD369">
        <f ca="1"/>
      </c>
      <c r="AE369">
        <f ca="1"/>
      </c>
      <c r="AF369">
        <f ca="1"/>
      </c>
      <c r="AG369">
        <f ca="1"/>
      </c>
      <c r="AH369">
        <f ca="1"/>
      </c>
      <c r="AL369" s="7">
        <f ca="1"/>
      </c>
      <c r="AM369" s="14">
        <f ca="1"/>
      </c>
      <c r="AN369" s="14">
        <f ca="1"/>
      </c>
      <c r="AO369" s="14">
        <f ca="1"/>
      </c>
      <c r="AP369" s="14">
        <f ca="1"/>
      </c>
      <c r="AQ369" s="14">
        <f ca="1"/>
      </c>
      <c r="AR369" s="14">
        <f ca="1"/>
      </c>
      <c r="AV369" s="14">
        <f ca="1"/>
      </c>
      <c r="AW369" s="14">
        <f ca="1"/>
      </c>
      <c r="AX369" s="14">
        <f ca="1"/>
      </c>
      <c r="AY369" s="14">
        <f ca="1"/>
      </c>
      <c r="AZ369" s="14">
        <f ca="1"/>
      </c>
      <c r="BF369" s="7">
        <f ca="1"/>
      </c>
      <c r="BG369" s="14">
        <f ca="1"/>
      </c>
      <c r="BH369" s="14">
        <f ca="1"/>
      </c>
      <c r="BI369" s="14">
        <f ca="1"/>
      </c>
      <c r="BJ369" s="14">
        <f ca="1"/>
      </c>
      <c r="BK369" s="14">
        <f ca="1"/>
      </c>
    </row>
    <row r="370" spans="28:63" x14ac:dyDescent="0.55000000000000004">
      <c r="AB370">
        <f ca="1"/>
      </c>
      <c r="AC370">
        <f ca="1"/>
      </c>
      <c r="AD370">
        <f ca="1"/>
      </c>
      <c r="AE370">
        <f ca="1"/>
      </c>
      <c r="AF370">
        <f ca="1"/>
      </c>
      <c r="AG370">
        <f ca="1"/>
      </c>
      <c r="AH370">
        <f ca="1"/>
      </c>
      <c r="AL370" s="7">
        <f ca="1"/>
      </c>
      <c r="AM370" s="14">
        <f ca="1"/>
      </c>
      <c r="AN370" s="14">
        <f ca="1"/>
      </c>
      <c r="AO370" s="14">
        <f ca="1"/>
      </c>
      <c r="AP370" s="14">
        <f ca="1"/>
      </c>
      <c r="AQ370" s="14">
        <f ca="1"/>
      </c>
      <c r="AR370" s="14">
        <f ca="1"/>
      </c>
      <c r="AV370" s="14">
        <f ca="1"/>
      </c>
      <c r="AW370" s="14">
        <f ca="1"/>
      </c>
      <c r="AX370" s="14">
        <f ca="1"/>
      </c>
      <c r="AY370" s="14">
        <f ca="1"/>
      </c>
      <c r="AZ370" s="14">
        <f ca="1"/>
      </c>
      <c r="BF370" s="7">
        <f ca="1"/>
      </c>
      <c r="BG370" s="14">
        <f ca="1"/>
      </c>
      <c r="BH370" s="14">
        <f ca="1"/>
      </c>
      <c r="BI370" s="14">
        <f ca="1"/>
      </c>
      <c r="BJ370" s="14">
        <f ca="1"/>
      </c>
      <c r="BK370" s="14">
        <f ca="1"/>
      </c>
    </row>
    <row r="371" spans="28:63" x14ac:dyDescent="0.55000000000000004">
      <c r="AB371">
        <f ca="1"/>
      </c>
      <c r="AC371">
        <f ca="1"/>
      </c>
      <c r="AD371">
        <f ca="1"/>
      </c>
      <c r="AE371">
        <f ca="1"/>
      </c>
      <c r="AF371">
        <f ca="1"/>
      </c>
      <c r="AG371">
        <f ca="1"/>
      </c>
      <c r="AH371">
        <f ca="1"/>
      </c>
      <c r="AL371" s="7">
        <f ca="1"/>
      </c>
      <c r="AM371" s="14">
        <f ca="1"/>
      </c>
      <c r="AN371" s="14">
        <f ca="1"/>
      </c>
      <c r="AO371" s="14">
        <f ca="1"/>
      </c>
      <c r="AP371" s="14">
        <f ca="1"/>
      </c>
      <c r="AQ371" s="14">
        <f ca="1"/>
      </c>
      <c r="AR371" s="14">
        <f ca="1"/>
      </c>
      <c r="AV371" s="14">
        <f ca="1"/>
      </c>
      <c r="AW371" s="14">
        <f ca="1"/>
      </c>
      <c r="AX371" s="14">
        <f ca="1"/>
      </c>
      <c r="AY371" s="14">
        <f ca="1"/>
      </c>
      <c r="AZ371" s="14">
        <f ca="1"/>
      </c>
      <c r="BF371" s="7">
        <f ca="1"/>
      </c>
      <c r="BG371" s="14">
        <f ca="1"/>
      </c>
      <c r="BH371" s="14">
        <f ca="1"/>
      </c>
      <c r="BI371" s="14">
        <f ca="1"/>
      </c>
      <c r="BJ371" s="14">
        <f ca="1"/>
      </c>
      <c r="BK371" s="14">
        <f ca="1"/>
      </c>
    </row>
    <row r="372" spans="28:63" x14ac:dyDescent="0.55000000000000004">
      <c r="AB372">
        <f ca="1"/>
      </c>
      <c r="AC372">
        <f ca="1"/>
      </c>
      <c r="AD372">
        <f ca="1"/>
      </c>
      <c r="AE372">
        <f ca="1"/>
      </c>
      <c r="AF372">
        <f ca="1"/>
      </c>
      <c r="AG372">
        <f ca="1"/>
      </c>
      <c r="AH372">
        <f ca="1"/>
      </c>
      <c r="AL372" s="7">
        <f ca="1"/>
      </c>
      <c r="AM372" s="14">
        <f ca="1"/>
      </c>
      <c r="AN372" s="14">
        <f ca="1"/>
      </c>
      <c r="AO372" s="14">
        <f ca="1"/>
      </c>
      <c r="AP372" s="14">
        <f ca="1"/>
      </c>
      <c r="AQ372" s="14">
        <f ca="1"/>
      </c>
      <c r="AR372" s="14">
        <f ca="1"/>
      </c>
      <c r="AV372" s="14">
        <f ca="1"/>
      </c>
      <c r="AW372" s="14">
        <f ca="1"/>
      </c>
      <c r="AX372" s="14">
        <f ca="1"/>
      </c>
      <c r="AY372" s="14">
        <f ca="1"/>
      </c>
      <c r="AZ372" s="14">
        <f ca="1"/>
      </c>
      <c r="BF372" s="7">
        <f ca="1"/>
      </c>
      <c r="BG372" s="14">
        <f ca="1"/>
      </c>
      <c r="BH372" s="14">
        <f ca="1"/>
      </c>
      <c r="BI372" s="14">
        <f ca="1"/>
      </c>
      <c r="BJ372" s="14">
        <f ca="1"/>
      </c>
      <c r="BK372" s="14">
        <f ca="1"/>
      </c>
    </row>
    <row r="373" spans="28:63" x14ac:dyDescent="0.55000000000000004">
      <c r="AB373">
        <f ca="1"/>
      </c>
      <c r="AC373">
        <f ca="1"/>
      </c>
      <c r="AD373">
        <f ca="1"/>
      </c>
      <c r="AE373">
        <f ca="1"/>
      </c>
      <c r="AF373">
        <f ca="1"/>
      </c>
      <c r="AG373">
        <f ca="1"/>
      </c>
      <c r="AH373">
        <f ca="1"/>
      </c>
      <c r="AL373" s="7">
        <f ca="1"/>
      </c>
      <c r="AM373" s="14">
        <f ca="1"/>
      </c>
      <c r="AN373" s="14">
        <f ca="1"/>
      </c>
      <c r="AO373" s="14">
        <f ca="1"/>
      </c>
      <c r="AP373" s="14">
        <f ca="1"/>
      </c>
      <c r="AQ373" s="14">
        <f ca="1"/>
      </c>
      <c r="AR373" s="14">
        <f ca="1"/>
      </c>
      <c r="AV373" s="14">
        <f ca="1"/>
      </c>
      <c r="AW373" s="14">
        <f ca="1"/>
      </c>
      <c r="AX373" s="14">
        <f ca="1"/>
      </c>
      <c r="AY373" s="14">
        <f ca="1"/>
      </c>
      <c r="AZ373" s="14">
        <f ca="1"/>
      </c>
      <c r="BF373" s="7">
        <f ca="1"/>
      </c>
      <c r="BG373" s="14">
        <f ca="1"/>
      </c>
      <c r="BH373" s="14">
        <f ca="1"/>
      </c>
      <c r="BI373" s="14">
        <f ca="1"/>
      </c>
      <c r="BJ373" s="14">
        <f ca="1"/>
      </c>
      <c r="BK373" s="14">
        <f ca="1"/>
      </c>
    </row>
    <row r="374" spans="28:63" x14ac:dyDescent="0.55000000000000004">
      <c r="AB374">
        <f ca="1"/>
      </c>
      <c r="AC374">
        <f ca="1"/>
      </c>
      <c r="AD374">
        <f ca="1"/>
      </c>
      <c r="AE374">
        <f ca="1"/>
      </c>
      <c r="AF374">
        <f ca="1"/>
      </c>
      <c r="AG374">
        <f ca="1"/>
      </c>
      <c r="AH374">
        <f ca="1"/>
      </c>
      <c r="AL374" s="7">
        <f ca="1"/>
      </c>
      <c r="AM374" s="14">
        <f ca="1"/>
      </c>
      <c r="AN374" s="14">
        <f ca="1"/>
      </c>
      <c r="AO374" s="14">
        <f ca="1"/>
      </c>
      <c r="AP374" s="14">
        <f ca="1"/>
      </c>
      <c r="AQ374" s="14">
        <f ca="1"/>
      </c>
      <c r="AR374" s="14">
        <f ca="1"/>
      </c>
      <c r="AV374" s="14">
        <f ca="1"/>
      </c>
      <c r="AW374" s="14">
        <f ca="1"/>
      </c>
      <c r="AX374" s="14">
        <f ca="1"/>
      </c>
      <c r="AY374" s="14">
        <f ca="1"/>
      </c>
      <c r="AZ374" s="14">
        <f ca="1"/>
      </c>
      <c r="BF374" s="7">
        <f ca="1"/>
      </c>
      <c r="BG374" s="14">
        <f ca="1"/>
      </c>
      <c r="BH374" s="14">
        <f ca="1"/>
      </c>
      <c r="BI374" s="14">
        <f ca="1"/>
      </c>
      <c r="BJ374" s="14">
        <f ca="1"/>
      </c>
      <c r="BK374" s="14">
        <f ca="1"/>
      </c>
    </row>
    <row r="375" spans="28:63" x14ac:dyDescent="0.55000000000000004">
      <c r="AB375">
        <f ca="1"/>
      </c>
      <c r="AC375">
        <f ca="1"/>
      </c>
      <c r="AD375">
        <f ca="1"/>
      </c>
      <c r="AE375">
        <f ca="1"/>
      </c>
      <c r="AF375">
        <f ca="1"/>
      </c>
      <c r="AG375">
        <f ca="1"/>
      </c>
      <c r="AH375">
        <f ca="1"/>
      </c>
      <c r="AL375" s="7">
        <f ca="1"/>
      </c>
      <c r="AM375" s="14">
        <f ca="1"/>
      </c>
      <c r="AN375" s="14">
        <f ca="1"/>
      </c>
      <c r="AO375" s="14">
        <f ca="1"/>
      </c>
      <c r="AP375" s="14">
        <f ca="1"/>
      </c>
      <c r="AQ375" s="14">
        <f ca="1"/>
      </c>
      <c r="AR375" s="14">
        <f ca="1"/>
      </c>
      <c r="AV375" s="14">
        <f ca="1"/>
      </c>
      <c r="AW375" s="14">
        <f ca="1"/>
      </c>
      <c r="AX375" s="14">
        <f ca="1"/>
      </c>
      <c r="AY375" s="14">
        <f ca="1"/>
      </c>
      <c r="AZ375" s="14">
        <f ca="1"/>
      </c>
      <c r="BF375" s="7">
        <f ca="1"/>
      </c>
      <c r="BG375" s="14">
        <f ca="1"/>
      </c>
      <c r="BH375" s="14">
        <f ca="1"/>
      </c>
      <c r="BI375" s="14">
        <f ca="1"/>
      </c>
      <c r="BJ375" s="14">
        <f ca="1"/>
      </c>
      <c r="BK375" s="14">
        <f ca="1"/>
      </c>
    </row>
    <row r="376" spans="28:63" x14ac:dyDescent="0.55000000000000004">
      <c r="AB376">
        <f ca="1"/>
      </c>
      <c r="AC376">
        <f ca="1"/>
      </c>
      <c r="AD376">
        <f ca="1"/>
      </c>
      <c r="AE376">
        <f ca="1"/>
      </c>
      <c r="AF376">
        <f ca="1"/>
      </c>
      <c r="AG376">
        <f ca="1"/>
      </c>
      <c r="AH376">
        <f ca="1"/>
      </c>
      <c r="AL376" s="7">
        <f ca="1"/>
      </c>
      <c r="AM376" s="14">
        <f ca="1"/>
      </c>
      <c r="AN376" s="14">
        <f ca="1"/>
      </c>
      <c r="AO376" s="14">
        <f ca="1"/>
      </c>
      <c r="AP376" s="14">
        <f ca="1"/>
      </c>
      <c r="AQ376" s="14">
        <f ca="1"/>
      </c>
      <c r="AR376" s="14">
        <f ca="1"/>
      </c>
      <c r="AV376" s="14">
        <f ca="1"/>
      </c>
      <c r="AW376" s="14">
        <f ca="1"/>
      </c>
      <c r="AX376" s="14">
        <f ca="1"/>
      </c>
      <c r="AY376" s="14">
        <f ca="1"/>
      </c>
      <c r="AZ376" s="14">
        <f ca="1"/>
      </c>
      <c r="BF376" s="7">
        <f ca="1"/>
      </c>
      <c r="BG376" s="14">
        <f ca="1"/>
      </c>
      <c r="BH376" s="14">
        <f ca="1"/>
      </c>
      <c r="BI376" s="14">
        <f ca="1"/>
      </c>
      <c r="BJ376" s="14">
        <f ca="1"/>
      </c>
      <c r="BK376" s="14">
        <f ca="1"/>
      </c>
    </row>
    <row r="377" spans="28:63" x14ac:dyDescent="0.55000000000000004">
      <c r="AB377">
        <f ca="1"/>
      </c>
      <c r="AC377">
        <f ca="1"/>
      </c>
      <c r="AD377">
        <f ca="1"/>
      </c>
      <c r="AE377">
        <f ca="1"/>
      </c>
      <c r="AF377">
        <f ca="1"/>
      </c>
      <c r="AG377">
        <f ca="1"/>
      </c>
      <c r="AH377">
        <f ca="1"/>
      </c>
      <c r="AL377" s="7">
        <f ca="1"/>
      </c>
      <c r="AM377" s="14">
        <f ca="1"/>
      </c>
      <c r="AN377" s="14">
        <f ca="1"/>
      </c>
      <c r="AO377" s="14">
        <f ca="1"/>
      </c>
      <c r="AP377" s="14">
        <f ca="1"/>
      </c>
      <c r="AQ377" s="14">
        <f ca="1"/>
      </c>
      <c r="AR377" s="14">
        <f ca="1"/>
      </c>
      <c r="AV377" s="14">
        <f ca="1"/>
      </c>
      <c r="AW377" s="14">
        <f ca="1"/>
      </c>
      <c r="AX377" s="14">
        <f ca="1"/>
      </c>
      <c r="AY377" s="14">
        <f ca="1"/>
      </c>
      <c r="AZ377" s="14">
        <f ca="1"/>
      </c>
      <c r="BF377" s="7">
        <f ca="1"/>
      </c>
      <c r="BG377" s="14">
        <f ca="1"/>
      </c>
      <c r="BH377" s="14">
        <f ca="1"/>
      </c>
      <c r="BI377" s="14">
        <f ca="1"/>
      </c>
      <c r="BJ377" s="14">
        <f ca="1"/>
      </c>
      <c r="BK377" s="14">
        <f ca="1"/>
      </c>
    </row>
    <row r="378" spans="28:63" x14ac:dyDescent="0.55000000000000004">
      <c r="AB378">
        <f ca="1"/>
      </c>
      <c r="AC378">
        <f ca="1"/>
      </c>
      <c r="AD378">
        <f ca="1"/>
      </c>
      <c r="AE378">
        <f ca="1"/>
      </c>
      <c r="AF378">
        <f ca="1"/>
      </c>
      <c r="AG378">
        <f ca="1"/>
      </c>
      <c r="AH378">
        <f ca="1"/>
      </c>
      <c r="AL378" s="7">
        <f ca="1"/>
      </c>
      <c r="AM378" s="14">
        <f ca="1"/>
      </c>
      <c r="AN378" s="14">
        <f ca="1"/>
      </c>
      <c r="AO378" s="14">
        <f ca="1"/>
      </c>
      <c r="AP378" s="14">
        <f ca="1"/>
      </c>
      <c r="AQ378" s="14">
        <f ca="1"/>
      </c>
      <c r="AR378" s="14">
        <f ca="1"/>
      </c>
      <c r="AV378" s="14">
        <f ca="1"/>
      </c>
      <c r="AW378" s="14">
        <f ca="1"/>
      </c>
      <c r="AX378" s="14">
        <f ca="1"/>
      </c>
      <c r="AY378" s="14">
        <f ca="1"/>
      </c>
      <c r="AZ378" s="14">
        <f ca="1"/>
      </c>
      <c r="BF378" s="7">
        <f ca="1"/>
      </c>
      <c r="BG378" s="14">
        <f ca="1"/>
      </c>
      <c r="BH378" s="14">
        <f ca="1"/>
      </c>
      <c r="BI378" s="14">
        <f ca="1"/>
      </c>
      <c r="BJ378" s="14">
        <f ca="1"/>
      </c>
      <c r="BK378" s="14">
        <f ca="1"/>
      </c>
    </row>
    <row r="379" spans="28:63" x14ac:dyDescent="0.55000000000000004">
      <c r="AB379">
        <f ca="1"/>
      </c>
      <c r="AC379">
        <f ca="1"/>
      </c>
      <c r="AD379">
        <f ca="1"/>
      </c>
      <c r="AE379">
        <f ca="1"/>
      </c>
      <c r="AF379">
        <f ca="1"/>
      </c>
      <c r="AG379">
        <f ca="1"/>
      </c>
      <c r="AH379">
        <f ca="1"/>
      </c>
      <c r="AL379" s="7">
        <f ca="1"/>
      </c>
      <c r="AM379" s="14">
        <f ca="1"/>
      </c>
      <c r="AN379" s="14">
        <f ca="1"/>
      </c>
      <c r="AO379" s="14">
        <f ca="1"/>
      </c>
      <c r="AP379" s="14">
        <f ca="1"/>
      </c>
      <c r="AQ379" s="14">
        <f ca="1"/>
      </c>
      <c r="AR379" s="14">
        <f ca="1"/>
      </c>
      <c r="AV379" s="14">
        <f ca="1"/>
      </c>
      <c r="AW379" s="14">
        <f ca="1"/>
      </c>
      <c r="AX379" s="14">
        <f ca="1"/>
      </c>
      <c r="AY379" s="14">
        <f ca="1"/>
      </c>
      <c r="AZ379" s="14">
        <f ca="1"/>
      </c>
      <c r="BF379" s="7">
        <f ca="1"/>
      </c>
      <c r="BG379" s="14">
        <f ca="1"/>
      </c>
      <c r="BH379" s="14">
        <f ca="1"/>
      </c>
      <c r="BI379" s="14">
        <f ca="1"/>
      </c>
      <c r="BJ379" s="14">
        <f ca="1"/>
      </c>
      <c r="BK379" s="14">
        <f ca="1"/>
      </c>
    </row>
    <row r="380" spans="28:63" x14ac:dyDescent="0.55000000000000004">
      <c r="AB380">
        <f ca="1"/>
      </c>
      <c r="AC380">
        <f ca="1"/>
      </c>
      <c r="AD380">
        <f ca="1"/>
      </c>
      <c r="AE380">
        <f ca="1"/>
      </c>
      <c r="AF380">
        <f ca="1"/>
      </c>
      <c r="AG380">
        <f ca="1"/>
      </c>
      <c r="AH380">
        <f ca="1"/>
      </c>
      <c r="AL380" s="7">
        <f ca="1"/>
      </c>
      <c r="AM380" s="14">
        <f ca="1"/>
      </c>
      <c r="AN380" s="14">
        <f ca="1"/>
      </c>
      <c r="AO380" s="14">
        <f ca="1"/>
      </c>
      <c r="AP380" s="14">
        <f ca="1"/>
      </c>
      <c r="AQ380" s="14">
        <f ca="1"/>
      </c>
      <c r="AR380" s="14">
        <f ca="1"/>
      </c>
      <c r="AV380" s="14">
        <f ca="1"/>
      </c>
      <c r="AW380" s="14">
        <f ca="1"/>
      </c>
      <c r="AX380" s="14">
        <f ca="1"/>
      </c>
      <c r="AY380" s="14">
        <f ca="1"/>
      </c>
      <c r="AZ380" s="14">
        <f ca="1"/>
      </c>
      <c r="BF380" s="7">
        <f ca="1"/>
      </c>
      <c r="BG380" s="14">
        <f ca="1"/>
      </c>
      <c r="BH380" s="14">
        <f ca="1"/>
      </c>
      <c r="BI380" s="14">
        <f ca="1"/>
      </c>
      <c r="BJ380" s="14">
        <f ca="1"/>
      </c>
      <c r="BK380" s="14">
        <f ca="1"/>
      </c>
    </row>
    <row r="381" spans="28:63" x14ac:dyDescent="0.55000000000000004">
      <c r="AB381">
        <f ca="1"/>
      </c>
      <c r="AC381">
        <f ca="1"/>
      </c>
      <c r="AD381">
        <f ca="1"/>
      </c>
      <c r="AE381">
        <f ca="1"/>
      </c>
      <c r="AF381">
        <f ca="1"/>
      </c>
      <c r="AG381">
        <f ca="1"/>
      </c>
      <c r="AH381">
        <f ca="1"/>
      </c>
      <c r="AL381" s="7">
        <f ca="1"/>
      </c>
      <c r="AM381" s="14">
        <f ca="1"/>
      </c>
      <c r="AN381" s="14">
        <f ca="1"/>
      </c>
      <c r="AO381" s="14">
        <f ca="1"/>
      </c>
      <c r="AP381" s="14">
        <f ca="1"/>
      </c>
      <c r="AQ381" s="14">
        <f ca="1"/>
      </c>
      <c r="AR381" s="14">
        <f ca="1"/>
      </c>
      <c r="AV381" s="14">
        <f ca="1"/>
      </c>
      <c r="AW381" s="14">
        <f ca="1"/>
      </c>
      <c r="AX381" s="14">
        <f ca="1"/>
      </c>
      <c r="AY381" s="14">
        <f ca="1"/>
      </c>
      <c r="AZ381" s="14">
        <f ca="1"/>
      </c>
      <c r="BF381" s="7">
        <f ca="1"/>
      </c>
      <c r="BG381" s="14">
        <f ca="1"/>
      </c>
      <c r="BH381" s="14">
        <f ca="1"/>
      </c>
      <c r="BI381" s="14">
        <f ca="1"/>
      </c>
      <c r="BJ381" s="14">
        <f ca="1"/>
      </c>
      <c r="BK381" s="14">
        <f ca="1"/>
      </c>
    </row>
    <row r="382" spans="28:63" x14ac:dyDescent="0.55000000000000004">
      <c r="AB382">
        <f ca="1"/>
      </c>
      <c r="AC382">
        <f ca="1"/>
      </c>
      <c r="AD382">
        <f ca="1"/>
      </c>
      <c r="AE382">
        <f ca="1"/>
      </c>
      <c r="AF382">
        <f ca="1"/>
      </c>
      <c r="AG382">
        <f ca="1"/>
      </c>
      <c r="AH382">
        <f ca="1"/>
      </c>
      <c r="AL382" s="7">
        <f ca="1"/>
      </c>
      <c r="AM382" s="14">
        <f ca="1"/>
      </c>
      <c r="AN382" s="14">
        <f ca="1"/>
      </c>
      <c r="AO382" s="14">
        <f ca="1"/>
      </c>
      <c r="AP382" s="14">
        <f ca="1"/>
      </c>
      <c r="AQ382" s="14">
        <f ca="1"/>
      </c>
      <c r="AR382" s="14">
        <f ca="1"/>
      </c>
      <c r="AV382" s="14">
        <f ca="1"/>
      </c>
      <c r="AW382" s="14">
        <f ca="1"/>
      </c>
      <c r="AX382" s="14">
        <f ca="1"/>
      </c>
      <c r="AY382" s="14">
        <f ca="1"/>
      </c>
      <c r="AZ382" s="14">
        <f ca="1"/>
      </c>
      <c r="BF382" s="7">
        <f ca="1"/>
      </c>
      <c r="BG382" s="14">
        <f ca="1"/>
      </c>
      <c r="BH382" s="14">
        <f ca="1"/>
      </c>
      <c r="BI382" s="14">
        <f ca="1"/>
      </c>
      <c r="BJ382" s="14">
        <f ca="1"/>
      </c>
      <c r="BK382" s="14">
        <f ca="1"/>
      </c>
    </row>
    <row r="383" spans="28:63" x14ac:dyDescent="0.55000000000000004">
      <c r="AB383">
        <f ca="1"/>
      </c>
      <c r="AC383">
        <f ca="1"/>
      </c>
      <c r="AD383">
        <f ca="1"/>
      </c>
      <c r="AE383">
        <f ca="1"/>
      </c>
      <c r="AF383">
        <f ca="1"/>
      </c>
      <c r="AG383">
        <f ca="1"/>
      </c>
      <c r="AH383">
        <f ca="1"/>
      </c>
      <c r="AL383" s="7">
        <f ca="1"/>
      </c>
      <c r="AM383" s="14">
        <f ca="1"/>
      </c>
      <c r="AN383" s="14">
        <f ca="1"/>
      </c>
      <c r="AO383" s="14">
        <f ca="1"/>
      </c>
      <c r="AP383" s="14">
        <f ca="1"/>
      </c>
      <c r="AQ383" s="14">
        <f ca="1"/>
      </c>
      <c r="AR383" s="14">
        <f ca="1"/>
      </c>
      <c r="AV383" s="14">
        <f ca="1"/>
      </c>
      <c r="AW383" s="14">
        <f ca="1"/>
      </c>
      <c r="AX383" s="14">
        <f ca="1"/>
      </c>
      <c r="AY383" s="14">
        <f ca="1"/>
      </c>
      <c r="AZ383" s="14">
        <f ca="1"/>
      </c>
      <c r="BF383" s="7">
        <f ca="1"/>
      </c>
      <c r="BG383" s="14">
        <f ca="1"/>
      </c>
      <c r="BH383" s="14">
        <f ca="1"/>
      </c>
      <c r="BI383" s="14">
        <f ca="1"/>
      </c>
      <c r="BJ383" s="14">
        <f ca="1"/>
      </c>
      <c r="BK383" s="14">
        <f ca="1"/>
      </c>
    </row>
    <row r="384" spans="28:63" x14ac:dyDescent="0.55000000000000004">
      <c r="AB384">
        <f ca="1"/>
      </c>
      <c r="AC384">
        <f ca="1"/>
      </c>
      <c r="AD384">
        <f ca="1"/>
      </c>
      <c r="AE384">
        <f ca="1"/>
      </c>
      <c r="AF384">
        <f ca="1"/>
      </c>
      <c r="AG384">
        <f ca="1"/>
      </c>
      <c r="AH384">
        <f ca="1"/>
      </c>
      <c r="AL384" s="7">
        <f ca="1"/>
      </c>
      <c r="AM384" s="14">
        <f ca="1"/>
      </c>
      <c r="AN384" s="14">
        <f ca="1"/>
      </c>
      <c r="AO384" s="14">
        <f ca="1"/>
      </c>
      <c r="AP384" s="14">
        <f ca="1"/>
      </c>
      <c r="AQ384" s="14">
        <f ca="1"/>
      </c>
      <c r="AR384" s="14">
        <f ca="1"/>
      </c>
      <c r="AV384" s="14">
        <f ca="1"/>
      </c>
      <c r="AW384" s="14">
        <f ca="1"/>
      </c>
      <c r="AX384" s="14">
        <f ca="1"/>
      </c>
      <c r="AY384" s="14">
        <f ca="1"/>
      </c>
      <c r="AZ384" s="14">
        <f ca="1"/>
      </c>
      <c r="BF384" s="7">
        <f ca="1"/>
      </c>
      <c r="BG384" s="14">
        <f ca="1"/>
      </c>
      <c r="BH384" s="14">
        <f ca="1"/>
      </c>
      <c r="BI384" s="14">
        <f ca="1"/>
      </c>
      <c r="BJ384" s="14">
        <f ca="1"/>
      </c>
      <c r="BK384" s="14">
        <f ca="1"/>
      </c>
    </row>
    <row r="385" spans="28:63" x14ac:dyDescent="0.55000000000000004">
      <c r="AB385">
        <f ca="1"/>
      </c>
      <c r="AC385">
        <f ca="1"/>
      </c>
      <c r="AD385">
        <f ca="1"/>
      </c>
      <c r="AE385">
        <f ca="1"/>
      </c>
      <c r="AF385">
        <f ca="1"/>
      </c>
      <c r="AG385">
        <f ca="1"/>
      </c>
      <c r="AH385">
        <f ca="1"/>
      </c>
      <c r="AL385" s="7">
        <f ca="1"/>
      </c>
      <c r="AM385" s="14">
        <f ca="1"/>
      </c>
      <c r="AN385" s="14">
        <f ca="1"/>
      </c>
      <c r="AO385" s="14">
        <f ca="1"/>
      </c>
      <c r="AP385" s="14">
        <f ca="1"/>
      </c>
      <c r="AQ385" s="14">
        <f ca="1"/>
      </c>
      <c r="AR385" s="14">
        <f ca="1"/>
      </c>
      <c r="AV385" s="14">
        <f ca="1"/>
      </c>
      <c r="AW385" s="14">
        <f ca="1"/>
      </c>
      <c r="AX385" s="14">
        <f ca="1"/>
      </c>
      <c r="AY385" s="14">
        <f ca="1"/>
      </c>
      <c r="AZ385" s="14">
        <f ca="1"/>
      </c>
      <c r="BF385" s="7">
        <f ca="1"/>
      </c>
      <c r="BG385" s="14">
        <f ca="1"/>
      </c>
      <c r="BH385" s="14">
        <f ca="1"/>
      </c>
      <c r="BI385" s="14">
        <f ca="1"/>
      </c>
      <c r="BJ385" s="14">
        <f ca="1"/>
      </c>
      <c r="BK385" s="14">
        <f ca="1"/>
      </c>
    </row>
    <row r="386" spans="28:63" x14ac:dyDescent="0.55000000000000004">
      <c r="AB386">
        <f ca="1"/>
      </c>
      <c r="AC386">
        <f ca="1"/>
      </c>
      <c r="AD386">
        <f ca="1"/>
      </c>
      <c r="AE386">
        <f ca="1"/>
      </c>
      <c r="AF386">
        <f ca="1"/>
      </c>
      <c r="AG386">
        <f ca="1"/>
      </c>
      <c r="AH386">
        <f ca="1"/>
      </c>
      <c r="AL386" s="7">
        <f ca="1"/>
      </c>
      <c r="AM386" s="14">
        <f ca="1"/>
      </c>
      <c r="AN386" s="14">
        <f ca="1"/>
      </c>
      <c r="AO386" s="14">
        <f ca="1"/>
      </c>
      <c r="AP386" s="14">
        <f ca="1"/>
      </c>
      <c r="AQ386" s="14">
        <f ca="1"/>
      </c>
      <c r="AR386" s="14">
        <f ca="1"/>
      </c>
      <c r="AV386" s="14">
        <f ca="1"/>
      </c>
      <c r="AW386" s="14">
        <f ca="1"/>
      </c>
      <c r="AX386" s="14">
        <f ca="1"/>
      </c>
      <c r="AY386" s="14">
        <f ca="1"/>
      </c>
      <c r="AZ386" s="14">
        <f ca="1"/>
      </c>
      <c r="BF386" s="7">
        <f ca="1"/>
      </c>
      <c r="BG386" s="14">
        <f ca="1"/>
      </c>
      <c r="BH386" s="14">
        <f ca="1"/>
      </c>
      <c r="BI386" s="14">
        <f ca="1"/>
      </c>
      <c r="BJ386" s="14">
        <f ca="1"/>
      </c>
      <c r="BK386" s="14">
        <f ca="1"/>
      </c>
    </row>
    <row r="387" spans="28:63" x14ac:dyDescent="0.55000000000000004">
      <c r="AB387">
        <f ca="1"/>
      </c>
      <c r="AC387">
        <f ca="1"/>
      </c>
      <c r="AD387">
        <f ca="1"/>
      </c>
      <c r="AE387">
        <f ca="1"/>
      </c>
      <c r="AF387">
        <f ca="1"/>
      </c>
      <c r="AG387">
        <f ca="1"/>
      </c>
      <c r="AH387">
        <f ca="1"/>
      </c>
      <c r="AL387" s="7">
        <f ca="1"/>
      </c>
      <c r="AM387" s="14">
        <f ca="1"/>
      </c>
      <c r="AN387" s="14">
        <f ca="1"/>
      </c>
      <c r="AO387" s="14">
        <f ca="1"/>
      </c>
      <c r="AP387" s="14">
        <f ca="1"/>
      </c>
      <c r="AQ387" s="14">
        <f ca="1"/>
      </c>
      <c r="AR387" s="14">
        <f ca="1"/>
      </c>
      <c r="AV387" s="14">
        <f ca="1"/>
      </c>
      <c r="AW387" s="14">
        <f ca="1"/>
      </c>
      <c r="AX387" s="14">
        <f ca="1"/>
      </c>
      <c r="AY387" s="14">
        <f ca="1"/>
      </c>
      <c r="AZ387" s="14">
        <f ca="1"/>
      </c>
      <c r="BF387" s="7">
        <f ca="1"/>
      </c>
      <c r="BG387" s="14">
        <f ca="1"/>
      </c>
      <c r="BH387" s="14">
        <f ca="1"/>
      </c>
      <c r="BI387" s="14">
        <f ca="1"/>
      </c>
      <c r="BJ387" s="14">
        <f ca="1"/>
      </c>
      <c r="BK387" s="14">
        <f ca="1"/>
      </c>
    </row>
    <row r="388" spans="28:63" x14ac:dyDescent="0.55000000000000004">
      <c r="AB388">
        <f ca="1"/>
      </c>
      <c r="AC388">
        <f ca="1"/>
      </c>
      <c r="AD388">
        <f ca="1"/>
      </c>
      <c r="AE388">
        <f ca="1"/>
      </c>
      <c r="AF388">
        <f ca="1"/>
      </c>
      <c r="AG388">
        <f ca="1"/>
      </c>
      <c r="AH388">
        <f ca="1"/>
      </c>
      <c r="AL388" s="7">
        <f ca="1"/>
      </c>
      <c r="AM388" s="14">
        <f ca="1"/>
      </c>
      <c r="AN388" s="14">
        <f ca="1"/>
      </c>
      <c r="AO388" s="14">
        <f ca="1"/>
      </c>
      <c r="AP388" s="14">
        <f ca="1"/>
      </c>
      <c r="AQ388" s="14">
        <f ca="1"/>
      </c>
      <c r="AR388" s="14">
        <f ca="1"/>
      </c>
      <c r="AV388" s="14">
        <f ca="1"/>
      </c>
      <c r="AW388" s="14">
        <f ca="1"/>
      </c>
      <c r="AX388" s="14">
        <f ca="1"/>
      </c>
      <c r="AY388" s="14">
        <f ca="1"/>
      </c>
      <c r="AZ388" s="14">
        <f ca="1"/>
      </c>
      <c r="BF388" s="7">
        <f ca="1"/>
      </c>
      <c r="BG388" s="14">
        <f ca="1"/>
      </c>
      <c r="BH388" s="14">
        <f ca="1"/>
      </c>
      <c r="BI388" s="14">
        <f ca="1"/>
      </c>
      <c r="BJ388" s="14">
        <f ca="1"/>
      </c>
      <c r="BK388" s="14">
        <f ca="1"/>
      </c>
    </row>
    <row r="389" spans="28:63" x14ac:dyDescent="0.55000000000000004">
      <c r="AB389">
        <f ca="1"/>
      </c>
      <c r="AC389">
        <f ca="1"/>
      </c>
      <c r="AD389">
        <f ca="1"/>
      </c>
      <c r="AE389">
        <f ca="1"/>
      </c>
      <c r="AF389">
        <f ca="1"/>
      </c>
      <c r="AG389">
        <f ca="1"/>
      </c>
      <c r="AH389">
        <f ca="1"/>
      </c>
      <c r="AL389" s="7">
        <f ca="1"/>
      </c>
      <c r="AM389" s="14">
        <f ca="1"/>
      </c>
      <c r="AN389" s="14">
        <f ca="1"/>
      </c>
      <c r="AO389" s="14">
        <f ca="1"/>
      </c>
      <c r="AP389" s="14">
        <f ca="1"/>
      </c>
      <c r="AQ389" s="14">
        <f ca="1"/>
      </c>
      <c r="AR389" s="14">
        <f ca="1"/>
      </c>
      <c r="AV389" s="14">
        <f ca="1"/>
      </c>
      <c r="AW389" s="14">
        <f ca="1"/>
      </c>
      <c r="AX389" s="14">
        <f ca="1"/>
      </c>
      <c r="AY389" s="14">
        <f ca="1"/>
      </c>
      <c r="AZ389" s="14">
        <f ca="1"/>
      </c>
      <c r="BF389" s="7">
        <f ca="1"/>
      </c>
      <c r="BG389" s="14">
        <f ca="1"/>
      </c>
      <c r="BH389" s="14">
        <f ca="1"/>
      </c>
      <c r="BI389" s="14">
        <f ca="1"/>
      </c>
      <c r="BJ389" s="14">
        <f ca="1"/>
      </c>
      <c r="BK389" s="14">
        <f ca="1"/>
      </c>
    </row>
    <row r="390" spans="28:63" x14ac:dyDescent="0.55000000000000004">
      <c r="AB390">
        <f ca="1"/>
      </c>
      <c r="AC390">
        <f ca="1"/>
      </c>
      <c r="AD390">
        <f ca="1"/>
      </c>
      <c r="AE390">
        <f ca="1"/>
      </c>
      <c r="AF390">
        <f ca="1"/>
      </c>
      <c r="AG390">
        <f ca="1"/>
      </c>
      <c r="AH390">
        <f ca="1"/>
      </c>
      <c r="AL390" s="7">
        <f ca="1"/>
      </c>
      <c r="AM390" s="14">
        <f ca="1"/>
      </c>
      <c r="AN390" s="14">
        <f ca="1"/>
      </c>
      <c r="AO390" s="14">
        <f ca="1"/>
      </c>
      <c r="AP390" s="14">
        <f ca="1"/>
      </c>
      <c r="AQ390" s="14">
        <f ca="1"/>
      </c>
      <c r="AR390" s="14">
        <f ca="1"/>
      </c>
      <c r="AV390" s="14">
        <f ca="1"/>
      </c>
      <c r="AW390" s="14">
        <f ca="1"/>
      </c>
      <c r="AX390" s="14">
        <f ca="1"/>
      </c>
      <c r="AY390" s="14">
        <f ca="1"/>
      </c>
      <c r="AZ390" s="14">
        <f ca="1"/>
      </c>
      <c r="BF390" s="7">
        <f ca="1"/>
      </c>
      <c r="BG390" s="14">
        <f ca="1"/>
      </c>
      <c r="BH390" s="14">
        <f ca="1"/>
      </c>
      <c r="BI390" s="14">
        <f ca="1"/>
      </c>
      <c r="BJ390" s="14">
        <f ca="1"/>
      </c>
      <c r="BK390" s="14">
        <f ca="1"/>
      </c>
    </row>
    <row r="391" spans="28:63" x14ac:dyDescent="0.55000000000000004">
      <c r="AB391">
        <f ca="1"/>
      </c>
      <c r="AC391">
        <f ca="1"/>
      </c>
      <c r="AD391">
        <f ca="1"/>
      </c>
      <c r="AE391">
        <f ca="1"/>
      </c>
      <c r="AF391">
        <f ca="1"/>
      </c>
      <c r="AG391">
        <f ca="1"/>
      </c>
      <c r="AH391">
        <f ca="1"/>
      </c>
      <c r="AL391" s="7">
        <f ca="1"/>
      </c>
      <c r="AM391" s="14">
        <f ca="1"/>
      </c>
      <c r="AN391" s="14">
        <f ca="1"/>
      </c>
      <c r="AO391" s="14">
        <f ca="1"/>
      </c>
      <c r="AP391" s="14">
        <f ca="1"/>
      </c>
      <c r="AQ391" s="14">
        <f ca="1"/>
      </c>
      <c r="AR391" s="14">
        <f ca="1"/>
      </c>
      <c r="AV391" s="14">
        <f ca="1"/>
      </c>
      <c r="AW391" s="14">
        <f ca="1"/>
      </c>
      <c r="AX391" s="14">
        <f ca="1"/>
      </c>
      <c r="AY391" s="14">
        <f ca="1"/>
      </c>
      <c r="AZ391" s="14">
        <f ca="1"/>
      </c>
      <c r="BF391" s="7">
        <f ca="1"/>
      </c>
      <c r="BG391" s="14">
        <f ca="1"/>
      </c>
      <c r="BH391" s="14">
        <f ca="1"/>
      </c>
      <c r="BI391" s="14">
        <f ca="1"/>
      </c>
      <c r="BJ391" s="14">
        <f ca="1"/>
      </c>
      <c r="BK391" s="14">
        <f ca="1"/>
      </c>
    </row>
    <row r="392" spans="28:63" x14ac:dyDescent="0.55000000000000004">
      <c r="AB392">
        <f ca="1"/>
      </c>
      <c r="AC392">
        <f ca="1"/>
      </c>
      <c r="AD392">
        <f ca="1"/>
      </c>
      <c r="AE392">
        <f ca="1"/>
      </c>
      <c r="AF392">
        <f ca="1"/>
      </c>
      <c r="AG392">
        <f ca="1"/>
      </c>
      <c r="AH392">
        <f ca="1"/>
      </c>
      <c r="AL392" s="7">
        <f ca="1"/>
      </c>
      <c r="AM392" s="14">
        <f ca="1"/>
      </c>
      <c r="AN392" s="14">
        <f ca="1"/>
      </c>
      <c r="AO392" s="14">
        <f ca="1"/>
      </c>
      <c r="AP392" s="14">
        <f ca="1"/>
      </c>
      <c r="AQ392" s="14">
        <f ca="1"/>
      </c>
      <c r="AR392" s="14">
        <f ca="1"/>
      </c>
      <c r="AV392" s="14">
        <f ca="1"/>
      </c>
      <c r="AW392" s="14">
        <f ca="1"/>
      </c>
      <c r="AX392" s="14">
        <f ca="1"/>
      </c>
      <c r="AY392" s="14">
        <f ca="1"/>
      </c>
      <c r="AZ392" s="14">
        <f ca="1"/>
      </c>
      <c r="BF392" s="7">
        <f ca="1"/>
      </c>
      <c r="BG392" s="14">
        <f ca="1"/>
      </c>
      <c r="BH392" s="14">
        <f ca="1"/>
      </c>
      <c r="BI392" s="14">
        <f ca="1"/>
      </c>
      <c r="BJ392" s="14">
        <f ca="1"/>
      </c>
      <c r="BK392" s="14">
        <f ca="1"/>
      </c>
    </row>
    <row r="393" spans="28:63" x14ac:dyDescent="0.55000000000000004">
      <c r="AB393">
        <f ca="1"/>
      </c>
      <c r="AC393">
        <f ca="1"/>
      </c>
      <c r="AD393">
        <f ca="1"/>
      </c>
      <c r="AE393">
        <f ca="1"/>
      </c>
      <c r="AF393">
        <f ca="1"/>
      </c>
      <c r="AG393">
        <f ca="1"/>
      </c>
      <c r="AH393">
        <f ca="1"/>
      </c>
      <c r="AL393" s="7">
        <f ca="1"/>
      </c>
      <c r="AM393" s="14">
        <f ca="1"/>
      </c>
      <c r="AN393" s="14">
        <f ca="1"/>
      </c>
      <c r="AO393" s="14">
        <f ca="1"/>
      </c>
      <c r="AP393" s="14">
        <f ca="1"/>
      </c>
      <c r="AQ393" s="14">
        <f ca="1"/>
      </c>
      <c r="AR393" s="14">
        <f ca="1"/>
      </c>
      <c r="AV393" s="14">
        <f ca="1"/>
      </c>
      <c r="AW393" s="14">
        <f ca="1"/>
      </c>
      <c r="AX393" s="14">
        <f ca="1"/>
      </c>
      <c r="AY393" s="14">
        <f ca="1"/>
      </c>
      <c r="AZ393" s="14">
        <f ca="1"/>
      </c>
      <c r="BF393" s="7">
        <f ca="1"/>
      </c>
      <c r="BG393" s="14">
        <f ca="1"/>
      </c>
      <c r="BH393" s="14">
        <f ca="1"/>
      </c>
      <c r="BI393" s="14">
        <f ca="1"/>
      </c>
      <c r="BJ393" s="14">
        <f ca="1"/>
      </c>
      <c r="BK393" s="14">
        <f ca="1"/>
      </c>
    </row>
    <row r="394" spans="28:63" x14ac:dyDescent="0.55000000000000004">
      <c r="AB394">
        <f ca="1"/>
      </c>
      <c r="AC394">
        <f ca="1"/>
      </c>
      <c r="AD394">
        <f ca="1"/>
      </c>
      <c r="AE394">
        <f ca="1"/>
      </c>
      <c r="AF394">
        <f ca="1"/>
      </c>
      <c r="AG394">
        <f ca="1"/>
      </c>
      <c r="AH394">
        <f ca="1"/>
      </c>
      <c r="AL394" s="7">
        <f ca="1"/>
      </c>
      <c r="AM394" s="14">
        <f ca="1"/>
      </c>
      <c r="AN394" s="14">
        <f ca="1"/>
      </c>
      <c r="AO394" s="14">
        <f ca="1"/>
      </c>
      <c r="AP394" s="14">
        <f ca="1"/>
      </c>
      <c r="AQ394" s="14">
        <f ca="1"/>
      </c>
      <c r="AR394" s="14">
        <f ca="1"/>
      </c>
      <c r="AV394" s="14">
        <f ca="1"/>
      </c>
      <c r="AW394" s="14">
        <f ca="1"/>
      </c>
      <c r="AX394" s="14">
        <f ca="1"/>
      </c>
      <c r="AY394" s="14">
        <f ca="1"/>
      </c>
      <c r="AZ394" s="14">
        <f ca="1"/>
      </c>
      <c r="BF394" s="7">
        <f ca="1"/>
      </c>
      <c r="BG394" s="14">
        <f ca="1"/>
      </c>
      <c r="BH394" s="14">
        <f ca="1"/>
      </c>
      <c r="BI394" s="14">
        <f ca="1"/>
      </c>
      <c r="BJ394" s="14">
        <f ca="1"/>
      </c>
      <c r="BK394" s="14">
        <f ca="1"/>
      </c>
    </row>
    <row r="395" spans="28:63" x14ac:dyDescent="0.55000000000000004">
      <c r="AB395">
        <f ca="1"/>
      </c>
      <c r="AC395">
        <f ca="1"/>
      </c>
      <c r="AD395">
        <f ca="1"/>
      </c>
      <c r="AE395">
        <f ca="1"/>
      </c>
      <c r="AF395">
        <f ca="1"/>
      </c>
      <c r="AG395">
        <f ca="1"/>
      </c>
      <c r="AH395">
        <f ca="1"/>
      </c>
      <c r="AL395" s="7">
        <f ca="1"/>
      </c>
      <c r="AM395" s="14">
        <f ca="1"/>
      </c>
      <c r="AN395" s="14">
        <f ca="1"/>
      </c>
      <c r="AO395" s="14">
        <f ca="1"/>
      </c>
      <c r="AP395" s="14">
        <f ca="1"/>
      </c>
      <c r="AQ395" s="14">
        <f ca="1"/>
      </c>
      <c r="AR395" s="14">
        <f ca="1"/>
      </c>
      <c r="AV395" s="14">
        <f ca="1"/>
      </c>
      <c r="AW395" s="14">
        <f ca="1"/>
      </c>
      <c r="AX395" s="14">
        <f ca="1"/>
      </c>
      <c r="AY395" s="14">
        <f ca="1"/>
      </c>
      <c r="AZ395" s="14">
        <f ca="1"/>
      </c>
      <c r="BF395" s="7">
        <f ca="1"/>
      </c>
      <c r="BG395" s="14">
        <f ca="1"/>
      </c>
      <c r="BH395" s="14">
        <f ca="1"/>
      </c>
      <c r="BI395" s="14">
        <f ca="1"/>
      </c>
      <c r="BJ395" s="14">
        <f ca="1"/>
      </c>
      <c r="BK395" s="14">
        <f ca="1"/>
      </c>
    </row>
    <row r="396" spans="28:63" x14ac:dyDescent="0.55000000000000004">
      <c r="AB396">
        <f ca="1"/>
      </c>
      <c r="AC396">
        <f ca="1"/>
      </c>
      <c r="AD396">
        <f ca="1"/>
      </c>
      <c r="AE396">
        <f ca="1"/>
      </c>
      <c r="AF396">
        <f ca="1"/>
      </c>
      <c r="AG396">
        <f ca="1"/>
      </c>
      <c r="AH396">
        <f ca="1"/>
      </c>
      <c r="AL396" s="7">
        <f ca="1"/>
      </c>
      <c r="AM396" s="14">
        <f ca="1"/>
      </c>
      <c r="AN396" s="14">
        <f ca="1"/>
      </c>
      <c r="AO396" s="14">
        <f ca="1"/>
      </c>
      <c r="AP396" s="14">
        <f ca="1"/>
      </c>
      <c r="AQ396" s="14">
        <f ca="1"/>
      </c>
      <c r="AR396" s="14">
        <f ca="1"/>
      </c>
      <c r="AV396" s="14">
        <f ca="1"/>
      </c>
      <c r="AW396" s="14">
        <f ca="1"/>
      </c>
      <c r="AX396" s="14">
        <f ca="1"/>
      </c>
      <c r="AY396" s="14">
        <f ca="1"/>
      </c>
      <c r="AZ396" s="14">
        <f ca="1"/>
      </c>
      <c r="BF396" s="7">
        <f ca="1"/>
      </c>
      <c r="BG396" s="14">
        <f ca="1"/>
      </c>
      <c r="BH396" s="14">
        <f ca="1"/>
      </c>
      <c r="BI396" s="14">
        <f ca="1"/>
      </c>
      <c r="BJ396" s="14">
        <f ca="1"/>
      </c>
      <c r="BK396" s="14">
        <f ca="1"/>
      </c>
    </row>
    <row r="397" spans="28:63" x14ac:dyDescent="0.55000000000000004">
      <c r="AB397">
        <f ca="1"/>
      </c>
      <c r="AC397">
        <f ca="1"/>
      </c>
      <c r="AD397">
        <f ca="1"/>
      </c>
      <c r="AE397">
        <f ca="1"/>
      </c>
      <c r="AF397">
        <f ca="1"/>
      </c>
      <c r="AG397">
        <f ca="1"/>
      </c>
      <c r="AH397">
        <f ca="1"/>
      </c>
      <c r="AL397" s="7">
        <f ca="1"/>
      </c>
      <c r="AM397" s="14">
        <f ca="1"/>
      </c>
      <c r="AN397" s="14">
        <f ca="1"/>
      </c>
      <c r="AO397" s="14">
        <f ca="1"/>
      </c>
      <c r="AP397" s="14">
        <f ca="1"/>
      </c>
      <c r="AQ397" s="14">
        <f ca="1"/>
      </c>
      <c r="AR397" s="14">
        <f ca="1"/>
      </c>
      <c r="AV397" s="14">
        <f ca="1"/>
      </c>
      <c r="AW397" s="14">
        <f ca="1"/>
      </c>
      <c r="AX397" s="14">
        <f ca="1"/>
      </c>
      <c r="AY397" s="14">
        <f ca="1"/>
      </c>
      <c r="AZ397" s="14">
        <f ca="1"/>
      </c>
      <c r="BF397" s="7">
        <f ca="1"/>
      </c>
      <c r="BG397" s="14">
        <f ca="1"/>
      </c>
      <c r="BH397" s="14">
        <f ca="1"/>
      </c>
      <c r="BI397" s="14">
        <f ca="1"/>
      </c>
      <c r="BJ397" s="14">
        <f ca="1"/>
      </c>
      <c r="BK397" s="14">
        <f ca="1"/>
      </c>
    </row>
    <row r="398" spans="28:63" x14ac:dyDescent="0.55000000000000004">
      <c r="AB398">
        <f ca="1"/>
      </c>
      <c r="AC398">
        <f ca="1"/>
      </c>
      <c r="AD398">
        <f ca="1"/>
      </c>
      <c r="AE398">
        <f ca="1"/>
      </c>
      <c r="AF398">
        <f ca="1"/>
      </c>
      <c r="AG398">
        <f ca="1"/>
      </c>
      <c r="AH398">
        <f ca="1"/>
      </c>
      <c r="AL398" s="7">
        <f ca="1"/>
      </c>
      <c r="AM398" s="14">
        <f ca="1"/>
      </c>
      <c r="AN398" s="14">
        <f ca="1"/>
      </c>
      <c r="AO398" s="14">
        <f ca="1"/>
      </c>
      <c r="AP398" s="14">
        <f ca="1"/>
      </c>
      <c r="AQ398" s="14">
        <f ca="1"/>
      </c>
      <c r="AR398" s="14">
        <f ca="1"/>
      </c>
      <c r="AV398" s="14">
        <f ca="1"/>
      </c>
      <c r="AW398" s="14">
        <f ca="1"/>
      </c>
      <c r="AX398" s="14">
        <f ca="1"/>
      </c>
      <c r="AY398" s="14">
        <f ca="1"/>
      </c>
      <c r="AZ398" s="14">
        <f ca="1"/>
      </c>
      <c r="BF398" s="7">
        <f ca="1"/>
      </c>
      <c r="BG398" s="14">
        <f ca="1"/>
      </c>
      <c r="BH398" s="14">
        <f ca="1"/>
      </c>
      <c r="BI398" s="14">
        <f ca="1"/>
      </c>
      <c r="BJ398" s="14">
        <f ca="1"/>
      </c>
      <c r="BK398" s="14">
        <f ca="1"/>
      </c>
    </row>
    <row r="399" spans="28:63" x14ac:dyDescent="0.55000000000000004">
      <c r="AB399">
        <f ca="1"/>
      </c>
      <c r="AC399">
        <f ca="1"/>
      </c>
      <c r="AD399">
        <f ca="1"/>
      </c>
      <c r="AE399">
        <f ca="1"/>
      </c>
      <c r="AF399">
        <f ca="1"/>
      </c>
      <c r="AG399">
        <f ca="1"/>
      </c>
      <c r="AH399">
        <f ca="1"/>
      </c>
      <c r="AL399" s="7">
        <f ca="1"/>
      </c>
      <c r="AM399" s="14">
        <f ca="1"/>
      </c>
      <c r="AN399" s="14">
        <f ca="1"/>
      </c>
      <c r="AO399" s="14">
        <f ca="1"/>
      </c>
      <c r="AP399" s="14">
        <f ca="1"/>
      </c>
      <c r="AQ399" s="14">
        <f ca="1"/>
      </c>
      <c r="AR399" s="14">
        <f ca="1"/>
      </c>
      <c r="AV399" s="14">
        <f ca="1"/>
      </c>
      <c r="AW399" s="14">
        <f ca="1"/>
      </c>
      <c r="AX399" s="14">
        <f ca="1"/>
      </c>
      <c r="AY399" s="14">
        <f ca="1"/>
      </c>
      <c r="AZ399" s="14">
        <f ca="1"/>
      </c>
      <c r="BF399" s="7">
        <f ca="1"/>
      </c>
      <c r="BG399" s="14">
        <f ca="1"/>
      </c>
      <c r="BH399" s="14">
        <f ca="1"/>
      </c>
      <c r="BI399" s="14">
        <f ca="1"/>
      </c>
      <c r="BJ399" s="14">
        <f ca="1"/>
      </c>
      <c r="BK399" s="14">
        <f ca="1"/>
      </c>
    </row>
    <row r="400" spans="28:63" x14ac:dyDescent="0.55000000000000004">
      <c r="AB400">
        <f ca="1"/>
      </c>
      <c r="AC400">
        <f ca="1"/>
      </c>
      <c r="AD400">
        <f ca="1"/>
      </c>
      <c r="AE400">
        <f ca="1"/>
      </c>
      <c r="AF400">
        <f ca="1"/>
      </c>
      <c r="AG400">
        <f ca="1"/>
      </c>
      <c r="AH400">
        <f ca="1"/>
      </c>
      <c r="AL400" s="7">
        <f ca="1"/>
      </c>
      <c r="AM400" s="14">
        <f ca="1"/>
      </c>
      <c r="AN400" s="14">
        <f ca="1"/>
      </c>
      <c r="AO400" s="14">
        <f ca="1"/>
      </c>
      <c r="AP400" s="14">
        <f ca="1"/>
      </c>
      <c r="AQ400" s="14">
        <f ca="1"/>
      </c>
      <c r="AR400" s="14">
        <f ca="1"/>
      </c>
      <c r="AV400" s="14">
        <f ca="1"/>
      </c>
      <c r="AW400" s="14">
        <f ca="1"/>
      </c>
      <c r="AX400" s="14">
        <f ca="1"/>
      </c>
      <c r="AY400" s="14">
        <f ca="1"/>
      </c>
      <c r="AZ400" s="14">
        <f ca="1"/>
      </c>
      <c r="BF400" s="7">
        <f ca="1"/>
      </c>
      <c r="BG400" s="14">
        <f ca="1"/>
      </c>
      <c r="BH400" s="14">
        <f ca="1"/>
      </c>
      <c r="BI400" s="14">
        <f ca="1"/>
      </c>
      <c r="BJ400" s="14">
        <f ca="1"/>
      </c>
      <c r="BK400" s="14">
        <f ca="1"/>
      </c>
    </row>
    <row r="401" spans="28:63" x14ac:dyDescent="0.55000000000000004">
      <c r="AB401">
        <f ca="1"/>
      </c>
      <c r="AC401">
        <f ca="1"/>
      </c>
      <c r="AD401">
        <f ca="1"/>
      </c>
      <c r="AE401">
        <f ca="1"/>
      </c>
      <c r="AF401">
        <f ca="1"/>
      </c>
      <c r="AG401">
        <f ca="1"/>
      </c>
      <c r="AH401">
        <f ca="1"/>
      </c>
      <c r="AL401" s="7">
        <f ca="1"/>
      </c>
      <c r="AM401" s="14">
        <f ca="1"/>
      </c>
      <c r="AN401" s="14">
        <f ca="1"/>
      </c>
      <c r="AO401" s="14">
        <f ca="1"/>
      </c>
      <c r="AP401" s="14">
        <f ca="1"/>
      </c>
      <c r="AQ401" s="14">
        <f ca="1"/>
      </c>
      <c r="AR401" s="14">
        <f ca="1"/>
      </c>
      <c r="AV401" s="14">
        <f ca="1"/>
      </c>
      <c r="AW401" s="14">
        <f ca="1"/>
      </c>
      <c r="AX401" s="14">
        <f ca="1"/>
      </c>
      <c r="AY401" s="14">
        <f ca="1"/>
      </c>
      <c r="AZ401" s="14">
        <f ca="1"/>
      </c>
      <c r="BF401" s="7">
        <f ca="1"/>
      </c>
      <c r="BG401" s="14">
        <f ca="1"/>
      </c>
      <c r="BH401" s="14">
        <f ca="1"/>
      </c>
      <c r="BI401" s="14">
        <f ca="1"/>
      </c>
      <c r="BJ401" s="14">
        <f ca="1"/>
      </c>
      <c r="BK401" s="14">
        <f ca="1"/>
      </c>
    </row>
    <row r="402" spans="28:63" x14ac:dyDescent="0.55000000000000004">
      <c r="AB402">
        <f ca="1"/>
      </c>
      <c r="AC402">
        <f ca="1"/>
      </c>
      <c r="AD402">
        <f ca="1"/>
      </c>
      <c r="AE402">
        <f ca="1"/>
      </c>
      <c r="AF402">
        <f ca="1"/>
      </c>
      <c r="AG402">
        <f ca="1"/>
      </c>
      <c r="AH402">
        <f ca="1"/>
      </c>
      <c r="AL402" s="7">
        <f ca="1"/>
      </c>
      <c r="AM402" s="14">
        <f ca="1"/>
      </c>
      <c r="AN402" s="14">
        <f ca="1"/>
      </c>
      <c r="AO402" s="14">
        <f ca="1"/>
      </c>
      <c r="AP402" s="14">
        <f ca="1"/>
      </c>
      <c r="AQ402" s="14">
        <f ca="1"/>
      </c>
      <c r="AR402" s="14">
        <f ca="1"/>
      </c>
      <c r="AV402" s="14">
        <f ca="1"/>
      </c>
      <c r="AW402" s="14">
        <f ca="1"/>
      </c>
      <c r="AX402" s="14">
        <f ca="1"/>
      </c>
      <c r="AY402" s="14">
        <f ca="1"/>
      </c>
      <c r="AZ402" s="14">
        <f ca="1"/>
      </c>
      <c r="BF402" s="7">
        <f ca="1"/>
      </c>
      <c r="BG402" s="14">
        <f ca="1"/>
      </c>
      <c r="BH402" s="14">
        <f ca="1"/>
      </c>
      <c r="BI402" s="14">
        <f ca="1"/>
      </c>
      <c r="BJ402" s="14">
        <f ca="1"/>
      </c>
      <c r="BK402" s="14">
        <f ca="1"/>
      </c>
    </row>
    <row r="403" spans="28:63" x14ac:dyDescent="0.55000000000000004">
      <c r="AB403">
        <f ca="1"/>
      </c>
      <c r="AC403">
        <f ca="1"/>
      </c>
      <c r="AD403">
        <f ca="1"/>
      </c>
      <c r="AE403">
        <f ca="1"/>
      </c>
      <c r="AF403">
        <f ca="1"/>
      </c>
      <c r="AG403">
        <f ca="1"/>
      </c>
      <c r="AH403">
        <f ca="1"/>
      </c>
      <c r="AL403" s="7">
        <f ca="1"/>
      </c>
      <c r="AM403" s="14">
        <f ca="1"/>
      </c>
      <c r="AN403" s="14">
        <f ca="1"/>
      </c>
      <c r="AO403" s="14">
        <f ca="1"/>
      </c>
      <c r="AP403" s="14">
        <f ca="1"/>
      </c>
      <c r="AQ403" s="14">
        <f ca="1"/>
      </c>
      <c r="AR403" s="14">
        <f ca="1"/>
      </c>
      <c r="AV403" s="14">
        <f ca="1"/>
      </c>
      <c r="AW403" s="14">
        <f ca="1"/>
      </c>
      <c r="AX403" s="14">
        <f ca="1"/>
      </c>
      <c r="AY403" s="14">
        <f ca="1"/>
      </c>
      <c r="AZ403" s="14">
        <f ca="1"/>
      </c>
      <c r="BF403" s="7">
        <f ca="1"/>
      </c>
      <c r="BG403" s="14">
        <f ca="1"/>
      </c>
      <c r="BH403" s="14">
        <f ca="1"/>
      </c>
      <c r="BI403" s="14">
        <f ca="1"/>
      </c>
      <c r="BJ403" s="14">
        <f ca="1"/>
      </c>
      <c r="BK403" s="14">
        <f ca="1"/>
      </c>
    </row>
    <row r="404" spans="28:63" x14ac:dyDescent="0.55000000000000004">
      <c r="AB404">
        <f ca="1"/>
      </c>
      <c r="AC404">
        <f ca="1"/>
      </c>
      <c r="AD404">
        <f ca="1"/>
      </c>
      <c r="AE404">
        <f ca="1"/>
      </c>
      <c r="AF404">
        <f ca="1"/>
      </c>
      <c r="AG404">
        <f ca="1"/>
      </c>
      <c r="AH404">
        <f ca="1"/>
      </c>
      <c r="AL404" s="7">
        <f ca="1"/>
      </c>
      <c r="AM404" s="14">
        <f ca="1"/>
      </c>
      <c r="AN404" s="14">
        <f ca="1"/>
      </c>
      <c r="AO404" s="14">
        <f ca="1"/>
      </c>
      <c r="AP404" s="14">
        <f ca="1"/>
      </c>
      <c r="AQ404" s="14">
        <f ca="1"/>
      </c>
      <c r="AR404" s="14">
        <f ca="1"/>
      </c>
      <c r="AV404" s="14">
        <f ca="1"/>
      </c>
      <c r="AW404" s="14">
        <f ca="1"/>
      </c>
      <c r="AX404" s="14">
        <f ca="1"/>
      </c>
      <c r="AY404" s="14">
        <f ca="1"/>
      </c>
      <c r="AZ404" s="14">
        <f ca="1"/>
      </c>
      <c r="BF404" s="7">
        <f ca="1"/>
      </c>
      <c r="BG404" s="14">
        <f ca="1"/>
      </c>
      <c r="BH404" s="14">
        <f ca="1"/>
      </c>
      <c r="BI404" s="14">
        <f ca="1"/>
      </c>
      <c r="BJ404" s="14">
        <f ca="1"/>
      </c>
      <c r="BK404" s="14">
        <f ca="1"/>
      </c>
    </row>
    <row r="405" spans="28:63" x14ac:dyDescent="0.55000000000000004">
      <c r="AB405">
        <f ca="1"/>
      </c>
      <c r="AC405">
        <f ca="1"/>
      </c>
      <c r="AD405">
        <f ca="1"/>
      </c>
      <c r="AE405">
        <f ca="1"/>
      </c>
      <c r="AF405">
        <f ca="1"/>
      </c>
      <c r="AG405">
        <f ca="1"/>
      </c>
      <c r="AH405">
        <f ca="1"/>
      </c>
      <c r="AL405" s="7">
        <f ca="1"/>
      </c>
      <c r="AM405" s="14">
        <f ca="1"/>
      </c>
      <c r="AN405" s="14">
        <f ca="1"/>
      </c>
      <c r="AO405" s="14">
        <f ca="1"/>
      </c>
      <c r="AP405" s="14">
        <f ca="1"/>
      </c>
      <c r="AQ405" s="14">
        <f ca="1"/>
      </c>
      <c r="AR405" s="14">
        <f ca="1"/>
      </c>
      <c r="AV405" s="14">
        <f ca="1"/>
      </c>
      <c r="AW405" s="14">
        <f ca="1"/>
      </c>
      <c r="AX405" s="14">
        <f ca="1"/>
      </c>
      <c r="AY405" s="14">
        <f ca="1"/>
      </c>
      <c r="AZ405" s="14">
        <f ca="1"/>
      </c>
      <c r="BF405" s="7">
        <f ca="1"/>
      </c>
      <c r="BG405" s="14">
        <f ca="1"/>
      </c>
      <c r="BH405" s="14">
        <f ca="1"/>
      </c>
      <c r="BI405" s="14">
        <f ca="1"/>
      </c>
      <c r="BJ405" s="14">
        <f ca="1"/>
      </c>
      <c r="BK405" s="14">
        <f ca="1"/>
      </c>
    </row>
    <row r="406" spans="28:63" x14ac:dyDescent="0.55000000000000004">
      <c r="AB406">
        <f ca="1"/>
      </c>
      <c r="AC406">
        <f ca="1"/>
      </c>
      <c r="AD406">
        <f ca="1"/>
      </c>
      <c r="AE406">
        <f ca="1"/>
      </c>
      <c r="AF406">
        <f ca="1"/>
      </c>
      <c r="AG406">
        <f ca="1"/>
      </c>
      <c r="AH406">
        <f ca="1"/>
      </c>
      <c r="AL406" s="7">
        <f ca="1"/>
      </c>
      <c r="AM406" s="14">
        <f ca="1"/>
      </c>
      <c r="AN406" s="14">
        <f ca="1"/>
      </c>
      <c r="AO406" s="14">
        <f ca="1"/>
      </c>
      <c r="AP406" s="14">
        <f ca="1"/>
      </c>
      <c r="AQ406" s="14">
        <f ca="1"/>
      </c>
      <c r="AR406" s="14">
        <f ca="1"/>
      </c>
      <c r="AV406" s="14">
        <f ca="1"/>
      </c>
      <c r="AW406" s="14">
        <f ca="1"/>
      </c>
      <c r="AX406" s="14">
        <f ca="1"/>
      </c>
      <c r="AY406" s="14">
        <f ca="1"/>
      </c>
      <c r="AZ406" s="14">
        <f ca="1"/>
      </c>
      <c r="BF406" s="7">
        <f ca="1"/>
      </c>
      <c r="BG406" s="14">
        <f ca="1"/>
      </c>
      <c r="BH406" s="14">
        <f ca="1"/>
      </c>
      <c r="BI406" s="14">
        <f ca="1"/>
      </c>
      <c r="BJ406" s="14">
        <f ca="1"/>
      </c>
      <c r="BK406" s="14">
        <f ca="1"/>
      </c>
    </row>
    <row r="407" spans="28:63" x14ac:dyDescent="0.55000000000000004">
      <c r="AB407">
        <f ca="1"/>
      </c>
      <c r="AC407">
        <f ca="1"/>
      </c>
      <c r="AD407">
        <f ca="1"/>
      </c>
      <c r="AE407">
        <f ca="1"/>
      </c>
      <c r="AF407">
        <f ca="1"/>
      </c>
      <c r="AG407">
        <f ca="1"/>
      </c>
      <c r="AH407">
        <f ca="1"/>
      </c>
      <c r="AL407" s="7">
        <f ca="1"/>
      </c>
      <c r="AM407" s="14">
        <f ca="1"/>
      </c>
      <c r="AN407" s="14">
        <f ca="1"/>
      </c>
      <c r="AO407" s="14">
        <f ca="1"/>
      </c>
      <c r="AP407" s="14">
        <f ca="1"/>
      </c>
      <c r="AQ407" s="14">
        <f ca="1"/>
      </c>
      <c r="AR407" s="14">
        <f ca="1"/>
      </c>
      <c r="AV407" s="14">
        <f ca="1"/>
      </c>
      <c r="AW407" s="14">
        <f ca="1"/>
      </c>
      <c r="AX407" s="14">
        <f ca="1"/>
      </c>
      <c r="AY407" s="14">
        <f ca="1"/>
      </c>
      <c r="AZ407" s="14">
        <f ca="1"/>
      </c>
      <c r="BF407" s="7">
        <f ca="1"/>
      </c>
      <c r="BG407" s="14">
        <f ca="1"/>
      </c>
      <c r="BH407" s="14">
        <f ca="1"/>
      </c>
      <c r="BI407" s="14">
        <f ca="1"/>
      </c>
      <c r="BJ407" s="14">
        <f ca="1"/>
      </c>
      <c r="BK407" s="14">
        <f ca="1"/>
      </c>
    </row>
    <row r="408" spans="28:63" x14ac:dyDescent="0.55000000000000004">
      <c r="AB408">
        <f ca="1"/>
      </c>
      <c r="AC408">
        <f ca="1"/>
      </c>
      <c r="AD408">
        <f ca="1"/>
      </c>
      <c r="AE408">
        <f ca="1"/>
      </c>
      <c r="AF408">
        <f ca="1"/>
      </c>
      <c r="AG408">
        <f ca="1"/>
      </c>
      <c r="AH408">
        <f ca="1"/>
      </c>
      <c r="AL408" s="7">
        <f ca="1"/>
      </c>
      <c r="AM408" s="14">
        <f ca="1"/>
      </c>
      <c r="AN408" s="14">
        <f ca="1"/>
      </c>
      <c r="AO408" s="14">
        <f ca="1"/>
      </c>
      <c r="AP408" s="14">
        <f ca="1"/>
      </c>
      <c r="AQ408" s="14">
        <f ca="1"/>
      </c>
      <c r="AR408" s="14">
        <f ca="1"/>
      </c>
      <c r="AV408" s="14">
        <f ca="1"/>
      </c>
      <c r="AW408" s="14">
        <f ca="1"/>
      </c>
      <c r="AX408" s="14">
        <f ca="1"/>
      </c>
      <c r="AY408" s="14">
        <f ca="1"/>
      </c>
      <c r="AZ408" s="14">
        <f ca="1"/>
      </c>
      <c r="BF408" s="7">
        <f ca="1"/>
      </c>
      <c r="BG408" s="14">
        <f ca="1"/>
      </c>
      <c r="BH408" s="14">
        <f ca="1"/>
      </c>
      <c r="BI408" s="14">
        <f ca="1"/>
      </c>
      <c r="BJ408" s="14">
        <f ca="1"/>
      </c>
      <c r="BK408" s="14">
        <f ca="1"/>
      </c>
    </row>
    <row r="409" spans="28:63" x14ac:dyDescent="0.55000000000000004">
      <c r="AB409">
        <f ca="1"/>
      </c>
      <c r="AC409">
        <f ca="1"/>
      </c>
      <c r="AD409">
        <f ca="1"/>
      </c>
      <c r="AE409">
        <f ca="1"/>
      </c>
      <c r="AF409">
        <f ca="1"/>
      </c>
      <c r="AG409">
        <f ca="1"/>
      </c>
      <c r="AH409">
        <f ca="1"/>
      </c>
      <c r="AL409" s="7">
        <f ca="1"/>
      </c>
      <c r="AM409" s="14">
        <f ca="1"/>
      </c>
      <c r="AN409" s="14">
        <f ca="1"/>
      </c>
      <c r="AO409" s="14">
        <f ca="1"/>
      </c>
      <c r="AP409" s="14">
        <f ca="1"/>
      </c>
      <c r="AQ409" s="14">
        <f ca="1"/>
      </c>
      <c r="AR409" s="14">
        <f ca="1"/>
      </c>
      <c r="AV409" s="14">
        <f ca="1"/>
      </c>
      <c r="AW409" s="14">
        <f ca="1"/>
      </c>
      <c r="AX409" s="14">
        <f ca="1"/>
      </c>
      <c r="AY409" s="14">
        <f ca="1"/>
      </c>
      <c r="AZ409" s="14">
        <f ca="1"/>
      </c>
      <c r="BF409" s="7">
        <f ca="1"/>
      </c>
      <c r="BG409" s="14">
        <f ca="1"/>
      </c>
      <c r="BH409" s="14">
        <f ca="1"/>
      </c>
      <c r="BI409" s="14">
        <f ca="1"/>
      </c>
      <c r="BJ409" s="14">
        <f ca="1"/>
      </c>
      <c r="BK409" s="14">
        <f ca="1"/>
      </c>
    </row>
    <row r="410" spans="28:63" x14ac:dyDescent="0.55000000000000004">
      <c r="AB410">
        <f ca="1"/>
      </c>
      <c r="AC410">
        <f ca="1"/>
      </c>
      <c r="AD410">
        <f ca="1"/>
      </c>
      <c r="AE410">
        <f ca="1"/>
      </c>
      <c r="AF410">
        <f ca="1"/>
      </c>
      <c r="AG410">
        <f ca="1"/>
      </c>
      <c r="AH410">
        <f ca="1"/>
      </c>
      <c r="AL410" s="7">
        <f ca="1"/>
      </c>
      <c r="AM410" s="14">
        <f ca="1"/>
      </c>
      <c r="AN410" s="14">
        <f ca="1"/>
      </c>
      <c r="AO410" s="14">
        <f ca="1"/>
      </c>
      <c r="AP410" s="14">
        <f ca="1"/>
      </c>
      <c r="AQ410" s="14">
        <f ca="1"/>
      </c>
      <c r="AR410" s="14">
        <f ca="1"/>
      </c>
      <c r="AV410" s="14">
        <f ca="1"/>
      </c>
      <c r="AW410" s="14">
        <f ca="1"/>
      </c>
      <c r="AX410" s="14">
        <f ca="1"/>
      </c>
      <c r="AY410" s="14">
        <f ca="1"/>
      </c>
      <c r="AZ410" s="14">
        <f ca="1"/>
      </c>
      <c r="BF410" s="7">
        <f ca="1"/>
      </c>
      <c r="BG410" s="14">
        <f ca="1"/>
      </c>
      <c r="BH410" s="14">
        <f ca="1"/>
      </c>
      <c r="BI410" s="14">
        <f ca="1"/>
      </c>
      <c r="BJ410" s="14">
        <f ca="1"/>
      </c>
      <c r="BK410" s="14">
        <f ca="1"/>
      </c>
    </row>
    <row r="411" spans="28:63" x14ac:dyDescent="0.55000000000000004">
      <c r="AB411">
        <f ca="1"/>
      </c>
      <c r="AC411">
        <f ca="1"/>
      </c>
      <c r="AD411">
        <f ca="1"/>
      </c>
      <c r="AE411">
        <f ca="1"/>
      </c>
      <c r="AF411">
        <f ca="1"/>
      </c>
      <c r="AG411">
        <f ca="1"/>
      </c>
      <c r="AH411">
        <f ca="1"/>
      </c>
      <c r="AL411" s="7">
        <f ca="1"/>
      </c>
      <c r="AM411" s="14">
        <f ca="1"/>
      </c>
      <c r="AN411" s="14">
        <f ca="1"/>
      </c>
      <c r="AO411" s="14">
        <f ca="1"/>
      </c>
      <c r="AP411" s="14">
        <f ca="1"/>
      </c>
      <c r="AQ411" s="14">
        <f ca="1"/>
      </c>
      <c r="AR411" s="14">
        <f ca="1"/>
      </c>
      <c r="AV411" s="14">
        <f ca="1"/>
      </c>
      <c r="AW411" s="14">
        <f ca="1"/>
      </c>
      <c r="AX411" s="14">
        <f ca="1"/>
      </c>
      <c r="AY411" s="14">
        <f ca="1"/>
      </c>
      <c r="AZ411" s="14">
        <f ca="1"/>
      </c>
      <c r="BF411" s="7">
        <f ca="1"/>
      </c>
      <c r="BG411" s="14">
        <f ca="1"/>
      </c>
      <c r="BH411" s="14">
        <f ca="1"/>
      </c>
      <c r="BI411" s="14">
        <f ca="1"/>
      </c>
      <c r="BJ411" s="14">
        <f ca="1"/>
      </c>
      <c r="BK411" s="14">
        <f ca="1"/>
      </c>
    </row>
    <row r="412" spans="28:63" x14ac:dyDescent="0.55000000000000004">
      <c r="AB412">
        <f ca="1"/>
      </c>
      <c r="AC412">
        <f ca="1"/>
      </c>
      <c r="AD412">
        <f ca="1"/>
      </c>
      <c r="AE412">
        <f ca="1"/>
      </c>
      <c r="AF412">
        <f ca="1"/>
      </c>
      <c r="AG412">
        <f ca="1"/>
      </c>
      <c r="AH412">
        <f ca="1"/>
      </c>
      <c r="AL412" s="7">
        <f ca="1"/>
      </c>
      <c r="AM412" s="14">
        <f ca="1"/>
      </c>
      <c r="AN412" s="14">
        <f ca="1"/>
      </c>
      <c r="AO412" s="14">
        <f ca="1"/>
      </c>
      <c r="AP412" s="14">
        <f ca="1"/>
      </c>
      <c r="AQ412" s="14">
        <f ca="1"/>
      </c>
      <c r="AR412" s="14">
        <f ca="1"/>
      </c>
      <c r="AV412" s="14">
        <f ca="1"/>
      </c>
      <c r="AW412" s="14">
        <f ca="1"/>
      </c>
      <c r="AX412" s="14">
        <f ca="1"/>
      </c>
      <c r="AY412" s="14">
        <f ca="1"/>
      </c>
      <c r="AZ412" s="14">
        <f ca="1"/>
      </c>
      <c r="BF412" s="7">
        <f ca="1"/>
      </c>
      <c r="BG412" s="14">
        <f ca="1"/>
      </c>
      <c r="BH412" s="14">
        <f ca="1"/>
      </c>
      <c r="BI412" s="14">
        <f ca="1"/>
      </c>
      <c r="BJ412" s="14">
        <f ca="1"/>
      </c>
      <c r="BK412" s="14">
        <f ca="1"/>
      </c>
    </row>
    <row r="413" spans="28:63" x14ac:dyDescent="0.55000000000000004">
      <c r="AB413">
        <f ca="1"/>
      </c>
      <c r="AC413">
        <f ca="1"/>
      </c>
      <c r="AD413">
        <f ca="1"/>
      </c>
      <c r="AE413">
        <f ca="1"/>
      </c>
      <c r="AF413">
        <f ca="1"/>
      </c>
      <c r="AG413">
        <f ca="1"/>
      </c>
      <c r="AH413">
        <f ca="1"/>
      </c>
      <c r="AL413" s="7">
        <f ca="1"/>
      </c>
      <c r="AM413" s="14">
        <f ca="1"/>
      </c>
      <c r="AN413" s="14">
        <f ca="1"/>
      </c>
      <c r="AO413" s="14">
        <f ca="1"/>
      </c>
      <c r="AP413" s="14">
        <f ca="1"/>
      </c>
      <c r="AQ413" s="14">
        <f ca="1"/>
      </c>
      <c r="AR413" s="14">
        <f ca="1"/>
      </c>
      <c r="AV413" s="14">
        <f ca="1"/>
      </c>
      <c r="AW413" s="14">
        <f ca="1"/>
      </c>
      <c r="AX413" s="14">
        <f ca="1"/>
      </c>
      <c r="AY413" s="14">
        <f ca="1"/>
      </c>
      <c r="AZ413" s="14">
        <f ca="1"/>
      </c>
      <c r="BF413" s="7">
        <f ca="1"/>
      </c>
      <c r="BG413" s="14">
        <f ca="1"/>
      </c>
      <c r="BH413" s="14">
        <f ca="1"/>
      </c>
      <c r="BI413" s="14">
        <f ca="1"/>
      </c>
      <c r="BJ413" s="14">
        <f ca="1"/>
      </c>
      <c r="BK413" s="14">
        <f ca="1"/>
      </c>
    </row>
    <row r="414" spans="28:63" x14ac:dyDescent="0.55000000000000004">
      <c r="AB414">
        <f ca="1"/>
      </c>
      <c r="AC414">
        <f ca="1"/>
      </c>
      <c r="AD414">
        <f ca="1"/>
      </c>
      <c r="AE414">
        <f ca="1"/>
      </c>
      <c r="AF414">
        <f ca="1"/>
      </c>
      <c r="AG414">
        <f ca="1"/>
      </c>
      <c r="AH414">
        <f ca="1"/>
      </c>
      <c r="AL414" s="7">
        <f ca="1"/>
      </c>
      <c r="AM414" s="14">
        <f ca="1"/>
      </c>
      <c r="AN414" s="14">
        <f ca="1"/>
      </c>
      <c r="AO414" s="14">
        <f ca="1"/>
      </c>
      <c r="AP414" s="14">
        <f ca="1"/>
      </c>
      <c r="AQ414" s="14">
        <f ca="1"/>
      </c>
      <c r="AR414" s="14">
        <f ca="1"/>
      </c>
      <c r="AV414" s="14">
        <f ca="1"/>
      </c>
      <c r="AW414" s="14">
        <f ca="1"/>
      </c>
      <c r="AX414" s="14">
        <f ca="1"/>
      </c>
      <c r="AY414" s="14">
        <f ca="1"/>
      </c>
      <c r="AZ414" s="14">
        <f ca="1"/>
      </c>
      <c r="BF414" s="7">
        <f ca="1"/>
      </c>
      <c r="BG414" s="14">
        <f ca="1"/>
      </c>
      <c r="BH414" s="14">
        <f ca="1"/>
      </c>
      <c r="BI414" s="14">
        <f ca="1"/>
      </c>
      <c r="BJ414" s="14">
        <f ca="1"/>
      </c>
      <c r="BK414" s="14">
        <f ca="1"/>
      </c>
    </row>
    <row r="415" spans="28:63" x14ac:dyDescent="0.55000000000000004">
      <c r="AB415">
        <f ca="1"/>
      </c>
      <c r="AC415">
        <f ca="1"/>
      </c>
      <c r="AD415">
        <f ca="1"/>
      </c>
      <c r="AE415">
        <f ca="1"/>
      </c>
      <c r="AF415">
        <f ca="1"/>
      </c>
      <c r="AG415">
        <f ca="1"/>
      </c>
      <c r="AH415">
        <f ca="1"/>
      </c>
      <c r="AL415" s="7">
        <f ca="1"/>
      </c>
      <c r="AM415" s="14">
        <f ca="1"/>
      </c>
      <c r="AN415" s="14">
        <f ca="1"/>
      </c>
      <c r="AO415" s="14">
        <f ca="1"/>
      </c>
      <c r="AP415" s="14">
        <f ca="1"/>
      </c>
      <c r="AQ415" s="14">
        <f ca="1"/>
      </c>
      <c r="AR415" s="14">
        <f ca="1"/>
      </c>
      <c r="AV415" s="14">
        <f ca="1"/>
      </c>
      <c r="AW415" s="14">
        <f ca="1"/>
      </c>
      <c r="AX415" s="14">
        <f ca="1"/>
      </c>
      <c r="AY415" s="14">
        <f ca="1"/>
      </c>
      <c r="AZ415" s="14">
        <f ca="1"/>
      </c>
      <c r="BF415" s="7">
        <f ca="1"/>
      </c>
      <c r="BG415" s="14">
        <f ca="1"/>
      </c>
      <c r="BH415" s="14">
        <f ca="1"/>
      </c>
      <c r="BI415" s="14">
        <f ca="1"/>
      </c>
      <c r="BJ415" s="14">
        <f ca="1"/>
      </c>
      <c r="BK415" s="14">
        <f ca="1"/>
      </c>
    </row>
    <row r="416" spans="28:63" x14ac:dyDescent="0.55000000000000004">
      <c r="AB416">
        <f ca="1"/>
      </c>
      <c r="AC416">
        <f ca="1"/>
      </c>
      <c r="AD416">
        <f ca="1"/>
      </c>
      <c r="AE416">
        <f ca="1"/>
      </c>
      <c r="AF416">
        <f ca="1"/>
      </c>
      <c r="AG416">
        <f ca="1"/>
      </c>
      <c r="AH416">
        <f ca="1"/>
      </c>
      <c r="AL416" s="7">
        <f ca="1"/>
      </c>
      <c r="AM416" s="14">
        <f ca="1"/>
      </c>
      <c r="AN416" s="14">
        <f ca="1"/>
      </c>
      <c r="AO416" s="14">
        <f ca="1"/>
      </c>
      <c r="AP416" s="14">
        <f ca="1"/>
      </c>
      <c r="AQ416" s="14">
        <f ca="1"/>
      </c>
      <c r="AR416" s="14">
        <f ca="1"/>
      </c>
      <c r="AV416" s="14">
        <f ca="1"/>
      </c>
      <c r="AW416" s="14">
        <f ca="1"/>
      </c>
      <c r="AX416" s="14">
        <f ca="1"/>
      </c>
      <c r="AY416" s="14">
        <f ca="1"/>
      </c>
      <c r="AZ416" s="14">
        <f ca="1"/>
      </c>
      <c r="BF416" s="7">
        <f ca="1"/>
      </c>
      <c r="BG416" s="14">
        <f ca="1"/>
      </c>
      <c r="BH416" s="14">
        <f ca="1"/>
      </c>
      <c r="BI416" s="14">
        <f ca="1"/>
      </c>
      <c r="BJ416" s="14">
        <f ca="1"/>
      </c>
      <c r="BK416" s="14">
        <f ca="1"/>
      </c>
    </row>
    <row r="417" spans="28:63" x14ac:dyDescent="0.55000000000000004">
      <c r="AB417">
        <f ca="1"/>
      </c>
      <c r="AC417">
        <f ca="1"/>
      </c>
      <c r="AD417">
        <f ca="1"/>
      </c>
      <c r="AE417">
        <f ca="1"/>
      </c>
      <c r="AF417">
        <f ca="1"/>
      </c>
      <c r="AG417">
        <f ca="1"/>
      </c>
      <c r="AH417">
        <f ca="1"/>
      </c>
      <c r="AL417" s="7">
        <f ca="1"/>
      </c>
      <c r="AM417" s="14">
        <f ca="1"/>
      </c>
      <c r="AN417" s="14">
        <f ca="1"/>
      </c>
      <c r="AO417" s="14">
        <f ca="1"/>
      </c>
      <c r="AP417" s="14">
        <f ca="1"/>
      </c>
      <c r="AQ417" s="14">
        <f ca="1"/>
      </c>
      <c r="AR417" s="14">
        <f ca="1"/>
      </c>
      <c r="AV417" s="14">
        <f ca="1"/>
      </c>
      <c r="AW417" s="14">
        <f ca="1"/>
      </c>
      <c r="AX417" s="14">
        <f ca="1"/>
      </c>
      <c r="AY417" s="14">
        <f ca="1"/>
      </c>
      <c r="AZ417" s="14">
        <f ca="1"/>
      </c>
      <c r="BF417" s="7">
        <f ca="1"/>
      </c>
      <c r="BG417" s="14">
        <f ca="1"/>
      </c>
      <c r="BH417" s="14">
        <f ca="1"/>
      </c>
      <c r="BI417" s="14">
        <f ca="1"/>
      </c>
      <c r="BJ417" s="14">
        <f ca="1"/>
      </c>
      <c r="BK417" s="14">
        <f ca="1"/>
      </c>
    </row>
    <row r="418" spans="28:63" x14ac:dyDescent="0.55000000000000004">
      <c r="AB418">
        <f ca="1"/>
      </c>
      <c r="AC418">
        <f ca="1"/>
      </c>
      <c r="AD418">
        <f ca="1"/>
      </c>
      <c r="AE418">
        <f ca="1"/>
      </c>
      <c r="AF418">
        <f ca="1"/>
      </c>
      <c r="AG418">
        <f ca="1"/>
      </c>
      <c r="AH418">
        <f ca="1"/>
      </c>
      <c r="AL418" s="7">
        <f ca="1"/>
      </c>
      <c r="AM418" s="14">
        <f ca="1"/>
      </c>
      <c r="AN418" s="14">
        <f ca="1"/>
      </c>
      <c r="AO418" s="14">
        <f ca="1"/>
      </c>
      <c r="AP418" s="14">
        <f ca="1"/>
      </c>
      <c r="AQ418" s="14">
        <f ca="1"/>
      </c>
      <c r="AR418" s="14">
        <f ca="1"/>
      </c>
      <c r="AV418" s="14">
        <f ca="1"/>
      </c>
      <c r="AW418" s="14">
        <f ca="1"/>
      </c>
      <c r="AX418" s="14">
        <f ca="1"/>
      </c>
      <c r="AY418" s="14">
        <f ca="1"/>
      </c>
      <c r="AZ418" s="14">
        <f ca="1"/>
      </c>
      <c r="BF418" s="7">
        <f ca="1"/>
      </c>
      <c r="BG418" s="14">
        <f ca="1"/>
      </c>
      <c r="BH418" s="14">
        <f ca="1"/>
      </c>
      <c r="BI418" s="14">
        <f ca="1"/>
      </c>
      <c r="BJ418" s="14">
        <f ca="1"/>
      </c>
      <c r="BK418" s="14">
        <f ca="1"/>
      </c>
    </row>
    <row r="419" spans="28:63" x14ac:dyDescent="0.55000000000000004">
      <c r="AB419">
        <f ca="1"/>
      </c>
      <c r="AC419">
        <f ca="1"/>
      </c>
      <c r="AD419">
        <f ca="1"/>
      </c>
      <c r="AE419">
        <f ca="1"/>
      </c>
      <c r="AF419">
        <f ca="1"/>
      </c>
      <c r="AG419">
        <f ca="1"/>
      </c>
      <c r="AH419">
        <f ca="1"/>
      </c>
      <c r="AL419" s="7">
        <f ca="1"/>
      </c>
      <c r="AM419" s="14">
        <f ca="1"/>
      </c>
      <c r="AN419" s="14">
        <f ca="1"/>
      </c>
      <c r="AO419" s="14">
        <f ca="1"/>
      </c>
      <c r="AP419" s="14">
        <f ca="1"/>
      </c>
      <c r="AQ419" s="14">
        <f ca="1"/>
      </c>
      <c r="AR419" s="14">
        <f ca="1"/>
      </c>
      <c r="AV419" s="14">
        <f ca="1"/>
      </c>
      <c r="AW419" s="14">
        <f ca="1"/>
      </c>
      <c r="AX419" s="14">
        <f ca="1"/>
      </c>
      <c r="AY419" s="14">
        <f ca="1"/>
      </c>
      <c r="AZ419" s="14">
        <f ca="1"/>
      </c>
      <c r="BF419" s="7">
        <f ca="1"/>
      </c>
      <c r="BG419" s="14">
        <f ca="1"/>
      </c>
      <c r="BH419" s="14">
        <f ca="1"/>
      </c>
      <c r="BI419" s="14">
        <f ca="1"/>
      </c>
      <c r="BJ419" s="14">
        <f ca="1"/>
      </c>
      <c r="BK419" s="14">
        <f ca="1"/>
      </c>
    </row>
    <row r="420" spans="28:63" x14ac:dyDescent="0.55000000000000004">
      <c r="AB420">
        <f ca="1"/>
      </c>
      <c r="AC420">
        <f ca="1"/>
      </c>
      <c r="AD420">
        <f ca="1"/>
      </c>
      <c r="AE420">
        <f ca="1"/>
      </c>
      <c r="AF420">
        <f ca="1"/>
      </c>
      <c r="AG420">
        <f ca="1"/>
      </c>
      <c r="AH420">
        <f ca="1"/>
      </c>
      <c r="AL420" s="7">
        <f ca="1"/>
      </c>
      <c r="AM420" s="14">
        <f ca="1"/>
      </c>
      <c r="AN420" s="14">
        <f ca="1"/>
      </c>
      <c r="AO420" s="14">
        <f ca="1"/>
      </c>
      <c r="AP420" s="14">
        <f ca="1"/>
      </c>
      <c r="AQ420" s="14">
        <f ca="1"/>
      </c>
      <c r="AR420" s="14">
        <f ca="1"/>
      </c>
      <c r="AV420" s="14">
        <f ca="1"/>
      </c>
      <c r="AW420" s="14">
        <f ca="1"/>
      </c>
      <c r="AX420" s="14">
        <f ca="1"/>
      </c>
      <c r="AY420" s="14">
        <f ca="1"/>
      </c>
      <c r="AZ420" s="14">
        <f ca="1"/>
      </c>
      <c r="BF420" s="7">
        <f ca="1"/>
      </c>
      <c r="BG420" s="14">
        <f ca="1"/>
      </c>
      <c r="BH420" s="14">
        <f ca="1"/>
      </c>
      <c r="BI420" s="14">
        <f ca="1"/>
      </c>
      <c r="BJ420" s="14">
        <f ca="1"/>
      </c>
      <c r="BK420" s="14">
        <f ca="1"/>
      </c>
    </row>
    <row r="421" spans="28:63" x14ac:dyDescent="0.55000000000000004">
      <c r="AB421">
        <f ca="1"/>
      </c>
      <c r="AC421">
        <f ca="1"/>
      </c>
      <c r="AD421">
        <f ca="1"/>
      </c>
      <c r="AE421">
        <f ca="1"/>
      </c>
      <c r="AF421">
        <f ca="1"/>
      </c>
      <c r="AG421">
        <f ca="1"/>
      </c>
      <c r="AH421">
        <f ca="1"/>
      </c>
      <c r="AL421" s="7">
        <f ca="1"/>
      </c>
      <c r="AM421" s="14">
        <f ca="1"/>
      </c>
      <c r="AN421" s="14">
        <f ca="1"/>
      </c>
      <c r="AO421" s="14">
        <f ca="1"/>
      </c>
      <c r="AP421" s="14">
        <f ca="1"/>
      </c>
      <c r="AQ421" s="14">
        <f ca="1"/>
      </c>
      <c r="AR421" s="14">
        <f ca="1"/>
      </c>
      <c r="AV421" s="14">
        <f ca="1"/>
      </c>
      <c r="AW421" s="14">
        <f ca="1"/>
      </c>
      <c r="AX421" s="14">
        <f ca="1"/>
      </c>
      <c r="AY421" s="14">
        <f ca="1"/>
      </c>
      <c r="AZ421" s="14">
        <f ca="1"/>
      </c>
      <c r="BF421" s="7">
        <f ca="1"/>
      </c>
      <c r="BG421" s="14">
        <f ca="1"/>
      </c>
      <c r="BH421" s="14">
        <f ca="1"/>
      </c>
      <c r="BI421" s="14">
        <f ca="1"/>
      </c>
      <c r="BJ421" s="14">
        <f ca="1"/>
      </c>
      <c r="BK421" s="14">
        <f ca="1"/>
      </c>
    </row>
    <row r="422" spans="28:63" x14ac:dyDescent="0.55000000000000004">
      <c r="AB422">
        <f ca="1"/>
      </c>
      <c r="AC422">
        <f ca="1"/>
      </c>
      <c r="AD422">
        <f ca="1"/>
      </c>
      <c r="AE422">
        <f ca="1"/>
      </c>
      <c r="AF422">
        <f ca="1"/>
      </c>
      <c r="AG422">
        <f ca="1"/>
      </c>
      <c r="AH422">
        <f ca="1"/>
      </c>
      <c r="AL422" s="7">
        <f ca="1"/>
      </c>
      <c r="AM422" s="14">
        <f ca="1"/>
      </c>
      <c r="AN422" s="14">
        <f ca="1"/>
      </c>
      <c r="AO422" s="14">
        <f ca="1"/>
      </c>
      <c r="AP422" s="14">
        <f ca="1"/>
      </c>
      <c r="AQ422" s="14">
        <f ca="1"/>
      </c>
      <c r="AR422" s="14">
        <f ca="1"/>
      </c>
      <c r="AV422" s="14">
        <f ca="1"/>
      </c>
      <c r="AW422" s="14">
        <f ca="1"/>
      </c>
      <c r="AX422" s="14">
        <f ca="1"/>
      </c>
      <c r="AY422" s="14">
        <f ca="1"/>
      </c>
      <c r="AZ422" s="14">
        <f ca="1"/>
      </c>
      <c r="BF422" s="7">
        <f ca="1"/>
      </c>
      <c r="BG422" s="14">
        <f ca="1"/>
      </c>
      <c r="BH422" s="14">
        <f ca="1"/>
      </c>
      <c r="BI422" s="14">
        <f ca="1"/>
      </c>
      <c r="BJ422" s="14">
        <f ca="1"/>
      </c>
      <c r="BK422" s="14">
        <f ca="1"/>
      </c>
    </row>
    <row r="423" spans="28:63" x14ac:dyDescent="0.55000000000000004">
      <c r="AB423">
        <f ca="1"/>
      </c>
      <c r="AC423">
        <f ca="1"/>
      </c>
      <c r="AD423">
        <f ca="1"/>
      </c>
      <c r="AE423">
        <f ca="1"/>
      </c>
      <c r="AF423">
        <f ca="1"/>
      </c>
      <c r="AG423">
        <f ca="1"/>
      </c>
      <c r="AH423">
        <f ca="1"/>
      </c>
      <c r="AL423" s="7">
        <f ca="1"/>
      </c>
      <c r="AM423" s="14">
        <f ca="1"/>
      </c>
      <c r="AN423" s="14">
        <f ca="1"/>
      </c>
      <c r="AO423" s="14">
        <f ca="1"/>
      </c>
      <c r="AP423" s="14">
        <f ca="1"/>
      </c>
      <c r="AQ423" s="14">
        <f ca="1"/>
      </c>
      <c r="AR423" s="14">
        <f ca="1"/>
      </c>
      <c r="AV423" s="14">
        <f ca="1"/>
      </c>
      <c r="AW423" s="14">
        <f ca="1"/>
      </c>
      <c r="AX423" s="14">
        <f ca="1"/>
      </c>
      <c r="AY423" s="14">
        <f ca="1"/>
      </c>
      <c r="AZ423" s="14">
        <f ca="1"/>
      </c>
      <c r="BF423" s="7">
        <f ca="1"/>
      </c>
      <c r="BG423" s="14">
        <f ca="1"/>
      </c>
      <c r="BH423" s="14">
        <f ca="1"/>
      </c>
      <c r="BI423" s="14">
        <f ca="1"/>
      </c>
      <c r="BJ423" s="14">
        <f ca="1"/>
      </c>
      <c r="BK423" s="14">
        <f ca="1"/>
      </c>
    </row>
    <row r="424" spans="28:63" x14ac:dyDescent="0.55000000000000004">
      <c r="AB424">
        <f ca="1"/>
      </c>
      <c r="AC424">
        <f ca="1"/>
      </c>
      <c r="AD424">
        <f ca="1"/>
      </c>
      <c r="AE424">
        <f ca="1"/>
      </c>
      <c r="AF424">
        <f ca="1"/>
      </c>
      <c r="AG424">
        <f ca="1"/>
      </c>
      <c r="AH424">
        <f ca="1"/>
      </c>
      <c r="AL424" s="7">
        <f ca="1"/>
      </c>
      <c r="AM424" s="14">
        <f ca="1"/>
      </c>
      <c r="AN424" s="14">
        <f ca="1"/>
      </c>
      <c r="AO424" s="14">
        <f ca="1"/>
      </c>
      <c r="AP424" s="14">
        <f ca="1"/>
      </c>
      <c r="AQ424" s="14">
        <f ca="1"/>
      </c>
      <c r="AR424" s="14">
        <f ca="1"/>
      </c>
      <c r="AV424" s="14">
        <f ca="1"/>
      </c>
      <c r="AW424" s="14">
        <f ca="1"/>
      </c>
      <c r="AX424" s="14">
        <f ca="1"/>
      </c>
      <c r="AY424" s="14">
        <f ca="1"/>
      </c>
      <c r="AZ424" s="14">
        <f ca="1"/>
      </c>
      <c r="BF424" s="7">
        <f ca="1"/>
      </c>
      <c r="BG424" s="14">
        <f ca="1"/>
      </c>
      <c r="BH424" s="14">
        <f ca="1"/>
      </c>
      <c r="BI424" s="14">
        <f ca="1"/>
      </c>
      <c r="BJ424" s="14">
        <f ca="1"/>
      </c>
      <c r="BK424" s="14">
        <f ca="1"/>
      </c>
    </row>
    <row r="425" spans="28:63" x14ac:dyDescent="0.55000000000000004">
      <c r="AB425">
        <f ca="1"/>
      </c>
      <c r="AC425">
        <f ca="1"/>
      </c>
      <c r="AD425">
        <f ca="1"/>
      </c>
      <c r="AE425">
        <f ca="1"/>
      </c>
      <c r="AF425">
        <f ca="1"/>
      </c>
      <c r="AG425">
        <f ca="1"/>
      </c>
      <c r="AH425">
        <f ca="1"/>
      </c>
      <c r="AL425" s="7">
        <f ca="1"/>
      </c>
      <c r="AM425" s="14">
        <f ca="1"/>
      </c>
      <c r="AN425" s="14">
        <f ca="1"/>
      </c>
      <c r="AO425" s="14">
        <f ca="1"/>
      </c>
      <c r="AP425" s="14">
        <f ca="1"/>
      </c>
      <c r="AQ425" s="14">
        <f ca="1"/>
      </c>
      <c r="AR425" s="14">
        <f ca="1"/>
      </c>
      <c r="AV425" s="14">
        <f ca="1"/>
      </c>
      <c r="AW425" s="14">
        <f ca="1"/>
      </c>
      <c r="AX425" s="14">
        <f ca="1"/>
      </c>
      <c r="AY425" s="14">
        <f ca="1"/>
      </c>
      <c r="AZ425" s="14">
        <f ca="1"/>
      </c>
      <c r="BF425" s="7">
        <f ca="1"/>
      </c>
      <c r="BG425" s="14">
        <f ca="1"/>
      </c>
      <c r="BH425" s="14">
        <f ca="1"/>
      </c>
      <c r="BI425" s="14">
        <f ca="1"/>
      </c>
      <c r="BJ425" s="14">
        <f ca="1"/>
      </c>
      <c r="BK425" s="14">
        <f ca="1"/>
      </c>
    </row>
    <row r="426" spans="28:63" x14ac:dyDescent="0.55000000000000004">
      <c r="AB426">
        <f ca="1"/>
      </c>
      <c r="AC426">
        <f ca="1"/>
      </c>
      <c r="AD426">
        <f ca="1"/>
      </c>
      <c r="AE426">
        <f ca="1"/>
      </c>
      <c r="AF426">
        <f ca="1"/>
      </c>
      <c r="AG426">
        <f ca="1"/>
      </c>
      <c r="AH426">
        <f ca="1"/>
      </c>
      <c r="AL426" s="7">
        <f ca="1"/>
      </c>
      <c r="AM426" s="14">
        <f ca="1"/>
      </c>
      <c r="AN426" s="14">
        <f ca="1"/>
      </c>
      <c r="AO426" s="14">
        <f ca="1"/>
      </c>
      <c r="AP426" s="14">
        <f ca="1"/>
      </c>
      <c r="AQ426" s="14">
        <f ca="1"/>
      </c>
      <c r="AR426" s="14">
        <f ca="1"/>
      </c>
      <c r="AV426" s="14">
        <f ca="1"/>
      </c>
      <c r="AW426" s="14">
        <f ca="1"/>
      </c>
      <c r="AX426" s="14">
        <f ca="1"/>
      </c>
      <c r="AY426" s="14">
        <f ca="1"/>
      </c>
      <c r="AZ426" s="14">
        <f ca="1"/>
      </c>
      <c r="BF426" s="7">
        <f ca="1"/>
      </c>
      <c r="BG426" s="14">
        <f ca="1"/>
      </c>
      <c r="BH426" s="14">
        <f ca="1"/>
      </c>
      <c r="BI426" s="14">
        <f ca="1"/>
      </c>
      <c r="BJ426" s="14">
        <f ca="1"/>
      </c>
      <c r="BK426" s="14">
        <f ca="1"/>
      </c>
    </row>
    <row r="427" spans="28:63" x14ac:dyDescent="0.55000000000000004">
      <c r="AB427">
        <f ca="1"/>
      </c>
      <c r="AC427">
        <f ca="1"/>
      </c>
      <c r="AD427">
        <f ca="1"/>
      </c>
      <c r="AE427">
        <f ca="1"/>
      </c>
      <c r="AF427">
        <f ca="1"/>
      </c>
      <c r="AG427">
        <f ca="1"/>
      </c>
      <c r="AH427">
        <f ca="1"/>
      </c>
      <c r="AL427" s="7">
        <f ca="1"/>
      </c>
      <c r="AM427" s="14">
        <f ca="1"/>
      </c>
      <c r="AN427" s="14">
        <f ca="1"/>
      </c>
      <c r="AO427" s="14">
        <f ca="1"/>
      </c>
      <c r="AP427" s="14">
        <f ca="1"/>
      </c>
      <c r="AQ427" s="14">
        <f ca="1"/>
      </c>
      <c r="AR427" s="14">
        <f ca="1"/>
      </c>
      <c r="AV427" s="14">
        <f ca="1"/>
      </c>
      <c r="AW427" s="14">
        <f ca="1"/>
      </c>
      <c r="AX427" s="14">
        <f ca="1"/>
      </c>
      <c r="AY427" s="14">
        <f ca="1"/>
      </c>
      <c r="AZ427" s="14">
        <f ca="1"/>
      </c>
      <c r="BF427" s="7">
        <f ca="1"/>
      </c>
      <c r="BG427" s="14">
        <f ca="1"/>
      </c>
      <c r="BH427" s="14">
        <f ca="1"/>
      </c>
      <c r="BI427" s="14">
        <f ca="1"/>
      </c>
      <c r="BJ427" s="14">
        <f ca="1"/>
      </c>
      <c r="BK427" s="14">
        <f ca="1"/>
      </c>
    </row>
    <row r="428" spans="28:63" x14ac:dyDescent="0.55000000000000004">
      <c r="AB428">
        <f ca="1"/>
      </c>
      <c r="AC428">
        <f ca="1"/>
      </c>
      <c r="AD428">
        <f ca="1"/>
      </c>
      <c r="AE428">
        <f ca="1"/>
      </c>
      <c r="AF428">
        <f ca="1"/>
      </c>
      <c r="AG428">
        <f ca="1"/>
      </c>
      <c r="AH428">
        <f ca="1"/>
      </c>
      <c r="AL428" s="7">
        <f ca="1"/>
      </c>
      <c r="AM428" s="14">
        <f ca="1"/>
      </c>
      <c r="AN428" s="14">
        <f ca="1"/>
      </c>
      <c r="AO428" s="14">
        <f ca="1"/>
      </c>
      <c r="AP428" s="14">
        <f ca="1"/>
      </c>
      <c r="AQ428" s="14">
        <f ca="1"/>
      </c>
      <c r="AR428" s="14">
        <f ca="1"/>
      </c>
      <c r="AV428" s="14">
        <f ca="1"/>
      </c>
      <c r="AW428" s="14">
        <f ca="1"/>
      </c>
      <c r="AX428" s="14">
        <f ca="1"/>
      </c>
      <c r="AY428" s="14">
        <f ca="1"/>
      </c>
      <c r="AZ428" s="14">
        <f ca="1"/>
      </c>
      <c r="BF428" s="7">
        <f ca="1"/>
      </c>
      <c r="BG428" s="14">
        <f ca="1"/>
      </c>
      <c r="BH428" s="14">
        <f ca="1"/>
      </c>
      <c r="BI428" s="14">
        <f ca="1"/>
      </c>
      <c r="BJ428" s="14">
        <f ca="1"/>
      </c>
      <c r="BK428" s="14">
        <f ca="1"/>
      </c>
    </row>
    <row r="429" spans="28:63" x14ac:dyDescent="0.55000000000000004">
      <c r="AB429">
        <f ca="1"/>
      </c>
      <c r="AC429">
        <f ca="1"/>
      </c>
      <c r="AD429">
        <f ca="1"/>
      </c>
      <c r="AE429">
        <f ca="1"/>
      </c>
      <c r="AF429">
        <f ca="1"/>
      </c>
      <c r="AG429">
        <f ca="1"/>
      </c>
      <c r="AH429">
        <f ca="1"/>
      </c>
      <c r="AL429" s="7">
        <f ca="1"/>
      </c>
      <c r="AM429" s="14">
        <f ca="1"/>
      </c>
      <c r="AN429" s="14">
        <f ca="1"/>
      </c>
      <c r="AO429" s="14">
        <f ca="1"/>
      </c>
      <c r="AP429" s="14">
        <f ca="1"/>
      </c>
      <c r="AQ429" s="14">
        <f ca="1"/>
      </c>
      <c r="AR429" s="14">
        <f ca="1"/>
      </c>
      <c r="AV429" s="14">
        <f ca="1"/>
      </c>
      <c r="AW429" s="14">
        <f ca="1"/>
      </c>
      <c r="AX429" s="14">
        <f ca="1"/>
      </c>
      <c r="AY429" s="14">
        <f ca="1"/>
      </c>
      <c r="AZ429" s="14">
        <f ca="1"/>
      </c>
      <c r="BF429" s="7">
        <f ca="1"/>
      </c>
      <c r="BG429" s="14">
        <f ca="1"/>
      </c>
      <c r="BH429" s="14">
        <f ca="1"/>
      </c>
      <c r="BI429" s="14">
        <f ca="1"/>
      </c>
      <c r="BJ429" s="14">
        <f ca="1"/>
      </c>
      <c r="BK429" s="14">
        <f ca="1"/>
      </c>
    </row>
    <row r="430" spans="28:63" x14ac:dyDescent="0.55000000000000004">
      <c r="AB430">
        <f ca="1"/>
      </c>
      <c r="AC430">
        <f ca="1"/>
      </c>
      <c r="AD430">
        <f ca="1"/>
      </c>
      <c r="AE430">
        <f ca="1"/>
      </c>
      <c r="AF430">
        <f ca="1"/>
      </c>
      <c r="AG430">
        <f ca="1"/>
      </c>
      <c r="AH430">
        <f ca="1"/>
      </c>
      <c r="AL430" s="7">
        <f ca="1"/>
      </c>
      <c r="AM430" s="14">
        <f ca="1"/>
      </c>
      <c r="AN430" s="14">
        <f ca="1"/>
      </c>
      <c r="AO430" s="14">
        <f ca="1"/>
      </c>
      <c r="AP430" s="14">
        <f ca="1"/>
      </c>
      <c r="AQ430" s="14">
        <f ca="1"/>
      </c>
      <c r="AR430" s="14">
        <f ca="1"/>
      </c>
      <c r="AV430" s="14">
        <f ca="1"/>
      </c>
      <c r="AW430" s="14">
        <f ca="1"/>
      </c>
      <c r="AX430" s="14">
        <f ca="1"/>
      </c>
      <c r="AY430" s="14">
        <f ca="1"/>
      </c>
      <c r="AZ430" s="14">
        <f ca="1"/>
      </c>
      <c r="BF430" s="7">
        <f ca="1"/>
      </c>
      <c r="BG430" s="14">
        <f ca="1"/>
      </c>
      <c r="BH430" s="14">
        <f ca="1"/>
      </c>
      <c r="BI430" s="14">
        <f ca="1"/>
      </c>
      <c r="BJ430" s="14">
        <f ca="1"/>
      </c>
      <c r="BK430" s="14">
        <f ca="1"/>
      </c>
    </row>
    <row r="431" spans="28:63" x14ac:dyDescent="0.55000000000000004">
      <c r="AB431">
        <f ca="1"/>
      </c>
      <c r="AC431">
        <f ca="1"/>
      </c>
      <c r="AD431">
        <f ca="1"/>
      </c>
      <c r="AE431">
        <f ca="1"/>
      </c>
      <c r="AF431">
        <f ca="1"/>
      </c>
      <c r="AG431">
        <f ca="1"/>
      </c>
      <c r="AH431">
        <f ca="1"/>
      </c>
      <c r="AL431" s="7">
        <f ca="1"/>
      </c>
      <c r="AM431" s="14">
        <f ca="1"/>
      </c>
      <c r="AN431" s="14">
        <f ca="1"/>
      </c>
      <c r="AO431" s="14">
        <f ca="1"/>
      </c>
      <c r="AP431" s="14">
        <f ca="1"/>
      </c>
      <c r="AQ431" s="14">
        <f ca="1"/>
      </c>
      <c r="AR431" s="14">
        <f ca="1"/>
      </c>
      <c r="AV431" s="14">
        <f ca="1"/>
      </c>
      <c r="AW431" s="14">
        <f ca="1"/>
      </c>
      <c r="AX431" s="14">
        <f ca="1"/>
      </c>
      <c r="AY431" s="14">
        <f ca="1"/>
      </c>
      <c r="AZ431" s="14">
        <f ca="1"/>
      </c>
      <c r="BF431" s="7">
        <f ca="1"/>
      </c>
      <c r="BG431" s="14">
        <f ca="1"/>
      </c>
      <c r="BH431" s="14">
        <f ca="1"/>
      </c>
      <c r="BI431" s="14">
        <f ca="1"/>
      </c>
      <c r="BJ431" s="14">
        <f ca="1"/>
      </c>
      <c r="BK431" s="14">
        <f ca="1"/>
      </c>
    </row>
    <row r="432" spans="28:63" x14ac:dyDescent="0.55000000000000004">
      <c r="AB432">
        <f ca="1"/>
      </c>
      <c r="AC432">
        <f ca="1"/>
      </c>
      <c r="AD432">
        <f ca="1"/>
      </c>
      <c r="AE432">
        <f ca="1"/>
      </c>
      <c r="AF432">
        <f ca="1"/>
      </c>
      <c r="AG432">
        <f ca="1"/>
      </c>
      <c r="AH432">
        <f ca="1"/>
      </c>
      <c r="AL432" s="7">
        <f ca="1"/>
      </c>
      <c r="AM432" s="14">
        <f ca="1"/>
      </c>
      <c r="AN432" s="14">
        <f ca="1"/>
      </c>
      <c r="AO432" s="14">
        <f ca="1"/>
      </c>
      <c r="AP432" s="14">
        <f ca="1"/>
      </c>
      <c r="AQ432" s="14">
        <f ca="1"/>
      </c>
      <c r="AR432" s="14">
        <f ca="1"/>
      </c>
      <c r="AV432" s="14">
        <f ca="1"/>
      </c>
      <c r="AW432" s="14">
        <f ca="1"/>
      </c>
      <c r="AX432" s="14">
        <f ca="1"/>
      </c>
      <c r="AY432" s="14">
        <f ca="1"/>
      </c>
      <c r="AZ432" s="14">
        <f ca="1"/>
      </c>
      <c r="BF432" s="7">
        <f ca="1"/>
      </c>
      <c r="BG432" s="14">
        <f ca="1"/>
      </c>
      <c r="BH432" s="14">
        <f ca="1"/>
      </c>
      <c r="BI432" s="14">
        <f ca="1"/>
      </c>
      <c r="BJ432" s="14">
        <f ca="1"/>
      </c>
      <c r="BK432" s="14">
        <f ca="1"/>
      </c>
    </row>
    <row r="433" spans="28:63" x14ac:dyDescent="0.55000000000000004">
      <c r="AB433">
        <f ca="1"/>
      </c>
      <c r="AC433">
        <f ca="1"/>
      </c>
      <c r="AD433">
        <f ca="1"/>
      </c>
      <c r="AE433">
        <f ca="1"/>
      </c>
      <c r="AF433">
        <f ca="1"/>
      </c>
      <c r="AG433">
        <f ca="1"/>
      </c>
      <c r="AH433">
        <f ca="1"/>
      </c>
      <c r="AL433" s="7">
        <f ca="1"/>
      </c>
      <c r="AM433" s="14">
        <f ca="1"/>
      </c>
      <c r="AN433" s="14">
        <f ca="1"/>
      </c>
      <c r="AO433" s="14">
        <f ca="1"/>
      </c>
      <c r="AP433" s="14">
        <f ca="1"/>
      </c>
      <c r="AQ433" s="14">
        <f ca="1"/>
      </c>
      <c r="AR433" s="14">
        <f ca="1"/>
      </c>
      <c r="AV433" s="14">
        <f ca="1"/>
      </c>
      <c r="AW433" s="14">
        <f ca="1"/>
      </c>
      <c r="AX433" s="14">
        <f ca="1"/>
      </c>
      <c r="AY433" s="14">
        <f ca="1"/>
      </c>
      <c r="AZ433" s="14">
        <f ca="1"/>
      </c>
      <c r="BF433" s="7">
        <f ca="1"/>
      </c>
      <c r="BG433" s="14">
        <f ca="1"/>
      </c>
      <c r="BH433" s="14">
        <f ca="1"/>
      </c>
      <c r="BI433" s="14">
        <f ca="1"/>
      </c>
      <c r="BJ433" s="14">
        <f ca="1"/>
      </c>
      <c r="BK433" s="14">
        <f ca="1"/>
      </c>
    </row>
    <row r="434" spans="28:63" x14ac:dyDescent="0.55000000000000004">
      <c r="AB434">
        <f ca="1"/>
      </c>
      <c r="AC434">
        <f ca="1"/>
      </c>
      <c r="AD434">
        <f ca="1"/>
      </c>
      <c r="AE434">
        <f ca="1"/>
      </c>
      <c r="AF434">
        <f ca="1"/>
      </c>
      <c r="AG434">
        <f ca="1"/>
      </c>
      <c r="AH434">
        <f ca="1"/>
      </c>
      <c r="AL434" s="7">
        <f ca="1"/>
      </c>
      <c r="AM434" s="14">
        <f ca="1"/>
      </c>
      <c r="AN434" s="14">
        <f ca="1"/>
      </c>
      <c r="AO434" s="14">
        <f ca="1"/>
      </c>
      <c r="AP434" s="14">
        <f ca="1"/>
      </c>
      <c r="AQ434" s="14">
        <f ca="1"/>
      </c>
      <c r="AR434" s="14">
        <f ca="1"/>
      </c>
      <c r="AV434" s="14">
        <f ca="1"/>
      </c>
      <c r="AW434" s="14">
        <f ca="1"/>
      </c>
      <c r="AX434" s="14">
        <f ca="1"/>
      </c>
      <c r="AY434" s="14">
        <f ca="1"/>
      </c>
      <c r="AZ434" s="14">
        <f ca="1"/>
      </c>
      <c r="BF434" s="7">
        <f ca="1"/>
      </c>
      <c r="BG434" s="14">
        <f ca="1"/>
      </c>
      <c r="BH434" s="14">
        <f ca="1"/>
      </c>
      <c r="BI434" s="14">
        <f ca="1"/>
      </c>
      <c r="BJ434" s="14">
        <f ca="1"/>
      </c>
      <c r="BK434" s="14">
        <f ca="1"/>
      </c>
    </row>
    <row r="435" spans="28:63" x14ac:dyDescent="0.55000000000000004">
      <c r="AB435">
        <f ca="1"/>
      </c>
      <c r="AC435">
        <f ca="1"/>
      </c>
      <c r="AD435">
        <f ca="1"/>
      </c>
      <c r="AE435">
        <f ca="1"/>
      </c>
      <c r="AF435">
        <f ca="1"/>
      </c>
      <c r="AG435">
        <f ca="1"/>
      </c>
      <c r="AH435">
        <f ca="1"/>
      </c>
      <c r="AL435" s="7">
        <f ca="1"/>
      </c>
      <c r="AM435" s="14">
        <f ca="1"/>
      </c>
      <c r="AN435" s="14">
        <f ca="1"/>
      </c>
      <c r="AO435" s="14">
        <f ca="1"/>
      </c>
      <c r="AP435" s="14">
        <f ca="1"/>
      </c>
      <c r="AQ435" s="14">
        <f ca="1"/>
      </c>
      <c r="AR435" s="14">
        <f ca="1"/>
      </c>
      <c r="AV435" s="14">
        <f ca="1"/>
      </c>
      <c r="AW435" s="14">
        <f ca="1"/>
      </c>
      <c r="AX435" s="14">
        <f ca="1"/>
      </c>
      <c r="AY435" s="14">
        <f ca="1"/>
      </c>
      <c r="AZ435" s="14">
        <f ca="1"/>
      </c>
      <c r="BF435" s="7">
        <f ca="1"/>
      </c>
      <c r="BG435" s="14">
        <f ca="1"/>
      </c>
      <c r="BH435" s="14">
        <f ca="1"/>
      </c>
      <c r="BI435" s="14">
        <f ca="1"/>
      </c>
      <c r="BJ435" s="14">
        <f ca="1"/>
      </c>
      <c r="BK435" s="14">
        <f ca="1"/>
      </c>
    </row>
    <row r="436" spans="28:63" x14ac:dyDescent="0.55000000000000004">
      <c r="AB436">
        <f ca="1"/>
      </c>
      <c r="AC436">
        <f ca="1"/>
      </c>
      <c r="AD436">
        <f ca="1"/>
      </c>
      <c r="AE436">
        <f ca="1"/>
      </c>
      <c r="AF436">
        <f ca="1"/>
      </c>
      <c r="AG436">
        <f ca="1"/>
      </c>
      <c r="AH436">
        <f ca="1"/>
      </c>
      <c r="AL436" s="7">
        <f ca="1"/>
      </c>
      <c r="AM436" s="14">
        <f ca="1"/>
      </c>
      <c r="AN436" s="14">
        <f ca="1"/>
      </c>
      <c r="AO436" s="14">
        <f ca="1"/>
      </c>
      <c r="AP436" s="14">
        <f ca="1"/>
      </c>
      <c r="AQ436" s="14">
        <f ca="1"/>
      </c>
      <c r="AR436" s="14">
        <f ca="1"/>
      </c>
      <c r="AV436" s="14">
        <f ca="1"/>
      </c>
      <c r="AW436" s="14">
        <f ca="1"/>
      </c>
      <c r="AX436" s="14">
        <f ca="1"/>
      </c>
      <c r="AY436" s="14">
        <f ca="1"/>
      </c>
      <c r="AZ436" s="14">
        <f ca="1"/>
      </c>
      <c r="BF436" s="7">
        <f ca="1"/>
      </c>
      <c r="BG436" s="14">
        <f ca="1"/>
      </c>
      <c r="BH436" s="14">
        <f ca="1"/>
      </c>
      <c r="BI436" s="14">
        <f ca="1"/>
      </c>
      <c r="BJ436" s="14">
        <f ca="1"/>
      </c>
      <c r="BK436" s="14">
        <f ca="1"/>
      </c>
    </row>
    <row r="437" spans="28:63" x14ac:dyDescent="0.55000000000000004">
      <c r="AB437">
        <f ca="1"/>
      </c>
      <c r="AC437">
        <f ca="1"/>
      </c>
      <c r="AD437">
        <f ca="1"/>
      </c>
      <c r="AE437">
        <f ca="1"/>
      </c>
      <c r="AF437">
        <f ca="1"/>
      </c>
      <c r="AG437">
        <f ca="1"/>
      </c>
      <c r="AH437">
        <f ca="1"/>
      </c>
      <c r="AL437" s="7">
        <f ca="1"/>
      </c>
      <c r="AM437" s="14">
        <f ca="1"/>
      </c>
      <c r="AN437" s="14">
        <f ca="1"/>
      </c>
      <c r="AO437" s="14">
        <f ca="1"/>
      </c>
      <c r="AP437" s="14">
        <f ca="1"/>
      </c>
      <c r="AQ437" s="14">
        <f ca="1"/>
      </c>
      <c r="AR437" s="14">
        <f ca="1"/>
      </c>
      <c r="AV437" s="14">
        <f ca="1"/>
      </c>
      <c r="AW437" s="14">
        <f ca="1"/>
      </c>
      <c r="AX437" s="14">
        <f ca="1"/>
      </c>
      <c r="AY437" s="14">
        <f ca="1"/>
      </c>
      <c r="AZ437" s="14">
        <f ca="1"/>
      </c>
      <c r="BF437" s="7">
        <f ca="1"/>
      </c>
      <c r="BG437" s="14">
        <f ca="1"/>
      </c>
      <c r="BH437" s="14">
        <f ca="1"/>
      </c>
      <c r="BI437" s="14">
        <f ca="1"/>
      </c>
      <c r="BJ437" s="14">
        <f ca="1"/>
      </c>
      <c r="BK437" s="14">
        <f ca="1"/>
      </c>
    </row>
    <row r="438" spans="28:63" x14ac:dyDescent="0.55000000000000004">
      <c r="AB438">
        <f ca="1"/>
      </c>
      <c r="AC438">
        <f ca="1"/>
      </c>
      <c r="AD438">
        <f ca="1"/>
      </c>
      <c r="AE438">
        <f ca="1"/>
      </c>
      <c r="AF438">
        <f ca="1"/>
      </c>
      <c r="AG438">
        <f ca="1"/>
      </c>
      <c r="AH438">
        <f ca="1"/>
      </c>
      <c r="AL438" s="7">
        <f ca="1"/>
      </c>
      <c r="AM438" s="14">
        <f ca="1"/>
      </c>
      <c r="AN438" s="14">
        <f ca="1"/>
      </c>
      <c r="AO438" s="14">
        <f ca="1"/>
      </c>
      <c r="AP438" s="14">
        <f ca="1"/>
      </c>
      <c r="AQ438" s="14">
        <f ca="1"/>
      </c>
      <c r="AR438" s="14">
        <f ca="1"/>
      </c>
      <c r="AV438" s="14">
        <f ca="1"/>
      </c>
      <c r="AW438" s="14">
        <f ca="1"/>
      </c>
      <c r="AX438" s="14">
        <f ca="1"/>
      </c>
      <c r="AY438" s="14">
        <f ca="1"/>
      </c>
      <c r="AZ438" s="14">
        <f ca="1"/>
      </c>
      <c r="BF438" s="7">
        <f ca="1"/>
      </c>
      <c r="BG438" s="14">
        <f ca="1"/>
      </c>
      <c r="BH438" s="14">
        <f ca="1"/>
      </c>
      <c r="BI438" s="14">
        <f ca="1"/>
      </c>
      <c r="BJ438" s="14">
        <f ca="1"/>
      </c>
      <c r="BK438" s="14">
        <f ca="1"/>
      </c>
    </row>
    <row r="439" spans="28:63" x14ac:dyDescent="0.55000000000000004">
      <c r="AB439">
        <f ca="1"/>
      </c>
      <c r="AC439">
        <f ca="1"/>
      </c>
      <c r="AD439">
        <f ca="1"/>
      </c>
      <c r="AE439">
        <f ca="1"/>
      </c>
      <c r="AF439">
        <f ca="1"/>
      </c>
      <c r="AG439">
        <f ca="1"/>
      </c>
      <c r="AH439">
        <f ca="1"/>
      </c>
      <c r="AL439" s="7">
        <f ca="1"/>
      </c>
      <c r="AM439" s="14">
        <f ca="1"/>
      </c>
      <c r="AN439" s="14">
        <f ca="1"/>
      </c>
      <c r="AO439" s="14">
        <f ca="1"/>
      </c>
      <c r="AP439" s="14">
        <f ca="1"/>
      </c>
      <c r="AQ439" s="14">
        <f ca="1"/>
      </c>
      <c r="AR439" s="14">
        <f ca="1"/>
      </c>
      <c r="AV439" s="14">
        <f ca="1"/>
      </c>
      <c r="AW439" s="14">
        <f ca="1"/>
      </c>
      <c r="AX439" s="14">
        <f ca="1"/>
      </c>
      <c r="AY439" s="14">
        <f ca="1"/>
      </c>
      <c r="AZ439" s="14">
        <f ca="1"/>
      </c>
      <c r="BF439" s="7">
        <f ca="1"/>
      </c>
      <c r="BG439" s="14">
        <f ca="1"/>
      </c>
      <c r="BH439" s="14">
        <f ca="1"/>
      </c>
      <c r="BI439" s="14">
        <f ca="1"/>
      </c>
      <c r="BJ439" s="14">
        <f ca="1"/>
      </c>
      <c r="BK439" s="14">
        <f ca="1"/>
      </c>
    </row>
    <row r="440" spans="28:63" x14ac:dyDescent="0.55000000000000004">
      <c r="AB440">
        <f ca="1"/>
      </c>
      <c r="AC440">
        <f ca="1"/>
      </c>
      <c r="AD440">
        <f ca="1"/>
      </c>
      <c r="AE440">
        <f ca="1"/>
      </c>
      <c r="AF440">
        <f ca="1"/>
      </c>
      <c r="AG440">
        <f ca="1"/>
      </c>
      <c r="AH440">
        <f ca="1"/>
      </c>
      <c r="AL440" s="7">
        <f ca="1"/>
      </c>
      <c r="AM440" s="14">
        <f ca="1"/>
      </c>
      <c r="AN440" s="14">
        <f ca="1"/>
      </c>
      <c r="AO440" s="14">
        <f ca="1"/>
      </c>
      <c r="AP440" s="14">
        <f ca="1"/>
      </c>
      <c r="AQ440" s="14">
        <f ca="1"/>
      </c>
      <c r="AR440" s="14">
        <f ca="1"/>
      </c>
      <c r="AV440" s="14">
        <f ca="1"/>
      </c>
      <c r="AW440" s="14">
        <f ca="1"/>
      </c>
      <c r="AX440" s="14">
        <f ca="1"/>
      </c>
      <c r="AY440" s="14">
        <f ca="1"/>
      </c>
      <c r="AZ440" s="14">
        <f ca="1"/>
      </c>
      <c r="BF440" s="7">
        <f ca="1"/>
      </c>
      <c r="BG440" s="14">
        <f ca="1"/>
      </c>
      <c r="BH440" s="14">
        <f ca="1"/>
      </c>
      <c r="BI440" s="14">
        <f ca="1"/>
      </c>
      <c r="BJ440" s="14">
        <f ca="1"/>
      </c>
      <c r="BK440" s="14">
        <f ca="1"/>
      </c>
    </row>
    <row r="441" spans="28:63" x14ac:dyDescent="0.55000000000000004">
      <c r="AB441">
        <f ca="1"/>
      </c>
      <c r="AC441">
        <f ca="1"/>
      </c>
      <c r="AD441">
        <f ca="1"/>
      </c>
      <c r="AE441">
        <f ca="1"/>
      </c>
      <c r="AF441">
        <f ca="1"/>
      </c>
      <c r="AG441">
        <f ca="1"/>
      </c>
      <c r="AH441">
        <f ca="1"/>
      </c>
      <c r="AL441" s="7">
        <f ca="1"/>
      </c>
      <c r="AM441" s="14">
        <f ca="1"/>
      </c>
      <c r="AN441" s="14">
        <f ca="1"/>
      </c>
      <c r="AO441" s="14">
        <f ca="1"/>
      </c>
      <c r="AP441" s="14">
        <f ca="1"/>
      </c>
      <c r="AQ441" s="14">
        <f ca="1"/>
      </c>
      <c r="AR441" s="14">
        <f ca="1"/>
      </c>
      <c r="AV441" s="14">
        <f ca="1"/>
      </c>
      <c r="AW441" s="14">
        <f ca="1"/>
      </c>
      <c r="AX441" s="14">
        <f ca="1"/>
      </c>
      <c r="AY441" s="14">
        <f ca="1"/>
      </c>
      <c r="AZ441" s="14">
        <f ca="1"/>
      </c>
      <c r="BF441" s="7">
        <f ca="1"/>
      </c>
      <c r="BG441" s="14">
        <f ca="1"/>
      </c>
      <c r="BH441" s="14">
        <f ca="1"/>
      </c>
      <c r="BI441" s="14">
        <f ca="1"/>
      </c>
      <c r="BJ441" s="14">
        <f ca="1"/>
      </c>
      <c r="BK441" s="14">
        <f ca="1"/>
      </c>
    </row>
    <row r="442" spans="28:63" x14ac:dyDescent="0.55000000000000004">
      <c r="AB442">
        <f ca="1"/>
      </c>
      <c r="AC442">
        <f ca="1"/>
      </c>
      <c r="AD442">
        <f ca="1"/>
      </c>
      <c r="AE442">
        <f ca="1"/>
      </c>
      <c r="AF442">
        <f ca="1"/>
      </c>
      <c r="AG442">
        <f ca="1"/>
      </c>
      <c r="AH442">
        <f ca="1"/>
      </c>
      <c r="AL442" s="7">
        <f ca="1"/>
      </c>
      <c r="AM442" s="14">
        <f ca="1"/>
      </c>
      <c r="AN442" s="14">
        <f ca="1"/>
      </c>
      <c r="AO442" s="14">
        <f ca="1"/>
      </c>
      <c r="AP442" s="14">
        <f ca="1"/>
      </c>
      <c r="AQ442" s="14">
        <f ca="1"/>
      </c>
      <c r="AR442" s="14">
        <f ca="1"/>
      </c>
      <c r="AV442" s="14">
        <f ca="1"/>
      </c>
      <c r="AW442" s="14">
        <f ca="1"/>
      </c>
      <c r="AX442" s="14">
        <f ca="1"/>
      </c>
      <c r="AY442" s="14">
        <f ca="1"/>
      </c>
      <c r="AZ442" s="14">
        <f ca="1"/>
      </c>
      <c r="BF442" s="7">
        <f ca="1"/>
      </c>
      <c r="BG442" s="14">
        <f ca="1"/>
      </c>
      <c r="BH442" s="14">
        <f ca="1"/>
      </c>
      <c r="BI442" s="14">
        <f ca="1"/>
      </c>
      <c r="BJ442" s="14">
        <f ca="1"/>
      </c>
      <c r="BK442" s="14">
        <f ca="1"/>
      </c>
    </row>
    <row r="443" spans="28:63" x14ac:dyDescent="0.55000000000000004">
      <c r="AB443">
        <f ca="1"/>
      </c>
      <c r="AC443">
        <f ca="1"/>
      </c>
      <c r="AD443">
        <f ca="1"/>
      </c>
      <c r="AE443">
        <f ca="1"/>
      </c>
      <c r="AF443">
        <f ca="1"/>
      </c>
      <c r="AG443">
        <f ca="1"/>
      </c>
      <c r="AH443">
        <f ca="1"/>
      </c>
      <c r="AL443" s="7">
        <f ca="1"/>
      </c>
      <c r="AM443" s="14">
        <f ca="1"/>
      </c>
      <c r="AN443" s="14">
        <f ca="1"/>
      </c>
      <c r="AO443" s="14">
        <f ca="1"/>
      </c>
      <c r="AP443" s="14">
        <f ca="1"/>
      </c>
      <c r="AQ443" s="14">
        <f ca="1"/>
      </c>
      <c r="AR443" s="14">
        <f ca="1"/>
      </c>
      <c r="AV443" s="14">
        <f ca="1"/>
      </c>
      <c r="AW443" s="14">
        <f ca="1"/>
      </c>
      <c r="AX443" s="14">
        <f ca="1"/>
      </c>
      <c r="AY443" s="14">
        <f ca="1"/>
      </c>
      <c r="AZ443" s="14">
        <f ca="1"/>
      </c>
      <c r="BF443" s="7">
        <f ca="1"/>
      </c>
      <c r="BG443" s="14">
        <f ca="1"/>
      </c>
      <c r="BH443" s="14">
        <f ca="1"/>
      </c>
      <c r="BI443" s="14">
        <f ca="1"/>
      </c>
      <c r="BJ443" s="14">
        <f ca="1"/>
      </c>
      <c r="BK443" s="14">
        <f ca="1"/>
      </c>
    </row>
    <row r="444" spans="28:63" x14ac:dyDescent="0.55000000000000004">
      <c r="AB444">
        <f ca="1"/>
      </c>
      <c r="AC444">
        <f ca="1"/>
      </c>
      <c r="AD444">
        <f ca="1"/>
      </c>
      <c r="AE444">
        <f ca="1"/>
      </c>
      <c r="AF444">
        <f ca="1"/>
      </c>
      <c r="AG444">
        <f ca="1"/>
      </c>
      <c r="AH444">
        <f ca="1"/>
      </c>
      <c r="AL444" s="7">
        <f ca="1"/>
      </c>
      <c r="AM444" s="14">
        <f ca="1"/>
      </c>
      <c r="AN444" s="14">
        <f ca="1"/>
      </c>
      <c r="AO444" s="14">
        <f ca="1"/>
      </c>
      <c r="AP444" s="14">
        <f ca="1"/>
      </c>
      <c r="AQ444" s="14">
        <f ca="1"/>
      </c>
      <c r="AR444" s="14">
        <f ca="1"/>
      </c>
      <c r="AV444" s="14">
        <f ca="1"/>
      </c>
      <c r="AW444" s="14">
        <f ca="1"/>
      </c>
      <c r="AX444" s="14">
        <f ca="1"/>
      </c>
      <c r="AY444" s="14">
        <f ca="1"/>
      </c>
      <c r="AZ444" s="14">
        <f ca="1"/>
      </c>
      <c r="BF444" s="7">
        <f ca="1"/>
      </c>
      <c r="BG444" s="14">
        <f ca="1"/>
      </c>
      <c r="BH444" s="14">
        <f ca="1"/>
      </c>
      <c r="BI444" s="14">
        <f ca="1"/>
      </c>
      <c r="BJ444" s="14">
        <f ca="1"/>
      </c>
      <c r="BK444" s="14">
        <f ca="1"/>
      </c>
    </row>
    <row r="445" spans="28:63" x14ac:dyDescent="0.55000000000000004">
      <c r="AB445">
        <f ca="1"/>
      </c>
      <c r="AC445">
        <f ca="1"/>
      </c>
      <c r="AD445">
        <f ca="1"/>
      </c>
      <c r="AE445">
        <f ca="1"/>
      </c>
      <c r="AF445">
        <f ca="1"/>
      </c>
      <c r="AG445">
        <f ca="1"/>
      </c>
      <c r="AH445">
        <f ca="1"/>
      </c>
      <c r="AL445" s="7">
        <f ca="1"/>
      </c>
      <c r="AM445" s="14">
        <f ca="1"/>
      </c>
      <c r="AN445" s="14">
        <f ca="1"/>
      </c>
      <c r="AO445" s="14">
        <f ca="1"/>
      </c>
      <c r="AP445" s="14">
        <f ca="1"/>
      </c>
      <c r="AQ445" s="14">
        <f ca="1"/>
      </c>
      <c r="AR445" s="14">
        <f ca="1"/>
      </c>
      <c r="AV445" s="14">
        <f ca="1"/>
      </c>
      <c r="AW445" s="14">
        <f ca="1"/>
      </c>
      <c r="AX445" s="14">
        <f ca="1"/>
      </c>
      <c r="AY445" s="14">
        <f ca="1"/>
      </c>
      <c r="AZ445" s="14">
        <f ca="1"/>
      </c>
      <c r="BF445" s="7">
        <f ca="1"/>
      </c>
      <c r="BG445" s="14">
        <f ca="1"/>
      </c>
      <c r="BH445" s="14">
        <f ca="1"/>
      </c>
      <c r="BI445" s="14">
        <f ca="1"/>
      </c>
      <c r="BJ445" s="14">
        <f ca="1"/>
      </c>
      <c r="BK445" s="14">
        <f ca="1"/>
      </c>
    </row>
    <row r="446" spans="28:63" x14ac:dyDescent="0.55000000000000004">
      <c r="AB446">
        <f ca="1"/>
      </c>
      <c r="AC446">
        <f ca="1"/>
      </c>
      <c r="AD446">
        <f ca="1"/>
      </c>
      <c r="AE446">
        <f ca="1"/>
      </c>
      <c r="AF446">
        <f ca="1"/>
      </c>
      <c r="AG446">
        <f ca="1"/>
      </c>
      <c r="AH446">
        <f ca="1"/>
      </c>
      <c r="AL446" s="7">
        <f ca="1"/>
      </c>
      <c r="AM446" s="14">
        <f ca="1"/>
      </c>
      <c r="AN446" s="14">
        <f ca="1"/>
      </c>
      <c r="AO446" s="14">
        <f ca="1"/>
      </c>
      <c r="AP446" s="14">
        <f ca="1"/>
      </c>
      <c r="AQ446" s="14">
        <f ca="1"/>
      </c>
      <c r="AR446" s="14">
        <f ca="1"/>
      </c>
      <c r="AV446" s="14">
        <f ca="1"/>
      </c>
      <c r="AW446" s="14">
        <f ca="1"/>
      </c>
      <c r="AX446" s="14">
        <f ca="1"/>
      </c>
      <c r="AY446" s="14">
        <f ca="1"/>
      </c>
      <c r="AZ446" s="14">
        <f ca="1"/>
      </c>
      <c r="BF446" s="7">
        <f ca="1"/>
      </c>
      <c r="BG446" s="14">
        <f ca="1"/>
      </c>
      <c r="BH446" s="14">
        <f ca="1"/>
      </c>
      <c r="BI446" s="14">
        <f ca="1"/>
      </c>
      <c r="BJ446" s="14">
        <f ca="1"/>
      </c>
      <c r="BK446" s="14">
        <f ca="1"/>
      </c>
    </row>
    <row r="447" spans="28:63" x14ac:dyDescent="0.55000000000000004">
      <c r="AB447">
        <f ca="1"/>
      </c>
      <c r="AC447">
        <f ca="1"/>
      </c>
      <c r="AD447">
        <f ca="1"/>
      </c>
      <c r="AE447">
        <f ca="1"/>
      </c>
      <c r="AF447">
        <f ca="1"/>
      </c>
      <c r="AG447">
        <f ca="1"/>
      </c>
      <c r="AH447">
        <f ca="1"/>
      </c>
      <c r="AL447" s="7">
        <f ca="1"/>
      </c>
      <c r="AM447" s="14">
        <f ca="1"/>
      </c>
      <c r="AN447" s="14">
        <f ca="1"/>
      </c>
      <c r="AO447" s="14">
        <f ca="1"/>
      </c>
      <c r="AP447" s="14">
        <f ca="1"/>
      </c>
      <c r="AQ447" s="14">
        <f ca="1"/>
      </c>
      <c r="AR447" s="14">
        <f ca="1"/>
      </c>
      <c r="AV447" s="14">
        <f ca="1"/>
      </c>
      <c r="AW447" s="14">
        <f ca="1"/>
      </c>
      <c r="AX447" s="14">
        <f ca="1"/>
      </c>
      <c r="AY447" s="14">
        <f ca="1"/>
      </c>
      <c r="AZ447" s="14">
        <f ca="1"/>
      </c>
      <c r="BF447" s="7">
        <f ca="1"/>
      </c>
      <c r="BG447" s="14">
        <f ca="1"/>
      </c>
      <c r="BH447" s="14">
        <f ca="1"/>
      </c>
      <c r="BI447" s="14">
        <f ca="1"/>
      </c>
      <c r="BJ447" s="14">
        <f ca="1"/>
      </c>
      <c r="BK447" s="14">
        <f ca="1"/>
      </c>
    </row>
    <row r="448" spans="28:63" x14ac:dyDescent="0.55000000000000004">
      <c r="AB448">
        <f ca="1"/>
      </c>
      <c r="AC448">
        <f ca="1"/>
      </c>
      <c r="AD448">
        <f ca="1"/>
      </c>
      <c r="AE448">
        <f ca="1"/>
      </c>
      <c r="AF448">
        <f ca="1"/>
      </c>
      <c r="AG448">
        <f ca="1"/>
      </c>
      <c r="AH448">
        <f ca="1"/>
      </c>
      <c r="AL448" s="7">
        <f ca="1"/>
      </c>
      <c r="AM448" s="14">
        <f ca="1"/>
      </c>
      <c r="AN448" s="14">
        <f ca="1"/>
      </c>
      <c r="AO448" s="14">
        <f ca="1"/>
      </c>
      <c r="AP448" s="14">
        <f ca="1"/>
      </c>
      <c r="AQ448" s="14">
        <f ca="1"/>
      </c>
      <c r="AR448" s="14">
        <f ca="1"/>
      </c>
      <c r="AV448" s="14">
        <f ca="1"/>
      </c>
      <c r="AW448" s="14">
        <f ca="1"/>
      </c>
      <c r="AX448" s="14">
        <f ca="1"/>
      </c>
      <c r="AY448" s="14">
        <f ca="1"/>
      </c>
      <c r="AZ448" s="14">
        <f ca="1"/>
      </c>
      <c r="BF448" s="7">
        <f ca="1"/>
      </c>
      <c r="BG448" s="14">
        <f ca="1"/>
      </c>
      <c r="BH448" s="14">
        <f ca="1"/>
      </c>
      <c r="BI448" s="14">
        <f ca="1"/>
      </c>
      <c r="BJ448" s="14">
        <f ca="1"/>
      </c>
      <c r="BK448" s="14">
        <f ca="1"/>
      </c>
    </row>
    <row r="449" spans="28:63" x14ac:dyDescent="0.55000000000000004">
      <c r="AB449">
        <f ca="1"/>
      </c>
      <c r="AC449">
        <f ca="1"/>
      </c>
      <c r="AD449">
        <f ca="1"/>
      </c>
      <c r="AE449">
        <f ca="1"/>
      </c>
      <c r="AF449">
        <f ca="1"/>
      </c>
      <c r="AG449">
        <f ca="1"/>
      </c>
      <c r="AH449">
        <f ca="1"/>
      </c>
      <c r="AL449" s="7">
        <f ca="1"/>
      </c>
      <c r="AM449" s="14">
        <f ca="1"/>
      </c>
      <c r="AN449" s="14">
        <f ca="1"/>
      </c>
      <c r="AO449" s="14">
        <f ca="1"/>
      </c>
      <c r="AP449" s="14">
        <f ca="1"/>
      </c>
      <c r="AQ449" s="14">
        <f ca="1"/>
      </c>
      <c r="AR449" s="14">
        <f ca="1"/>
      </c>
      <c r="AV449" s="14">
        <f ca="1"/>
      </c>
      <c r="AW449" s="14">
        <f ca="1"/>
      </c>
      <c r="AX449" s="14">
        <f ca="1"/>
      </c>
      <c r="AY449" s="14">
        <f ca="1"/>
      </c>
      <c r="AZ449" s="14">
        <f ca="1"/>
      </c>
      <c r="BF449" s="7">
        <f ca="1"/>
      </c>
      <c r="BG449" s="14">
        <f ca="1"/>
      </c>
      <c r="BH449" s="14">
        <f ca="1"/>
      </c>
      <c r="BI449" s="14">
        <f ca="1"/>
      </c>
      <c r="BJ449" s="14">
        <f ca="1"/>
      </c>
      <c r="BK449" s="14">
        <f ca="1"/>
      </c>
    </row>
    <row r="450" spans="28:63" x14ac:dyDescent="0.55000000000000004">
      <c r="AB450">
        <f ca="1"/>
      </c>
      <c r="AC450">
        <f ca="1"/>
      </c>
      <c r="AD450">
        <f ca="1"/>
      </c>
      <c r="AE450">
        <f ca="1"/>
      </c>
      <c r="AF450">
        <f ca="1"/>
      </c>
      <c r="AG450">
        <f ca="1"/>
      </c>
      <c r="AH450">
        <f ca="1"/>
      </c>
      <c r="AL450" s="7">
        <f ca="1"/>
      </c>
      <c r="AM450" s="14">
        <f ca="1"/>
      </c>
      <c r="AN450" s="14">
        <f ca="1"/>
      </c>
      <c r="AO450" s="14">
        <f ca="1"/>
      </c>
      <c r="AP450" s="14">
        <f ca="1"/>
      </c>
      <c r="AQ450" s="14">
        <f ca="1"/>
      </c>
      <c r="AR450" s="14">
        <f ca="1"/>
      </c>
      <c r="AV450" s="14">
        <f ca="1"/>
      </c>
      <c r="AW450" s="14">
        <f ca="1"/>
      </c>
      <c r="AX450" s="14">
        <f ca="1"/>
      </c>
      <c r="AY450" s="14">
        <f ca="1"/>
      </c>
      <c r="AZ450" s="14">
        <f ca="1"/>
      </c>
      <c r="BF450" s="7">
        <f ca="1"/>
      </c>
      <c r="BG450" s="14">
        <f ca="1"/>
      </c>
      <c r="BH450" s="14">
        <f ca="1"/>
      </c>
      <c r="BI450" s="14">
        <f ca="1"/>
      </c>
      <c r="BJ450" s="14">
        <f ca="1"/>
      </c>
      <c r="BK450" s="14">
        <f ca="1"/>
      </c>
    </row>
    <row r="451" spans="28:63" x14ac:dyDescent="0.55000000000000004">
      <c r="AB451">
        <f ca="1"/>
      </c>
      <c r="AC451">
        <f ca="1"/>
      </c>
      <c r="AD451">
        <f ca="1"/>
      </c>
      <c r="AE451">
        <f ca="1"/>
      </c>
      <c r="AF451">
        <f ca="1"/>
      </c>
      <c r="AG451">
        <f ca="1"/>
      </c>
      <c r="AH451">
        <f ca="1"/>
      </c>
      <c r="AL451" s="7">
        <f ca="1"/>
      </c>
      <c r="AM451" s="14">
        <f ca="1"/>
      </c>
      <c r="AN451" s="14">
        <f ca="1"/>
      </c>
      <c r="AO451" s="14">
        <f ca="1"/>
      </c>
      <c r="AP451" s="14">
        <f ca="1"/>
      </c>
      <c r="AQ451" s="14">
        <f ca="1"/>
      </c>
      <c r="AR451" s="14">
        <f ca="1"/>
      </c>
      <c r="AV451" s="14">
        <f ca="1"/>
      </c>
      <c r="AW451" s="14">
        <f ca="1"/>
      </c>
      <c r="AX451" s="14">
        <f ca="1"/>
      </c>
      <c r="AY451" s="14">
        <f ca="1"/>
      </c>
      <c r="AZ451" s="14">
        <f ca="1"/>
      </c>
      <c r="BF451" s="7">
        <f ca="1"/>
      </c>
      <c r="BG451" s="14">
        <f ca="1"/>
      </c>
      <c r="BH451" s="14">
        <f ca="1"/>
      </c>
      <c r="BI451" s="14">
        <f ca="1"/>
      </c>
      <c r="BJ451" s="14">
        <f ca="1"/>
      </c>
      <c r="BK451" s="14">
        <f ca="1"/>
      </c>
    </row>
    <row r="452" spans="28:63" x14ac:dyDescent="0.55000000000000004">
      <c r="AB452">
        <f ca="1"/>
      </c>
      <c r="AC452">
        <f ca="1"/>
      </c>
      <c r="AD452">
        <f ca="1"/>
      </c>
      <c r="AE452">
        <f ca="1"/>
      </c>
      <c r="AF452">
        <f ca="1"/>
      </c>
      <c r="AG452">
        <f ca="1"/>
      </c>
      <c r="AH452">
        <f ca="1"/>
      </c>
      <c r="AL452" s="7">
        <f ca="1"/>
      </c>
      <c r="AM452" s="14">
        <f ca="1"/>
      </c>
      <c r="AN452" s="14">
        <f ca="1"/>
      </c>
      <c r="AO452" s="14">
        <f ca="1"/>
      </c>
      <c r="AP452" s="14">
        <f ca="1"/>
      </c>
      <c r="AQ452" s="14">
        <f ca="1"/>
      </c>
      <c r="AR452" s="14">
        <f ca="1"/>
      </c>
      <c r="AV452" s="14">
        <f ca="1"/>
      </c>
      <c r="AW452" s="14">
        <f ca="1"/>
      </c>
      <c r="AX452" s="14">
        <f ca="1"/>
      </c>
      <c r="AY452" s="14">
        <f ca="1"/>
      </c>
      <c r="AZ452" s="14">
        <f ca="1"/>
      </c>
      <c r="BF452" s="7">
        <f ca="1"/>
      </c>
      <c r="BG452" s="14">
        <f ca="1"/>
      </c>
      <c r="BH452" s="14">
        <f ca="1"/>
      </c>
      <c r="BI452" s="14">
        <f ca="1"/>
      </c>
      <c r="BJ452" s="14">
        <f ca="1"/>
      </c>
      <c r="BK452" s="14">
        <f ca="1"/>
      </c>
    </row>
    <row r="453" spans="28:63" x14ac:dyDescent="0.55000000000000004">
      <c r="AB453">
        <f ca="1"/>
      </c>
      <c r="AC453">
        <f ca="1"/>
      </c>
      <c r="AD453">
        <f ca="1"/>
      </c>
      <c r="AE453">
        <f ca="1"/>
      </c>
      <c r="AF453">
        <f ca="1"/>
      </c>
      <c r="AG453">
        <f ca="1"/>
      </c>
      <c r="AH453">
        <f ca="1"/>
      </c>
      <c r="AL453" s="7">
        <f ca="1"/>
      </c>
      <c r="AM453" s="14">
        <f ca="1"/>
      </c>
      <c r="AN453" s="14">
        <f ca="1"/>
      </c>
      <c r="AO453" s="14">
        <f ca="1"/>
      </c>
      <c r="AP453" s="14">
        <f ca="1"/>
      </c>
      <c r="AQ453" s="14">
        <f ca="1"/>
      </c>
      <c r="AR453" s="14">
        <f ca="1"/>
      </c>
      <c r="AV453" s="14">
        <f ca="1"/>
      </c>
      <c r="AW453" s="14">
        <f ca="1"/>
      </c>
      <c r="AX453" s="14">
        <f ca="1"/>
      </c>
      <c r="AY453" s="14">
        <f ca="1"/>
      </c>
      <c r="AZ453" s="14">
        <f ca="1"/>
      </c>
      <c r="BF453" s="7">
        <f ca="1"/>
      </c>
      <c r="BG453" s="14">
        <f ca="1"/>
      </c>
      <c r="BH453" s="14">
        <f ca="1"/>
      </c>
      <c r="BI453" s="14">
        <f ca="1"/>
      </c>
      <c r="BJ453" s="14">
        <f ca="1"/>
      </c>
      <c r="BK453" s="14">
        <f ca="1"/>
      </c>
    </row>
    <row r="454" spans="28:63" x14ac:dyDescent="0.55000000000000004">
      <c r="AB454">
        <f ca="1"/>
      </c>
      <c r="AC454">
        <f ca="1"/>
      </c>
      <c r="AD454">
        <f ca="1"/>
      </c>
      <c r="AE454">
        <f ca="1"/>
      </c>
      <c r="AF454">
        <f ca="1"/>
      </c>
      <c r="AG454">
        <f ca="1"/>
      </c>
      <c r="AH454">
        <f ca="1"/>
      </c>
      <c r="AL454" s="7">
        <f ca="1"/>
      </c>
      <c r="AM454" s="14">
        <f ca="1"/>
      </c>
      <c r="AN454" s="14">
        <f ca="1"/>
      </c>
      <c r="AO454" s="14">
        <f ca="1"/>
      </c>
      <c r="AP454" s="14">
        <f ca="1"/>
      </c>
      <c r="AQ454" s="14">
        <f ca="1"/>
      </c>
      <c r="AR454" s="14">
        <f ca="1"/>
      </c>
      <c r="AV454" s="14">
        <f ca="1"/>
      </c>
      <c r="AW454" s="14">
        <f ca="1"/>
      </c>
      <c r="AX454" s="14">
        <f ca="1"/>
      </c>
      <c r="AY454" s="14">
        <f ca="1"/>
      </c>
      <c r="AZ454" s="14">
        <f ca="1"/>
      </c>
      <c r="BF454" s="7">
        <f ca="1"/>
      </c>
      <c r="BG454" s="14">
        <f ca="1"/>
      </c>
      <c r="BH454" s="14">
        <f ca="1"/>
      </c>
      <c r="BI454" s="14">
        <f ca="1"/>
      </c>
      <c r="BJ454" s="14">
        <f ca="1"/>
      </c>
      <c r="BK454" s="14">
        <f ca="1"/>
      </c>
    </row>
    <row r="455" spans="28:63" x14ac:dyDescent="0.55000000000000004">
      <c r="AB455">
        <f ca="1"/>
      </c>
      <c r="AC455">
        <f ca="1"/>
      </c>
      <c r="AD455">
        <f ca="1"/>
      </c>
      <c r="AE455">
        <f ca="1"/>
      </c>
      <c r="AF455">
        <f ca="1"/>
      </c>
      <c r="AG455">
        <f ca="1"/>
      </c>
      <c r="AH455">
        <f ca="1"/>
      </c>
      <c r="AL455" s="7">
        <f ca="1"/>
      </c>
      <c r="AM455" s="14">
        <f ca="1"/>
      </c>
      <c r="AN455" s="14">
        <f ca="1"/>
      </c>
      <c r="AO455" s="14">
        <f ca="1"/>
      </c>
      <c r="AP455" s="14">
        <f ca="1"/>
      </c>
      <c r="AQ455" s="14">
        <f ca="1"/>
      </c>
      <c r="AR455" s="14">
        <f ca="1"/>
      </c>
      <c r="AV455" s="14">
        <f ca="1"/>
      </c>
      <c r="AW455" s="14">
        <f ca="1"/>
      </c>
      <c r="AX455" s="14">
        <f ca="1"/>
      </c>
      <c r="AY455" s="14">
        <f ca="1"/>
      </c>
      <c r="AZ455" s="14">
        <f ca="1"/>
      </c>
      <c r="BF455" s="7">
        <f ca="1"/>
      </c>
      <c r="BG455" s="14">
        <f ca="1"/>
      </c>
      <c r="BH455" s="14">
        <f ca="1"/>
      </c>
      <c r="BI455" s="14">
        <f ca="1"/>
      </c>
      <c r="BJ455" s="14">
        <f ca="1"/>
      </c>
      <c r="BK455" s="14">
        <f ca="1"/>
      </c>
    </row>
    <row r="456" spans="28:63" x14ac:dyDescent="0.55000000000000004">
      <c r="AB456">
        <f ca="1"/>
      </c>
      <c r="AC456">
        <f ca="1"/>
      </c>
      <c r="AD456">
        <f ca="1"/>
      </c>
      <c r="AE456">
        <f ca="1"/>
      </c>
      <c r="AF456">
        <f ca="1"/>
      </c>
      <c r="AG456">
        <f ca="1"/>
      </c>
      <c r="AH456">
        <f ca="1"/>
      </c>
      <c r="AL456" s="7">
        <f ca="1"/>
      </c>
      <c r="AM456" s="14">
        <f ca="1"/>
      </c>
      <c r="AN456" s="14">
        <f ca="1"/>
      </c>
      <c r="AO456" s="14">
        <f ca="1"/>
      </c>
      <c r="AP456" s="14">
        <f ca="1"/>
      </c>
      <c r="AQ456" s="14">
        <f ca="1"/>
      </c>
      <c r="AR456" s="14">
        <f ca="1"/>
      </c>
      <c r="AV456" s="14">
        <f ca="1"/>
      </c>
      <c r="AW456" s="14">
        <f ca="1"/>
      </c>
      <c r="AX456" s="14">
        <f ca="1"/>
      </c>
      <c r="AY456" s="14">
        <f ca="1"/>
      </c>
      <c r="AZ456" s="14">
        <f ca="1"/>
      </c>
      <c r="BF456" s="7">
        <f ca="1"/>
      </c>
      <c r="BG456" s="14">
        <f ca="1"/>
      </c>
      <c r="BH456" s="14">
        <f ca="1"/>
      </c>
      <c r="BI456" s="14">
        <f ca="1"/>
      </c>
      <c r="BJ456" s="14">
        <f ca="1"/>
      </c>
      <c r="BK456" s="14">
        <f ca="1"/>
      </c>
    </row>
    <row r="457" spans="28:63" x14ac:dyDescent="0.55000000000000004">
      <c r="AB457">
        <f ca="1"/>
      </c>
      <c r="AC457">
        <f ca="1"/>
      </c>
      <c r="AD457">
        <f ca="1"/>
      </c>
      <c r="AE457">
        <f ca="1"/>
      </c>
      <c r="AF457">
        <f ca="1"/>
      </c>
      <c r="AG457">
        <f ca="1"/>
      </c>
      <c r="AH457">
        <f ca="1"/>
      </c>
      <c r="AL457" s="7">
        <f ca="1"/>
      </c>
      <c r="AM457" s="14">
        <f ca="1"/>
      </c>
      <c r="AN457" s="14">
        <f ca="1"/>
      </c>
      <c r="AO457" s="14">
        <f ca="1"/>
      </c>
      <c r="AP457" s="14">
        <f ca="1"/>
      </c>
      <c r="AQ457" s="14">
        <f ca="1"/>
      </c>
      <c r="AR457" s="14">
        <f ca="1"/>
      </c>
      <c r="AV457" s="14">
        <f ca="1"/>
      </c>
      <c r="AW457" s="14">
        <f ca="1"/>
      </c>
      <c r="AX457" s="14">
        <f ca="1"/>
      </c>
      <c r="AY457" s="14">
        <f ca="1"/>
      </c>
      <c r="AZ457" s="14">
        <f ca="1"/>
      </c>
      <c r="BF457" s="7">
        <f ca="1"/>
      </c>
      <c r="BG457" s="14">
        <f ca="1"/>
      </c>
      <c r="BH457" s="14">
        <f ca="1"/>
      </c>
      <c r="BI457" s="14">
        <f ca="1"/>
      </c>
      <c r="BJ457" s="14">
        <f ca="1"/>
      </c>
      <c r="BK457" s="14">
        <f ca="1"/>
      </c>
    </row>
    <row r="458" spans="28:63" x14ac:dyDescent="0.55000000000000004">
      <c r="AB458">
        <f ca="1"/>
      </c>
      <c r="AC458">
        <f ca="1"/>
      </c>
      <c r="AD458">
        <f ca="1"/>
      </c>
      <c r="AE458">
        <f ca="1"/>
      </c>
      <c r="AF458">
        <f ca="1"/>
      </c>
      <c r="AG458">
        <f ca="1"/>
      </c>
      <c r="AH458">
        <f ca="1"/>
      </c>
      <c r="AL458" s="7">
        <f ca="1"/>
      </c>
      <c r="AM458" s="14">
        <f ca="1"/>
      </c>
      <c r="AN458" s="14">
        <f ca="1"/>
      </c>
      <c r="AO458" s="14">
        <f ca="1"/>
      </c>
      <c r="AP458" s="14">
        <f ca="1"/>
      </c>
      <c r="AQ458" s="14">
        <f ca="1"/>
      </c>
      <c r="AR458" s="14">
        <f ca="1"/>
      </c>
      <c r="AV458" s="14">
        <f ca="1"/>
      </c>
      <c r="AW458" s="14">
        <f ca="1"/>
      </c>
      <c r="AX458" s="14">
        <f ca="1"/>
      </c>
      <c r="AY458" s="14">
        <f ca="1"/>
      </c>
      <c r="AZ458" s="14">
        <f ca="1"/>
      </c>
      <c r="BF458" s="7">
        <f ca="1"/>
      </c>
      <c r="BG458" s="14">
        <f ca="1"/>
      </c>
      <c r="BH458" s="14">
        <f ca="1"/>
      </c>
      <c r="BI458" s="14">
        <f ca="1"/>
      </c>
      <c r="BJ458" s="14">
        <f ca="1"/>
      </c>
      <c r="BK458" s="14">
        <f ca="1"/>
      </c>
    </row>
    <row r="459" spans="28:63" x14ac:dyDescent="0.55000000000000004">
      <c r="AB459">
        <f ca="1"/>
      </c>
      <c r="AC459">
        <f ca="1"/>
      </c>
      <c r="AD459">
        <f ca="1"/>
      </c>
      <c r="AE459">
        <f ca="1"/>
      </c>
      <c r="AF459">
        <f ca="1"/>
      </c>
      <c r="AG459">
        <f ca="1"/>
      </c>
      <c r="AH459">
        <f ca="1"/>
      </c>
      <c r="AL459" s="7">
        <f ca="1"/>
      </c>
      <c r="AM459" s="14">
        <f ca="1"/>
      </c>
      <c r="AN459" s="14">
        <f ca="1"/>
      </c>
      <c r="AO459" s="14">
        <f ca="1"/>
      </c>
      <c r="AP459" s="14">
        <f ca="1"/>
      </c>
      <c r="AQ459" s="14">
        <f ca="1"/>
      </c>
      <c r="AR459" s="14">
        <f ca="1"/>
      </c>
      <c r="AV459" s="14">
        <f ca="1"/>
      </c>
      <c r="AW459" s="14">
        <f ca="1"/>
      </c>
      <c r="AX459" s="14">
        <f ca="1"/>
      </c>
      <c r="AY459" s="14">
        <f ca="1"/>
      </c>
      <c r="AZ459" s="14">
        <f ca="1"/>
      </c>
      <c r="BF459" s="7">
        <f ca="1"/>
      </c>
      <c r="BG459" s="14">
        <f ca="1"/>
      </c>
      <c r="BH459" s="14">
        <f ca="1"/>
      </c>
      <c r="BI459" s="14">
        <f ca="1"/>
      </c>
      <c r="BJ459" s="14">
        <f ca="1"/>
      </c>
      <c r="BK459" s="14">
        <f ca="1"/>
      </c>
    </row>
    <row r="460" spans="28:63" x14ac:dyDescent="0.55000000000000004">
      <c r="AB460">
        <f ca="1"/>
      </c>
      <c r="AC460">
        <f ca="1"/>
      </c>
      <c r="AD460">
        <f ca="1"/>
      </c>
      <c r="AE460">
        <f ca="1"/>
      </c>
      <c r="AF460">
        <f ca="1"/>
      </c>
      <c r="AG460">
        <f ca="1"/>
      </c>
      <c r="AH460">
        <f ca="1"/>
      </c>
      <c r="AL460" s="7">
        <f ca="1"/>
      </c>
      <c r="AM460" s="14">
        <f ca="1"/>
      </c>
      <c r="AN460" s="14">
        <f ca="1"/>
      </c>
      <c r="AO460" s="14">
        <f ca="1"/>
      </c>
      <c r="AP460" s="14">
        <f ca="1"/>
      </c>
      <c r="AQ460" s="14">
        <f ca="1"/>
      </c>
      <c r="AR460" s="14">
        <f ca="1"/>
      </c>
      <c r="AV460" s="14">
        <f ca="1"/>
      </c>
      <c r="AW460" s="14">
        <f ca="1"/>
      </c>
      <c r="AX460" s="14">
        <f ca="1"/>
      </c>
      <c r="AY460" s="14">
        <f ca="1"/>
      </c>
      <c r="AZ460" s="14">
        <f ca="1"/>
      </c>
      <c r="BF460" s="7">
        <f ca="1"/>
      </c>
      <c r="BG460" s="14">
        <f ca="1"/>
      </c>
      <c r="BH460" s="14">
        <f ca="1"/>
      </c>
      <c r="BI460" s="14">
        <f ca="1"/>
      </c>
      <c r="BJ460" s="14">
        <f ca="1"/>
      </c>
      <c r="BK460" s="14">
        <f ca="1"/>
      </c>
    </row>
    <row r="461" spans="28:63" x14ac:dyDescent="0.55000000000000004">
      <c r="AB461">
        <f ca="1"/>
      </c>
      <c r="AC461">
        <f ca="1"/>
      </c>
      <c r="AD461">
        <f ca="1"/>
      </c>
      <c r="AE461">
        <f ca="1"/>
      </c>
      <c r="AF461">
        <f ca="1"/>
      </c>
      <c r="AG461">
        <f ca="1"/>
      </c>
      <c r="AH461">
        <f ca="1"/>
      </c>
      <c r="AL461" s="7">
        <f ca="1"/>
      </c>
      <c r="AM461" s="14">
        <f ca="1"/>
      </c>
      <c r="AN461" s="14">
        <f ca="1"/>
      </c>
      <c r="AO461" s="14">
        <f ca="1"/>
      </c>
      <c r="AP461" s="14">
        <f ca="1"/>
      </c>
      <c r="AQ461" s="14">
        <f ca="1"/>
      </c>
      <c r="AR461" s="14">
        <f ca="1"/>
      </c>
      <c r="AV461" s="14">
        <f ca="1"/>
      </c>
      <c r="AW461" s="14">
        <f ca="1"/>
      </c>
      <c r="AX461" s="14">
        <f ca="1"/>
      </c>
      <c r="AY461" s="14">
        <f ca="1"/>
      </c>
      <c r="AZ461" s="14">
        <f ca="1"/>
      </c>
      <c r="BF461" s="7">
        <f ca="1"/>
      </c>
      <c r="BG461" s="14">
        <f ca="1"/>
      </c>
      <c r="BH461" s="14">
        <f ca="1"/>
      </c>
      <c r="BI461" s="14">
        <f ca="1"/>
      </c>
      <c r="BJ461" s="14">
        <f ca="1"/>
      </c>
      <c r="BK461" s="14">
        <f ca="1"/>
      </c>
    </row>
    <row r="462" spans="28:63" x14ac:dyDescent="0.55000000000000004">
      <c r="AB462">
        <f ca="1"/>
      </c>
      <c r="AC462">
        <f ca="1"/>
      </c>
      <c r="AD462">
        <f ca="1"/>
      </c>
      <c r="AE462">
        <f ca="1"/>
      </c>
      <c r="AF462">
        <f ca="1"/>
      </c>
      <c r="AG462">
        <f ca="1"/>
      </c>
      <c r="AH462">
        <f ca="1"/>
      </c>
      <c r="AL462" s="7">
        <f ca="1"/>
      </c>
      <c r="AM462" s="14">
        <f ca="1"/>
      </c>
      <c r="AN462" s="14">
        <f ca="1"/>
      </c>
      <c r="AO462" s="14">
        <f ca="1"/>
      </c>
      <c r="AP462" s="14">
        <f ca="1"/>
      </c>
      <c r="AQ462" s="14">
        <f ca="1"/>
      </c>
      <c r="AR462" s="14">
        <f ca="1"/>
      </c>
      <c r="AV462" s="14">
        <f ca="1"/>
      </c>
      <c r="AW462" s="14">
        <f ca="1"/>
      </c>
      <c r="AX462" s="14">
        <f ca="1"/>
      </c>
      <c r="AY462" s="14">
        <f ca="1"/>
      </c>
      <c r="AZ462" s="14">
        <f ca="1"/>
      </c>
      <c r="BF462" s="7">
        <f ca="1"/>
      </c>
      <c r="BG462" s="14">
        <f ca="1"/>
      </c>
      <c r="BH462" s="14">
        <f ca="1"/>
      </c>
      <c r="BI462" s="14">
        <f ca="1"/>
      </c>
      <c r="BJ462" s="14">
        <f ca="1"/>
      </c>
      <c r="BK462" s="14">
        <f ca="1"/>
      </c>
    </row>
    <row r="463" spans="28:63" x14ac:dyDescent="0.55000000000000004">
      <c r="AB463">
        <f ca="1"/>
      </c>
      <c r="AC463">
        <f ca="1"/>
      </c>
      <c r="AD463">
        <f ca="1"/>
      </c>
      <c r="AE463">
        <f ca="1"/>
      </c>
      <c r="AF463">
        <f ca="1"/>
      </c>
      <c r="AG463">
        <f ca="1"/>
      </c>
      <c r="AH463">
        <f ca="1"/>
      </c>
      <c r="AL463" s="7">
        <f ca="1"/>
      </c>
      <c r="AM463" s="14">
        <f ca="1"/>
      </c>
      <c r="AN463" s="14">
        <f ca="1"/>
      </c>
      <c r="AO463" s="14">
        <f ca="1"/>
      </c>
      <c r="AP463" s="14">
        <f ca="1"/>
      </c>
      <c r="AQ463" s="14">
        <f ca="1"/>
      </c>
      <c r="AR463" s="14">
        <f ca="1"/>
      </c>
      <c r="AV463" s="14">
        <f ca="1"/>
      </c>
      <c r="AW463" s="14">
        <f ca="1"/>
      </c>
      <c r="AX463" s="14">
        <f ca="1"/>
      </c>
      <c r="AY463" s="14">
        <f ca="1"/>
      </c>
      <c r="AZ463" s="14">
        <f ca="1"/>
      </c>
      <c r="BF463" s="7">
        <f ca="1"/>
      </c>
      <c r="BG463" s="14">
        <f ca="1"/>
      </c>
      <c r="BH463" s="14">
        <f ca="1"/>
      </c>
      <c r="BI463" s="14">
        <f ca="1"/>
      </c>
      <c r="BJ463" s="14">
        <f ca="1"/>
      </c>
      <c r="BK463" s="14">
        <f ca="1"/>
      </c>
    </row>
    <row r="464" spans="28:63" x14ac:dyDescent="0.55000000000000004">
      <c r="AB464">
        <f ca="1"/>
      </c>
      <c r="AC464">
        <f ca="1"/>
      </c>
      <c r="AD464">
        <f ca="1"/>
      </c>
      <c r="AE464">
        <f ca="1"/>
      </c>
      <c r="AF464">
        <f ca="1"/>
      </c>
      <c r="AG464">
        <f ca="1"/>
      </c>
      <c r="AH464">
        <f ca="1"/>
      </c>
      <c r="AL464" s="7">
        <f ca="1"/>
      </c>
      <c r="AM464" s="14">
        <f ca="1"/>
      </c>
      <c r="AN464" s="14">
        <f ca="1"/>
      </c>
      <c r="AO464" s="14">
        <f ca="1"/>
      </c>
      <c r="AP464" s="14">
        <f ca="1"/>
      </c>
      <c r="AQ464" s="14">
        <f ca="1"/>
      </c>
      <c r="AR464" s="14">
        <f ca="1"/>
      </c>
      <c r="AV464" s="14">
        <f ca="1"/>
      </c>
      <c r="AW464" s="14">
        <f ca="1"/>
      </c>
      <c r="AX464" s="14">
        <f ca="1"/>
      </c>
      <c r="AY464" s="14">
        <f ca="1"/>
      </c>
      <c r="AZ464" s="14">
        <f ca="1"/>
      </c>
      <c r="BF464" s="7">
        <f ca="1"/>
      </c>
      <c r="BG464" s="14">
        <f ca="1"/>
      </c>
      <c r="BH464" s="14">
        <f ca="1"/>
      </c>
      <c r="BI464" s="14">
        <f ca="1"/>
      </c>
      <c r="BJ464" s="14">
        <f ca="1"/>
      </c>
      <c r="BK464" s="14">
        <f ca="1"/>
      </c>
    </row>
    <row r="465" spans="28:63" x14ac:dyDescent="0.55000000000000004">
      <c r="AB465">
        <f ca="1"/>
      </c>
      <c r="AC465">
        <f ca="1"/>
      </c>
      <c r="AD465">
        <f ca="1"/>
      </c>
      <c r="AE465">
        <f ca="1"/>
      </c>
      <c r="AF465">
        <f ca="1"/>
      </c>
      <c r="AG465">
        <f ca="1"/>
      </c>
      <c r="AH465">
        <f ca="1"/>
      </c>
      <c r="AL465" s="7">
        <f ca="1"/>
      </c>
      <c r="AM465" s="14">
        <f ca="1"/>
      </c>
      <c r="AN465" s="14">
        <f ca="1"/>
      </c>
      <c r="AO465" s="14">
        <f ca="1"/>
      </c>
      <c r="AP465" s="14">
        <f ca="1"/>
      </c>
      <c r="AQ465" s="14">
        <f ca="1"/>
      </c>
      <c r="AR465" s="14">
        <f ca="1"/>
      </c>
      <c r="AV465" s="14">
        <f ca="1"/>
      </c>
      <c r="AW465" s="14">
        <f ca="1"/>
      </c>
      <c r="AX465" s="14">
        <f ca="1"/>
      </c>
      <c r="AY465" s="14">
        <f ca="1"/>
      </c>
      <c r="AZ465" s="14">
        <f ca="1"/>
      </c>
      <c r="BF465" s="7">
        <f ca="1"/>
      </c>
      <c r="BG465" s="14">
        <f ca="1"/>
      </c>
      <c r="BH465" s="14">
        <f ca="1"/>
      </c>
      <c r="BI465" s="14">
        <f ca="1"/>
      </c>
      <c r="BJ465" s="14">
        <f ca="1"/>
      </c>
      <c r="BK465" s="14">
        <f ca="1"/>
      </c>
    </row>
    <row r="466" spans="28:63" x14ac:dyDescent="0.55000000000000004">
      <c r="AB466">
        <f ca="1"/>
      </c>
      <c r="AC466">
        <f ca="1"/>
      </c>
      <c r="AD466">
        <f ca="1"/>
      </c>
      <c r="AE466">
        <f ca="1"/>
      </c>
      <c r="AF466">
        <f ca="1"/>
      </c>
      <c r="AG466">
        <f ca="1"/>
      </c>
      <c r="AH466">
        <f ca="1"/>
      </c>
      <c r="AL466" s="7">
        <f ca="1"/>
      </c>
      <c r="AM466" s="14">
        <f ca="1"/>
      </c>
      <c r="AN466" s="14">
        <f ca="1"/>
      </c>
      <c r="AO466" s="14">
        <f ca="1"/>
      </c>
      <c r="AP466" s="14">
        <f ca="1"/>
      </c>
      <c r="AQ466" s="14">
        <f ca="1"/>
      </c>
      <c r="AR466" s="14">
        <f ca="1"/>
      </c>
      <c r="AV466" s="14">
        <f ca="1"/>
      </c>
      <c r="AW466" s="14">
        <f ca="1"/>
      </c>
      <c r="AX466" s="14">
        <f ca="1"/>
      </c>
      <c r="AY466" s="14">
        <f ca="1"/>
      </c>
      <c r="AZ466" s="14">
        <f ca="1"/>
      </c>
      <c r="BF466" s="7">
        <f ca="1"/>
      </c>
      <c r="BG466" s="14">
        <f ca="1"/>
      </c>
      <c r="BH466" s="14">
        <f ca="1"/>
      </c>
      <c r="BI466" s="14">
        <f ca="1"/>
      </c>
      <c r="BJ466" s="14">
        <f ca="1"/>
      </c>
      <c r="BK466" s="14">
        <f ca="1"/>
      </c>
    </row>
    <row r="467" spans="28:63" x14ac:dyDescent="0.55000000000000004">
      <c r="AB467">
        <f ca="1"/>
      </c>
      <c r="AC467">
        <f ca="1"/>
      </c>
      <c r="AD467">
        <f ca="1"/>
      </c>
      <c r="AE467">
        <f ca="1"/>
      </c>
      <c r="AF467">
        <f ca="1"/>
      </c>
      <c r="AG467">
        <f ca="1"/>
      </c>
      <c r="AH467">
        <f ca="1"/>
      </c>
      <c r="AL467" s="7">
        <f ca="1"/>
      </c>
      <c r="AM467" s="14">
        <f ca="1"/>
      </c>
      <c r="AN467" s="14">
        <f ca="1"/>
      </c>
      <c r="AO467" s="14">
        <f ca="1"/>
      </c>
      <c r="AP467" s="14">
        <f ca="1"/>
      </c>
      <c r="AQ467" s="14">
        <f ca="1"/>
      </c>
      <c r="AR467" s="14">
        <f ca="1"/>
      </c>
      <c r="AV467" s="14">
        <f ca="1"/>
      </c>
      <c r="AW467" s="14">
        <f ca="1"/>
      </c>
      <c r="AX467" s="14">
        <f ca="1"/>
      </c>
      <c r="AY467" s="14">
        <f ca="1"/>
      </c>
      <c r="AZ467" s="14">
        <f ca="1"/>
      </c>
      <c r="BF467" s="7">
        <f ca="1"/>
      </c>
      <c r="BG467" s="14">
        <f ca="1"/>
      </c>
      <c r="BH467" s="14">
        <f ca="1"/>
      </c>
      <c r="BI467" s="14">
        <f ca="1"/>
      </c>
      <c r="BJ467" s="14">
        <f ca="1"/>
      </c>
      <c r="BK467" s="14">
        <f ca="1"/>
      </c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6330C-0A9D-4D09-A12F-B9AE5B44F962}">
  <sheetPr codeName="Sheet8"/>
  <dimension ref="A1:MA3000"/>
  <sheetViews>
    <sheetView zoomScale="61" workbookViewId="0">
      <selection activeCell="O22" sqref="O22"/>
    </sheetView>
  </sheetViews>
  <sheetFormatPr defaultRowHeight="18.5" outlineLevelCol="1" x14ac:dyDescent="0.55000000000000004"/>
  <cols>
    <col min="1" max="1" width="22.58203125" customWidth="1"/>
    <col min="2" max="9" width="12.1640625" customWidth="1"/>
    <col min="27" max="338" width="0" hidden="1" customWidth="1" outlineLevel="1"/>
    <col min="339" max="339" width="8.6640625" collapsed="1"/>
  </cols>
  <sheetData>
    <row r="1" spans="1:182" x14ac:dyDescent="0.55000000000000004">
      <c r="A1" s="4" t="s">
        <v>58</v>
      </c>
      <c r="B1" s="2" t="s">
        <v>53</v>
      </c>
      <c r="C1" t="s">
        <v>383</v>
      </c>
      <c r="D1" s="48" cm="1">
        <f t="array" aca="1" ref="D1" ca="1">LiveInfo("vol",_xlfn.ANCHORARRAY($AA$3))</f>
      </c>
      <c r="E1" t="s">
        <v>384</v>
      </c>
      <c r="F1" s="48" cm="1">
        <f t="array" aca="1" ref="F1" ca="1">LiveInfo("swap",_xlfn.ANCHORARRAY($AE$3))</f>
      </c>
      <c r="G1" t="s">
        <v>385</v>
      </c>
    </row>
    <row r="2" spans="1:182" ht="20" x14ac:dyDescent="0.55000000000000004">
      <c r="A2" s="20" t="s">
        <v>386</v>
      </c>
      <c r="AA2" s="4" t="s">
        <v>91</v>
      </c>
      <c r="AE2" s="4" t="s">
        <v>116</v>
      </c>
      <c r="AJ2" s="4" t="s">
        <v>117</v>
      </c>
      <c r="AP2" s="4" t="s">
        <v>118</v>
      </c>
      <c r="AS2" s="4" t="s">
        <v>393</v>
      </c>
      <c r="BD2" s="4" t="s">
        <v>394</v>
      </c>
      <c r="BF2" s="4" t="s">
        <v>396</v>
      </c>
      <c r="CA2" s="4" t="s">
        <v>431</v>
      </c>
      <c r="CK2" s="4" t="s">
        <v>446</v>
      </c>
      <c r="CN2" s="4" t="s">
        <v>447</v>
      </c>
    </row>
    <row r="3" spans="1:182" x14ac:dyDescent="0.55000000000000004">
      <c r="A3" s="4" t="s">
        <v>256</v>
      </c>
      <c r="AA3" cm="1">
        <f t="array" aca="1" ref="AA3:AC158" ca="1">IF($B$1="Fixed",LiveSnapshot("vol"),LiveQuotes("vol"))</f>
      </c>
      <c r="AB3">
        <f ca="1"/>
      </c>
      <c r="AC3">
        <f ca="1"/>
      </c>
      <c r="AE3" cm="1">
        <f t="array" aca="1" ref="AE3:AH46" ca="1">IF($B$1="Fixed",LiveSnapshot("swap"),LiveQuotes("swap"))</f>
      </c>
      <c r="AF3">
        <f ca="1"/>
      </c>
      <c r="AG3">
        <f ca="1"/>
      </c>
      <c r="AH3">
        <f ca="1"/>
      </c>
      <c r="AJ3" cm="1">
        <f t="array" aca="1" ref="AJ3:AN46" ca="1">_xlfn.LET(_xlpm.q,_xlfn.ANCHORARRAY($AE$3),_xlpm.t,$AP$4:$AP$47,_xlfn.HSTACK($AQ$4:$AQ$47,_xlpm.t,INDEX(_xlpm.q,_xlfn.XMATCH(_xlpm.t,INDEX(_xlpm.q,,1)),{2,3,4})))</f>
      </c>
      <c r="AK3">
        <f ca="1"/>
      </c>
      <c r="AL3">
        <f ca="1"/>
      </c>
      <c r="AM3">
        <f ca="1"/>
      </c>
      <c r="AN3">
        <f ca="1"/>
      </c>
      <c r="AP3" s="4" t="s">
        <v>119</v>
      </c>
      <c r="AQ3" s="4" t="s">
        <v>120</v>
      </c>
      <c r="AS3" cm="1">
        <f t="array" aca="1" ref="AS3:BB486" ca="1">VolHistory($B$4:$B$6)</f>
      </c>
      <c r="AT3">
        <f ca="1"/>
      </c>
      <c r="AU3">
        <f ca="1"/>
      </c>
      <c r="AV3">
        <f ca="1"/>
      </c>
      <c r="AW3">
        <f ca="1"/>
      </c>
      <c r="AX3">
        <f ca="1"/>
      </c>
      <c r="AY3">
        <f ca="1"/>
      </c>
      <c r="AZ3">
        <f ca="1"/>
      </c>
      <c r="BA3">
        <f ca="1"/>
      </c>
      <c r="BB3">
        <f ca="1"/>
      </c>
      <c r="BD3" s="4" t="s">
        <v>395</v>
      </c>
      <c r="BF3" s="4" t="s">
        <v>397</v>
      </c>
      <c r="BG3" s="4" t="s">
        <v>398</v>
      </c>
      <c r="BH3" s="4" t="s">
        <v>399</v>
      </c>
      <c r="BI3" s="4" t="s">
        <v>400</v>
      </c>
      <c r="BJ3" s="4" t="s">
        <v>401</v>
      </c>
      <c r="BK3" s="4" t="s">
        <v>402</v>
      </c>
      <c r="BM3" s="4" t="s">
        <v>403</v>
      </c>
      <c r="BN3" s="4" t="s">
        <v>404</v>
      </c>
      <c r="BO3" s="4" t="s">
        <v>405</v>
      </c>
      <c r="BP3" s="4" t="s">
        <v>406</v>
      </c>
      <c r="BQ3" s="4" t="s">
        <v>407</v>
      </c>
      <c r="BR3" s="4" t="s">
        <v>408</v>
      </c>
      <c r="BT3" s="4" t="s">
        <v>409</v>
      </c>
      <c r="BU3" s="4" t="s">
        <v>410</v>
      </c>
      <c r="BV3" s="4" t="s">
        <v>411</v>
      </c>
      <c r="BW3" s="4" t="s">
        <v>412</v>
      </c>
      <c r="BX3" s="4" t="s">
        <v>413</v>
      </c>
      <c r="BY3" s="4" t="s">
        <v>414</v>
      </c>
      <c r="CA3" s="4" t="s">
        <v>415</v>
      </c>
      <c r="CB3" s="4" t="s">
        <v>395</v>
      </c>
      <c r="CC3" s="4" t="s">
        <v>432</v>
      </c>
      <c r="CD3" s="4" t="s">
        <v>433</v>
      </c>
      <c r="CE3" s="4" t="s">
        <v>434</v>
      </c>
      <c r="CF3" s="4" t="s">
        <v>435</v>
      </c>
      <c r="CG3" s="4" t="s">
        <v>436</v>
      </c>
      <c r="CH3" s="4" t="s">
        <v>437</v>
      </c>
      <c r="CI3" s="4" t="s">
        <v>438</v>
      </c>
      <c r="CK3" s="4" t="s">
        <v>64</v>
      </c>
      <c r="CL3" s="4" t="s">
        <v>395</v>
      </c>
      <c r="CN3" cm="1">
        <f t="array" aca="1" ref="CN3:FZ486" ca="1">VolHistory(_xlfn.ANCHORARRAY($CK$4))</f>
      </c>
      <c r="CO3">
        <f ca="1"/>
      </c>
      <c r="CP3">
        <f ca="1"/>
      </c>
      <c r="CQ3">
        <f ca="1"/>
      </c>
      <c r="CR3">
        <f ca="1"/>
      </c>
      <c r="CS3">
        <f ca="1"/>
      </c>
      <c r="CT3">
        <f ca="1"/>
      </c>
      <c r="CU3">
        <f ca="1"/>
      </c>
      <c r="CV3">
        <f ca="1"/>
      </c>
      <c r="CW3">
        <f ca="1"/>
      </c>
      <c r="CX3">
        <f ca="1"/>
      </c>
      <c r="CY3">
        <f ca="1"/>
      </c>
      <c r="CZ3">
        <f ca="1"/>
      </c>
      <c r="DA3">
        <f ca="1"/>
      </c>
      <c r="DB3">
        <f ca="1"/>
      </c>
      <c r="DC3">
        <f ca="1"/>
      </c>
      <c r="DD3">
        <f ca="1"/>
      </c>
      <c r="DE3">
        <f ca="1"/>
      </c>
      <c r="DF3">
        <f ca="1"/>
      </c>
      <c r="DG3">
        <f ca="1"/>
      </c>
      <c r="DH3">
        <f ca="1"/>
      </c>
      <c r="DI3">
        <f ca="1"/>
      </c>
      <c r="DJ3">
        <f ca="1"/>
      </c>
      <c r="DK3">
        <f ca="1"/>
      </c>
      <c r="DL3">
        <f ca="1"/>
      </c>
      <c r="DM3">
        <f ca="1"/>
      </c>
      <c r="DN3">
        <f ca="1"/>
      </c>
      <c r="DO3">
        <f ca="1"/>
      </c>
      <c r="DP3">
        <f ca="1"/>
      </c>
      <c r="DQ3">
        <f ca="1"/>
      </c>
      <c r="DR3">
        <f ca="1"/>
      </c>
      <c r="DS3">
        <f ca="1"/>
      </c>
      <c r="DT3">
        <f ca="1"/>
      </c>
      <c r="DU3">
        <f ca="1"/>
      </c>
      <c r="DV3">
        <f ca="1"/>
      </c>
      <c r="DW3">
        <f ca="1"/>
      </c>
      <c r="DX3">
        <f ca="1"/>
      </c>
      <c r="DY3">
        <f ca="1"/>
      </c>
      <c r="DZ3">
        <f ca="1"/>
      </c>
      <c r="EA3">
        <f ca="1"/>
      </c>
      <c r="EB3">
        <f ca="1"/>
      </c>
      <c r="EC3">
        <f ca="1"/>
      </c>
      <c r="ED3">
        <f ca="1"/>
      </c>
      <c r="EE3">
        <f ca="1"/>
      </c>
      <c r="EF3">
        <f ca="1"/>
      </c>
      <c r="EG3">
        <f ca="1"/>
      </c>
      <c r="EH3">
        <f ca="1"/>
      </c>
      <c r="EI3">
        <f ca="1"/>
      </c>
      <c r="EJ3">
        <f ca="1"/>
      </c>
      <c r="EK3">
        <f ca="1"/>
      </c>
      <c r="EL3">
        <f ca="1"/>
      </c>
      <c r="EM3">
        <f ca="1"/>
      </c>
      <c r="EN3">
        <f ca="1"/>
      </c>
      <c r="EO3">
        <f ca="1"/>
      </c>
      <c r="EP3">
        <f ca="1"/>
      </c>
      <c r="EQ3">
        <f ca="1"/>
      </c>
      <c r="ER3">
        <f ca="1"/>
      </c>
      <c r="ES3">
        <f ca="1"/>
      </c>
      <c r="ET3">
        <f ca="1"/>
      </c>
      <c r="EU3">
        <f ca="1"/>
      </c>
      <c r="EV3">
        <f ca="1"/>
      </c>
      <c r="EW3">
        <f ca="1"/>
      </c>
      <c r="EX3">
        <f ca="1"/>
      </c>
      <c r="EY3">
        <f ca="1"/>
      </c>
      <c r="EZ3">
        <f ca="1"/>
      </c>
      <c r="FA3">
        <f ca="1"/>
      </c>
      <c r="FB3">
        <f ca="1"/>
      </c>
      <c r="FC3">
        <f ca="1"/>
      </c>
      <c r="FD3">
        <f ca="1"/>
      </c>
      <c r="FE3">
        <f ca="1"/>
      </c>
      <c r="FF3">
        <f ca="1"/>
      </c>
      <c r="FG3">
        <f ca="1"/>
      </c>
      <c r="FH3">
        <f ca="1"/>
      </c>
      <c r="FI3">
        <f ca="1"/>
      </c>
      <c r="FJ3">
        <f ca="1"/>
      </c>
      <c r="FK3">
        <f ca="1"/>
      </c>
      <c r="FL3">
        <f ca="1"/>
      </c>
      <c r="FM3">
        <f ca="1"/>
      </c>
      <c r="FN3">
        <f ca="1"/>
      </c>
      <c r="FO3">
        <f ca="1"/>
      </c>
      <c r="FP3">
        <f ca="1"/>
      </c>
      <c r="FQ3">
        <f ca="1"/>
      </c>
      <c r="FR3">
        <f ca="1"/>
      </c>
      <c r="FS3">
        <f ca="1"/>
      </c>
      <c r="FT3">
        <f ca="1"/>
      </c>
      <c r="FU3">
        <f ca="1"/>
      </c>
      <c r="FV3">
        <f ca="1"/>
      </c>
      <c r="FW3">
        <f ca="1"/>
      </c>
      <c r="FX3">
        <f ca="1"/>
      </c>
      <c r="FY3">
        <f ca="1"/>
      </c>
      <c r="FZ3">
        <f ca="1"/>
      </c>
    </row>
    <row r="4" spans="1:182" x14ac:dyDescent="0.55000000000000004">
      <c r="A4" s="4" t="s">
        <v>387</v>
      </c>
      <c r="B4" s="2" t="s">
        <v>449</v>
      </c>
      <c r="AA4">
        <f ca="1"/>
      </c>
      <c r="AB4">
        <f ca="1"/>
      </c>
      <c r="AC4">
        <f ca="1"/>
      </c>
      <c r="AE4">
        <f ca="1"/>
      </c>
      <c r="AF4">
        <f ca="1"/>
      </c>
      <c r="AG4">
        <f ca="1"/>
      </c>
      <c r="AH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P4" t="s">
        <v>0</v>
      </c>
      <c r="AS4">
        <f ca="1"/>
      </c>
      <c r="AT4">
        <f ca="1"/>
      </c>
      <c r="AU4">
        <f ca="1"/>
      </c>
      <c r="AV4">
        <f ca="1"/>
      </c>
      <c r="AW4">
        <f ca="1"/>
      </c>
      <c r="AX4">
        <f ca="1"/>
      </c>
      <c r="AY4">
        <f ca="1"/>
      </c>
      <c r="AZ4">
        <f ca="1"/>
      </c>
      <c r="BA4">
        <f ca="1"/>
      </c>
      <c r="BB4">
        <f ca="1"/>
      </c>
      <c r="BD4" cm="1">
        <f t="array" aca="1" ref="BD4:BD6" ca="1">VolFwdLive($B$4:$B$6,_xlfn.TAKE(_xlfn.ANCHORARRAY($AJ$3),,3))</f>
      </c>
      <c r="BF4" s="7" cm="1">
        <f t="array" aca="1" ref="BF4:BK486" ca="1">IF($B$4="",NA(),_xlfn.LET(_xlpm.d,VLV_Dates,_xlpm.f,VLV_Col($B$4,"Fwd"),_xlpm.v,VLV_Col($B$4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G4">
        <f ca="1"/>
      </c>
      <c r="BH4">
        <f ca="1"/>
      </c>
      <c r="BI4">
        <f ca="1"/>
      </c>
      <c r="BJ4">
        <f ca="1"/>
      </c>
      <c r="BK4">
        <f ca="1"/>
      </c>
      <c r="BM4" s="7" cm="1">
        <f t="array" aca="1" ref="BM4:BR486" ca="1">IF($B$5="",NA(),_xlfn.LET(_xlpm.d,VLV_Dates,_xlpm.f,VLV_Col($B$5,"Fwd"),_xlpm.v,VLV_Col($B$5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N4">
        <f ca="1"/>
      </c>
      <c r="BO4">
        <f ca="1"/>
      </c>
      <c r="BP4">
        <f ca="1"/>
      </c>
      <c r="BQ4">
        <f ca="1"/>
      </c>
      <c r="BR4">
        <f ca="1"/>
      </c>
      <c r="BT4" s="7" cm="1">
        <f t="array" aca="1" ref="BT4:BY486" ca="1">IF($B$6="",NA(),_xlfn.LET(_xlpm.d,VLV_Dates,_xlpm.f,VLV_Col($B$6,"Fwd"),_xlpm.v,VLV_Col($B$6,"IV"),_xlpm.k,ISNUMBER(_xlpm.v)*(_xlpm.d&gt;=N(VLV_From)),_xlpm.x,_xlfn._xlws.FILTER(_xlpm.f,_xlpm.k),_xlpm.y,_xlfn._xlws.FILTER(_xlpm.v,_xlpm.k),_xlpm.n,ROWS(_xlpm.y),_xlpm.r,_xlfn.SEQUENCE(_xlpm.n),_xlpm.rs,_xlpm.y-(INTERCEPT(_xlpm.y,_xlpm.x)+SLOPE(_xlpm.y,_xlpm.x)*_xlpm.x),_xlfn.HSTACK(_xlfn._xlws.FILTER(_xlpm.d,_xlpm.k),_xlpm.x,_xlpm.y,_xlpm.rs,IF(_xlpm.r&lt;=_xlpm.n-VLV_Recent,_xlpm.y,NA()),IF(_xlpm.r&gt;_xlpm.n-VLV_Recent,_xlpm.y,NA()))))</f>
      </c>
      <c r="BU4">
        <f ca="1"/>
      </c>
      <c r="BV4">
        <f ca="1"/>
      </c>
      <c r="BW4">
        <f ca="1"/>
      </c>
      <c r="BX4">
        <f ca="1"/>
      </c>
      <c r="BY4">
        <f ca="1"/>
      </c>
      <c r="CA4">
        <f>IF($B$4="",NA(),$B$4)</f>
      </c>
      <c r="CB4">
        <f ca="1">IF($B$4="",NA(),B18)</f>
      </c>
      <c r="CC4">
        <f ca="1">IF($B$4="",NA(),B17)</f>
      </c>
      <c r="CD4">
        <f ca="1">IF($B$4="",NA(),B14)</f>
      </c>
      <c r="CE4">
        <f ca="1">IF($B$4="",NA(),B13)</f>
      </c>
      <c r="CF4">
        <f ca="1">IF($B$4="",NA(),_xlfn.LET(_xlpm.x,INDEX(_xlfn.ANCHORARRAY($BF$4),,2),IF(ISNUMBER(CB4),MIN(_xlpm.x,CB4),MIN(_xlpm.x))))</f>
      </c>
      <c r="CG4">
        <f ca="1">IF($B$4="",NA(),_xlfn.LET(_xlpm.x,INDEX(_xlfn.ANCHORARRAY($BF$4),,2),IF(ISNUMBER(CB4),MAX(_xlpm.x,CB4),MAX(_xlpm.x))))</f>
      </c>
      <c r="CH4">
        <f ca="1">IF($B$4="",NA(),B24+B23*CF4)</f>
      </c>
      <c r="CI4">
        <f ca="1">IF($B$4="",NA(),B24+B23*CG4)</f>
      </c>
      <c r="CK4" cm="1">
        <f t="array" ref="CK4:CK33">_xlfn.LET(_xlpm.es,$A$36:$A$43,_xlpm.ts,$B$35:$I$35,_xlfn.TOCOL(IF((_xlpm.es&lt;&gt;"")*(_xlpm.ts&lt;&gt;""),_xlpm.es&amp;"x"&amp;_xlpm.ts,NA()),2))</f>
      </c>
      <c r="CL4" cm="1">
        <f t="array" aca="1" ref="CL4:CL33" ca="1">VolFwdLive(_xlfn.ANCHORARRAY($CK$4),_xlfn.TAKE(_xlfn.ANCHORARRAY($AJ$3),,3))</f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F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B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</row>
    <row r="5" spans="1:182" x14ac:dyDescent="0.55000000000000004">
      <c r="A5" s="4" t="s">
        <v>388</v>
      </c>
      <c r="B5" s="2" t="s">
        <v>389</v>
      </c>
      <c r="AA5">
        <f ca="1"/>
      </c>
      <c r="AB5">
        <f ca="1"/>
      </c>
      <c r="AC5">
        <f ca="1"/>
      </c>
      <c r="AE5">
        <f ca="1"/>
      </c>
      <c r="AF5">
        <f ca="1"/>
      </c>
      <c r="AG5">
        <f ca="1"/>
      </c>
      <c r="AH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P5" t="s">
        <v>1</v>
      </c>
      <c r="AQ5">
        <v>1</v>
      </c>
      <c r="AS5">
        <f ca="1"/>
      </c>
      <c r="AT5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AZ5">
        <f ca="1"/>
      </c>
      <c r="BA5">
        <f ca="1"/>
      </c>
      <c r="BB5">
        <f ca="1"/>
      </c>
      <c r="BD5">
        <f ca="1"/>
      </c>
      <c r="BF5" s="7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M5" s="7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T5" s="7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CA5">
        <f>IF($B$5="",NA(),$B$5)</f>
      </c>
      <c r="CB5">
        <f ca="1">IF($B$5="",NA(),C18)</f>
      </c>
      <c r="CC5">
        <f ca="1">IF($B$5="",NA(),C17)</f>
      </c>
      <c r="CD5">
        <f ca="1">IF($B$5="",NA(),C14)</f>
      </c>
      <c r="CE5">
        <f ca="1">IF($B$5="",NA(),C13)</f>
      </c>
      <c r="CF5">
        <f ca="1">IF($B$5="",NA(),_xlfn.LET(_xlpm.x,INDEX(_xlfn.ANCHORARRAY($BM$4),,2),IF(ISNUMBER(CB5),MIN(_xlpm.x,CB5),MIN(_xlpm.x))))</f>
      </c>
      <c r="CG5">
        <f ca="1">IF($B$5="",NA(),_xlfn.LET(_xlpm.x,INDEX(_xlfn.ANCHORARRAY($BM$4),,2),IF(ISNUMBER(CB5),MAX(_xlpm.x,CB5),MAX(_xlpm.x))))</f>
      </c>
      <c r="CH5">
        <f ca="1">IF($B$5="",NA(),C24+C23*CF5)</f>
      </c>
      <c r="CI5">
        <f ca="1">IF($B$5="",NA(),C24+C23*CG5)</f>
      </c>
      <c r="CL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F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B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</row>
    <row r="6" spans="1:182" x14ac:dyDescent="0.55000000000000004">
      <c r="A6" s="4" t="s">
        <v>390</v>
      </c>
      <c r="B6" s="2" t="s">
        <v>391</v>
      </c>
      <c r="AA6">
        <f ca="1"/>
      </c>
      <c r="AB6">
        <f ca="1"/>
      </c>
      <c r="AC6">
        <f ca="1"/>
      </c>
      <c r="AE6">
        <f ca="1"/>
      </c>
      <c r="AF6">
        <f ca="1"/>
      </c>
      <c r="AG6">
        <f ca="1"/>
      </c>
      <c r="AH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P6" t="s">
        <v>2</v>
      </c>
      <c r="AQ6">
        <v>1</v>
      </c>
      <c r="AS6">
        <f ca="1"/>
      </c>
      <c r="AT6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AZ6">
        <f ca="1"/>
      </c>
      <c r="BA6">
        <f ca="1"/>
      </c>
      <c r="BB6">
        <f ca="1"/>
      </c>
      <c r="BD6">
        <f ca="1"/>
      </c>
      <c r="BF6" s="7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M6" s="7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T6" s="7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CA6">
        <f>IF($B$6="",NA(),$B$6)</f>
      </c>
      <c r="CB6">
        <f ca="1">IF($B$6="",NA(),D18)</f>
      </c>
      <c r="CC6">
        <f ca="1">IF($B$6="",NA(),D17)</f>
      </c>
      <c r="CD6">
        <f ca="1">IF($B$6="",NA(),D14)</f>
      </c>
      <c r="CE6">
        <f ca="1">IF($B$6="",NA(),D13)</f>
      </c>
      <c r="CF6">
        <f ca="1">IF($B$6="",NA(),_xlfn.LET(_xlpm.x,INDEX(_xlfn.ANCHORARRAY($BT$4),,2),IF(ISNUMBER(CB6),MIN(_xlpm.x,CB6),MIN(_xlpm.x))))</f>
      </c>
      <c r="CG6">
        <f ca="1">IF($B$6="",NA(),_xlfn.LET(_xlpm.x,INDEX(_xlfn.ANCHORARRAY($BT$4),,2),IF(ISNUMBER(CB6),MAX(_xlpm.x,CB6),MAX(_xlpm.x))))</f>
      </c>
      <c r="CH6">
        <f ca="1">IF($B$6="",NA(),D24+D23*CF6)</f>
      </c>
      <c r="CI6">
        <f ca="1">IF($B$6="",NA(),D24+D23*CG6)</f>
      </c>
      <c r="CL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F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B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</row>
    <row r="7" spans="1:182" x14ac:dyDescent="0.55000000000000004">
      <c r="A7" s="4" t="s">
        <v>71</v>
      </c>
      <c r="B7" s="3"/>
      <c r="AA7">
        <f ca="1"/>
      </c>
      <c r="AB7">
        <f ca="1"/>
      </c>
      <c r="AC7">
        <f ca="1"/>
      </c>
      <c r="AE7">
        <f ca="1"/>
      </c>
      <c r="AF7">
        <f ca="1"/>
      </c>
      <c r="AG7">
        <f ca="1"/>
      </c>
      <c r="AH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P7" t="s">
        <v>3</v>
      </c>
      <c r="AQ7">
        <v>1</v>
      </c>
      <c r="AS7">
        <f ca="1"/>
      </c>
      <c r="AT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AZ7">
        <f ca="1"/>
      </c>
      <c r="BA7">
        <f ca="1"/>
      </c>
      <c r="BB7">
        <f ca="1"/>
      </c>
      <c r="BF7" s="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M7" s="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T7" s="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CL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F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B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</row>
    <row r="8" spans="1:182" x14ac:dyDescent="0.55000000000000004">
      <c r="A8" s="4" t="s">
        <v>392</v>
      </c>
      <c r="B8" s="2">
        <v>20</v>
      </c>
      <c r="AA8">
        <f ca="1"/>
      </c>
      <c r="AB8">
        <f ca="1"/>
      </c>
      <c r="AC8">
        <f ca="1"/>
      </c>
      <c r="AE8">
        <f ca="1"/>
      </c>
      <c r="AF8">
        <f ca="1"/>
      </c>
      <c r="AG8">
        <f ca="1"/>
      </c>
      <c r="AH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P8" t="s">
        <v>4</v>
      </c>
      <c r="AQ8">
        <v>1</v>
      </c>
      <c r="AS8">
        <f ca="1"/>
      </c>
      <c r="AT8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AZ8">
        <f ca="1"/>
      </c>
      <c r="BA8">
        <f ca="1"/>
      </c>
      <c r="BB8">
        <f ca="1"/>
      </c>
      <c r="BF8" s="7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M8" s="7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T8" s="7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CL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F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B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</row>
    <row r="9" spans="1:182" x14ac:dyDescent="0.55000000000000004">
      <c r="AA9">
        <f ca="1"/>
      </c>
      <c r="AB9">
        <f ca="1"/>
      </c>
      <c r="AC9">
        <f ca="1"/>
      </c>
      <c r="AE9">
        <f ca="1"/>
      </c>
      <c r="AF9">
        <f ca="1"/>
      </c>
      <c r="AG9">
        <f ca="1"/>
      </c>
      <c r="AH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P9" t="s">
        <v>5</v>
      </c>
      <c r="AQ9">
        <v>1</v>
      </c>
      <c r="AS9">
        <f ca="1"/>
      </c>
      <c r="AT9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AZ9">
        <f ca="1"/>
      </c>
      <c r="BA9">
        <f ca="1"/>
      </c>
      <c r="BB9">
        <f ca="1"/>
      </c>
      <c r="BF9" s="7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M9" s="7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T9" s="7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CL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F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B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</row>
    <row r="10" spans="1:182" x14ac:dyDescent="0.55000000000000004">
      <c r="A10" s="4" t="s">
        <v>93</v>
      </c>
      <c r="AA10">
        <f ca="1"/>
      </c>
      <c r="AB10">
        <f ca="1"/>
      </c>
      <c r="AC10">
        <f ca="1"/>
      </c>
      <c r="AE10">
        <f ca="1"/>
      </c>
      <c r="AF10">
        <f ca="1"/>
      </c>
      <c r="AG10">
        <f ca="1"/>
      </c>
      <c r="AH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P10" t="s">
        <v>6</v>
      </c>
      <c r="AQ10">
        <v>1</v>
      </c>
      <c r="AS10">
        <f ca="1"/>
      </c>
      <c r="AT10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AZ10">
        <f ca="1"/>
      </c>
      <c r="BA10">
        <f ca="1"/>
      </c>
      <c r="BB10">
        <f ca="1"/>
      </c>
      <c r="BF10" s="7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M10" s="7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T10" s="7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CL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F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B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</row>
    <row r="11" spans="1:182" x14ac:dyDescent="0.55000000000000004">
      <c r="A11" s="25" t="s">
        <v>415</v>
      </c>
      <c r="B11" s="49">
        <f>IF($B$4="","",$B$4)</f>
      </c>
      <c r="C11" s="49">
        <f>IF($B$5="","",$B$5)</f>
      </c>
      <c r="D11" s="49">
        <f>IF($B$6="","",$B$6)</f>
      </c>
      <c r="AA11">
        <f ca="1"/>
      </c>
      <c r="AB11">
        <f ca="1"/>
      </c>
      <c r="AC11">
        <f ca="1"/>
      </c>
      <c r="AE11">
        <f ca="1"/>
      </c>
      <c r="AF11">
        <f ca="1"/>
      </c>
      <c r="AG11">
        <f ca="1"/>
      </c>
      <c r="AH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P11" t="s">
        <v>7</v>
      </c>
      <c r="AQ11">
        <v>1</v>
      </c>
      <c r="AS11">
        <f ca="1"/>
      </c>
      <c r="AT11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AZ11">
        <f ca="1"/>
      </c>
      <c r="BA11">
        <f ca="1"/>
      </c>
      <c r="BB11">
        <f ca="1"/>
      </c>
      <c r="BF11" s="7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M11" s="7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T11" s="7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CL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F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B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</row>
    <row r="12" spans="1:182" x14ac:dyDescent="0.55000000000000004">
      <c r="A12" s="25" t="s">
        <v>98</v>
      </c>
      <c r="B12" s="50" cm="1">
        <f t="array" aca="1" ref="B12" ca="1">IF($B$4="","",_xlfn.TAKE(INDEX(_xlfn.ANCHORARRAY($BF$4),,1),-1))</f>
      </c>
      <c r="C12" s="50" cm="1">
        <f t="array" aca="1" ref="C12" ca="1">IF($B$5="","",_xlfn.TAKE(INDEX(_xlfn.ANCHORARRAY($BM$4),,1),-1))</f>
      </c>
      <c r="D12" s="50" cm="1">
        <f t="array" aca="1" ref="D12" ca="1">IF($B$6="","",_xlfn.TAKE(INDEX(_xlfn.ANCHORARRAY($BT$4),,1),-1))</f>
      </c>
      <c r="AA12">
        <f ca="1"/>
      </c>
      <c r="AB12">
        <f ca="1"/>
      </c>
      <c r="AC12">
        <f ca="1"/>
      </c>
      <c r="AE12">
        <f ca="1"/>
      </c>
      <c r="AF12">
        <f ca="1"/>
      </c>
      <c r="AG12">
        <f ca="1"/>
      </c>
      <c r="AH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P12" t="s">
        <v>8</v>
      </c>
      <c r="AQ12">
        <v>1</v>
      </c>
      <c r="AS12">
        <f ca="1"/>
      </c>
      <c r="AT12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AZ12">
        <f ca="1"/>
      </c>
      <c r="BA12">
        <f ca="1"/>
      </c>
      <c r="BB12">
        <f ca="1"/>
      </c>
      <c r="BF12" s="7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M12" s="7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T12" s="7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CL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F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B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</row>
    <row r="13" spans="1:182" x14ac:dyDescent="0.55000000000000004">
      <c r="A13" s="25" t="s">
        <v>99</v>
      </c>
      <c r="B13" s="51" cm="1">
        <f t="array" aca="1" ref="B13" ca="1">IF($B$4="","",_xlfn.TAKE(INDEX(_xlfn.ANCHORARRAY($BF$4),,3),-1))</f>
      </c>
      <c r="C13" s="51" cm="1">
        <f t="array" aca="1" ref="C13" ca="1">IF($B$5="","",_xlfn.TAKE(INDEX(_xlfn.ANCHORARRAY($BM$4),,3),-1))</f>
      </c>
      <c r="D13" s="51" cm="1">
        <f t="array" aca="1" ref="D13" ca="1">IF($B$6="","",_xlfn.TAKE(INDEX(_xlfn.ANCHORARRAY($BT$4),,3),-1))</f>
      </c>
      <c r="AA13">
        <f ca="1"/>
      </c>
      <c r="AB13">
        <f ca="1"/>
      </c>
      <c r="AC13">
        <f ca="1"/>
      </c>
      <c r="AE13">
        <f ca="1"/>
      </c>
      <c r="AF13">
        <f ca="1"/>
      </c>
      <c r="AG13">
        <f ca="1"/>
      </c>
      <c r="AH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P13" t="s">
        <v>9</v>
      </c>
      <c r="AQ13">
        <v>1</v>
      </c>
      <c r="AS13">
        <f ca="1"/>
      </c>
      <c r="AT13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AZ13">
        <f ca="1"/>
      </c>
      <c r="BA13">
        <f ca="1"/>
      </c>
      <c r="BB13">
        <f ca="1"/>
      </c>
      <c r="BF13" s="7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M13" s="7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T13" s="7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CL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F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B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</row>
    <row r="14" spans="1:182" x14ac:dyDescent="0.55000000000000004">
      <c r="A14" s="25" t="s">
        <v>416</v>
      </c>
      <c r="B14" s="52" cm="1">
        <f t="array" aca="1" ref="B14" ca="1">IF($B$4="","",_xlfn.TAKE(INDEX(_xlfn.ANCHORARRAY($BF$4),,2),-1))</f>
      </c>
      <c r="C14" s="52" cm="1">
        <f t="array" aca="1" ref="C14" ca="1">IF($B$5="","",_xlfn.TAKE(INDEX(_xlfn.ANCHORARRAY($BM$4),,2),-1))</f>
      </c>
      <c r="D14" s="52" cm="1">
        <f t="array" aca="1" ref="D14" ca="1">IF($B$6="","",_xlfn.TAKE(INDEX(_xlfn.ANCHORARRAY($BT$4),,2),-1))</f>
      </c>
      <c r="AA14">
        <f ca="1"/>
      </c>
      <c r="AB14">
        <f ca="1"/>
      </c>
      <c r="AC14">
        <f ca="1"/>
      </c>
      <c r="AE14">
        <f ca="1"/>
      </c>
      <c r="AF14">
        <f ca="1"/>
      </c>
      <c r="AG14">
        <f ca="1"/>
      </c>
      <c r="AH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P14" t="s">
        <v>10</v>
      </c>
      <c r="AQ14">
        <v>1</v>
      </c>
      <c r="AS14">
        <f ca="1"/>
      </c>
      <c r="AT14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AZ14">
        <f ca="1"/>
      </c>
      <c r="BA14">
        <f ca="1"/>
      </c>
      <c r="BB14">
        <f ca="1"/>
      </c>
      <c r="BF14" s="7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M14" s="7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T14" s="7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CL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F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B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</row>
    <row r="15" spans="1:182" x14ac:dyDescent="0.55000000000000004">
      <c r="A15" s="25" t="s">
        <v>417</v>
      </c>
      <c r="B15" s="51" cm="1">
        <f t="array" aca="1" ref="B15" ca="1">IF($B$4="","",_xlfn.TAKE(INDEX(_xlfn.ANCHORARRAY($BF$4),,4),-1))</f>
      </c>
      <c r="C15" s="51" cm="1">
        <f t="array" aca="1" ref="C15" ca="1">IF($B$5="","",_xlfn.TAKE(INDEX(_xlfn.ANCHORARRAY($BM$4),,4),-1))</f>
      </c>
      <c r="D15" s="51" cm="1">
        <f t="array" aca="1" ref="D15" ca="1">IF($B$6="","",_xlfn.TAKE(INDEX(_xlfn.ANCHORARRAY($BT$4),,4),-1))</f>
      </c>
      <c r="AA15">
        <f ca="1"/>
      </c>
      <c r="AB15">
        <f ca="1"/>
      </c>
      <c r="AC15">
        <f ca="1"/>
      </c>
      <c r="AE15">
        <f ca="1"/>
      </c>
      <c r="AF15">
        <f ca="1"/>
      </c>
      <c r="AG15">
        <f ca="1"/>
      </c>
      <c r="AH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P15" t="s">
        <v>11</v>
      </c>
      <c r="AQ15">
        <v>1</v>
      </c>
      <c r="AS15">
        <f ca="1"/>
      </c>
      <c r="AT15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AZ15">
        <f ca="1"/>
      </c>
      <c r="BA15">
        <f ca="1"/>
      </c>
      <c r="BB15">
        <f ca="1"/>
      </c>
      <c r="BF15" s="7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M15" s="7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T15" s="7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CL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F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B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</row>
    <row r="16" spans="1:182" x14ac:dyDescent="0.55000000000000004">
      <c r="A16" s="25" t="s">
        <v>418</v>
      </c>
      <c r="B16" s="53">
        <f ca="1">IF($B$4="","",B15/B26)</f>
      </c>
      <c r="C16" s="53">
        <f ca="1">IF($B$5="","",C15/C26)</f>
      </c>
      <c r="D16" s="53">
        <f ca="1">IF($B$6="","",D15/D26)</f>
      </c>
      <c r="AA16">
        <f ca="1"/>
      </c>
      <c r="AB16">
        <f ca="1"/>
      </c>
      <c r="AC16">
        <f ca="1"/>
      </c>
      <c r="AE16">
        <f ca="1"/>
      </c>
      <c r="AF16">
        <f ca="1"/>
      </c>
      <c r="AG16">
        <f ca="1"/>
      </c>
      <c r="AH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P16" t="s">
        <v>12</v>
      </c>
      <c r="AQ16">
        <v>1</v>
      </c>
      <c r="AS16">
        <f ca="1"/>
      </c>
      <c r="AT16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AZ16">
        <f ca="1"/>
      </c>
      <c r="BA16">
        <f ca="1"/>
      </c>
      <c r="BB16">
        <f ca="1"/>
      </c>
      <c r="BF16" s="7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M16" s="7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T16" s="7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CL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F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B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</row>
    <row r="17" spans="1:182" x14ac:dyDescent="0.55000000000000004">
      <c r="A17" s="25" t="s">
        <v>100</v>
      </c>
      <c r="B17" s="51" cm="1">
        <f t="array" aca="1" ref="B17" ca="1">IF($B$4="","",_xlfn.XLOOKUP($B$4,INDEX(VLV_LiveVol,,1),INDEX(VLV_LiveVol,,3),NA()))</f>
      </c>
      <c r="C17" s="51" cm="1">
        <f t="array" aca="1" ref="C17" ca="1">IF($B$5="","",_xlfn.XLOOKUP($B$5,INDEX(VLV_LiveVol,,1),INDEX(VLV_LiveVol,,3),NA()))</f>
      </c>
      <c r="D17" s="51" cm="1">
        <f t="array" aca="1" ref="D17" ca="1">IF($B$6="","",_xlfn.XLOOKUP($B$6,INDEX(VLV_LiveVol,,1),INDEX(VLV_LiveVol,,3),NA()))</f>
      </c>
      <c r="AA17">
        <f ca="1"/>
      </c>
      <c r="AB17">
        <f ca="1"/>
      </c>
      <c r="AC17">
        <f ca="1"/>
      </c>
      <c r="AE17">
        <f ca="1"/>
      </c>
      <c r="AF17">
        <f ca="1"/>
      </c>
      <c r="AG17">
        <f ca="1"/>
      </c>
      <c r="AH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P17" t="s">
        <v>41</v>
      </c>
      <c r="AQ17">
        <v>1</v>
      </c>
      <c r="AS17">
        <f ca="1"/>
      </c>
      <c r="AT1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AZ17">
        <f ca="1"/>
      </c>
      <c r="BA17">
        <f ca="1"/>
      </c>
      <c r="BB17">
        <f ca="1"/>
      </c>
      <c r="BF17" s="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M17" s="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T17" s="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CL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F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B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</row>
    <row r="18" spans="1:182" x14ac:dyDescent="0.55000000000000004">
      <c r="A18" s="25" t="s">
        <v>419</v>
      </c>
      <c r="B18" s="52" cm="1">
        <f t="array" aca="1" ref="B18" ca="1">IF($B$4="","",INDEX(VLV_PLiveFwd,1))</f>
      </c>
      <c r="C18" s="52" cm="1">
        <f t="array" aca="1" ref="C18" ca="1">IF($B$5="","",INDEX(VLV_PLiveFwd,2))</f>
      </c>
      <c r="D18" s="52" cm="1">
        <f t="array" aca="1" ref="D18" ca="1">IF($B$6="","",INDEX(VLV_PLiveFwd,3))</f>
      </c>
      <c r="AA18">
        <f ca="1"/>
      </c>
      <c r="AB18">
        <f ca="1"/>
      </c>
      <c r="AC18">
        <f ca="1"/>
      </c>
      <c r="AE18">
        <f ca="1"/>
      </c>
      <c r="AF18">
        <f ca="1"/>
      </c>
      <c r="AG18">
        <f ca="1"/>
      </c>
      <c r="AH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P18" t="s">
        <v>13</v>
      </c>
      <c r="AQ18">
        <v>1</v>
      </c>
      <c r="AS18">
        <f ca="1"/>
      </c>
      <c r="AT18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AZ18">
        <f ca="1"/>
      </c>
      <c r="BA18">
        <f ca="1"/>
      </c>
      <c r="BB18">
        <f ca="1"/>
      </c>
      <c r="BF18" s="7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M18" s="7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T18" s="7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CL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F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B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</row>
    <row r="19" spans="1:182" x14ac:dyDescent="0.55000000000000004">
      <c r="A19" s="25" t="s">
        <v>420</v>
      </c>
      <c r="B19" s="51">
        <f ca="1">IF($B$4="","",B24+B23*B18)</f>
      </c>
      <c r="C19" s="51">
        <f ca="1">IF($B$5="","",C24+C23*C18)</f>
      </c>
      <c r="D19" s="51">
        <f ca="1">IF($B$6="","",D24+D23*D18)</f>
      </c>
      <c r="AA19">
        <f ca="1"/>
      </c>
      <c r="AB19">
        <f ca="1"/>
      </c>
      <c r="AC19">
        <f ca="1"/>
      </c>
      <c r="AE19">
        <f ca="1"/>
      </c>
      <c r="AF19">
        <f ca="1"/>
      </c>
      <c r="AG19">
        <f ca="1"/>
      </c>
      <c r="AH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P19" t="s">
        <v>14</v>
      </c>
      <c r="AQ19">
        <v>1</v>
      </c>
      <c r="AS19">
        <f ca="1"/>
      </c>
      <c r="AT19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AZ19">
        <f ca="1"/>
      </c>
      <c r="BA19">
        <f ca="1"/>
      </c>
      <c r="BB19">
        <f ca="1"/>
      </c>
      <c r="BF19" s="7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M19" s="7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T19" s="7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CL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F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B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</row>
    <row r="20" spans="1:182" x14ac:dyDescent="0.55000000000000004">
      <c r="A20" s="25" t="s">
        <v>421</v>
      </c>
      <c r="B20" s="51">
        <f ca="1">IF($B$4="","",B17-B19)</f>
      </c>
      <c r="C20" s="51">
        <f ca="1">IF($B$5="","",C17-C19)</f>
      </c>
      <c r="D20" s="51">
        <f ca="1">IF($B$6="","",D17-D19)</f>
      </c>
      <c r="AA20">
        <f ca="1"/>
      </c>
      <c r="AB20">
        <f ca="1"/>
      </c>
      <c r="AC20">
        <f ca="1"/>
      </c>
      <c r="AE20">
        <f ca="1"/>
      </c>
      <c r="AF20">
        <f ca="1"/>
      </c>
      <c r="AG20">
        <f ca="1"/>
      </c>
      <c r="AH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P20" t="s">
        <v>15</v>
      </c>
      <c r="AQ20">
        <v>1</v>
      </c>
      <c r="AS20">
        <f ca="1"/>
      </c>
      <c r="AT20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AZ20">
        <f ca="1"/>
      </c>
      <c r="BA20">
        <f ca="1"/>
      </c>
      <c r="BB20">
        <f ca="1"/>
      </c>
      <c r="BF20" s="7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M20" s="7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T20" s="7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CL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F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B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</row>
    <row r="21" spans="1:182" x14ac:dyDescent="0.55000000000000004">
      <c r="A21" s="25" t="s">
        <v>422</v>
      </c>
      <c r="B21" s="53">
        <f ca="1">IF($B$4="","",B20/B26)</f>
      </c>
      <c r="C21" s="53">
        <f ca="1">IF($B$5="","",C20/C26)</f>
      </c>
      <c r="D21" s="53">
        <f ca="1">IF($B$6="","",D20/D26)</f>
      </c>
      <c r="AA21">
        <f ca="1"/>
      </c>
      <c r="AB21">
        <f ca="1"/>
      </c>
      <c r="AC21">
        <f ca="1"/>
      </c>
      <c r="AE21">
        <f ca="1"/>
      </c>
      <c r="AF21">
        <f ca="1"/>
      </c>
      <c r="AG21">
        <f ca="1"/>
      </c>
      <c r="AH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P21" t="s">
        <v>16</v>
      </c>
      <c r="AQ21">
        <v>1</v>
      </c>
      <c r="AS21">
        <f ca="1"/>
      </c>
      <c r="AT21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AZ21">
        <f ca="1"/>
      </c>
      <c r="BA21">
        <f ca="1"/>
      </c>
      <c r="BB21">
        <f ca="1"/>
      </c>
      <c r="BF21" s="7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M21" s="7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T21" s="7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CL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F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B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</row>
    <row r="22" spans="1:182" x14ac:dyDescent="0.55000000000000004">
      <c r="A22" s="25" t="s">
        <v>423</v>
      </c>
      <c r="B22" s="54" cm="1">
        <f t="array" aca="1" ref="B22" ca="1">IF($B$4="","",_xlfn.LET(_xlpm.rs,INDEX(_xlfn.ANCHORARRAY($BF$4),,4),SUM(--(_xlpm.rs&lt;=B20))/ROWS(_xlpm.rs)))</f>
      </c>
      <c r="C22" s="54" cm="1">
        <f t="array" aca="1" ref="C22" ca="1">IF($B$5="","",_xlfn.LET(_xlpm.rs,INDEX(_xlfn.ANCHORARRAY($BM$4),,4),SUM(--(_xlpm.rs&lt;=C20))/ROWS(_xlpm.rs)))</f>
      </c>
      <c r="D22" s="54" cm="1">
        <f t="array" aca="1" ref="D22" ca="1">IF($B$6="","",_xlfn.LET(_xlpm.rs,INDEX(_xlfn.ANCHORARRAY($BT$4),,4),SUM(--(_xlpm.rs&lt;=D20))/ROWS(_xlpm.rs)))</f>
      </c>
      <c r="AA22">
        <f ca="1"/>
      </c>
      <c r="AB22">
        <f ca="1"/>
      </c>
      <c r="AC22">
        <f ca="1"/>
      </c>
      <c r="AE22">
        <f ca="1"/>
      </c>
      <c r="AF22">
        <f ca="1"/>
      </c>
      <c r="AG22">
        <f ca="1"/>
      </c>
      <c r="AH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P22" t="s">
        <v>17</v>
      </c>
      <c r="AQ22">
        <v>1</v>
      </c>
      <c r="AS22">
        <f ca="1"/>
      </c>
      <c r="AT22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AZ22">
        <f ca="1"/>
      </c>
      <c r="BA22">
        <f ca="1"/>
      </c>
      <c r="BB22">
        <f ca="1"/>
      </c>
      <c r="BF22" s="7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M22" s="7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T22" s="7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CL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F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B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</row>
    <row r="23" spans="1:182" x14ac:dyDescent="0.55000000000000004">
      <c r="A23" s="25" t="s">
        <v>424</v>
      </c>
      <c r="B23" s="51">
        <f ca="1">IF($B$4="","",SLOPE(INDEX(_xlfn.ANCHORARRAY($BF$4),,3),INDEX(_xlfn.ANCHORARRAY($BF$4),,2)))</f>
      </c>
      <c r="C23" s="51">
        <f ca="1">IF($B$5="","",SLOPE(INDEX(_xlfn.ANCHORARRAY($BM$4),,3),INDEX(_xlfn.ANCHORARRAY($BM$4),,2)))</f>
      </c>
      <c r="D23" s="51">
        <f ca="1">IF($B$6="","",SLOPE(INDEX(_xlfn.ANCHORARRAY($BT$4),,3),INDEX(_xlfn.ANCHORARRAY($BT$4),,2)))</f>
      </c>
      <c r="AA23">
        <f ca="1"/>
      </c>
      <c r="AB23">
        <f ca="1"/>
      </c>
      <c r="AC23">
        <f ca="1"/>
      </c>
      <c r="AE23">
        <f ca="1"/>
      </c>
      <c r="AF23">
        <f ca="1"/>
      </c>
      <c r="AG23">
        <f ca="1"/>
      </c>
      <c r="AH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P23" t="s">
        <v>18</v>
      </c>
      <c r="AQ23">
        <v>1</v>
      </c>
      <c r="AS23">
        <f ca="1"/>
      </c>
      <c r="AT23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AZ23">
        <f ca="1"/>
      </c>
      <c r="BA23">
        <f ca="1"/>
      </c>
      <c r="BB23">
        <f ca="1"/>
      </c>
      <c r="BF23" s="7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M23" s="7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T23" s="7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CL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F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B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</row>
    <row r="24" spans="1:182" x14ac:dyDescent="0.55000000000000004">
      <c r="A24" s="25" t="s">
        <v>425</v>
      </c>
      <c r="B24" s="51">
        <f ca="1">IF($B$4="","",INTERCEPT(INDEX(_xlfn.ANCHORARRAY($BF$4),,3),INDEX(_xlfn.ANCHORARRAY($BF$4),,2)))</f>
      </c>
      <c r="C24" s="51">
        <f ca="1">IF($B$5="","",INTERCEPT(INDEX(_xlfn.ANCHORARRAY($BM$4),,3),INDEX(_xlfn.ANCHORARRAY($BM$4),,2)))</f>
      </c>
      <c r="D24" s="51">
        <f ca="1">IF($B$6="","",INTERCEPT(INDEX(_xlfn.ANCHORARRAY($BT$4),,3),INDEX(_xlfn.ANCHORARRAY($BT$4),,2)))</f>
      </c>
      <c r="AA24">
        <f ca="1"/>
      </c>
      <c r="AB24">
        <f ca="1"/>
      </c>
      <c r="AC24">
        <f ca="1"/>
      </c>
      <c r="AE24">
        <f ca="1"/>
      </c>
      <c r="AF24">
        <f ca="1"/>
      </c>
      <c r="AG24">
        <f ca="1"/>
      </c>
      <c r="AH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P24" t="s">
        <v>19</v>
      </c>
      <c r="AQ24">
        <v>1</v>
      </c>
      <c r="AS24">
        <f ca="1"/>
      </c>
      <c r="AT24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AZ24">
        <f ca="1"/>
      </c>
      <c r="BA24">
        <f ca="1"/>
      </c>
      <c r="BB24">
        <f ca="1"/>
      </c>
      <c r="BF24" s="7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M24" s="7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T24" s="7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CL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F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B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</row>
    <row r="25" spans="1:182" x14ac:dyDescent="0.55000000000000004">
      <c r="A25" s="25" t="s">
        <v>426</v>
      </c>
      <c r="B25" s="53">
        <f ca="1">IF($B$4="","",RSQ(INDEX(_xlfn.ANCHORARRAY($BF$4),,3),INDEX(_xlfn.ANCHORARRAY($BF$4),,2)))</f>
      </c>
      <c r="C25" s="53">
        <f ca="1">IF($B$5="","",RSQ(INDEX(_xlfn.ANCHORARRAY($BM$4),,3),INDEX(_xlfn.ANCHORARRAY($BM$4),,2)))</f>
      </c>
      <c r="D25" s="53">
        <f ca="1">IF($B$6="","",RSQ(INDEX(_xlfn.ANCHORARRAY($BT$4),,3),INDEX(_xlfn.ANCHORARRAY($BT$4),,2)))</f>
      </c>
      <c r="AA25">
        <f ca="1"/>
      </c>
      <c r="AB25">
        <f ca="1"/>
      </c>
      <c r="AC25">
        <f ca="1"/>
      </c>
      <c r="AE25">
        <f ca="1"/>
      </c>
      <c r="AF25">
        <f ca="1"/>
      </c>
      <c r="AG25">
        <f ca="1"/>
      </c>
      <c r="AH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P25" t="s">
        <v>20</v>
      </c>
      <c r="AQ25">
        <v>1</v>
      </c>
      <c r="AS25">
        <f ca="1"/>
      </c>
      <c r="AT25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AZ25">
        <f ca="1"/>
      </c>
      <c r="BA25">
        <f ca="1"/>
      </c>
      <c r="BB25">
        <f ca="1"/>
      </c>
      <c r="BF25" s="7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M25" s="7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T25" s="7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CL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F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B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</row>
    <row r="26" spans="1:182" x14ac:dyDescent="0.55000000000000004">
      <c r="A26" s="25" t="s">
        <v>427</v>
      </c>
      <c r="B26" s="53">
        <f ca="1">IF($B$4="","",_xlfn.STDEV.S(INDEX(_xlfn.ANCHORARRAY($BF$4),,4)))</f>
      </c>
      <c r="C26" s="53">
        <f ca="1">IF($B$5="","",_xlfn.STDEV.S(INDEX(_xlfn.ANCHORARRAY($BM$4),,4)))</f>
      </c>
      <c r="D26" s="53">
        <f ca="1">IF($B$6="","",_xlfn.STDEV.S(INDEX(_xlfn.ANCHORARRAY($BT$4),,4)))</f>
      </c>
      <c r="AA26">
        <f ca="1"/>
      </c>
      <c r="AB26">
        <f ca="1"/>
      </c>
      <c r="AC26">
        <f ca="1"/>
      </c>
      <c r="AE26">
        <f ca="1"/>
      </c>
      <c r="AF26">
        <f ca="1"/>
      </c>
      <c r="AG26">
        <f ca="1"/>
      </c>
      <c r="AH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P26" t="s">
        <v>21</v>
      </c>
      <c r="AQ26">
        <v>1</v>
      </c>
      <c r="AS26">
        <f ca="1"/>
      </c>
      <c r="AT26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AZ26">
        <f ca="1"/>
      </c>
      <c r="BA26">
        <f ca="1"/>
      </c>
      <c r="BB26">
        <f ca="1"/>
      </c>
      <c r="BF26" s="7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M26" s="7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T26" s="7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CL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F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B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</row>
    <row r="27" spans="1:182" x14ac:dyDescent="0.55000000000000004">
      <c r="A27" s="25" t="s">
        <v>428</v>
      </c>
      <c r="B27" s="55">
        <f ca="1">IF($B$4="","",ROWS(INDEX(_xlfn.ANCHORARRAY($BF$4),,1)))</f>
      </c>
      <c r="C27" s="55">
        <f ca="1">IF($B$5="","",ROWS(INDEX(_xlfn.ANCHORARRAY($BM$4),,1)))</f>
      </c>
      <c r="D27" s="55">
        <f ca="1">IF($B$6="","",ROWS(INDEX(_xlfn.ANCHORARRAY($BT$4),,1)))</f>
      </c>
      <c r="AA27">
        <f ca="1"/>
      </c>
      <c r="AB27">
        <f ca="1"/>
      </c>
      <c r="AC27">
        <f ca="1"/>
      </c>
      <c r="AE27">
        <f ca="1"/>
      </c>
      <c r="AF27">
        <f ca="1"/>
      </c>
      <c r="AG27">
        <f ca="1"/>
      </c>
      <c r="AH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P27" t="s">
        <v>22</v>
      </c>
      <c r="AQ27">
        <v>1</v>
      </c>
      <c r="AS27">
        <f ca="1"/>
      </c>
      <c r="AT2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AZ27">
        <f ca="1"/>
      </c>
      <c r="BA27">
        <f ca="1"/>
      </c>
      <c r="BB27">
        <f ca="1"/>
      </c>
      <c r="BF27" s="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M27" s="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T27" s="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CL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F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B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</row>
    <row r="28" spans="1:182" x14ac:dyDescent="0.55000000000000004">
      <c r="A28" t="s">
        <v>429</v>
      </c>
      <c r="AA28">
        <f ca="1"/>
      </c>
      <c r="AB28">
        <f ca="1"/>
      </c>
      <c r="AC28">
        <f ca="1"/>
      </c>
      <c r="AE28">
        <f ca="1"/>
      </c>
      <c r="AF28">
        <f ca="1"/>
      </c>
      <c r="AG28">
        <f ca="1"/>
      </c>
      <c r="AH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P28" t="s">
        <v>23</v>
      </c>
      <c r="AQ28">
        <v>1</v>
      </c>
      <c r="AS28">
        <f ca="1"/>
      </c>
      <c r="AT28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AZ28">
        <f ca="1"/>
      </c>
      <c r="BA28">
        <f ca="1"/>
      </c>
      <c r="BB28">
        <f ca="1"/>
      </c>
      <c r="BF28" s="7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M28" s="7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T28" s="7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CL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F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B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</row>
    <row r="29" spans="1:182" x14ac:dyDescent="0.55000000000000004">
      <c r="A29" t="s">
        <v>430</v>
      </c>
      <c r="AA29">
        <f ca="1"/>
      </c>
      <c r="AB29">
        <f ca="1"/>
      </c>
      <c r="AC29">
        <f ca="1"/>
      </c>
      <c r="AE29">
        <f ca="1"/>
      </c>
      <c r="AF29">
        <f ca="1"/>
      </c>
      <c r="AG29">
        <f ca="1"/>
      </c>
      <c r="AH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P29" t="s">
        <v>24</v>
      </c>
      <c r="AQ29">
        <v>1</v>
      </c>
      <c r="AS29">
        <f ca="1"/>
      </c>
      <c r="AT29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AZ29">
        <f ca="1"/>
      </c>
      <c r="BA29">
        <f ca="1"/>
      </c>
      <c r="BB29">
        <f ca="1"/>
      </c>
      <c r="BF29" s="7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M29" s="7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T29" s="7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CL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F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B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</row>
    <row r="30" spans="1:182" x14ac:dyDescent="0.55000000000000004">
      <c r="AA30">
        <f ca="1"/>
      </c>
      <c r="AB30">
        <f ca="1"/>
      </c>
      <c r="AC30">
        <f ca="1"/>
      </c>
      <c r="AE30">
        <f ca="1"/>
      </c>
      <c r="AF30">
        <f ca="1"/>
      </c>
      <c r="AG30">
        <f ca="1"/>
      </c>
      <c r="AH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P30" t="s">
        <v>25</v>
      </c>
      <c r="AQ30">
        <v>1</v>
      </c>
      <c r="AS30">
        <f ca="1"/>
      </c>
      <c r="AT30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AZ30">
        <f ca="1"/>
      </c>
      <c r="BA30">
        <f ca="1"/>
      </c>
      <c r="BB30">
        <f ca="1"/>
      </c>
      <c r="BF30" s="7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M30" s="7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T30" s="7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CL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F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B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</row>
    <row r="31" spans="1:182" x14ac:dyDescent="0.55000000000000004">
      <c r="A31" s="4" t="s">
        <v>439</v>
      </c>
      <c r="AA31">
        <f ca="1"/>
      </c>
      <c r="AB31">
        <f ca="1"/>
      </c>
      <c r="AC31">
        <f ca="1"/>
      </c>
      <c r="AE31">
        <f ca="1"/>
      </c>
      <c r="AF31">
        <f ca="1"/>
      </c>
      <c r="AG31">
        <f ca="1"/>
      </c>
      <c r="AH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P31" t="s">
        <v>26</v>
      </c>
      <c r="AQ31">
        <v>1</v>
      </c>
      <c r="AS31">
        <f ca="1"/>
      </c>
      <c r="AT31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AZ31">
        <f ca="1"/>
      </c>
      <c r="BA31">
        <f ca="1"/>
      </c>
      <c r="BB31">
        <f ca="1"/>
      </c>
      <c r="BF31" s="7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M31" s="7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T31" s="7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CL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F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B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</row>
    <row r="32" spans="1:182" x14ac:dyDescent="0.55000000000000004">
      <c r="A32" s="4" t="s">
        <v>440</v>
      </c>
      <c r="B32" s="2" t="s">
        <v>441</v>
      </c>
      <c r="C32" t="s">
        <v>443</v>
      </c>
      <c r="AA32">
        <f ca="1"/>
      </c>
      <c r="AB32">
        <f ca="1"/>
      </c>
      <c r="AC32">
        <f ca="1"/>
      </c>
      <c r="AE32">
        <f ca="1"/>
      </c>
      <c r="AF32">
        <f ca="1"/>
      </c>
      <c r="AG32">
        <f ca="1"/>
      </c>
      <c r="AH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P32" t="s">
        <v>27</v>
      </c>
      <c r="AQ32">
        <v>1</v>
      </c>
      <c r="AS32">
        <f ca="1"/>
      </c>
      <c r="AT32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AZ32">
        <f ca="1"/>
      </c>
      <c r="BA32">
        <f ca="1"/>
      </c>
      <c r="BB32">
        <f ca="1"/>
      </c>
      <c r="BF32" s="7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M32" s="7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T32" s="7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CL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F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B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</row>
    <row r="33" spans="1:182" x14ac:dyDescent="0.55000000000000004">
      <c r="A33" s="4" t="s">
        <v>442</v>
      </c>
      <c r="B33" s="2" t="s">
        <v>53</v>
      </c>
      <c r="C33" t="s">
        <v>444</v>
      </c>
      <c r="AA33">
        <f ca="1"/>
      </c>
      <c r="AB33">
        <f ca="1"/>
      </c>
      <c r="AC33">
        <f ca="1"/>
      </c>
      <c r="AE33">
        <f ca="1"/>
      </c>
      <c r="AF33">
        <f ca="1"/>
      </c>
      <c r="AG33">
        <f ca="1"/>
      </c>
      <c r="AH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P33" t="s">
        <v>28</v>
      </c>
      <c r="AQ33">
        <v>1</v>
      </c>
      <c r="AS33">
        <f ca="1"/>
      </c>
      <c r="AT33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AZ33">
        <f ca="1"/>
      </c>
      <c r="BA33">
        <f ca="1"/>
      </c>
      <c r="BB33">
        <f ca="1"/>
      </c>
      <c r="BF33" s="7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M33" s="7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T33" s="7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CL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F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B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</row>
    <row r="34" spans="1:182" x14ac:dyDescent="0.55000000000000004">
      <c r="AA34">
        <f ca="1"/>
      </c>
      <c r="AB34">
        <f ca="1"/>
      </c>
      <c r="AC34">
        <f ca="1"/>
      </c>
      <c r="AE34">
        <f ca="1"/>
      </c>
      <c r="AF34">
        <f ca="1"/>
      </c>
      <c r="AG34">
        <f ca="1"/>
      </c>
      <c r="AH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P34" t="s">
        <v>29</v>
      </c>
      <c r="AQ34">
        <v>1</v>
      </c>
      <c r="AS34">
        <f ca="1"/>
      </c>
      <c r="AT34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AZ34">
        <f ca="1"/>
      </c>
      <c r="BA34">
        <f ca="1"/>
      </c>
      <c r="BB34">
        <f ca="1"/>
      </c>
      <c r="BF34" s="7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M34" s="7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T34" s="7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F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B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</row>
    <row r="35" spans="1:182" x14ac:dyDescent="0.55000000000000004">
      <c r="A35" s="4" t="s">
        <v>445</v>
      </c>
      <c r="B35" s="57" t="s">
        <v>49</v>
      </c>
      <c r="C35" s="57" t="s">
        <v>50</v>
      </c>
      <c r="D35" s="57" t="s">
        <v>19</v>
      </c>
      <c r="E35" s="57" t="s">
        <v>24</v>
      </c>
      <c r="F35" s="57" t="s">
        <v>28</v>
      </c>
      <c r="G35" s="6"/>
      <c r="H35" s="6"/>
      <c r="I35" s="6"/>
      <c r="AA35">
        <f ca="1"/>
      </c>
      <c r="AB35">
        <f ca="1"/>
      </c>
      <c r="AC35">
        <f ca="1"/>
      </c>
      <c r="AE35">
        <f ca="1"/>
      </c>
      <c r="AF35">
        <f ca="1"/>
      </c>
      <c r="AG35">
        <f ca="1"/>
      </c>
      <c r="AH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P35" t="s">
        <v>30</v>
      </c>
      <c r="AQ35">
        <v>1</v>
      </c>
      <c r="AS35">
        <f ca="1"/>
      </c>
      <c r="AT35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AZ35">
        <f ca="1"/>
      </c>
      <c r="BA35">
        <f ca="1"/>
      </c>
      <c r="BB35">
        <f ca="1"/>
      </c>
      <c r="BF35" s="7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M35" s="7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T35" s="7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F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B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</row>
    <row r="36" spans="1:182" x14ac:dyDescent="0.55000000000000004">
      <c r="A36" s="56" t="s">
        <v>4</v>
      </c>
      <c r="B36" s="58" cm="1">
        <f t="array" aca="1" ref="B36:I43" ca="1">_xlfn.LET(_xlpm.es,$A$36:$A$43,_xlpm.ts,$B$35:$I$35,_xlfn.MAKEARRAY(8,8,_xlfn.LAMBDA(_xlpm.i,_xlpm.j,_xlfn.LET(_xlpm.e,INDEX(_xlpm.es,_xlpm.i),_xlpm.t,INDEX(_xlpm.ts,_xlpm.j),IF(OR(_xlpm.e="",_xlpm.t=""),"",IFERROR(VLV_Cell(_xlpm.e&amp;"x"&amp;_xlpm.t),NA()))))))</f>
      </c>
      <c r="C36" s="59">
        <f ca="1"/>
      </c>
      <c r="D36" s="59">
        <f ca="1"/>
      </c>
      <c r="E36" s="59">
        <f ca="1"/>
      </c>
      <c r="F36" s="59">
        <f ca="1"/>
      </c>
      <c r="G36" s="59">
        <f ca="1"/>
      </c>
      <c r="H36" s="59">
        <f ca="1"/>
      </c>
      <c r="I36" s="59">
        <f ca="1"/>
      </c>
      <c r="AA36">
        <f ca="1"/>
      </c>
      <c r="AB36">
        <f ca="1"/>
      </c>
      <c r="AC36">
        <f ca="1"/>
      </c>
      <c r="AE36">
        <f ca="1"/>
      </c>
      <c r="AF36">
        <f ca="1"/>
      </c>
      <c r="AG36">
        <f ca="1"/>
      </c>
      <c r="AH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P36" t="s">
        <v>31</v>
      </c>
      <c r="AQ36">
        <v>1</v>
      </c>
      <c r="AS36">
        <f ca="1"/>
      </c>
      <c r="AT36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AZ36">
        <f ca="1"/>
      </c>
      <c r="BA36">
        <f ca="1"/>
      </c>
      <c r="BB36">
        <f ca="1"/>
      </c>
      <c r="BF36" s="7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M36" s="7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T36" s="7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F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B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</row>
    <row r="37" spans="1:182" x14ac:dyDescent="0.55000000000000004">
      <c r="A37" s="56" t="s">
        <v>49</v>
      </c>
      <c r="B37" s="59">
        <f ca="1"/>
      </c>
      <c r="C37" s="59">
        <f ca="1"/>
      </c>
      <c r="D37" s="59">
        <f ca="1"/>
      </c>
      <c r="E37" s="59">
        <f ca="1"/>
      </c>
      <c r="F37" s="59">
        <f ca="1"/>
      </c>
      <c r="G37" s="59">
        <f ca="1"/>
      </c>
      <c r="H37" s="59">
        <f ca="1"/>
      </c>
      <c r="I37" s="59">
        <f ca="1"/>
      </c>
      <c r="AA37">
        <f ca="1"/>
      </c>
      <c r="AB37">
        <f ca="1"/>
      </c>
      <c r="AC37">
        <f ca="1"/>
      </c>
      <c r="AE37">
        <f ca="1"/>
      </c>
      <c r="AF37">
        <f ca="1"/>
      </c>
      <c r="AG37">
        <f ca="1"/>
      </c>
      <c r="AH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P37" t="s">
        <v>32</v>
      </c>
      <c r="AQ37">
        <v>1</v>
      </c>
      <c r="AS37">
        <f ca="1"/>
      </c>
      <c r="AT3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AZ37">
        <f ca="1"/>
      </c>
      <c r="BA37">
        <f ca="1"/>
      </c>
      <c r="BB37">
        <f ca="1"/>
      </c>
      <c r="BF37" s="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M37" s="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T37" s="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F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B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</row>
    <row r="38" spans="1:182" x14ac:dyDescent="0.55000000000000004">
      <c r="A38" s="56" t="s">
        <v>50</v>
      </c>
      <c r="B38" s="59">
        <f ca="1"/>
      </c>
      <c r="C38" s="59">
        <f ca="1"/>
      </c>
      <c r="D38" s="59">
        <f ca="1"/>
      </c>
      <c r="E38" s="59">
        <f ca="1"/>
      </c>
      <c r="F38" s="59">
        <f ca="1"/>
      </c>
      <c r="G38" s="59">
        <f ca="1"/>
      </c>
      <c r="H38" s="59">
        <f ca="1"/>
      </c>
      <c r="I38" s="59">
        <f ca="1"/>
      </c>
      <c r="AA38">
        <f ca="1"/>
      </c>
      <c r="AB38">
        <f ca="1"/>
      </c>
      <c r="AC38">
        <f ca="1"/>
      </c>
      <c r="AE38">
        <f ca="1"/>
      </c>
      <c r="AF38">
        <f ca="1"/>
      </c>
      <c r="AG38">
        <f ca="1"/>
      </c>
      <c r="AH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P38" t="s">
        <v>109</v>
      </c>
      <c r="AQ38">
        <v>0</v>
      </c>
      <c r="AS38">
        <f ca="1"/>
      </c>
      <c r="AT38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AZ38">
        <f ca="1"/>
      </c>
      <c r="BA38">
        <f ca="1"/>
      </c>
      <c r="BB38">
        <f ca="1"/>
      </c>
      <c r="BF38" s="7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M38" s="7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T38" s="7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F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B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</row>
    <row r="39" spans="1:182" x14ac:dyDescent="0.55000000000000004">
      <c r="A39" s="56" t="s">
        <v>19</v>
      </c>
      <c r="B39" s="59">
        <f ca="1"/>
      </c>
      <c r="C39" s="59">
        <f ca="1"/>
      </c>
      <c r="D39" s="59">
        <f ca="1"/>
      </c>
      <c r="E39" s="59">
        <f ca="1"/>
      </c>
      <c r="F39" s="59">
        <f ca="1"/>
      </c>
      <c r="G39" s="59">
        <f ca="1"/>
      </c>
      <c r="H39" s="59">
        <f ca="1"/>
      </c>
      <c r="I39" s="59">
        <f ca="1"/>
      </c>
      <c r="AA39">
        <f ca="1"/>
      </c>
      <c r="AB39">
        <f ca="1"/>
      </c>
      <c r="AC39">
        <f ca="1"/>
      </c>
      <c r="AE39">
        <f ca="1"/>
      </c>
      <c r="AF39">
        <f ca="1"/>
      </c>
      <c r="AG39">
        <f ca="1"/>
      </c>
      <c r="AH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P39" t="s">
        <v>33</v>
      </c>
      <c r="AQ39">
        <v>0</v>
      </c>
      <c r="AS39">
        <f ca="1"/>
      </c>
      <c r="AT39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AZ39">
        <f ca="1"/>
      </c>
      <c r="BA39">
        <f ca="1"/>
      </c>
      <c r="BB39">
        <f ca="1"/>
      </c>
      <c r="BF39" s="7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M39" s="7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T39" s="7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F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B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</row>
    <row r="40" spans="1:182" x14ac:dyDescent="0.55000000000000004">
      <c r="A40" s="56" t="s">
        <v>24</v>
      </c>
      <c r="B40" s="59">
        <f ca="1"/>
      </c>
      <c r="C40" s="59">
        <f ca="1"/>
      </c>
      <c r="D40" s="59">
        <f ca="1"/>
      </c>
      <c r="E40" s="59">
        <f ca="1"/>
      </c>
      <c r="F40" s="59">
        <f ca="1"/>
      </c>
      <c r="G40" s="59">
        <f ca="1"/>
      </c>
      <c r="H40" s="59">
        <f ca="1"/>
      </c>
      <c r="I40" s="59">
        <f ca="1"/>
      </c>
      <c r="AA40">
        <f ca="1"/>
      </c>
      <c r="AB40">
        <f ca="1"/>
      </c>
      <c r="AC40">
        <f ca="1"/>
      </c>
      <c r="AE40">
        <f ca="1"/>
      </c>
      <c r="AF40">
        <f ca="1"/>
      </c>
      <c r="AG40">
        <f ca="1"/>
      </c>
      <c r="AH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P40" t="s">
        <v>34</v>
      </c>
      <c r="AQ40">
        <v>0</v>
      </c>
      <c r="AS40">
        <f ca="1"/>
      </c>
      <c r="AT40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AZ40">
        <f ca="1"/>
      </c>
      <c r="BA40">
        <f ca="1"/>
      </c>
      <c r="BB40">
        <f ca="1"/>
      </c>
      <c r="BF40" s="7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M40" s="7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T40" s="7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F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B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</row>
    <row r="41" spans="1:182" x14ac:dyDescent="0.55000000000000004">
      <c r="A41" s="56" t="s">
        <v>28</v>
      </c>
      <c r="B41" s="59">
        <f ca="1"/>
      </c>
      <c r="C41" s="59">
        <f ca="1"/>
      </c>
      <c r="D41" s="59">
        <f ca="1"/>
      </c>
      <c r="E41" s="59">
        <f ca="1"/>
      </c>
      <c r="F41" s="59">
        <f ca="1"/>
      </c>
      <c r="G41" s="59">
        <f ca="1"/>
      </c>
      <c r="H41" s="59">
        <f ca="1"/>
      </c>
      <c r="I41" s="59">
        <f ca="1"/>
      </c>
      <c r="AA41">
        <f ca="1"/>
      </c>
      <c r="AB41">
        <f ca="1"/>
      </c>
      <c r="AC41">
        <f ca="1"/>
      </c>
      <c r="AE41">
        <f ca="1"/>
      </c>
      <c r="AF41">
        <f ca="1"/>
      </c>
      <c r="AG41">
        <f ca="1"/>
      </c>
      <c r="AH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P41" t="s">
        <v>35</v>
      </c>
      <c r="AQ41">
        <v>0</v>
      </c>
      <c r="AS41">
        <f ca="1"/>
      </c>
      <c r="AT41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AZ41">
        <f ca="1"/>
      </c>
      <c r="BA41">
        <f ca="1"/>
      </c>
      <c r="BB41">
        <f ca="1"/>
      </c>
      <c r="BF41" s="7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M41" s="7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T41" s="7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F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B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</row>
    <row r="42" spans="1:182" x14ac:dyDescent="0.55000000000000004">
      <c r="A42" s="2"/>
      <c r="B42" s="59">
        <f ca="1"/>
      </c>
      <c r="C42" s="59">
        <f ca="1"/>
      </c>
      <c r="D42" s="59">
        <f ca="1"/>
      </c>
      <c r="E42" s="59">
        <f ca="1"/>
      </c>
      <c r="F42" s="59">
        <f ca="1"/>
      </c>
      <c r="G42" s="59">
        <f ca="1"/>
      </c>
      <c r="H42" s="59">
        <f ca="1"/>
      </c>
      <c r="I42" s="59">
        <f ca="1"/>
      </c>
      <c r="AA42">
        <f ca="1"/>
      </c>
      <c r="AB42">
        <f ca="1"/>
      </c>
      <c r="AC42">
        <f ca="1"/>
      </c>
      <c r="AE42">
        <f ca="1"/>
      </c>
      <c r="AF42">
        <f ca="1"/>
      </c>
      <c r="AG42">
        <f ca="1"/>
      </c>
      <c r="AH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P42" t="s">
        <v>36</v>
      </c>
      <c r="AQ42">
        <v>0</v>
      </c>
      <c r="AS42">
        <f ca="1"/>
      </c>
      <c r="AT42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AZ42">
        <f ca="1"/>
      </c>
      <c r="BA42">
        <f ca="1"/>
      </c>
      <c r="BB42">
        <f ca="1"/>
      </c>
      <c r="BF42" s="7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M42" s="7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T42" s="7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F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B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</row>
    <row r="43" spans="1:182" x14ac:dyDescent="0.55000000000000004">
      <c r="A43" s="2"/>
      <c r="B43" s="59">
        <f ca="1"/>
      </c>
      <c r="C43" s="59">
        <f ca="1"/>
      </c>
      <c r="D43" s="59">
        <f ca="1"/>
      </c>
      <c r="E43" s="59">
        <f ca="1"/>
      </c>
      <c r="F43" s="59">
        <f ca="1"/>
      </c>
      <c r="G43" s="59">
        <f ca="1"/>
      </c>
      <c r="H43" s="59">
        <f ca="1"/>
      </c>
      <c r="I43" s="59">
        <f ca="1"/>
      </c>
      <c r="AA43">
        <f ca="1"/>
      </c>
      <c r="AB43">
        <f ca="1"/>
      </c>
      <c r="AC43">
        <f ca="1"/>
      </c>
      <c r="AE43">
        <f ca="1"/>
      </c>
      <c r="AF43">
        <f ca="1"/>
      </c>
      <c r="AG43">
        <f ca="1"/>
      </c>
      <c r="AH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P43" t="s">
        <v>37</v>
      </c>
      <c r="AQ43">
        <v>0</v>
      </c>
      <c r="AS43">
        <f ca="1"/>
      </c>
      <c r="AT43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AZ43">
        <f ca="1"/>
      </c>
      <c r="BA43">
        <f ca="1"/>
      </c>
      <c r="BB43">
        <f ca="1"/>
      </c>
      <c r="BF43" s="7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M43" s="7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T43" s="7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F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B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</row>
    <row r="44" spans="1:182" x14ac:dyDescent="0.55000000000000004">
      <c r="AA44">
        <f ca="1"/>
      </c>
      <c r="AB44">
        <f ca="1"/>
      </c>
      <c r="AC44">
        <f ca="1"/>
      </c>
      <c r="AE44">
        <f ca="1"/>
      </c>
      <c r="AF44">
        <f ca="1"/>
      </c>
      <c r="AG44">
        <f ca="1"/>
      </c>
      <c r="AH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P44" t="s">
        <v>38</v>
      </c>
      <c r="AQ44">
        <v>0</v>
      </c>
      <c r="AS44">
        <f ca="1"/>
      </c>
      <c r="AT44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AZ44">
        <f ca="1"/>
      </c>
      <c r="BA44">
        <f ca="1"/>
      </c>
      <c r="BB44">
        <f ca="1"/>
      </c>
      <c r="BF44" s="7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M44" s="7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T44" s="7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F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B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</row>
    <row r="45" spans="1:182" x14ac:dyDescent="0.55000000000000004">
      <c r="A45" t="s">
        <v>448</v>
      </c>
      <c r="AA45">
        <f ca="1"/>
      </c>
      <c r="AB45">
        <f ca="1"/>
      </c>
      <c r="AC45">
        <f ca="1"/>
      </c>
      <c r="AE45">
        <f ca="1"/>
      </c>
      <c r="AF45">
        <f ca="1"/>
      </c>
      <c r="AG45">
        <f ca="1"/>
      </c>
      <c r="AH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P45" t="s">
        <v>39</v>
      </c>
      <c r="AQ45">
        <v>0</v>
      </c>
      <c r="AS45">
        <f ca="1"/>
      </c>
      <c r="AT45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AZ45">
        <f ca="1"/>
      </c>
      <c r="BA45">
        <f ca="1"/>
      </c>
      <c r="BB45">
        <f ca="1"/>
      </c>
      <c r="BF45" s="7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M45" s="7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T45" s="7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F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B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</row>
    <row r="46" spans="1:182" x14ac:dyDescent="0.55000000000000004">
      <c r="AA46">
        <f ca="1"/>
      </c>
      <c r="AB46">
        <f ca="1"/>
      </c>
      <c r="AC46">
        <f ca="1"/>
      </c>
      <c r="AE46">
        <f ca="1"/>
      </c>
      <c r="AF46">
        <f ca="1"/>
      </c>
      <c r="AG46">
        <f ca="1"/>
      </c>
      <c r="AH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P46" t="s">
        <v>40</v>
      </c>
      <c r="AQ46">
        <v>0</v>
      </c>
      <c r="AS46">
        <f ca="1"/>
      </c>
      <c r="AT46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AZ46">
        <f ca="1"/>
      </c>
      <c r="BA46">
        <f ca="1"/>
      </c>
      <c r="BB46">
        <f ca="1"/>
      </c>
      <c r="BF46" s="7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M46" s="7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T46" s="7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F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B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</row>
    <row r="47" spans="1:182" x14ac:dyDescent="0.55000000000000004">
      <c r="AA47">
        <f ca="1"/>
      </c>
      <c r="AB47">
        <f ca="1"/>
      </c>
      <c r="AC47">
        <f ca="1"/>
      </c>
      <c r="AP47" t="s">
        <v>110</v>
      </c>
      <c r="AQ47">
        <v>0</v>
      </c>
      <c r="AS47">
        <f ca="1"/>
      </c>
      <c r="AT4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AZ47">
        <f ca="1"/>
      </c>
      <c r="BA47">
        <f ca="1"/>
      </c>
      <c r="BB47">
        <f ca="1"/>
      </c>
      <c r="BF47" s="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M47" s="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T47" s="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F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B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</row>
    <row r="48" spans="1:182" x14ac:dyDescent="0.55000000000000004">
      <c r="AA48">
        <f ca="1"/>
      </c>
      <c r="AB48">
        <f ca="1"/>
      </c>
      <c r="AC48">
        <f ca="1"/>
      </c>
      <c r="AS48">
        <f ca="1"/>
      </c>
      <c r="AT48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AZ48">
        <f ca="1"/>
      </c>
      <c r="BA48">
        <f ca="1"/>
      </c>
      <c r="BB48">
        <f ca="1"/>
      </c>
      <c r="BF48" s="7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M48" s="7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T48" s="7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F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B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</row>
    <row r="49" spans="27:182" x14ac:dyDescent="0.55000000000000004">
      <c r="AA49">
        <f ca="1"/>
      </c>
      <c r="AB49">
        <f ca="1"/>
      </c>
      <c r="AC49">
        <f ca="1"/>
      </c>
      <c r="AS49">
        <f ca="1"/>
      </c>
      <c r="AT49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AZ49">
        <f ca="1"/>
      </c>
      <c r="BA49">
        <f ca="1"/>
      </c>
      <c r="BB49">
        <f ca="1"/>
      </c>
      <c r="BF49" s="7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M49" s="7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T49" s="7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F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B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</row>
    <row r="50" spans="27:182" x14ac:dyDescent="0.55000000000000004">
      <c r="AA50">
        <f ca="1"/>
      </c>
      <c r="AB50">
        <f ca="1"/>
      </c>
      <c r="AC50">
        <f ca="1"/>
      </c>
      <c r="AS50">
        <f ca="1"/>
      </c>
      <c r="AT50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AZ50">
        <f ca="1"/>
      </c>
      <c r="BA50">
        <f ca="1"/>
      </c>
      <c r="BB50">
        <f ca="1"/>
      </c>
      <c r="BF50" s="7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M50" s="7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T50" s="7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F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B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</row>
    <row r="51" spans="27:182" x14ac:dyDescent="0.55000000000000004">
      <c r="AA51">
        <f ca="1"/>
      </c>
      <c r="AB51">
        <f ca="1"/>
      </c>
      <c r="AC51">
        <f ca="1"/>
      </c>
      <c r="AS51">
        <f ca="1"/>
      </c>
      <c r="AT51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AZ51">
        <f ca="1"/>
      </c>
      <c r="BA51">
        <f ca="1"/>
      </c>
      <c r="BB51">
        <f ca="1"/>
      </c>
      <c r="BF51" s="7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M51" s="7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T51" s="7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F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B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</row>
    <row r="52" spans="27:182" x14ac:dyDescent="0.55000000000000004">
      <c r="AA52">
        <f ca="1"/>
      </c>
      <c r="AB52">
        <f ca="1"/>
      </c>
      <c r="AC52">
        <f ca="1"/>
      </c>
      <c r="AS52">
        <f ca="1"/>
      </c>
      <c r="AT52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AZ52">
        <f ca="1"/>
      </c>
      <c r="BA52">
        <f ca="1"/>
      </c>
      <c r="BB52">
        <f ca="1"/>
      </c>
      <c r="BF52" s="7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M52" s="7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T52" s="7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F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B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</row>
    <row r="53" spans="27:182" x14ac:dyDescent="0.55000000000000004">
      <c r="AA53">
        <f ca="1"/>
      </c>
      <c r="AB53">
        <f ca="1"/>
      </c>
      <c r="AC53">
        <f ca="1"/>
      </c>
      <c r="AS53">
        <f ca="1"/>
      </c>
      <c r="AT53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AZ53">
        <f ca="1"/>
      </c>
      <c r="BA53">
        <f ca="1"/>
      </c>
      <c r="BB53">
        <f ca="1"/>
      </c>
      <c r="BF53" s="7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M53" s="7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T53" s="7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F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B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</row>
    <row r="54" spans="27:182" x14ac:dyDescent="0.55000000000000004">
      <c r="AA54">
        <f ca="1"/>
      </c>
      <c r="AB54">
        <f ca="1"/>
      </c>
      <c r="AC54">
        <f ca="1"/>
      </c>
      <c r="AS54">
        <f ca="1"/>
      </c>
      <c r="AT54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AZ54">
        <f ca="1"/>
      </c>
      <c r="BA54">
        <f ca="1"/>
      </c>
      <c r="BB54">
        <f ca="1"/>
      </c>
      <c r="BF54" s="7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M54" s="7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T54" s="7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F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B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</row>
    <row r="55" spans="27:182" x14ac:dyDescent="0.55000000000000004">
      <c r="AA55">
        <f ca="1"/>
      </c>
      <c r="AB55">
        <f ca="1"/>
      </c>
      <c r="AC55">
        <f ca="1"/>
      </c>
      <c r="AS55">
        <f ca="1"/>
      </c>
      <c r="AT55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AZ55">
        <f ca="1"/>
      </c>
      <c r="BA55">
        <f ca="1"/>
      </c>
      <c r="BB55">
        <f ca="1"/>
      </c>
      <c r="BF55" s="7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M55" s="7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T55" s="7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F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B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</row>
    <row r="56" spans="27:182" x14ac:dyDescent="0.55000000000000004">
      <c r="AA56">
        <f ca="1"/>
      </c>
      <c r="AB56">
        <f ca="1"/>
      </c>
      <c r="AC56">
        <f ca="1"/>
      </c>
      <c r="AS56">
        <f ca="1"/>
      </c>
      <c r="AT56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AZ56">
        <f ca="1"/>
      </c>
      <c r="BA56">
        <f ca="1"/>
      </c>
      <c r="BB56">
        <f ca="1"/>
      </c>
      <c r="BF56" s="7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M56" s="7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T56" s="7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F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B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</row>
    <row r="57" spans="27:182" x14ac:dyDescent="0.55000000000000004">
      <c r="AA57">
        <f ca="1"/>
      </c>
      <c r="AB57">
        <f ca="1"/>
      </c>
      <c r="AC57">
        <f ca="1"/>
      </c>
      <c r="AS57">
        <f ca="1"/>
      </c>
      <c r="AT5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AZ57">
        <f ca="1"/>
      </c>
      <c r="BA57">
        <f ca="1"/>
      </c>
      <c r="BB57">
        <f ca="1"/>
      </c>
      <c r="BF57" s="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M57" s="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T57" s="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F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B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</row>
    <row r="58" spans="27:182" x14ac:dyDescent="0.55000000000000004">
      <c r="AA58">
        <f ca="1"/>
      </c>
      <c r="AB58">
        <f ca="1"/>
      </c>
      <c r="AC58">
        <f ca="1"/>
      </c>
      <c r="AS58">
        <f ca="1"/>
      </c>
      <c r="AT58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AZ58">
        <f ca="1"/>
      </c>
      <c r="BA58">
        <f ca="1"/>
      </c>
      <c r="BB58">
        <f ca="1"/>
      </c>
      <c r="BF58" s="7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M58" s="7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T58" s="7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F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B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</row>
    <row r="59" spans="27:182" x14ac:dyDescent="0.55000000000000004">
      <c r="AA59">
        <f ca="1"/>
      </c>
      <c r="AB59">
        <f ca="1"/>
      </c>
      <c r="AC59">
        <f ca="1"/>
      </c>
      <c r="AS59">
        <f ca="1"/>
      </c>
      <c r="AT59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AZ59">
        <f ca="1"/>
      </c>
      <c r="BA59">
        <f ca="1"/>
      </c>
      <c r="BB59">
        <f ca="1"/>
      </c>
      <c r="BF59" s="7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M59" s="7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T59" s="7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F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B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</row>
    <row r="60" spans="27:182" x14ac:dyDescent="0.55000000000000004">
      <c r="AA60">
        <f ca="1"/>
      </c>
      <c r="AB60">
        <f ca="1"/>
      </c>
      <c r="AC60">
        <f ca="1"/>
      </c>
      <c r="AS60">
        <f ca="1"/>
      </c>
      <c r="AT60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AZ60">
        <f ca="1"/>
      </c>
      <c r="BA60">
        <f ca="1"/>
      </c>
      <c r="BB60">
        <f ca="1"/>
      </c>
      <c r="BF60" s="7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M60" s="7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T60" s="7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F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B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</row>
    <row r="61" spans="27:182" x14ac:dyDescent="0.55000000000000004">
      <c r="AA61">
        <f ca="1"/>
      </c>
      <c r="AB61">
        <f ca="1"/>
      </c>
      <c r="AC61">
        <f ca="1"/>
      </c>
      <c r="AS61">
        <f ca="1"/>
      </c>
      <c r="AT61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AZ61">
        <f ca="1"/>
      </c>
      <c r="BA61">
        <f ca="1"/>
      </c>
      <c r="BB61">
        <f ca="1"/>
      </c>
      <c r="BF61" s="7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M61" s="7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T61" s="7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F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B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</row>
    <row r="62" spans="27:182" x14ac:dyDescent="0.55000000000000004">
      <c r="AA62">
        <f ca="1"/>
      </c>
      <c r="AB62">
        <f ca="1"/>
      </c>
      <c r="AC62">
        <f ca="1"/>
      </c>
      <c r="AS62">
        <f ca="1"/>
      </c>
      <c r="AT62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AZ62">
        <f ca="1"/>
      </c>
      <c r="BA62">
        <f ca="1"/>
      </c>
      <c r="BB62">
        <f ca="1"/>
      </c>
      <c r="BF62" s="7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M62" s="7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T62" s="7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F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B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</row>
    <row r="63" spans="27:182" x14ac:dyDescent="0.55000000000000004">
      <c r="AA63">
        <f ca="1"/>
      </c>
      <c r="AB63">
        <f ca="1"/>
      </c>
      <c r="AC63">
        <f ca="1"/>
      </c>
      <c r="AS63">
        <f ca="1"/>
      </c>
      <c r="AT63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AZ63">
        <f ca="1"/>
      </c>
      <c r="BA63">
        <f ca="1"/>
      </c>
      <c r="BB63">
        <f ca="1"/>
      </c>
      <c r="BF63" s="7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M63" s="7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T63" s="7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F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B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</row>
    <row r="64" spans="27:182" x14ac:dyDescent="0.55000000000000004">
      <c r="AA64">
        <f ca="1"/>
      </c>
      <c r="AB64">
        <f ca="1"/>
      </c>
      <c r="AC64">
        <f ca="1"/>
      </c>
      <c r="AS64">
        <f ca="1"/>
      </c>
      <c r="AT64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AZ64">
        <f ca="1"/>
      </c>
      <c r="BA64">
        <f ca="1"/>
      </c>
      <c r="BB64">
        <f ca="1"/>
      </c>
      <c r="BF64" s="7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M64" s="7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T64" s="7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F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B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</row>
    <row r="65" spans="27:182" x14ac:dyDescent="0.55000000000000004">
      <c r="AA65">
        <f ca="1"/>
      </c>
      <c r="AB65">
        <f ca="1"/>
      </c>
      <c r="AC65">
        <f ca="1"/>
      </c>
      <c r="AS65">
        <f ca="1"/>
      </c>
      <c r="AT65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AZ65">
        <f ca="1"/>
      </c>
      <c r="BA65">
        <f ca="1"/>
      </c>
      <c r="BB65">
        <f ca="1"/>
      </c>
      <c r="BF65" s="7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M65" s="7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T65" s="7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F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B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</row>
    <row r="66" spans="27:182" x14ac:dyDescent="0.55000000000000004">
      <c r="AA66">
        <f ca="1"/>
      </c>
      <c r="AB66">
        <f ca="1"/>
      </c>
      <c r="AC66">
        <f ca="1"/>
      </c>
      <c r="AS66">
        <f ca="1"/>
      </c>
      <c r="AT66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AZ66">
        <f ca="1"/>
      </c>
      <c r="BA66">
        <f ca="1"/>
      </c>
      <c r="BB66">
        <f ca="1"/>
      </c>
      <c r="BF66" s="7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M66" s="7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T66" s="7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F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B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</row>
    <row r="67" spans="27:182" x14ac:dyDescent="0.55000000000000004">
      <c r="AA67">
        <f ca="1"/>
      </c>
      <c r="AB67">
        <f ca="1"/>
      </c>
      <c r="AC67">
        <f ca="1"/>
      </c>
      <c r="AS67">
        <f ca="1"/>
      </c>
      <c r="AT6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AZ67">
        <f ca="1"/>
      </c>
      <c r="BA67">
        <f ca="1"/>
      </c>
      <c r="BB67">
        <f ca="1"/>
      </c>
      <c r="BF67" s="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M67" s="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T67" s="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F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B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</row>
    <row r="68" spans="27:182" x14ac:dyDescent="0.55000000000000004">
      <c r="AA68">
        <f ca="1"/>
      </c>
      <c r="AB68">
        <f ca="1"/>
      </c>
      <c r="AC68">
        <f ca="1"/>
      </c>
      <c r="AS68">
        <f ca="1"/>
      </c>
      <c r="AT68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AZ68">
        <f ca="1"/>
      </c>
      <c r="BA68">
        <f ca="1"/>
      </c>
      <c r="BB68">
        <f ca="1"/>
      </c>
      <c r="BF68" s="7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M68" s="7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T68" s="7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F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B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</row>
    <row r="69" spans="27:182" x14ac:dyDescent="0.55000000000000004">
      <c r="AA69">
        <f ca="1"/>
      </c>
      <c r="AB69">
        <f ca="1"/>
      </c>
      <c r="AC69">
        <f ca="1"/>
      </c>
      <c r="AS69">
        <f ca="1"/>
      </c>
      <c r="AT69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AZ69">
        <f ca="1"/>
      </c>
      <c r="BA69">
        <f ca="1"/>
      </c>
      <c r="BB69">
        <f ca="1"/>
      </c>
      <c r="BF69" s="7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M69" s="7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T69" s="7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F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B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</row>
    <row r="70" spans="27:182" x14ac:dyDescent="0.55000000000000004">
      <c r="AA70">
        <f ca="1"/>
      </c>
      <c r="AB70">
        <f ca="1"/>
      </c>
      <c r="AC70">
        <f ca="1"/>
      </c>
      <c r="AS70">
        <f ca="1"/>
      </c>
      <c r="AT70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AZ70">
        <f ca="1"/>
      </c>
      <c r="BA70">
        <f ca="1"/>
      </c>
      <c r="BB70">
        <f ca="1"/>
      </c>
      <c r="BF70" s="7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M70" s="7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T70" s="7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F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B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</row>
    <row r="71" spans="27:182" x14ac:dyDescent="0.55000000000000004">
      <c r="AA71">
        <f ca="1"/>
      </c>
      <c r="AB71">
        <f ca="1"/>
      </c>
      <c r="AC71">
        <f ca="1"/>
      </c>
      <c r="AS71">
        <f ca="1"/>
      </c>
      <c r="AT71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AZ71">
        <f ca="1"/>
      </c>
      <c r="BA71">
        <f ca="1"/>
      </c>
      <c r="BB71">
        <f ca="1"/>
      </c>
      <c r="BF71" s="7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M71" s="7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T71" s="7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F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B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</row>
    <row r="72" spans="27:182" x14ac:dyDescent="0.55000000000000004">
      <c r="AA72">
        <f ca="1"/>
      </c>
      <c r="AB72">
        <f ca="1"/>
      </c>
      <c r="AC72">
        <f ca="1"/>
      </c>
      <c r="AS72">
        <f ca="1"/>
      </c>
      <c r="AT72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AZ72">
        <f ca="1"/>
      </c>
      <c r="BA72">
        <f ca="1"/>
      </c>
      <c r="BB72">
        <f ca="1"/>
      </c>
      <c r="BF72" s="7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M72" s="7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T72" s="7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F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B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</row>
    <row r="73" spans="27:182" x14ac:dyDescent="0.55000000000000004">
      <c r="AA73">
        <f ca="1"/>
      </c>
      <c r="AB73">
        <f ca="1"/>
      </c>
      <c r="AC73">
        <f ca="1"/>
      </c>
      <c r="AS73">
        <f ca="1"/>
      </c>
      <c r="AT73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AZ73">
        <f ca="1"/>
      </c>
      <c r="BA73">
        <f ca="1"/>
      </c>
      <c r="BB73">
        <f ca="1"/>
      </c>
      <c r="BF73" s="7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M73" s="7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T73" s="7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F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B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</row>
    <row r="74" spans="27:182" x14ac:dyDescent="0.55000000000000004">
      <c r="AA74">
        <f ca="1"/>
      </c>
      <c r="AB74">
        <f ca="1"/>
      </c>
      <c r="AC74">
        <f ca="1"/>
      </c>
      <c r="AS74">
        <f ca="1"/>
      </c>
      <c r="AT74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AZ74">
        <f ca="1"/>
      </c>
      <c r="BA74">
        <f ca="1"/>
      </c>
      <c r="BB74">
        <f ca="1"/>
      </c>
      <c r="BF74" s="7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M74" s="7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T74" s="7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F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B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</row>
    <row r="75" spans="27:182" x14ac:dyDescent="0.55000000000000004">
      <c r="AA75">
        <f ca="1"/>
      </c>
      <c r="AB75">
        <f ca="1"/>
      </c>
      <c r="AC75">
        <f ca="1"/>
      </c>
      <c r="AS75">
        <f ca="1"/>
      </c>
      <c r="AT75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AZ75">
        <f ca="1"/>
      </c>
      <c r="BA75">
        <f ca="1"/>
      </c>
      <c r="BB75">
        <f ca="1"/>
      </c>
      <c r="BF75" s="7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M75" s="7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T75" s="7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F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B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</row>
    <row r="76" spans="27:182" x14ac:dyDescent="0.55000000000000004">
      <c r="AA76">
        <f ca="1"/>
      </c>
      <c r="AB76">
        <f ca="1"/>
      </c>
      <c r="AC76">
        <f ca="1"/>
      </c>
      <c r="AS76">
        <f ca="1"/>
      </c>
      <c r="AT76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AZ76">
        <f ca="1"/>
      </c>
      <c r="BA76">
        <f ca="1"/>
      </c>
      <c r="BB76">
        <f ca="1"/>
      </c>
      <c r="BF76" s="7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M76" s="7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T76" s="7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F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B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</row>
    <row r="77" spans="27:182" x14ac:dyDescent="0.55000000000000004">
      <c r="AA77">
        <f ca="1"/>
      </c>
      <c r="AB77">
        <f ca="1"/>
      </c>
      <c r="AC77">
        <f ca="1"/>
      </c>
      <c r="AS77">
        <f ca="1"/>
      </c>
      <c r="AT7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AZ77">
        <f ca="1"/>
      </c>
      <c r="BA77">
        <f ca="1"/>
      </c>
      <c r="BB77">
        <f ca="1"/>
      </c>
      <c r="BF77" s="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M77" s="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T77" s="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F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B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</row>
    <row r="78" spans="27:182" x14ac:dyDescent="0.55000000000000004">
      <c r="AA78">
        <f ca="1"/>
      </c>
      <c r="AB78">
        <f ca="1"/>
      </c>
      <c r="AC78">
        <f ca="1"/>
      </c>
      <c r="AS78">
        <f ca="1"/>
      </c>
      <c r="AT78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AZ78">
        <f ca="1"/>
      </c>
      <c r="BA78">
        <f ca="1"/>
      </c>
      <c r="BB78">
        <f ca="1"/>
      </c>
      <c r="BF78" s="7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M78" s="7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T78" s="7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F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B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</row>
    <row r="79" spans="27:182" x14ac:dyDescent="0.55000000000000004">
      <c r="AA79">
        <f ca="1"/>
      </c>
      <c r="AB79">
        <f ca="1"/>
      </c>
      <c r="AC79">
        <f ca="1"/>
      </c>
      <c r="AS79">
        <f ca="1"/>
      </c>
      <c r="AT79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AZ79">
        <f ca="1"/>
      </c>
      <c r="BA79">
        <f ca="1"/>
      </c>
      <c r="BB79">
        <f ca="1"/>
      </c>
      <c r="BF79" s="7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M79" s="7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T79" s="7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F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B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</row>
    <row r="80" spans="27:182" x14ac:dyDescent="0.55000000000000004">
      <c r="AA80">
        <f ca="1"/>
      </c>
      <c r="AB80">
        <f ca="1"/>
      </c>
      <c r="AC80">
        <f ca="1"/>
      </c>
      <c r="AS80">
        <f ca="1"/>
      </c>
      <c r="AT80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AZ80">
        <f ca="1"/>
      </c>
      <c r="BA80">
        <f ca="1"/>
      </c>
      <c r="BB80">
        <f ca="1"/>
      </c>
      <c r="BF80" s="7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M80" s="7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T80" s="7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F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B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</row>
    <row r="81" spans="27:182" x14ac:dyDescent="0.55000000000000004">
      <c r="AA81">
        <f ca="1"/>
      </c>
      <c r="AB81">
        <f ca="1"/>
      </c>
      <c r="AC81">
        <f ca="1"/>
      </c>
      <c r="AS81">
        <f ca="1"/>
      </c>
      <c r="AT81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AZ81">
        <f ca="1"/>
      </c>
      <c r="BA81">
        <f ca="1"/>
      </c>
      <c r="BB81">
        <f ca="1"/>
      </c>
      <c r="BF81" s="7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M81" s="7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T81" s="7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F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B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</row>
    <row r="82" spans="27:182" x14ac:dyDescent="0.55000000000000004">
      <c r="AA82">
        <f ca="1"/>
      </c>
      <c r="AB82">
        <f ca="1"/>
      </c>
      <c r="AC82">
        <f ca="1"/>
      </c>
      <c r="AS82">
        <f ca="1"/>
      </c>
      <c r="AT82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AZ82">
        <f ca="1"/>
      </c>
      <c r="BA82">
        <f ca="1"/>
      </c>
      <c r="BB82">
        <f ca="1"/>
      </c>
      <c r="BF82" s="7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M82" s="7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T82" s="7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F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B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</row>
    <row r="83" spans="27:182" x14ac:dyDescent="0.55000000000000004">
      <c r="AA83">
        <f ca="1"/>
      </c>
      <c r="AB83">
        <f ca="1"/>
      </c>
      <c r="AC83">
        <f ca="1"/>
      </c>
      <c r="AS83">
        <f ca="1"/>
      </c>
      <c r="AT83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AZ83">
        <f ca="1"/>
      </c>
      <c r="BA83">
        <f ca="1"/>
      </c>
      <c r="BB83">
        <f ca="1"/>
      </c>
      <c r="BF83" s="7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M83" s="7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T83" s="7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F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B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</row>
    <row r="84" spans="27:182" x14ac:dyDescent="0.55000000000000004">
      <c r="AA84">
        <f ca="1"/>
      </c>
      <c r="AB84">
        <f ca="1"/>
      </c>
      <c r="AC84">
        <f ca="1"/>
      </c>
      <c r="AS84">
        <f ca="1"/>
      </c>
      <c r="AT84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AZ84">
        <f ca="1"/>
      </c>
      <c r="BA84">
        <f ca="1"/>
      </c>
      <c r="BB84">
        <f ca="1"/>
      </c>
      <c r="BF84" s="7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M84" s="7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T84" s="7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F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B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</row>
    <row r="85" spans="27:182" x14ac:dyDescent="0.55000000000000004">
      <c r="AA85">
        <f ca="1"/>
      </c>
      <c r="AB85">
        <f ca="1"/>
      </c>
      <c r="AC85">
        <f ca="1"/>
      </c>
      <c r="AS85">
        <f ca="1"/>
      </c>
      <c r="AT85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AZ85">
        <f ca="1"/>
      </c>
      <c r="BA85">
        <f ca="1"/>
      </c>
      <c r="BB85">
        <f ca="1"/>
      </c>
      <c r="BF85" s="7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M85" s="7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T85" s="7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F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B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</row>
    <row r="86" spans="27:182" x14ac:dyDescent="0.55000000000000004">
      <c r="AA86">
        <f ca="1"/>
      </c>
      <c r="AB86">
        <f ca="1"/>
      </c>
      <c r="AC86">
        <f ca="1"/>
      </c>
      <c r="AS86">
        <f ca="1"/>
      </c>
      <c r="AT86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AZ86">
        <f ca="1"/>
      </c>
      <c r="BA86">
        <f ca="1"/>
      </c>
      <c r="BB86">
        <f ca="1"/>
      </c>
      <c r="BF86" s="7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M86" s="7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T86" s="7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F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B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</row>
    <row r="87" spans="27:182" x14ac:dyDescent="0.55000000000000004">
      <c r="AA87">
        <f ca="1"/>
      </c>
      <c r="AB87">
        <f ca="1"/>
      </c>
      <c r="AC87">
        <f ca="1"/>
      </c>
      <c r="AS87">
        <f ca="1"/>
      </c>
      <c r="AT8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AZ87">
        <f ca="1"/>
      </c>
      <c r="BA87">
        <f ca="1"/>
      </c>
      <c r="BB87">
        <f ca="1"/>
      </c>
      <c r="BF87" s="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M87" s="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T87" s="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F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B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</row>
    <row r="88" spans="27:182" x14ac:dyDescent="0.55000000000000004">
      <c r="AA88">
        <f ca="1"/>
      </c>
      <c r="AB88">
        <f ca="1"/>
      </c>
      <c r="AC88">
        <f ca="1"/>
      </c>
      <c r="AS88">
        <f ca="1"/>
      </c>
      <c r="AT88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AZ88">
        <f ca="1"/>
      </c>
      <c r="BA88">
        <f ca="1"/>
      </c>
      <c r="BB88">
        <f ca="1"/>
      </c>
      <c r="BF88" s="7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M88" s="7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T88" s="7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F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B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</row>
    <row r="89" spans="27:182" x14ac:dyDescent="0.55000000000000004">
      <c r="AA89">
        <f ca="1"/>
      </c>
      <c r="AB89">
        <f ca="1"/>
      </c>
      <c r="AC89">
        <f ca="1"/>
      </c>
      <c r="AS89">
        <f ca="1"/>
      </c>
      <c r="AT89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AZ89">
        <f ca="1"/>
      </c>
      <c r="BA89">
        <f ca="1"/>
      </c>
      <c r="BB89">
        <f ca="1"/>
      </c>
      <c r="BF89" s="7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M89" s="7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T89" s="7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F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B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</row>
    <row r="90" spans="27:182" x14ac:dyDescent="0.55000000000000004">
      <c r="AA90">
        <f ca="1"/>
      </c>
      <c r="AB90">
        <f ca="1"/>
      </c>
      <c r="AC90">
        <f ca="1"/>
      </c>
      <c r="AS90">
        <f ca="1"/>
      </c>
      <c r="AT90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AZ90">
        <f ca="1"/>
      </c>
      <c r="BA90">
        <f ca="1"/>
      </c>
      <c r="BB90">
        <f ca="1"/>
      </c>
      <c r="BF90" s="7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M90" s="7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T90" s="7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F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B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</row>
    <row r="91" spans="27:182" x14ac:dyDescent="0.55000000000000004">
      <c r="AA91">
        <f ca="1"/>
      </c>
      <c r="AB91">
        <f ca="1"/>
      </c>
      <c r="AC91">
        <f ca="1"/>
      </c>
      <c r="AS91">
        <f ca="1"/>
      </c>
      <c r="AT91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AZ91">
        <f ca="1"/>
      </c>
      <c r="BA91">
        <f ca="1"/>
      </c>
      <c r="BB91">
        <f ca="1"/>
      </c>
      <c r="BF91" s="7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M91" s="7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T91" s="7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F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B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</row>
    <row r="92" spans="27:182" x14ac:dyDescent="0.55000000000000004">
      <c r="AA92">
        <f ca="1"/>
      </c>
      <c r="AB92">
        <f ca="1"/>
      </c>
      <c r="AC92">
        <f ca="1"/>
      </c>
      <c r="AS92">
        <f ca="1"/>
      </c>
      <c r="AT92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AZ92">
        <f ca="1"/>
      </c>
      <c r="BA92">
        <f ca="1"/>
      </c>
      <c r="BB92">
        <f ca="1"/>
      </c>
      <c r="BF92" s="7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M92" s="7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T92" s="7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F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B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</row>
    <row r="93" spans="27:182" x14ac:dyDescent="0.55000000000000004">
      <c r="AA93">
        <f ca="1"/>
      </c>
      <c r="AB93">
        <f ca="1"/>
      </c>
      <c r="AC93">
        <f ca="1"/>
      </c>
      <c r="AS93">
        <f ca="1"/>
      </c>
      <c r="AT93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AZ93">
        <f ca="1"/>
      </c>
      <c r="BA93">
        <f ca="1"/>
      </c>
      <c r="BB93">
        <f ca="1"/>
      </c>
      <c r="BF93" s="7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M93" s="7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T93" s="7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F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B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</row>
    <row r="94" spans="27:182" x14ac:dyDescent="0.55000000000000004">
      <c r="AA94">
        <f ca="1"/>
      </c>
      <c r="AB94">
        <f ca="1"/>
      </c>
      <c r="AC94">
        <f ca="1"/>
      </c>
      <c r="AS94">
        <f ca="1"/>
      </c>
      <c r="AT94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AZ94">
        <f ca="1"/>
      </c>
      <c r="BA94">
        <f ca="1"/>
      </c>
      <c r="BB94">
        <f ca="1"/>
      </c>
      <c r="BF94" s="7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M94" s="7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T94" s="7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F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B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</row>
    <row r="95" spans="27:182" x14ac:dyDescent="0.55000000000000004">
      <c r="AA95">
        <f ca="1"/>
      </c>
      <c r="AB95">
        <f ca="1"/>
      </c>
      <c r="AC95">
        <f ca="1"/>
      </c>
      <c r="AS95">
        <f ca="1"/>
      </c>
      <c r="AT95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AZ95">
        <f ca="1"/>
      </c>
      <c r="BA95">
        <f ca="1"/>
      </c>
      <c r="BB95">
        <f ca="1"/>
      </c>
      <c r="BF95" s="7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M95" s="7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T95" s="7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F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B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</row>
    <row r="96" spans="27:182" x14ac:dyDescent="0.55000000000000004">
      <c r="AA96">
        <f ca="1"/>
      </c>
      <c r="AB96">
        <f ca="1"/>
      </c>
      <c r="AC96">
        <f ca="1"/>
      </c>
      <c r="AS96">
        <f ca="1"/>
      </c>
      <c r="AT96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AZ96">
        <f ca="1"/>
      </c>
      <c r="BA96">
        <f ca="1"/>
      </c>
      <c r="BB96">
        <f ca="1"/>
      </c>
      <c r="BF96" s="7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M96" s="7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T96" s="7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F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B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</row>
    <row r="97" spans="27:182" x14ac:dyDescent="0.55000000000000004">
      <c r="AA97">
        <f ca="1"/>
      </c>
      <c r="AB97">
        <f ca="1"/>
      </c>
      <c r="AC97">
        <f ca="1"/>
      </c>
      <c r="AS97">
        <f ca="1"/>
      </c>
      <c r="AT9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AZ97">
        <f ca="1"/>
      </c>
      <c r="BA97">
        <f ca="1"/>
      </c>
      <c r="BB97">
        <f ca="1"/>
      </c>
      <c r="BF97" s="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M97" s="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T97" s="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F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B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</row>
    <row r="98" spans="27:182" x14ac:dyDescent="0.55000000000000004">
      <c r="AA98">
        <f ca="1"/>
      </c>
      <c r="AB98">
        <f ca="1"/>
      </c>
      <c r="AC98">
        <f ca="1"/>
      </c>
      <c r="AS98">
        <f ca="1"/>
      </c>
      <c r="AT98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AZ98">
        <f ca="1"/>
      </c>
      <c r="BA98">
        <f ca="1"/>
      </c>
      <c r="BB98">
        <f ca="1"/>
      </c>
      <c r="BF98" s="7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M98" s="7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T98" s="7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F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B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</row>
    <row r="99" spans="27:182" x14ac:dyDescent="0.55000000000000004">
      <c r="AA99">
        <f ca="1"/>
      </c>
      <c r="AB99">
        <f ca="1"/>
      </c>
      <c r="AC99">
        <f ca="1"/>
      </c>
      <c r="AS99">
        <f ca="1"/>
      </c>
      <c r="AT99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AZ99">
        <f ca="1"/>
      </c>
      <c r="BA99">
        <f ca="1"/>
      </c>
      <c r="BB99">
        <f ca="1"/>
      </c>
      <c r="BF99" s="7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M99" s="7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T99" s="7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F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B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</row>
    <row r="100" spans="27:182" x14ac:dyDescent="0.55000000000000004">
      <c r="AA100">
        <f ca="1"/>
      </c>
      <c r="AB100">
        <f ca="1"/>
      </c>
      <c r="AC100">
        <f ca="1"/>
      </c>
      <c r="AS100">
        <f ca="1"/>
      </c>
      <c r="AT100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AZ100">
        <f ca="1"/>
      </c>
      <c r="BA100">
        <f ca="1"/>
      </c>
      <c r="BB100">
        <f ca="1"/>
      </c>
      <c r="BF100" s="7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M100" s="7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T100" s="7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F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B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</row>
    <row r="101" spans="27:182" x14ac:dyDescent="0.55000000000000004">
      <c r="AA101">
        <f ca="1"/>
      </c>
      <c r="AB101">
        <f ca="1"/>
      </c>
      <c r="AC101">
        <f ca="1"/>
      </c>
      <c r="AS101">
        <f ca="1"/>
      </c>
      <c r="AT101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AZ101">
        <f ca="1"/>
      </c>
      <c r="BA101">
        <f ca="1"/>
      </c>
      <c r="BB101">
        <f ca="1"/>
      </c>
      <c r="BF101" s="7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M101" s="7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T101" s="7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F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B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</row>
    <row r="102" spans="27:182" x14ac:dyDescent="0.55000000000000004">
      <c r="AA102">
        <f ca="1"/>
      </c>
      <c r="AB102">
        <f ca="1"/>
      </c>
      <c r="AC102">
        <f ca="1"/>
      </c>
      <c r="AS102">
        <f ca="1"/>
      </c>
      <c r="AT102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AZ102">
        <f ca="1"/>
      </c>
      <c r="BA102">
        <f ca="1"/>
      </c>
      <c r="BB102">
        <f ca="1"/>
      </c>
      <c r="BF102" s="7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M102" s="7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T102" s="7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F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B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</row>
    <row r="103" spans="27:182" x14ac:dyDescent="0.55000000000000004">
      <c r="AA103">
        <f ca="1"/>
      </c>
      <c r="AB103">
        <f ca="1"/>
      </c>
      <c r="AC103">
        <f ca="1"/>
      </c>
      <c r="AS103">
        <f ca="1"/>
      </c>
      <c r="AT103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AZ103">
        <f ca="1"/>
      </c>
      <c r="BA103">
        <f ca="1"/>
      </c>
      <c r="BB103">
        <f ca="1"/>
      </c>
      <c r="BF103" s="7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M103" s="7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T103" s="7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F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B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</row>
    <row r="104" spans="27:182" x14ac:dyDescent="0.55000000000000004">
      <c r="AA104">
        <f ca="1"/>
      </c>
      <c r="AB104">
        <f ca="1"/>
      </c>
      <c r="AC104">
        <f ca="1"/>
      </c>
      <c r="AS104">
        <f ca="1"/>
      </c>
      <c r="AT104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AZ104">
        <f ca="1"/>
      </c>
      <c r="BA104">
        <f ca="1"/>
      </c>
      <c r="BB104">
        <f ca="1"/>
      </c>
      <c r="BF104" s="7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M104" s="7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T104" s="7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F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B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</row>
    <row r="105" spans="27:182" x14ac:dyDescent="0.55000000000000004">
      <c r="AA105">
        <f ca="1"/>
      </c>
      <c r="AB105">
        <f ca="1"/>
      </c>
      <c r="AC105">
        <f ca="1"/>
      </c>
      <c r="AS105">
        <f ca="1"/>
      </c>
      <c r="AT105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AZ105">
        <f ca="1"/>
      </c>
      <c r="BA105">
        <f ca="1"/>
      </c>
      <c r="BB105">
        <f ca="1"/>
      </c>
      <c r="BF105" s="7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M105" s="7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T105" s="7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F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B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</row>
    <row r="106" spans="27:182" x14ac:dyDescent="0.55000000000000004">
      <c r="AA106">
        <f ca="1"/>
      </c>
      <c r="AB106">
        <f ca="1"/>
      </c>
      <c r="AC106">
        <f ca="1"/>
      </c>
      <c r="AS106">
        <f ca="1"/>
      </c>
      <c r="AT106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AZ106">
        <f ca="1"/>
      </c>
      <c r="BA106">
        <f ca="1"/>
      </c>
      <c r="BB106">
        <f ca="1"/>
      </c>
      <c r="BF106" s="7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M106" s="7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T106" s="7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F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B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</row>
    <row r="107" spans="27:182" x14ac:dyDescent="0.55000000000000004">
      <c r="AA107">
        <f ca="1"/>
      </c>
      <c r="AB107">
        <f ca="1"/>
      </c>
      <c r="AC107">
        <f ca="1"/>
      </c>
      <c r="AS107">
        <f ca="1"/>
      </c>
      <c r="AT10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AZ107">
        <f ca="1"/>
      </c>
      <c r="BA107">
        <f ca="1"/>
      </c>
      <c r="BB107">
        <f ca="1"/>
      </c>
      <c r="BF107" s="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M107" s="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T107" s="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F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B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</row>
    <row r="108" spans="27:182" x14ac:dyDescent="0.55000000000000004">
      <c r="AA108">
        <f ca="1"/>
      </c>
      <c r="AB108">
        <f ca="1"/>
      </c>
      <c r="AC108">
        <f ca="1"/>
      </c>
      <c r="AS108">
        <f ca="1"/>
      </c>
      <c r="AT108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AZ108">
        <f ca="1"/>
      </c>
      <c r="BA108">
        <f ca="1"/>
      </c>
      <c r="BB108">
        <f ca="1"/>
      </c>
      <c r="BF108" s="7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M108" s="7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T108" s="7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F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B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</row>
    <row r="109" spans="27:182" x14ac:dyDescent="0.55000000000000004">
      <c r="AA109">
        <f ca="1"/>
      </c>
      <c r="AB109">
        <f ca="1"/>
      </c>
      <c r="AC109">
        <f ca="1"/>
      </c>
      <c r="AS109">
        <f ca="1"/>
      </c>
      <c r="AT109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AZ109">
        <f ca="1"/>
      </c>
      <c r="BA109">
        <f ca="1"/>
      </c>
      <c r="BB109">
        <f ca="1"/>
      </c>
      <c r="BF109" s="7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M109" s="7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T109" s="7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F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B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</row>
    <row r="110" spans="27:182" x14ac:dyDescent="0.55000000000000004">
      <c r="AA110">
        <f ca="1"/>
      </c>
      <c r="AB110">
        <f ca="1"/>
      </c>
      <c r="AC110">
        <f ca="1"/>
      </c>
      <c r="AS110">
        <f ca="1"/>
      </c>
      <c r="AT110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AZ110">
        <f ca="1"/>
      </c>
      <c r="BA110">
        <f ca="1"/>
      </c>
      <c r="BB110">
        <f ca="1"/>
      </c>
      <c r="BF110" s="7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M110" s="7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T110" s="7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F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B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</row>
    <row r="111" spans="27:182" x14ac:dyDescent="0.55000000000000004">
      <c r="AA111">
        <f ca="1"/>
      </c>
      <c r="AB111">
        <f ca="1"/>
      </c>
      <c r="AC111">
        <f ca="1"/>
      </c>
      <c r="AS111">
        <f ca="1"/>
      </c>
      <c r="AT111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AZ111">
        <f ca="1"/>
      </c>
      <c r="BA111">
        <f ca="1"/>
      </c>
      <c r="BB111">
        <f ca="1"/>
      </c>
      <c r="BF111" s="7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M111" s="7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T111" s="7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F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B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</row>
    <row r="112" spans="27:182" x14ac:dyDescent="0.55000000000000004">
      <c r="AA112">
        <f ca="1"/>
      </c>
      <c r="AB112">
        <f ca="1"/>
      </c>
      <c r="AC112">
        <f ca="1"/>
      </c>
      <c r="AS112">
        <f ca="1"/>
      </c>
      <c r="AT112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AZ112">
        <f ca="1"/>
      </c>
      <c r="BA112">
        <f ca="1"/>
      </c>
      <c r="BB112">
        <f ca="1"/>
      </c>
      <c r="BF112" s="7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M112" s="7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T112" s="7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F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B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</row>
    <row r="113" spans="27:182" x14ac:dyDescent="0.55000000000000004">
      <c r="AA113">
        <f ca="1"/>
      </c>
      <c r="AB113">
        <f ca="1"/>
      </c>
      <c r="AC113">
        <f ca="1"/>
      </c>
      <c r="AS113">
        <f ca="1"/>
      </c>
      <c r="AT113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AZ113">
        <f ca="1"/>
      </c>
      <c r="BA113">
        <f ca="1"/>
      </c>
      <c r="BB113">
        <f ca="1"/>
      </c>
      <c r="BF113" s="7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M113" s="7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T113" s="7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F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B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</row>
    <row r="114" spans="27:182" x14ac:dyDescent="0.55000000000000004">
      <c r="AA114">
        <f ca="1"/>
      </c>
      <c r="AB114">
        <f ca="1"/>
      </c>
      <c r="AC114">
        <f ca="1"/>
      </c>
      <c r="AS114">
        <f ca="1"/>
      </c>
      <c r="AT114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AZ114">
        <f ca="1"/>
      </c>
      <c r="BA114">
        <f ca="1"/>
      </c>
      <c r="BB114">
        <f ca="1"/>
      </c>
      <c r="BF114" s="7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M114" s="7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T114" s="7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F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B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</row>
    <row r="115" spans="27:182" x14ac:dyDescent="0.55000000000000004">
      <c r="AA115">
        <f ca="1"/>
      </c>
      <c r="AB115">
        <f ca="1"/>
      </c>
      <c r="AC115">
        <f ca="1"/>
      </c>
      <c r="AS115">
        <f ca="1"/>
      </c>
      <c r="AT115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AZ115">
        <f ca="1"/>
      </c>
      <c r="BA115">
        <f ca="1"/>
      </c>
      <c r="BB115">
        <f ca="1"/>
      </c>
      <c r="BF115" s="7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M115" s="7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T115" s="7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F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B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</row>
    <row r="116" spans="27:182" x14ac:dyDescent="0.55000000000000004">
      <c r="AA116">
        <f ca="1"/>
      </c>
      <c r="AB116">
        <f ca="1"/>
      </c>
      <c r="AC116">
        <f ca="1"/>
      </c>
      <c r="AS116">
        <f ca="1"/>
      </c>
      <c r="AT116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AZ116">
        <f ca="1"/>
      </c>
      <c r="BA116">
        <f ca="1"/>
      </c>
      <c r="BB116">
        <f ca="1"/>
      </c>
      <c r="BF116" s="7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M116" s="7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T116" s="7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F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B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</row>
    <row r="117" spans="27:182" x14ac:dyDescent="0.55000000000000004">
      <c r="AA117">
        <f ca="1"/>
      </c>
      <c r="AB117">
        <f ca="1"/>
      </c>
      <c r="AC117">
        <f ca="1"/>
      </c>
      <c r="AS117">
        <f ca="1"/>
      </c>
      <c r="AT11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AZ117">
        <f ca="1"/>
      </c>
      <c r="BA117">
        <f ca="1"/>
      </c>
      <c r="BB117">
        <f ca="1"/>
      </c>
      <c r="BF117" s="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M117" s="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T117" s="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F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B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</row>
    <row r="118" spans="27:182" x14ac:dyDescent="0.55000000000000004">
      <c r="AA118">
        <f ca="1"/>
      </c>
      <c r="AB118">
        <f ca="1"/>
      </c>
      <c r="AC118">
        <f ca="1"/>
      </c>
      <c r="AS118">
        <f ca="1"/>
      </c>
      <c r="AT118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AZ118">
        <f ca="1"/>
      </c>
      <c r="BA118">
        <f ca="1"/>
      </c>
      <c r="BB118">
        <f ca="1"/>
      </c>
      <c r="BF118" s="7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M118" s="7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T118" s="7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F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B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</row>
    <row r="119" spans="27:182" x14ac:dyDescent="0.55000000000000004">
      <c r="AA119">
        <f ca="1"/>
      </c>
      <c r="AB119">
        <f ca="1"/>
      </c>
      <c r="AC119">
        <f ca="1"/>
      </c>
      <c r="AS119">
        <f ca="1"/>
      </c>
      <c r="AT119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AZ119">
        <f ca="1"/>
      </c>
      <c r="BA119">
        <f ca="1"/>
      </c>
      <c r="BB119">
        <f ca="1"/>
      </c>
      <c r="BF119" s="7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M119" s="7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T119" s="7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F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B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</row>
    <row r="120" spans="27:182" x14ac:dyDescent="0.55000000000000004">
      <c r="AA120">
        <f ca="1"/>
      </c>
      <c r="AB120">
        <f ca="1"/>
      </c>
      <c r="AC120">
        <f ca="1"/>
      </c>
      <c r="AS120">
        <f ca="1"/>
      </c>
      <c r="AT120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AZ120">
        <f ca="1"/>
      </c>
      <c r="BA120">
        <f ca="1"/>
      </c>
      <c r="BB120">
        <f ca="1"/>
      </c>
      <c r="BF120" s="7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M120" s="7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T120" s="7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F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B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</row>
    <row r="121" spans="27:182" x14ac:dyDescent="0.55000000000000004">
      <c r="AA121">
        <f ca="1"/>
      </c>
      <c r="AB121">
        <f ca="1"/>
      </c>
      <c r="AC121">
        <f ca="1"/>
      </c>
      <c r="AS121">
        <f ca="1"/>
      </c>
      <c r="AT121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AZ121">
        <f ca="1"/>
      </c>
      <c r="BA121">
        <f ca="1"/>
      </c>
      <c r="BB121">
        <f ca="1"/>
      </c>
      <c r="BF121" s="7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M121" s="7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T121" s="7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F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B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</row>
    <row r="122" spans="27:182" x14ac:dyDescent="0.55000000000000004">
      <c r="AA122">
        <f ca="1"/>
      </c>
      <c r="AB122">
        <f ca="1"/>
      </c>
      <c r="AC122">
        <f ca="1"/>
      </c>
      <c r="AS122">
        <f ca="1"/>
      </c>
      <c r="AT122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AZ122">
        <f ca="1"/>
      </c>
      <c r="BA122">
        <f ca="1"/>
      </c>
      <c r="BB122">
        <f ca="1"/>
      </c>
      <c r="BF122" s="7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M122" s="7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T122" s="7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F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B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</row>
    <row r="123" spans="27:182" x14ac:dyDescent="0.55000000000000004">
      <c r="AA123">
        <f ca="1"/>
      </c>
      <c r="AB123">
        <f ca="1"/>
      </c>
      <c r="AC123">
        <f ca="1"/>
      </c>
      <c r="AS123">
        <f ca="1"/>
      </c>
      <c r="AT123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AZ123">
        <f ca="1"/>
      </c>
      <c r="BA123">
        <f ca="1"/>
      </c>
      <c r="BB123">
        <f ca="1"/>
      </c>
      <c r="BF123" s="7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M123" s="7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T123" s="7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F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B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</row>
    <row r="124" spans="27:182" x14ac:dyDescent="0.55000000000000004">
      <c r="AA124">
        <f ca="1"/>
      </c>
      <c r="AB124">
        <f ca="1"/>
      </c>
      <c r="AC124">
        <f ca="1"/>
      </c>
      <c r="AS124">
        <f ca="1"/>
      </c>
      <c r="AT124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AZ124">
        <f ca="1"/>
      </c>
      <c r="BA124">
        <f ca="1"/>
      </c>
      <c r="BB124">
        <f ca="1"/>
      </c>
      <c r="BF124" s="7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M124" s="7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T124" s="7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F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B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</row>
    <row r="125" spans="27:182" x14ac:dyDescent="0.55000000000000004">
      <c r="AA125">
        <f ca="1"/>
      </c>
      <c r="AB125">
        <f ca="1"/>
      </c>
      <c r="AC125">
        <f ca="1"/>
      </c>
      <c r="AS125">
        <f ca="1"/>
      </c>
      <c r="AT125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AZ125">
        <f ca="1"/>
      </c>
      <c r="BA125">
        <f ca="1"/>
      </c>
      <c r="BB125">
        <f ca="1"/>
      </c>
      <c r="BF125" s="7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M125" s="7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T125" s="7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F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B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</row>
    <row r="126" spans="27:182" x14ac:dyDescent="0.55000000000000004">
      <c r="AA126">
        <f ca="1"/>
      </c>
      <c r="AB126">
        <f ca="1"/>
      </c>
      <c r="AC126">
        <f ca="1"/>
      </c>
      <c r="AS126">
        <f ca="1"/>
      </c>
      <c r="AT126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AZ126">
        <f ca="1"/>
      </c>
      <c r="BA126">
        <f ca="1"/>
      </c>
      <c r="BB126">
        <f ca="1"/>
      </c>
      <c r="BF126" s="7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M126" s="7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T126" s="7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F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B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</row>
    <row r="127" spans="27:182" x14ac:dyDescent="0.55000000000000004">
      <c r="AA127">
        <f ca="1"/>
      </c>
      <c r="AB127">
        <f ca="1"/>
      </c>
      <c r="AC127">
        <f ca="1"/>
      </c>
      <c r="AS127">
        <f ca="1"/>
      </c>
      <c r="AT12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AZ127">
        <f ca="1"/>
      </c>
      <c r="BA127">
        <f ca="1"/>
      </c>
      <c r="BB127">
        <f ca="1"/>
      </c>
      <c r="BF127" s="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M127" s="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T127" s="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F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B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</row>
    <row r="128" spans="27:182" x14ac:dyDescent="0.55000000000000004">
      <c r="AA128">
        <f ca="1"/>
      </c>
      <c r="AB128">
        <f ca="1"/>
      </c>
      <c r="AC128">
        <f ca="1"/>
      </c>
      <c r="AS128">
        <f ca="1"/>
      </c>
      <c r="AT128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AZ128">
        <f ca="1"/>
      </c>
      <c r="BA128">
        <f ca="1"/>
      </c>
      <c r="BB128">
        <f ca="1"/>
      </c>
      <c r="BF128" s="7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M128" s="7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T128" s="7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F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B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</row>
    <row r="129" spans="27:182" x14ac:dyDescent="0.55000000000000004">
      <c r="AA129">
        <f ca="1"/>
      </c>
      <c r="AB129">
        <f ca="1"/>
      </c>
      <c r="AC129">
        <f ca="1"/>
      </c>
      <c r="AS129">
        <f ca="1"/>
      </c>
      <c r="AT129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AZ129">
        <f ca="1"/>
      </c>
      <c r="BA129">
        <f ca="1"/>
      </c>
      <c r="BB129">
        <f ca="1"/>
      </c>
      <c r="BF129" s="7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M129" s="7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T129" s="7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F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B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</row>
    <row r="130" spans="27:182" x14ac:dyDescent="0.55000000000000004">
      <c r="AA130">
        <f ca="1"/>
      </c>
      <c r="AB130">
        <f ca="1"/>
      </c>
      <c r="AC130">
        <f ca="1"/>
      </c>
      <c r="AS130">
        <f ca="1"/>
      </c>
      <c r="AT130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AZ130">
        <f ca="1"/>
      </c>
      <c r="BA130">
        <f ca="1"/>
      </c>
      <c r="BB130">
        <f ca="1"/>
      </c>
      <c r="BF130" s="7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M130" s="7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T130" s="7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F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B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</row>
    <row r="131" spans="27:182" x14ac:dyDescent="0.55000000000000004">
      <c r="AA131">
        <f ca="1"/>
      </c>
      <c r="AB131">
        <f ca="1"/>
      </c>
      <c r="AC131">
        <f ca="1"/>
      </c>
      <c r="AS131">
        <f ca="1"/>
      </c>
      <c r="AT131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AZ131">
        <f ca="1"/>
      </c>
      <c r="BA131">
        <f ca="1"/>
      </c>
      <c r="BB131">
        <f ca="1"/>
      </c>
      <c r="BF131" s="7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M131" s="7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T131" s="7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F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B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</row>
    <row r="132" spans="27:182" x14ac:dyDescent="0.55000000000000004">
      <c r="AA132">
        <f ca="1"/>
      </c>
      <c r="AB132">
        <f ca="1"/>
      </c>
      <c r="AC132">
        <f ca="1"/>
      </c>
      <c r="AS132">
        <f ca="1"/>
      </c>
      <c r="AT132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AZ132">
        <f ca="1"/>
      </c>
      <c r="BA132">
        <f ca="1"/>
      </c>
      <c r="BB132">
        <f ca="1"/>
      </c>
      <c r="BF132" s="7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M132" s="7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T132" s="7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F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B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</row>
    <row r="133" spans="27:182" x14ac:dyDescent="0.55000000000000004">
      <c r="AA133">
        <f ca="1"/>
      </c>
      <c r="AB133">
        <f ca="1"/>
      </c>
      <c r="AC133">
        <f ca="1"/>
      </c>
      <c r="AS133">
        <f ca="1"/>
      </c>
      <c r="AT133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AZ133">
        <f ca="1"/>
      </c>
      <c r="BA133">
        <f ca="1"/>
      </c>
      <c r="BB133">
        <f ca="1"/>
      </c>
      <c r="BF133" s="7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M133" s="7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T133" s="7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F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B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</row>
    <row r="134" spans="27:182" x14ac:dyDescent="0.55000000000000004">
      <c r="AA134">
        <f ca="1"/>
      </c>
      <c r="AB134">
        <f ca="1"/>
      </c>
      <c r="AC134">
        <f ca="1"/>
      </c>
      <c r="AS134">
        <f ca="1"/>
      </c>
      <c r="AT134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AZ134">
        <f ca="1"/>
      </c>
      <c r="BA134">
        <f ca="1"/>
      </c>
      <c r="BB134">
        <f ca="1"/>
      </c>
      <c r="BF134" s="7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M134" s="7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T134" s="7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F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B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</row>
    <row r="135" spans="27:182" x14ac:dyDescent="0.55000000000000004">
      <c r="AA135">
        <f ca="1"/>
      </c>
      <c r="AB135">
        <f ca="1"/>
      </c>
      <c r="AC135">
        <f ca="1"/>
      </c>
      <c r="AS135">
        <f ca="1"/>
      </c>
      <c r="AT135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AZ135">
        <f ca="1"/>
      </c>
      <c r="BA135">
        <f ca="1"/>
      </c>
      <c r="BB135">
        <f ca="1"/>
      </c>
      <c r="BF135" s="7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M135" s="7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T135" s="7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F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B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</row>
    <row r="136" spans="27:182" x14ac:dyDescent="0.55000000000000004">
      <c r="AA136">
        <f ca="1"/>
      </c>
      <c r="AB136">
        <f ca="1"/>
      </c>
      <c r="AC136">
        <f ca="1"/>
      </c>
      <c r="AS136">
        <f ca="1"/>
      </c>
      <c r="AT136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AZ136">
        <f ca="1"/>
      </c>
      <c r="BA136">
        <f ca="1"/>
      </c>
      <c r="BB136">
        <f ca="1"/>
      </c>
      <c r="BF136" s="7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M136" s="7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T136" s="7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F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B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</row>
    <row r="137" spans="27:182" x14ac:dyDescent="0.55000000000000004">
      <c r="AA137">
        <f ca="1"/>
      </c>
      <c r="AB137">
        <f ca="1"/>
      </c>
      <c r="AC137">
        <f ca="1"/>
      </c>
      <c r="AS137">
        <f ca="1"/>
      </c>
      <c r="AT13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AZ137">
        <f ca="1"/>
      </c>
      <c r="BA137">
        <f ca="1"/>
      </c>
      <c r="BB137">
        <f ca="1"/>
      </c>
      <c r="BF137" s="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M137" s="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T137" s="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F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B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</row>
    <row r="138" spans="27:182" x14ac:dyDescent="0.55000000000000004">
      <c r="AA138">
        <f ca="1"/>
      </c>
      <c r="AB138">
        <f ca="1"/>
      </c>
      <c r="AC138">
        <f ca="1"/>
      </c>
      <c r="AS138">
        <f ca="1"/>
      </c>
      <c r="AT138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AZ138">
        <f ca="1"/>
      </c>
      <c r="BA138">
        <f ca="1"/>
      </c>
      <c r="BB138">
        <f ca="1"/>
      </c>
      <c r="BF138" s="7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M138" s="7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T138" s="7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F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B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</row>
    <row r="139" spans="27:182" x14ac:dyDescent="0.55000000000000004">
      <c r="AA139">
        <f ca="1"/>
      </c>
      <c r="AB139">
        <f ca="1"/>
      </c>
      <c r="AC139">
        <f ca="1"/>
      </c>
      <c r="AS139">
        <f ca="1"/>
      </c>
      <c r="AT139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AZ139">
        <f ca="1"/>
      </c>
      <c r="BA139">
        <f ca="1"/>
      </c>
      <c r="BB139">
        <f ca="1"/>
      </c>
      <c r="BF139" s="7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M139" s="7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T139" s="7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F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B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</row>
    <row r="140" spans="27:182" x14ac:dyDescent="0.55000000000000004">
      <c r="AA140">
        <f ca="1"/>
      </c>
      <c r="AB140">
        <f ca="1"/>
      </c>
      <c r="AC140">
        <f ca="1"/>
      </c>
      <c r="AS140">
        <f ca="1"/>
      </c>
      <c r="AT140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AZ140">
        <f ca="1"/>
      </c>
      <c r="BA140">
        <f ca="1"/>
      </c>
      <c r="BB140">
        <f ca="1"/>
      </c>
      <c r="BF140" s="7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M140" s="7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T140" s="7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F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B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</row>
    <row r="141" spans="27:182" x14ac:dyDescent="0.55000000000000004">
      <c r="AA141">
        <f ca="1"/>
      </c>
      <c r="AB141">
        <f ca="1"/>
      </c>
      <c r="AC141">
        <f ca="1"/>
      </c>
      <c r="AS141">
        <f ca="1"/>
      </c>
      <c r="AT141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AZ141">
        <f ca="1"/>
      </c>
      <c r="BA141">
        <f ca="1"/>
      </c>
      <c r="BB141">
        <f ca="1"/>
      </c>
      <c r="BF141" s="7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M141" s="7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T141" s="7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F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B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</row>
    <row r="142" spans="27:182" x14ac:dyDescent="0.55000000000000004">
      <c r="AA142">
        <f ca="1"/>
      </c>
      <c r="AB142">
        <f ca="1"/>
      </c>
      <c r="AC142">
        <f ca="1"/>
      </c>
      <c r="AS142">
        <f ca="1"/>
      </c>
      <c r="AT142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AZ142">
        <f ca="1"/>
      </c>
      <c r="BA142">
        <f ca="1"/>
      </c>
      <c r="BB142">
        <f ca="1"/>
      </c>
      <c r="BF142" s="7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M142" s="7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T142" s="7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F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B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</row>
    <row r="143" spans="27:182" x14ac:dyDescent="0.55000000000000004">
      <c r="AA143">
        <f ca="1"/>
      </c>
      <c r="AB143">
        <f ca="1"/>
      </c>
      <c r="AC143">
        <f ca="1"/>
      </c>
      <c r="AS143">
        <f ca="1"/>
      </c>
      <c r="AT143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AZ143">
        <f ca="1"/>
      </c>
      <c r="BA143">
        <f ca="1"/>
      </c>
      <c r="BB143">
        <f ca="1"/>
      </c>
      <c r="BF143" s="7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M143" s="7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T143" s="7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F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B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</row>
    <row r="144" spans="27:182" x14ac:dyDescent="0.55000000000000004">
      <c r="AA144">
        <f ca="1"/>
      </c>
      <c r="AB144">
        <f ca="1"/>
      </c>
      <c r="AC144">
        <f ca="1"/>
      </c>
      <c r="AS144">
        <f ca="1"/>
      </c>
      <c r="AT144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AZ144">
        <f ca="1"/>
      </c>
      <c r="BA144">
        <f ca="1"/>
      </c>
      <c r="BB144">
        <f ca="1"/>
      </c>
      <c r="BF144" s="7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M144" s="7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T144" s="7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F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B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</row>
    <row r="145" spans="27:182" x14ac:dyDescent="0.55000000000000004">
      <c r="AA145">
        <f ca="1"/>
      </c>
      <c r="AB145">
        <f ca="1"/>
      </c>
      <c r="AC145">
        <f ca="1"/>
      </c>
      <c r="AS145">
        <f ca="1"/>
      </c>
      <c r="AT145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AZ145">
        <f ca="1"/>
      </c>
      <c r="BA145">
        <f ca="1"/>
      </c>
      <c r="BB145">
        <f ca="1"/>
      </c>
      <c r="BF145" s="7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M145" s="7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T145" s="7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F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B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</row>
    <row r="146" spans="27:182" x14ac:dyDescent="0.55000000000000004">
      <c r="AA146">
        <f ca="1"/>
      </c>
      <c r="AB146">
        <f ca="1"/>
      </c>
      <c r="AC146">
        <f ca="1"/>
      </c>
      <c r="AS146">
        <f ca="1"/>
      </c>
      <c r="AT146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AZ146">
        <f ca="1"/>
      </c>
      <c r="BA146">
        <f ca="1"/>
      </c>
      <c r="BB146">
        <f ca="1"/>
      </c>
      <c r="BF146" s="7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M146" s="7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T146" s="7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F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B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</row>
    <row r="147" spans="27:182" x14ac:dyDescent="0.55000000000000004">
      <c r="AA147">
        <f ca="1"/>
      </c>
      <c r="AB147">
        <f ca="1"/>
      </c>
      <c r="AC147">
        <f ca="1"/>
      </c>
      <c r="AS147">
        <f ca="1"/>
      </c>
      <c r="AT14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AZ147">
        <f ca="1"/>
      </c>
      <c r="BA147">
        <f ca="1"/>
      </c>
      <c r="BB147">
        <f ca="1"/>
      </c>
      <c r="BF147" s="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M147" s="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T147" s="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F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B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</row>
    <row r="148" spans="27:182" x14ac:dyDescent="0.55000000000000004">
      <c r="AA148">
        <f ca="1"/>
      </c>
      <c r="AB148">
        <f ca="1"/>
      </c>
      <c r="AC148">
        <f ca="1"/>
      </c>
      <c r="AS148">
        <f ca="1"/>
      </c>
      <c r="AT148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AZ148">
        <f ca="1"/>
      </c>
      <c r="BA148">
        <f ca="1"/>
      </c>
      <c r="BB148">
        <f ca="1"/>
      </c>
      <c r="BF148" s="7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M148" s="7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T148" s="7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F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B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</row>
    <row r="149" spans="27:182" x14ac:dyDescent="0.55000000000000004">
      <c r="AA149">
        <f ca="1"/>
      </c>
      <c r="AB149">
        <f ca="1"/>
      </c>
      <c r="AC149">
        <f ca="1"/>
      </c>
      <c r="AS149">
        <f ca="1"/>
      </c>
      <c r="AT149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AZ149">
        <f ca="1"/>
      </c>
      <c r="BA149">
        <f ca="1"/>
      </c>
      <c r="BB149">
        <f ca="1"/>
      </c>
      <c r="BF149" s="7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M149" s="7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T149" s="7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F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B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</row>
    <row r="150" spans="27:182" x14ac:dyDescent="0.55000000000000004">
      <c r="AA150">
        <f ca="1"/>
      </c>
      <c r="AB150">
        <f ca="1"/>
      </c>
      <c r="AC150">
        <f ca="1"/>
      </c>
      <c r="AS150">
        <f ca="1"/>
      </c>
      <c r="AT150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AZ150">
        <f ca="1"/>
      </c>
      <c r="BA150">
        <f ca="1"/>
      </c>
      <c r="BB150">
        <f ca="1"/>
      </c>
      <c r="BF150" s="7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M150" s="7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T150" s="7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F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B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</row>
    <row r="151" spans="27:182" x14ac:dyDescent="0.55000000000000004">
      <c r="AA151">
        <f ca="1"/>
      </c>
      <c r="AB151">
        <f ca="1"/>
      </c>
      <c r="AC151">
        <f ca="1"/>
      </c>
      <c r="AS151">
        <f ca="1"/>
      </c>
      <c r="AT151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AZ151">
        <f ca="1"/>
      </c>
      <c r="BA151">
        <f ca="1"/>
      </c>
      <c r="BB151">
        <f ca="1"/>
      </c>
      <c r="BF151" s="7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M151" s="7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T151" s="7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F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B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</row>
    <row r="152" spans="27:182" x14ac:dyDescent="0.55000000000000004">
      <c r="AA152">
        <f ca="1"/>
      </c>
      <c r="AB152">
        <f ca="1"/>
      </c>
      <c r="AC152">
        <f ca="1"/>
      </c>
      <c r="AS152">
        <f ca="1"/>
      </c>
      <c r="AT152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AZ152">
        <f ca="1"/>
      </c>
      <c r="BA152">
        <f ca="1"/>
      </c>
      <c r="BB152">
        <f ca="1"/>
      </c>
      <c r="BF152" s="7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M152" s="7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T152" s="7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F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B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</row>
    <row r="153" spans="27:182" x14ac:dyDescent="0.55000000000000004">
      <c r="AA153">
        <f ca="1"/>
      </c>
      <c r="AB153">
        <f ca="1"/>
      </c>
      <c r="AC153">
        <f ca="1"/>
      </c>
      <c r="AS153">
        <f ca="1"/>
      </c>
      <c r="AT153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AZ153">
        <f ca="1"/>
      </c>
      <c r="BA153">
        <f ca="1"/>
      </c>
      <c r="BB153">
        <f ca="1"/>
      </c>
      <c r="BF153" s="7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M153" s="7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T153" s="7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F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B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</row>
    <row r="154" spans="27:182" x14ac:dyDescent="0.55000000000000004">
      <c r="AA154">
        <f ca="1"/>
      </c>
      <c r="AB154">
        <f ca="1"/>
      </c>
      <c r="AC154">
        <f ca="1"/>
      </c>
      <c r="AS154">
        <f ca="1"/>
      </c>
      <c r="AT154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AZ154">
        <f ca="1"/>
      </c>
      <c r="BA154">
        <f ca="1"/>
      </c>
      <c r="BB154">
        <f ca="1"/>
      </c>
      <c r="BF154" s="7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M154" s="7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T154" s="7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F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B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</row>
    <row r="155" spans="27:182" x14ac:dyDescent="0.55000000000000004">
      <c r="AA155">
        <f ca="1"/>
      </c>
      <c r="AB155">
        <f ca="1"/>
      </c>
      <c r="AC155">
        <f ca="1"/>
      </c>
      <c r="AS155">
        <f ca="1"/>
      </c>
      <c r="AT155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AZ155">
        <f ca="1"/>
      </c>
      <c r="BA155">
        <f ca="1"/>
      </c>
      <c r="BB155">
        <f ca="1"/>
      </c>
      <c r="BF155" s="7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M155" s="7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T155" s="7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F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B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</row>
    <row r="156" spans="27:182" x14ac:dyDescent="0.55000000000000004">
      <c r="AA156">
        <f ca="1"/>
      </c>
      <c r="AB156">
        <f ca="1"/>
      </c>
      <c r="AC156">
        <f ca="1"/>
      </c>
      <c r="AS156">
        <f ca="1"/>
      </c>
      <c r="AT156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AZ156">
        <f ca="1"/>
      </c>
      <c r="BA156">
        <f ca="1"/>
      </c>
      <c r="BB156">
        <f ca="1"/>
      </c>
      <c r="BF156" s="7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M156" s="7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T156" s="7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F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B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</row>
    <row r="157" spans="27:182" x14ac:dyDescent="0.55000000000000004">
      <c r="AA157">
        <f ca="1"/>
      </c>
      <c r="AB157">
        <f ca="1"/>
      </c>
      <c r="AC157">
        <f ca="1"/>
      </c>
      <c r="AS157">
        <f ca="1"/>
      </c>
      <c r="AT15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AZ157">
        <f ca="1"/>
      </c>
      <c r="BA157">
        <f ca="1"/>
      </c>
      <c r="BB157">
        <f ca="1"/>
      </c>
      <c r="BF157" s="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M157" s="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T157" s="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F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B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</row>
    <row r="158" spans="27:182" x14ac:dyDescent="0.55000000000000004">
      <c r="AA158">
        <f ca="1"/>
      </c>
      <c r="AB158">
        <f ca="1"/>
      </c>
      <c r="AC158">
        <f ca="1"/>
      </c>
      <c r="AS158">
        <f ca="1"/>
      </c>
      <c r="AT158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AZ158">
        <f ca="1"/>
      </c>
      <c r="BA158">
        <f ca="1"/>
      </c>
      <c r="BB158">
        <f ca="1"/>
      </c>
      <c r="BF158" s="7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M158" s="7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T158" s="7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F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B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</row>
    <row r="159" spans="27:182" x14ac:dyDescent="0.55000000000000004">
      <c r="AS159">
        <f ca="1"/>
      </c>
      <c r="AT159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AZ159">
        <f ca="1"/>
      </c>
      <c r="BA159">
        <f ca="1"/>
      </c>
      <c r="BB159">
        <f ca="1"/>
      </c>
      <c r="BF159" s="7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M159" s="7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T159" s="7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F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B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</row>
    <row r="160" spans="27:182" x14ac:dyDescent="0.55000000000000004">
      <c r="AS160">
        <f ca="1"/>
      </c>
      <c r="AT160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AZ160">
        <f ca="1"/>
      </c>
      <c r="BA160">
        <f ca="1"/>
      </c>
      <c r="BB160">
        <f ca="1"/>
      </c>
      <c r="BF160" s="7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M160" s="7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T160" s="7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F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B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</row>
    <row r="161" spans="45:182" x14ac:dyDescent="0.55000000000000004">
      <c r="AS161">
        <f ca="1"/>
      </c>
      <c r="AT161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AZ161">
        <f ca="1"/>
      </c>
      <c r="BA161">
        <f ca="1"/>
      </c>
      <c r="BB161">
        <f ca="1"/>
      </c>
      <c r="BF161" s="7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M161" s="7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T161" s="7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F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F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B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</row>
    <row r="162" spans="45:182" x14ac:dyDescent="0.55000000000000004">
      <c r="AS162">
        <f ca="1"/>
      </c>
      <c r="AT162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AZ162">
        <f ca="1"/>
      </c>
      <c r="BA162">
        <f ca="1"/>
      </c>
      <c r="BB162">
        <f ca="1"/>
      </c>
      <c r="BF162" s="7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M162" s="7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T162" s="7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F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F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B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</row>
    <row r="163" spans="45:182" x14ac:dyDescent="0.55000000000000004">
      <c r="AS163">
        <f ca="1"/>
      </c>
      <c r="AT163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AZ163">
        <f ca="1"/>
      </c>
      <c r="BA163">
        <f ca="1"/>
      </c>
      <c r="BB163">
        <f ca="1"/>
      </c>
      <c r="BF163" s="7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M163" s="7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T163" s="7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F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F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B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</row>
    <row r="164" spans="45:182" x14ac:dyDescent="0.55000000000000004">
      <c r="AS164">
        <f ca="1"/>
      </c>
      <c r="AT164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AZ164">
        <f ca="1"/>
      </c>
      <c r="BA164">
        <f ca="1"/>
      </c>
      <c r="BB164">
        <f ca="1"/>
      </c>
      <c r="BF164" s="7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M164" s="7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T164" s="7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F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F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B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</row>
    <row r="165" spans="45:182" x14ac:dyDescent="0.55000000000000004">
      <c r="AS165">
        <f ca="1"/>
      </c>
      <c r="AT165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AZ165">
        <f ca="1"/>
      </c>
      <c r="BA165">
        <f ca="1"/>
      </c>
      <c r="BB165">
        <f ca="1"/>
      </c>
      <c r="BF165" s="7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M165" s="7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T165" s="7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F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F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B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</row>
    <row r="166" spans="45:182" x14ac:dyDescent="0.55000000000000004">
      <c r="AS166">
        <f ca="1"/>
      </c>
      <c r="AT166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AZ166">
        <f ca="1"/>
      </c>
      <c r="BA166">
        <f ca="1"/>
      </c>
      <c r="BB166">
        <f ca="1"/>
      </c>
      <c r="BF166" s="7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M166" s="7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T166" s="7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F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F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B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</row>
    <row r="167" spans="45:182" x14ac:dyDescent="0.55000000000000004">
      <c r="AS167">
        <f ca="1"/>
      </c>
      <c r="AT16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AZ167">
        <f ca="1"/>
      </c>
      <c r="BA167">
        <f ca="1"/>
      </c>
      <c r="BB167">
        <f ca="1"/>
      </c>
      <c r="BF167" s="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M167" s="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T167" s="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F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F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B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</row>
    <row r="168" spans="45:182" x14ac:dyDescent="0.55000000000000004">
      <c r="AS168">
        <f ca="1"/>
      </c>
      <c r="AT168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AZ168">
        <f ca="1"/>
      </c>
      <c r="BA168">
        <f ca="1"/>
      </c>
      <c r="BB168">
        <f ca="1"/>
      </c>
      <c r="BF168" s="7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M168" s="7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T168" s="7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F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F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B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</row>
    <row r="169" spans="45:182" x14ac:dyDescent="0.55000000000000004">
      <c r="AS169">
        <f ca="1"/>
      </c>
      <c r="AT169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AZ169">
        <f ca="1"/>
      </c>
      <c r="BA169">
        <f ca="1"/>
      </c>
      <c r="BB169">
        <f ca="1"/>
      </c>
      <c r="BF169" s="7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M169" s="7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T169" s="7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F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F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B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</row>
    <row r="170" spans="45:182" x14ac:dyDescent="0.55000000000000004">
      <c r="AS170">
        <f ca="1"/>
      </c>
      <c r="AT170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AZ170">
        <f ca="1"/>
      </c>
      <c r="BA170">
        <f ca="1"/>
      </c>
      <c r="BB170">
        <f ca="1"/>
      </c>
      <c r="BF170" s="7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M170" s="7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T170" s="7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F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F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B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</row>
    <row r="171" spans="45:182" x14ac:dyDescent="0.55000000000000004">
      <c r="AS171">
        <f ca="1"/>
      </c>
      <c r="AT171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AZ171">
        <f ca="1"/>
      </c>
      <c r="BA171">
        <f ca="1"/>
      </c>
      <c r="BB171">
        <f ca="1"/>
      </c>
      <c r="BF171" s="7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M171" s="7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T171" s="7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F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F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B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</row>
    <row r="172" spans="45:182" x14ac:dyDescent="0.55000000000000004">
      <c r="AS172">
        <f ca="1"/>
      </c>
      <c r="AT172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AZ172">
        <f ca="1"/>
      </c>
      <c r="BA172">
        <f ca="1"/>
      </c>
      <c r="BB172">
        <f ca="1"/>
      </c>
      <c r="BF172" s="7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M172" s="7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T172" s="7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F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F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B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</row>
    <row r="173" spans="45:182" x14ac:dyDescent="0.55000000000000004">
      <c r="AS173">
        <f ca="1"/>
      </c>
      <c r="AT173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AZ173">
        <f ca="1"/>
      </c>
      <c r="BA173">
        <f ca="1"/>
      </c>
      <c r="BB173">
        <f ca="1"/>
      </c>
      <c r="BF173" s="7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M173" s="7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T173" s="7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F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F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B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</row>
    <row r="174" spans="45:182" x14ac:dyDescent="0.55000000000000004">
      <c r="AS174">
        <f ca="1"/>
      </c>
      <c r="AT174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AZ174">
        <f ca="1"/>
      </c>
      <c r="BA174">
        <f ca="1"/>
      </c>
      <c r="BB174">
        <f ca="1"/>
      </c>
      <c r="BF174" s="7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M174" s="7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T174" s="7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F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F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B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</row>
    <row r="175" spans="45:182" x14ac:dyDescent="0.55000000000000004">
      <c r="AS175">
        <f ca="1"/>
      </c>
      <c r="AT175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AZ175">
        <f ca="1"/>
      </c>
      <c r="BA175">
        <f ca="1"/>
      </c>
      <c r="BB175">
        <f ca="1"/>
      </c>
      <c r="BF175" s="7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M175" s="7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T175" s="7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F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F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B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</row>
    <row r="176" spans="45:182" x14ac:dyDescent="0.55000000000000004">
      <c r="AS176">
        <f ca="1"/>
      </c>
      <c r="AT176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AZ176">
        <f ca="1"/>
      </c>
      <c r="BA176">
        <f ca="1"/>
      </c>
      <c r="BB176">
        <f ca="1"/>
      </c>
      <c r="BF176" s="7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M176" s="7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T176" s="7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F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F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B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</row>
    <row r="177" spans="45:182" x14ac:dyDescent="0.55000000000000004">
      <c r="AS177">
        <f ca="1"/>
      </c>
      <c r="AT17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AZ177">
        <f ca="1"/>
      </c>
      <c r="BA177">
        <f ca="1"/>
      </c>
      <c r="BB177">
        <f ca="1"/>
      </c>
      <c r="BF177" s="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M177" s="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T177" s="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F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F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B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</row>
    <row r="178" spans="45:182" x14ac:dyDescent="0.55000000000000004">
      <c r="AS178">
        <f ca="1"/>
      </c>
      <c r="AT178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AZ178">
        <f ca="1"/>
      </c>
      <c r="BA178">
        <f ca="1"/>
      </c>
      <c r="BB178">
        <f ca="1"/>
      </c>
      <c r="BF178" s="7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M178" s="7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T178" s="7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F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F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B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</row>
    <row r="179" spans="45:182" x14ac:dyDescent="0.55000000000000004">
      <c r="AS179">
        <f ca="1"/>
      </c>
      <c r="AT179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AZ179">
        <f ca="1"/>
      </c>
      <c r="BA179">
        <f ca="1"/>
      </c>
      <c r="BB179">
        <f ca="1"/>
      </c>
      <c r="BF179" s="7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M179" s="7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T179" s="7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F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F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B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</row>
    <row r="180" spans="45:182" x14ac:dyDescent="0.55000000000000004">
      <c r="AS180">
        <f ca="1"/>
      </c>
      <c r="AT180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AZ180">
        <f ca="1"/>
      </c>
      <c r="BA180">
        <f ca="1"/>
      </c>
      <c r="BB180">
        <f ca="1"/>
      </c>
      <c r="BF180" s="7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M180" s="7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T180" s="7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F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F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B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</row>
    <row r="181" spans="45:182" x14ac:dyDescent="0.55000000000000004">
      <c r="AS181">
        <f ca="1"/>
      </c>
      <c r="AT181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AZ181">
        <f ca="1"/>
      </c>
      <c r="BA181">
        <f ca="1"/>
      </c>
      <c r="BB181">
        <f ca="1"/>
      </c>
      <c r="BF181" s="7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M181" s="7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T181" s="7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F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F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B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</row>
    <row r="182" spans="45:182" x14ac:dyDescent="0.55000000000000004">
      <c r="AS182">
        <f ca="1"/>
      </c>
      <c r="AT182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AZ182">
        <f ca="1"/>
      </c>
      <c r="BA182">
        <f ca="1"/>
      </c>
      <c r="BB182">
        <f ca="1"/>
      </c>
      <c r="BF182" s="7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M182" s="7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T182" s="7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F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F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B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</row>
    <row r="183" spans="45:182" x14ac:dyDescent="0.55000000000000004">
      <c r="AS183">
        <f ca="1"/>
      </c>
      <c r="AT183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AZ183">
        <f ca="1"/>
      </c>
      <c r="BA183">
        <f ca="1"/>
      </c>
      <c r="BB183">
        <f ca="1"/>
      </c>
      <c r="BF183" s="7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M183" s="7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T183" s="7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F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F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B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</row>
    <row r="184" spans="45:182" x14ac:dyDescent="0.55000000000000004">
      <c r="AS184">
        <f ca="1"/>
      </c>
      <c r="AT184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AZ184">
        <f ca="1"/>
      </c>
      <c r="BA184">
        <f ca="1"/>
      </c>
      <c r="BB184">
        <f ca="1"/>
      </c>
      <c r="BF184" s="7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M184" s="7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T184" s="7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F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F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B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</row>
    <row r="185" spans="45:182" x14ac:dyDescent="0.55000000000000004">
      <c r="AS185">
        <f ca="1"/>
      </c>
      <c r="AT185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AZ185">
        <f ca="1"/>
      </c>
      <c r="BA185">
        <f ca="1"/>
      </c>
      <c r="BB185">
        <f ca="1"/>
      </c>
      <c r="BF185" s="7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M185" s="7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T185" s="7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F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F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B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</row>
    <row r="186" spans="45:182" x14ac:dyDescent="0.55000000000000004">
      <c r="AS186">
        <f ca="1"/>
      </c>
      <c r="AT186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AZ186">
        <f ca="1"/>
      </c>
      <c r="BA186">
        <f ca="1"/>
      </c>
      <c r="BB186">
        <f ca="1"/>
      </c>
      <c r="BF186" s="7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M186" s="7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T186" s="7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F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F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B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</row>
    <row r="187" spans="45:182" x14ac:dyDescent="0.55000000000000004">
      <c r="AS187">
        <f ca="1"/>
      </c>
      <c r="AT18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AZ187">
        <f ca="1"/>
      </c>
      <c r="BA187">
        <f ca="1"/>
      </c>
      <c r="BB187">
        <f ca="1"/>
      </c>
      <c r="BF187" s="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M187" s="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T187" s="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F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F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B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</row>
    <row r="188" spans="45:182" x14ac:dyDescent="0.55000000000000004">
      <c r="AS188">
        <f ca="1"/>
      </c>
      <c r="AT188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AZ188">
        <f ca="1"/>
      </c>
      <c r="BA188">
        <f ca="1"/>
      </c>
      <c r="BB188">
        <f ca="1"/>
      </c>
      <c r="BF188" s="7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M188" s="7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T188" s="7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F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F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B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</row>
    <row r="189" spans="45:182" x14ac:dyDescent="0.55000000000000004">
      <c r="AS189">
        <f ca="1"/>
      </c>
      <c r="AT189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AZ189">
        <f ca="1"/>
      </c>
      <c r="BA189">
        <f ca="1"/>
      </c>
      <c r="BB189">
        <f ca="1"/>
      </c>
      <c r="BF189" s="7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M189" s="7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T189" s="7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F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F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B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</row>
    <row r="190" spans="45:182" x14ac:dyDescent="0.55000000000000004">
      <c r="AS190">
        <f ca="1"/>
      </c>
      <c r="AT190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AZ190">
        <f ca="1"/>
      </c>
      <c r="BA190">
        <f ca="1"/>
      </c>
      <c r="BB190">
        <f ca="1"/>
      </c>
      <c r="BF190" s="7">
        <f ca="1"/>
      </c>
      <c r="BG190">
        <f ca="1"/>
      </c>
      <c r="BH190">
        <f ca="1"/>
      </c>
      <c r="BI190">
        <f ca="1"/>
      </c>
      <c r="BJ190">
        <f ca="1"/>
      </c>
      <c r="BK190">
        <f ca="1"/>
      </c>
      <c r="BM190" s="7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T190" s="7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F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F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B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</row>
    <row r="191" spans="45:182" x14ac:dyDescent="0.55000000000000004">
      <c r="AS191">
        <f ca="1"/>
      </c>
      <c r="AT191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AZ191">
        <f ca="1"/>
      </c>
      <c r="BA191">
        <f ca="1"/>
      </c>
      <c r="BB191">
        <f ca="1"/>
      </c>
      <c r="BF191" s="7">
        <f ca="1"/>
      </c>
      <c r="BG191">
        <f ca="1"/>
      </c>
      <c r="BH191">
        <f ca="1"/>
      </c>
      <c r="BI191">
        <f ca="1"/>
      </c>
      <c r="BJ191">
        <f ca="1"/>
      </c>
      <c r="BK191">
        <f ca="1"/>
      </c>
      <c r="BM191" s="7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T191" s="7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F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F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B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</row>
    <row r="192" spans="45:182" x14ac:dyDescent="0.55000000000000004">
      <c r="AS192">
        <f ca="1"/>
      </c>
      <c r="AT192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AZ192">
        <f ca="1"/>
      </c>
      <c r="BA192">
        <f ca="1"/>
      </c>
      <c r="BB192">
        <f ca="1"/>
      </c>
      <c r="BF192" s="7">
        <f ca="1"/>
      </c>
      <c r="BG192">
        <f ca="1"/>
      </c>
      <c r="BH192">
        <f ca="1"/>
      </c>
      <c r="BI192">
        <f ca="1"/>
      </c>
      <c r="BJ192">
        <f ca="1"/>
      </c>
      <c r="BK192">
        <f ca="1"/>
      </c>
      <c r="BM192" s="7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T192" s="7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F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F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B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</row>
    <row r="193" spans="45:182" x14ac:dyDescent="0.55000000000000004">
      <c r="AS193">
        <f ca="1"/>
      </c>
      <c r="AT193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AZ193">
        <f ca="1"/>
      </c>
      <c r="BA193">
        <f ca="1"/>
      </c>
      <c r="BB193">
        <f ca="1"/>
      </c>
      <c r="BF193" s="7">
        <f ca="1"/>
      </c>
      <c r="BG193">
        <f ca="1"/>
      </c>
      <c r="BH193">
        <f ca="1"/>
      </c>
      <c r="BI193">
        <f ca="1"/>
      </c>
      <c r="BJ193">
        <f ca="1"/>
      </c>
      <c r="BK193">
        <f ca="1"/>
      </c>
      <c r="BM193" s="7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T193" s="7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F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F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B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</row>
    <row r="194" spans="45:182" x14ac:dyDescent="0.55000000000000004">
      <c r="AS194">
        <f ca="1"/>
      </c>
      <c r="AT194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AZ194">
        <f ca="1"/>
      </c>
      <c r="BA194">
        <f ca="1"/>
      </c>
      <c r="BB194">
        <f ca="1"/>
      </c>
      <c r="BF194" s="7">
        <f ca="1"/>
      </c>
      <c r="BG194">
        <f ca="1"/>
      </c>
      <c r="BH194">
        <f ca="1"/>
      </c>
      <c r="BI194">
        <f ca="1"/>
      </c>
      <c r="BJ194">
        <f ca="1"/>
      </c>
      <c r="BK194">
        <f ca="1"/>
      </c>
      <c r="BM194" s="7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T194" s="7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F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F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B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</row>
    <row r="195" spans="45:182" x14ac:dyDescent="0.55000000000000004">
      <c r="AS195">
        <f ca="1"/>
      </c>
      <c r="AT195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AZ195">
        <f ca="1"/>
      </c>
      <c r="BA195">
        <f ca="1"/>
      </c>
      <c r="BB195">
        <f ca="1"/>
      </c>
      <c r="BF195" s="7">
        <f ca="1"/>
      </c>
      <c r="BG195">
        <f ca="1"/>
      </c>
      <c r="BH195">
        <f ca="1"/>
      </c>
      <c r="BI195">
        <f ca="1"/>
      </c>
      <c r="BJ195">
        <f ca="1"/>
      </c>
      <c r="BK195">
        <f ca="1"/>
      </c>
      <c r="BM195" s="7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T195" s="7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F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F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B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</row>
    <row r="196" spans="45:182" x14ac:dyDescent="0.55000000000000004">
      <c r="AS196">
        <f ca="1"/>
      </c>
      <c r="AT196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AZ196">
        <f ca="1"/>
      </c>
      <c r="BA196">
        <f ca="1"/>
      </c>
      <c r="BB196">
        <f ca="1"/>
      </c>
      <c r="BF196" s="7">
        <f ca="1"/>
      </c>
      <c r="BG196">
        <f ca="1"/>
      </c>
      <c r="BH196">
        <f ca="1"/>
      </c>
      <c r="BI196">
        <f ca="1"/>
      </c>
      <c r="BJ196">
        <f ca="1"/>
      </c>
      <c r="BK196">
        <f ca="1"/>
      </c>
      <c r="BM196" s="7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T196" s="7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F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F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B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</row>
    <row r="197" spans="45:182" x14ac:dyDescent="0.55000000000000004">
      <c r="AS197">
        <f ca="1"/>
      </c>
      <c r="AT19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AZ197">
        <f ca="1"/>
      </c>
      <c r="BA197">
        <f ca="1"/>
      </c>
      <c r="BB197">
        <f ca="1"/>
      </c>
      <c r="BF197" s="7">
        <f ca="1"/>
      </c>
      <c r="BG197">
        <f ca="1"/>
      </c>
      <c r="BH197">
        <f ca="1"/>
      </c>
      <c r="BI197">
        <f ca="1"/>
      </c>
      <c r="BJ197">
        <f ca="1"/>
      </c>
      <c r="BK197">
        <f ca="1"/>
      </c>
      <c r="BM197" s="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T197" s="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F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F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B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</row>
    <row r="198" spans="45:182" x14ac:dyDescent="0.55000000000000004">
      <c r="AS198">
        <f ca="1"/>
      </c>
      <c r="AT198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AZ198">
        <f ca="1"/>
      </c>
      <c r="BA198">
        <f ca="1"/>
      </c>
      <c r="BB198">
        <f ca="1"/>
      </c>
      <c r="BF198" s="7">
        <f ca="1"/>
      </c>
      <c r="BG198">
        <f ca="1"/>
      </c>
      <c r="BH198">
        <f ca="1"/>
      </c>
      <c r="BI198">
        <f ca="1"/>
      </c>
      <c r="BJ198">
        <f ca="1"/>
      </c>
      <c r="BK198">
        <f ca="1"/>
      </c>
      <c r="BM198" s="7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T198" s="7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F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F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B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</row>
    <row r="199" spans="45:182" x14ac:dyDescent="0.55000000000000004">
      <c r="AS199">
        <f ca="1"/>
      </c>
      <c r="AT199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AZ199">
        <f ca="1"/>
      </c>
      <c r="BA199">
        <f ca="1"/>
      </c>
      <c r="BB199">
        <f ca="1"/>
      </c>
      <c r="BF199" s="7">
        <f ca="1"/>
      </c>
      <c r="BG199">
        <f ca="1"/>
      </c>
      <c r="BH199">
        <f ca="1"/>
      </c>
      <c r="BI199">
        <f ca="1"/>
      </c>
      <c r="BJ199">
        <f ca="1"/>
      </c>
      <c r="BK199">
        <f ca="1"/>
      </c>
      <c r="BM199" s="7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T199" s="7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F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F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B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</row>
    <row r="200" spans="45:182" x14ac:dyDescent="0.55000000000000004">
      <c r="AS200">
        <f ca="1"/>
      </c>
      <c r="AT200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AZ200">
        <f ca="1"/>
      </c>
      <c r="BA200">
        <f ca="1"/>
      </c>
      <c r="BB200">
        <f ca="1"/>
      </c>
      <c r="BF200" s="7">
        <f ca="1"/>
      </c>
      <c r="BG200">
        <f ca="1"/>
      </c>
      <c r="BH200">
        <f ca="1"/>
      </c>
      <c r="BI200">
        <f ca="1"/>
      </c>
      <c r="BJ200">
        <f ca="1"/>
      </c>
      <c r="BK200">
        <f ca="1"/>
      </c>
      <c r="BM200" s="7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T200" s="7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F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F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B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</row>
    <row r="201" spans="45:182" x14ac:dyDescent="0.55000000000000004">
      <c r="AS201">
        <f ca="1"/>
      </c>
      <c r="AT201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AZ201">
        <f ca="1"/>
      </c>
      <c r="BA201">
        <f ca="1"/>
      </c>
      <c r="BB201">
        <f ca="1"/>
      </c>
      <c r="BF201" s="7">
        <f ca="1"/>
      </c>
      <c r="BG201">
        <f ca="1"/>
      </c>
      <c r="BH201">
        <f ca="1"/>
      </c>
      <c r="BI201">
        <f ca="1"/>
      </c>
      <c r="BJ201">
        <f ca="1"/>
      </c>
      <c r="BK201">
        <f ca="1"/>
      </c>
      <c r="BM201" s="7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T201" s="7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F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F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B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</row>
    <row r="202" spans="45:182" x14ac:dyDescent="0.55000000000000004">
      <c r="AS202">
        <f ca="1"/>
      </c>
      <c r="AT202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AZ202">
        <f ca="1"/>
      </c>
      <c r="BA202">
        <f ca="1"/>
      </c>
      <c r="BB202">
        <f ca="1"/>
      </c>
      <c r="BF202" s="7">
        <f ca="1"/>
      </c>
      <c r="BG202">
        <f ca="1"/>
      </c>
      <c r="BH202">
        <f ca="1"/>
      </c>
      <c r="BI202">
        <f ca="1"/>
      </c>
      <c r="BJ202">
        <f ca="1"/>
      </c>
      <c r="BK202">
        <f ca="1"/>
      </c>
      <c r="BM202" s="7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T202" s="7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F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F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B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</row>
    <row r="203" spans="45:182" x14ac:dyDescent="0.55000000000000004">
      <c r="AS203">
        <f ca="1"/>
      </c>
      <c r="AT203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AZ203">
        <f ca="1"/>
      </c>
      <c r="BA203">
        <f ca="1"/>
      </c>
      <c r="BB203">
        <f ca="1"/>
      </c>
      <c r="BF203" s="7">
        <f ca="1"/>
      </c>
      <c r="BG203">
        <f ca="1"/>
      </c>
      <c r="BH203">
        <f ca="1"/>
      </c>
      <c r="BI203">
        <f ca="1"/>
      </c>
      <c r="BJ203">
        <f ca="1"/>
      </c>
      <c r="BK203">
        <f ca="1"/>
      </c>
      <c r="BM203" s="7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T203" s="7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F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F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B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</row>
    <row r="204" spans="45:182" x14ac:dyDescent="0.55000000000000004">
      <c r="AS204">
        <f ca="1"/>
      </c>
      <c r="AT204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AZ204">
        <f ca="1"/>
      </c>
      <c r="BA204">
        <f ca="1"/>
      </c>
      <c r="BB204">
        <f ca="1"/>
      </c>
      <c r="BF204" s="7">
        <f ca="1"/>
      </c>
      <c r="BG204">
        <f ca="1"/>
      </c>
      <c r="BH204">
        <f ca="1"/>
      </c>
      <c r="BI204">
        <f ca="1"/>
      </c>
      <c r="BJ204">
        <f ca="1"/>
      </c>
      <c r="BK204">
        <f ca="1"/>
      </c>
      <c r="BM204" s="7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T204" s="7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F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F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B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</row>
    <row r="205" spans="45:182" x14ac:dyDescent="0.55000000000000004">
      <c r="AS205">
        <f ca="1"/>
      </c>
      <c r="AT205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AZ205">
        <f ca="1"/>
      </c>
      <c r="BA205">
        <f ca="1"/>
      </c>
      <c r="BB205">
        <f ca="1"/>
      </c>
      <c r="BF205" s="7">
        <f ca="1"/>
      </c>
      <c r="BG205">
        <f ca="1"/>
      </c>
      <c r="BH205">
        <f ca="1"/>
      </c>
      <c r="BI205">
        <f ca="1"/>
      </c>
      <c r="BJ205">
        <f ca="1"/>
      </c>
      <c r="BK205">
        <f ca="1"/>
      </c>
      <c r="BM205" s="7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T205" s="7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F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F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B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</row>
    <row r="206" spans="45:182" x14ac:dyDescent="0.55000000000000004">
      <c r="AS206">
        <f ca="1"/>
      </c>
      <c r="AT206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AZ206">
        <f ca="1"/>
      </c>
      <c r="BA206">
        <f ca="1"/>
      </c>
      <c r="BB206">
        <f ca="1"/>
      </c>
      <c r="BF206" s="7">
        <f ca="1"/>
      </c>
      <c r="BG206">
        <f ca="1"/>
      </c>
      <c r="BH206">
        <f ca="1"/>
      </c>
      <c r="BI206">
        <f ca="1"/>
      </c>
      <c r="BJ206">
        <f ca="1"/>
      </c>
      <c r="BK206">
        <f ca="1"/>
      </c>
      <c r="BM206" s="7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T206" s="7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F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F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B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</row>
    <row r="207" spans="45:182" x14ac:dyDescent="0.55000000000000004">
      <c r="AS207">
        <f ca="1"/>
      </c>
      <c r="AT20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AZ207">
        <f ca="1"/>
      </c>
      <c r="BA207">
        <f ca="1"/>
      </c>
      <c r="BB207">
        <f ca="1"/>
      </c>
      <c r="BF207" s="7">
        <f ca="1"/>
      </c>
      <c r="BG207">
        <f ca="1"/>
      </c>
      <c r="BH207">
        <f ca="1"/>
      </c>
      <c r="BI207">
        <f ca="1"/>
      </c>
      <c r="BJ207">
        <f ca="1"/>
      </c>
      <c r="BK207">
        <f ca="1"/>
      </c>
      <c r="BM207" s="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T207" s="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F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F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B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</row>
    <row r="208" spans="45:182" x14ac:dyDescent="0.55000000000000004">
      <c r="AS208">
        <f ca="1"/>
      </c>
      <c r="AT208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AZ208">
        <f ca="1"/>
      </c>
      <c r="BA208">
        <f ca="1"/>
      </c>
      <c r="BB208">
        <f ca="1"/>
      </c>
      <c r="BF208" s="7">
        <f ca="1"/>
      </c>
      <c r="BG208">
        <f ca="1"/>
      </c>
      <c r="BH208">
        <f ca="1"/>
      </c>
      <c r="BI208">
        <f ca="1"/>
      </c>
      <c r="BJ208">
        <f ca="1"/>
      </c>
      <c r="BK208">
        <f ca="1"/>
      </c>
      <c r="BM208" s="7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T208" s="7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F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F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B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</row>
    <row r="209" spans="45:182" x14ac:dyDescent="0.55000000000000004">
      <c r="AS209">
        <f ca="1"/>
      </c>
      <c r="AT209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AZ209">
        <f ca="1"/>
      </c>
      <c r="BA209">
        <f ca="1"/>
      </c>
      <c r="BB209">
        <f ca="1"/>
      </c>
      <c r="BF209" s="7">
        <f ca="1"/>
      </c>
      <c r="BG209">
        <f ca="1"/>
      </c>
      <c r="BH209">
        <f ca="1"/>
      </c>
      <c r="BI209">
        <f ca="1"/>
      </c>
      <c r="BJ209">
        <f ca="1"/>
      </c>
      <c r="BK209">
        <f ca="1"/>
      </c>
      <c r="BM209" s="7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T209" s="7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F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F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B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</row>
    <row r="210" spans="45:182" x14ac:dyDescent="0.55000000000000004">
      <c r="AS210">
        <f ca="1"/>
      </c>
      <c r="AT210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AZ210">
        <f ca="1"/>
      </c>
      <c r="BA210">
        <f ca="1"/>
      </c>
      <c r="BB210">
        <f ca="1"/>
      </c>
      <c r="BF210" s="7">
        <f ca="1"/>
      </c>
      <c r="BG210">
        <f ca="1"/>
      </c>
      <c r="BH210">
        <f ca="1"/>
      </c>
      <c r="BI210">
        <f ca="1"/>
      </c>
      <c r="BJ210">
        <f ca="1"/>
      </c>
      <c r="BK210">
        <f ca="1"/>
      </c>
      <c r="BM210" s="7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T210" s="7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F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F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B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</row>
    <row r="211" spans="45:182" x14ac:dyDescent="0.55000000000000004">
      <c r="AS211">
        <f ca="1"/>
      </c>
      <c r="AT211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AZ211">
        <f ca="1"/>
      </c>
      <c r="BA211">
        <f ca="1"/>
      </c>
      <c r="BB211">
        <f ca="1"/>
      </c>
      <c r="BF211" s="7">
        <f ca="1"/>
      </c>
      <c r="BG211">
        <f ca="1"/>
      </c>
      <c r="BH211">
        <f ca="1"/>
      </c>
      <c r="BI211">
        <f ca="1"/>
      </c>
      <c r="BJ211">
        <f ca="1"/>
      </c>
      <c r="BK211">
        <f ca="1"/>
      </c>
      <c r="BM211" s="7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T211" s="7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F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F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B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</row>
    <row r="212" spans="45:182" x14ac:dyDescent="0.55000000000000004">
      <c r="AS212">
        <f ca="1"/>
      </c>
      <c r="AT212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AZ212">
        <f ca="1"/>
      </c>
      <c r="BA212">
        <f ca="1"/>
      </c>
      <c r="BB212">
        <f ca="1"/>
      </c>
      <c r="BF212" s="7">
        <f ca="1"/>
      </c>
      <c r="BG212">
        <f ca="1"/>
      </c>
      <c r="BH212">
        <f ca="1"/>
      </c>
      <c r="BI212">
        <f ca="1"/>
      </c>
      <c r="BJ212">
        <f ca="1"/>
      </c>
      <c r="BK212">
        <f ca="1"/>
      </c>
      <c r="BM212" s="7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T212" s="7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F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F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B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</row>
    <row r="213" spans="45:182" x14ac:dyDescent="0.55000000000000004">
      <c r="AS213">
        <f ca="1"/>
      </c>
      <c r="AT213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AZ213">
        <f ca="1"/>
      </c>
      <c r="BA213">
        <f ca="1"/>
      </c>
      <c r="BB213">
        <f ca="1"/>
      </c>
      <c r="BF213" s="7">
        <f ca="1"/>
      </c>
      <c r="BG213">
        <f ca="1"/>
      </c>
      <c r="BH213">
        <f ca="1"/>
      </c>
      <c r="BI213">
        <f ca="1"/>
      </c>
      <c r="BJ213">
        <f ca="1"/>
      </c>
      <c r="BK213">
        <f ca="1"/>
      </c>
      <c r="BM213" s="7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T213" s="7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F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F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B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</row>
    <row r="214" spans="45:182" x14ac:dyDescent="0.55000000000000004">
      <c r="AS214">
        <f ca="1"/>
      </c>
      <c r="AT214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AZ214">
        <f ca="1"/>
      </c>
      <c r="BA214">
        <f ca="1"/>
      </c>
      <c r="BB214">
        <f ca="1"/>
      </c>
      <c r="BF214" s="7">
        <f ca="1"/>
      </c>
      <c r="BG214">
        <f ca="1"/>
      </c>
      <c r="BH214">
        <f ca="1"/>
      </c>
      <c r="BI214">
        <f ca="1"/>
      </c>
      <c r="BJ214">
        <f ca="1"/>
      </c>
      <c r="BK214">
        <f ca="1"/>
      </c>
      <c r="BM214" s="7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T214" s="7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F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F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B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</row>
    <row r="215" spans="45:182" x14ac:dyDescent="0.55000000000000004">
      <c r="AS215">
        <f ca="1"/>
      </c>
      <c r="AT215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AZ215">
        <f ca="1"/>
      </c>
      <c r="BA215">
        <f ca="1"/>
      </c>
      <c r="BB215">
        <f ca="1"/>
      </c>
      <c r="BF215" s="7">
        <f ca="1"/>
      </c>
      <c r="BG215">
        <f ca="1"/>
      </c>
      <c r="BH215">
        <f ca="1"/>
      </c>
      <c r="BI215">
        <f ca="1"/>
      </c>
      <c r="BJ215">
        <f ca="1"/>
      </c>
      <c r="BK215">
        <f ca="1"/>
      </c>
      <c r="BM215" s="7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T215" s="7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F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F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B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</row>
    <row r="216" spans="45:182" x14ac:dyDescent="0.55000000000000004">
      <c r="AS216">
        <f ca="1"/>
      </c>
      <c r="AT216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AZ216">
        <f ca="1"/>
      </c>
      <c r="BA216">
        <f ca="1"/>
      </c>
      <c r="BB216">
        <f ca="1"/>
      </c>
      <c r="BF216" s="7">
        <f ca="1"/>
      </c>
      <c r="BG216">
        <f ca="1"/>
      </c>
      <c r="BH216">
        <f ca="1"/>
      </c>
      <c r="BI216">
        <f ca="1"/>
      </c>
      <c r="BJ216">
        <f ca="1"/>
      </c>
      <c r="BK216">
        <f ca="1"/>
      </c>
      <c r="BM216" s="7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T216" s="7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F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F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B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</row>
    <row r="217" spans="45:182" x14ac:dyDescent="0.55000000000000004">
      <c r="AS217">
        <f ca="1"/>
      </c>
      <c r="AT21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AZ217">
        <f ca="1"/>
      </c>
      <c r="BA217">
        <f ca="1"/>
      </c>
      <c r="BB217">
        <f ca="1"/>
      </c>
      <c r="BF217" s="7">
        <f ca="1"/>
      </c>
      <c r="BG217">
        <f ca="1"/>
      </c>
      <c r="BH217">
        <f ca="1"/>
      </c>
      <c r="BI217">
        <f ca="1"/>
      </c>
      <c r="BJ217">
        <f ca="1"/>
      </c>
      <c r="BK217">
        <f ca="1"/>
      </c>
      <c r="BM217" s="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T217" s="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F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F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B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</row>
    <row r="218" spans="45:182" x14ac:dyDescent="0.55000000000000004">
      <c r="AS218">
        <f ca="1"/>
      </c>
      <c r="AT218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AZ218">
        <f ca="1"/>
      </c>
      <c r="BA218">
        <f ca="1"/>
      </c>
      <c r="BB218">
        <f ca="1"/>
      </c>
      <c r="BF218" s="7">
        <f ca="1"/>
      </c>
      <c r="BG218">
        <f ca="1"/>
      </c>
      <c r="BH218">
        <f ca="1"/>
      </c>
      <c r="BI218">
        <f ca="1"/>
      </c>
      <c r="BJ218">
        <f ca="1"/>
      </c>
      <c r="BK218">
        <f ca="1"/>
      </c>
      <c r="BM218" s="7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T218" s="7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F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F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B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</row>
    <row r="219" spans="45:182" x14ac:dyDescent="0.55000000000000004">
      <c r="AS219">
        <f ca="1"/>
      </c>
      <c r="AT219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AZ219">
        <f ca="1"/>
      </c>
      <c r="BA219">
        <f ca="1"/>
      </c>
      <c r="BB219">
        <f ca="1"/>
      </c>
      <c r="BF219" s="7">
        <f ca="1"/>
      </c>
      <c r="BG219">
        <f ca="1"/>
      </c>
      <c r="BH219">
        <f ca="1"/>
      </c>
      <c r="BI219">
        <f ca="1"/>
      </c>
      <c r="BJ219">
        <f ca="1"/>
      </c>
      <c r="BK219">
        <f ca="1"/>
      </c>
      <c r="BM219" s="7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T219" s="7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F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F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B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</row>
    <row r="220" spans="45:182" x14ac:dyDescent="0.55000000000000004">
      <c r="AS220">
        <f ca="1"/>
      </c>
      <c r="AT220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AZ220">
        <f ca="1"/>
      </c>
      <c r="BA220">
        <f ca="1"/>
      </c>
      <c r="BB220">
        <f ca="1"/>
      </c>
      <c r="BF220" s="7">
        <f ca="1"/>
      </c>
      <c r="BG220">
        <f ca="1"/>
      </c>
      <c r="BH220">
        <f ca="1"/>
      </c>
      <c r="BI220">
        <f ca="1"/>
      </c>
      <c r="BJ220">
        <f ca="1"/>
      </c>
      <c r="BK220">
        <f ca="1"/>
      </c>
      <c r="BM220" s="7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T220" s="7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F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F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B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</row>
    <row r="221" spans="45:182" x14ac:dyDescent="0.55000000000000004">
      <c r="AS221">
        <f ca="1"/>
      </c>
      <c r="AT221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AZ221">
        <f ca="1"/>
      </c>
      <c r="BA221">
        <f ca="1"/>
      </c>
      <c r="BB221">
        <f ca="1"/>
      </c>
      <c r="BF221" s="7">
        <f ca="1"/>
      </c>
      <c r="BG221">
        <f ca="1"/>
      </c>
      <c r="BH221">
        <f ca="1"/>
      </c>
      <c r="BI221">
        <f ca="1"/>
      </c>
      <c r="BJ221">
        <f ca="1"/>
      </c>
      <c r="BK221">
        <f ca="1"/>
      </c>
      <c r="BM221" s="7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T221" s="7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F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F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B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</row>
    <row r="222" spans="45:182" x14ac:dyDescent="0.55000000000000004">
      <c r="AS222">
        <f ca="1"/>
      </c>
      <c r="AT222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AZ222">
        <f ca="1"/>
      </c>
      <c r="BA222">
        <f ca="1"/>
      </c>
      <c r="BB222">
        <f ca="1"/>
      </c>
      <c r="BF222" s="7">
        <f ca="1"/>
      </c>
      <c r="BG222">
        <f ca="1"/>
      </c>
      <c r="BH222">
        <f ca="1"/>
      </c>
      <c r="BI222">
        <f ca="1"/>
      </c>
      <c r="BJ222">
        <f ca="1"/>
      </c>
      <c r="BK222">
        <f ca="1"/>
      </c>
      <c r="BM222" s="7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T222" s="7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F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F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B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</row>
    <row r="223" spans="45:182" x14ac:dyDescent="0.55000000000000004">
      <c r="AS223">
        <f ca="1"/>
      </c>
      <c r="AT223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AZ223">
        <f ca="1"/>
      </c>
      <c r="BA223">
        <f ca="1"/>
      </c>
      <c r="BB223">
        <f ca="1"/>
      </c>
      <c r="BF223" s="7">
        <f ca="1"/>
      </c>
      <c r="BG223">
        <f ca="1"/>
      </c>
      <c r="BH223">
        <f ca="1"/>
      </c>
      <c r="BI223">
        <f ca="1"/>
      </c>
      <c r="BJ223">
        <f ca="1"/>
      </c>
      <c r="BK223">
        <f ca="1"/>
      </c>
      <c r="BM223" s="7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T223" s="7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F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F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B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</row>
    <row r="224" spans="45:182" x14ac:dyDescent="0.55000000000000004">
      <c r="AS224">
        <f ca="1"/>
      </c>
      <c r="AT224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AZ224">
        <f ca="1"/>
      </c>
      <c r="BA224">
        <f ca="1"/>
      </c>
      <c r="BB224">
        <f ca="1"/>
      </c>
      <c r="BF224" s="7">
        <f ca="1"/>
      </c>
      <c r="BG224">
        <f ca="1"/>
      </c>
      <c r="BH224">
        <f ca="1"/>
      </c>
      <c r="BI224">
        <f ca="1"/>
      </c>
      <c r="BJ224">
        <f ca="1"/>
      </c>
      <c r="BK224">
        <f ca="1"/>
      </c>
      <c r="BM224" s="7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T224" s="7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F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F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B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</row>
    <row r="225" spans="45:182" x14ac:dyDescent="0.55000000000000004">
      <c r="AS225">
        <f ca="1"/>
      </c>
      <c r="AT225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AZ225">
        <f ca="1"/>
      </c>
      <c r="BA225">
        <f ca="1"/>
      </c>
      <c r="BB225">
        <f ca="1"/>
      </c>
      <c r="BF225" s="7">
        <f ca="1"/>
      </c>
      <c r="BG225">
        <f ca="1"/>
      </c>
      <c r="BH225">
        <f ca="1"/>
      </c>
      <c r="BI225">
        <f ca="1"/>
      </c>
      <c r="BJ225">
        <f ca="1"/>
      </c>
      <c r="BK225">
        <f ca="1"/>
      </c>
      <c r="BM225" s="7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T225" s="7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F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F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B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</row>
    <row r="226" spans="45:182" x14ac:dyDescent="0.55000000000000004">
      <c r="AS226">
        <f ca="1"/>
      </c>
      <c r="AT226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AZ226">
        <f ca="1"/>
      </c>
      <c r="BA226">
        <f ca="1"/>
      </c>
      <c r="BB226">
        <f ca="1"/>
      </c>
      <c r="BF226" s="7">
        <f ca="1"/>
      </c>
      <c r="BG226">
        <f ca="1"/>
      </c>
      <c r="BH226">
        <f ca="1"/>
      </c>
      <c r="BI226">
        <f ca="1"/>
      </c>
      <c r="BJ226">
        <f ca="1"/>
      </c>
      <c r="BK226">
        <f ca="1"/>
      </c>
      <c r="BM226" s="7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T226" s="7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F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F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B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</row>
    <row r="227" spans="45:182" x14ac:dyDescent="0.55000000000000004">
      <c r="AS227">
        <f ca="1"/>
      </c>
      <c r="AT22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AZ227">
        <f ca="1"/>
      </c>
      <c r="BA227">
        <f ca="1"/>
      </c>
      <c r="BB227">
        <f ca="1"/>
      </c>
      <c r="BF227" s="7">
        <f ca="1"/>
      </c>
      <c r="BG227">
        <f ca="1"/>
      </c>
      <c r="BH227">
        <f ca="1"/>
      </c>
      <c r="BI227">
        <f ca="1"/>
      </c>
      <c r="BJ227">
        <f ca="1"/>
      </c>
      <c r="BK227">
        <f ca="1"/>
      </c>
      <c r="BM227" s="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T227" s="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F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F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B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</row>
    <row r="228" spans="45:182" x14ac:dyDescent="0.55000000000000004">
      <c r="AS228">
        <f ca="1"/>
      </c>
      <c r="AT228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AZ228">
        <f ca="1"/>
      </c>
      <c r="BA228">
        <f ca="1"/>
      </c>
      <c r="BB228">
        <f ca="1"/>
      </c>
      <c r="BF228" s="7">
        <f ca="1"/>
      </c>
      <c r="BG228">
        <f ca="1"/>
      </c>
      <c r="BH228">
        <f ca="1"/>
      </c>
      <c r="BI228">
        <f ca="1"/>
      </c>
      <c r="BJ228">
        <f ca="1"/>
      </c>
      <c r="BK228">
        <f ca="1"/>
      </c>
      <c r="BM228" s="7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T228" s="7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F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F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B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</row>
    <row r="229" spans="45:182" x14ac:dyDescent="0.55000000000000004">
      <c r="AS229">
        <f ca="1"/>
      </c>
      <c r="AT229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AZ229">
        <f ca="1"/>
      </c>
      <c r="BA229">
        <f ca="1"/>
      </c>
      <c r="BB229">
        <f ca="1"/>
      </c>
      <c r="BF229" s="7">
        <f ca="1"/>
      </c>
      <c r="BG229">
        <f ca="1"/>
      </c>
      <c r="BH229">
        <f ca="1"/>
      </c>
      <c r="BI229">
        <f ca="1"/>
      </c>
      <c r="BJ229">
        <f ca="1"/>
      </c>
      <c r="BK229">
        <f ca="1"/>
      </c>
      <c r="BM229" s="7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T229" s="7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F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F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B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</row>
    <row r="230" spans="45:182" x14ac:dyDescent="0.55000000000000004">
      <c r="AS230">
        <f ca="1"/>
      </c>
      <c r="AT230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AZ230">
        <f ca="1"/>
      </c>
      <c r="BA230">
        <f ca="1"/>
      </c>
      <c r="BB230">
        <f ca="1"/>
      </c>
      <c r="BF230" s="7">
        <f ca="1"/>
      </c>
      <c r="BG230">
        <f ca="1"/>
      </c>
      <c r="BH230">
        <f ca="1"/>
      </c>
      <c r="BI230">
        <f ca="1"/>
      </c>
      <c r="BJ230">
        <f ca="1"/>
      </c>
      <c r="BK230">
        <f ca="1"/>
      </c>
      <c r="BM230" s="7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T230" s="7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F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F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B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</row>
    <row r="231" spans="45:182" x14ac:dyDescent="0.55000000000000004">
      <c r="AS231">
        <f ca="1"/>
      </c>
      <c r="AT231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AZ231">
        <f ca="1"/>
      </c>
      <c r="BA231">
        <f ca="1"/>
      </c>
      <c r="BB231">
        <f ca="1"/>
      </c>
      <c r="BF231" s="7">
        <f ca="1"/>
      </c>
      <c r="BG231">
        <f ca="1"/>
      </c>
      <c r="BH231">
        <f ca="1"/>
      </c>
      <c r="BI231">
        <f ca="1"/>
      </c>
      <c r="BJ231">
        <f ca="1"/>
      </c>
      <c r="BK231">
        <f ca="1"/>
      </c>
      <c r="BM231" s="7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T231" s="7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F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F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B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</row>
    <row r="232" spans="45:182" x14ac:dyDescent="0.55000000000000004">
      <c r="AS232">
        <f ca="1"/>
      </c>
      <c r="AT232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AZ232">
        <f ca="1"/>
      </c>
      <c r="BA232">
        <f ca="1"/>
      </c>
      <c r="BB232">
        <f ca="1"/>
      </c>
      <c r="BF232" s="7">
        <f ca="1"/>
      </c>
      <c r="BG232">
        <f ca="1"/>
      </c>
      <c r="BH232">
        <f ca="1"/>
      </c>
      <c r="BI232">
        <f ca="1"/>
      </c>
      <c r="BJ232">
        <f ca="1"/>
      </c>
      <c r="BK232">
        <f ca="1"/>
      </c>
      <c r="BM232" s="7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T232" s="7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F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F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B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</row>
    <row r="233" spans="45:182" x14ac:dyDescent="0.55000000000000004">
      <c r="AS233">
        <f ca="1"/>
      </c>
      <c r="AT233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AZ233">
        <f ca="1"/>
      </c>
      <c r="BA233">
        <f ca="1"/>
      </c>
      <c r="BB233">
        <f ca="1"/>
      </c>
      <c r="BF233" s="7">
        <f ca="1"/>
      </c>
      <c r="BG233">
        <f ca="1"/>
      </c>
      <c r="BH233">
        <f ca="1"/>
      </c>
      <c r="BI233">
        <f ca="1"/>
      </c>
      <c r="BJ233">
        <f ca="1"/>
      </c>
      <c r="BK233">
        <f ca="1"/>
      </c>
      <c r="BM233" s="7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T233" s="7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F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F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B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</row>
    <row r="234" spans="45:182" x14ac:dyDescent="0.55000000000000004">
      <c r="AS234">
        <f ca="1"/>
      </c>
      <c r="AT234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AZ234">
        <f ca="1"/>
      </c>
      <c r="BA234">
        <f ca="1"/>
      </c>
      <c r="BB234">
        <f ca="1"/>
      </c>
      <c r="BF234" s="7">
        <f ca="1"/>
      </c>
      <c r="BG234">
        <f ca="1"/>
      </c>
      <c r="BH234">
        <f ca="1"/>
      </c>
      <c r="BI234">
        <f ca="1"/>
      </c>
      <c r="BJ234">
        <f ca="1"/>
      </c>
      <c r="BK234">
        <f ca="1"/>
      </c>
      <c r="BM234" s="7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T234" s="7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F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F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B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</row>
    <row r="235" spans="45:182" x14ac:dyDescent="0.55000000000000004">
      <c r="AS235">
        <f ca="1"/>
      </c>
      <c r="AT235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AZ235">
        <f ca="1"/>
      </c>
      <c r="BA235">
        <f ca="1"/>
      </c>
      <c r="BB235">
        <f ca="1"/>
      </c>
      <c r="BF235" s="7">
        <f ca="1"/>
      </c>
      <c r="BG235">
        <f ca="1"/>
      </c>
      <c r="BH235">
        <f ca="1"/>
      </c>
      <c r="BI235">
        <f ca="1"/>
      </c>
      <c r="BJ235">
        <f ca="1"/>
      </c>
      <c r="BK235">
        <f ca="1"/>
      </c>
      <c r="BM235" s="7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T235" s="7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F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F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B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</row>
    <row r="236" spans="45:182" x14ac:dyDescent="0.55000000000000004">
      <c r="AS236">
        <f ca="1"/>
      </c>
      <c r="AT236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AZ236">
        <f ca="1"/>
      </c>
      <c r="BA236">
        <f ca="1"/>
      </c>
      <c r="BB236">
        <f ca="1"/>
      </c>
      <c r="BF236" s="7">
        <f ca="1"/>
      </c>
      <c r="BG236">
        <f ca="1"/>
      </c>
      <c r="BH236">
        <f ca="1"/>
      </c>
      <c r="BI236">
        <f ca="1"/>
      </c>
      <c r="BJ236">
        <f ca="1"/>
      </c>
      <c r="BK236">
        <f ca="1"/>
      </c>
      <c r="BM236" s="7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T236" s="7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F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F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B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</row>
    <row r="237" spans="45:182" x14ac:dyDescent="0.55000000000000004">
      <c r="AS237">
        <f ca="1"/>
      </c>
      <c r="AT23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AZ237">
        <f ca="1"/>
      </c>
      <c r="BA237">
        <f ca="1"/>
      </c>
      <c r="BB237">
        <f ca="1"/>
      </c>
      <c r="BF237" s="7">
        <f ca="1"/>
      </c>
      <c r="BG237">
        <f ca="1"/>
      </c>
      <c r="BH237">
        <f ca="1"/>
      </c>
      <c r="BI237">
        <f ca="1"/>
      </c>
      <c r="BJ237">
        <f ca="1"/>
      </c>
      <c r="BK237">
        <f ca="1"/>
      </c>
      <c r="BM237" s="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T237" s="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F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F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B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</row>
    <row r="238" spans="45:182" x14ac:dyDescent="0.55000000000000004">
      <c r="AS238">
        <f ca="1"/>
      </c>
      <c r="AT238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AZ238">
        <f ca="1"/>
      </c>
      <c r="BA238">
        <f ca="1"/>
      </c>
      <c r="BB238">
        <f ca="1"/>
      </c>
      <c r="BF238" s="7">
        <f ca="1"/>
      </c>
      <c r="BG238">
        <f ca="1"/>
      </c>
      <c r="BH238">
        <f ca="1"/>
      </c>
      <c r="BI238">
        <f ca="1"/>
      </c>
      <c r="BJ238">
        <f ca="1"/>
      </c>
      <c r="BK238">
        <f ca="1"/>
      </c>
      <c r="BM238" s="7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T238" s="7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F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F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B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</row>
    <row r="239" spans="45:182" x14ac:dyDescent="0.55000000000000004">
      <c r="AS239">
        <f ca="1"/>
      </c>
      <c r="AT239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AZ239">
        <f ca="1"/>
      </c>
      <c r="BA239">
        <f ca="1"/>
      </c>
      <c r="BB239">
        <f ca="1"/>
      </c>
      <c r="BF239" s="7">
        <f ca="1"/>
      </c>
      <c r="BG239">
        <f ca="1"/>
      </c>
      <c r="BH239">
        <f ca="1"/>
      </c>
      <c r="BI239">
        <f ca="1"/>
      </c>
      <c r="BJ239">
        <f ca="1"/>
      </c>
      <c r="BK239">
        <f ca="1"/>
      </c>
      <c r="BM239" s="7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T239" s="7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F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F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B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</row>
    <row r="240" spans="45:182" x14ac:dyDescent="0.55000000000000004">
      <c r="AS240">
        <f ca="1"/>
      </c>
      <c r="AT240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AZ240">
        <f ca="1"/>
      </c>
      <c r="BA240">
        <f ca="1"/>
      </c>
      <c r="BB240">
        <f ca="1"/>
      </c>
      <c r="BF240" s="7">
        <f ca="1"/>
      </c>
      <c r="BG240">
        <f ca="1"/>
      </c>
      <c r="BH240">
        <f ca="1"/>
      </c>
      <c r="BI240">
        <f ca="1"/>
      </c>
      <c r="BJ240">
        <f ca="1"/>
      </c>
      <c r="BK240">
        <f ca="1"/>
      </c>
      <c r="BM240" s="7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T240" s="7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F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F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B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</row>
    <row r="241" spans="45:182" x14ac:dyDescent="0.55000000000000004">
      <c r="AS241">
        <f ca="1"/>
      </c>
      <c r="AT241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AZ241">
        <f ca="1"/>
      </c>
      <c r="BA241">
        <f ca="1"/>
      </c>
      <c r="BB241">
        <f ca="1"/>
      </c>
      <c r="BF241" s="7">
        <f ca="1"/>
      </c>
      <c r="BG241">
        <f ca="1"/>
      </c>
      <c r="BH241">
        <f ca="1"/>
      </c>
      <c r="BI241">
        <f ca="1"/>
      </c>
      <c r="BJ241">
        <f ca="1"/>
      </c>
      <c r="BK241">
        <f ca="1"/>
      </c>
      <c r="BM241" s="7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T241" s="7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F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F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B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</row>
    <row r="242" spans="45:182" x14ac:dyDescent="0.55000000000000004">
      <c r="AS242">
        <f ca="1"/>
      </c>
      <c r="AT242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AZ242">
        <f ca="1"/>
      </c>
      <c r="BA242">
        <f ca="1"/>
      </c>
      <c r="BB242">
        <f ca="1"/>
      </c>
      <c r="BF242" s="7">
        <f ca="1"/>
      </c>
      <c r="BG242">
        <f ca="1"/>
      </c>
      <c r="BH242">
        <f ca="1"/>
      </c>
      <c r="BI242">
        <f ca="1"/>
      </c>
      <c r="BJ242">
        <f ca="1"/>
      </c>
      <c r="BK242">
        <f ca="1"/>
      </c>
      <c r="BM242" s="7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T242" s="7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F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F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B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</row>
    <row r="243" spans="45:182" x14ac:dyDescent="0.55000000000000004">
      <c r="AS243">
        <f ca="1"/>
      </c>
      <c r="AT243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AZ243">
        <f ca="1"/>
      </c>
      <c r="BA243">
        <f ca="1"/>
      </c>
      <c r="BB243">
        <f ca="1"/>
      </c>
      <c r="BF243" s="7">
        <f ca="1"/>
      </c>
      <c r="BG243">
        <f ca="1"/>
      </c>
      <c r="BH243">
        <f ca="1"/>
      </c>
      <c r="BI243">
        <f ca="1"/>
      </c>
      <c r="BJ243">
        <f ca="1"/>
      </c>
      <c r="BK243">
        <f ca="1"/>
      </c>
      <c r="BM243" s="7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T243" s="7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F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F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B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</row>
    <row r="244" spans="45:182" x14ac:dyDescent="0.55000000000000004">
      <c r="AS244">
        <f ca="1"/>
      </c>
      <c r="AT244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AZ244">
        <f ca="1"/>
      </c>
      <c r="BA244">
        <f ca="1"/>
      </c>
      <c r="BB244">
        <f ca="1"/>
      </c>
      <c r="BF244" s="7">
        <f ca="1"/>
      </c>
      <c r="BG244">
        <f ca="1"/>
      </c>
      <c r="BH244">
        <f ca="1"/>
      </c>
      <c r="BI244">
        <f ca="1"/>
      </c>
      <c r="BJ244">
        <f ca="1"/>
      </c>
      <c r="BK244">
        <f ca="1"/>
      </c>
      <c r="BM244" s="7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T244" s="7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F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F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B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</row>
    <row r="245" spans="45:182" x14ac:dyDescent="0.55000000000000004">
      <c r="AS245">
        <f ca="1"/>
      </c>
      <c r="AT245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AZ245">
        <f ca="1"/>
      </c>
      <c r="BA245">
        <f ca="1"/>
      </c>
      <c r="BB245">
        <f ca="1"/>
      </c>
      <c r="BF245" s="7">
        <f ca="1"/>
      </c>
      <c r="BG245">
        <f ca="1"/>
      </c>
      <c r="BH245">
        <f ca="1"/>
      </c>
      <c r="BI245">
        <f ca="1"/>
      </c>
      <c r="BJ245">
        <f ca="1"/>
      </c>
      <c r="BK245">
        <f ca="1"/>
      </c>
      <c r="BM245" s="7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T245" s="7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F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F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B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</row>
    <row r="246" spans="45:182" x14ac:dyDescent="0.55000000000000004">
      <c r="AS246">
        <f ca="1"/>
      </c>
      <c r="AT246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AZ246">
        <f ca="1"/>
      </c>
      <c r="BA246">
        <f ca="1"/>
      </c>
      <c r="BB246">
        <f ca="1"/>
      </c>
      <c r="BF246" s="7">
        <f ca="1"/>
      </c>
      <c r="BG246">
        <f ca="1"/>
      </c>
      <c r="BH246">
        <f ca="1"/>
      </c>
      <c r="BI246">
        <f ca="1"/>
      </c>
      <c r="BJ246">
        <f ca="1"/>
      </c>
      <c r="BK246">
        <f ca="1"/>
      </c>
      <c r="BM246" s="7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T246" s="7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F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F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B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</row>
    <row r="247" spans="45:182" x14ac:dyDescent="0.55000000000000004">
      <c r="AS247">
        <f ca="1"/>
      </c>
      <c r="AT24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AZ247">
        <f ca="1"/>
      </c>
      <c r="BA247">
        <f ca="1"/>
      </c>
      <c r="BB247">
        <f ca="1"/>
      </c>
      <c r="BF247" s="7">
        <f ca="1"/>
      </c>
      <c r="BG247">
        <f ca="1"/>
      </c>
      <c r="BH247">
        <f ca="1"/>
      </c>
      <c r="BI247">
        <f ca="1"/>
      </c>
      <c r="BJ247">
        <f ca="1"/>
      </c>
      <c r="BK247">
        <f ca="1"/>
      </c>
      <c r="BM247" s="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T247" s="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F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F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B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</row>
    <row r="248" spans="45:182" x14ac:dyDescent="0.55000000000000004">
      <c r="AS248">
        <f ca="1"/>
      </c>
      <c r="AT248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AZ248">
        <f ca="1"/>
      </c>
      <c r="BA248">
        <f ca="1"/>
      </c>
      <c r="BB248">
        <f ca="1"/>
      </c>
      <c r="BF248" s="7">
        <f ca="1"/>
      </c>
      <c r="BG248">
        <f ca="1"/>
      </c>
      <c r="BH248">
        <f ca="1"/>
      </c>
      <c r="BI248">
        <f ca="1"/>
      </c>
      <c r="BJ248">
        <f ca="1"/>
      </c>
      <c r="BK248">
        <f ca="1"/>
      </c>
      <c r="BM248" s="7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T248" s="7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F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F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B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</row>
    <row r="249" spans="45:182" x14ac:dyDescent="0.55000000000000004">
      <c r="AS249">
        <f ca="1"/>
      </c>
      <c r="AT249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AZ249">
        <f ca="1"/>
      </c>
      <c r="BA249">
        <f ca="1"/>
      </c>
      <c r="BB249">
        <f ca="1"/>
      </c>
      <c r="BF249" s="7">
        <f ca="1"/>
      </c>
      <c r="BG249">
        <f ca="1"/>
      </c>
      <c r="BH249">
        <f ca="1"/>
      </c>
      <c r="BI249">
        <f ca="1"/>
      </c>
      <c r="BJ249">
        <f ca="1"/>
      </c>
      <c r="BK249">
        <f ca="1"/>
      </c>
      <c r="BM249" s="7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T249" s="7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F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F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B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</row>
    <row r="250" spans="45:182" x14ac:dyDescent="0.55000000000000004">
      <c r="AS250">
        <f ca="1"/>
      </c>
      <c r="AT250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AZ250">
        <f ca="1"/>
      </c>
      <c r="BA250">
        <f ca="1"/>
      </c>
      <c r="BB250">
        <f ca="1"/>
      </c>
      <c r="BF250" s="7">
        <f ca="1"/>
      </c>
      <c r="BG250">
        <f ca="1"/>
      </c>
      <c r="BH250">
        <f ca="1"/>
      </c>
      <c r="BI250">
        <f ca="1"/>
      </c>
      <c r="BJ250">
        <f ca="1"/>
      </c>
      <c r="BK250">
        <f ca="1"/>
      </c>
      <c r="BM250" s="7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T250" s="7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F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F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B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</row>
    <row r="251" spans="45:182" x14ac:dyDescent="0.55000000000000004">
      <c r="AS251">
        <f ca="1"/>
      </c>
      <c r="AT251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AZ251">
        <f ca="1"/>
      </c>
      <c r="BA251">
        <f ca="1"/>
      </c>
      <c r="BB251">
        <f ca="1"/>
      </c>
      <c r="BF251" s="7">
        <f ca="1"/>
      </c>
      <c r="BG251">
        <f ca="1"/>
      </c>
      <c r="BH251">
        <f ca="1"/>
      </c>
      <c r="BI251">
        <f ca="1"/>
      </c>
      <c r="BJ251">
        <f ca="1"/>
      </c>
      <c r="BK251">
        <f ca="1"/>
      </c>
      <c r="BM251" s="7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T251" s="7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F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F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B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</row>
    <row r="252" spans="45:182" x14ac:dyDescent="0.55000000000000004">
      <c r="AS252">
        <f ca="1"/>
      </c>
      <c r="AT252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AZ252">
        <f ca="1"/>
      </c>
      <c r="BA252">
        <f ca="1"/>
      </c>
      <c r="BB252">
        <f ca="1"/>
      </c>
      <c r="BF252" s="7">
        <f ca="1"/>
      </c>
      <c r="BG252">
        <f ca="1"/>
      </c>
      <c r="BH252">
        <f ca="1"/>
      </c>
      <c r="BI252">
        <f ca="1"/>
      </c>
      <c r="BJ252">
        <f ca="1"/>
      </c>
      <c r="BK252">
        <f ca="1"/>
      </c>
      <c r="BM252" s="7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T252" s="7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F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F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B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</row>
    <row r="253" spans="45:182" x14ac:dyDescent="0.55000000000000004">
      <c r="AS253">
        <f ca="1"/>
      </c>
      <c r="AT253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AZ253">
        <f ca="1"/>
      </c>
      <c r="BA253">
        <f ca="1"/>
      </c>
      <c r="BB253">
        <f ca="1"/>
      </c>
      <c r="BF253" s="7">
        <f ca="1"/>
      </c>
      <c r="BG253">
        <f ca="1"/>
      </c>
      <c r="BH253">
        <f ca="1"/>
      </c>
      <c r="BI253">
        <f ca="1"/>
      </c>
      <c r="BJ253">
        <f ca="1"/>
      </c>
      <c r="BK253">
        <f ca="1"/>
      </c>
      <c r="BM253" s="7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T253" s="7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F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F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B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</row>
    <row r="254" spans="45:182" x14ac:dyDescent="0.55000000000000004">
      <c r="AS254">
        <f ca="1"/>
      </c>
      <c r="AT254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AZ254">
        <f ca="1"/>
      </c>
      <c r="BA254">
        <f ca="1"/>
      </c>
      <c r="BB254">
        <f ca="1"/>
      </c>
      <c r="BF254" s="7">
        <f ca="1"/>
      </c>
      <c r="BG254">
        <f ca="1"/>
      </c>
      <c r="BH254">
        <f ca="1"/>
      </c>
      <c r="BI254">
        <f ca="1"/>
      </c>
      <c r="BJ254">
        <f ca="1"/>
      </c>
      <c r="BK254">
        <f ca="1"/>
      </c>
      <c r="BM254" s="7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T254" s="7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F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F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B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</row>
    <row r="255" spans="45:182" x14ac:dyDescent="0.55000000000000004">
      <c r="AS255">
        <f ca="1"/>
      </c>
      <c r="AT255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AZ255">
        <f ca="1"/>
      </c>
      <c r="BA255">
        <f ca="1"/>
      </c>
      <c r="BB255">
        <f ca="1"/>
      </c>
      <c r="BF255" s="7">
        <f ca="1"/>
      </c>
      <c r="BG255">
        <f ca="1"/>
      </c>
      <c r="BH255">
        <f ca="1"/>
      </c>
      <c r="BI255">
        <f ca="1"/>
      </c>
      <c r="BJ255">
        <f ca="1"/>
      </c>
      <c r="BK255">
        <f ca="1"/>
      </c>
      <c r="BM255" s="7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T255" s="7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F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F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B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</row>
    <row r="256" spans="45:182" x14ac:dyDescent="0.55000000000000004">
      <c r="AS256">
        <f ca="1"/>
      </c>
      <c r="AT256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AZ256">
        <f ca="1"/>
      </c>
      <c r="BA256">
        <f ca="1"/>
      </c>
      <c r="BB256">
        <f ca="1"/>
      </c>
      <c r="BF256" s="7">
        <f ca="1"/>
      </c>
      <c r="BG256">
        <f ca="1"/>
      </c>
      <c r="BH256">
        <f ca="1"/>
      </c>
      <c r="BI256">
        <f ca="1"/>
      </c>
      <c r="BJ256">
        <f ca="1"/>
      </c>
      <c r="BK256">
        <f ca="1"/>
      </c>
      <c r="BM256" s="7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T256" s="7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F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F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B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</row>
    <row r="257" spans="45:182" x14ac:dyDescent="0.55000000000000004">
      <c r="AS257">
        <f ca="1"/>
      </c>
      <c r="AT25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AZ257">
        <f ca="1"/>
      </c>
      <c r="BA257">
        <f ca="1"/>
      </c>
      <c r="BB257">
        <f ca="1"/>
      </c>
      <c r="BF257" s="7">
        <f ca="1"/>
      </c>
      <c r="BG257">
        <f ca="1"/>
      </c>
      <c r="BH257">
        <f ca="1"/>
      </c>
      <c r="BI257">
        <f ca="1"/>
      </c>
      <c r="BJ257">
        <f ca="1"/>
      </c>
      <c r="BK257">
        <f ca="1"/>
      </c>
      <c r="BM257" s="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T257" s="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F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F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B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</row>
    <row r="258" spans="45:182" x14ac:dyDescent="0.55000000000000004">
      <c r="AS258">
        <f ca="1"/>
      </c>
      <c r="AT258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AZ258">
        <f ca="1"/>
      </c>
      <c r="BA258">
        <f ca="1"/>
      </c>
      <c r="BB258">
        <f ca="1"/>
      </c>
      <c r="BF258" s="7">
        <f ca="1"/>
      </c>
      <c r="BG258">
        <f ca="1"/>
      </c>
      <c r="BH258">
        <f ca="1"/>
      </c>
      <c r="BI258">
        <f ca="1"/>
      </c>
      <c r="BJ258">
        <f ca="1"/>
      </c>
      <c r="BK258">
        <f ca="1"/>
      </c>
      <c r="BM258" s="7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T258" s="7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F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F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B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</row>
    <row r="259" spans="45:182" x14ac:dyDescent="0.55000000000000004">
      <c r="AS259">
        <f ca="1"/>
      </c>
      <c r="AT259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AZ259">
        <f ca="1"/>
      </c>
      <c r="BA259">
        <f ca="1"/>
      </c>
      <c r="BB259">
        <f ca="1"/>
      </c>
      <c r="BF259" s="7">
        <f ca="1"/>
      </c>
      <c r="BG259">
        <f ca="1"/>
      </c>
      <c r="BH259">
        <f ca="1"/>
      </c>
      <c r="BI259">
        <f ca="1"/>
      </c>
      <c r="BJ259">
        <f ca="1"/>
      </c>
      <c r="BK259">
        <f ca="1"/>
      </c>
      <c r="BM259" s="7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T259" s="7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F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F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B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</row>
    <row r="260" spans="45:182" x14ac:dyDescent="0.55000000000000004">
      <c r="AS260">
        <f ca="1"/>
      </c>
      <c r="AT260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AZ260">
        <f ca="1"/>
      </c>
      <c r="BA260">
        <f ca="1"/>
      </c>
      <c r="BB260">
        <f ca="1"/>
      </c>
      <c r="BF260" s="7">
        <f ca="1"/>
      </c>
      <c r="BG260">
        <f ca="1"/>
      </c>
      <c r="BH260">
        <f ca="1"/>
      </c>
      <c r="BI260">
        <f ca="1"/>
      </c>
      <c r="BJ260">
        <f ca="1"/>
      </c>
      <c r="BK260">
        <f ca="1"/>
      </c>
      <c r="BM260" s="7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T260" s="7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F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F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B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</row>
    <row r="261" spans="45:182" x14ac:dyDescent="0.55000000000000004">
      <c r="AS261">
        <f ca="1"/>
      </c>
      <c r="AT261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AZ261">
        <f ca="1"/>
      </c>
      <c r="BA261">
        <f ca="1"/>
      </c>
      <c r="BB261">
        <f ca="1"/>
      </c>
      <c r="BF261" s="7">
        <f ca="1"/>
      </c>
      <c r="BG261">
        <f ca="1"/>
      </c>
      <c r="BH261">
        <f ca="1"/>
      </c>
      <c r="BI261">
        <f ca="1"/>
      </c>
      <c r="BJ261">
        <f ca="1"/>
      </c>
      <c r="BK261">
        <f ca="1"/>
      </c>
      <c r="BM261" s="7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T261" s="7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F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F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B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</row>
    <row r="262" spans="45:182" x14ac:dyDescent="0.55000000000000004">
      <c r="AS262">
        <f ca="1"/>
      </c>
      <c r="AT262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AZ262">
        <f ca="1"/>
      </c>
      <c r="BA262">
        <f ca="1"/>
      </c>
      <c r="BB262">
        <f ca="1"/>
      </c>
      <c r="BF262" s="7">
        <f ca="1"/>
      </c>
      <c r="BG262">
        <f ca="1"/>
      </c>
      <c r="BH262">
        <f ca="1"/>
      </c>
      <c r="BI262">
        <f ca="1"/>
      </c>
      <c r="BJ262">
        <f ca="1"/>
      </c>
      <c r="BK262">
        <f ca="1"/>
      </c>
      <c r="BM262" s="7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T262" s="7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F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F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B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</row>
    <row r="263" spans="45:182" x14ac:dyDescent="0.55000000000000004">
      <c r="AS263">
        <f ca="1"/>
      </c>
      <c r="AT263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AZ263">
        <f ca="1"/>
      </c>
      <c r="BA263">
        <f ca="1"/>
      </c>
      <c r="BB263">
        <f ca="1"/>
      </c>
      <c r="BF263" s="7">
        <f ca="1"/>
      </c>
      <c r="BG263">
        <f ca="1"/>
      </c>
      <c r="BH263">
        <f ca="1"/>
      </c>
      <c r="BI263">
        <f ca="1"/>
      </c>
      <c r="BJ263">
        <f ca="1"/>
      </c>
      <c r="BK263">
        <f ca="1"/>
      </c>
      <c r="BM263" s="7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T263" s="7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F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F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B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</row>
    <row r="264" spans="45:182" x14ac:dyDescent="0.55000000000000004">
      <c r="AS264">
        <f ca="1"/>
      </c>
      <c r="AT264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AZ264">
        <f ca="1"/>
      </c>
      <c r="BA264">
        <f ca="1"/>
      </c>
      <c r="BB264">
        <f ca="1"/>
      </c>
      <c r="BF264" s="7">
        <f ca="1"/>
      </c>
      <c r="BG264">
        <f ca="1"/>
      </c>
      <c r="BH264">
        <f ca="1"/>
      </c>
      <c r="BI264">
        <f ca="1"/>
      </c>
      <c r="BJ264">
        <f ca="1"/>
      </c>
      <c r="BK264">
        <f ca="1"/>
      </c>
      <c r="BM264" s="7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T264" s="7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F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F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B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</row>
    <row r="265" spans="45:182" x14ac:dyDescent="0.55000000000000004">
      <c r="AS265">
        <f ca="1"/>
      </c>
      <c r="AT265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AZ265">
        <f ca="1"/>
      </c>
      <c r="BA265">
        <f ca="1"/>
      </c>
      <c r="BB265">
        <f ca="1"/>
      </c>
      <c r="BF265" s="7">
        <f ca="1"/>
      </c>
      <c r="BG265">
        <f ca="1"/>
      </c>
      <c r="BH265">
        <f ca="1"/>
      </c>
      <c r="BI265">
        <f ca="1"/>
      </c>
      <c r="BJ265">
        <f ca="1"/>
      </c>
      <c r="BK265">
        <f ca="1"/>
      </c>
      <c r="BM265" s="7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T265" s="7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F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F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B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</row>
    <row r="266" spans="45:182" x14ac:dyDescent="0.55000000000000004">
      <c r="AS266">
        <f ca="1"/>
      </c>
      <c r="AT266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AZ266">
        <f ca="1"/>
      </c>
      <c r="BA266">
        <f ca="1"/>
      </c>
      <c r="BB266">
        <f ca="1"/>
      </c>
      <c r="BF266" s="7">
        <f ca="1"/>
      </c>
      <c r="BG266">
        <f ca="1"/>
      </c>
      <c r="BH266">
        <f ca="1"/>
      </c>
      <c r="BI266">
        <f ca="1"/>
      </c>
      <c r="BJ266">
        <f ca="1"/>
      </c>
      <c r="BK266">
        <f ca="1"/>
      </c>
      <c r="BM266" s="7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T266" s="7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F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F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B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</row>
    <row r="267" spans="45:182" x14ac:dyDescent="0.55000000000000004">
      <c r="AS267">
        <f ca="1"/>
      </c>
      <c r="AT26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AZ267">
        <f ca="1"/>
      </c>
      <c r="BA267">
        <f ca="1"/>
      </c>
      <c r="BB267">
        <f ca="1"/>
      </c>
      <c r="BF267" s="7">
        <f ca="1"/>
      </c>
      <c r="BG267">
        <f ca="1"/>
      </c>
      <c r="BH267">
        <f ca="1"/>
      </c>
      <c r="BI267">
        <f ca="1"/>
      </c>
      <c r="BJ267">
        <f ca="1"/>
      </c>
      <c r="BK267">
        <f ca="1"/>
      </c>
      <c r="BM267" s="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T267" s="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F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F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B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</row>
    <row r="268" spans="45:182" x14ac:dyDescent="0.55000000000000004">
      <c r="AS268">
        <f ca="1"/>
      </c>
      <c r="AT268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AZ268">
        <f ca="1"/>
      </c>
      <c r="BA268">
        <f ca="1"/>
      </c>
      <c r="BB268">
        <f ca="1"/>
      </c>
      <c r="BF268" s="7">
        <f ca="1"/>
      </c>
      <c r="BG268">
        <f ca="1"/>
      </c>
      <c r="BH268">
        <f ca="1"/>
      </c>
      <c r="BI268">
        <f ca="1"/>
      </c>
      <c r="BJ268">
        <f ca="1"/>
      </c>
      <c r="BK268">
        <f ca="1"/>
      </c>
      <c r="BM268" s="7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T268" s="7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F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F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B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</row>
    <row r="269" spans="45:182" x14ac:dyDescent="0.55000000000000004">
      <c r="AS269">
        <f ca="1"/>
      </c>
      <c r="AT269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AZ269">
        <f ca="1"/>
      </c>
      <c r="BA269">
        <f ca="1"/>
      </c>
      <c r="BB269">
        <f ca="1"/>
      </c>
      <c r="BF269" s="7">
        <f ca="1"/>
      </c>
      <c r="BG269">
        <f ca="1"/>
      </c>
      <c r="BH269">
        <f ca="1"/>
      </c>
      <c r="BI269">
        <f ca="1"/>
      </c>
      <c r="BJ269">
        <f ca="1"/>
      </c>
      <c r="BK269">
        <f ca="1"/>
      </c>
      <c r="BM269" s="7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T269" s="7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F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F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B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</row>
    <row r="270" spans="45:182" x14ac:dyDescent="0.55000000000000004">
      <c r="AS270">
        <f ca="1"/>
      </c>
      <c r="AT270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AZ270">
        <f ca="1"/>
      </c>
      <c r="BA270">
        <f ca="1"/>
      </c>
      <c r="BB270">
        <f ca="1"/>
      </c>
      <c r="BF270" s="7">
        <f ca="1"/>
      </c>
      <c r="BG270">
        <f ca="1"/>
      </c>
      <c r="BH270">
        <f ca="1"/>
      </c>
      <c r="BI270">
        <f ca="1"/>
      </c>
      <c r="BJ270">
        <f ca="1"/>
      </c>
      <c r="BK270">
        <f ca="1"/>
      </c>
      <c r="BM270" s="7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T270" s="7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F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F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B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</row>
    <row r="271" spans="45:182" x14ac:dyDescent="0.55000000000000004">
      <c r="AS271">
        <f ca="1"/>
      </c>
      <c r="AT271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AZ271">
        <f ca="1"/>
      </c>
      <c r="BA271">
        <f ca="1"/>
      </c>
      <c r="BB271">
        <f ca="1"/>
      </c>
      <c r="BF271" s="7">
        <f ca="1"/>
      </c>
      <c r="BG271">
        <f ca="1"/>
      </c>
      <c r="BH271">
        <f ca="1"/>
      </c>
      <c r="BI271">
        <f ca="1"/>
      </c>
      <c r="BJ271">
        <f ca="1"/>
      </c>
      <c r="BK271">
        <f ca="1"/>
      </c>
      <c r="BM271" s="7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T271" s="7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F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F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B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</row>
    <row r="272" spans="45:182" x14ac:dyDescent="0.55000000000000004">
      <c r="AS272">
        <f ca="1"/>
      </c>
      <c r="AT272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AZ272">
        <f ca="1"/>
      </c>
      <c r="BA272">
        <f ca="1"/>
      </c>
      <c r="BB272">
        <f ca="1"/>
      </c>
      <c r="BF272" s="7">
        <f ca="1"/>
      </c>
      <c r="BG272">
        <f ca="1"/>
      </c>
      <c r="BH272">
        <f ca="1"/>
      </c>
      <c r="BI272">
        <f ca="1"/>
      </c>
      <c r="BJ272">
        <f ca="1"/>
      </c>
      <c r="BK272">
        <f ca="1"/>
      </c>
      <c r="BM272" s="7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T272" s="7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F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F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B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</row>
    <row r="273" spans="45:182" x14ac:dyDescent="0.55000000000000004">
      <c r="AS273">
        <f ca="1"/>
      </c>
      <c r="AT273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AZ273">
        <f ca="1"/>
      </c>
      <c r="BA273">
        <f ca="1"/>
      </c>
      <c r="BB273">
        <f ca="1"/>
      </c>
      <c r="BF273" s="7">
        <f ca="1"/>
      </c>
      <c r="BG273">
        <f ca="1"/>
      </c>
      <c r="BH273">
        <f ca="1"/>
      </c>
      <c r="BI273">
        <f ca="1"/>
      </c>
      <c r="BJ273">
        <f ca="1"/>
      </c>
      <c r="BK273">
        <f ca="1"/>
      </c>
      <c r="BM273" s="7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T273" s="7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F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F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B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</row>
    <row r="274" spans="45:182" x14ac:dyDescent="0.55000000000000004">
      <c r="AS274">
        <f ca="1"/>
      </c>
      <c r="AT274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AZ274">
        <f ca="1"/>
      </c>
      <c r="BA274">
        <f ca="1"/>
      </c>
      <c r="BB274">
        <f ca="1"/>
      </c>
      <c r="BF274" s="7">
        <f ca="1"/>
      </c>
      <c r="BG274">
        <f ca="1"/>
      </c>
      <c r="BH274">
        <f ca="1"/>
      </c>
      <c r="BI274">
        <f ca="1"/>
      </c>
      <c r="BJ274">
        <f ca="1"/>
      </c>
      <c r="BK274">
        <f ca="1"/>
      </c>
      <c r="BM274" s="7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T274" s="7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F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F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B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</row>
    <row r="275" spans="45:182" x14ac:dyDescent="0.55000000000000004">
      <c r="AS275">
        <f ca="1"/>
      </c>
      <c r="AT275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AZ275">
        <f ca="1"/>
      </c>
      <c r="BA275">
        <f ca="1"/>
      </c>
      <c r="BB275">
        <f ca="1"/>
      </c>
      <c r="BF275" s="7">
        <f ca="1"/>
      </c>
      <c r="BG275">
        <f ca="1"/>
      </c>
      <c r="BH275">
        <f ca="1"/>
      </c>
      <c r="BI275">
        <f ca="1"/>
      </c>
      <c r="BJ275">
        <f ca="1"/>
      </c>
      <c r="BK275">
        <f ca="1"/>
      </c>
      <c r="BM275" s="7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T275" s="7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F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F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B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</row>
    <row r="276" spans="45:182" x14ac:dyDescent="0.55000000000000004">
      <c r="AS276">
        <f ca="1"/>
      </c>
      <c r="AT276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AZ276">
        <f ca="1"/>
      </c>
      <c r="BA276">
        <f ca="1"/>
      </c>
      <c r="BB276">
        <f ca="1"/>
      </c>
      <c r="BF276" s="7">
        <f ca="1"/>
      </c>
      <c r="BG276">
        <f ca="1"/>
      </c>
      <c r="BH276">
        <f ca="1"/>
      </c>
      <c r="BI276">
        <f ca="1"/>
      </c>
      <c r="BJ276">
        <f ca="1"/>
      </c>
      <c r="BK276">
        <f ca="1"/>
      </c>
      <c r="BM276" s="7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T276" s="7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F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F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B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</row>
    <row r="277" spans="45:182" x14ac:dyDescent="0.55000000000000004">
      <c r="AS277">
        <f ca="1"/>
      </c>
      <c r="AT27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AZ277">
        <f ca="1"/>
      </c>
      <c r="BA277">
        <f ca="1"/>
      </c>
      <c r="BB277">
        <f ca="1"/>
      </c>
      <c r="BF277" s="7">
        <f ca="1"/>
      </c>
      <c r="BG277">
        <f ca="1"/>
      </c>
      <c r="BH277">
        <f ca="1"/>
      </c>
      <c r="BI277">
        <f ca="1"/>
      </c>
      <c r="BJ277">
        <f ca="1"/>
      </c>
      <c r="BK277">
        <f ca="1"/>
      </c>
      <c r="BM277" s="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T277" s="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F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F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B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</row>
    <row r="278" spans="45:182" x14ac:dyDescent="0.55000000000000004">
      <c r="AS278">
        <f ca="1"/>
      </c>
      <c r="AT278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AZ278">
        <f ca="1"/>
      </c>
      <c r="BA278">
        <f ca="1"/>
      </c>
      <c r="BB278">
        <f ca="1"/>
      </c>
      <c r="BF278" s="7">
        <f ca="1"/>
      </c>
      <c r="BG278">
        <f ca="1"/>
      </c>
      <c r="BH278">
        <f ca="1"/>
      </c>
      <c r="BI278">
        <f ca="1"/>
      </c>
      <c r="BJ278">
        <f ca="1"/>
      </c>
      <c r="BK278">
        <f ca="1"/>
      </c>
      <c r="BM278" s="7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T278" s="7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F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F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B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</row>
    <row r="279" spans="45:182" x14ac:dyDescent="0.55000000000000004">
      <c r="AS279">
        <f ca="1"/>
      </c>
      <c r="AT279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AZ279">
        <f ca="1"/>
      </c>
      <c r="BA279">
        <f ca="1"/>
      </c>
      <c r="BB279">
        <f ca="1"/>
      </c>
      <c r="BF279" s="7">
        <f ca="1"/>
      </c>
      <c r="BG279">
        <f ca="1"/>
      </c>
      <c r="BH279">
        <f ca="1"/>
      </c>
      <c r="BI279">
        <f ca="1"/>
      </c>
      <c r="BJ279">
        <f ca="1"/>
      </c>
      <c r="BK279">
        <f ca="1"/>
      </c>
      <c r="BM279" s="7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T279" s="7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F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F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B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</row>
    <row r="280" spans="45:182" x14ac:dyDescent="0.55000000000000004">
      <c r="AS280">
        <f ca="1"/>
      </c>
      <c r="AT280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AZ280">
        <f ca="1"/>
      </c>
      <c r="BA280">
        <f ca="1"/>
      </c>
      <c r="BB280">
        <f ca="1"/>
      </c>
      <c r="BF280" s="7">
        <f ca="1"/>
      </c>
      <c r="BG280">
        <f ca="1"/>
      </c>
      <c r="BH280">
        <f ca="1"/>
      </c>
      <c r="BI280">
        <f ca="1"/>
      </c>
      <c r="BJ280">
        <f ca="1"/>
      </c>
      <c r="BK280">
        <f ca="1"/>
      </c>
      <c r="BM280" s="7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T280" s="7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F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F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B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</row>
    <row r="281" spans="45:182" x14ac:dyDescent="0.55000000000000004">
      <c r="AS281">
        <f ca="1"/>
      </c>
      <c r="AT281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AZ281">
        <f ca="1"/>
      </c>
      <c r="BA281">
        <f ca="1"/>
      </c>
      <c r="BB281">
        <f ca="1"/>
      </c>
      <c r="BF281" s="7">
        <f ca="1"/>
      </c>
      <c r="BG281">
        <f ca="1"/>
      </c>
      <c r="BH281">
        <f ca="1"/>
      </c>
      <c r="BI281">
        <f ca="1"/>
      </c>
      <c r="BJ281">
        <f ca="1"/>
      </c>
      <c r="BK281">
        <f ca="1"/>
      </c>
      <c r="BM281" s="7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T281" s="7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F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F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B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</row>
    <row r="282" spans="45:182" x14ac:dyDescent="0.55000000000000004">
      <c r="AS282">
        <f ca="1"/>
      </c>
      <c r="AT282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AZ282">
        <f ca="1"/>
      </c>
      <c r="BA282">
        <f ca="1"/>
      </c>
      <c r="BB282">
        <f ca="1"/>
      </c>
      <c r="BF282" s="7">
        <f ca="1"/>
      </c>
      <c r="BG282">
        <f ca="1"/>
      </c>
      <c r="BH282">
        <f ca="1"/>
      </c>
      <c r="BI282">
        <f ca="1"/>
      </c>
      <c r="BJ282">
        <f ca="1"/>
      </c>
      <c r="BK282">
        <f ca="1"/>
      </c>
      <c r="BM282" s="7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T282" s="7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F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F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B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</row>
    <row r="283" spans="45:182" x14ac:dyDescent="0.55000000000000004">
      <c r="AS283">
        <f ca="1"/>
      </c>
      <c r="AT283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AZ283">
        <f ca="1"/>
      </c>
      <c r="BA283">
        <f ca="1"/>
      </c>
      <c r="BB283">
        <f ca="1"/>
      </c>
      <c r="BF283" s="7">
        <f ca="1"/>
      </c>
      <c r="BG283">
        <f ca="1"/>
      </c>
      <c r="BH283">
        <f ca="1"/>
      </c>
      <c r="BI283">
        <f ca="1"/>
      </c>
      <c r="BJ283">
        <f ca="1"/>
      </c>
      <c r="BK283">
        <f ca="1"/>
      </c>
      <c r="BM283" s="7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T283" s="7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F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F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B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</row>
    <row r="284" spans="45:182" x14ac:dyDescent="0.55000000000000004">
      <c r="AS284">
        <f ca="1"/>
      </c>
      <c r="AT284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AZ284">
        <f ca="1"/>
      </c>
      <c r="BA284">
        <f ca="1"/>
      </c>
      <c r="BB284">
        <f ca="1"/>
      </c>
      <c r="BF284" s="7">
        <f ca="1"/>
      </c>
      <c r="BG284">
        <f ca="1"/>
      </c>
      <c r="BH284">
        <f ca="1"/>
      </c>
      <c r="BI284">
        <f ca="1"/>
      </c>
      <c r="BJ284">
        <f ca="1"/>
      </c>
      <c r="BK284">
        <f ca="1"/>
      </c>
      <c r="BM284" s="7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T284" s="7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F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F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B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</row>
    <row r="285" spans="45:182" x14ac:dyDescent="0.55000000000000004">
      <c r="AS285">
        <f ca="1"/>
      </c>
      <c r="AT285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AZ285">
        <f ca="1"/>
      </c>
      <c r="BA285">
        <f ca="1"/>
      </c>
      <c r="BB285">
        <f ca="1"/>
      </c>
      <c r="BF285" s="7">
        <f ca="1"/>
      </c>
      <c r="BG285">
        <f ca="1"/>
      </c>
      <c r="BH285">
        <f ca="1"/>
      </c>
      <c r="BI285">
        <f ca="1"/>
      </c>
      <c r="BJ285">
        <f ca="1"/>
      </c>
      <c r="BK285">
        <f ca="1"/>
      </c>
      <c r="BM285" s="7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T285" s="7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F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F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B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</row>
    <row r="286" spans="45:182" x14ac:dyDescent="0.55000000000000004">
      <c r="AS286">
        <f ca="1"/>
      </c>
      <c r="AT286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AZ286">
        <f ca="1"/>
      </c>
      <c r="BA286">
        <f ca="1"/>
      </c>
      <c r="BB286">
        <f ca="1"/>
      </c>
      <c r="BF286" s="7">
        <f ca="1"/>
      </c>
      <c r="BG286">
        <f ca="1"/>
      </c>
      <c r="BH286">
        <f ca="1"/>
      </c>
      <c r="BI286">
        <f ca="1"/>
      </c>
      <c r="BJ286">
        <f ca="1"/>
      </c>
      <c r="BK286">
        <f ca="1"/>
      </c>
      <c r="BM286" s="7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T286" s="7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F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F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B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</row>
    <row r="287" spans="45:182" x14ac:dyDescent="0.55000000000000004">
      <c r="AS287">
        <f ca="1"/>
      </c>
      <c r="AT28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AZ287">
        <f ca="1"/>
      </c>
      <c r="BA287">
        <f ca="1"/>
      </c>
      <c r="BB287">
        <f ca="1"/>
      </c>
      <c r="BF287" s="7">
        <f ca="1"/>
      </c>
      <c r="BG287">
        <f ca="1"/>
      </c>
      <c r="BH287">
        <f ca="1"/>
      </c>
      <c r="BI287">
        <f ca="1"/>
      </c>
      <c r="BJ287">
        <f ca="1"/>
      </c>
      <c r="BK287">
        <f ca="1"/>
      </c>
      <c r="BM287" s="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T287" s="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F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F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B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</row>
    <row r="288" spans="45:182" x14ac:dyDescent="0.55000000000000004">
      <c r="AS288">
        <f ca="1"/>
      </c>
      <c r="AT288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AZ288">
        <f ca="1"/>
      </c>
      <c r="BA288">
        <f ca="1"/>
      </c>
      <c r="BB288">
        <f ca="1"/>
      </c>
      <c r="BF288" s="7">
        <f ca="1"/>
      </c>
      <c r="BG288">
        <f ca="1"/>
      </c>
      <c r="BH288">
        <f ca="1"/>
      </c>
      <c r="BI288">
        <f ca="1"/>
      </c>
      <c r="BJ288">
        <f ca="1"/>
      </c>
      <c r="BK288">
        <f ca="1"/>
      </c>
      <c r="BM288" s="7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T288" s="7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F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F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B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</row>
    <row r="289" spans="45:182" x14ac:dyDescent="0.55000000000000004">
      <c r="AS289">
        <f ca="1"/>
      </c>
      <c r="AT289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AZ289">
        <f ca="1"/>
      </c>
      <c r="BA289">
        <f ca="1"/>
      </c>
      <c r="BB289">
        <f ca="1"/>
      </c>
      <c r="BF289" s="7">
        <f ca="1"/>
      </c>
      <c r="BG289">
        <f ca="1"/>
      </c>
      <c r="BH289">
        <f ca="1"/>
      </c>
      <c r="BI289">
        <f ca="1"/>
      </c>
      <c r="BJ289">
        <f ca="1"/>
      </c>
      <c r="BK289">
        <f ca="1"/>
      </c>
      <c r="BM289" s="7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T289" s="7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F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F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B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</row>
    <row r="290" spans="45:182" x14ac:dyDescent="0.55000000000000004">
      <c r="AS290">
        <f ca="1"/>
      </c>
      <c r="AT290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AZ290">
        <f ca="1"/>
      </c>
      <c r="BA290">
        <f ca="1"/>
      </c>
      <c r="BB290">
        <f ca="1"/>
      </c>
      <c r="BF290" s="7">
        <f ca="1"/>
      </c>
      <c r="BG290">
        <f ca="1"/>
      </c>
      <c r="BH290">
        <f ca="1"/>
      </c>
      <c r="BI290">
        <f ca="1"/>
      </c>
      <c r="BJ290">
        <f ca="1"/>
      </c>
      <c r="BK290">
        <f ca="1"/>
      </c>
      <c r="BM290" s="7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T290" s="7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F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F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B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</row>
    <row r="291" spans="45:182" x14ac:dyDescent="0.55000000000000004">
      <c r="AS291">
        <f ca="1"/>
      </c>
      <c r="AT291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AZ291">
        <f ca="1"/>
      </c>
      <c r="BA291">
        <f ca="1"/>
      </c>
      <c r="BB291">
        <f ca="1"/>
      </c>
      <c r="BF291" s="7">
        <f ca="1"/>
      </c>
      <c r="BG291">
        <f ca="1"/>
      </c>
      <c r="BH291">
        <f ca="1"/>
      </c>
      <c r="BI291">
        <f ca="1"/>
      </c>
      <c r="BJ291">
        <f ca="1"/>
      </c>
      <c r="BK291">
        <f ca="1"/>
      </c>
      <c r="BM291" s="7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T291" s="7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F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F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B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</row>
    <row r="292" spans="45:182" x14ac:dyDescent="0.55000000000000004">
      <c r="AS292">
        <f ca="1"/>
      </c>
      <c r="AT292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AZ292">
        <f ca="1"/>
      </c>
      <c r="BA292">
        <f ca="1"/>
      </c>
      <c r="BB292">
        <f ca="1"/>
      </c>
      <c r="BF292" s="7">
        <f ca="1"/>
      </c>
      <c r="BG292">
        <f ca="1"/>
      </c>
      <c r="BH292">
        <f ca="1"/>
      </c>
      <c r="BI292">
        <f ca="1"/>
      </c>
      <c r="BJ292">
        <f ca="1"/>
      </c>
      <c r="BK292">
        <f ca="1"/>
      </c>
      <c r="BM292" s="7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T292" s="7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F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F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B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</row>
    <row r="293" spans="45:182" x14ac:dyDescent="0.55000000000000004">
      <c r="AS293">
        <f ca="1"/>
      </c>
      <c r="AT293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AZ293">
        <f ca="1"/>
      </c>
      <c r="BA293">
        <f ca="1"/>
      </c>
      <c r="BB293">
        <f ca="1"/>
      </c>
      <c r="BF293" s="7">
        <f ca="1"/>
      </c>
      <c r="BG293">
        <f ca="1"/>
      </c>
      <c r="BH293">
        <f ca="1"/>
      </c>
      <c r="BI293">
        <f ca="1"/>
      </c>
      <c r="BJ293">
        <f ca="1"/>
      </c>
      <c r="BK293">
        <f ca="1"/>
      </c>
      <c r="BM293" s="7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T293" s="7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F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F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B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</row>
    <row r="294" spans="45:182" x14ac:dyDescent="0.55000000000000004">
      <c r="AS294">
        <f ca="1"/>
      </c>
      <c r="AT294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AZ294">
        <f ca="1"/>
      </c>
      <c r="BA294">
        <f ca="1"/>
      </c>
      <c r="BB294">
        <f ca="1"/>
      </c>
      <c r="BF294" s="7">
        <f ca="1"/>
      </c>
      <c r="BG294">
        <f ca="1"/>
      </c>
      <c r="BH294">
        <f ca="1"/>
      </c>
      <c r="BI294">
        <f ca="1"/>
      </c>
      <c r="BJ294">
        <f ca="1"/>
      </c>
      <c r="BK294">
        <f ca="1"/>
      </c>
      <c r="BM294" s="7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T294" s="7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F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F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B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</row>
    <row r="295" spans="45:182" x14ac:dyDescent="0.55000000000000004">
      <c r="AS295">
        <f ca="1"/>
      </c>
      <c r="AT295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AZ295">
        <f ca="1"/>
      </c>
      <c r="BA295">
        <f ca="1"/>
      </c>
      <c r="BB295">
        <f ca="1"/>
      </c>
      <c r="BF295" s="7">
        <f ca="1"/>
      </c>
      <c r="BG295">
        <f ca="1"/>
      </c>
      <c r="BH295">
        <f ca="1"/>
      </c>
      <c r="BI295">
        <f ca="1"/>
      </c>
      <c r="BJ295">
        <f ca="1"/>
      </c>
      <c r="BK295">
        <f ca="1"/>
      </c>
      <c r="BM295" s="7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T295" s="7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F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F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B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</row>
    <row r="296" spans="45:182" x14ac:dyDescent="0.55000000000000004">
      <c r="AS296">
        <f ca="1"/>
      </c>
      <c r="AT296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AZ296">
        <f ca="1"/>
      </c>
      <c r="BA296">
        <f ca="1"/>
      </c>
      <c r="BB296">
        <f ca="1"/>
      </c>
      <c r="BF296" s="7">
        <f ca="1"/>
      </c>
      <c r="BG296">
        <f ca="1"/>
      </c>
      <c r="BH296">
        <f ca="1"/>
      </c>
      <c r="BI296">
        <f ca="1"/>
      </c>
      <c r="BJ296">
        <f ca="1"/>
      </c>
      <c r="BK296">
        <f ca="1"/>
      </c>
      <c r="BM296" s="7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T296" s="7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F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F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B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</row>
    <row r="297" spans="45:182" x14ac:dyDescent="0.55000000000000004">
      <c r="AS297">
        <f ca="1"/>
      </c>
      <c r="AT29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AZ297">
        <f ca="1"/>
      </c>
      <c r="BA297">
        <f ca="1"/>
      </c>
      <c r="BB297">
        <f ca="1"/>
      </c>
      <c r="BF297" s="7">
        <f ca="1"/>
      </c>
      <c r="BG297">
        <f ca="1"/>
      </c>
      <c r="BH297">
        <f ca="1"/>
      </c>
      <c r="BI297">
        <f ca="1"/>
      </c>
      <c r="BJ297">
        <f ca="1"/>
      </c>
      <c r="BK297">
        <f ca="1"/>
      </c>
      <c r="BM297" s="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T297" s="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F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F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B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</row>
    <row r="298" spans="45:182" x14ac:dyDescent="0.55000000000000004">
      <c r="AS298">
        <f ca="1"/>
      </c>
      <c r="AT298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AZ298">
        <f ca="1"/>
      </c>
      <c r="BA298">
        <f ca="1"/>
      </c>
      <c r="BB298">
        <f ca="1"/>
      </c>
      <c r="BF298" s="7">
        <f ca="1"/>
      </c>
      <c r="BG298">
        <f ca="1"/>
      </c>
      <c r="BH298">
        <f ca="1"/>
      </c>
      <c r="BI298">
        <f ca="1"/>
      </c>
      <c r="BJ298">
        <f ca="1"/>
      </c>
      <c r="BK298">
        <f ca="1"/>
      </c>
      <c r="BM298" s="7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T298" s="7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F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F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B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</row>
    <row r="299" spans="45:182" x14ac:dyDescent="0.55000000000000004">
      <c r="AS299">
        <f ca="1"/>
      </c>
      <c r="AT299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AZ299">
        <f ca="1"/>
      </c>
      <c r="BA299">
        <f ca="1"/>
      </c>
      <c r="BB299">
        <f ca="1"/>
      </c>
      <c r="BF299" s="7">
        <f ca="1"/>
      </c>
      <c r="BG299">
        <f ca="1"/>
      </c>
      <c r="BH299">
        <f ca="1"/>
      </c>
      <c r="BI299">
        <f ca="1"/>
      </c>
      <c r="BJ299">
        <f ca="1"/>
      </c>
      <c r="BK299">
        <f ca="1"/>
      </c>
      <c r="BM299" s="7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T299" s="7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F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F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B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</row>
    <row r="300" spans="45:182" x14ac:dyDescent="0.55000000000000004">
      <c r="AS300">
        <f ca="1"/>
      </c>
      <c r="AT300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AZ300">
        <f ca="1"/>
      </c>
      <c r="BA300">
        <f ca="1"/>
      </c>
      <c r="BB300">
        <f ca="1"/>
      </c>
      <c r="BF300" s="7">
        <f ca="1"/>
      </c>
      <c r="BG300">
        <f ca="1"/>
      </c>
      <c r="BH300">
        <f ca="1"/>
      </c>
      <c r="BI300">
        <f ca="1"/>
      </c>
      <c r="BJ300">
        <f ca="1"/>
      </c>
      <c r="BK300">
        <f ca="1"/>
      </c>
      <c r="BM300" s="7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T300" s="7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F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F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B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</row>
    <row r="301" spans="45:182" x14ac:dyDescent="0.55000000000000004">
      <c r="AS301">
        <f ca="1"/>
      </c>
      <c r="AT301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AZ301">
        <f ca="1"/>
      </c>
      <c r="BA301">
        <f ca="1"/>
      </c>
      <c r="BB301">
        <f ca="1"/>
      </c>
      <c r="BF301" s="7">
        <f ca="1"/>
      </c>
      <c r="BG301">
        <f ca="1"/>
      </c>
      <c r="BH301">
        <f ca="1"/>
      </c>
      <c r="BI301">
        <f ca="1"/>
      </c>
      <c r="BJ301">
        <f ca="1"/>
      </c>
      <c r="BK301">
        <f ca="1"/>
      </c>
      <c r="BM301" s="7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T301" s="7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F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F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B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</row>
    <row r="302" spans="45:182" x14ac:dyDescent="0.55000000000000004">
      <c r="AS302">
        <f ca="1"/>
      </c>
      <c r="AT302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AZ302">
        <f ca="1"/>
      </c>
      <c r="BA302">
        <f ca="1"/>
      </c>
      <c r="BB302">
        <f ca="1"/>
      </c>
      <c r="BF302" s="7">
        <f ca="1"/>
      </c>
      <c r="BG302">
        <f ca="1"/>
      </c>
      <c r="BH302">
        <f ca="1"/>
      </c>
      <c r="BI302">
        <f ca="1"/>
      </c>
      <c r="BJ302">
        <f ca="1"/>
      </c>
      <c r="BK302">
        <f ca="1"/>
      </c>
      <c r="BM302" s="7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T302" s="7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F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F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B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</row>
    <row r="303" spans="45:182" x14ac:dyDescent="0.55000000000000004">
      <c r="AS303">
        <f ca="1"/>
      </c>
      <c r="AT303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AZ303">
        <f ca="1"/>
      </c>
      <c r="BA303">
        <f ca="1"/>
      </c>
      <c r="BB303">
        <f ca="1"/>
      </c>
      <c r="BF303" s="7">
        <f ca="1"/>
      </c>
      <c r="BG303">
        <f ca="1"/>
      </c>
      <c r="BH303">
        <f ca="1"/>
      </c>
      <c r="BI303">
        <f ca="1"/>
      </c>
      <c r="BJ303">
        <f ca="1"/>
      </c>
      <c r="BK303">
        <f ca="1"/>
      </c>
      <c r="BM303" s="7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T303" s="7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F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F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B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</row>
    <row r="304" spans="45:182" x14ac:dyDescent="0.55000000000000004">
      <c r="AS304">
        <f ca="1"/>
      </c>
      <c r="AT304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AZ304">
        <f ca="1"/>
      </c>
      <c r="BA304">
        <f ca="1"/>
      </c>
      <c r="BB304">
        <f ca="1"/>
      </c>
      <c r="BF304" s="7">
        <f ca="1"/>
      </c>
      <c r="BG304">
        <f ca="1"/>
      </c>
      <c r="BH304">
        <f ca="1"/>
      </c>
      <c r="BI304">
        <f ca="1"/>
      </c>
      <c r="BJ304">
        <f ca="1"/>
      </c>
      <c r="BK304">
        <f ca="1"/>
      </c>
      <c r="BM304" s="7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T304" s="7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F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F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B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</row>
    <row r="305" spans="45:182" x14ac:dyDescent="0.55000000000000004">
      <c r="AS305">
        <f ca="1"/>
      </c>
      <c r="AT305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AZ305">
        <f ca="1"/>
      </c>
      <c r="BA305">
        <f ca="1"/>
      </c>
      <c r="BB305">
        <f ca="1"/>
      </c>
      <c r="BF305" s="7">
        <f ca="1"/>
      </c>
      <c r="BG305">
        <f ca="1"/>
      </c>
      <c r="BH305">
        <f ca="1"/>
      </c>
      <c r="BI305">
        <f ca="1"/>
      </c>
      <c r="BJ305">
        <f ca="1"/>
      </c>
      <c r="BK305">
        <f ca="1"/>
      </c>
      <c r="BM305" s="7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T305" s="7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F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F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B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</row>
    <row r="306" spans="45:182" x14ac:dyDescent="0.55000000000000004">
      <c r="AS306">
        <f ca="1"/>
      </c>
      <c r="AT306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AZ306">
        <f ca="1"/>
      </c>
      <c r="BA306">
        <f ca="1"/>
      </c>
      <c r="BB306">
        <f ca="1"/>
      </c>
      <c r="BF306" s="7">
        <f ca="1"/>
      </c>
      <c r="BG306">
        <f ca="1"/>
      </c>
      <c r="BH306">
        <f ca="1"/>
      </c>
      <c r="BI306">
        <f ca="1"/>
      </c>
      <c r="BJ306">
        <f ca="1"/>
      </c>
      <c r="BK306">
        <f ca="1"/>
      </c>
      <c r="BM306" s="7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T306" s="7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F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F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B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</row>
    <row r="307" spans="45:182" x14ac:dyDescent="0.55000000000000004">
      <c r="AS307">
        <f ca="1"/>
      </c>
      <c r="AT30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AZ307">
        <f ca="1"/>
      </c>
      <c r="BA307">
        <f ca="1"/>
      </c>
      <c r="BB307">
        <f ca="1"/>
      </c>
      <c r="BF307" s="7">
        <f ca="1"/>
      </c>
      <c r="BG307">
        <f ca="1"/>
      </c>
      <c r="BH307">
        <f ca="1"/>
      </c>
      <c r="BI307">
        <f ca="1"/>
      </c>
      <c r="BJ307">
        <f ca="1"/>
      </c>
      <c r="BK307">
        <f ca="1"/>
      </c>
      <c r="BM307" s="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T307" s="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F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F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B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</row>
    <row r="308" spans="45:182" x14ac:dyDescent="0.55000000000000004">
      <c r="AS308">
        <f ca="1"/>
      </c>
      <c r="AT308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AZ308">
        <f ca="1"/>
      </c>
      <c r="BA308">
        <f ca="1"/>
      </c>
      <c r="BB308">
        <f ca="1"/>
      </c>
      <c r="BF308" s="7">
        <f ca="1"/>
      </c>
      <c r="BG308">
        <f ca="1"/>
      </c>
      <c r="BH308">
        <f ca="1"/>
      </c>
      <c r="BI308">
        <f ca="1"/>
      </c>
      <c r="BJ308">
        <f ca="1"/>
      </c>
      <c r="BK308">
        <f ca="1"/>
      </c>
      <c r="BM308" s="7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T308" s="7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F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F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B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</row>
    <row r="309" spans="45:182" x14ac:dyDescent="0.55000000000000004">
      <c r="AS309">
        <f ca="1"/>
      </c>
      <c r="AT309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AZ309">
        <f ca="1"/>
      </c>
      <c r="BA309">
        <f ca="1"/>
      </c>
      <c r="BB309">
        <f ca="1"/>
      </c>
      <c r="BF309" s="7">
        <f ca="1"/>
      </c>
      <c r="BG309">
        <f ca="1"/>
      </c>
      <c r="BH309">
        <f ca="1"/>
      </c>
      <c r="BI309">
        <f ca="1"/>
      </c>
      <c r="BJ309">
        <f ca="1"/>
      </c>
      <c r="BK309">
        <f ca="1"/>
      </c>
      <c r="BM309" s="7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T309" s="7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F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F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B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</row>
    <row r="310" spans="45:182" x14ac:dyDescent="0.55000000000000004">
      <c r="AS310">
        <f ca="1"/>
      </c>
      <c r="AT310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AZ310">
        <f ca="1"/>
      </c>
      <c r="BA310">
        <f ca="1"/>
      </c>
      <c r="BB310">
        <f ca="1"/>
      </c>
      <c r="BF310" s="7">
        <f ca="1"/>
      </c>
      <c r="BG310">
        <f ca="1"/>
      </c>
      <c r="BH310">
        <f ca="1"/>
      </c>
      <c r="BI310">
        <f ca="1"/>
      </c>
      <c r="BJ310">
        <f ca="1"/>
      </c>
      <c r="BK310">
        <f ca="1"/>
      </c>
      <c r="BM310" s="7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T310" s="7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F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F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B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</row>
    <row r="311" spans="45:182" x14ac:dyDescent="0.55000000000000004">
      <c r="AS311">
        <f ca="1"/>
      </c>
      <c r="AT311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AZ311">
        <f ca="1"/>
      </c>
      <c r="BA311">
        <f ca="1"/>
      </c>
      <c r="BB311">
        <f ca="1"/>
      </c>
      <c r="BF311" s="7">
        <f ca="1"/>
      </c>
      <c r="BG311">
        <f ca="1"/>
      </c>
      <c r="BH311">
        <f ca="1"/>
      </c>
      <c r="BI311">
        <f ca="1"/>
      </c>
      <c r="BJ311">
        <f ca="1"/>
      </c>
      <c r="BK311">
        <f ca="1"/>
      </c>
      <c r="BM311" s="7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T311" s="7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F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F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B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</row>
    <row r="312" spans="45:182" x14ac:dyDescent="0.55000000000000004">
      <c r="AS312">
        <f ca="1"/>
      </c>
      <c r="AT312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AZ312">
        <f ca="1"/>
      </c>
      <c r="BA312">
        <f ca="1"/>
      </c>
      <c r="BB312">
        <f ca="1"/>
      </c>
      <c r="BF312" s="7">
        <f ca="1"/>
      </c>
      <c r="BG312">
        <f ca="1"/>
      </c>
      <c r="BH312">
        <f ca="1"/>
      </c>
      <c r="BI312">
        <f ca="1"/>
      </c>
      <c r="BJ312">
        <f ca="1"/>
      </c>
      <c r="BK312">
        <f ca="1"/>
      </c>
      <c r="BM312" s="7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T312" s="7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F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F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B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</row>
    <row r="313" spans="45:182" x14ac:dyDescent="0.55000000000000004">
      <c r="AS313">
        <f ca="1"/>
      </c>
      <c r="AT313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AZ313">
        <f ca="1"/>
      </c>
      <c r="BA313">
        <f ca="1"/>
      </c>
      <c r="BB313">
        <f ca="1"/>
      </c>
      <c r="BF313" s="7">
        <f ca="1"/>
      </c>
      <c r="BG313">
        <f ca="1"/>
      </c>
      <c r="BH313">
        <f ca="1"/>
      </c>
      <c r="BI313">
        <f ca="1"/>
      </c>
      <c r="BJ313">
        <f ca="1"/>
      </c>
      <c r="BK313">
        <f ca="1"/>
      </c>
      <c r="BM313" s="7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T313" s="7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F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F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B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</row>
    <row r="314" spans="45:182" x14ac:dyDescent="0.55000000000000004">
      <c r="AS314">
        <f ca="1"/>
      </c>
      <c r="AT314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AZ314">
        <f ca="1"/>
      </c>
      <c r="BA314">
        <f ca="1"/>
      </c>
      <c r="BB314">
        <f ca="1"/>
      </c>
      <c r="BF314" s="7">
        <f ca="1"/>
      </c>
      <c r="BG314">
        <f ca="1"/>
      </c>
      <c r="BH314">
        <f ca="1"/>
      </c>
      <c r="BI314">
        <f ca="1"/>
      </c>
      <c r="BJ314">
        <f ca="1"/>
      </c>
      <c r="BK314">
        <f ca="1"/>
      </c>
      <c r="BM314" s="7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T314" s="7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F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F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B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</row>
    <row r="315" spans="45:182" x14ac:dyDescent="0.55000000000000004">
      <c r="AS315">
        <f ca="1"/>
      </c>
      <c r="AT315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AZ315">
        <f ca="1"/>
      </c>
      <c r="BA315">
        <f ca="1"/>
      </c>
      <c r="BB315">
        <f ca="1"/>
      </c>
      <c r="BF315" s="7">
        <f ca="1"/>
      </c>
      <c r="BG315">
        <f ca="1"/>
      </c>
      <c r="BH315">
        <f ca="1"/>
      </c>
      <c r="BI315">
        <f ca="1"/>
      </c>
      <c r="BJ315">
        <f ca="1"/>
      </c>
      <c r="BK315">
        <f ca="1"/>
      </c>
      <c r="BM315" s="7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T315" s="7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F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F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B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</row>
    <row r="316" spans="45:182" x14ac:dyDescent="0.55000000000000004">
      <c r="AS316">
        <f ca="1"/>
      </c>
      <c r="AT316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AZ316">
        <f ca="1"/>
      </c>
      <c r="BA316">
        <f ca="1"/>
      </c>
      <c r="BB316">
        <f ca="1"/>
      </c>
      <c r="BF316" s="7">
        <f ca="1"/>
      </c>
      <c r="BG316">
        <f ca="1"/>
      </c>
      <c r="BH316">
        <f ca="1"/>
      </c>
      <c r="BI316">
        <f ca="1"/>
      </c>
      <c r="BJ316">
        <f ca="1"/>
      </c>
      <c r="BK316">
        <f ca="1"/>
      </c>
      <c r="BM316" s="7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T316" s="7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F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F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B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</row>
    <row r="317" spans="45:182" x14ac:dyDescent="0.55000000000000004">
      <c r="AS317">
        <f ca="1"/>
      </c>
      <c r="AT31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AZ317">
        <f ca="1"/>
      </c>
      <c r="BA317">
        <f ca="1"/>
      </c>
      <c r="BB317">
        <f ca="1"/>
      </c>
      <c r="BF317" s="7">
        <f ca="1"/>
      </c>
      <c r="BG317">
        <f ca="1"/>
      </c>
      <c r="BH317">
        <f ca="1"/>
      </c>
      <c r="BI317">
        <f ca="1"/>
      </c>
      <c r="BJ317">
        <f ca="1"/>
      </c>
      <c r="BK317">
        <f ca="1"/>
      </c>
      <c r="BM317" s="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T317" s="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F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F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B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</row>
    <row r="318" spans="45:182" x14ac:dyDescent="0.55000000000000004">
      <c r="AS318">
        <f ca="1"/>
      </c>
      <c r="AT318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AZ318">
        <f ca="1"/>
      </c>
      <c r="BA318">
        <f ca="1"/>
      </c>
      <c r="BB318">
        <f ca="1"/>
      </c>
      <c r="BF318" s="7">
        <f ca="1"/>
      </c>
      <c r="BG318">
        <f ca="1"/>
      </c>
      <c r="BH318">
        <f ca="1"/>
      </c>
      <c r="BI318">
        <f ca="1"/>
      </c>
      <c r="BJ318">
        <f ca="1"/>
      </c>
      <c r="BK318">
        <f ca="1"/>
      </c>
      <c r="BM318" s="7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T318" s="7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F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F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B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</row>
    <row r="319" spans="45:182" x14ac:dyDescent="0.55000000000000004">
      <c r="AS319">
        <f ca="1"/>
      </c>
      <c r="AT319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AZ319">
        <f ca="1"/>
      </c>
      <c r="BA319">
        <f ca="1"/>
      </c>
      <c r="BB319">
        <f ca="1"/>
      </c>
      <c r="BF319" s="7">
        <f ca="1"/>
      </c>
      <c r="BG319">
        <f ca="1"/>
      </c>
      <c r="BH319">
        <f ca="1"/>
      </c>
      <c r="BI319">
        <f ca="1"/>
      </c>
      <c r="BJ319">
        <f ca="1"/>
      </c>
      <c r="BK319">
        <f ca="1"/>
      </c>
      <c r="BM319" s="7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T319" s="7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F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F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B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</row>
    <row r="320" spans="45:182" x14ac:dyDescent="0.55000000000000004">
      <c r="AS320">
        <f ca="1"/>
      </c>
      <c r="AT320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AZ320">
        <f ca="1"/>
      </c>
      <c r="BA320">
        <f ca="1"/>
      </c>
      <c r="BB320">
        <f ca="1"/>
      </c>
      <c r="BF320" s="7">
        <f ca="1"/>
      </c>
      <c r="BG320">
        <f ca="1"/>
      </c>
      <c r="BH320">
        <f ca="1"/>
      </c>
      <c r="BI320">
        <f ca="1"/>
      </c>
      <c r="BJ320">
        <f ca="1"/>
      </c>
      <c r="BK320">
        <f ca="1"/>
      </c>
      <c r="BM320" s="7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T320" s="7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F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F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B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</row>
    <row r="321" spans="45:182" x14ac:dyDescent="0.55000000000000004">
      <c r="AS321">
        <f ca="1"/>
      </c>
      <c r="AT321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AZ321">
        <f ca="1"/>
      </c>
      <c r="BA321">
        <f ca="1"/>
      </c>
      <c r="BB321">
        <f ca="1"/>
      </c>
      <c r="BF321" s="7">
        <f ca="1"/>
      </c>
      <c r="BG321">
        <f ca="1"/>
      </c>
      <c r="BH321">
        <f ca="1"/>
      </c>
      <c r="BI321">
        <f ca="1"/>
      </c>
      <c r="BJ321">
        <f ca="1"/>
      </c>
      <c r="BK321">
        <f ca="1"/>
      </c>
      <c r="BM321" s="7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T321" s="7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F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F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B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</row>
    <row r="322" spans="45:182" x14ac:dyDescent="0.55000000000000004">
      <c r="AS322">
        <f ca="1"/>
      </c>
      <c r="AT322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AZ322">
        <f ca="1"/>
      </c>
      <c r="BA322">
        <f ca="1"/>
      </c>
      <c r="BB322">
        <f ca="1"/>
      </c>
      <c r="BF322" s="7">
        <f ca="1"/>
      </c>
      <c r="BG322">
        <f ca="1"/>
      </c>
      <c r="BH322">
        <f ca="1"/>
      </c>
      <c r="BI322">
        <f ca="1"/>
      </c>
      <c r="BJ322">
        <f ca="1"/>
      </c>
      <c r="BK322">
        <f ca="1"/>
      </c>
      <c r="BM322" s="7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T322" s="7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F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F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B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</row>
    <row r="323" spans="45:182" x14ac:dyDescent="0.55000000000000004">
      <c r="AS323">
        <f ca="1"/>
      </c>
      <c r="AT323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AZ323">
        <f ca="1"/>
      </c>
      <c r="BA323">
        <f ca="1"/>
      </c>
      <c r="BB323">
        <f ca="1"/>
      </c>
      <c r="BF323" s="7">
        <f ca="1"/>
      </c>
      <c r="BG323">
        <f ca="1"/>
      </c>
      <c r="BH323">
        <f ca="1"/>
      </c>
      <c r="BI323">
        <f ca="1"/>
      </c>
      <c r="BJ323">
        <f ca="1"/>
      </c>
      <c r="BK323">
        <f ca="1"/>
      </c>
      <c r="BM323" s="7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T323" s="7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F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F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B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</row>
    <row r="324" spans="45:182" x14ac:dyDescent="0.55000000000000004">
      <c r="AS324">
        <f ca="1"/>
      </c>
      <c r="AT324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AZ324">
        <f ca="1"/>
      </c>
      <c r="BA324">
        <f ca="1"/>
      </c>
      <c r="BB324">
        <f ca="1"/>
      </c>
      <c r="BF324" s="7">
        <f ca="1"/>
      </c>
      <c r="BG324">
        <f ca="1"/>
      </c>
      <c r="BH324">
        <f ca="1"/>
      </c>
      <c r="BI324">
        <f ca="1"/>
      </c>
      <c r="BJ324">
        <f ca="1"/>
      </c>
      <c r="BK324">
        <f ca="1"/>
      </c>
      <c r="BM324" s="7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T324" s="7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F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F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B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</row>
    <row r="325" spans="45:182" x14ac:dyDescent="0.55000000000000004">
      <c r="AS325">
        <f ca="1"/>
      </c>
      <c r="AT325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AZ325">
        <f ca="1"/>
      </c>
      <c r="BA325">
        <f ca="1"/>
      </c>
      <c r="BB325">
        <f ca="1"/>
      </c>
      <c r="BF325" s="7">
        <f ca="1"/>
      </c>
      <c r="BG325">
        <f ca="1"/>
      </c>
      <c r="BH325">
        <f ca="1"/>
      </c>
      <c r="BI325">
        <f ca="1"/>
      </c>
      <c r="BJ325">
        <f ca="1"/>
      </c>
      <c r="BK325">
        <f ca="1"/>
      </c>
      <c r="BM325" s="7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T325" s="7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F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F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B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</row>
    <row r="326" spans="45:182" x14ac:dyDescent="0.55000000000000004">
      <c r="AS326">
        <f ca="1"/>
      </c>
      <c r="AT326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AZ326">
        <f ca="1"/>
      </c>
      <c r="BA326">
        <f ca="1"/>
      </c>
      <c r="BB326">
        <f ca="1"/>
      </c>
      <c r="BF326" s="7">
        <f ca="1"/>
      </c>
      <c r="BG326">
        <f ca="1"/>
      </c>
      <c r="BH326">
        <f ca="1"/>
      </c>
      <c r="BI326">
        <f ca="1"/>
      </c>
      <c r="BJ326">
        <f ca="1"/>
      </c>
      <c r="BK326">
        <f ca="1"/>
      </c>
      <c r="BM326" s="7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T326" s="7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F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F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B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</row>
    <row r="327" spans="45:182" x14ac:dyDescent="0.55000000000000004">
      <c r="AS327">
        <f ca="1"/>
      </c>
      <c r="AT32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AZ327">
        <f ca="1"/>
      </c>
      <c r="BA327">
        <f ca="1"/>
      </c>
      <c r="BB327">
        <f ca="1"/>
      </c>
      <c r="BF327" s="7">
        <f ca="1"/>
      </c>
      <c r="BG327">
        <f ca="1"/>
      </c>
      <c r="BH327">
        <f ca="1"/>
      </c>
      <c r="BI327">
        <f ca="1"/>
      </c>
      <c r="BJ327">
        <f ca="1"/>
      </c>
      <c r="BK327">
        <f ca="1"/>
      </c>
      <c r="BM327" s="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T327" s="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F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F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B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</row>
    <row r="328" spans="45:182" x14ac:dyDescent="0.55000000000000004">
      <c r="AS328">
        <f ca="1"/>
      </c>
      <c r="AT328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AZ328">
        <f ca="1"/>
      </c>
      <c r="BA328">
        <f ca="1"/>
      </c>
      <c r="BB328">
        <f ca="1"/>
      </c>
      <c r="BF328" s="7">
        <f ca="1"/>
      </c>
      <c r="BG328">
        <f ca="1"/>
      </c>
      <c r="BH328">
        <f ca="1"/>
      </c>
      <c r="BI328">
        <f ca="1"/>
      </c>
      <c r="BJ328">
        <f ca="1"/>
      </c>
      <c r="BK328">
        <f ca="1"/>
      </c>
      <c r="BM328" s="7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T328" s="7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F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F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B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</row>
    <row r="329" spans="45:182" x14ac:dyDescent="0.55000000000000004">
      <c r="AS329">
        <f ca="1"/>
      </c>
      <c r="AT329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AZ329">
        <f ca="1"/>
      </c>
      <c r="BA329">
        <f ca="1"/>
      </c>
      <c r="BB329">
        <f ca="1"/>
      </c>
      <c r="BF329" s="7">
        <f ca="1"/>
      </c>
      <c r="BG329">
        <f ca="1"/>
      </c>
      <c r="BH329">
        <f ca="1"/>
      </c>
      <c r="BI329">
        <f ca="1"/>
      </c>
      <c r="BJ329">
        <f ca="1"/>
      </c>
      <c r="BK329">
        <f ca="1"/>
      </c>
      <c r="BM329" s="7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T329" s="7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F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F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B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</row>
    <row r="330" spans="45:182" x14ac:dyDescent="0.55000000000000004">
      <c r="AS330">
        <f ca="1"/>
      </c>
      <c r="AT330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AZ330">
        <f ca="1"/>
      </c>
      <c r="BA330">
        <f ca="1"/>
      </c>
      <c r="BB330">
        <f ca="1"/>
      </c>
      <c r="BF330" s="7">
        <f ca="1"/>
      </c>
      <c r="BG330">
        <f ca="1"/>
      </c>
      <c r="BH330">
        <f ca="1"/>
      </c>
      <c r="BI330">
        <f ca="1"/>
      </c>
      <c r="BJ330">
        <f ca="1"/>
      </c>
      <c r="BK330">
        <f ca="1"/>
      </c>
      <c r="BM330" s="7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T330" s="7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F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F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B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</row>
    <row r="331" spans="45:182" x14ac:dyDescent="0.55000000000000004">
      <c r="AS331">
        <f ca="1"/>
      </c>
      <c r="AT331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AZ331">
        <f ca="1"/>
      </c>
      <c r="BA331">
        <f ca="1"/>
      </c>
      <c r="BB331">
        <f ca="1"/>
      </c>
      <c r="BF331" s="7">
        <f ca="1"/>
      </c>
      <c r="BG331">
        <f ca="1"/>
      </c>
      <c r="BH331">
        <f ca="1"/>
      </c>
      <c r="BI331">
        <f ca="1"/>
      </c>
      <c r="BJ331">
        <f ca="1"/>
      </c>
      <c r="BK331">
        <f ca="1"/>
      </c>
      <c r="BM331" s="7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T331" s="7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F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F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B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</row>
    <row r="332" spans="45:182" x14ac:dyDescent="0.55000000000000004">
      <c r="AS332">
        <f ca="1"/>
      </c>
      <c r="AT332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AZ332">
        <f ca="1"/>
      </c>
      <c r="BA332">
        <f ca="1"/>
      </c>
      <c r="BB332">
        <f ca="1"/>
      </c>
      <c r="BF332" s="7">
        <f ca="1"/>
      </c>
      <c r="BG332">
        <f ca="1"/>
      </c>
      <c r="BH332">
        <f ca="1"/>
      </c>
      <c r="BI332">
        <f ca="1"/>
      </c>
      <c r="BJ332">
        <f ca="1"/>
      </c>
      <c r="BK332">
        <f ca="1"/>
      </c>
      <c r="BM332" s="7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T332" s="7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F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F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B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</row>
    <row r="333" spans="45:182" x14ac:dyDescent="0.55000000000000004">
      <c r="AS333">
        <f ca="1"/>
      </c>
      <c r="AT333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AZ333">
        <f ca="1"/>
      </c>
      <c r="BA333">
        <f ca="1"/>
      </c>
      <c r="BB333">
        <f ca="1"/>
      </c>
      <c r="BF333" s="7">
        <f ca="1"/>
      </c>
      <c r="BG333">
        <f ca="1"/>
      </c>
      <c r="BH333">
        <f ca="1"/>
      </c>
      <c r="BI333">
        <f ca="1"/>
      </c>
      <c r="BJ333">
        <f ca="1"/>
      </c>
      <c r="BK333">
        <f ca="1"/>
      </c>
      <c r="BM333" s="7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T333" s="7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F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F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B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</row>
    <row r="334" spans="45:182" x14ac:dyDescent="0.55000000000000004">
      <c r="AS334">
        <f ca="1"/>
      </c>
      <c r="AT334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AZ334">
        <f ca="1"/>
      </c>
      <c r="BA334">
        <f ca="1"/>
      </c>
      <c r="BB334">
        <f ca="1"/>
      </c>
      <c r="BF334" s="7">
        <f ca="1"/>
      </c>
      <c r="BG334">
        <f ca="1"/>
      </c>
      <c r="BH334">
        <f ca="1"/>
      </c>
      <c r="BI334">
        <f ca="1"/>
      </c>
      <c r="BJ334">
        <f ca="1"/>
      </c>
      <c r="BK334">
        <f ca="1"/>
      </c>
      <c r="BM334" s="7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T334" s="7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F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F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B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</row>
    <row r="335" spans="45:182" x14ac:dyDescent="0.55000000000000004">
      <c r="AS335">
        <f ca="1"/>
      </c>
      <c r="AT335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AZ335">
        <f ca="1"/>
      </c>
      <c r="BA335">
        <f ca="1"/>
      </c>
      <c r="BB335">
        <f ca="1"/>
      </c>
      <c r="BF335" s="7">
        <f ca="1"/>
      </c>
      <c r="BG335">
        <f ca="1"/>
      </c>
      <c r="BH335">
        <f ca="1"/>
      </c>
      <c r="BI335">
        <f ca="1"/>
      </c>
      <c r="BJ335">
        <f ca="1"/>
      </c>
      <c r="BK335">
        <f ca="1"/>
      </c>
      <c r="BM335" s="7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T335" s="7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F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F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B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</row>
    <row r="336" spans="45:182" x14ac:dyDescent="0.55000000000000004">
      <c r="AS336">
        <f ca="1"/>
      </c>
      <c r="AT336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AZ336">
        <f ca="1"/>
      </c>
      <c r="BA336">
        <f ca="1"/>
      </c>
      <c r="BB336">
        <f ca="1"/>
      </c>
      <c r="BF336" s="7">
        <f ca="1"/>
      </c>
      <c r="BG336">
        <f ca="1"/>
      </c>
      <c r="BH336">
        <f ca="1"/>
      </c>
      <c r="BI336">
        <f ca="1"/>
      </c>
      <c r="BJ336">
        <f ca="1"/>
      </c>
      <c r="BK336">
        <f ca="1"/>
      </c>
      <c r="BM336" s="7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T336" s="7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F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F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B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</row>
    <row r="337" spans="45:182" x14ac:dyDescent="0.55000000000000004">
      <c r="AS337">
        <f ca="1"/>
      </c>
      <c r="AT33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AZ337">
        <f ca="1"/>
      </c>
      <c r="BA337">
        <f ca="1"/>
      </c>
      <c r="BB337">
        <f ca="1"/>
      </c>
      <c r="BF337" s="7">
        <f ca="1"/>
      </c>
      <c r="BG337">
        <f ca="1"/>
      </c>
      <c r="BH337">
        <f ca="1"/>
      </c>
      <c r="BI337">
        <f ca="1"/>
      </c>
      <c r="BJ337">
        <f ca="1"/>
      </c>
      <c r="BK337">
        <f ca="1"/>
      </c>
      <c r="BM337" s="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T337" s="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F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F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B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</row>
    <row r="338" spans="45:182" x14ac:dyDescent="0.55000000000000004">
      <c r="AS338">
        <f ca="1"/>
      </c>
      <c r="AT338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AZ338">
        <f ca="1"/>
      </c>
      <c r="BA338">
        <f ca="1"/>
      </c>
      <c r="BB338">
        <f ca="1"/>
      </c>
      <c r="BF338" s="7">
        <f ca="1"/>
      </c>
      <c r="BG338">
        <f ca="1"/>
      </c>
      <c r="BH338">
        <f ca="1"/>
      </c>
      <c r="BI338">
        <f ca="1"/>
      </c>
      <c r="BJ338">
        <f ca="1"/>
      </c>
      <c r="BK338">
        <f ca="1"/>
      </c>
      <c r="BM338" s="7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T338" s="7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F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F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B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</row>
    <row r="339" spans="45:182" x14ac:dyDescent="0.55000000000000004">
      <c r="AS339">
        <f ca="1"/>
      </c>
      <c r="AT339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AZ339">
        <f ca="1"/>
      </c>
      <c r="BA339">
        <f ca="1"/>
      </c>
      <c r="BB339">
        <f ca="1"/>
      </c>
      <c r="BF339" s="7">
        <f ca="1"/>
      </c>
      <c r="BG339">
        <f ca="1"/>
      </c>
      <c r="BH339">
        <f ca="1"/>
      </c>
      <c r="BI339">
        <f ca="1"/>
      </c>
      <c r="BJ339">
        <f ca="1"/>
      </c>
      <c r="BK339">
        <f ca="1"/>
      </c>
      <c r="BM339" s="7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T339" s="7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F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F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B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</row>
    <row r="340" spans="45:182" x14ac:dyDescent="0.55000000000000004">
      <c r="AS340">
        <f ca="1"/>
      </c>
      <c r="AT340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AZ340">
        <f ca="1"/>
      </c>
      <c r="BA340">
        <f ca="1"/>
      </c>
      <c r="BB340">
        <f ca="1"/>
      </c>
      <c r="BF340" s="7">
        <f ca="1"/>
      </c>
      <c r="BG340">
        <f ca="1"/>
      </c>
      <c r="BH340">
        <f ca="1"/>
      </c>
      <c r="BI340">
        <f ca="1"/>
      </c>
      <c r="BJ340">
        <f ca="1"/>
      </c>
      <c r="BK340">
        <f ca="1"/>
      </c>
      <c r="BM340" s="7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T340" s="7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F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F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B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</row>
    <row r="341" spans="45:182" x14ac:dyDescent="0.55000000000000004">
      <c r="AS341">
        <f ca="1"/>
      </c>
      <c r="AT341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AZ341">
        <f ca="1"/>
      </c>
      <c r="BA341">
        <f ca="1"/>
      </c>
      <c r="BB341">
        <f ca="1"/>
      </c>
      <c r="BF341" s="7">
        <f ca="1"/>
      </c>
      <c r="BG341">
        <f ca="1"/>
      </c>
      <c r="BH341">
        <f ca="1"/>
      </c>
      <c r="BI341">
        <f ca="1"/>
      </c>
      <c r="BJ341">
        <f ca="1"/>
      </c>
      <c r="BK341">
        <f ca="1"/>
      </c>
      <c r="BM341" s="7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T341" s="7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F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F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B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</row>
    <row r="342" spans="45:182" x14ac:dyDescent="0.55000000000000004">
      <c r="AS342">
        <f ca="1"/>
      </c>
      <c r="AT342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AZ342">
        <f ca="1"/>
      </c>
      <c r="BA342">
        <f ca="1"/>
      </c>
      <c r="BB342">
        <f ca="1"/>
      </c>
      <c r="BF342" s="7">
        <f ca="1"/>
      </c>
      <c r="BG342">
        <f ca="1"/>
      </c>
      <c r="BH342">
        <f ca="1"/>
      </c>
      <c r="BI342">
        <f ca="1"/>
      </c>
      <c r="BJ342">
        <f ca="1"/>
      </c>
      <c r="BK342">
        <f ca="1"/>
      </c>
      <c r="BM342" s="7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T342" s="7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F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F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B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</row>
    <row r="343" spans="45:182" x14ac:dyDescent="0.55000000000000004">
      <c r="AS343">
        <f ca="1"/>
      </c>
      <c r="AT343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AZ343">
        <f ca="1"/>
      </c>
      <c r="BA343">
        <f ca="1"/>
      </c>
      <c r="BB343">
        <f ca="1"/>
      </c>
      <c r="BF343" s="7">
        <f ca="1"/>
      </c>
      <c r="BG343">
        <f ca="1"/>
      </c>
      <c r="BH343">
        <f ca="1"/>
      </c>
      <c r="BI343">
        <f ca="1"/>
      </c>
      <c r="BJ343">
        <f ca="1"/>
      </c>
      <c r="BK343">
        <f ca="1"/>
      </c>
      <c r="BM343" s="7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T343" s="7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F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F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B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</row>
    <row r="344" spans="45:182" x14ac:dyDescent="0.55000000000000004">
      <c r="AS344">
        <f ca="1"/>
      </c>
      <c r="AT344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AZ344">
        <f ca="1"/>
      </c>
      <c r="BA344">
        <f ca="1"/>
      </c>
      <c r="BB344">
        <f ca="1"/>
      </c>
      <c r="BF344" s="7">
        <f ca="1"/>
      </c>
      <c r="BG344">
        <f ca="1"/>
      </c>
      <c r="BH344">
        <f ca="1"/>
      </c>
      <c r="BI344">
        <f ca="1"/>
      </c>
      <c r="BJ344">
        <f ca="1"/>
      </c>
      <c r="BK344">
        <f ca="1"/>
      </c>
      <c r="BM344" s="7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T344" s="7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F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F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B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</row>
    <row r="345" spans="45:182" x14ac:dyDescent="0.55000000000000004">
      <c r="AS345">
        <f ca="1"/>
      </c>
      <c r="AT345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AZ345">
        <f ca="1"/>
      </c>
      <c r="BA345">
        <f ca="1"/>
      </c>
      <c r="BB345">
        <f ca="1"/>
      </c>
      <c r="BF345" s="7">
        <f ca="1"/>
      </c>
      <c r="BG345">
        <f ca="1"/>
      </c>
      <c r="BH345">
        <f ca="1"/>
      </c>
      <c r="BI345">
        <f ca="1"/>
      </c>
      <c r="BJ345">
        <f ca="1"/>
      </c>
      <c r="BK345">
        <f ca="1"/>
      </c>
      <c r="BM345" s="7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T345" s="7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F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F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B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</row>
    <row r="346" spans="45:182" x14ac:dyDescent="0.55000000000000004">
      <c r="AS346">
        <f ca="1"/>
      </c>
      <c r="AT346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AZ346">
        <f ca="1"/>
      </c>
      <c r="BA346">
        <f ca="1"/>
      </c>
      <c r="BB346">
        <f ca="1"/>
      </c>
      <c r="BF346" s="7">
        <f ca="1"/>
      </c>
      <c r="BG346">
        <f ca="1"/>
      </c>
      <c r="BH346">
        <f ca="1"/>
      </c>
      <c r="BI346">
        <f ca="1"/>
      </c>
      <c r="BJ346">
        <f ca="1"/>
      </c>
      <c r="BK346">
        <f ca="1"/>
      </c>
      <c r="BM346" s="7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T346" s="7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F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F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B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</row>
    <row r="347" spans="45:182" x14ac:dyDescent="0.55000000000000004">
      <c r="AS347">
        <f ca="1"/>
      </c>
      <c r="AT34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AZ347">
        <f ca="1"/>
      </c>
      <c r="BA347">
        <f ca="1"/>
      </c>
      <c r="BB347">
        <f ca="1"/>
      </c>
      <c r="BF347" s="7">
        <f ca="1"/>
      </c>
      <c r="BG347">
        <f ca="1"/>
      </c>
      <c r="BH347">
        <f ca="1"/>
      </c>
      <c r="BI347">
        <f ca="1"/>
      </c>
      <c r="BJ347">
        <f ca="1"/>
      </c>
      <c r="BK347">
        <f ca="1"/>
      </c>
      <c r="BM347" s="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T347" s="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F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F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B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</row>
    <row r="348" spans="45:182" x14ac:dyDescent="0.55000000000000004">
      <c r="AS348">
        <f ca="1"/>
      </c>
      <c r="AT348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AZ348">
        <f ca="1"/>
      </c>
      <c r="BA348">
        <f ca="1"/>
      </c>
      <c r="BB348">
        <f ca="1"/>
      </c>
      <c r="BF348" s="7">
        <f ca="1"/>
      </c>
      <c r="BG348">
        <f ca="1"/>
      </c>
      <c r="BH348">
        <f ca="1"/>
      </c>
      <c r="BI348">
        <f ca="1"/>
      </c>
      <c r="BJ348">
        <f ca="1"/>
      </c>
      <c r="BK348">
        <f ca="1"/>
      </c>
      <c r="BM348" s="7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T348" s="7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F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F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B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</row>
    <row r="349" spans="45:182" x14ac:dyDescent="0.55000000000000004">
      <c r="AS349">
        <f ca="1"/>
      </c>
      <c r="AT349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AZ349">
        <f ca="1"/>
      </c>
      <c r="BA349">
        <f ca="1"/>
      </c>
      <c r="BB349">
        <f ca="1"/>
      </c>
      <c r="BF349" s="7">
        <f ca="1"/>
      </c>
      <c r="BG349">
        <f ca="1"/>
      </c>
      <c r="BH349">
        <f ca="1"/>
      </c>
      <c r="BI349">
        <f ca="1"/>
      </c>
      <c r="BJ349">
        <f ca="1"/>
      </c>
      <c r="BK349">
        <f ca="1"/>
      </c>
      <c r="BM349" s="7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T349" s="7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F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F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B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</row>
    <row r="350" spans="45:182" x14ac:dyDescent="0.55000000000000004">
      <c r="AS350">
        <f ca="1"/>
      </c>
      <c r="AT350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AZ350">
        <f ca="1"/>
      </c>
      <c r="BA350">
        <f ca="1"/>
      </c>
      <c r="BB350">
        <f ca="1"/>
      </c>
      <c r="BF350" s="7">
        <f ca="1"/>
      </c>
      <c r="BG350">
        <f ca="1"/>
      </c>
      <c r="BH350">
        <f ca="1"/>
      </c>
      <c r="BI350">
        <f ca="1"/>
      </c>
      <c r="BJ350">
        <f ca="1"/>
      </c>
      <c r="BK350">
        <f ca="1"/>
      </c>
      <c r="BM350" s="7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T350" s="7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F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F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B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</row>
    <row r="351" spans="45:182" x14ac:dyDescent="0.55000000000000004">
      <c r="AS351">
        <f ca="1"/>
      </c>
      <c r="AT351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AZ351">
        <f ca="1"/>
      </c>
      <c r="BA351">
        <f ca="1"/>
      </c>
      <c r="BB351">
        <f ca="1"/>
      </c>
      <c r="BF351" s="7">
        <f ca="1"/>
      </c>
      <c r="BG351">
        <f ca="1"/>
      </c>
      <c r="BH351">
        <f ca="1"/>
      </c>
      <c r="BI351">
        <f ca="1"/>
      </c>
      <c r="BJ351">
        <f ca="1"/>
      </c>
      <c r="BK351">
        <f ca="1"/>
      </c>
      <c r="BM351" s="7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T351" s="7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F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F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B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</row>
    <row r="352" spans="45:182" x14ac:dyDescent="0.55000000000000004">
      <c r="AS352">
        <f ca="1"/>
      </c>
      <c r="AT352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AZ352">
        <f ca="1"/>
      </c>
      <c r="BA352">
        <f ca="1"/>
      </c>
      <c r="BB352">
        <f ca="1"/>
      </c>
      <c r="BF352" s="7">
        <f ca="1"/>
      </c>
      <c r="BG352">
        <f ca="1"/>
      </c>
      <c r="BH352">
        <f ca="1"/>
      </c>
      <c r="BI352">
        <f ca="1"/>
      </c>
      <c r="BJ352">
        <f ca="1"/>
      </c>
      <c r="BK352">
        <f ca="1"/>
      </c>
      <c r="BM352" s="7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T352" s="7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F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F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B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</row>
    <row r="353" spans="45:182" x14ac:dyDescent="0.55000000000000004">
      <c r="AS353">
        <f ca="1"/>
      </c>
      <c r="AT353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AZ353">
        <f ca="1"/>
      </c>
      <c r="BA353">
        <f ca="1"/>
      </c>
      <c r="BB353">
        <f ca="1"/>
      </c>
      <c r="BF353" s="7">
        <f ca="1"/>
      </c>
      <c r="BG353">
        <f ca="1"/>
      </c>
      <c r="BH353">
        <f ca="1"/>
      </c>
      <c r="BI353">
        <f ca="1"/>
      </c>
      <c r="BJ353">
        <f ca="1"/>
      </c>
      <c r="BK353">
        <f ca="1"/>
      </c>
      <c r="BM353" s="7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T353" s="7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F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F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B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</row>
    <row r="354" spans="45:182" x14ac:dyDescent="0.55000000000000004">
      <c r="AS354">
        <f ca="1"/>
      </c>
      <c r="AT354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AZ354">
        <f ca="1"/>
      </c>
      <c r="BA354">
        <f ca="1"/>
      </c>
      <c r="BB354">
        <f ca="1"/>
      </c>
      <c r="BF354" s="7">
        <f ca="1"/>
      </c>
      <c r="BG354">
        <f ca="1"/>
      </c>
      <c r="BH354">
        <f ca="1"/>
      </c>
      <c r="BI354">
        <f ca="1"/>
      </c>
      <c r="BJ354">
        <f ca="1"/>
      </c>
      <c r="BK354">
        <f ca="1"/>
      </c>
      <c r="BM354" s="7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T354" s="7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F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F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B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</row>
    <row r="355" spans="45:182" x14ac:dyDescent="0.55000000000000004">
      <c r="AS355">
        <f ca="1"/>
      </c>
      <c r="AT355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AZ355">
        <f ca="1"/>
      </c>
      <c r="BA355">
        <f ca="1"/>
      </c>
      <c r="BB355">
        <f ca="1"/>
      </c>
      <c r="BF355" s="7">
        <f ca="1"/>
      </c>
      <c r="BG355">
        <f ca="1"/>
      </c>
      <c r="BH355">
        <f ca="1"/>
      </c>
      <c r="BI355">
        <f ca="1"/>
      </c>
      <c r="BJ355">
        <f ca="1"/>
      </c>
      <c r="BK355">
        <f ca="1"/>
      </c>
      <c r="BM355" s="7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T355" s="7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F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F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B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</row>
    <row r="356" spans="45:182" x14ac:dyDescent="0.55000000000000004">
      <c r="AS356">
        <f ca="1"/>
      </c>
      <c r="AT356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AZ356">
        <f ca="1"/>
      </c>
      <c r="BA356">
        <f ca="1"/>
      </c>
      <c r="BB356">
        <f ca="1"/>
      </c>
      <c r="BF356" s="7">
        <f ca="1"/>
      </c>
      <c r="BG356">
        <f ca="1"/>
      </c>
      <c r="BH356">
        <f ca="1"/>
      </c>
      <c r="BI356">
        <f ca="1"/>
      </c>
      <c r="BJ356">
        <f ca="1"/>
      </c>
      <c r="BK356">
        <f ca="1"/>
      </c>
      <c r="BM356" s="7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T356" s="7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F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F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B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</row>
    <row r="357" spans="45:182" x14ac:dyDescent="0.55000000000000004">
      <c r="AS357">
        <f ca="1"/>
      </c>
      <c r="AT35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AZ357">
        <f ca="1"/>
      </c>
      <c r="BA357">
        <f ca="1"/>
      </c>
      <c r="BB357">
        <f ca="1"/>
      </c>
      <c r="BF357" s="7">
        <f ca="1"/>
      </c>
      <c r="BG357">
        <f ca="1"/>
      </c>
      <c r="BH357">
        <f ca="1"/>
      </c>
      <c r="BI357">
        <f ca="1"/>
      </c>
      <c r="BJ357">
        <f ca="1"/>
      </c>
      <c r="BK357">
        <f ca="1"/>
      </c>
      <c r="BM357" s="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T357" s="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F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F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B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</row>
    <row r="358" spans="45:182" x14ac:dyDescent="0.55000000000000004">
      <c r="AS358">
        <f ca="1"/>
      </c>
      <c r="AT358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AZ358">
        <f ca="1"/>
      </c>
      <c r="BA358">
        <f ca="1"/>
      </c>
      <c r="BB358">
        <f ca="1"/>
      </c>
      <c r="BF358" s="7">
        <f ca="1"/>
      </c>
      <c r="BG358">
        <f ca="1"/>
      </c>
      <c r="BH358">
        <f ca="1"/>
      </c>
      <c r="BI358">
        <f ca="1"/>
      </c>
      <c r="BJ358">
        <f ca="1"/>
      </c>
      <c r="BK358">
        <f ca="1"/>
      </c>
      <c r="BM358" s="7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T358" s="7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F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F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B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</row>
    <row r="359" spans="45:182" x14ac:dyDescent="0.55000000000000004">
      <c r="AS359">
        <f ca="1"/>
      </c>
      <c r="AT359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AZ359">
        <f ca="1"/>
      </c>
      <c r="BA359">
        <f ca="1"/>
      </c>
      <c r="BB359">
        <f ca="1"/>
      </c>
      <c r="BF359" s="7">
        <f ca="1"/>
      </c>
      <c r="BG359">
        <f ca="1"/>
      </c>
      <c r="BH359">
        <f ca="1"/>
      </c>
      <c r="BI359">
        <f ca="1"/>
      </c>
      <c r="BJ359">
        <f ca="1"/>
      </c>
      <c r="BK359">
        <f ca="1"/>
      </c>
      <c r="BM359" s="7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T359" s="7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F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F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B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</row>
    <row r="360" spans="45:182" x14ac:dyDescent="0.55000000000000004">
      <c r="AS360">
        <f ca="1"/>
      </c>
      <c r="AT360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AZ360">
        <f ca="1"/>
      </c>
      <c r="BA360">
        <f ca="1"/>
      </c>
      <c r="BB360">
        <f ca="1"/>
      </c>
      <c r="BF360" s="7">
        <f ca="1"/>
      </c>
      <c r="BG360">
        <f ca="1"/>
      </c>
      <c r="BH360">
        <f ca="1"/>
      </c>
      <c r="BI360">
        <f ca="1"/>
      </c>
      <c r="BJ360">
        <f ca="1"/>
      </c>
      <c r="BK360">
        <f ca="1"/>
      </c>
      <c r="BM360" s="7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T360" s="7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F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F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B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</row>
    <row r="361" spans="45:182" x14ac:dyDescent="0.55000000000000004">
      <c r="AS361">
        <f ca="1"/>
      </c>
      <c r="AT361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AZ361">
        <f ca="1"/>
      </c>
      <c r="BA361">
        <f ca="1"/>
      </c>
      <c r="BB361">
        <f ca="1"/>
      </c>
      <c r="BF361" s="7">
        <f ca="1"/>
      </c>
      <c r="BG361">
        <f ca="1"/>
      </c>
      <c r="BH361">
        <f ca="1"/>
      </c>
      <c r="BI361">
        <f ca="1"/>
      </c>
      <c r="BJ361">
        <f ca="1"/>
      </c>
      <c r="BK361">
        <f ca="1"/>
      </c>
      <c r="BM361" s="7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T361" s="7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F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F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B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</row>
    <row r="362" spans="45:182" x14ac:dyDescent="0.55000000000000004">
      <c r="AS362">
        <f ca="1"/>
      </c>
      <c r="AT362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AZ362">
        <f ca="1"/>
      </c>
      <c r="BA362">
        <f ca="1"/>
      </c>
      <c r="BB362">
        <f ca="1"/>
      </c>
      <c r="BF362" s="7">
        <f ca="1"/>
      </c>
      <c r="BG362">
        <f ca="1"/>
      </c>
      <c r="BH362">
        <f ca="1"/>
      </c>
      <c r="BI362">
        <f ca="1"/>
      </c>
      <c r="BJ362">
        <f ca="1"/>
      </c>
      <c r="BK362">
        <f ca="1"/>
      </c>
      <c r="BM362" s="7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T362" s="7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F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F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B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</row>
    <row r="363" spans="45:182" x14ac:dyDescent="0.55000000000000004">
      <c r="AS363">
        <f ca="1"/>
      </c>
      <c r="AT363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AZ363">
        <f ca="1"/>
      </c>
      <c r="BA363">
        <f ca="1"/>
      </c>
      <c r="BB363">
        <f ca="1"/>
      </c>
      <c r="BF363" s="7">
        <f ca="1"/>
      </c>
      <c r="BG363">
        <f ca="1"/>
      </c>
      <c r="BH363">
        <f ca="1"/>
      </c>
      <c r="BI363">
        <f ca="1"/>
      </c>
      <c r="BJ363">
        <f ca="1"/>
      </c>
      <c r="BK363">
        <f ca="1"/>
      </c>
      <c r="BM363" s="7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T363" s="7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F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F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B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</row>
    <row r="364" spans="45:182" x14ac:dyDescent="0.55000000000000004">
      <c r="AS364">
        <f ca="1"/>
      </c>
      <c r="AT364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AZ364">
        <f ca="1"/>
      </c>
      <c r="BA364">
        <f ca="1"/>
      </c>
      <c r="BB364">
        <f ca="1"/>
      </c>
      <c r="BF364" s="7">
        <f ca="1"/>
      </c>
      <c r="BG364">
        <f ca="1"/>
      </c>
      <c r="BH364">
        <f ca="1"/>
      </c>
      <c r="BI364">
        <f ca="1"/>
      </c>
      <c r="BJ364">
        <f ca="1"/>
      </c>
      <c r="BK364">
        <f ca="1"/>
      </c>
      <c r="BM364" s="7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T364" s="7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F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F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B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</row>
    <row r="365" spans="45:182" x14ac:dyDescent="0.55000000000000004">
      <c r="AS365">
        <f ca="1"/>
      </c>
      <c r="AT365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AZ365">
        <f ca="1"/>
      </c>
      <c r="BA365">
        <f ca="1"/>
      </c>
      <c r="BB365">
        <f ca="1"/>
      </c>
      <c r="BF365" s="7">
        <f ca="1"/>
      </c>
      <c r="BG365">
        <f ca="1"/>
      </c>
      <c r="BH365">
        <f ca="1"/>
      </c>
      <c r="BI365">
        <f ca="1"/>
      </c>
      <c r="BJ365">
        <f ca="1"/>
      </c>
      <c r="BK365">
        <f ca="1"/>
      </c>
      <c r="BM365" s="7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T365" s="7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F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F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B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</row>
    <row r="366" spans="45:182" x14ac:dyDescent="0.55000000000000004">
      <c r="AS366">
        <f ca="1"/>
      </c>
      <c r="AT366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AZ366">
        <f ca="1"/>
      </c>
      <c r="BA366">
        <f ca="1"/>
      </c>
      <c r="BB366">
        <f ca="1"/>
      </c>
      <c r="BF366" s="7">
        <f ca="1"/>
      </c>
      <c r="BG366">
        <f ca="1"/>
      </c>
      <c r="BH366">
        <f ca="1"/>
      </c>
      <c r="BI366">
        <f ca="1"/>
      </c>
      <c r="BJ366">
        <f ca="1"/>
      </c>
      <c r="BK366">
        <f ca="1"/>
      </c>
      <c r="BM366" s="7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T366" s="7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F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F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B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</row>
    <row r="367" spans="45:182" x14ac:dyDescent="0.55000000000000004">
      <c r="AS367">
        <f ca="1"/>
      </c>
      <c r="AT36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AZ367">
        <f ca="1"/>
      </c>
      <c r="BA367">
        <f ca="1"/>
      </c>
      <c r="BB367">
        <f ca="1"/>
      </c>
      <c r="BF367" s="7">
        <f ca="1"/>
      </c>
      <c r="BG367">
        <f ca="1"/>
      </c>
      <c r="BH367">
        <f ca="1"/>
      </c>
      <c r="BI367">
        <f ca="1"/>
      </c>
      <c r="BJ367">
        <f ca="1"/>
      </c>
      <c r="BK367">
        <f ca="1"/>
      </c>
      <c r="BM367" s="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T367" s="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F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F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B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</row>
    <row r="368" spans="45:182" x14ac:dyDescent="0.55000000000000004">
      <c r="AS368">
        <f ca="1"/>
      </c>
      <c r="AT368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AZ368">
        <f ca="1"/>
      </c>
      <c r="BA368">
        <f ca="1"/>
      </c>
      <c r="BB368">
        <f ca="1"/>
      </c>
      <c r="BF368" s="7">
        <f ca="1"/>
      </c>
      <c r="BG368">
        <f ca="1"/>
      </c>
      <c r="BH368">
        <f ca="1"/>
      </c>
      <c r="BI368">
        <f ca="1"/>
      </c>
      <c r="BJ368">
        <f ca="1"/>
      </c>
      <c r="BK368">
        <f ca="1"/>
      </c>
      <c r="BM368" s="7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T368" s="7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F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F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B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</row>
    <row r="369" spans="45:182" x14ac:dyDescent="0.55000000000000004">
      <c r="AS369">
        <f ca="1"/>
      </c>
      <c r="AT369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AZ369">
        <f ca="1"/>
      </c>
      <c r="BA369">
        <f ca="1"/>
      </c>
      <c r="BB369">
        <f ca="1"/>
      </c>
      <c r="BF369" s="7">
        <f ca="1"/>
      </c>
      <c r="BG369">
        <f ca="1"/>
      </c>
      <c r="BH369">
        <f ca="1"/>
      </c>
      <c r="BI369">
        <f ca="1"/>
      </c>
      <c r="BJ369">
        <f ca="1"/>
      </c>
      <c r="BK369">
        <f ca="1"/>
      </c>
      <c r="BM369" s="7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T369" s="7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F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F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B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</row>
    <row r="370" spans="45:182" x14ac:dyDescent="0.55000000000000004">
      <c r="AS370">
        <f ca="1"/>
      </c>
      <c r="AT370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AZ370">
        <f ca="1"/>
      </c>
      <c r="BA370">
        <f ca="1"/>
      </c>
      <c r="BB370">
        <f ca="1"/>
      </c>
      <c r="BF370" s="7">
        <f ca="1"/>
      </c>
      <c r="BG370">
        <f ca="1"/>
      </c>
      <c r="BH370">
        <f ca="1"/>
      </c>
      <c r="BI370">
        <f ca="1"/>
      </c>
      <c r="BJ370">
        <f ca="1"/>
      </c>
      <c r="BK370">
        <f ca="1"/>
      </c>
      <c r="BM370" s="7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T370" s="7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F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F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B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</row>
    <row r="371" spans="45:182" x14ac:dyDescent="0.55000000000000004">
      <c r="AS371">
        <f ca="1"/>
      </c>
      <c r="AT371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AZ371">
        <f ca="1"/>
      </c>
      <c r="BA371">
        <f ca="1"/>
      </c>
      <c r="BB371">
        <f ca="1"/>
      </c>
      <c r="BF371" s="7">
        <f ca="1"/>
      </c>
      <c r="BG371">
        <f ca="1"/>
      </c>
      <c r="BH371">
        <f ca="1"/>
      </c>
      <c r="BI371">
        <f ca="1"/>
      </c>
      <c r="BJ371">
        <f ca="1"/>
      </c>
      <c r="BK371">
        <f ca="1"/>
      </c>
      <c r="BM371" s="7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T371" s="7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F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F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B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</row>
    <row r="372" spans="45:182" x14ac:dyDescent="0.55000000000000004">
      <c r="AS372">
        <f ca="1"/>
      </c>
      <c r="AT372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AZ372">
        <f ca="1"/>
      </c>
      <c r="BA372">
        <f ca="1"/>
      </c>
      <c r="BB372">
        <f ca="1"/>
      </c>
      <c r="BF372" s="7">
        <f ca="1"/>
      </c>
      <c r="BG372">
        <f ca="1"/>
      </c>
      <c r="BH372">
        <f ca="1"/>
      </c>
      <c r="BI372">
        <f ca="1"/>
      </c>
      <c r="BJ372">
        <f ca="1"/>
      </c>
      <c r="BK372">
        <f ca="1"/>
      </c>
      <c r="BM372" s="7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T372" s="7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F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F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B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</row>
    <row r="373" spans="45:182" x14ac:dyDescent="0.55000000000000004">
      <c r="AS373">
        <f ca="1"/>
      </c>
      <c r="AT373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AZ373">
        <f ca="1"/>
      </c>
      <c r="BA373">
        <f ca="1"/>
      </c>
      <c r="BB373">
        <f ca="1"/>
      </c>
      <c r="BF373" s="7">
        <f ca="1"/>
      </c>
      <c r="BG373">
        <f ca="1"/>
      </c>
      <c r="BH373">
        <f ca="1"/>
      </c>
      <c r="BI373">
        <f ca="1"/>
      </c>
      <c r="BJ373">
        <f ca="1"/>
      </c>
      <c r="BK373">
        <f ca="1"/>
      </c>
      <c r="BM373" s="7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T373" s="7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F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F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B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</row>
    <row r="374" spans="45:182" x14ac:dyDescent="0.55000000000000004">
      <c r="AS374">
        <f ca="1"/>
      </c>
      <c r="AT374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AZ374">
        <f ca="1"/>
      </c>
      <c r="BA374">
        <f ca="1"/>
      </c>
      <c r="BB374">
        <f ca="1"/>
      </c>
      <c r="BF374" s="7">
        <f ca="1"/>
      </c>
      <c r="BG374">
        <f ca="1"/>
      </c>
      <c r="BH374">
        <f ca="1"/>
      </c>
      <c r="BI374">
        <f ca="1"/>
      </c>
      <c r="BJ374">
        <f ca="1"/>
      </c>
      <c r="BK374">
        <f ca="1"/>
      </c>
      <c r="BM374" s="7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T374" s="7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F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F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B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</row>
    <row r="375" spans="45:182" x14ac:dyDescent="0.55000000000000004">
      <c r="AS375">
        <f ca="1"/>
      </c>
      <c r="AT375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AZ375">
        <f ca="1"/>
      </c>
      <c r="BA375">
        <f ca="1"/>
      </c>
      <c r="BB375">
        <f ca="1"/>
      </c>
      <c r="BF375" s="7">
        <f ca="1"/>
      </c>
      <c r="BG375">
        <f ca="1"/>
      </c>
      <c r="BH375">
        <f ca="1"/>
      </c>
      <c r="BI375">
        <f ca="1"/>
      </c>
      <c r="BJ375">
        <f ca="1"/>
      </c>
      <c r="BK375">
        <f ca="1"/>
      </c>
      <c r="BM375" s="7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T375" s="7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F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F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B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</row>
    <row r="376" spans="45:182" x14ac:dyDescent="0.55000000000000004">
      <c r="AS376">
        <f ca="1"/>
      </c>
      <c r="AT376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AZ376">
        <f ca="1"/>
      </c>
      <c r="BA376">
        <f ca="1"/>
      </c>
      <c r="BB376">
        <f ca="1"/>
      </c>
      <c r="BF376" s="7">
        <f ca="1"/>
      </c>
      <c r="BG376">
        <f ca="1"/>
      </c>
      <c r="BH376">
        <f ca="1"/>
      </c>
      <c r="BI376">
        <f ca="1"/>
      </c>
      <c r="BJ376">
        <f ca="1"/>
      </c>
      <c r="BK376">
        <f ca="1"/>
      </c>
      <c r="BM376" s="7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T376" s="7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F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F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B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</row>
    <row r="377" spans="45:182" x14ac:dyDescent="0.55000000000000004">
      <c r="AS377">
        <f ca="1"/>
      </c>
      <c r="AT37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AZ377">
        <f ca="1"/>
      </c>
      <c r="BA377">
        <f ca="1"/>
      </c>
      <c r="BB377">
        <f ca="1"/>
      </c>
      <c r="BF377" s="7">
        <f ca="1"/>
      </c>
      <c r="BG377">
        <f ca="1"/>
      </c>
      <c r="BH377">
        <f ca="1"/>
      </c>
      <c r="BI377">
        <f ca="1"/>
      </c>
      <c r="BJ377">
        <f ca="1"/>
      </c>
      <c r="BK377">
        <f ca="1"/>
      </c>
      <c r="BM377" s="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T377" s="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F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F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B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</row>
    <row r="378" spans="45:182" x14ac:dyDescent="0.55000000000000004">
      <c r="AS378">
        <f ca="1"/>
      </c>
      <c r="AT378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AZ378">
        <f ca="1"/>
      </c>
      <c r="BA378">
        <f ca="1"/>
      </c>
      <c r="BB378">
        <f ca="1"/>
      </c>
      <c r="BF378" s="7">
        <f ca="1"/>
      </c>
      <c r="BG378">
        <f ca="1"/>
      </c>
      <c r="BH378">
        <f ca="1"/>
      </c>
      <c r="BI378">
        <f ca="1"/>
      </c>
      <c r="BJ378">
        <f ca="1"/>
      </c>
      <c r="BK378">
        <f ca="1"/>
      </c>
      <c r="BM378" s="7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T378" s="7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F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F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B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</row>
    <row r="379" spans="45:182" x14ac:dyDescent="0.55000000000000004">
      <c r="AS379">
        <f ca="1"/>
      </c>
      <c r="AT379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AZ379">
        <f ca="1"/>
      </c>
      <c r="BA379">
        <f ca="1"/>
      </c>
      <c r="BB379">
        <f ca="1"/>
      </c>
      <c r="BF379" s="7">
        <f ca="1"/>
      </c>
      <c r="BG379">
        <f ca="1"/>
      </c>
      <c r="BH379">
        <f ca="1"/>
      </c>
      <c r="BI379">
        <f ca="1"/>
      </c>
      <c r="BJ379">
        <f ca="1"/>
      </c>
      <c r="BK379">
        <f ca="1"/>
      </c>
      <c r="BM379" s="7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T379" s="7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F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F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B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</row>
    <row r="380" spans="45:182" x14ac:dyDescent="0.55000000000000004">
      <c r="AS380">
        <f ca="1"/>
      </c>
      <c r="AT380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AZ380">
        <f ca="1"/>
      </c>
      <c r="BA380">
        <f ca="1"/>
      </c>
      <c r="BB380">
        <f ca="1"/>
      </c>
      <c r="BF380" s="7">
        <f ca="1"/>
      </c>
      <c r="BG380">
        <f ca="1"/>
      </c>
      <c r="BH380">
        <f ca="1"/>
      </c>
      <c r="BI380">
        <f ca="1"/>
      </c>
      <c r="BJ380">
        <f ca="1"/>
      </c>
      <c r="BK380">
        <f ca="1"/>
      </c>
      <c r="BM380" s="7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T380" s="7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F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F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B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</row>
    <row r="381" spans="45:182" x14ac:dyDescent="0.55000000000000004">
      <c r="AS381">
        <f ca="1"/>
      </c>
      <c r="AT381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AZ381">
        <f ca="1"/>
      </c>
      <c r="BA381">
        <f ca="1"/>
      </c>
      <c r="BB381">
        <f ca="1"/>
      </c>
      <c r="BF381" s="7">
        <f ca="1"/>
      </c>
      <c r="BG381">
        <f ca="1"/>
      </c>
      <c r="BH381">
        <f ca="1"/>
      </c>
      <c r="BI381">
        <f ca="1"/>
      </c>
      <c r="BJ381">
        <f ca="1"/>
      </c>
      <c r="BK381">
        <f ca="1"/>
      </c>
      <c r="BM381" s="7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T381" s="7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F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F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B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</row>
    <row r="382" spans="45:182" x14ac:dyDescent="0.55000000000000004">
      <c r="AS382">
        <f ca="1"/>
      </c>
      <c r="AT382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AZ382">
        <f ca="1"/>
      </c>
      <c r="BA382">
        <f ca="1"/>
      </c>
      <c r="BB382">
        <f ca="1"/>
      </c>
      <c r="BF382" s="7">
        <f ca="1"/>
      </c>
      <c r="BG382">
        <f ca="1"/>
      </c>
      <c r="BH382">
        <f ca="1"/>
      </c>
      <c r="BI382">
        <f ca="1"/>
      </c>
      <c r="BJ382">
        <f ca="1"/>
      </c>
      <c r="BK382">
        <f ca="1"/>
      </c>
      <c r="BM382" s="7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T382" s="7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F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F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B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</row>
    <row r="383" spans="45:182" x14ac:dyDescent="0.55000000000000004">
      <c r="AS383">
        <f ca="1"/>
      </c>
      <c r="AT383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AZ383">
        <f ca="1"/>
      </c>
      <c r="BA383">
        <f ca="1"/>
      </c>
      <c r="BB383">
        <f ca="1"/>
      </c>
      <c r="BF383" s="7">
        <f ca="1"/>
      </c>
      <c r="BG383">
        <f ca="1"/>
      </c>
      <c r="BH383">
        <f ca="1"/>
      </c>
      <c r="BI383">
        <f ca="1"/>
      </c>
      <c r="BJ383">
        <f ca="1"/>
      </c>
      <c r="BK383">
        <f ca="1"/>
      </c>
      <c r="BM383" s="7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T383" s="7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F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F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B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</row>
    <row r="384" spans="45:182" x14ac:dyDescent="0.55000000000000004">
      <c r="AS384">
        <f ca="1"/>
      </c>
      <c r="AT384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AZ384">
        <f ca="1"/>
      </c>
      <c r="BA384">
        <f ca="1"/>
      </c>
      <c r="BB384">
        <f ca="1"/>
      </c>
      <c r="BF384" s="7">
        <f ca="1"/>
      </c>
      <c r="BG384">
        <f ca="1"/>
      </c>
      <c r="BH384">
        <f ca="1"/>
      </c>
      <c r="BI384">
        <f ca="1"/>
      </c>
      <c r="BJ384">
        <f ca="1"/>
      </c>
      <c r="BK384">
        <f ca="1"/>
      </c>
      <c r="BM384" s="7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T384" s="7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F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F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B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</row>
    <row r="385" spans="45:182" x14ac:dyDescent="0.55000000000000004">
      <c r="AS385">
        <f ca="1"/>
      </c>
      <c r="AT385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AZ385">
        <f ca="1"/>
      </c>
      <c r="BA385">
        <f ca="1"/>
      </c>
      <c r="BB385">
        <f ca="1"/>
      </c>
      <c r="BF385" s="7">
        <f ca="1"/>
      </c>
      <c r="BG385">
        <f ca="1"/>
      </c>
      <c r="BH385">
        <f ca="1"/>
      </c>
      <c r="BI385">
        <f ca="1"/>
      </c>
      <c r="BJ385">
        <f ca="1"/>
      </c>
      <c r="BK385">
        <f ca="1"/>
      </c>
      <c r="BM385" s="7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T385" s="7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F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F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B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</row>
    <row r="386" spans="45:182" x14ac:dyDescent="0.55000000000000004">
      <c r="AS386">
        <f ca="1"/>
      </c>
      <c r="AT386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AZ386">
        <f ca="1"/>
      </c>
      <c r="BA386">
        <f ca="1"/>
      </c>
      <c r="BB386">
        <f ca="1"/>
      </c>
      <c r="BF386" s="7">
        <f ca="1"/>
      </c>
      <c r="BG386">
        <f ca="1"/>
      </c>
      <c r="BH386">
        <f ca="1"/>
      </c>
      <c r="BI386">
        <f ca="1"/>
      </c>
      <c r="BJ386">
        <f ca="1"/>
      </c>
      <c r="BK386">
        <f ca="1"/>
      </c>
      <c r="BM386" s="7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T386" s="7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F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F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B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</row>
    <row r="387" spans="45:182" x14ac:dyDescent="0.55000000000000004">
      <c r="AS387">
        <f ca="1"/>
      </c>
      <c r="AT38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AZ387">
        <f ca="1"/>
      </c>
      <c r="BA387">
        <f ca="1"/>
      </c>
      <c r="BB387">
        <f ca="1"/>
      </c>
      <c r="BF387" s="7">
        <f ca="1"/>
      </c>
      <c r="BG387">
        <f ca="1"/>
      </c>
      <c r="BH387">
        <f ca="1"/>
      </c>
      <c r="BI387">
        <f ca="1"/>
      </c>
      <c r="BJ387">
        <f ca="1"/>
      </c>
      <c r="BK387">
        <f ca="1"/>
      </c>
      <c r="BM387" s="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T387" s="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F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F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B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</row>
    <row r="388" spans="45:182" x14ac:dyDescent="0.55000000000000004">
      <c r="AS388">
        <f ca="1"/>
      </c>
      <c r="AT388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AZ388">
        <f ca="1"/>
      </c>
      <c r="BA388">
        <f ca="1"/>
      </c>
      <c r="BB388">
        <f ca="1"/>
      </c>
      <c r="BF388" s="7">
        <f ca="1"/>
      </c>
      <c r="BG388">
        <f ca="1"/>
      </c>
      <c r="BH388">
        <f ca="1"/>
      </c>
      <c r="BI388">
        <f ca="1"/>
      </c>
      <c r="BJ388">
        <f ca="1"/>
      </c>
      <c r="BK388">
        <f ca="1"/>
      </c>
      <c r="BM388" s="7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T388" s="7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F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F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B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</row>
    <row r="389" spans="45:182" x14ac:dyDescent="0.55000000000000004">
      <c r="AS389">
        <f ca="1"/>
      </c>
      <c r="AT389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AZ389">
        <f ca="1"/>
      </c>
      <c r="BA389">
        <f ca="1"/>
      </c>
      <c r="BB389">
        <f ca="1"/>
      </c>
      <c r="BF389" s="7">
        <f ca="1"/>
      </c>
      <c r="BG389">
        <f ca="1"/>
      </c>
      <c r="BH389">
        <f ca="1"/>
      </c>
      <c r="BI389">
        <f ca="1"/>
      </c>
      <c r="BJ389">
        <f ca="1"/>
      </c>
      <c r="BK389">
        <f ca="1"/>
      </c>
      <c r="BM389" s="7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T389" s="7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F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F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B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</row>
    <row r="390" spans="45:182" x14ac:dyDescent="0.55000000000000004">
      <c r="AS390">
        <f ca="1"/>
      </c>
      <c r="AT390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AZ390">
        <f ca="1"/>
      </c>
      <c r="BA390">
        <f ca="1"/>
      </c>
      <c r="BB390">
        <f ca="1"/>
      </c>
      <c r="BF390" s="7">
        <f ca="1"/>
      </c>
      <c r="BG390">
        <f ca="1"/>
      </c>
      <c r="BH390">
        <f ca="1"/>
      </c>
      <c r="BI390">
        <f ca="1"/>
      </c>
      <c r="BJ390">
        <f ca="1"/>
      </c>
      <c r="BK390">
        <f ca="1"/>
      </c>
      <c r="BM390" s="7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T390" s="7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F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F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B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</row>
    <row r="391" spans="45:182" x14ac:dyDescent="0.55000000000000004">
      <c r="AS391">
        <f ca="1"/>
      </c>
      <c r="AT391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AZ391">
        <f ca="1"/>
      </c>
      <c r="BA391">
        <f ca="1"/>
      </c>
      <c r="BB391">
        <f ca="1"/>
      </c>
      <c r="BF391" s="7">
        <f ca="1"/>
      </c>
      <c r="BG391">
        <f ca="1"/>
      </c>
      <c r="BH391">
        <f ca="1"/>
      </c>
      <c r="BI391">
        <f ca="1"/>
      </c>
      <c r="BJ391">
        <f ca="1"/>
      </c>
      <c r="BK391">
        <f ca="1"/>
      </c>
      <c r="BM391" s="7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T391" s="7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F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F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B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</row>
    <row r="392" spans="45:182" x14ac:dyDescent="0.55000000000000004">
      <c r="AS392">
        <f ca="1"/>
      </c>
      <c r="AT392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AZ392">
        <f ca="1"/>
      </c>
      <c r="BA392">
        <f ca="1"/>
      </c>
      <c r="BB392">
        <f ca="1"/>
      </c>
      <c r="BF392" s="7">
        <f ca="1"/>
      </c>
      <c r="BG392">
        <f ca="1"/>
      </c>
      <c r="BH392">
        <f ca="1"/>
      </c>
      <c r="BI392">
        <f ca="1"/>
      </c>
      <c r="BJ392">
        <f ca="1"/>
      </c>
      <c r="BK392">
        <f ca="1"/>
      </c>
      <c r="BM392" s="7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T392" s="7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F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F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B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</row>
    <row r="393" spans="45:182" x14ac:dyDescent="0.55000000000000004">
      <c r="AS393">
        <f ca="1"/>
      </c>
      <c r="AT393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AZ393">
        <f ca="1"/>
      </c>
      <c r="BA393">
        <f ca="1"/>
      </c>
      <c r="BB393">
        <f ca="1"/>
      </c>
      <c r="BF393" s="7">
        <f ca="1"/>
      </c>
      <c r="BG393">
        <f ca="1"/>
      </c>
      <c r="BH393">
        <f ca="1"/>
      </c>
      <c r="BI393">
        <f ca="1"/>
      </c>
      <c r="BJ393">
        <f ca="1"/>
      </c>
      <c r="BK393">
        <f ca="1"/>
      </c>
      <c r="BM393" s="7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T393" s="7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F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F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B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</row>
    <row r="394" spans="45:182" x14ac:dyDescent="0.55000000000000004">
      <c r="AS394">
        <f ca="1"/>
      </c>
      <c r="AT394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AZ394">
        <f ca="1"/>
      </c>
      <c r="BA394">
        <f ca="1"/>
      </c>
      <c r="BB394">
        <f ca="1"/>
      </c>
      <c r="BF394" s="7">
        <f ca="1"/>
      </c>
      <c r="BG394">
        <f ca="1"/>
      </c>
      <c r="BH394">
        <f ca="1"/>
      </c>
      <c r="BI394">
        <f ca="1"/>
      </c>
      <c r="BJ394">
        <f ca="1"/>
      </c>
      <c r="BK394">
        <f ca="1"/>
      </c>
      <c r="BM394" s="7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T394" s="7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F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F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B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</row>
    <row r="395" spans="45:182" x14ac:dyDescent="0.55000000000000004">
      <c r="AS395">
        <f ca="1"/>
      </c>
      <c r="AT395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AZ395">
        <f ca="1"/>
      </c>
      <c r="BA395">
        <f ca="1"/>
      </c>
      <c r="BB395">
        <f ca="1"/>
      </c>
      <c r="BF395" s="7">
        <f ca="1"/>
      </c>
      <c r="BG395">
        <f ca="1"/>
      </c>
      <c r="BH395">
        <f ca="1"/>
      </c>
      <c r="BI395">
        <f ca="1"/>
      </c>
      <c r="BJ395">
        <f ca="1"/>
      </c>
      <c r="BK395">
        <f ca="1"/>
      </c>
      <c r="BM395" s="7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T395" s="7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F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F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B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</row>
    <row r="396" spans="45:182" x14ac:dyDescent="0.55000000000000004">
      <c r="AS396">
        <f ca="1"/>
      </c>
      <c r="AT396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AZ396">
        <f ca="1"/>
      </c>
      <c r="BA396">
        <f ca="1"/>
      </c>
      <c r="BB396">
        <f ca="1"/>
      </c>
      <c r="BF396" s="7">
        <f ca="1"/>
      </c>
      <c r="BG396">
        <f ca="1"/>
      </c>
      <c r="BH396">
        <f ca="1"/>
      </c>
      <c r="BI396">
        <f ca="1"/>
      </c>
      <c r="BJ396">
        <f ca="1"/>
      </c>
      <c r="BK396">
        <f ca="1"/>
      </c>
      <c r="BM396" s="7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T396" s="7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F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F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B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</row>
    <row r="397" spans="45:182" x14ac:dyDescent="0.55000000000000004">
      <c r="AS397">
        <f ca="1"/>
      </c>
      <c r="AT39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AZ397">
        <f ca="1"/>
      </c>
      <c r="BA397">
        <f ca="1"/>
      </c>
      <c r="BB397">
        <f ca="1"/>
      </c>
      <c r="BF397" s="7">
        <f ca="1"/>
      </c>
      <c r="BG397">
        <f ca="1"/>
      </c>
      <c r="BH397">
        <f ca="1"/>
      </c>
      <c r="BI397">
        <f ca="1"/>
      </c>
      <c r="BJ397">
        <f ca="1"/>
      </c>
      <c r="BK397">
        <f ca="1"/>
      </c>
      <c r="BM397" s="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T397" s="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F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F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B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</row>
    <row r="398" spans="45:182" x14ac:dyDescent="0.55000000000000004">
      <c r="AS398">
        <f ca="1"/>
      </c>
      <c r="AT398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AZ398">
        <f ca="1"/>
      </c>
      <c r="BA398">
        <f ca="1"/>
      </c>
      <c r="BB398">
        <f ca="1"/>
      </c>
      <c r="BF398" s="7">
        <f ca="1"/>
      </c>
      <c r="BG398">
        <f ca="1"/>
      </c>
      <c r="BH398">
        <f ca="1"/>
      </c>
      <c r="BI398">
        <f ca="1"/>
      </c>
      <c r="BJ398">
        <f ca="1"/>
      </c>
      <c r="BK398">
        <f ca="1"/>
      </c>
      <c r="BM398" s="7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T398" s="7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F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F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B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</row>
    <row r="399" spans="45:182" x14ac:dyDescent="0.55000000000000004">
      <c r="AS399">
        <f ca="1"/>
      </c>
      <c r="AT399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AZ399">
        <f ca="1"/>
      </c>
      <c r="BA399">
        <f ca="1"/>
      </c>
      <c r="BB399">
        <f ca="1"/>
      </c>
      <c r="BF399" s="7">
        <f ca="1"/>
      </c>
      <c r="BG399">
        <f ca="1"/>
      </c>
      <c r="BH399">
        <f ca="1"/>
      </c>
      <c r="BI399">
        <f ca="1"/>
      </c>
      <c r="BJ399">
        <f ca="1"/>
      </c>
      <c r="BK399">
        <f ca="1"/>
      </c>
      <c r="BM399" s="7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T399" s="7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F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F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B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</row>
    <row r="400" spans="45:182" x14ac:dyDescent="0.55000000000000004">
      <c r="AS400">
        <f ca="1"/>
      </c>
      <c r="AT400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AZ400">
        <f ca="1"/>
      </c>
      <c r="BA400">
        <f ca="1"/>
      </c>
      <c r="BB400">
        <f ca="1"/>
      </c>
      <c r="BF400" s="7">
        <f ca="1"/>
      </c>
      <c r="BG400">
        <f ca="1"/>
      </c>
      <c r="BH400">
        <f ca="1"/>
      </c>
      <c r="BI400">
        <f ca="1"/>
      </c>
      <c r="BJ400">
        <f ca="1"/>
      </c>
      <c r="BK400">
        <f ca="1"/>
      </c>
      <c r="BM400" s="7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T400" s="7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F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F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B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</row>
    <row r="401" spans="45:182" x14ac:dyDescent="0.55000000000000004">
      <c r="AS401">
        <f ca="1"/>
      </c>
      <c r="AT401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AZ401">
        <f ca="1"/>
      </c>
      <c r="BA401">
        <f ca="1"/>
      </c>
      <c r="BB401">
        <f ca="1"/>
      </c>
      <c r="BF401" s="7">
        <f ca="1"/>
      </c>
      <c r="BG401">
        <f ca="1"/>
      </c>
      <c r="BH401">
        <f ca="1"/>
      </c>
      <c r="BI401">
        <f ca="1"/>
      </c>
      <c r="BJ401">
        <f ca="1"/>
      </c>
      <c r="BK401">
        <f ca="1"/>
      </c>
      <c r="BM401" s="7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T401" s="7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F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F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B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</row>
    <row r="402" spans="45:182" x14ac:dyDescent="0.55000000000000004">
      <c r="AS402">
        <f ca="1"/>
      </c>
      <c r="AT402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AZ402">
        <f ca="1"/>
      </c>
      <c r="BA402">
        <f ca="1"/>
      </c>
      <c r="BB402">
        <f ca="1"/>
      </c>
      <c r="BF402" s="7">
        <f ca="1"/>
      </c>
      <c r="BG402">
        <f ca="1"/>
      </c>
      <c r="BH402">
        <f ca="1"/>
      </c>
      <c r="BI402">
        <f ca="1"/>
      </c>
      <c r="BJ402">
        <f ca="1"/>
      </c>
      <c r="BK402">
        <f ca="1"/>
      </c>
      <c r="BM402" s="7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T402" s="7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F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F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B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</row>
    <row r="403" spans="45:182" x14ac:dyDescent="0.55000000000000004">
      <c r="AS403">
        <f ca="1"/>
      </c>
      <c r="AT403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AZ403">
        <f ca="1"/>
      </c>
      <c r="BA403">
        <f ca="1"/>
      </c>
      <c r="BB403">
        <f ca="1"/>
      </c>
      <c r="BF403" s="7">
        <f ca="1"/>
      </c>
      <c r="BG403">
        <f ca="1"/>
      </c>
      <c r="BH403">
        <f ca="1"/>
      </c>
      <c r="BI403">
        <f ca="1"/>
      </c>
      <c r="BJ403">
        <f ca="1"/>
      </c>
      <c r="BK403">
        <f ca="1"/>
      </c>
      <c r="BM403" s="7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T403" s="7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F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F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B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</row>
    <row r="404" spans="45:182" x14ac:dyDescent="0.55000000000000004">
      <c r="AS404">
        <f ca="1"/>
      </c>
      <c r="AT404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AZ404">
        <f ca="1"/>
      </c>
      <c r="BA404">
        <f ca="1"/>
      </c>
      <c r="BB404">
        <f ca="1"/>
      </c>
      <c r="BF404" s="7">
        <f ca="1"/>
      </c>
      <c r="BG404">
        <f ca="1"/>
      </c>
      <c r="BH404">
        <f ca="1"/>
      </c>
      <c r="BI404">
        <f ca="1"/>
      </c>
      <c r="BJ404">
        <f ca="1"/>
      </c>
      <c r="BK404">
        <f ca="1"/>
      </c>
      <c r="BM404" s="7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T404" s="7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F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F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B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</row>
    <row r="405" spans="45:182" x14ac:dyDescent="0.55000000000000004">
      <c r="AS405">
        <f ca="1"/>
      </c>
      <c r="AT405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AZ405">
        <f ca="1"/>
      </c>
      <c r="BA405">
        <f ca="1"/>
      </c>
      <c r="BB405">
        <f ca="1"/>
      </c>
      <c r="BF405" s="7">
        <f ca="1"/>
      </c>
      <c r="BG405">
        <f ca="1"/>
      </c>
      <c r="BH405">
        <f ca="1"/>
      </c>
      <c r="BI405">
        <f ca="1"/>
      </c>
      <c r="BJ405">
        <f ca="1"/>
      </c>
      <c r="BK405">
        <f ca="1"/>
      </c>
      <c r="BM405" s="7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T405" s="7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F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F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B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</row>
    <row r="406" spans="45:182" x14ac:dyDescent="0.55000000000000004">
      <c r="AS406">
        <f ca="1"/>
      </c>
      <c r="AT406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AZ406">
        <f ca="1"/>
      </c>
      <c r="BA406">
        <f ca="1"/>
      </c>
      <c r="BB406">
        <f ca="1"/>
      </c>
      <c r="BF406" s="7">
        <f ca="1"/>
      </c>
      <c r="BG406">
        <f ca="1"/>
      </c>
      <c r="BH406">
        <f ca="1"/>
      </c>
      <c r="BI406">
        <f ca="1"/>
      </c>
      <c r="BJ406">
        <f ca="1"/>
      </c>
      <c r="BK406">
        <f ca="1"/>
      </c>
      <c r="BM406" s="7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T406" s="7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F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F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B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</row>
    <row r="407" spans="45:182" x14ac:dyDescent="0.55000000000000004">
      <c r="AS407">
        <f ca="1"/>
      </c>
      <c r="AT40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AZ407">
        <f ca="1"/>
      </c>
      <c r="BA407">
        <f ca="1"/>
      </c>
      <c r="BB407">
        <f ca="1"/>
      </c>
      <c r="BF407" s="7">
        <f ca="1"/>
      </c>
      <c r="BG407">
        <f ca="1"/>
      </c>
      <c r="BH407">
        <f ca="1"/>
      </c>
      <c r="BI407">
        <f ca="1"/>
      </c>
      <c r="BJ407">
        <f ca="1"/>
      </c>
      <c r="BK407">
        <f ca="1"/>
      </c>
      <c r="BM407" s="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T407" s="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F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F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B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</row>
    <row r="408" spans="45:182" x14ac:dyDescent="0.55000000000000004">
      <c r="AS408">
        <f ca="1"/>
      </c>
      <c r="AT408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AZ408">
        <f ca="1"/>
      </c>
      <c r="BA408">
        <f ca="1"/>
      </c>
      <c r="BB408">
        <f ca="1"/>
      </c>
      <c r="BF408" s="7">
        <f ca="1"/>
      </c>
      <c r="BG408">
        <f ca="1"/>
      </c>
      <c r="BH408">
        <f ca="1"/>
      </c>
      <c r="BI408">
        <f ca="1"/>
      </c>
      <c r="BJ408">
        <f ca="1"/>
      </c>
      <c r="BK408">
        <f ca="1"/>
      </c>
      <c r="BM408" s="7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T408" s="7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F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F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B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</row>
    <row r="409" spans="45:182" x14ac:dyDescent="0.55000000000000004">
      <c r="AS409">
        <f ca="1"/>
      </c>
      <c r="AT409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AZ409">
        <f ca="1"/>
      </c>
      <c r="BA409">
        <f ca="1"/>
      </c>
      <c r="BB409">
        <f ca="1"/>
      </c>
      <c r="BF409" s="7">
        <f ca="1"/>
      </c>
      <c r="BG409">
        <f ca="1"/>
      </c>
      <c r="BH409">
        <f ca="1"/>
      </c>
      <c r="BI409">
        <f ca="1"/>
      </c>
      <c r="BJ409">
        <f ca="1"/>
      </c>
      <c r="BK409">
        <f ca="1"/>
      </c>
      <c r="BM409" s="7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T409" s="7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F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F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B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</row>
    <row r="410" spans="45:182" x14ac:dyDescent="0.55000000000000004">
      <c r="AS410">
        <f ca="1"/>
      </c>
      <c r="AT410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AZ410">
        <f ca="1"/>
      </c>
      <c r="BA410">
        <f ca="1"/>
      </c>
      <c r="BB410">
        <f ca="1"/>
      </c>
      <c r="BF410" s="7">
        <f ca="1"/>
      </c>
      <c r="BG410">
        <f ca="1"/>
      </c>
      <c r="BH410">
        <f ca="1"/>
      </c>
      <c r="BI410">
        <f ca="1"/>
      </c>
      <c r="BJ410">
        <f ca="1"/>
      </c>
      <c r="BK410">
        <f ca="1"/>
      </c>
      <c r="BM410" s="7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T410" s="7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F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F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B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</row>
    <row r="411" spans="45:182" x14ac:dyDescent="0.55000000000000004">
      <c r="AS411">
        <f ca="1"/>
      </c>
      <c r="AT411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AZ411">
        <f ca="1"/>
      </c>
      <c r="BA411">
        <f ca="1"/>
      </c>
      <c r="BB411">
        <f ca="1"/>
      </c>
      <c r="BF411" s="7">
        <f ca="1"/>
      </c>
      <c r="BG411">
        <f ca="1"/>
      </c>
      <c r="BH411">
        <f ca="1"/>
      </c>
      <c r="BI411">
        <f ca="1"/>
      </c>
      <c r="BJ411">
        <f ca="1"/>
      </c>
      <c r="BK411">
        <f ca="1"/>
      </c>
      <c r="BM411" s="7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T411" s="7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F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F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B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</row>
    <row r="412" spans="45:182" x14ac:dyDescent="0.55000000000000004">
      <c r="AS412">
        <f ca="1"/>
      </c>
      <c r="AT412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AZ412">
        <f ca="1"/>
      </c>
      <c r="BA412">
        <f ca="1"/>
      </c>
      <c r="BB412">
        <f ca="1"/>
      </c>
      <c r="BF412" s="7">
        <f ca="1"/>
      </c>
      <c r="BG412">
        <f ca="1"/>
      </c>
      <c r="BH412">
        <f ca="1"/>
      </c>
      <c r="BI412">
        <f ca="1"/>
      </c>
      <c r="BJ412">
        <f ca="1"/>
      </c>
      <c r="BK412">
        <f ca="1"/>
      </c>
      <c r="BM412" s="7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T412" s="7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F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F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B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</row>
    <row r="413" spans="45:182" x14ac:dyDescent="0.55000000000000004">
      <c r="AS413">
        <f ca="1"/>
      </c>
      <c r="AT413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AZ413">
        <f ca="1"/>
      </c>
      <c r="BA413">
        <f ca="1"/>
      </c>
      <c r="BB413">
        <f ca="1"/>
      </c>
      <c r="BF413" s="7">
        <f ca="1"/>
      </c>
      <c r="BG413">
        <f ca="1"/>
      </c>
      <c r="BH413">
        <f ca="1"/>
      </c>
      <c r="BI413">
        <f ca="1"/>
      </c>
      <c r="BJ413">
        <f ca="1"/>
      </c>
      <c r="BK413">
        <f ca="1"/>
      </c>
      <c r="BM413" s="7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T413" s="7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F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F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B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</row>
    <row r="414" spans="45:182" x14ac:dyDescent="0.55000000000000004">
      <c r="AS414">
        <f ca="1"/>
      </c>
      <c r="AT414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AZ414">
        <f ca="1"/>
      </c>
      <c r="BA414">
        <f ca="1"/>
      </c>
      <c r="BB414">
        <f ca="1"/>
      </c>
      <c r="BF414" s="7">
        <f ca="1"/>
      </c>
      <c r="BG414">
        <f ca="1"/>
      </c>
      <c r="BH414">
        <f ca="1"/>
      </c>
      <c r="BI414">
        <f ca="1"/>
      </c>
      <c r="BJ414">
        <f ca="1"/>
      </c>
      <c r="BK414">
        <f ca="1"/>
      </c>
      <c r="BM414" s="7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T414" s="7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F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F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B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</row>
    <row r="415" spans="45:182" x14ac:dyDescent="0.55000000000000004">
      <c r="AS415">
        <f ca="1"/>
      </c>
      <c r="AT415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AZ415">
        <f ca="1"/>
      </c>
      <c r="BA415">
        <f ca="1"/>
      </c>
      <c r="BB415">
        <f ca="1"/>
      </c>
      <c r="BF415" s="7">
        <f ca="1"/>
      </c>
      <c r="BG415">
        <f ca="1"/>
      </c>
      <c r="BH415">
        <f ca="1"/>
      </c>
      <c r="BI415">
        <f ca="1"/>
      </c>
      <c r="BJ415">
        <f ca="1"/>
      </c>
      <c r="BK415">
        <f ca="1"/>
      </c>
      <c r="BM415" s="7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T415" s="7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F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F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B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</row>
    <row r="416" spans="45:182" x14ac:dyDescent="0.55000000000000004">
      <c r="AS416">
        <f ca="1"/>
      </c>
      <c r="AT416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AZ416">
        <f ca="1"/>
      </c>
      <c r="BA416">
        <f ca="1"/>
      </c>
      <c r="BB416">
        <f ca="1"/>
      </c>
      <c r="BF416" s="7">
        <f ca="1"/>
      </c>
      <c r="BG416">
        <f ca="1"/>
      </c>
      <c r="BH416">
        <f ca="1"/>
      </c>
      <c r="BI416">
        <f ca="1"/>
      </c>
      <c r="BJ416">
        <f ca="1"/>
      </c>
      <c r="BK416">
        <f ca="1"/>
      </c>
      <c r="BM416" s="7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T416" s="7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F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F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B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</row>
    <row r="417" spans="45:182" x14ac:dyDescent="0.55000000000000004">
      <c r="AS417">
        <f ca="1"/>
      </c>
      <c r="AT41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AZ417">
        <f ca="1"/>
      </c>
      <c r="BA417">
        <f ca="1"/>
      </c>
      <c r="BB417">
        <f ca="1"/>
      </c>
      <c r="BF417" s="7">
        <f ca="1"/>
      </c>
      <c r="BG417">
        <f ca="1"/>
      </c>
      <c r="BH417">
        <f ca="1"/>
      </c>
      <c r="BI417">
        <f ca="1"/>
      </c>
      <c r="BJ417">
        <f ca="1"/>
      </c>
      <c r="BK417">
        <f ca="1"/>
      </c>
      <c r="BM417" s="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T417" s="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F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F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B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</row>
    <row r="418" spans="45:182" x14ac:dyDescent="0.55000000000000004">
      <c r="AS418">
        <f ca="1"/>
      </c>
      <c r="AT418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AZ418">
        <f ca="1"/>
      </c>
      <c r="BA418">
        <f ca="1"/>
      </c>
      <c r="BB418">
        <f ca="1"/>
      </c>
      <c r="BF418" s="7">
        <f ca="1"/>
      </c>
      <c r="BG418">
        <f ca="1"/>
      </c>
      <c r="BH418">
        <f ca="1"/>
      </c>
      <c r="BI418">
        <f ca="1"/>
      </c>
      <c r="BJ418">
        <f ca="1"/>
      </c>
      <c r="BK418">
        <f ca="1"/>
      </c>
      <c r="BM418" s="7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T418" s="7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F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F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B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</row>
    <row r="419" spans="45:182" x14ac:dyDescent="0.55000000000000004">
      <c r="AS419">
        <f ca="1"/>
      </c>
      <c r="AT419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AZ419">
        <f ca="1"/>
      </c>
      <c r="BA419">
        <f ca="1"/>
      </c>
      <c r="BB419">
        <f ca="1"/>
      </c>
      <c r="BF419" s="7">
        <f ca="1"/>
      </c>
      <c r="BG419">
        <f ca="1"/>
      </c>
      <c r="BH419">
        <f ca="1"/>
      </c>
      <c r="BI419">
        <f ca="1"/>
      </c>
      <c r="BJ419">
        <f ca="1"/>
      </c>
      <c r="BK419">
        <f ca="1"/>
      </c>
      <c r="BM419" s="7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T419" s="7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F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F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B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</row>
    <row r="420" spans="45:182" x14ac:dyDescent="0.55000000000000004">
      <c r="AS420">
        <f ca="1"/>
      </c>
      <c r="AT420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AZ420">
        <f ca="1"/>
      </c>
      <c r="BA420">
        <f ca="1"/>
      </c>
      <c r="BB420">
        <f ca="1"/>
      </c>
      <c r="BF420" s="7">
        <f ca="1"/>
      </c>
      <c r="BG420">
        <f ca="1"/>
      </c>
      <c r="BH420">
        <f ca="1"/>
      </c>
      <c r="BI420">
        <f ca="1"/>
      </c>
      <c r="BJ420">
        <f ca="1"/>
      </c>
      <c r="BK420">
        <f ca="1"/>
      </c>
      <c r="BM420" s="7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T420" s="7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F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F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B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</row>
    <row r="421" spans="45:182" x14ac:dyDescent="0.55000000000000004">
      <c r="AS421">
        <f ca="1"/>
      </c>
      <c r="AT421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AZ421">
        <f ca="1"/>
      </c>
      <c r="BA421">
        <f ca="1"/>
      </c>
      <c r="BB421">
        <f ca="1"/>
      </c>
      <c r="BF421" s="7">
        <f ca="1"/>
      </c>
      <c r="BG421">
        <f ca="1"/>
      </c>
      <c r="BH421">
        <f ca="1"/>
      </c>
      <c r="BI421">
        <f ca="1"/>
      </c>
      <c r="BJ421">
        <f ca="1"/>
      </c>
      <c r="BK421">
        <f ca="1"/>
      </c>
      <c r="BM421" s="7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T421" s="7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F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F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B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</row>
    <row r="422" spans="45:182" x14ac:dyDescent="0.55000000000000004">
      <c r="AS422">
        <f ca="1"/>
      </c>
      <c r="AT422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AZ422">
        <f ca="1"/>
      </c>
      <c r="BA422">
        <f ca="1"/>
      </c>
      <c r="BB422">
        <f ca="1"/>
      </c>
      <c r="BF422" s="7">
        <f ca="1"/>
      </c>
      <c r="BG422">
        <f ca="1"/>
      </c>
      <c r="BH422">
        <f ca="1"/>
      </c>
      <c r="BI422">
        <f ca="1"/>
      </c>
      <c r="BJ422">
        <f ca="1"/>
      </c>
      <c r="BK422">
        <f ca="1"/>
      </c>
      <c r="BM422" s="7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T422" s="7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F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F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B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</row>
    <row r="423" spans="45:182" x14ac:dyDescent="0.55000000000000004">
      <c r="AS423">
        <f ca="1"/>
      </c>
      <c r="AT423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AZ423">
        <f ca="1"/>
      </c>
      <c r="BA423">
        <f ca="1"/>
      </c>
      <c r="BB423">
        <f ca="1"/>
      </c>
      <c r="BF423" s="7">
        <f ca="1"/>
      </c>
      <c r="BG423">
        <f ca="1"/>
      </c>
      <c r="BH423">
        <f ca="1"/>
      </c>
      <c r="BI423">
        <f ca="1"/>
      </c>
      <c r="BJ423">
        <f ca="1"/>
      </c>
      <c r="BK423">
        <f ca="1"/>
      </c>
      <c r="BM423" s="7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T423" s="7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F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F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B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</row>
    <row r="424" spans="45:182" x14ac:dyDescent="0.55000000000000004">
      <c r="AS424">
        <f ca="1"/>
      </c>
      <c r="AT424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AZ424">
        <f ca="1"/>
      </c>
      <c r="BA424">
        <f ca="1"/>
      </c>
      <c r="BB424">
        <f ca="1"/>
      </c>
      <c r="BF424" s="7">
        <f ca="1"/>
      </c>
      <c r="BG424">
        <f ca="1"/>
      </c>
      <c r="BH424">
        <f ca="1"/>
      </c>
      <c r="BI424">
        <f ca="1"/>
      </c>
      <c r="BJ424">
        <f ca="1"/>
      </c>
      <c r="BK424">
        <f ca="1"/>
      </c>
      <c r="BM424" s="7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T424" s="7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F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F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B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</row>
    <row r="425" spans="45:182" x14ac:dyDescent="0.55000000000000004">
      <c r="AS425">
        <f ca="1"/>
      </c>
      <c r="AT425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AZ425">
        <f ca="1"/>
      </c>
      <c r="BA425">
        <f ca="1"/>
      </c>
      <c r="BB425">
        <f ca="1"/>
      </c>
      <c r="BF425" s="7">
        <f ca="1"/>
      </c>
      <c r="BG425">
        <f ca="1"/>
      </c>
      <c r="BH425">
        <f ca="1"/>
      </c>
      <c r="BI425">
        <f ca="1"/>
      </c>
      <c r="BJ425">
        <f ca="1"/>
      </c>
      <c r="BK425">
        <f ca="1"/>
      </c>
      <c r="BM425" s="7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T425" s="7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F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F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B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</row>
    <row r="426" spans="45:182" x14ac:dyDescent="0.55000000000000004">
      <c r="AS426">
        <f ca="1"/>
      </c>
      <c r="AT426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AZ426">
        <f ca="1"/>
      </c>
      <c r="BA426">
        <f ca="1"/>
      </c>
      <c r="BB426">
        <f ca="1"/>
      </c>
      <c r="BF426" s="7">
        <f ca="1"/>
      </c>
      <c r="BG426">
        <f ca="1"/>
      </c>
      <c r="BH426">
        <f ca="1"/>
      </c>
      <c r="BI426">
        <f ca="1"/>
      </c>
      <c r="BJ426">
        <f ca="1"/>
      </c>
      <c r="BK426">
        <f ca="1"/>
      </c>
      <c r="BM426" s="7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T426" s="7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F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F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B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</row>
    <row r="427" spans="45:182" x14ac:dyDescent="0.55000000000000004">
      <c r="AS427">
        <f ca="1"/>
      </c>
      <c r="AT42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AZ427">
        <f ca="1"/>
      </c>
      <c r="BA427">
        <f ca="1"/>
      </c>
      <c r="BB427">
        <f ca="1"/>
      </c>
      <c r="BF427" s="7">
        <f ca="1"/>
      </c>
      <c r="BG427">
        <f ca="1"/>
      </c>
      <c r="BH427">
        <f ca="1"/>
      </c>
      <c r="BI427">
        <f ca="1"/>
      </c>
      <c r="BJ427">
        <f ca="1"/>
      </c>
      <c r="BK427">
        <f ca="1"/>
      </c>
      <c r="BM427" s="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T427" s="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F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F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B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</row>
    <row r="428" spans="45:182" x14ac:dyDescent="0.55000000000000004">
      <c r="AS428">
        <f ca="1"/>
      </c>
      <c r="AT428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AZ428">
        <f ca="1"/>
      </c>
      <c r="BA428">
        <f ca="1"/>
      </c>
      <c r="BB428">
        <f ca="1"/>
      </c>
      <c r="BF428" s="7">
        <f ca="1"/>
      </c>
      <c r="BG428">
        <f ca="1"/>
      </c>
      <c r="BH428">
        <f ca="1"/>
      </c>
      <c r="BI428">
        <f ca="1"/>
      </c>
      <c r="BJ428">
        <f ca="1"/>
      </c>
      <c r="BK428">
        <f ca="1"/>
      </c>
      <c r="BM428" s="7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T428" s="7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F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F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B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</row>
    <row r="429" spans="45:182" x14ac:dyDescent="0.55000000000000004">
      <c r="AS429">
        <f ca="1"/>
      </c>
      <c r="AT429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AZ429">
        <f ca="1"/>
      </c>
      <c r="BA429">
        <f ca="1"/>
      </c>
      <c r="BB429">
        <f ca="1"/>
      </c>
      <c r="BF429" s="7">
        <f ca="1"/>
      </c>
      <c r="BG429">
        <f ca="1"/>
      </c>
      <c r="BH429">
        <f ca="1"/>
      </c>
      <c r="BI429">
        <f ca="1"/>
      </c>
      <c r="BJ429">
        <f ca="1"/>
      </c>
      <c r="BK429">
        <f ca="1"/>
      </c>
      <c r="BM429" s="7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T429" s="7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F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F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B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</row>
    <row r="430" spans="45:182" x14ac:dyDescent="0.55000000000000004">
      <c r="AS430">
        <f ca="1"/>
      </c>
      <c r="AT430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AZ430">
        <f ca="1"/>
      </c>
      <c r="BA430">
        <f ca="1"/>
      </c>
      <c r="BB430">
        <f ca="1"/>
      </c>
      <c r="BF430" s="7">
        <f ca="1"/>
      </c>
      <c r="BG430">
        <f ca="1"/>
      </c>
      <c r="BH430">
        <f ca="1"/>
      </c>
      <c r="BI430">
        <f ca="1"/>
      </c>
      <c r="BJ430">
        <f ca="1"/>
      </c>
      <c r="BK430">
        <f ca="1"/>
      </c>
      <c r="BM430" s="7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T430" s="7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F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F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B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</row>
    <row r="431" spans="45:182" x14ac:dyDescent="0.55000000000000004">
      <c r="AS431">
        <f ca="1"/>
      </c>
      <c r="AT431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AZ431">
        <f ca="1"/>
      </c>
      <c r="BA431">
        <f ca="1"/>
      </c>
      <c r="BB431">
        <f ca="1"/>
      </c>
      <c r="BF431" s="7">
        <f ca="1"/>
      </c>
      <c r="BG431">
        <f ca="1"/>
      </c>
      <c r="BH431">
        <f ca="1"/>
      </c>
      <c r="BI431">
        <f ca="1"/>
      </c>
      <c r="BJ431">
        <f ca="1"/>
      </c>
      <c r="BK431">
        <f ca="1"/>
      </c>
      <c r="BM431" s="7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T431" s="7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F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F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B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</row>
    <row r="432" spans="45:182" x14ac:dyDescent="0.55000000000000004">
      <c r="AS432">
        <f ca="1"/>
      </c>
      <c r="AT432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AZ432">
        <f ca="1"/>
      </c>
      <c r="BA432">
        <f ca="1"/>
      </c>
      <c r="BB432">
        <f ca="1"/>
      </c>
      <c r="BF432" s="7">
        <f ca="1"/>
      </c>
      <c r="BG432">
        <f ca="1"/>
      </c>
      <c r="BH432">
        <f ca="1"/>
      </c>
      <c r="BI432">
        <f ca="1"/>
      </c>
      <c r="BJ432">
        <f ca="1"/>
      </c>
      <c r="BK432">
        <f ca="1"/>
      </c>
      <c r="BM432" s="7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T432" s="7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F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F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B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</row>
    <row r="433" spans="45:182" x14ac:dyDescent="0.55000000000000004">
      <c r="AS433">
        <f ca="1"/>
      </c>
      <c r="AT433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AZ433">
        <f ca="1"/>
      </c>
      <c r="BA433">
        <f ca="1"/>
      </c>
      <c r="BB433">
        <f ca="1"/>
      </c>
      <c r="BF433" s="7">
        <f ca="1"/>
      </c>
      <c r="BG433">
        <f ca="1"/>
      </c>
      <c r="BH433">
        <f ca="1"/>
      </c>
      <c r="BI433">
        <f ca="1"/>
      </c>
      <c r="BJ433">
        <f ca="1"/>
      </c>
      <c r="BK433">
        <f ca="1"/>
      </c>
      <c r="BM433" s="7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T433" s="7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F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F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B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</row>
    <row r="434" spans="45:182" x14ac:dyDescent="0.55000000000000004">
      <c r="AS434">
        <f ca="1"/>
      </c>
      <c r="AT434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AZ434">
        <f ca="1"/>
      </c>
      <c r="BA434">
        <f ca="1"/>
      </c>
      <c r="BB434">
        <f ca="1"/>
      </c>
      <c r="BF434" s="7">
        <f ca="1"/>
      </c>
      <c r="BG434">
        <f ca="1"/>
      </c>
      <c r="BH434">
        <f ca="1"/>
      </c>
      <c r="BI434">
        <f ca="1"/>
      </c>
      <c r="BJ434">
        <f ca="1"/>
      </c>
      <c r="BK434">
        <f ca="1"/>
      </c>
      <c r="BM434" s="7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T434" s="7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F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F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B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</row>
    <row r="435" spans="45:182" x14ac:dyDescent="0.55000000000000004">
      <c r="AS435">
        <f ca="1"/>
      </c>
      <c r="AT435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AZ435">
        <f ca="1"/>
      </c>
      <c r="BA435">
        <f ca="1"/>
      </c>
      <c r="BB435">
        <f ca="1"/>
      </c>
      <c r="BF435" s="7">
        <f ca="1"/>
      </c>
      <c r="BG435">
        <f ca="1"/>
      </c>
      <c r="BH435">
        <f ca="1"/>
      </c>
      <c r="BI435">
        <f ca="1"/>
      </c>
      <c r="BJ435">
        <f ca="1"/>
      </c>
      <c r="BK435">
        <f ca="1"/>
      </c>
      <c r="BM435" s="7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T435" s="7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F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F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B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</row>
    <row r="436" spans="45:182" x14ac:dyDescent="0.55000000000000004">
      <c r="AS436">
        <f ca="1"/>
      </c>
      <c r="AT436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AZ436">
        <f ca="1"/>
      </c>
      <c r="BA436">
        <f ca="1"/>
      </c>
      <c r="BB436">
        <f ca="1"/>
      </c>
      <c r="BF436" s="7">
        <f ca="1"/>
      </c>
      <c r="BG436">
        <f ca="1"/>
      </c>
      <c r="BH436">
        <f ca="1"/>
      </c>
      <c r="BI436">
        <f ca="1"/>
      </c>
      <c r="BJ436">
        <f ca="1"/>
      </c>
      <c r="BK436">
        <f ca="1"/>
      </c>
      <c r="BM436" s="7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T436" s="7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F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F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B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</row>
    <row r="437" spans="45:182" x14ac:dyDescent="0.55000000000000004">
      <c r="AS437">
        <f ca="1"/>
      </c>
      <c r="AT43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AZ437">
        <f ca="1"/>
      </c>
      <c r="BA437">
        <f ca="1"/>
      </c>
      <c r="BB437">
        <f ca="1"/>
      </c>
      <c r="BF437" s="7">
        <f ca="1"/>
      </c>
      <c r="BG437">
        <f ca="1"/>
      </c>
      <c r="BH437">
        <f ca="1"/>
      </c>
      <c r="BI437">
        <f ca="1"/>
      </c>
      <c r="BJ437">
        <f ca="1"/>
      </c>
      <c r="BK437">
        <f ca="1"/>
      </c>
      <c r="BM437" s="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T437" s="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F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F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B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</row>
    <row r="438" spans="45:182" x14ac:dyDescent="0.55000000000000004">
      <c r="AS438">
        <f ca="1"/>
      </c>
      <c r="AT438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AZ438">
        <f ca="1"/>
      </c>
      <c r="BA438">
        <f ca="1"/>
      </c>
      <c r="BB438">
        <f ca="1"/>
      </c>
      <c r="BF438" s="7">
        <f ca="1"/>
      </c>
      <c r="BG438">
        <f ca="1"/>
      </c>
      <c r="BH438">
        <f ca="1"/>
      </c>
      <c r="BI438">
        <f ca="1"/>
      </c>
      <c r="BJ438">
        <f ca="1"/>
      </c>
      <c r="BK438">
        <f ca="1"/>
      </c>
      <c r="BM438" s="7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T438" s="7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F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F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B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</row>
    <row r="439" spans="45:182" x14ac:dyDescent="0.55000000000000004">
      <c r="AS439">
        <f ca="1"/>
      </c>
      <c r="AT439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AZ439">
        <f ca="1"/>
      </c>
      <c r="BA439">
        <f ca="1"/>
      </c>
      <c r="BB439">
        <f ca="1"/>
      </c>
      <c r="BF439" s="7">
        <f ca="1"/>
      </c>
      <c r="BG439">
        <f ca="1"/>
      </c>
      <c r="BH439">
        <f ca="1"/>
      </c>
      <c r="BI439">
        <f ca="1"/>
      </c>
      <c r="BJ439">
        <f ca="1"/>
      </c>
      <c r="BK439">
        <f ca="1"/>
      </c>
      <c r="BM439" s="7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T439" s="7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F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F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B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</row>
    <row r="440" spans="45:182" x14ac:dyDescent="0.55000000000000004">
      <c r="AS440">
        <f ca="1"/>
      </c>
      <c r="AT440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AZ440">
        <f ca="1"/>
      </c>
      <c r="BA440">
        <f ca="1"/>
      </c>
      <c r="BB440">
        <f ca="1"/>
      </c>
      <c r="BF440" s="7">
        <f ca="1"/>
      </c>
      <c r="BG440">
        <f ca="1"/>
      </c>
      <c r="BH440">
        <f ca="1"/>
      </c>
      <c r="BI440">
        <f ca="1"/>
      </c>
      <c r="BJ440">
        <f ca="1"/>
      </c>
      <c r="BK440">
        <f ca="1"/>
      </c>
      <c r="BM440" s="7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T440" s="7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F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F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B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</row>
    <row r="441" spans="45:182" x14ac:dyDescent="0.55000000000000004">
      <c r="AS441">
        <f ca="1"/>
      </c>
      <c r="AT441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AZ441">
        <f ca="1"/>
      </c>
      <c r="BA441">
        <f ca="1"/>
      </c>
      <c r="BB441">
        <f ca="1"/>
      </c>
      <c r="BF441" s="7">
        <f ca="1"/>
      </c>
      <c r="BG441">
        <f ca="1"/>
      </c>
      <c r="BH441">
        <f ca="1"/>
      </c>
      <c r="BI441">
        <f ca="1"/>
      </c>
      <c r="BJ441">
        <f ca="1"/>
      </c>
      <c r="BK441">
        <f ca="1"/>
      </c>
      <c r="BM441" s="7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T441" s="7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F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F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B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</row>
    <row r="442" spans="45:182" x14ac:dyDescent="0.55000000000000004">
      <c r="AS442">
        <f ca="1"/>
      </c>
      <c r="AT442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AZ442">
        <f ca="1"/>
      </c>
      <c r="BA442">
        <f ca="1"/>
      </c>
      <c r="BB442">
        <f ca="1"/>
      </c>
      <c r="BF442" s="7">
        <f ca="1"/>
      </c>
      <c r="BG442">
        <f ca="1"/>
      </c>
      <c r="BH442">
        <f ca="1"/>
      </c>
      <c r="BI442">
        <f ca="1"/>
      </c>
      <c r="BJ442">
        <f ca="1"/>
      </c>
      <c r="BK442">
        <f ca="1"/>
      </c>
      <c r="BM442" s="7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T442" s="7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F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F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B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</row>
    <row r="443" spans="45:182" x14ac:dyDescent="0.55000000000000004">
      <c r="AS443">
        <f ca="1"/>
      </c>
      <c r="AT443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AZ443">
        <f ca="1"/>
      </c>
      <c r="BA443">
        <f ca="1"/>
      </c>
      <c r="BB443">
        <f ca="1"/>
      </c>
      <c r="BF443" s="7">
        <f ca="1"/>
      </c>
      <c r="BG443">
        <f ca="1"/>
      </c>
      <c r="BH443">
        <f ca="1"/>
      </c>
      <c r="BI443">
        <f ca="1"/>
      </c>
      <c r="BJ443">
        <f ca="1"/>
      </c>
      <c r="BK443">
        <f ca="1"/>
      </c>
      <c r="BM443" s="7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T443" s="7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F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F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B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</row>
    <row r="444" spans="45:182" x14ac:dyDescent="0.55000000000000004">
      <c r="AS444">
        <f ca="1"/>
      </c>
      <c r="AT444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AZ444">
        <f ca="1"/>
      </c>
      <c r="BA444">
        <f ca="1"/>
      </c>
      <c r="BB444">
        <f ca="1"/>
      </c>
      <c r="BF444" s="7">
        <f ca="1"/>
      </c>
      <c r="BG444">
        <f ca="1"/>
      </c>
      <c r="BH444">
        <f ca="1"/>
      </c>
      <c r="BI444">
        <f ca="1"/>
      </c>
      <c r="BJ444">
        <f ca="1"/>
      </c>
      <c r="BK444">
        <f ca="1"/>
      </c>
      <c r="BM444" s="7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T444" s="7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F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F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B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</row>
    <row r="445" spans="45:182" x14ac:dyDescent="0.55000000000000004">
      <c r="AS445">
        <f ca="1"/>
      </c>
      <c r="AT445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AZ445">
        <f ca="1"/>
      </c>
      <c r="BA445">
        <f ca="1"/>
      </c>
      <c r="BB445">
        <f ca="1"/>
      </c>
      <c r="BF445" s="7">
        <f ca="1"/>
      </c>
      <c r="BG445">
        <f ca="1"/>
      </c>
      <c r="BH445">
        <f ca="1"/>
      </c>
      <c r="BI445">
        <f ca="1"/>
      </c>
      <c r="BJ445">
        <f ca="1"/>
      </c>
      <c r="BK445">
        <f ca="1"/>
      </c>
      <c r="BM445" s="7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T445" s="7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F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F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B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</row>
    <row r="446" spans="45:182" x14ac:dyDescent="0.55000000000000004">
      <c r="AS446">
        <f ca="1"/>
      </c>
      <c r="AT446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AZ446">
        <f ca="1"/>
      </c>
      <c r="BA446">
        <f ca="1"/>
      </c>
      <c r="BB446">
        <f ca="1"/>
      </c>
      <c r="BF446" s="7">
        <f ca="1"/>
      </c>
      <c r="BG446">
        <f ca="1"/>
      </c>
      <c r="BH446">
        <f ca="1"/>
      </c>
      <c r="BI446">
        <f ca="1"/>
      </c>
      <c r="BJ446">
        <f ca="1"/>
      </c>
      <c r="BK446">
        <f ca="1"/>
      </c>
      <c r="BM446" s="7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T446" s="7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F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F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B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</row>
    <row r="447" spans="45:182" x14ac:dyDescent="0.55000000000000004">
      <c r="AS447">
        <f ca="1"/>
      </c>
      <c r="AT44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AZ447">
        <f ca="1"/>
      </c>
      <c r="BA447">
        <f ca="1"/>
      </c>
      <c r="BB447">
        <f ca="1"/>
      </c>
      <c r="BF447" s="7">
        <f ca="1"/>
      </c>
      <c r="BG447">
        <f ca="1"/>
      </c>
      <c r="BH447">
        <f ca="1"/>
      </c>
      <c r="BI447">
        <f ca="1"/>
      </c>
      <c r="BJ447">
        <f ca="1"/>
      </c>
      <c r="BK447">
        <f ca="1"/>
      </c>
      <c r="BM447" s="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T447" s="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F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F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B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</row>
    <row r="448" spans="45:182" x14ac:dyDescent="0.55000000000000004">
      <c r="AS448">
        <f ca="1"/>
      </c>
      <c r="AT448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AZ448">
        <f ca="1"/>
      </c>
      <c r="BA448">
        <f ca="1"/>
      </c>
      <c r="BB448">
        <f ca="1"/>
      </c>
      <c r="BF448" s="7">
        <f ca="1"/>
      </c>
      <c r="BG448">
        <f ca="1"/>
      </c>
      <c r="BH448">
        <f ca="1"/>
      </c>
      <c r="BI448">
        <f ca="1"/>
      </c>
      <c r="BJ448">
        <f ca="1"/>
      </c>
      <c r="BK448">
        <f ca="1"/>
      </c>
      <c r="BM448" s="7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T448" s="7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F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F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B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</row>
    <row r="449" spans="45:182" x14ac:dyDescent="0.55000000000000004">
      <c r="AS449">
        <f ca="1"/>
      </c>
      <c r="AT449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AZ449">
        <f ca="1"/>
      </c>
      <c r="BA449">
        <f ca="1"/>
      </c>
      <c r="BB449">
        <f ca="1"/>
      </c>
      <c r="BF449" s="7">
        <f ca="1"/>
      </c>
      <c r="BG449">
        <f ca="1"/>
      </c>
      <c r="BH449">
        <f ca="1"/>
      </c>
      <c r="BI449">
        <f ca="1"/>
      </c>
      <c r="BJ449">
        <f ca="1"/>
      </c>
      <c r="BK449">
        <f ca="1"/>
      </c>
      <c r="BM449" s="7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T449" s="7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F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F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B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</row>
    <row r="450" spans="45:182" x14ac:dyDescent="0.55000000000000004">
      <c r="AS450">
        <f ca="1"/>
      </c>
      <c r="AT450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AZ450">
        <f ca="1"/>
      </c>
      <c r="BA450">
        <f ca="1"/>
      </c>
      <c r="BB450">
        <f ca="1"/>
      </c>
      <c r="BF450" s="7">
        <f ca="1"/>
      </c>
      <c r="BG450">
        <f ca="1"/>
      </c>
      <c r="BH450">
        <f ca="1"/>
      </c>
      <c r="BI450">
        <f ca="1"/>
      </c>
      <c r="BJ450">
        <f ca="1"/>
      </c>
      <c r="BK450">
        <f ca="1"/>
      </c>
      <c r="BM450" s="7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T450" s="7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F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F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B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</row>
    <row r="451" spans="45:182" x14ac:dyDescent="0.55000000000000004">
      <c r="AS451">
        <f ca="1"/>
      </c>
      <c r="AT451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AZ451">
        <f ca="1"/>
      </c>
      <c r="BA451">
        <f ca="1"/>
      </c>
      <c r="BB451">
        <f ca="1"/>
      </c>
      <c r="BF451" s="7">
        <f ca="1"/>
      </c>
      <c r="BG451">
        <f ca="1"/>
      </c>
      <c r="BH451">
        <f ca="1"/>
      </c>
      <c r="BI451">
        <f ca="1"/>
      </c>
      <c r="BJ451">
        <f ca="1"/>
      </c>
      <c r="BK451">
        <f ca="1"/>
      </c>
      <c r="BM451" s="7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T451" s="7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F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F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B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</row>
    <row r="452" spans="45:182" x14ac:dyDescent="0.55000000000000004">
      <c r="AS452">
        <f ca="1"/>
      </c>
      <c r="AT452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AZ452">
        <f ca="1"/>
      </c>
      <c r="BA452">
        <f ca="1"/>
      </c>
      <c r="BB452">
        <f ca="1"/>
      </c>
      <c r="BF452" s="7">
        <f ca="1"/>
      </c>
      <c r="BG452">
        <f ca="1"/>
      </c>
      <c r="BH452">
        <f ca="1"/>
      </c>
      <c r="BI452">
        <f ca="1"/>
      </c>
      <c r="BJ452">
        <f ca="1"/>
      </c>
      <c r="BK452">
        <f ca="1"/>
      </c>
      <c r="BM452" s="7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T452" s="7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F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F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B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</row>
    <row r="453" spans="45:182" x14ac:dyDescent="0.55000000000000004">
      <c r="AS453">
        <f ca="1"/>
      </c>
      <c r="AT453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AZ453">
        <f ca="1"/>
      </c>
      <c r="BA453">
        <f ca="1"/>
      </c>
      <c r="BB453">
        <f ca="1"/>
      </c>
      <c r="BF453" s="7">
        <f ca="1"/>
      </c>
      <c r="BG453">
        <f ca="1"/>
      </c>
      <c r="BH453">
        <f ca="1"/>
      </c>
      <c r="BI453">
        <f ca="1"/>
      </c>
      <c r="BJ453">
        <f ca="1"/>
      </c>
      <c r="BK453">
        <f ca="1"/>
      </c>
      <c r="BM453" s="7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T453" s="7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F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F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B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</row>
    <row r="454" spans="45:182" x14ac:dyDescent="0.55000000000000004">
      <c r="AS454">
        <f ca="1"/>
      </c>
      <c r="AT454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AZ454">
        <f ca="1"/>
      </c>
      <c r="BA454">
        <f ca="1"/>
      </c>
      <c r="BB454">
        <f ca="1"/>
      </c>
      <c r="BF454" s="7">
        <f ca="1"/>
      </c>
      <c r="BG454">
        <f ca="1"/>
      </c>
      <c r="BH454">
        <f ca="1"/>
      </c>
      <c r="BI454">
        <f ca="1"/>
      </c>
      <c r="BJ454">
        <f ca="1"/>
      </c>
      <c r="BK454">
        <f ca="1"/>
      </c>
      <c r="BM454" s="7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T454" s="7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F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F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B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</row>
    <row r="455" spans="45:182" x14ac:dyDescent="0.55000000000000004">
      <c r="AS455">
        <f ca="1"/>
      </c>
      <c r="AT455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AZ455">
        <f ca="1"/>
      </c>
      <c r="BA455">
        <f ca="1"/>
      </c>
      <c r="BB455">
        <f ca="1"/>
      </c>
      <c r="BF455" s="7">
        <f ca="1"/>
      </c>
      <c r="BG455">
        <f ca="1"/>
      </c>
      <c r="BH455">
        <f ca="1"/>
      </c>
      <c r="BI455">
        <f ca="1"/>
      </c>
      <c r="BJ455">
        <f ca="1"/>
      </c>
      <c r="BK455">
        <f ca="1"/>
      </c>
      <c r="BM455" s="7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T455" s="7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F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F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B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</row>
    <row r="456" spans="45:182" x14ac:dyDescent="0.55000000000000004">
      <c r="AS456">
        <f ca="1"/>
      </c>
      <c r="AT456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AZ456">
        <f ca="1"/>
      </c>
      <c r="BA456">
        <f ca="1"/>
      </c>
      <c r="BB456">
        <f ca="1"/>
      </c>
      <c r="BF456" s="7">
        <f ca="1"/>
      </c>
      <c r="BG456">
        <f ca="1"/>
      </c>
      <c r="BH456">
        <f ca="1"/>
      </c>
      <c r="BI456">
        <f ca="1"/>
      </c>
      <c r="BJ456">
        <f ca="1"/>
      </c>
      <c r="BK456">
        <f ca="1"/>
      </c>
      <c r="BM456" s="7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T456" s="7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F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F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B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</row>
    <row r="457" spans="45:182" x14ac:dyDescent="0.55000000000000004">
      <c r="AS457">
        <f ca="1"/>
      </c>
      <c r="AT45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AZ457">
        <f ca="1"/>
      </c>
      <c r="BA457">
        <f ca="1"/>
      </c>
      <c r="BB457">
        <f ca="1"/>
      </c>
      <c r="BF457" s="7">
        <f ca="1"/>
      </c>
      <c r="BG457">
        <f ca="1"/>
      </c>
      <c r="BH457">
        <f ca="1"/>
      </c>
      <c r="BI457">
        <f ca="1"/>
      </c>
      <c r="BJ457">
        <f ca="1"/>
      </c>
      <c r="BK457">
        <f ca="1"/>
      </c>
      <c r="BM457" s="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T457" s="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F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F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B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</row>
    <row r="458" spans="45:182" x14ac:dyDescent="0.55000000000000004">
      <c r="AS458">
        <f ca="1"/>
      </c>
      <c r="AT458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AZ458">
        <f ca="1"/>
      </c>
      <c r="BA458">
        <f ca="1"/>
      </c>
      <c r="BB458">
        <f ca="1"/>
      </c>
      <c r="BF458" s="7">
        <f ca="1"/>
      </c>
      <c r="BG458">
        <f ca="1"/>
      </c>
      <c r="BH458">
        <f ca="1"/>
      </c>
      <c r="BI458">
        <f ca="1"/>
      </c>
      <c r="BJ458">
        <f ca="1"/>
      </c>
      <c r="BK458">
        <f ca="1"/>
      </c>
      <c r="BM458" s="7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T458" s="7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F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F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B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</row>
    <row r="459" spans="45:182" x14ac:dyDescent="0.55000000000000004">
      <c r="AS459">
        <f ca="1"/>
      </c>
      <c r="AT459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AZ459">
        <f ca="1"/>
      </c>
      <c r="BA459">
        <f ca="1"/>
      </c>
      <c r="BB459">
        <f ca="1"/>
      </c>
      <c r="BF459" s="7">
        <f ca="1"/>
      </c>
      <c r="BG459">
        <f ca="1"/>
      </c>
      <c r="BH459">
        <f ca="1"/>
      </c>
      <c r="BI459">
        <f ca="1"/>
      </c>
      <c r="BJ459">
        <f ca="1"/>
      </c>
      <c r="BK459">
        <f ca="1"/>
      </c>
      <c r="BM459" s="7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T459" s="7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F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F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B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</row>
    <row r="460" spans="45:182" x14ac:dyDescent="0.55000000000000004">
      <c r="AS460">
        <f ca="1"/>
      </c>
      <c r="AT460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AZ460">
        <f ca="1"/>
      </c>
      <c r="BA460">
        <f ca="1"/>
      </c>
      <c r="BB460">
        <f ca="1"/>
      </c>
      <c r="BF460" s="7">
        <f ca="1"/>
      </c>
      <c r="BG460">
        <f ca="1"/>
      </c>
      <c r="BH460">
        <f ca="1"/>
      </c>
      <c r="BI460">
        <f ca="1"/>
      </c>
      <c r="BJ460">
        <f ca="1"/>
      </c>
      <c r="BK460">
        <f ca="1"/>
      </c>
      <c r="BM460" s="7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T460" s="7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F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F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B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</row>
    <row r="461" spans="45:182" x14ac:dyDescent="0.55000000000000004">
      <c r="AS461">
        <f ca="1"/>
      </c>
      <c r="AT461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AZ461">
        <f ca="1"/>
      </c>
      <c r="BA461">
        <f ca="1"/>
      </c>
      <c r="BB461">
        <f ca="1"/>
      </c>
      <c r="BF461" s="7">
        <f ca="1"/>
      </c>
      <c r="BG461">
        <f ca="1"/>
      </c>
      <c r="BH461">
        <f ca="1"/>
      </c>
      <c r="BI461">
        <f ca="1"/>
      </c>
      <c r="BJ461">
        <f ca="1"/>
      </c>
      <c r="BK461">
        <f ca="1"/>
      </c>
      <c r="BM461" s="7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T461" s="7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F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F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B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</row>
    <row r="462" spans="45:182" x14ac:dyDescent="0.55000000000000004">
      <c r="AS462">
        <f ca="1"/>
      </c>
      <c r="AT462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AZ462">
        <f ca="1"/>
      </c>
      <c r="BA462">
        <f ca="1"/>
      </c>
      <c r="BB462">
        <f ca="1"/>
      </c>
      <c r="BF462" s="7">
        <f ca="1"/>
      </c>
      <c r="BG462">
        <f ca="1"/>
      </c>
      <c r="BH462">
        <f ca="1"/>
      </c>
      <c r="BI462">
        <f ca="1"/>
      </c>
      <c r="BJ462">
        <f ca="1"/>
      </c>
      <c r="BK462">
        <f ca="1"/>
      </c>
      <c r="BM462" s="7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T462" s="7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F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F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B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</row>
    <row r="463" spans="45:182" x14ac:dyDescent="0.55000000000000004">
      <c r="AS463">
        <f ca="1"/>
      </c>
      <c r="AT463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AZ463">
        <f ca="1"/>
      </c>
      <c r="BA463">
        <f ca="1"/>
      </c>
      <c r="BB463">
        <f ca="1"/>
      </c>
      <c r="BF463" s="7">
        <f ca="1"/>
      </c>
      <c r="BG463">
        <f ca="1"/>
      </c>
      <c r="BH463">
        <f ca="1"/>
      </c>
      <c r="BI463">
        <f ca="1"/>
      </c>
      <c r="BJ463">
        <f ca="1"/>
      </c>
      <c r="BK463">
        <f ca="1"/>
      </c>
      <c r="BM463" s="7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T463" s="7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F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F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B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</row>
    <row r="464" spans="45:182" x14ac:dyDescent="0.55000000000000004">
      <c r="AS464">
        <f ca="1"/>
      </c>
      <c r="AT464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AZ464">
        <f ca="1"/>
      </c>
      <c r="BA464">
        <f ca="1"/>
      </c>
      <c r="BB464">
        <f ca="1"/>
      </c>
      <c r="BF464" s="7">
        <f ca="1"/>
      </c>
      <c r="BG464">
        <f ca="1"/>
      </c>
      <c r="BH464">
        <f ca="1"/>
      </c>
      <c r="BI464">
        <f ca="1"/>
      </c>
      <c r="BJ464">
        <f ca="1"/>
      </c>
      <c r="BK464">
        <f ca="1"/>
      </c>
      <c r="BM464" s="7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T464" s="7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F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F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B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</row>
    <row r="465" spans="45:182" x14ac:dyDescent="0.55000000000000004">
      <c r="AS465">
        <f ca="1"/>
      </c>
      <c r="AT465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AZ465">
        <f ca="1"/>
      </c>
      <c r="BA465">
        <f ca="1"/>
      </c>
      <c r="BB465">
        <f ca="1"/>
      </c>
      <c r="BF465" s="7">
        <f ca="1"/>
      </c>
      <c r="BG465">
        <f ca="1"/>
      </c>
      <c r="BH465">
        <f ca="1"/>
      </c>
      <c r="BI465">
        <f ca="1"/>
      </c>
      <c r="BJ465">
        <f ca="1"/>
      </c>
      <c r="BK465">
        <f ca="1"/>
      </c>
      <c r="BM465" s="7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T465" s="7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F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F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B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</row>
    <row r="466" spans="45:182" x14ac:dyDescent="0.55000000000000004">
      <c r="AS466">
        <f ca="1"/>
      </c>
      <c r="AT466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AZ466">
        <f ca="1"/>
      </c>
      <c r="BA466">
        <f ca="1"/>
      </c>
      <c r="BB466">
        <f ca="1"/>
      </c>
      <c r="BF466" s="7">
        <f ca="1"/>
      </c>
      <c r="BG466">
        <f ca="1"/>
      </c>
      <c r="BH466">
        <f ca="1"/>
      </c>
      <c r="BI466">
        <f ca="1"/>
      </c>
      <c r="BJ466">
        <f ca="1"/>
      </c>
      <c r="BK466">
        <f ca="1"/>
      </c>
      <c r="BM466" s="7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T466" s="7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F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F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B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</row>
    <row r="467" spans="45:182" x14ac:dyDescent="0.55000000000000004">
      <c r="AS467">
        <f ca="1"/>
      </c>
      <c r="AT46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AZ467">
        <f ca="1"/>
      </c>
      <c r="BA467">
        <f ca="1"/>
      </c>
      <c r="BB467">
        <f ca="1"/>
      </c>
      <c r="BF467" s="7">
        <f ca="1"/>
      </c>
      <c r="BG467">
        <f ca="1"/>
      </c>
      <c r="BH467">
        <f ca="1"/>
      </c>
      <c r="BI467">
        <f ca="1"/>
      </c>
      <c r="BJ467">
        <f ca="1"/>
      </c>
      <c r="BK467">
        <f ca="1"/>
      </c>
      <c r="BM467" s="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T467" s="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F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F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B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</row>
    <row r="468" spans="45:182" x14ac:dyDescent="0.55000000000000004">
      <c r="AS468">
        <f ca="1"/>
      </c>
      <c r="AT468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AZ468">
        <f ca="1"/>
      </c>
      <c r="BA468">
        <f ca="1"/>
      </c>
      <c r="BB468">
        <f ca="1"/>
      </c>
      <c r="BF468" s="7">
        <f ca="1"/>
      </c>
      <c r="BG468">
        <f ca="1"/>
      </c>
      <c r="BH468">
        <f ca="1"/>
      </c>
      <c r="BI468">
        <f ca="1"/>
      </c>
      <c r="BJ468">
        <f ca="1"/>
      </c>
      <c r="BK468">
        <f ca="1"/>
      </c>
      <c r="BM468" s="7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T468" s="7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F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F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B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</row>
    <row r="469" spans="45:182" x14ac:dyDescent="0.55000000000000004">
      <c r="AS469">
        <f ca="1"/>
      </c>
      <c r="AT469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AZ469">
        <f ca="1"/>
      </c>
      <c r="BA469">
        <f ca="1"/>
      </c>
      <c r="BB469">
        <f ca="1"/>
      </c>
      <c r="BF469" s="7">
        <f ca="1"/>
      </c>
      <c r="BG469">
        <f ca="1"/>
      </c>
      <c r="BH469">
        <f ca="1"/>
      </c>
      <c r="BI469">
        <f ca="1"/>
      </c>
      <c r="BJ469">
        <f ca="1"/>
      </c>
      <c r="BK469">
        <f ca="1"/>
      </c>
      <c r="BM469" s="7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T469" s="7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F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F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B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</row>
    <row r="470" spans="45:182" x14ac:dyDescent="0.55000000000000004">
      <c r="AS470">
        <f ca="1"/>
      </c>
      <c r="AT470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AZ470">
        <f ca="1"/>
      </c>
      <c r="BA470">
        <f ca="1"/>
      </c>
      <c r="BB470">
        <f ca="1"/>
      </c>
      <c r="BF470" s="7">
        <f ca="1"/>
      </c>
      <c r="BG470">
        <f ca="1"/>
      </c>
      <c r="BH470">
        <f ca="1"/>
      </c>
      <c r="BI470">
        <f ca="1"/>
      </c>
      <c r="BJ470">
        <f ca="1"/>
      </c>
      <c r="BK470">
        <f ca="1"/>
      </c>
      <c r="BM470" s="7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T470" s="7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F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F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B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</row>
    <row r="471" spans="45:182" x14ac:dyDescent="0.55000000000000004">
      <c r="AS471">
        <f ca="1"/>
      </c>
      <c r="AT471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AZ471">
        <f ca="1"/>
      </c>
      <c r="BA471">
        <f ca="1"/>
      </c>
      <c r="BB471">
        <f ca="1"/>
      </c>
      <c r="BF471" s="7">
        <f ca="1"/>
      </c>
      <c r="BG471">
        <f ca="1"/>
      </c>
      <c r="BH471">
        <f ca="1"/>
      </c>
      <c r="BI471">
        <f ca="1"/>
      </c>
      <c r="BJ471">
        <f ca="1"/>
      </c>
      <c r="BK471">
        <f ca="1"/>
      </c>
      <c r="BM471" s="7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T471" s="7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F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F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B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</row>
    <row r="472" spans="45:182" x14ac:dyDescent="0.55000000000000004">
      <c r="AS472">
        <f ca="1"/>
      </c>
      <c r="AT472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AZ472">
        <f ca="1"/>
      </c>
      <c r="BA472">
        <f ca="1"/>
      </c>
      <c r="BB472">
        <f ca="1"/>
      </c>
      <c r="BF472" s="7">
        <f ca="1"/>
      </c>
      <c r="BG472">
        <f ca="1"/>
      </c>
      <c r="BH472">
        <f ca="1"/>
      </c>
      <c r="BI472">
        <f ca="1"/>
      </c>
      <c r="BJ472">
        <f ca="1"/>
      </c>
      <c r="BK472">
        <f ca="1"/>
      </c>
      <c r="BM472" s="7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T472" s="7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F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F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B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</row>
    <row r="473" spans="45:182" x14ac:dyDescent="0.55000000000000004">
      <c r="AS473">
        <f ca="1"/>
      </c>
      <c r="AT473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AZ473">
        <f ca="1"/>
      </c>
      <c r="BA473">
        <f ca="1"/>
      </c>
      <c r="BB473">
        <f ca="1"/>
      </c>
      <c r="BF473" s="7">
        <f ca="1"/>
      </c>
      <c r="BG473">
        <f ca="1"/>
      </c>
      <c r="BH473">
        <f ca="1"/>
      </c>
      <c r="BI473">
        <f ca="1"/>
      </c>
      <c r="BJ473">
        <f ca="1"/>
      </c>
      <c r="BK473">
        <f ca="1"/>
      </c>
      <c r="BM473" s="7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T473" s="7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F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F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B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</row>
    <row r="474" spans="45:182" x14ac:dyDescent="0.55000000000000004">
      <c r="AS474">
        <f ca="1"/>
      </c>
      <c r="AT474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AZ474">
        <f ca="1"/>
      </c>
      <c r="BA474">
        <f ca="1"/>
      </c>
      <c r="BB474">
        <f ca="1"/>
      </c>
      <c r="BF474" s="7">
        <f ca="1"/>
      </c>
      <c r="BG474">
        <f ca="1"/>
      </c>
      <c r="BH474">
        <f ca="1"/>
      </c>
      <c r="BI474">
        <f ca="1"/>
      </c>
      <c r="BJ474">
        <f ca="1"/>
      </c>
      <c r="BK474">
        <f ca="1"/>
      </c>
      <c r="BM474" s="7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T474" s="7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F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F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B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</row>
    <row r="475" spans="45:182" x14ac:dyDescent="0.55000000000000004">
      <c r="AS475">
        <f ca="1"/>
      </c>
      <c r="AT475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AZ475">
        <f ca="1"/>
      </c>
      <c r="BA475">
        <f ca="1"/>
      </c>
      <c r="BB475">
        <f ca="1"/>
      </c>
      <c r="BF475" s="7">
        <f ca="1"/>
      </c>
      <c r="BG475">
        <f ca="1"/>
      </c>
      <c r="BH475">
        <f ca="1"/>
      </c>
      <c r="BI475">
        <f ca="1"/>
      </c>
      <c r="BJ475">
        <f ca="1"/>
      </c>
      <c r="BK475">
        <f ca="1"/>
      </c>
      <c r="BM475" s="7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T475" s="7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F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F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B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</row>
    <row r="476" spans="45:182" x14ac:dyDescent="0.55000000000000004">
      <c r="AS476">
        <f ca="1"/>
      </c>
      <c r="AT476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AZ476">
        <f ca="1"/>
      </c>
      <c r="BA476">
        <f ca="1"/>
      </c>
      <c r="BB476">
        <f ca="1"/>
      </c>
      <c r="BF476" s="7">
        <f ca="1"/>
      </c>
      <c r="BG476">
        <f ca="1"/>
      </c>
      <c r="BH476">
        <f ca="1"/>
      </c>
      <c r="BI476">
        <f ca="1"/>
      </c>
      <c r="BJ476">
        <f ca="1"/>
      </c>
      <c r="BK476">
        <f ca="1"/>
      </c>
      <c r="BM476" s="7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T476" s="7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F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F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B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</row>
    <row r="477" spans="45:182" x14ac:dyDescent="0.55000000000000004">
      <c r="AS477">
        <f ca="1"/>
      </c>
      <c r="AT47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AZ477">
        <f ca="1"/>
      </c>
      <c r="BA477">
        <f ca="1"/>
      </c>
      <c r="BB477">
        <f ca="1"/>
      </c>
      <c r="BF477" s="7">
        <f ca="1"/>
      </c>
      <c r="BG477">
        <f ca="1"/>
      </c>
      <c r="BH477">
        <f ca="1"/>
      </c>
      <c r="BI477">
        <f ca="1"/>
      </c>
      <c r="BJ477">
        <f ca="1"/>
      </c>
      <c r="BK477">
        <f ca="1"/>
      </c>
      <c r="BM477" s="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T477" s="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F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F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B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</row>
    <row r="478" spans="45:182" x14ac:dyDescent="0.55000000000000004">
      <c r="AS478">
        <f ca="1"/>
      </c>
      <c r="AT478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AZ478">
        <f ca="1"/>
      </c>
      <c r="BA478">
        <f ca="1"/>
      </c>
      <c r="BB478">
        <f ca="1"/>
      </c>
      <c r="BF478" s="7">
        <f ca="1"/>
      </c>
      <c r="BG478">
        <f ca="1"/>
      </c>
      <c r="BH478">
        <f ca="1"/>
      </c>
      <c r="BI478">
        <f ca="1"/>
      </c>
      <c r="BJ478">
        <f ca="1"/>
      </c>
      <c r="BK478">
        <f ca="1"/>
      </c>
      <c r="BM478" s="7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T478" s="7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F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F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B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</row>
    <row r="479" spans="45:182" x14ac:dyDescent="0.55000000000000004">
      <c r="AS479">
        <f ca="1"/>
      </c>
      <c r="AT479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AZ479">
        <f ca="1"/>
      </c>
      <c r="BA479">
        <f ca="1"/>
      </c>
      <c r="BB479">
        <f ca="1"/>
      </c>
      <c r="BF479" s="7">
        <f ca="1"/>
      </c>
      <c r="BG479">
        <f ca="1"/>
      </c>
      <c r="BH479">
        <f ca="1"/>
      </c>
      <c r="BI479">
        <f ca="1"/>
      </c>
      <c r="BJ479">
        <f ca="1"/>
      </c>
      <c r="BK479">
        <f ca="1"/>
      </c>
      <c r="BM479" s="7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T479" s="7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F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F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B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</row>
    <row r="480" spans="45:182" x14ac:dyDescent="0.55000000000000004">
      <c r="AS480">
        <f ca="1"/>
      </c>
      <c r="AT480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AZ480">
        <f ca="1"/>
      </c>
      <c r="BA480">
        <f ca="1"/>
      </c>
      <c r="BB480">
        <f ca="1"/>
      </c>
      <c r="BF480" s="7">
        <f ca="1"/>
      </c>
      <c r="BG480">
        <f ca="1"/>
      </c>
      <c r="BH480">
        <f ca="1"/>
      </c>
      <c r="BI480">
        <f ca="1"/>
      </c>
      <c r="BJ480">
        <f ca="1"/>
      </c>
      <c r="BK480">
        <f ca="1"/>
      </c>
      <c r="BM480" s="7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T480" s="7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F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F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B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</row>
    <row r="481" spans="45:182" x14ac:dyDescent="0.55000000000000004">
      <c r="AS481">
        <f ca="1"/>
      </c>
      <c r="AT481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AZ481">
        <f ca="1"/>
      </c>
      <c r="BA481">
        <f ca="1"/>
      </c>
      <c r="BB481">
        <f ca="1"/>
      </c>
      <c r="BF481" s="7">
        <f ca="1"/>
      </c>
      <c r="BG481">
        <f ca="1"/>
      </c>
      <c r="BH481">
        <f ca="1"/>
      </c>
      <c r="BI481">
        <f ca="1"/>
      </c>
      <c r="BJ481">
        <f ca="1"/>
      </c>
      <c r="BK481">
        <f ca="1"/>
      </c>
      <c r="BM481" s="7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T481" s="7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F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F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B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</row>
    <row r="482" spans="45:182" x14ac:dyDescent="0.55000000000000004">
      <c r="AS482">
        <f ca="1"/>
      </c>
      <c r="AT482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AZ482">
        <f ca="1"/>
      </c>
      <c r="BA482">
        <f ca="1"/>
      </c>
      <c r="BB482">
        <f ca="1"/>
      </c>
      <c r="BF482" s="7">
        <f ca="1"/>
      </c>
      <c r="BG482">
        <f ca="1"/>
      </c>
      <c r="BH482">
        <f ca="1"/>
      </c>
      <c r="BI482">
        <f ca="1"/>
      </c>
      <c r="BJ482">
        <f ca="1"/>
      </c>
      <c r="BK482">
        <f ca="1"/>
      </c>
      <c r="BM482" s="7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T482" s="7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F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F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B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</row>
    <row r="483" spans="45:182" x14ac:dyDescent="0.55000000000000004">
      <c r="AS483">
        <f ca="1"/>
      </c>
      <c r="AT483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AZ483">
        <f ca="1"/>
      </c>
      <c r="BA483">
        <f ca="1"/>
      </c>
      <c r="BB483">
        <f ca="1"/>
      </c>
      <c r="BF483" s="7">
        <f ca="1"/>
      </c>
      <c r="BG483">
        <f ca="1"/>
      </c>
      <c r="BH483">
        <f ca="1"/>
      </c>
      <c r="BI483">
        <f ca="1"/>
      </c>
      <c r="BJ483">
        <f ca="1"/>
      </c>
      <c r="BK483">
        <f ca="1"/>
      </c>
      <c r="BM483" s="7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T483" s="7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F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F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B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</row>
    <row r="484" spans="45:182" x14ac:dyDescent="0.55000000000000004">
      <c r="AS484">
        <f ca="1"/>
      </c>
      <c r="AT484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AZ484">
        <f ca="1"/>
      </c>
      <c r="BA484">
        <f ca="1"/>
      </c>
      <c r="BB484">
        <f ca="1"/>
      </c>
      <c r="BF484" s="7">
        <f ca="1"/>
      </c>
      <c r="BG484">
        <f ca="1"/>
      </c>
      <c r="BH484">
        <f ca="1"/>
      </c>
      <c r="BI484">
        <f ca="1"/>
      </c>
      <c r="BJ484">
        <f ca="1"/>
      </c>
      <c r="BK484">
        <f ca="1"/>
      </c>
      <c r="BM484" s="7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T484" s="7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F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F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B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</row>
    <row r="485" spans="45:182" x14ac:dyDescent="0.55000000000000004">
      <c r="AS485">
        <f ca="1"/>
      </c>
      <c r="AT485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AZ485">
        <f ca="1"/>
      </c>
      <c r="BA485">
        <f ca="1"/>
      </c>
      <c r="BB485">
        <f ca="1"/>
      </c>
      <c r="BF485" s="7">
        <f ca="1"/>
      </c>
      <c r="BG485">
        <f ca="1"/>
      </c>
      <c r="BH485">
        <f ca="1"/>
      </c>
      <c r="BI485">
        <f ca="1"/>
      </c>
      <c r="BJ485">
        <f ca="1"/>
      </c>
      <c r="BK485">
        <f ca="1"/>
      </c>
      <c r="BM485" s="7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T485" s="7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F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F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B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</row>
    <row r="486" spans="45:182" x14ac:dyDescent="0.55000000000000004">
      <c r="AS486">
        <f ca="1"/>
      </c>
      <c r="AT486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AZ486">
        <f ca="1"/>
      </c>
      <c r="BA486">
        <f ca="1"/>
      </c>
      <c r="BB486">
        <f ca="1"/>
      </c>
      <c r="BF486" s="7">
        <f ca="1"/>
      </c>
      <c r="BG486">
        <f ca="1"/>
      </c>
      <c r="BH486">
        <f ca="1"/>
      </c>
      <c r="BI486">
        <f ca="1"/>
      </c>
      <c r="BJ486">
        <f ca="1"/>
      </c>
      <c r="BK486">
        <f ca="1"/>
      </c>
      <c r="BM486" s="7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T486" s="7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F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F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B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</row>
    <row r="487" spans="45:182" x14ac:dyDescent="0.55000000000000004">
      <c r="BF487" s="7"/>
      <c r="BM487" s="7"/>
      <c r="BT487" s="7"/>
    </row>
    <row r="488" spans="45:182" x14ac:dyDescent="0.55000000000000004">
      <c r="BF488" s="7"/>
      <c r="BM488" s="7"/>
      <c r="BT488" s="7"/>
    </row>
    <row r="489" spans="45:182" x14ac:dyDescent="0.55000000000000004">
      <c r="BF489" s="7"/>
      <c r="BM489" s="7"/>
      <c r="BT489" s="7"/>
    </row>
    <row r="490" spans="45:182" x14ac:dyDescent="0.55000000000000004">
      <c r="BF490" s="7"/>
      <c r="BM490" s="7"/>
      <c r="BT490" s="7"/>
    </row>
    <row r="491" spans="45:182" x14ac:dyDescent="0.55000000000000004">
      <c r="BF491" s="7"/>
      <c r="BM491" s="7"/>
      <c r="BT491" s="7"/>
    </row>
    <row r="492" spans="45:182" x14ac:dyDescent="0.55000000000000004">
      <c r="BF492" s="7"/>
      <c r="BM492" s="7"/>
      <c r="BT492" s="7"/>
    </row>
    <row r="493" spans="45:182" x14ac:dyDescent="0.55000000000000004">
      <c r="BF493" s="7"/>
      <c r="BM493" s="7"/>
      <c r="BT493" s="7"/>
    </row>
    <row r="494" spans="45:182" x14ac:dyDescent="0.55000000000000004">
      <c r="BF494" s="7"/>
      <c r="BM494" s="7"/>
      <c r="BT494" s="7"/>
    </row>
    <row r="495" spans="45:182" x14ac:dyDescent="0.55000000000000004">
      <c r="BF495" s="7"/>
      <c r="BM495" s="7"/>
      <c r="BT495" s="7"/>
    </row>
    <row r="496" spans="45:182" x14ac:dyDescent="0.55000000000000004">
      <c r="BF496" s="7"/>
      <c r="BM496" s="7"/>
      <c r="BT496" s="7"/>
    </row>
    <row r="497" spans="58:72" x14ac:dyDescent="0.55000000000000004">
      <c r="BF497" s="7"/>
      <c r="BM497" s="7"/>
      <c r="BT497" s="7"/>
    </row>
    <row r="498" spans="58:72" x14ac:dyDescent="0.55000000000000004">
      <c r="BF498" s="7"/>
      <c r="BM498" s="7"/>
      <c r="BT498" s="7"/>
    </row>
    <row r="499" spans="58:72" x14ac:dyDescent="0.55000000000000004">
      <c r="BF499" s="7"/>
      <c r="BM499" s="7"/>
      <c r="BT499" s="7"/>
    </row>
    <row r="500" spans="58:72" x14ac:dyDescent="0.55000000000000004">
      <c r="BF500" s="7"/>
      <c r="BM500" s="7"/>
      <c r="BT500" s="7"/>
    </row>
    <row r="501" spans="58:72" x14ac:dyDescent="0.55000000000000004">
      <c r="BF501" s="7"/>
      <c r="BM501" s="7"/>
      <c r="BT501" s="7"/>
    </row>
    <row r="502" spans="58:72" x14ac:dyDescent="0.55000000000000004">
      <c r="BF502" s="7"/>
      <c r="BM502" s="7"/>
      <c r="BT502" s="7"/>
    </row>
    <row r="503" spans="58:72" x14ac:dyDescent="0.55000000000000004">
      <c r="BF503" s="7"/>
      <c r="BM503" s="7"/>
      <c r="BT503" s="7"/>
    </row>
    <row r="504" spans="58:72" x14ac:dyDescent="0.55000000000000004">
      <c r="BF504" s="7"/>
      <c r="BM504" s="7"/>
      <c r="BT504" s="7"/>
    </row>
    <row r="505" spans="58:72" x14ac:dyDescent="0.55000000000000004">
      <c r="BF505" s="7"/>
      <c r="BM505" s="7"/>
      <c r="BT505" s="7"/>
    </row>
    <row r="506" spans="58:72" x14ac:dyDescent="0.55000000000000004">
      <c r="BF506" s="7"/>
      <c r="BM506" s="7"/>
      <c r="BT506" s="7"/>
    </row>
    <row r="507" spans="58:72" x14ac:dyDescent="0.55000000000000004">
      <c r="BF507" s="7"/>
      <c r="BM507" s="7"/>
      <c r="BT507" s="7"/>
    </row>
    <row r="508" spans="58:72" x14ac:dyDescent="0.55000000000000004">
      <c r="BF508" s="7"/>
      <c r="BM508" s="7"/>
      <c r="BT508" s="7"/>
    </row>
    <row r="509" spans="58:72" x14ac:dyDescent="0.55000000000000004">
      <c r="BF509" s="7"/>
      <c r="BM509" s="7"/>
      <c r="BT509" s="7"/>
    </row>
    <row r="510" spans="58:72" x14ac:dyDescent="0.55000000000000004">
      <c r="BF510" s="7"/>
      <c r="BM510" s="7"/>
      <c r="BT510" s="7"/>
    </row>
    <row r="511" spans="58:72" x14ac:dyDescent="0.55000000000000004">
      <c r="BF511" s="7"/>
      <c r="BM511" s="7"/>
      <c r="BT511" s="7"/>
    </row>
    <row r="512" spans="58:72" x14ac:dyDescent="0.55000000000000004">
      <c r="BF512" s="7"/>
      <c r="BM512" s="7"/>
      <c r="BT512" s="7"/>
    </row>
    <row r="513" spans="58:72" x14ac:dyDescent="0.55000000000000004">
      <c r="BF513" s="7"/>
      <c r="BM513" s="7"/>
      <c r="BT513" s="7"/>
    </row>
    <row r="514" spans="58:72" x14ac:dyDescent="0.55000000000000004">
      <c r="BF514" s="7"/>
      <c r="BM514" s="7"/>
      <c r="BT514" s="7"/>
    </row>
    <row r="515" spans="58:72" x14ac:dyDescent="0.55000000000000004">
      <c r="BF515" s="7"/>
      <c r="BM515" s="7"/>
      <c r="BT515" s="7"/>
    </row>
    <row r="516" spans="58:72" x14ac:dyDescent="0.55000000000000004">
      <c r="BF516" s="7"/>
      <c r="BM516" s="7"/>
      <c r="BT516" s="7"/>
    </row>
    <row r="517" spans="58:72" x14ac:dyDescent="0.55000000000000004">
      <c r="BF517" s="7"/>
      <c r="BM517" s="7"/>
      <c r="BT517" s="7"/>
    </row>
    <row r="518" spans="58:72" x14ac:dyDescent="0.55000000000000004">
      <c r="BF518" s="7"/>
      <c r="BM518" s="7"/>
      <c r="BT518" s="7"/>
    </row>
    <row r="519" spans="58:72" x14ac:dyDescent="0.55000000000000004">
      <c r="BF519" s="7"/>
      <c r="BM519" s="7"/>
      <c r="BT519" s="7"/>
    </row>
    <row r="520" spans="58:72" x14ac:dyDescent="0.55000000000000004">
      <c r="BF520" s="7"/>
      <c r="BM520" s="7"/>
      <c r="BT520" s="7"/>
    </row>
    <row r="521" spans="58:72" x14ac:dyDescent="0.55000000000000004">
      <c r="BF521" s="7"/>
      <c r="BM521" s="7"/>
      <c r="BT521" s="7"/>
    </row>
    <row r="522" spans="58:72" x14ac:dyDescent="0.55000000000000004">
      <c r="BF522" s="7"/>
      <c r="BM522" s="7"/>
      <c r="BT522" s="7"/>
    </row>
    <row r="523" spans="58:72" x14ac:dyDescent="0.55000000000000004">
      <c r="BF523" s="7"/>
      <c r="BM523" s="7"/>
      <c r="BT523" s="7"/>
    </row>
    <row r="524" spans="58:72" x14ac:dyDescent="0.55000000000000004">
      <c r="BF524" s="7"/>
      <c r="BM524" s="7"/>
      <c r="BT524" s="7"/>
    </row>
    <row r="525" spans="58:72" x14ac:dyDescent="0.55000000000000004">
      <c r="BF525" s="7"/>
      <c r="BM525" s="7"/>
      <c r="BT525" s="7"/>
    </row>
    <row r="526" spans="58:72" x14ac:dyDescent="0.55000000000000004">
      <c r="BF526" s="7"/>
      <c r="BM526" s="7"/>
      <c r="BT526" s="7"/>
    </row>
    <row r="527" spans="58:72" x14ac:dyDescent="0.55000000000000004">
      <c r="BF527" s="7"/>
      <c r="BM527" s="7"/>
      <c r="BT527" s="7"/>
    </row>
    <row r="528" spans="58:72" x14ac:dyDescent="0.55000000000000004">
      <c r="BF528" s="7"/>
      <c r="BM528" s="7"/>
      <c r="BT528" s="7"/>
    </row>
    <row r="529" spans="58:72" x14ac:dyDescent="0.55000000000000004">
      <c r="BF529" s="7"/>
      <c r="BM529" s="7"/>
      <c r="BT529" s="7"/>
    </row>
    <row r="530" spans="58:72" x14ac:dyDescent="0.55000000000000004">
      <c r="BF530" s="7"/>
      <c r="BM530" s="7"/>
      <c r="BT530" s="7"/>
    </row>
    <row r="531" spans="58:72" x14ac:dyDescent="0.55000000000000004">
      <c r="BF531" s="7"/>
      <c r="BM531" s="7"/>
      <c r="BT531" s="7"/>
    </row>
    <row r="532" spans="58:72" x14ac:dyDescent="0.55000000000000004">
      <c r="BF532" s="7"/>
      <c r="BM532" s="7"/>
      <c r="BT532" s="7"/>
    </row>
    <row r="533" spans="58:72" x14ac:dyDescent="0.55000000000000004">
      <c r="BF533" s="7"/>
      <c r="BM533" s="7"/>
      <c r="BT533" s="7"/>
    </row>
    <row r="534" spans="58:72" x14ac:dyDescent="0.55000000000000004">
      <c r="BF534" s="7"/>
      <c r="BM534" s="7"/>
      <c r="BT534" s="7"/>
    </row>
    <row r="535" spans="58:72" x14ac:dyDescent="0.55000000000000004">
      <c r="BF535" s="7"/>
      <c r="BM535" s="7"/>
      <c r="BT535" s="7"/>
    </row>
    <row r="536" spans="58:72" x14ac:dyDescent="0.55000000000000004">
      <c r="BF536" s="7"/>
      <c r="BM536" s="7"/>
      <c r="BT536" s="7"/>
    </row>
    <row r="537" spans="58:72" x14ac:dyDescent="0.55000000000000004">
      <c r="BF537" s="7"/>
      <c r="BM537" s="7"/>
      <c r="BT537" s="7"/>
    </row>
    <row r="538" spans="58:72" x14ac:dyDescent="0.55000000000000004">
      <c r="BF538" s="7"/>
      <c r="BM538" s="7"/>
      <c r="BT538" s="7"/>
    </row>
    <row r="539" spans="58:72" x14ac:dyDescent="0.55000000000000004">
      <c r="BF539" s="7"/>
      <c r="BM539" s="7"/>
      <c r="BT539" s="7"/>
    </row>
    <row r="540" spans="58:72" x14ac:dyDescent="0.55000000000000004">
      <c r="BF540" s="7"/>
      <c r="BM540" s="7"/>
      <c r="BT540" s="7"/>
    </row>
    <row r="541" spans="58:72" x14ac:dyDescent="0.55000000000000004">
      <c r="BF541" s="7"/>
      <c r="BM541" s="7"/>
      <c r="BT541" s="7"/>
    </row>
    <row r="542" spans="58:72" x14ac:dyDescent="0.55000000000000004">
      <c r="BF542" s="7"/>
      <c r="BM542" s="7"/>
      <c r="BT542" s="7"/>
    </row>
    <row r="543" spans="58:72" x14ac:dyDescent="0.55000000000000004">
      <c r="BF543" s="7"/>
      <c r="BM543" s="7"/>
      <c r="BT543" s="7"/>
    </row>
    <row r="544" spans="58:72" x14ac:dyDescent="0.55000000000000004">
      <c r="BF544" s="7"/>
      <c r="BM544" s="7"/>
      <c r="BT544" s="7"/>
    </row>
    <row r="545" spans="58:72" x14ac:dyDescent="0.55000000000000004">
      <c r="BF545" s="7"/>
      <c r="BM545" s="7"/>
      <c r="BT545" s="7"/>
    </row>
    <row r="546" spans="58:72" x14ac:dyDescent="0.55000000000000004">
      <c r="BF546" s="7"/>
      <c r="BM546" s="7"/>
      <c r="BT546" s="7"/>
    </row>
    <row r="547" spans="58:72" x14ac:dyDescent="0.55000000000000004">
      <c r="BF547" s="7"/>
      <c r="BM547" s="7"/>
      <c r="BT547" s="7"/>
    </row>
    <row r="548" spans="58:72" x14ac:dyDescent="0.55000000000000004">
      <c r="BF548" s="7"/>
      <c r="BM548" s="7"/>
      <c r="BT548" s="7"/>
    </row>
    <row r="549" spans="58:72" x14ac:dyDescent="0.55000000000000004">
      <c r="BF549" s="7"/>
      <c r="BM549" s="7"/>
      <c r="BT549" s="7"/>
    </row>
    <row r="550" spans="58:72" x14ac:dyDescent="0.55000000000000004">
      <c r="BF550" s="7"/>
      <c r="BM550" s="7"/>
      <c r="BT550" s="7"/>
    </row>
    <row r="551" spans="58:72" x14ac:dyDescent="0.55000000000000004">
      <c r="BF551" s="7"/>
      <c r="BM551" s="7"/>
      <c r="BT551" s="7"/>
    </row>
    <row r="552" spans="58:72" x14ac:dyDescent="0.55000000000000004">
      <c r="BF552" s="7"/>
      <c r="BM552" s="7"/>
      <c r="BT552" s="7"/>
    </row>
    <row r="553" spans="58:72" x14ac:dyDescent="0.55000000000000004">
      <c r="BF553" s="7"/>
      <c r="BM553" s="7"/>
      <c r="BT553" s="7"/>
    </row>
    <row r="554" spans="58:72" x14ac:dyDescent="0.55000000000000004">
      <c r="BF554" s="7"/>
      <c r="BM554" s="7"/>
      <c r="BT554" s="7"/>
    </row>
    <row r="555" spans="58:72" x14ac:dyDescent="0.55000000000000004">
      <c r="BF555" s="7"/>
      <c r="BM555" s="7"/>
      <c r="BT555" s="7"/>
    </row>
    <row r="556" spans="58:72" x14ac:dyDescent="0.55000000000000004">
      <c r="BF556" s="7"/>
      <c r="BM556" s="7"/>
      <c r="BT556" s="7"/>
    </row>
    <row r="557" spans="58:72" x14ac:dyDescent="0.55000000000000004">
      <c r="BF557" s="7"/>
      <c r="BM557" s="7"/>
      <c r="BT557" s="7"/>
    </row>
    <row r="558" spans="58:72" x14ac:dyDescent="0.55000000000000004">
      <c r="BF558" s="7"/>
      <c r="BM558" s="7"/>
      <c r="BT558" s="7"/>
    </row>
    <row r="559" spans="58:72" x14ac:dyDescent="0.55000000000000004">
      <c r="BF559" s="7"/>
      <c r="BM559" s="7"/>
      <c r="BT559" s="7"/>
    </row>
    <row r="560" spans="58:72" x14ac:dyDescent="0.55000000000000004">
      <c r="BF560" s="7"/>
      <c r="BM560" s="7"/>
      <c r="BT560" s="7"/>
    </row>
    <row r="561" spans="58:72" x14ac:dyDescent="0.55000000000000004">
      <c r="BF561" s="7"/>
      <c r="BM561" s="7"/>
      <c r="BT561" s="7"/>
    </row>
    <row r="562" spans="58:72" x14ac:dyDescent="0.55000000000000004">
      <c r="BF562" s="7"/>
      <c r="BM562" s="7"/>
      <c r="BT562" s="7"/>
    </row>
    <row r="563" spans="58:72" x14ac:dyDescent="0.55000000000000004">
      <c r="BF563" s="7"/>
      <c r="BM563" s="7"/>
      <c r="BT563" s="7"/>
    </row>
    <row r="564" spans="58:72" x14ac:dyDescent="0.55000000000000004">
      <c r="BF564" s="7"/>
      <c r="BM564" s="7"/>
      <c r="BT564" s="7"/>
    </row>
    <row r="565" spans="58:72" x14ac:dyDescent="0.55000000000000004">
      <c r="BF565" s="7"/>
      <c r="BM565" s="7"/>
      <c r="BT565" s="7"/>
    </row>
    <row r="566" spans="58:72" x14ac:dyDescent="0.55000000000000004">
      <c r="BF566" s="7"/>
      <c r="BM566" s="7"/>
      <c r="BT566" s="7"/>
    </row>
    <row r="567" spans="58:72" x14ac:dyDescent="0.55000000000000004">
      <c r="BF567" s="7"/>
      <c r="BM567" s="7"/>
      <c r="BT567" s="7"/>
    </row>
    <row r="568" spans="58:72" x14ac:dyDescent="0.55000000000000004">
      <c r="BF568" s="7"/>
      <c r="BM568" s="7"/>
      <c r="BT568" s="7"/>
    </row>
    <row r="569" spans="58:72" x14ac:dyDescent="0.55000000000000004">
      <c r="BF569" s="7"/>
      <c r="BM569" s="7"/>
      <c r="BT569" s="7"/>
    </row>
    <row r="570" spans="58:72" x14ac:dyDescent="0.55000000000000004">
      <c r="BF570" s="7"/>
      <c r="BM570" s="7"/>
      <c r="BT570" s="7"/>
    </row>
    <row r="571" spans="58:72" x14ac:dyDescent="0.55000000000000004">
      <c r="BF571" s="7"/>
      <c r="BM571" s="7"/>
      <c r="BT571" s="7"/>
    </row>
    <row r="572" spans="58:72" x14ac:dyDescent="0.55000000000000004">
      <c r="BF572" s="7"/>
      <c r="BM572" s="7"/>
      <c r="BT572" s="7"/>
    </row>
    <row r="573" spans="58:72" x14ac:dyDescent="0.55000000000000004">
      <c r="BF573" s="7"/>
      <c r="BM573" s="7"/>
      <c r="BT573" s="7"/>
    </row>
    <row r="574" spans="58:72" x14ac:dyDescent="0.55000000000000004">
      <c r="BF574" s="7"/>
      <c r="BM574" s="7"/>
      <c r="BT574" s="7"/>
    </row>
    <row r="575" spans="58:72" x14ac:dyDescent="0.55000000000000004">
      <c r="BF575" s="7"/>
      <c r="BM575" s="7"/>
      <c r="BT575" s="7"/>
    </row>
    <row r="576" spans="58:72" x14ac:dyDescent="0.55000000000000004">
      <c r="BF576" s="7"/>
      <c r="BM576" s="7"/>
      <c r="BT576" s="7"/>
    </row>
    <row r="577" spans="58:72" x14ac:dyDescent="0.55000000000000004">
      <c r="BF577" s="7"/>
      <c r="BM577" s="7"/>
      <c r="BT577" s="7"/>
    </row>
    <row r="578" spans="58:72" x14ac:dyDescent="0.55000000000000004">
      <c r="BF578" s="7"/>
      <c r="BM578" s="7"/>
      <c r="BT578" s="7"/>
    </row>
    <row r="579" spans="58:72" x14ac:dyDescent="0.55000000000000004">
      <c r="BF579" s="7"/>
      <c r="BM579" s="7"/>
      <c r="BT579" s="7"/>
    </row>
    <row r="580" spans="58:72" x14ac:dyDescent="0.55000000000000004">
      <c r="BF580" s="7"/>
      <c r="BM580" s="7"/>
      <c r="BT580" s="7"/>
    </row>
    <row r="581" spans="58:72" x14ac:dyDescent="0.55000000000000004">
      <c r="BF581" s="7"/>
      <c r="BM581" s="7"/>
      <c r="BT581" s="7"/>
    </row>
    <row r="582" spans="58:72" x14ac:dyDescent="0.55000000000000004">
      <c r="BF582" s="7"/>
      <c r="BM582" s="7"/>
      <c r="BT582" s="7"/>
    </row>
    <row r="583" spans="58:72" x14ac:dyDescent="0.55000000000000004">
      <c r="BF583" s="7"/>
      <c r="BM583" s="7"/>
      <c r="BT583" s="7"/>
    </row>
    <row r="584" spans="58:72" x14ac:dyDescent="0.55000000000000004">
      <c r="BF584" s="7"/>
      <c r="BM584" s="7"/>
      <c r="BT584" s="7"/>
    </row>
    <row r="585" spans="58:72" x14ac:dyDescent="0.55000000000000004">
      <c r="BF585" s="7"/>
      <c r="BM585" s="7"/>
      <c r="BT585" s="7"/>
    </row>
    <row r="586" spans="58:72" x14ac:dyDescent="0.55000000000000004">
      <c r="BF586" s="7"/>
      <c r="BM586" s="7"/>
      <c r="BT586" s="7"/>
    </row>
    <row r="587" spans="58:72" x14ac:dyDescent="0.55000000000000004">
      <c r="BF587" s="7"/>
      <c r="BM587" s="7"/>
      <c r="BT587" s="7"/>
    </row>
    <row r="588" spans="58:72" x14ac:dyDescent="0.55000000000000004">
      <c r="BF588" s="7"/>
      <c r="BM588" s="7"/>
      <c r="BT588" s="7"/>
    </row>
    <row r="589" spans="58:72" x14ac:dyDescent="0.55000000000000004">
      <c r="BF589" s="7"/>
      <c r="BM589" s="7"/>
      <c r="BT589" s="7"/>
    </row>
    <row r="590" spans="58:72" x14ac:dyDescent="0.55000000000000004">
      <c r="BF590" s="7"/>
      <c r="BM590" s="7"/>
      <c r="BT590" s="7"/>
    </row>
    <row r="591" spans="58:72" x14ac:dyDescent="0.55000000000000004">
      <c r="BF591" s="7"/>
      <c r="BM591" s="7"/>
      <c r="BT591" s="7"/>
    </row>
    <row r="592" spans="58:72" x14ac:dyDescent="0.55000000000000004">
      <c r="BF592" s="7"/>
      <c r="BM592" s="7"/>
      <c r="BT592" s="7"/>
    </row>
    <row r="593" spans="58:72" x14ac:dyDescent="0.55000000000000004">
      <c r="BF593" s="7"/>
      <c r="BM593" s="7"/>
      <c r="BT593" s="7"/>
    </row>
    <row r="594" spans="58:72" x14ac:dyDescent="0.55000000000000004">
      <c r="BF594" s="7"/>
      <c r="BM594" s="7"/>
      <c r="BT594" s="7"/>
    </row>
    <row r="595" spans="58:72" x14ac:dyDescent="0.55000000000000004">
      <c r="BF595" s="7"/>
      <c r="BM595" s="7"/>
      <c r="BT595" s="7"/>
    </row>
    <row r="596" spans="58:72" x14ac:dyDescent="0.55000000000000004">
      <c r="BF596" s="7"/>
      <c r="BM596" s="7"/>
      <c r="BT596" s="7"/>
    </row>
    <row r="597" spans="58:72" x14ac:dyDescent="0.55000000000000004">
      <c r="BF597" s="7"/>
      <c r="BM597" s="7"/>
      <c r="BT597" s="7"/>
    </row>
    <row r="598" spans="58:72" x14ac:dyDescent="0.55000000000000004">
      <c r="BF598" s="7"/>
      <c r="BM598" s="7"/>
      <c r="BT598" s="7"/>
    </row>
    <row r="599" spans="58:72" x14ac:dyDescent="0.55000000000000004">
      <c r="BF599" s="7"/>
      <c r="BM599" s="7"/>
      <c r="BT599" s="7"/>
    </row>
    <row r="600" spans="58:72" x14ac:dyDescent="0.55000000000000004">
      <c r="BF600" s="7"/>
      <c r="BM600" s="7"/>
      <c r="BT600" s="7"/>
    </row>
    <row r="601" spans="58:72" x14ac:dyDescent="0.55000000000000004">
      <c r="BF601" s="7"/>
      <c r="BM601" s="7"/>
      <c r="BT601" s="7"/>
    </row>
    <row r="602" spans="58:72" x14ac:dyDescent="0.55000000000000004">
      <c r="BF602" s="7"/>
      <c r="BM602" s="7"/>
      <c r="BT602" s="7"/>
    </row>
    <row r="603" spans="58:72" x14ac:dyDescent="0.55000000000000004">
      <c r="BF603" s="7"/>
      <c r="BM603" s="7"/>
      <c r="BT603" s="7"/>
    </row>
    <row r="604" spans="58:72" x14ac:dyDescent="0.55000000000000004">
      <c r="BF604" s="7"/>
      <c r="BM604" s="7"/>
      <c r="BT604" s="7"/>
    </row>
    <row r="605" spans="58:72" x14ac:dyDescent="0.55000000000000004">
      <c r="BF605" s="7"/>
      <c r="BM605" s="7"/>
      <c r="BT605" s="7"/>
    </row>
    <row r="606" spans="58:72" x14ac:dyDescent="0.55000000000000004">
      <c r="BF606" s="7"/>
      <c r="BM606" s="7"/>
      <c r="BT606" s="7"/>
    </row>
    <row r="607" spans="58:72" x14ac:dyDescent="0.55000000000000004">
      <c r="BF607" s="7"/>
      <c r="BM607" s="7"/>
      <c r="BT607" s="7"/>
    </row>
    <row r="608" spans="58:72" x14ac:dyDescent="0.55000000000000004">
      <c r="BF608" s="7"/>
      <c r="BM608" s="7"/>
      <c r="BT608" s="7"/>
    </row>
    <row r="609" spans="58:72" x14ac:dyDescent="0.55000000000000004">
      <c r="BF609" s="7"/>
      <c r="BM609" s="7"/>
      <c r="BT609" s="7"/>
    </row>
    <row r="610" spans="58:72" x14ac:dyDescent="0.55000000000000004">
      <c r="BF610" s="7"/>
      <c r="BM610" s="7"/>
      <c r="BT610" s="7"/>
    </row>
    <row r="611" spans="58:72" x14ac:dyDescent="0.55000000000000004">
      <c r="BF611" s="7"/>
      <c r="BM611" s="7"/>
      <c r="BT611" s="7"/>
    </row>
    <row r="612" spans="58:72" x14ac:dyDescent="0.55000000000000004">
      <c r="BF612" s="7"/>
      <c r="BM612" s="7"/>
      <c r="BT612" s="7"/>
    </row>
    <row r="613" spans="58:72" x14ac:dyDescent="0.55000000000000004">
      <c r="BF613" s="7"/>
      <c r="BM613" s="7"/>
      <c r="BT613" s="7"/>
    </row>
    <row r="614" spans="58:72" x14ac:dyDescent="0.55000000000000004">
      <c r="BF614" s="7"/>
      <c r="BM614" s="7"/>
      <c r="BT614" s="7"/>
    </row>
    <row r="615" spans="58:72" x14ac:dyDescent="0.55000000000000004">
      <c r="BF615" s="7"/>
      <c r="BM615" s="7"/>
      <c r="BT615" s="7"/>
    </row>
    <row r="616" spans="58:72" x14ac:dyDescent="0.55000000000000004">
      <c r="BF616" s="7"/>
      <c r="BM616" s="7"/>
      <c r="BT616" s="7"/>
    </row>
    <row r="617" spans="58:72" x14ac:dyDescent="0.55000000000000004">
      <c r="BF617" s="7"/>
      <c r="BM617" s="7"/>
      <c r="BT617" s="7"/>
    </row>
    <row r="618" spans="58:72" x14ac:dyDescent="0.55000000000000004">
      <c r="BF618" s="7"/>
      <c r="BM618" s="7"/>
      <c r="BT618" s="7"/>
    </row>
    <row r="619" spans="58:72" x14ac:dyDescent="0.55000000000000004">
      <c r="BF619" s="7"/>
      <c r="BM619" s="7"/>
      <c r="BT619" s="7"/>
    </row>
    <row r="620" spans="58:72" x14ac:dyDescent="0.55000000000000004">
      <c r="BF620" s="7"/>
      <c r="BM620" s="7"/>
      <c r="BT620" s="7"/>
    </row>
    <row r="621" spans="58:72" x14ac:dyDescent="0.55000000000000004">
      <c r="BF621" s="7"/>
      <c r="BM621" s="7"/>
      <c r="BT621" s="7"/>
    </row>
    <row r="622" spans="58:72" x14ac:dyDescent="0.55000000000000004">
      <c r="BF622" s="7"/>
      <c r="BM622" s="7"/>
      <c r="BT622" s="7"/>
    </row>
    <row r="623" spans="58:72" x14ac:dyDescent="0.55000000000000004">
      <c r="BF623" s="7"/>
      <c r="BM623" s="7"/>
      <c r="BT623" s="7"/>
    </row>
    <row r="624" spans="58:72" x14ac:dyDescent="0.55000000000000004">
      <c r="BF624" s="7"/>
      <c r="BM624" s="7"/>
      <c r="BT624" s="7"/>
    </row>
    <row r="625" spans="58:72" x14ac:dyDescent="0.55000000000000004">
      <c r="BF625" s="7"/>
      <c r="BM625" s="7"/>
      <c r="BT625" s="7"/>
    </row>
    <row r="626" spans="58:72" x14ac:dyDescent="0.55000000000000004">
      <c r="BF626" s="7"/>
      <c r="BM626" s="7"/>
      <c r="BT626" s="7"/>
    </row>
    <row r="627" spans="58:72" x14ac:dyDescent="0.55000000000000004">
      <c r="BF627" s="7"/>
      <c r="BM627" s="7"/>
      <c r="BT627" s="7"/>
    </row>
    <row r="628" spans="58:72" x14ac:dyDescent="0.55000000000000004">
      <c r="BF628" s="7"/>
      <c r="BM628" s="7"/>
      <c r="BT628" s="7"/>
    </row>
    <row r="629" spans="58:72" x14ac:dyDescent="0.55000000000000004">
      <c r="BF629" s="7"/>
      <c r="BM629" s="7"/>
      <c r="BT629" s="7"/>
    </row>
    <row r="630" spans="58:72" x14ac:dyDescent="0.55000000000000004">
      <c r="BF630" s="7"/>
      <c r="BM630" s="7"/>
      <c r="BT630" s="7"/>
    </row>
    <row r="631" spans="58:72" x14ac:dyDescent="0.55000000000000004">
      <c r="BF631" s="7"/>
      <c r="BM631" s="7"/>
      <c r="BT631" s="7"/>
    </row>
    <row r="632" spans="58:72" x14ac:dyDescent="0.55000000000000004">
      <c r="BF632" s="7"/>
      <c r="BM632" s="7"/>
      <c r="BT632" s="7"/>
    </row>
    <row r="633" spans="58:72" x14ac:dyDescent="0.55000000000000004">
      <c r="BF633" s="7"/>
      <c r="BM633" s="7"/>
      <c r="BT633" s="7"/>
    </row>
    <row r="634" spans="58:72" x14ac:dyDescent="0.55000000000000004">
      <c r="BF634" s="7"/>
      <c r="BM634" s="7"/>
      <c r="BT634" s="7"/>
    </row>
    <row r="635" spans="58:72" x14ac:dyDescent="0.55000000000000004">
      <c r="BF635" s="7"/>
      <c r="BM635" s="7"/>
      <c r="BT635" s="7"/>
    </row>
    <row r="636" spans="58:72" x14ac:dyDescent="0.55000000000000004">
      <c r="BF636" s="7"/>
      <c r="BM636" s="7"/>
      <c r="BT636" s="7"/>
    </row>
    <row r="637" spans="58:72" x14ac:dyDescent="0.55000000000000004">
      <c r="BF637" s="7"/>
      <c r="BM637" s="7"/>
      <c r="BT637" s="7"/>
    </row>
    <row r="638" spans="58:72" x14ac:dyDescent="0.55000000000000004">
      <c r="BF638" s="7"/>
      <c r="BM638" s="7"/>
      <c r="BT638" s="7"/>
    </row>
    <row r="639" spans="58:72" x14ac:dyDescent="0.55000000000000004">
      <c r="BF639" s="7"/>
      <c r="BM639" s="7"/>
      <c r="BT639" s="7"/>
    </row>
    <row r="640" spans="58:72" x14ac:dyDescent="0.55000000000000004">
      <c r="BF640" s="7"/>
      <c r="BM640" s="7"/>
      <c r="BT640" s="7"/>
    </row>
    <row r="641" spans="58:72" x14ac:dyDescent="0.55000000000000004">
      <c r="BF641" s="7"/>
      <c r="BM641" s="7"/>
      <c r="BT641" s="7"/>
    </row>
    <row r="642" spans="58:72" x14ac:dyDescent="0.55000000000000004">
      <c r="BF642" s="7"/>
      <c r="BM642" s="7"/>
      <c r="BT642" s="7"/>
    </row>
    <row r="643" spans="58:72" x14ac:dyDescent="0.55000000000000004">
      <c r="BF643" s="7"/>
      <c r="BM643" s="7"/>
      <c r="BT643" s="7"/>
    </row>
    <row r="644" spans="58:72" x14ac:dyDescent="0.55000000000000004">
      <c r="BF644" s="7"/>
      <c r="BM644" s="7"/>
      <c r="BT644" s="7"/>
    </row>
    <row r="645" spans="58:72" x14ac:dyDescent="0.55000000000000004">
      <c r="BF645" s="7"/>
      <c r="BM645" s="7"/>
      <c r="BT645" s="7"/>
    </row>
    <row r="646" spans="58:72" x14ac:dyDescent="0.55000000000000004">
      <c r="BF646" s="7"/>
      <c r="BM646" s="7"/>
      <c r="BT646" s="7"/>
    </row>
    <row r="647" spans="58:72" x14ac:dyDescent="0.55000000000000004">
      <c r="BF647" s="7"/>
      <c r="BM647" s="7"/>
      <c r="BT647" s="7"/>
    </row>
    <row r="648" spans="58:72" x14ac:dyDescent="0.55000000000000004">
      <c r="BF648" s="7"/>
      <c r="BM648" s="7"/>
      <c r="BT648" s="7"/>
    </row>
    <row r="649" spans="58:72" x14ac:dyDescent="0.55000000000000004">
      <c r="BF649" s="7"/>
      <c r="BM649" s="7"/>
      <c r="BT649" s="7"/>
    </row>
    <row r="650" spans="58:72" x14ac:dyDescent="0.55000000000000004">
      <c r="BF650" s="7"/>
      <c r="BM650" s="7"/>
      <c r="BT650" s="7"/>
    </row>
    <row r="651" spans="58:72" x14ac:dyDescent="0.55000000000000004">
      <c r="BF651" s="7"/>
      <c r="BM651" s="7"/>
      <c r="BT651" s="7"/>
    </row>
    <row r="652" spans="58:72" x14ac:dyDescent="0.55000000000000004">
      <c r="BF652" s="7"/>
      <c r="BM652" s="7"/>
      <c r="BT652" s="7"/>
    </row>
    <row r="653" spans="58:72" x14ac:dyDescent="0.55000000000000004">
      <c r="BF653" s="7"/>
      <c r="BM653" s="7"/>
      <c r="BT653" s="7"/>
    </row>
    <row r="654" spans="58:72" x14ac:dyDescent="0.55000000000000004">
      <c r="BF654" s="7"/>
      <c r="BM654" s="7"/>
      <c r="BT654" s="7"/>
    </row>
    <row r="655" spans="58:72" x14ac:dyDescent="0.55000000000000004">
      <c r="BF655" s="7"/>
      <c r="BM655" s="7"/>
      <c r="BT655" s="7"/>
    </row>
    <row r="656" spans="58:72" x14ac:dyDescent="0.55000000000000004">
      <c r="BF656" s="7"/>
      <c r="BM656" s="7"/>
      <c r="BT656" s="7"/>
    </row>
    <row r="657" spans="58:72" x14ac:dyDescent="0.55000000000000004">
      <c r="BF657" s="7"/>
      <c r="BM657" s="7"/>
      <c r="BT657" s="7"/>
    </row>
    <row r="658" spans="58:72" x14ac:dyDescent="0.55000000000000004">
      <c r="BF658" s="7"/>
      <c r="BM658" s="7"/>
      <c r="BT658" s="7"/>
    </row>
    <row r="659" spans="58:72" x14ac:dyDescent="0.55000000000000004">
      <c r="BF659" s="7"/>
      <c r="BM659" s="7"/>
      <c r="BT659" s="7"/>
    </row>
    <row r="660" spans="58:72" x14ac:dyDescent="0.55000000000000004">
      <c r="BF660" s="7"/>
      <c r="BM660" s="7"/>
      <c r="BT660" s="7"/>
    </row>
    <row r="661" spans="58:72" x14ac:dyDescent="0.55000000000000004">
      <c r="BF661" s="7"/>
      <c r="BM661" s="7"/>
      <c r="BT661" s="7"/>
    </row>
    <row r="662" spans="58:72" x14ac:dyDescent="0.55000000000000004">
      <c r="BF662" s="7"/>
      <c r="BM662" s="7"/>
      <c r="BT662" s="7"/>
    </row>
    <row r="663" spans="58:72" x14ac:dyDescent="0.55000000000000004">
      <c r="BF663" s="7"/>
      <c r="BM663" s="7"/>
      <c r="BT663" s="7"/>
    </row>
    <row r="664" spans="58:72" x14ac:dyDescent="0.55000000000000004">
      <c r="BF664" s="7"/>
      <c r="BM664" s="7"/>
      <c r="BT664" s="7"/>
    </row>
    <row r="665" spans="58:72" x14ac:dyDescent="0.55000000000000004">
      <c r="BF665" s="7"/>
      <c r="BM665" s="7"/>
      <c r="BT665" s="7"/>
    </row>
    <row r="666" spans="58:72" x14ac:dyDescent="0.55000000000000004">
      <c r="BF666" s="7"/>
      <c r="BM666" s="7"/>
      <c r="BT666" s="7"/>
    </row>
    <row r="667" spans="58:72" x14ac:dyDescent="0.55000000000000004">
      <c r="BF667" s="7"/>
      <c r="BM667" s="7"/>
      <c r="BT667" s="7"/>
    </row>
    <row r="668" spans="58:72" x14ac:dyDescent="0.55000000000000004">
      <c r="BF668" s="7"/>
      <c r="BM668" s="7"/>
      <c r="BT668" s="7"/>
    </row>
    <row r="669" spans="58:72" x14ac:dyDescent="0.55000000000000004">
      <c r="BF669" s="7"/>
      <c r="BM669" s="7"/>
      <c r="BT669" s="7"/>
    </row>
    <row r="670" spans="58:72" x14ac:dyDescent="0.55000000000000004">
      <c r="BF670" s="7"/>
      <c r="BM670" s="7"/>
      <c r="BT670" s="7"/>
    </row>
    <row r="671" spans="58:72" x14ac:dyDescent="0.55000000000000004">
      <c r="BF671" s="7"/>
      <c r="BM671" s="7"/>
      <c r="BT671" s="7"/>
    </row>
    <row r="672" spans="58:72" x14ac:dyDescent="0.55000000000000004">
      <c r="BF672" s="7"/>
      <c r="BM672" s="7"/>
      <c r="BT672" s="7"/>
    </row>
    <row r="673" spans="58:72" x14ac:dyDescent="0.55000000000000004">
      <c r="BF673" s="7"/>
      <c r="BM673" s="7"/>
      <c r="BT673" s="7"/>
    </row>
    <row r="674" spans="58:72" x14ac:dyDescent="0.55000000000000004">
      <c r="BF674" s="7"/>
      <c r="BM674" s="7"/>
      <c r="BT674" s="7"/>
    </row>
    <row r="675" spans="58:72" x14ac:dyDescent="0.55000000000000004">
      <c r="BF675" s="7"/>
      <c r="BM675" s="7"/>
      <c r="BT675" s="7"/>
    </row>
    <row r="676" spans="58:72" x14ac:dyDescent="0.55000000000000004">
      <c r="BF676" s="7"/>
      <c r="BM676" s="7"/>
      <c r="BT676" s="7"/>
    </row>
    <row r="677" spans="58:72" x14ac:dyDescent="0.55000000000000004">
      <c r="BF677" s="7"/>
      <c r="BM677" s="7"/>
      <c r="BT677" s="7"/>
    </row>
    <row r="678" spans="58:72" x14ac:dyDescent="0.55000000000000004">
      <c r="BF678" s="7"/>
      <c r="BM678" s="7"/>
      <c r="BT678" s="7"/>
    </row>
    <row r="679" spans="58:72" x14ac:dyDescent="0.55000000000000004">
      <c r="BF679" s="7"/>
      <c r="BM679" s="7"/>
      <c r="BT679" s="7"/>
    </row>
    <row r="680" spans="58:72" x14ac:dyDescent="0.55000000000000004">
      <c r="BF680" s="7"/>
      <c r="BM680" s="7"/>
      <c r="BT680" s="7"/>
    </row>
    <row r="681" spans="58:72" x14ac:dyDescent="0.55000000000000004">
      <c r="BF681" s="7"/>
      <c r="BM681" s="7"/>
      <c r="BT681" s="7"/>
    </row>
    <row r="682" spans="58:72" x14ac:dyDescent="0.55000000000000004">
      <c r="BF682" s="7"/>
      <c r="BM682" s="7"/>
      <c r="BT682" s="7"/>
    </row>
    <row r="683" spans="58:72" x14ac:dyDescent="0.55000000000000004">
      <c r="BF683" s="7"/>
      <c r="BM683" s="7"/>
      <c r="BT683" s="7"/>
    </row>
    <row r="684" spans="58:72" x14ac:dyDescent="0.55000000000000004">
      <c r="BF684" s="7"/>
      <c r="BM684" s="7"/>
      <c r="BT684" s="7"/>
    </row>
    <row r="685" spans="58:72" x14ac:dyDescent="0.55000000000000004">
      <c r="BF685" s="7"/>
      <c r="BM685" s="7"/>
      <c r="BT685" s="7"/>
    </row>
    <row r="686" spans="58:72" x14ac:dyDescent="0.55000000000000004">
      <c r="BF686" s="7"/>
      <c r="BM686" s="7"/>
      <c r="BT686" s="7"/>
    </row>
    <row r="687" spans="58:72" x14ac:dyDescent="0.55000000000000004">
      <c r="BF687" s="7"/>
      <c r="BM687" s="7"/>
      <c r="BT687" s="7"/>
    </row>
    <row r="688" spans="58:72" x14ac:dyDescent="0.55000000000000004">
      <c r="BF688" s="7"/>
      <c r="BM688" s="7"/>
      <c r="BT688" s="7"/>
    </row>
    <row r="689" spans="58:72" x14ac:dyDescent="0.55000000000000004">
      <c r="BF689" s="7"/>
      <c r="BM689" s="7"/>
      <c r="BT689" s="7"/>
    </row>
    <row r="690" spans="58:72" x14ac:dyDescent="0.55000000000000004">
      <c r="BF690" s="7"/>
      <c r="BM690" s="7"/>
      <c r="BT690" s="7"/>
    </row>
    <row r="691" spans="58:72" x14ac:dyDescent="0.55000000000000004">
      <c r="BF691" s="7"/>
      <c r="BM691" s="7"/>
      <c r="BT691" s="7"/>
    </row>
    <row r="692" spans="58:72" x14ac:dyDescent="0.55000000000000004">
      <c r="BF692" s="7"/>
      <c r="BM692" s="7"/>
      <c r="BT692" s="7"/>
    </row>
    <row r="693" spans="58:72" x14ac:dyDescent="0.55000000000000004">
      <c r="BF693" s="7"/>
      <c r="BM693" s="7"/>
      <c r="BT693" s="7"/>
    </row>
    <row r="694" spans="58:72" x14ac:dyDescent="0.55000000000000004">
      <c r="BF694" s="7"/>
      <c r="BM694" s="7"/>
      <c r="BT694" s="7"/>
    </row>
    <row r="695" spans="58:72" x14ac:dyDescent="0.55000000000000004">
      <c r="BF695" s="7"/>
      <c r="BM695" s="7"/>
      <c r="BT695" s="7"/>
    </row>
    <row r="696" spans="58:72" x14ac:dyDescent="0.55000000000000004">
      <c r="BF696" s="7"/>
      <c r="BM696" s="7"/>
      <c r="BT696" s="7"/>
    </row>
    <row r="697" spans="58:72" x14ac:dyDescent="0.55000000000000004">
      <c r="BF697" s="7"/>
      <c r="BM697" s="7"/>
      <c r="BT697" s="7"/>
    </row>
    <row r="698" spans="58:72" x14ac:dyDescent="0.55000000000000004">
      <c r="BF698" s="7"/>
      <c r="BM698" s="7"/>
      <c r="BT698" s="7"/>
    </row>
    <row r="699" spans="58:72" x14ac:dyDescent="0.55000000000000004">
      <c r="BF699" s="7"/>
      <c r="BM699" s="7"/>
      <c r="BT699" s="7"/>
    </row>
    <row r="700" spans="58:72" x14ac:dyDescent="0.55000000000000004">
      <c r="BF700" s="7"/>
      <c r="BM700" s="7"/>
      <c r="BT700" s="7"/>
    </row>
    <row r="701" spans="58:72" x14ac:dyDescent="0.55000000000000004">
      <c r="BF701" s="7"/>
      <c r="BM701" s="7"/>
      <c r="BT701" s="7"/>
    </row>
    <row r="702" spans="58:72" x14ac:dyDescent="0.55000000000000004">
      <c r="BF702" s="7"/>
      <c r="BM702" s="7"/>
      <c r="BT702" s="7"/>
    </row>
    <row r="703" spans="58:72" x14ac:dyDescent="0.55000000000000004">
      <c r="BF703" s="7"/>
      <c r="BM703" s="7"/>
      <c r="BT703" s="7"/>
    </row>
    <row r="704" spans="58:72" x14ac:dyDescent="0.55000000000000004">
      <c r="BF704" s="7"/>
      <c r="BM704" s="7"/>
      <c r="BT704" s="7"/>
    </row>
    <row r="705" spans="58:72" x14ac:dyDescent="0.55000000000000004">
      <c r="BF705" s="7"/>
      <c r="BM705" s="7"/>
      <c r="BT705" s="7"/>
    </row>
    <row r="706" spans="58:72" x14ac:dyDescent="0.55000000000000004">
      <c r="BF706" s="7"/>
      <c r="BM706" s="7"/>
      <c r="BT706" s="7"/>
    </row>
    <row r="707" spans="58:72" x14ac:dyDescent="0.55000000000000004">
      <c r="BF707" s="7"/>
      <c r="BM707" s="7"/>
      <c r="BT707" s="7"/>
    </row>
    <row r="708" spans="58:72" x14ac:dyDescent="0.55000000000000004">
      <c r="BF708" s="7"/>
      <c r="BM708" s="7"/>
      <c r="BT708" s="7"/>
    </row>
    <row r="709" spans="58:72" x14ac:dyDescent="0.55000000000000004">
      <c r="BF709" s="7"/>
      <c r="BM709" s="7"/>
      <c r="BT709" s="7"/>
    </row>
    <row r="710" spans="58:72" x14ac:dyDescent="0.55000000000000004">
      <c r="BF710" s="7"/>
      <c r="BM710" s="7"/>
      <c r="BT710" s="7"/>
    </row>
    <row r="711" spans="58:72" x14ac:dyDescent="0.55000000000000004">
      <c r="BF711" s="7"/>
      <c r="BM711" s="7"/>
      <c r="BT711" s="7"/>
    </row>
    <row r="712" spans="58:72" x14ac:dyDescent="0.55000000000000004">
      <c r="BF712" s="7"/>
      <c r="BM712" s="7"/>
      <c r="BT712" s="7"/>
    </row>
    <row r="713" spans="58:72" x14ac:dyDescent="0.55000000000000004">
      <c r="BF713" s="7"/>
      <c r="BM713" s="7"/>
      <c r="BT713" s="7"/>
    </row>
    <row r="714" spans="58:72" x14ac:dyDescent="0.55000000000000004">
      <c r="BF714" s="7"/>
      <c r="BM714" s="7"/>
      <c r="BT714" s="7"/>
    </row>
    <row r="715" spans="58:72" x14ac:dyDescent="0.55000000000000004">
      <c r="BF715" s="7"/>
      <c r="BM715" s="7"/>
      <c r="BT715" s="7"/>
    </row>
    <row r="716" spans="58:72" x14ac:dyDescent="0.55000000000000004">
      <c r="BF716" s="7"/>
      <c r="BM716" s="7"/>
      <c r="BT716" s="7"/>
    </row>
    <row r="717" spans="58:72" x14ac:dyDescent="0.55000000000000004">
      <c r="BF717" s="7"/>
      <c r="BM717" s="7"/>
      <c r="BT717" s="7"/>
    </row>
    <row r="718" spans="58:72" x14ac:dyDescent="0.55000000000000004">
      <c r="BF718" s="7"/>
      <c r="BM718" s="7"/>
      <c r="BT718" s="7"/>
    </row>
    <row r="719" spans="58:72" x14ac:dyDescent="0.55000000000000004">
      <c r="BF719" s="7"/>
      <c r="BM719" s="7"/>
      <c r="BT719" s="7"/>
    </row>
    <row r="720" spans="58:72" x14ac:dyDescent="0.55000000000000004">
      <c r="BF720" s="7"/>
      <c r="BM720" s="7"/>
      <c r="BT720" s="7"/>
    </row>
    <row r="721" spans="58:72" x14ac:dyDescent="0.55000000000000004">
      <c r="BF721" s="7"/>
      <c r="BM721" s="7"/>
      <c r="BT721" s="7"/>
    </row>
    <row r="722" spans="58:72" x14ac:dyDescent="0.55000000000000004">
      <c r="BF722" s="7"/>
      <c r="BM722" s="7"/>
      <c r="BT722" s="7"/>
    </row>
    <row r="723" spans="58:72" x14ac:dyDescent="0.55000000000000004">
      <c r="BF723" s="7"/>
      <c r="BM723" s="7"/>
      <c r="BT723" s="7"/>
    </row>
    <row r="724" spans="58:72" x14ac:dyDescent="0.55000000000000004">
      <c r="BF724" s="7"/>
      <c r="BM724" s="7"/>
      <c r="BT724" s="7"/>
    </row>
    <row r="725" spans="58:72" x14ac:dyDescent="0.55000000000000004">
      <c r="BF725" s="7"/>
      <c r="BM725" s="7"/>
      <c r="BT725" s="7"/>
    </row>
    <row r="726" spans="58:72" x14ac:dyDescent="0.55000000000000004">
      <c r="BF726" s="7"/>
      <c r="BM726" s="7"/>
      <c r="BT726" s="7"/>
    </row>
    <row r="727" spans="58:72" x14ac:dyDescent="0.55000000000000004">
      <c r="BF727" s="7"/>
      <c r="BM727" s="7"/>
      <c r="BT727" s="7"/>
    </row>
    <row r="728" spans="58:72" x14ac:dyDescent="0.55000000000000004">
      <c r="BF728" s="7"/>
      <c r="BM728" s="7"/>
      <c r="BT728" s="7"/>
    </row>
    <row r="729" spans="58:72" x14ac:dyDescent="0.55000000000000004">
      <c r="BF729" s="7"/>
      <c r="BM729" s="7"/>
      <c r="BT729" s="7"/>
    </row>
    <row r="730" spans="58:72" x14ac:dyDescent="0.55000000000000004">
      <c r="BF730" s="7"/>
      <c r="BM730" s="7"/>
      <c r="BT730" s="7"/>
    </row>
    <row r="731" spans="58:72" x14ac:dyDescent="0.55000000000000004">
      <c r="BF731" s="7"/>
      <c r="BM731" s="7"/>
      <c r="BT731" s="7"/>
    </row>
    <row r="732" spans="58:72" x14ac:dyDescent="0.55000000000000004">
      <c r="BF732" s="7"/>
      <c r="BM732" s="7"/>
      <c r="BT732" s="7"/>
    </row>
    <row r="733" spans="58:72" x14ac:dyDescent="0.55000000000000004">
      <c r="BF733" s="7"/>
      <c r="BM733" s="7"/>
      <c r="BT733" s="7"/>
    </row>
    <row r="734" spans="58:72" x14ac:dyDescent="0.55000000000000004">
      <c r="BF734" s="7"/>
      <c r="BM734" s="7"/>
      <c r="BT734" s="7"/>
    </row>
    <row r="735" spans="58:72" x14ac:dyDescent="0.55000000000000004">
      <c r="BF735" s="7"/>
      <c r="BM735" s="7"/>
      <c r="BT735" s="7"/>
    </row>
    <row r="736" spans="58:72" x14ac:dyDescent="0.55000000000000004">
      <c r="BF736" s="7"/>
      <c r="BM736" s="7"/>
      <c r="BT736" s="7"/>
    </row>
    <row r="737" spans="58:72" x14ac:dyDescent="0.55000000000000004">
      <c r="BF737" s="7"/>
      <c r="BM737" s="7"/>
      <c r="BT737" s="7"/>
    </row>
    <row r="738" spans="58:72" x14ac:dyDescent="0.55000000000000004">
      <c r="BF738" s="7"/>
      <c r="BM738" s="7"/>
      <c r="BT738" s="7"/>
    </row>
    <row r="739" spans="58:72" x14ac:dyDescent="0.55000000000000004">
      <c r="BF739" s="7"/>
      <c r="BM739" s="7"/>
      <c r="BT739" s="7"/>
    </row>
    <row r="740" spans="58:72" x14ac:dyDescent="0.55000000000000004">
      <c r="BF740" s="7"/>
      <c r="BM740" s="7"/>
      <c r="BT740" s="7"/>
    </row>
    <row r="741" spans="58:72" x14ac:dyDescent="0.55000000000000004">
      <c r="BF741" s="7"/>
      <c r="BM741" s="7"/>
      <c r="BT741" s="7"/>
    </row>
    <row r="742" spans="58:72" x14ac:dyDescent="0.55000000000000004">
      <c r="BF742" s="7"/>
      <c r="BM742" s="7"/>
      <c r="BT742" s="7"/>
    </row>
    <row r="743" spans="58:72" x14ac:dyDescent="0.55000000000000004">
      <c r="BF743" s="7"/>
      <c r="BM743" s="7"/>
      <c r="BT743" s="7"/>
    </row>
    <row r="744" spans="58:72" x14ac:dyDescent="0.55000000000000004">
      <c r="BF744" s="7"/>
      <c r="BM744" s="7"/>
      <c r="BT744" s="7"/>
    </row>
    <row r="745" spans="58:72" x14ac:dyDescent="0.55000000000000004">
      <c r="BF745" s="7"/>
      <c r="BM745" s="7"/>
      <c r="BT745" s="7"/>
    </row>
    <row r="746" spans="58:72" x14ac:dyDescent="0.55000000000000004">
      <c r="BF746" s="7"/>
      <c r="BM746" s="7"/>
      <c r="BT746" s="7"/>
    </row>
    <row r="747" spans="58:72" x14ac:dyDescent="0.55000000000000004">
      <c r="BF747" s="7"/>
      <c r="BM747" s="7"/>
      <c r="BT747" s="7"/>
    </row>
    <row r="748" spans="58:72" x14ac:dyDescent="0.55000000000000004">
      <c r="BF748" s="7"/>
      <c r="BM748" s="7"/>
      <c r="BT748" s="7"/>
    </row>
    <row r="749" spans="58:72" x14ac:dyDescent="0.55000000000000004">
      <c r="BF749" s="7"/>
      <c r="BM749" s="7"/>
      <c r="BT749" s="7"/>
    </row>
    <row r="750" spans="58:72" x14ac:dyDescent="0.55000000000000004">
      <c r="BF750" s="7"/>
      <c r="BM750" s="7"/>
      <c r="BT750" s="7"/>
    </row>
    <row r="751" spans="58:72" x14ac:dyDescent="0.55000000000000004">
      <c r="BF751" s="7"/>
      <c r="BM751" s="7"/>
      <c r="BT751" s="7"/>
    </row>
    <row r="752" spans="58:72" x14ac:dyDescent="0.55000000000000004">
      <c r="BF752" s="7"/>
      <c r="BM752" s="7"/>
      <c r="BT752" s="7"/>
    </row>
    <row r="753" spans="58:72" x14ac:dyDescent="0.55000000000000004">
      <c r="BF753" s="7"/>
      <c r="BM753" s="7"/>
      <c r="BT753" s="7"/>
    </row>
    <row r="754" spans="58:72" x14ac:dyDescent="0.55000000000000004">
      <c r="BF754" s="7"/>
      <c r="BM754" s="7"/>
      <c r="BT754" s="7"/>
    </row>
    <row r="755" spans="58:72" x14ac:dyDescent="0.55000000000000004">
      <c r="BF755" s="7"/>
      <c r="BM755" s="7"/>
      <c r="BT755" s="7"/>
    </row>
    <row r="756" spans="58:72" x14ac:dyDescent="0.55000000000000004">
      <c r="BF756" s="7"/>
      <c r="BM756" s="7"/>
      <c r="BT756" s="7"/>
    </row>
    <row r="757" spans="58:72" x14ac:dyDescent="0.55000000000000004">
      <c r="BF757" s="7"/>
      <c r="BM757" s="7"/>
      <c r="BT757" s="7"/>
    </row>
    <row r="758" spans="58:72" x14ac:dyDescent="0.55000000000000004">
      <c r="BF758" s="7"/>
      <c r="BM758" s="7"/>
      <c r="BT758" s="7"/>
    </row>
    <row r="759" spans="58:72" x14ac:dyDescent="0.55000000000000004">
      <c r="BF759" s="7"/>
      <c r="BM759" s="7"/>
      <c r="BT759" s="7"/>
    </row>
    <row r="760" spans="58:72" x14ac:dyDescent="0.55000000000000004">
      <c r="BF760" s="7"/>
      <c r="BM760" s="7"/>
      <c r="BT760" s="7"/>
    </row>
    <row r="761" spans="58:72" x14ac:dyDescent="0.55000000000000004">
      <c r="BF761" s="7"/>
      <c r="BM761" s="7"/>
      <c r="BT761" s="7"/>
    </row>
    <row r="762" spans="58:72" x14ac:dyDescent="0.55000000000000004">
      <c r="BF762" s="7"/>
      <c r="BM762" s="7"/>
      <c r="BT762" s="7"/>
    </row>
    <row r="763" spans="58:72" x14ac:dyDescent="0.55000000000000004">
      <c r="BF763" s="7"/>
      <c r="BM763" s="7"/>
      <c r="BT763" s="7"/>
    </row>
    <row r="764" spans="58:72" x14ac:dyDescent="0.55000000000000004">
      <c r="BF764" s="7"/>
      <c r="BM764" s="7"/>
      <c r="BT764" s="7"/>
    </row>
    <row r="765" spans="58:72" x14ac:dyDescent="0.55000000000000004">
      <c r="BF765" s="7"/>
      <c r="BM765" s="7"/>
      <c r="BT765" s="7"/>
    </row>
    <row r="766" spans="58:72" x14ac:dyDescent="0.55000000000000004">
      <c r="BF766" s="7"/>
      <c r="BM766" s="7"/>
      <c r="BT766" s="7"/>
    </row>
    <row r="767" spans="58:72" x14ac:dyDescent="0.55000000000000004">
      <c r="BF767" s="7"/>
      <c r="BM767" s="7"/>
      <c r="BT767" s="7"/>
    </row>
    <row r="768" spans="58:72" x14ac:dyDescent="0.55000000000000004">
      <c r="BF768" s="7"/>
      <c r="BM768" s="7"/>
      <c r="BT768" s="7"/>
    </row>
    <row r="769" spans="58:72" x14ac:dyDescent="0.55000000000000004">
      <c r="BF769" s="7"/>
      <c r="BM769" s="7"/>
      <c r="BT769" s="7"/>
    </row>
    <row r="770" spans="58:72" x14ac:dyDescent="0.55000000000000004">
      <c r="BF770" s="7"/>
      <c r="BM770" s="7"/>
      <c r="BT770" s="7"/>
    </row>
    <row r="771" spans="58:72" x14ac:dyDescent="0.55000000000000004">
      <c r="BF771" s="7"/>
      <c r="BM771" s="7"/>
      <c r="BT771" s="7"/>
    </row>
    <row r="772" spans="58:72" x14ac:dyDescent="0.55000000000000004">
      <c r="BF772" s="7"/>
      <c r="BM772" s="7"/>
      <c r="BT772" s="7"/>
    </row>
    <row r="773" spans="58:72" x14ac:dyDescent="0.55000000000000004">
      <c r="BF773" s="7"/>
      <c r="BM773" s="7"/>
      <c r="BT773" s="7"/>
    </row>
    <row r="774" spans="58:72" x14ac:dyDescent="0.55000000000000004">
      <c r="BF774" s="7"/>
      <c r="BM774" s="7"/>
      <c r="BT774" s="7"/>
    </row>
    <row r="775" spans="58:72" x14ac:dyDescent="0.55000000000000004">
      <c r="BF775" s="7"/>
      <c r="BM775" s="7"/>
      <c r="BT775" s="7"/>
    </row>
    <row r="776" spans="58:72" x14ac:dyDescent="0.55000000000000004">
      <c r="BF776" s="7"/>
      <c r="BM776" s="7"/>
      <c r="BT776" s="7"/>
    </row>
    <row r="777" spans="58:72" x14ac:dyDescent="0.55000000000000004">
      <c r="BF777" s="7"/>
      <c r="BM777" s="7"/>
      <c r="BT777" s="7"/>
    </row>
    <row r="778" spans="58:72" x14ac:dyDescent="0.55000000000000004">
      <c r="BF778" s="7"/>
      <c r="BM778" s="7"/>
      <c r="BT778" s="7"/>
    </row>
    <row r="779" spans="58:72" x14ac:dyDescent="0.55000000000000004">
      <c r="BF779" s="7"/>
      <c r="BM779" s="7"/>
      <c r="BT779" s="7"/>
    </row>
    <row r="780" spans="58:72" x14ac:dyDescent="0.55000000000000004">
      <c r="BF780" s="7"/>
      <c r="BM780" s="7"/>
      <c r="BT780" s="7"/>
    </row>
    <row r="781" spans="58:72" x14ac:dyDescent="0.55000000000000004">
      <c r="BF781" s="7"/>
      <c r="BM781" s="7"/>
      <c r="BT781" s="7"/>
    </row>
    <row r="782" spans="58:72" x14ac:dyDescent="0.55000000000000004">
      <c r="BF782" s="7"/>
      <c r="BM782" s="7"/>
      <c r="BT782" s="7"/>
    </row>
    <row r="783" spans="58:72" x14ac:dyDescent="0.55000000000000004">
      <c r="BF783" s="7"/>
      <c r="BM783" s="7"/>
      <c r="BT783" s="7"/>
    </row>
    <row r="784" spans="58:72" x14ac:dyDescent="0.55000000000000004">
      <c r="BF784" s="7"/>
      <c r="BM784" s="7"/>
      <c r="BT784" s="7"/>
    </row>
    <row r="785" spans="58:72" x14ac:dyDescent="0.55000000000000004">
      <c r="BF785" s="7"/>
      <c r="BM785" s="7"/>
      <c r="BT785" s="7"/>
    </row>
    <row r="786" spans="58:72" x14ac:dyDescent="0.55000000000000004">
      <c r="BF786" s="7"/>
      <c r="BM786" s="7"/>
      <c r="BT786" s="7"/>
    </row>
    <row r="787" spans="58:72" x14ac:dyDescent="0.55000000000000004">
      <c r="BF787" s="7"/>
      <c r="BM787" s="7"/>
      <c r="BT787" s="7"/>
    </row>
    <row r="788" spans="58:72" x14ac:dyDescent="0.55000000000000004">
      <c r="BF788" s="7"/>
      <c r="BM788" s="7"/>
      <c r="BT788" s="7"/>
    </row>
    <row r="789" spans="58:72" x14ac:dyDescent="0.55000000000000004">
      <c r="BF789" s="7"/>
      <c r="BM789" s="7"/>
      <c r="BT789" s="7"/>
    </row>
    <row r="790" spans="58:72" x14ac:dyDescent="0.55000000000000004">
      <c r="BF790" s="7"/>
      <c r="BM790" s="7"/>
      <c r="BT790" s="7"/>
    </row>
    <row r="791" spans="58:72" x14ac:dyDescent="0.55000000000000004">
      <c r="BF791" s="7"/>
      <c r="BM791" s="7"/>
      <c r="BT791" s="7"/>
    </row>
    <row r="792" spans="58:72" x14ac:dyDescent="0.55000000000000004">
      <c r="BF792" s="7"/>
      <c r="BM792" s="7"/>
      <c r="BT792" s="7"/>
    </row>
    <row r="793" spans="58:72" x14ac:dyDescent="0.55000000000000004">
      <c r="BF793" s="7"/>
      <c r="BM793" s="7"/>
      <c r="BT793" s="7"/>
    </row>
    <row r="794" spans="58:72" x14ac:dyDescent="0.55000000000000004">
      <c r="BF794" s="7"/>
      <c r="BM794" s="7"/>
      <c r="BT794" s="7"/>
    </row>
    <row r="795" spans="58:72" x14ac:dyDescent="0.55000000000000004">
      <c r="BF795" s="7"/>
      <c r="BM795" s="7"/>
      <c r="BT795" s="7"/>
    </row>
    <row r="796" spans="58:72" x14ac:dyDescent="0.55000000000000004">
      <c r="BF796" s="7"/>
      <c r="BM796" s="7"/>
      <c r="BT796" s="7"/>
    </row>
    <row r="797" spans="58:72" x14ac:dyDescent="0.55000000000000004">
      <c r="BF797" s="7"/>
      <c r="BM797" s="7"/>
      <c r="BT797" s="7"/>
    </row>
    <row r="798" spans="58:72" x14ac:dyDescent="0.55000000000000004">
      <c r="BF798" s="7"/>
      <c r="BM798" s="7"/>
      <c r="BT798" s="7"/>
    </row>
    <row r="799" spans="58:72" x14ac:dyDescent="0.55000000000000004">
      <c r="BF799" s="7"/>
      <c r="BM799" s="7"/>
      <c r="BT799" s="7"/>
    </row>
    <row r="800" spans="58:72" x14ac:dyDescent="0.55000000000000004">
      <c r="BF800" s="7"/>
      <c r="BM800" s="7"/>
      <c r="BT800" s="7"/>
    </row>
    <row r="801" spans="58:72" x14ac:dyDescent="0.55000000000000004">
      <c r="BF801" s="7"/>
      <c r="BM801" s="7"/>
      <c r="BT801" s="7"/>
    </row>
    <row r="802" spans="58:72" x14ac:dyDescent="0.55000000000000004">
      <c r="BF802" s="7"/>
      <c r="BM802" s="7"/>
      <c r="BT802" s="7"/>
    </row>
    <row r="803" spans="58:72" x14ac:dyDescent="0.55000000000000004">
      <c r="BF803" s="7"/>
      <c r="BM803" s="7"/>
      <c r="BT803" s="7"/>
    </row>
    <row r="804" spans="58:72" x14ac:dyDescent="0.55000000000000004">
      <c r="BF804" s="7"/>
      <c r="BM804" s="7"/>
      <c r="BT804" s="7"/>
    </row>
    <row r="805" spans="58:72" x14ac:dyDescent="0.55000000000000004">
      <c r="BF805" s="7"/>
      <c r="BM805" s="7"/>
      <c r="BT805" s="7"/>
    </row>
    <row r="806" spans="58:72" x14ac:dyDescent="0.55000000000000004">
      <c r="BF806" s="7"/>
      <c r="BM806" s="7"/>
      <c r="BT806" s="7"/>
    </row>
    <row r="807" spans="58:72" x14ac:dyDescent="0.55000000000000004">
      <c r="BF807" s="7"/>
      <c r="BM807" s="7"/>
      <c r="BT807" s="7"/>
    </row>
    <row r="808" spans="58:72" x14ac:dyDescent="0.55000000000000004">
      <c r="BF808" s="7"/>
      <c r="BM808" s="7"/>
      <c r="BT808" s="7"/>
    </row>
    <row r="809" spans="58:72" x14ac:dyDescent="0.55000000000000004">
      <c r="BF809" s="7"/>
      <c r="BM809" s="7"/>
      <c r="BT809" s="7"/>
    </row>
    <row r="810" spans="58:72" x14ac:dyDescent="0.55000000000000004">
      <c r="BF810" s="7"/>
      <c r="BM810" s="7"/>
      <c r="BT810" s="7"/>
    </row>
    <row r="811" spans="58:72" x14ac:dyDescent="0.55000000000000004">
      <c r="BF811" s="7"/>
      <c r="BM811" s="7"/>
      <c r="BT811" s="7"/>
    </row>
    <row r="812" spans="58:72" x14ac:dyDescent="0.55000000000000004">
      <c r="BF812" s="7"/>
      <c r="BM812" s="7"/>
      <c r="BT812" s="7"/>
    </row>
    <row r="813" spans="58:72" x14ac:dyDescent="0.55000000000000004">
      <c r="BF813" s="7"/>
      <c r="BM813" s="7"/>
      <c r="BT813" s="7"/>
    </row>
    <row r="814" spans="58:72" x14ac:dyDescent="0.55000000000000004">
      <c r="BF814" s="7"/>
      <c r="BM814" s="7"/>
      <c r="BT814" s="7"/>
    </row>
    <row r="815" spans="58:72" x14ac:dyDescent="0.55000000000000004">
      <c r="BF815" s="7"/>
      <c r="BM815" s="7"/>
      <c r="BT815" s="7"/>
    </row>
    <row r="816" spans="58:72" x14ac:dyDescent="0.55000000000000004">
      <c r="BF816" s="7"/>
      <c r="BM816" s="7"/>
      <c r="BT816" s="7"/>
    </row>
    <row r="817" spans="58:72" x14ac:dyDescent="0.55000000000000004">
      <c r="BF817" s="7"/>
      <c r="BM817" s="7"/>
      <c r="BT817" s="7"/>
    </row>
    <row r="818" spans="58:72" x14ac:dyDescent="0.55000000000000004">
      <c r="BF818" s="7"/>
      <c r="BM818" s="7"/>
      <c r="BT818" s="7"/>
    </row>
    <row r="819" spans="58:72" x14ac:dyDescent="0.55000000000000004">
      <c r="BF819" s="7"/>
      <c r="BM819" s="7"/>
      <c r="BT819" s="7"/>
    </row>
    <row r="820" spans="58:72" x14ac:dyDescent="0.55000000000000004">
      <c r="BF820" s="7"/>
      <c r="BM820" s="7"/>
      <c r="BT820" s="7"/>
    </row>
    <row r="821" spans="58:72" x14ac:dyDescent="0.55000000000000004">
      <c r="BF821" s="7"/>
      <c r="BM821" s="7"/>
      <c r="BT821" s="7"/>
    </row>
    <row r="822" spans="58:72" x14ac:dyDescent="0.55000000000000004">
      <c r="BF822" s="7"/>
      <c r="BM822" s="7"/>
      <c r="BT822" s="7"/>
    </row>
    <row r="823" spans="58:72" x14ac:dyDescent="0.55000000000000004">
      <c r="BF823" s="7"/>
      <c r="BM823" s="7"/>
      <c r="BT823" s="7"/>
    </row>
    <row r="824" spans="58:72" x14ac:dyDescent="0.55000000000000004">
      <c r="BF824" s="7"/>
      <c r="BM824" s="7"/>
      <c r="BT824" s="7"/>
    </row>
    <row r="825" spans="58:72" x14ac:dyDescent="0.55000000000000004">
      <c r="BF825" s="7"/>
      <c r="BM825" s="7"/>
      <c r="BT825" s="7"/>
    </row>
    <row r="826" spans="58:72" x14ac:dyDescent="0.55000000000000004">
      <c r="BF826" s="7"/>
      <c r="BM826" s="7"/>
      <c r="BT826" s="7"/>
    </row>
    <row r="827" spans="58:72" x14ac:dyDescent="0.55000000000000004">
      <c r="BF827" s="7"/>
      <c r="BM827" s="7"/>
      <c r="BT827" s="7"/>
    </row>
    <row r="828" spans="58:72" x14ac:dyDescent="0.55000000000000004">
      <c r="BF828" s="7"/>
      <c r="BM828" s="7"/>
      <c r="BT828" s="7"/>
    </row>
    <row r="829" spans="58:72" x14ac:dyDescent="0.55000000000000004">
      <c r="BF829" s="7"/>
      <c r="BM829" s="7"/>
      <c r="BT829" s="7"/>
    </row>
    <row r="830" spans="58:72" x14ac:dyDescent="0.55000000000000004">
      <c r="BF830" s="7"/>
      <c r="BM830" s="7"/>
      <c r="BT830" s="7"/>
    </row>
    <row r="831" spans="58:72" x14ac:dyDescent="0.55000000000000004">
      <c r="BF831" s="7"/>
      <c r="BM831" s="7"/>
      <c r="BT831" s="7"/>
    </row>
    <row r="832" spans="58:72" x14ac:dyDescent="0.55000000000000004">
      <c r="BF832" s="7"/>
      <c r="BM832" s="7"/>
      <c r="BT832" s="7"/>
    </row>
    <row r="833" spans="58:72" x14ac:dyDescent="0.55000000000000004">
      <c r="BF833" s="7"/>
      <c r="BM833" s="7"/>
      <c r="BT833" s="7"/>
    </row>
    <row r="834" spans="58:72" x14ac:dyDescent="0.55000000000000004">
      <c r="BF834" s="7"/>
      <c r="BM834" s="7"/>
      <c r="BT834" s="7"/>
    </row>
    <row r="835" spans="58:72" x14ac:dyDescent="0.55000000000000004">
      <c r="BF835" s="7"/>
      <c r="BM835" s="7"/>
      <c r="BT835" s="7"/>
    </row>
    <row r="836" spans="58:72" x14ac:dyDescent="0.55000000000000004">
      <c r="BF836" s="7"/>
      <c r="BM836" s="7"/>
      <c r="BT836" s="7"/>
    </row>
    <row r="837" spans="58:72" x14ac:dyDescent="0.55000000000000004">
      <c r="BF837" s="7"/>
      <c r="BM837" s="7"/>
      <c r="BT837" s="7"/>
    </row>
    <row r="838" spans="58:72" x14ac:dyDescent="0.55000000000000004">
      <c r="BF838" s="7"/>
      <c r="BM838" s="7"/>
      <c r="BT838" s="7"/>
    </row>
    <row r="839" spans="58:72" x14ac:dyDescent="0.55000000000000004">
      <c r="BF839" s="7"/>
      <c r="BM839" s="7"/>
      <c r="BT839" s="7"/>
    </row>
    <row r="840" spans="58:72" x14ac:dyDescent="0.55000000000000004">
      <c r="BF840" s="7"/>
      <c r="BM840" s="7"/>
      <c r="BT840" s="7"/>
    </row>
    <row r="841" spans="58:72" x14ac:dyDescent="0.55000000000000004">
      <c r="BF841" s="7"/>
      <c r="BM841" s="7"/>
      <c r="BT841" s="7"/>
    </row>
    <row r="842" spans="58:72" x14ac:dyDescent="0.55000000000000004">
      <c r="BF842" s="7"/>
      <c r="BM842" s="7"/>
      <c r="BT842" s="7"/>
    </row>
    <row r="843" spans="58:72" x14ac:dyDescent="0.55000000000000004">
      <c r="BF843" s="7"/>
      <c r="BM843" s="7"/>
      <c r="BT843" s="7"/>
    </row>
    <row r="844" spans="58:72" x14ac:dyDescent="0.55000000000000004">
      <c r="BF844" s="7"/>
      <c r="BM844" s="7"/>
      <c r="BT844" s="7"/>
    </row>
    <row r="845" spans="58:72" x14ac:dyDescent="0.55000000000000004">
      <c r="BF845" s="7"/>
      <c r="BM845" s="7"/>
      <c r="BT845" s="7"/>
    </row>
    <row r="846" spans="58:72" x14ac:dyDescent="0.55000000000000004">
      <c r="BF846" s="7"/>
      <c r="BM846" s="7"/>
      <c r="BT846" s="7"/>
    </row>
    <row r="847" spans="58:72" x14ac:dyDescent="0.55000000000000004">
      <c r="BF847" s="7"/>
      <c r="BM847" s="7"/>
      <c r="BT847" s="7"/>
    </row>
    <row r="848" spans="58:72" x14ac:dyDescent="0.55000000000000004">
      <c r="BF848" s="7"/>
      <c r="BM848" s="7"/>
      <c r="BT848" s="7"/>
    </row>
    <row r="849" spans="58:72" x14ac:dyDescent="0.55000000000000004">
      <c r="BF849" s="7"/>
      <c r="BM849" s="7"/>
      <c r="BT849" s="7"/>
    </row>
    <row r="850" spans="58:72" x14ac:dyDescent="0.55000000000000004">
      <c r="BF850" s="7"/>
      <c r="BM850" s="7"/>
      <c r="BT850" s="7"/>
    </row>
    <row r="851" spans="58:72" x14ac:dyDescent="0.55000000000000004">
      <c r="BF851" s="7"/>
      <c r="BM851" s="7"/>
      <c r="BT851" s="7"/>
    </row>
    <row r="852" spans="58:72" x14ac:dyDescent="0.55000000000000004">
      <c r="BF852" s="7"/>
      <c r="BM852" s="7"/>
      <c r="BT852" s="7"/>
    </row>
    <row r="853" spans="58:72" x14ac:dyDescent="0.55000000000000004">
      <c r="BF853" s="7"/>
      <c r="BM853" s="7"/>
      <c r="BT853" s="7"/>
    </row>
    <row r="854" spans="58:72" x14ac:dyDescent="0.55000000000000004">
      <c r="BF854" s="7"/>
      <c r="BM854" s="7"/>
      <c r="BT854" s="7"/>
    </row>
    <row r="855" spans="58:72" x14ac:dyDescent="0.55000000000000004">
      <c r="BF855" s="7"/>
      <c r="BM855" s="7"/>
      <c r="BT855" s="7"/>
    </row>
    <row r="856" spans="58:72" x14ac:dyDescent="0.55000000000000004">
      <c r="BF856" s="7"/>
      <c r="BM856" s="7"/>
      <c r="BT856" s="7"/>
    </row>
    <row r="857" spans="58:72" x14ac:dyDescent="0.55000000000000004">
      <c r="BF857" s="7"/>
      <c r="BM857" s="7"/>
      <c r="BT857" s="7"/>
    </row>
    <row r="858" spans="58:72" x14ac:dyDescent="0.55000000000000004">
      <c r="BF858" s="7"/>
      <c r="BM858" s="7"/>
      <c r="BT858" s="7"/>
    </row>
    <row r="859" spans="58:72" x14ac:dyDescent="0.55000000000000004">
      <c r="BF859" s="7"/>
      <c r="BM859" s="7"/>
      <c r="BT859" s="7"/>
    </row>
    <row r="860" spans="58:72" x14ac:dyDescent="0.55000000000000004">
      <c r="BF860" s="7"/>
      <c r="BM860" s="7"/>
      <c r="BT860" s="7"/>
    </row>
    <row r="861" spans="58:72" x14ac:dyDescent="0.55000000000000004">
      <c r="BF861" s="7"/>
      <c r="BM861" s="7"/>
      <c r="BT861" s="7"/>
    </row>
    <row r="862" spans="58:72" x14ac:dyDescent="0.55000000000000004">
      <c r="BF862" s="7"/>
      <c r="BM862" s="7"/>
      <c r="BT862" s="7"/>
    </row>
    <row r="863" spans="58:72" x14ac:dyDescent="0.55000000000000004">
      <c r="BF863" s="7"/>
      <c r="BM863" s="7"/>
      <c r="BT863" s="7"/>
    </row>
    <row r="864" spans="58:72" x14ac:dyDescent="0.55000000000000004">
      <c r="BF864" s="7"/>
      <c r="BM864" s="7"/>
      <c r="BT864" s="7"/>
    </row>
    <row r="865" spans="58:72" x14ac:dyDescent="0.55000000000000004">
      <c r="BF865" s="7"/>
      <c r="BM865" s="7"/>
      <c r="BT865" s="7"/>
    </row>
    <row r="866" spans="58:72" x14ac:dyDescent="0.55000000000000004">
      <c r="BF866" s="7"/>
      <c r="BM866" s="7"/>
      <c r="BT866" s="7"/>
    </row>
    <row r="867" spans="58:72" x14ac:dyDescent="0.55000000000000004">
      <c r="BF867" s="7"/>
      <c r="BM867" s="7"/>
      <c r="BT867" s="7"/>
    </row>
    <row r="868" spans="58:72" x14ac:dyDescent="0.55000000000000004">
      <c r="BF868" s="7"/>
      <c r="BM868" s="7"/>
      <c r="BT868" s="7"/>
    </row>
    <row r="869" spans="58:72" x14ac:dyDescent="0.55000000000000004">
      <c r="BF869" s="7"/>
      <c r="BM869" s="7"/>
      <c r="BT869" s="7"/>
    </row>
    <row r="870" spans="58:72" x14ac:dyDescent="0.55000000000000004">
      <c r="BF870" s="7"/>
      <c r="BM870" s="7"/>
      <c r="BT870" s="7"/>
    </row>
    <row r="871" spans="58:72" x14ac:dyDescent="0.55000000000000004">
      <c r="BF871" s="7"/>
      <c r="BM871" s="7"/>
      <c r="BT871" s="7"/>
    </row>
    <row r="872" spans="58:72" x14ac:dyDescent="0.55000000000000004">
      <c r="BF872" s="7"/>
      <c r="BM872" s="7"/>
      <c r="BT872" s="7"/>
    </row>
    <row r="873" spans="58:72" x14ac:dyDescent="0.55000000000000004">
      <c r="BF873" s="7"/>
      <c r="BM873" s="7"/>
      <c r="BT873" s="7"/>
    </row>
    <row r="874" spans="58:72" x14ac:dyDescent="0.55000000000000004">
      <c r="BF874" s="7"/>
      <c r="BM874" s="7"/>
      <c r="BT874" s="7"/>
    </row>
    <row r="875" spans="58:72" x14ac:dyDescent="0.55000000000000004">
      <c r="BF875" s="7"/>
      <c r="BM875" s="7"/>
      <c r="BT875" s="7"/>
    </row>
    <row r="876" spans="58:72" x14ac:dyDescent="0.55000000000000004">
      <c r="BF876" s="7"/>
      <c r="BM876" s="7"/>
      <c r="BT876" s="7"/>
    </row>
    <row r="877" spans="58:72" x14ac:dyDescent="0.55000000000000004">
      <c r="BF877" s="7"/>
      <c r="BM877" s="7"/>
      <c r="BT877" s="7"/>
    </row>
    <row r="878" spans="58:72" x14ac:dyDescent="0.55000000000000004">
      <c r="BF878" s="7"/>
      <c r="BM878" s="7"/>
      <c r="BT878" s="7"/>
    </row>
    <row r="879" spans="58:72" x14ac:dyDescent="0.55000000000000004">
      <c r="BF879" s="7"/>
      <c r="BM879" s="7"/>
      <c r="BT879" s="7"/>
    </row>
    <row r="880" spans="58:72" x14ac:dyDescent="0.55000000000000004">
      <c r="BF880" s="7"/>
      <c r="BM880" s="7"/>
      <c r="BT880" s="7"/>
    </row>
    <row r="881" spans="58:72" x14ac:dyDescent="0.55000000000000004">
      <c r="BF881" s="7"/>
      <c r="BM881" s="7"/>
      <c r="BT881" s="7"/>
    </row>
    <row r="882" spans="58:72" x14ac:dyDescent="0.55000000000000004">
      <c r="BF882" s="7"/>
      <c r="BM882" s="7"/>
      <c r="BT882" s="7"/>
    </row>
    <row r="883" spans="58:72" x14ac:dyDescent="0.55000000000000004">
      <c r="BF883" s="7"/>
      <c r="BM883" s="7"/>
      <c r="BT883" s="7"/>
    </row>
    <row r="884" spans="58:72" x14ac:dyDescent="0.55000000000000004">
      <c r="BF884" s="7"/>
      <c r="BM884" s="7"/>
      <c r="BT884" s="7"/>
    </row>
    <row r="885" spans="58:72" x14ac:dyDescent="0.55000000000000004">
      <c r="BF885" s="7"/>
      <c r="BM885" s="7"/>
      <c r="BT885" s="7"/>
    </row>
    <row r="886" spans="58:72" x14ac:dyDescent="0.55000000000000004">
      <c r="BF886" s="7"/>
      <c r="BM886" s="7"/>
      <c r="BT886" s="7"/>
    </row>
    <row r="887" spans="58:72" x14ac:dyDescent="0.55000000000000004">
      <c r="BF887" s="7"/>
      <c r="BM887" s="7"/>
      <c r="BT887" s="7"/>
    </row>
    <row r="888" spans="58:72" x14ac:dyDescent="0.55000000000000004">
      <c r="BF888" s="7"/>
      <c r="BM888" s="7"/>
      <c r="BT888" s="7"/>
    </row>
    <row r="889" spans="58:72" x14ac:dyDescent="0.55000000000000004">
      <c r="BF889" s="7"/>
      <c r="BM889" s="7"/>
      <c r="BT889" s="7"/>
    </row>
    <row r="890" spans="58:72" x14ac:dyDescent="0.55000000000000004">
      <c r="BF890" s="7"/>
      <c r="BM890" s="7"/>
      <c r="BT890" s="7"/>
    </row>
    <row r="891" spans="58:72" x14ac:dyDescent="0.55000000000000004">
      <c r="BF891" s="7"/>
      <c r="BM891" s="7"/>
      <c r="BT891" s="7"/>
    </row>
    <row r="892" spans="58:72" x14ac:dyDescent="0.55000000000000004">
      <c r="BF892" s="7"/>
      <c r="BM892" s="7"/>
      <c r="BT892" s="7"/>
    </row>
    <row r="893" spans="58:72" x14ac:dyDescent="0.55000000000000004">
      <c r="BF893" s="7"/>
      <c r="BM893" s="7"/>
      <c r="BT893" s="7"/>
    </row>
    <row r="894" spans="58:72" x14ac:dyDescent="0.55000000000000004">
      <c r="BF894" s="7"/>
      <c r="BM894" s="7"/>
      <c r="BT894" s="7"/>
    </row>
    <row r="895" spans="58:72" x14ac:dyDescent="0.55000000000000004">
      <c r="BF895" s="7"/>
      <c r="BM895" s="7"/>
      <c r="BT895" s="7"/>
    </row>
    <row r="896" spans="58:72" x14ac:dyDescent="0.55000000000000004">
      <c r="BF896" s="7"/>
      <c r="BM896" s="7"/>
      <c r="BT896" s="7"/>
    </row>
    <row r="897" spans="58:72" x14ac:dyDescent="0.55000000000000004">
      <c r="BF897" s="7"/>
      <c r="BM897" s="7"/>
      <c r="BT897" s="7"/>
    </row>
    <row r="898" spans="58:72" x14ac:dyDescent="0.55000000000000004">
      <c r="BF898" s="7"/>
      <c r="BM898" s="7"/>
      <c r="BT898" s="7"/>
    </row>
    <row r="899" spans="58:72" x14ac:dyDescent="0.55000000000000004">
      <c r="BF899" s="7"/>
      <c r="BM899" s="7"/>
      <c r="BT899" s="7"/>
    </row>
    <row r="900" spans="58:72" x14ac:dyDescent="0.55000000000000004">
      <c r="BF900" s="7"/>
      <c r="BM900" s="7"/>
      <c r="BT900" s="7"/>
    </row>
    <row r="901" spans="58:72" x14ac:dyDescent="0.55000000000000004">
      <c r="BF901" s="7"/>
      <c r="BM901" s="7"/>
      <c r="BT901" s="7"/>
    </row>
    <row r="902" spans="58:72" x14ac:dyDescent="0.55000000000000004">
      <c r="BF902" s="7"/>
      <c r="BM902" s="7"/>
      <c r="BT902" s="7"/>
    </row>
    <row r="903" spans="58:72" x14ac:dyDescent="0.55000000000000004">
      <c r="BF903" s="7"/>
      <c r="BM903" s="7"/>
      <c r="BT903" s="7"/>
    </row>
    <row r="904" spans="58:72" x14ac:dyDescent="0.55000000000000004">
      <c r="BF904" s="7"/>
      <c r="BM904" s="7"/>
      <c r="BT904" s="7"/>
    </row>
    <row r="905" spans="58:72" x14ac:dyDescent="0.55000000000000004">
      <c r="BF905" s="7"/>
      <c r="BM905" s="7"/>
      <c r="BT905" s="7"/>
    </row>
    <row r="906" spans="58:72" x14ac:dyDescent="0.55000000000000004">
      <c r="BF906" s="7"/>
      <c r="BM906" s="7"/>
      <c r="BT906" s="7"/>
    </row>
    <row r="907" spans="58:72" x14ac:dyDescent="0.55000000000000004">
      <c r="BF907" s="7"/>
      <c r="BM907" s="7"/>
      <c r="BT907" s="7"/>
    </row>
    <row r="908" spans="58:72" x14ac:dyDescent="0.55000000000000004">
      <c r="BF908" s="7"/>
      <c r="BM908" s="7"/>
      <c r="BT908" s="7"/>
    </row>
    <row r="909" spans="58:72" x14ac:dyDescent="0.55000000000000004">
      <c r="BF909" s="7"/>
      <c r="BM909" s="7"/>
      <c r="BT909" s="7"/>
    </row>
    <row r="910" spans="58:72" x14ac:dyDescent="0.55000000000000004">
      <c r="BF910" s="7"/>
      <c r="BM910" s="7"/>
      <c r="BT910" s="7"/>
    </row>
    <row r="911" spans="58:72" x14ac:dyDescent="0.55000000000000004">
      <c r="BF911" s="7"/>
      <c r="BM911" s="7"/>
      <c r="BT911" s="7"/>
    </row>
    <row r="912" spans="58:72" x14ac:dyDescent="0.55000000000000004">
      <c r="BF912" s="7"/>
      <c r="BM912" s="7"/>
      <c r="BT912" s="7"/>
    </row>
    <row r="913" spans="58:72" x14ac:dyDescent="0.55000000000000004">
      <c r="BF913" s="7"/>
      <c r="BM913" s="7"/>
      <c r="BT913" s="7"/>
    </row>
    <row r="914" spans="58:72" x14ac:dyDescent="0.55000000000000004">
      <c r="BF914" s="7"/>
      <c r="BM914" s="7"/>
      <c r="BT914" s="7"/>
    </row>
    <row r="915" spans="58:72" x14ac:dyDescent="0.55000000000000004">
      <c r="BF915" s="7"/>
      <c r="BM915" s="7"/>
      <c r="BT915" s="7"/>
    </row>
    <row r="916" spans="58:72" x14ac:dyDescent="0.55000000000000004">
      <c r="BF916" s="7"/>
      <c r="BM916" s="7"/>
      <c r="BT916" s="7"/>
    </row>
    <row r="917" spans="58:72" x14ac:dyDescent="0.55000000000000004">
      <c r="BF917" s="7"/>
      <c r="BM917" s="7"/>
      <c r="BT917" s="7"/>
    </row>
    <row r="918" spans="58:72" x14ac:dyDescent="0.55000000000000004">
      <c r="BF918" s="7"/>
      <c r="BM918" s="7"/>
      <c r="BT918" s="7"/>
    </row>
    <row r="919" spans="58:72" x14ac:dyDescent="0.55000000000000004">
      <c r="BF919" s="7"/>
      <c r="BM919" s="7"/>
      <c r="BT919" s="7"/>
    </row>
    <row r="920" spans="58:72" x14ac:dyDescent="0.55000000000000004">
      <c r="BF920" s="7"/>
      <c r="BM920" s="7"/>
      <c r="BT920" s="7"/>
    </row>
    <row r="921" spans="58:72" x14ac:dyDescent="0.55000000000000004">
      <c r="BF921" s="7"/>
      <c r="BM921" s="7"/>
      <c r="BT921" s="7"/>
    </row>
    <row r="922" spans="58:72" x14ac:dyDescent="0.55000000000000004">
      <c r="BF922" s="7"/>
      <c r="BM922" s="7"/>
      <c r="BT922" s="7"/>
    </row>
    <row r="923" spans="58:72" x14ac:dyDescent="0.55000000000000004">
      <c r="BF923" s="7"/>
      <c r="BM923" s="7"/>
      <c r="BT923" s="7"/>
    </row>
    <row r="924" spans="58:72" x14ac:dyDescent="0.55000000000000004">
      <c r="BF924" s="7"/>
      <c r="BM924" s="7"/>
      <c r="BT924" s="7"/>
    </row>
    <row r="925" spans="58:72" x14ac:dyDescent="0.55000000000000004">
      <c r="BF925" s="7"/>
      <c r="BM925" s="7"/>
      <c r="BT925" s="7"/>
    </row>
    <row r="926" spans="58:72" x14ac:dyDescent="0.55000000000000004">
      <c r="BF926" s="7"/>
      <c r="BM926" s="7"/>
      <c r="BT926" s="7"/>
    </row>
    <row r="927" spans="58:72" x14ac:dyDescent="0.55000000000000004">
      <c r="BF927" s="7"/>
      <c r="BM927" s="7"/>
      <c r="BT927" s="7"/>
    </row>
    <row r="928" spans="58:72" x14ac:dyDescent="0.55000000000000004">
      <c r="BF928" s="7"/>
      <c r="BM928" s="7"/>
      <c r="BT928" s="7"/>
    </row>
    <row r="929" spans="58:72" x14ac:dyDescent="0.55000000000000004">
      <c r="BF929" s="7"/>
      <c r="BM929" s="7"/>
      <c r="BT929" s="7"/>
    </row>
    <row r="930" spans="58:72" x14ac:dyDescent="0.55000000000000004">
      <c r="BF930" s="7"/>
      <c r="BM930" s="7"/>
      <c r="BT930" s="7"/>
    </row>
    <row r="931" spans="58:72" x14ac:dyDescent="0.55000000000000004">
      <c r="BF931" s="7"/>
      <c r="BM931" s="7"/>
      <c r="BT931" s="7"/>
    </row>
    <row r="932" spans="58:72" x14ac:dyDescent="0.55000000000000004">
      <c r="BF932" s="7"/>
      <c r="BM932" s="7"/>
      <c r="BT932" s="7"/>
    </row>
    <row r="933" spans="58:72" x14ac:dyDescent="0.55000000000000004">
      <c r="BF933" s="7"/>
      <c r="BM933" s="7"/>
      <c r="BT933" s="7"/>
    </row>
    <row r="934" spans="58:72" x14ac:dyDescent="0.55000000000000004">
      <c r="BF934" s="7"/>
      <c r="BM934" s="7"/>
      <c r="BT934" s="7"/>
    </row>
    <row r="935" spans="58:72" x14ac:dyDescent="0.55000000000000004">
      <c r="BF935" s="7"/>
      <c r="BM935" s="7"/>
      <c r="BT935" s="7"/>
    </row>
    <row r="936" spans="58:72" x14ac:dyDescent="0.55000000000000004">
      <c r="BF936" s="7"/>
      <c r="BM936" s="7"/>
      <c r="BT936" s="7"/>
    </row>
    <row r="937" spans="58:72" x14ac:dyDescent="0.55000000000000004">
      <c r="BF937" s="7"/>
      <c r="BM937" s="7"/>
      <c r="BT937" s="7"/>
    </row>
    <row r="938" spans="58:72" x14ac:dyDescent="0.55000000000000004">
      <c r="BF938" s="7"/>
      <c r="BM938" s="7"/>
      <c r="BT938" s="7"/>
    </row>
    <row r="939" spans="58:72" x14ac:dyDescent="0.55000000000000004">
      <c r="BF939" s="7"/>
      <c r="BM939" s="7"/>
      <c r="BT939" s="7"/>
    </row>
    <row r="940" spans="58:72" x14ac:dyDescent="0.55000000000000004">
      <c r="BF940" s="7"/>
      <c r="BM940" s="7"/>
      <c r="BT940" s="7"/>
    </row>
    <row r="941" spans="58:72" x14ac:dyDescent="0.55000000000000004">
      <c r="BF941" s="7"/>
      <c r="BM941" s="7"/>
      <c r="BT941" s="7"/>
    </row>
    <row r="942" spans="58:72" x14ac:dyDescent="0.55000000000000004">
      <c r="BF942" s="7"/>
      <c r="BM942" s="7"/>
      <c r="BT942" s="7"/>
    </row>
    <row r="943" spans="58:72" x14ac:dyDescent="0.55000000000000004">
      <c r="BF943" s="7"/>
      <c r="BM943" s="7"/>
      <c r="BT943" s="7"/>
    </row>
    <row r="944" spans="58:72" x14ac:dyDescent="0.55000000000000004">
      <c r="BF944" s="7"/>
      <c r="BM944" s="7"/>
      <c r="BT944" s="7"/>
    </row>
    <row r="945" spans="58:72" x14ac:dyDescent="0.55000000000000004">
      <c r="BF945" s="7"/>
      <c r="BM945" s="7"/>
      <c r="BT945" s="7"/>
    </row>
    <row r="946" spans="58:72" x14ac:dyDescent="0.55000000000000004">
      <c r="BF946" s="7"/>
      <c r="BM946" s="7"/>
      <c r="BT946" s="7"/>
    </row>
    <row r="947" spans="58:72" x14ac:dyDescent="0.55000000000000004">
      <c r="BF947" s="7"/>
      <c r="BM947" s="7"/>
      <c r="BT947" s="7"/>
    </row>
    <row r="948" spans="58:72" x14ac:dyDescent="0.55000000000000004">
      <c r="BF948" s="7"/>
      <c r="BM948" s="7"/>
      <c r="BT948" s="7"/>
    </row>
    <row r="949" spans="58:72" x14ac:dyDescent="0.55000000000000004">
      <c r="BF949" s="7"/>
      <c r="BM949" s="7"/>
      <c r="BT949" s="7"/>
    </row>
    <row r="950" spans="58:72" x14ac:dyDescent="0.55000000000000004">
      <c r="BF950" s="7"/>
      <c r="BM950" s="7"/>
      <c r="BT950" s="7"/>
    </row>
    <row r="951" spans="58:72" x14ac:dyDescent="0.55000000000000004">
      <c r="BF951" s="7"/>
      <c r="BM951" s="7"/>
      <c r="BT951" s="7"/>
    </row>
    <row r="952" spans="58:72" x14ac:dyDescent="0.55000000000000004">
      <c r="BF952" s="7"/>
      <c r="BM952" s="7"/>
      <c r="BT952" s="7"/>
    </row>
    <row r="953" spans="58:72" x14ac:dyDescent="0.55000000000000004">
      <c r="BF953" s="7"/>
      <c r="BM953" s="7"/>
      <c r="BT953" s="7"/>
    </row>
    <row r="954" spans="58:72" x14ac:dyDescent="0.55000000000000004">
      <c r="BF954" s="7"/>
      <c r="BM954" s="7"/>
      <c r="BT954" s="7"/>
    </row>
    <row r="955" spans="58:72" x14ac:dyDescent="0.55000000000000004">
      <c r="BF955" s="7"/>
      <c r="BM955" s="7"/>
      <c r="BT955" s="7"/>
    </row>
    <row r="956" spans="58:72" x14ac:dyDescent="0.55000000000000004">
      <c r="BF956" s="7"/>
      <c r="BM956" s="7"/>
      <c r="BT956" s="7"/>
    </row>
    <row r="957" spans="58:72" x14ac:dyDescent="0.55000000000000004">
      <c r="BF957" s="7"/>
      <c r="BM957" s="7"/>
      <c r="BT957" s="7"/>
    </row>
    <row r="958" spans="58:72" x14ac:dyDescent="0.55000000000000004">
      <c r="BF958" s="7"/>
      <c r="BM958" s="7"/>
      <c r="BT958" s="7"/>
    </row>
    <row r="959" spans="58:72" x14ac:dyDescent="0.55000000000000004">
      <c r="BF959" s="7"/>
      <c r="BM959" s="7"/>
      <c r="BT959" s="7"/>
    </row>
    <row r="960" spans="58:72" x14ac:dyDescent="0.55000000000000004">
      <c r="BF960" s="7"/>
      <c r="BM960" s="7"/>
      <c r="BT960" s="7"/>
    </row>
    <row r="961" spans="58:72" x14ac:dyDescent="0.55000000000000004">
      <c r="BF961" s="7"/>
      <c r="BM961" s="7"/>
      <c r="BT961" s="7"/>
    </row>
    <row r="962" spans="58:72" x14ac:dyDescent="0.55000000000000004">
      <c r="BF962" s="7"/>
      <c r="BM962" s="7"/>
      <c r="BT962" s="7"/>
    </row>
    <row r="963" spans="58:72" x14ac:dyDescent="0.55000000000000004">
      <c r="BF963" s="7"/>
      <c r="BM963" s="7"/>
      <c r="BT963" s="7"/>
    </row>
    <row r="964" spans="58:72" x14ac:dyDescent="0.55000000000000004">
      <c r="BF964" s="7"/>
      <c r="BM964" s="7"/>
      <c r="BT964" s="7"/>
    </row>
    <row r="965" spans="58:72" x14ac:dyDescent="0.55000000000000004">
      <c r="BF965" s="7"/>
      <c r="BM965" s="7"/>
      <c r="BT965" s="7"/>
    </row>
    <row r="966" spans="58:72" x14ac:dyDescent="0.55000000000000004">
      <c r="BF966" s="7"/>
      <c r="BM966" s="7"/>
      <c r="BT966" s="7"/>
    </row>
    <row r="967" spans="58:72" x14ac:dyDescent="0.55000000000000004">
      <c r="BF967" s="7"/>
      <c r="BM967" s="7"/>
      <c r="BT967" s="7"/>
    </row>
    <row r="968" spans="58:72" x14ac:dyDescent="0.55000000000000004">
      <c r="BF968" s="7"/>
      <c r="BM968" s="7"/>
      <c r="BT968" s="7"/>
    </row>
    <row r="969" spans="58:72" x14ac:dyDescent="0.55000000000000004">
      <c r="BF969" s="7"/>
      <c r="BM969" s="7"/>
      <c r="BT969" s="7"/>
    </row>
    <row r="970" spans="58:72" x14ac:dyDescent="0.55000000000000004">
      <c r="BF970" s="7"/>
      <c r="BM970" s="7"/>
      <c r="BT970" s="7"/>
    </row>
    <row r="971" spans="58:72" x14ac:dyDescent="0.55000000000000004">
      <c r="BF971" s="7"/>
      <c r="BM971" s="7"/>
      <c r="BT971" s="7"/>
    </row>
    <row r="972" spans="58:72" x14ac:dyDescent="0.55000000000000004">
      <c r="BF972" s="7"/>
      <c r="BM972" s="7"/>
      <c r="BT972" s="7"/>
    </row>
    <row r="973" spans="58:72" x14ac:dyDescent="0.55000000000000004">
      <c r="BF973" s="7"/>
      <c r="BM973" s="7"/>
      <c r="BT973" s="7"/>
    </row>
    <row r="974" spans="58:72" x14ac:dyDescent="0.55000000000000004">
      <c r="BF974" s="7"/>
      <c r="BM974" s="7"/>
      <c r="BT974" s="7"/>
    </row>
    <row r="975" spans="58:72" x14ac:dyDescent="0.55000000000000004">
      <c r="BF975" s="7"/>
      <c r="BM975" s="7"/>
      <c r="BT975" s="7"/>
    </row>
    <row r="976" spans="58:72" x14ac:dyDescent="0.55000000000000004">
      <c r="BF976" s="7"/>
      <c r="BM976" s="7"/>
      <c r="BT976" s="7"/>
    </row>
    <row r="977" spans="58:72" x14ac:dyDescent="0.55000000000000004">
      <c r="BF977" s="7"/>
      <c r="BM977" s="7"/>
      <c r="BT977" s="7"/>
    </row>
    <row r="978" spans="58:72" x14ac:dyDescent="0.55000000000000004">
      <c r="BF978" s="7"/>
      <c r="BM978" s="7"/>
      <c r="BT978" s="7"/>
    </row>
    <row r="979" spans="58:72" x14ac:dyDescent="0.55000000000000004">
      <c r="BF979" s="7"/>
      <c r="BM979" s="7"/>
      <c r="BT979" s="7"/>
    </row>
    <row r="980" spans="58:72" x14ac:dyDescent="0.55000000000000004">
      <c r="BF980" s="7"/>
      <c r="BM980" s="7"/>
      <c r="BT980" s="7"/>
    </row>
    <row r="981" spans="58:72" x14ac:dyDescent="0.55000000000000004">
      <c r="BF981" s="7"/>
      <c r="BM981" s="7"/>
      <c r="BT981" s="7"/>
    </row>
    <row r="982" spans="58:72" x14ac:dyDescent="0.55000000000000004">
      <c r="BF982" s="7"/>
      <c r="BM982" s="7"/>
      <c r="BT982" s="7"/>
    </row>
    <row r="983" spans="58:72" x14ac:dyDescent="0.55000000000000004">
      <c r="BF983" s="7"/>
      <c r="BM983" s="7"/>
      <c r="BT983" s="7"/>
    </row>
    <row r="984" spans="58:72" x14ac:dyDescent="0.55000000000000004">
      <c r="BF984" s="7"/>
      <c r="BM984" s="7"/>
      <c r="BT984" s="7"/>
    </row>
    <row r="985" spans="58:72" x14ac:dyDescent="0.55000000000000004">
      <c r="BF985" s="7"/>
      <c r="BM985" s="7"/>
      <c r="BT985" s="7"/>
    </row>
    <row r="986" spans="58:72" x14ac:dyDescent="0.55000000000000004">
      <c r="BF986" s="7"/>
      <c r="BM986" s="7"/>
      <c r="BT986" s="7"/>
    </row>
    <row r="987" spans="58:72" x14ac:dyDescent="0.55000000000000004">
      <c r="BF987" s="7"/>
      <c r="BM987" s="7"/>
      <c r="BT987" s="7"/>
    </row>
    <row r="988" spans="58:72" x14ac:dyDescent="0.55000000000000004">
      <c r="BF988" s="7"/>
      <c r="BM988" s="7"/>
      <c r="BT988" s="7"/>
    </row>
    <row r="989" spans="58:72" x14ac:dyDescent="0.55000000000000004">
      <c r="BF989" s="7"/>
      <c r="BM989" s="7"/>
      <c r="BT989" s="7"/>
    </row>
    <row r="990" spans="58:72" x14ac:dyDescent="0.55000000000000004">
      <c r="BF990" s="7"/>
      <c r="BM990" s="7"/>
      <c r="BT990" s="7"/>
    </row>
    <row r="991" spans="58:72" x14ac:dyDescent="0.55000000000000004">
      <c r="BF991" s="7"/>
      <c r="BM991" s="7"/>
      <c r="BT991" s="7"/>
    </row>
    <row r="992" spans="58:72" x14ac:dyDescent="0.55000000000000004">
      <c r="BF992" s="7"/>
      <c r="BM992" s="7"/>
      <c r="BT992" s="7"/>
    </row>
    <row r="993" spans="58:72" x14ac:dyDescent="0.55000000000000004">
      <c r="BF993" s="7"/>
      <c r="BM993" s="7"/>
      <c r="BT993" s="7"/>
    </row>
    <row r="994" spans="58:72" x14ac:dyDescent="0.55000000000000004">
      <c r="BF994" s="7"/>
      <c r="BM994" s="7"/>
      <c r="BT994" s="7"/>
    </row>
    <row r="995" spans="58:72" x14ac:dyDescent="0.55000000000000004">
      <c r="BF995" s="7"/>
      <c r="BM995" s="7"/>
      <c r="BT995" s="7"/>
    </row>
    <row r="996" spans="58:72" x14ac:dyDescent="0.55000000000000004">
      <c r="BF996" s="7"/>
      <c r="BM996" s="7"/>
      <c r="BT996" s="7"/>
    </row>
    <row r="997" spans="58:72" x14ac:dyDescent="0.55000000000000004">
      <c r="BF997" s="7"/>
      <c r="BM997" s="7"/>
      <c r="BT997" s="7"/>
    </row>
    <row r="998" spans="58:72" x14ac:dyDescent="0.55000000000000004">
      <c r="BF998" s="7"/>
      <c r="BM998" s="7"/>
      <c r="BT998" s="7"/>
    </row>
    <row r="999" spans="58:72" x14ac:dyDescent="0.55000000000000004">
      <c r="BF999" s="7"/>
      <c r="BM999" s="7"/>
      <c r="BT999" s="7"/>
    </row>
    <row r="1000" spans="58:72" x14ac:dyDescent="0.55000000000000004">
      <c r="BF1000" s="7"/>
      <c r="BM1000" s="7"/>
      <c r="BT1000" s="7"/>
    </row>
    <row r="1001" spans="58:72" x14ac:dyDescent="0.55000000000000004">
      <c r="BF1001" s="7"/>
      <c r="BM1001" s="7"/>
      <c r="BT1001" s="7"/>
    </row>
    <row r="1002" spans="58:72" x14ac:dyDescent="0.55000000000000004">
      <c r="BF1002" s="7"/>
      <c r="BM1002" s="7"/>
      <c r="BT1002" s="7"/>
    </row>
    <row r="1003" spans="58:72" x14ac:dyDescent="0.55000000000000004">
      <c r="BF1003" s="7"/>
      <c r="BM1003" s="7"/>
      <c r="BT1003" s="7"/>
    </row>
    <row r="1004" spans="58:72" x14ac:dyDescent="0.55000000000000004">
      <c r="BF1004" s="7"/>
      <c r="BM1004" s="7"/>
      <c r="BT1004" s="7"/>
    </row>
    <row r="1005" spans="58:72" x14ac:dyDescent="0.55000000000000004">
      <c r="BF1005" s="7"/>
      <c r="BM1005" s="7"/>
      <c r="BT1005" s="7"/>
    </row>
    <row r="1006" spans="58:72" x14ac:dyDescent="0.55000000000000004">
      <c r="BF1006" s="7"/>
      <c r="BM1006" s="7"/>
      <c r="BT1006" s="7"/>
    </row>
    <row r="1007" spans="58:72" x14ac:dyDescent="0.55000000000000004">
      <c r="BF1007" s="7"/>
      <c r="BM1007" s="7"/>
      <c r="BT1007" s="7"/>
    </row>
    <row r="1008" spans="58:72" x14ac:dyDescent="0.55000000000000004">
      <c r="BF1008" s="7"/>
      <c r="BM1008" s="7"/>
      <c r="BT1008" s="7"/>
    </row>
    <row r="1009" spans="58:72" x14ac:dyDescent="0.55000000000000004">
      <c r="BF1009" s="7"/>
      <c r="BM1009" s="7"/>
      <c r="BT1009" s="7"/>
    </row>
    <row r="1010" spans="58:72" x14ac:dyDescent="0.55000000000000004">
      <c r="BF1010" s="7"/>
      <c r="BM1010" s="7"/>
      <c r="BT1010" s="7"/>
    </row>
    <row r="1011" spans="58:72" x14ac:dyDescent="0.55000000000000004">
      <c r="BF1011" s="7"/>
      <c r="BM1011" s="7"/>
      <c r="BT1011" s="7"/>
    </row>
    <row r="1012" spans="58:72" x14ac:dyDescent="0.55000000000000004">
      <c r="BF1012" s="7"/>
      <c r="BM1012" s="7"/>
      <c r="BT1012" s="7"/>
    </row>
    <row r="1013" spans="58:72" x14ac:dyDescent="0.55000000000000004">
      <c r="BF1013" s="7"/>
      <c r="BM1013" s="7"/>
      <c r="BT1013" s="7"/>
    </row>
    <row r="1014" spans="58:72" x14ac:dyDescent="0.55000000000000004">
      <c r="BF1014" s="7"/>
      <c r="BM1014" s="7"/>
      <c r="BT1014" s="7"/>
    </row>
    <row r="1015" spans="58:72" x14ac:dyDescent="0.55000000000000004">
      <c r="BF1015" s="7"/>
      <c r="BM1015" s="7"/>
      <c r="BT1015" s="7"/>
    </row>
    <row r="1016" spans="58:72" x14ac:dyDescent="0.55000000000000004">
      <c r="BF1016" s="7"/>
      <c r="BM1016" s="7"/>
      <c r="BT1016" s="7"/>
    </row>
    <row r="1017" spans="58:72" x14ac:dyDescent="0.55000000000000004">
      <c r="BF1017" s="7"/>
      <c r="BM1017" s="7"/>
      <c r="BT1017" s="7"/>
    </row>
    <row r="1018" spans="58:72" x14ac:dyDescent="0.55000000000000004">
      <c r="BF1018" s="7"/>
      <c r="BM1018" s="7"/>
      <c r="BT1018" s="7"/>
    </row>
    <row r="1019" spans="58:72" x14ac:dyDescent="0.55000000000000004">
      <c r="BF1019" s="7"/>
      <c r="BM1019" s="7"/>
      <c r="BT1019" s="7"/>
    </row>
    <row r="1020" spans="58:72" x14ac:dyDescent="0.55000000000000004">
      <c r="BF1020" s="7"/>
      <c r="BM1020" s="7"/>
      <c r="BT1020" s="7"/>
    </row>
    <row r="1021" spans="58:72" x14ac:dyDescent="0.55000000000000004">
      <c r="BF1021" s="7"/>
      <c r="BM1021" s="7"/>
      <c r="BT1021" s="7"/>
    </row>
    <row r="1022" spans="58:72" x14ac:dyDescent="0.55000000000000004">
      <c r="BF1022" s="7"/>
      <c r="BM1022" s="7"/>
      <c r="BT1022" s="7"/>
    </row>
    <row r="1023" spans="58:72" x14ac:dyDescent="0.55000000000000004">
      <c r="BF1023" s="7"/>
      <c r="BM1023" s="7"/>
      <c r="BT1023" s="7"/>
    </row>
    <row r="1024" spans="58:72" x14ac:dyDescent="0.55000000000000004">
      <c r="BF1024" s="7"/>
      <c r="BM1024" s="7"/>
      <c r="BT1024" s="7"/>
    </row>
    <row r="1025" spans="58:72" x14ac:dyDescent="0.55000000000000004">
      <c r="BF1025" s="7"/>
      <c r="BM1025" s="7"/>
      <c r="BT1025" s="7"/>
    </row>
    <row r="1026" spans="58:72" x14ac:dyDescent="0.55000000000000004">
      <c r="BF1026" s="7"/>
      <c r="BM1026" s="7"/>
      <c r="BT1026" s="7"/>
    </row>
    <row r="1027" spans="58:72" x14ac:dyDescent="0.55000000000000004">
      <c r="BF1027" s="7"/>
      <c r="BM1027" s="7"/>
      <c r="BT1027" s="7"/>
    </row>
    <row r="1028" spans="58:72" x14ac:dyDescent="0.55000000000000004">
      <c r="BF1028" s="7"/>
      <c r="BM1028" s="7"/>
      <c r="BT1028" s="7"/>
    </row>
    <row r="1029" spans="58:72" x14ac:dyDescent="0.55000000000000004">
      <c r="BF1029" s="7"/>
      <c r="BM1029" s="7"/>
      <c r="BT1029" s="7"/>
    </row>
    <row r="1030" spans="58:72" x14ac:dyDescent="0.55000000000000004">
      <c r="BF1030" s="7"/>
      <c r="BM1030" s="7"/>
      <c r="BT1030" s="7"/>
    </row>
    <row r="1031" spans="58:72" x14ac:dyDescent="0.55000000000000004">
      <c r="BF1031" s="7"/>
      <c r="BM1031" s="7"/>
      <c r="BT1031" s="7"/>
    </row>
    <row r="1032" spans="58:72" x14ac:dyDescent="0.55000000000000004">
      <c r="BF1032" s="7"/>
      <c r="BM1032" s="7"/>
      <c r="BT1032" s="7"/>
    </row>
    <row r="1033" spans="58:72" x14ac:dyDescent="0.55000000000000004">
      <c r="BF1033" s="7"/>
      <c r="BM1033" s="7"/>
      <c r="BT1033" s="7"/>
    </row>
    <row r="1034" spans="58:72" x14ac:dyDescent="0.55000000000000004">
      <c r="BF1034" s="7"/>
      <c r="BM1034" s="7"/>
      <c r="BT1034" s="7"/>
    </row>
    <row r="1035" spans="58:72" x14ac:dyDescent="0.55000000000000004">
      <c r="BF1035" s="7"/>
      <c r="BM1035" s="7"/>
      <c r="BT1035" s="7"/>
    </row>
    <row r="1036" spans="58:72" x14ac:dyDescent="0.55000000000000004">
      <c r="BF1036" s="7"/>
      <c r="BM1036" s="7"/>
      <c r="BT1036" s="7"/>
    </row>
    <row r="1037" spans="58:72" x14ac:dyDescent="0.55000000000000004">
      <c r="BF1037" s="7"/>
      <c r="BM1037" s="7"/>
      <c r="BT1037" s="7"/>
    </row>
    <row r="1038" spans="58:72" x14ac:dyDescent="0.55000000000000004">
      <c r="BF1038" s="7"/>
      <c r="BM1038" s="7"/>
      <c r="BT1038" s="7"/>
    </row>
    <row r="1039" spans="58:72" x14ac:dyDescent="0.55000000000000004">
      <c r="BF1039" s="7"/>
      <c r="BM1039" s="7"/>
      <c r="BT1039" s="7"/>
    </row>
    <row r="1040" spans="58:72" x14ac:dyDescent="0.55000000000000004">
      <c r="BF1040" s="7"/>
      <c r="BM1040" s="7"/>
      <c r="BT1040" s="7"/>
    </row>
    <row r="1041" spans="58:72" x14ac:dyDescent="0.55000000000000004">
      <c r="BF1041" s="7"/>
      <c r="BM1041" s="7"/>
      <c r="BT1041" s="7"/>
    </row>
    <row r="1042" spans="58:72" x14ac:dyDescent="0.55000000000000004">
      <c r="BF1042" s="7"/>
      <c r="BM1042" s="7"/>
      <c r="BT1042" s="7"/>
    </row>
    <row r="1043" spans="58:72" x14ac:dyDescent="0.55000000000000004">
      <c r="BF1043" s="7"/>
      <c r="BM1043" s="7"/>
      <c r="BT1043" s="7"/>
    </row>
    <row r="1044" spans="58:72" x14ac:dyDescent="0.55000000000000004">
      <c r="BF1044" s="7"/>
      <c r="BM1044" s="7"/>
      <c r="BT1044" s="7"/>
    </row>
    <row r="1045" spans="58:72" x14ac:dyDescent="0.55000000000000004">
      <c r="BF1045" s="7"/>
      <c r="BM1045" s="7"/>
      <c r="BT1045" s="7"/>
    </row>
    <row r="1046" spans="58:72" x14ac:dyDescent="0.55000000000000004">
      <c r="BF1046" s="7"/>
      <c r="BM1046" s="7"/>
      <c r="BT1046" s="7"/>
    </row>
    <row r="1047" spans="58:72" x14ac:dyDescent="0.55000000000000004">
      <c r="BF1047" s="7"/>
      <c r="BM1047" s="7"/>
      <c r="BT1047" s="7"/>
    </row>
    <row r="1048" spans="58:72" x14ac:dyDescent="0.55000000000000004">
      <c r="BF1048" s="7"/>
      <c r="BM1048" s="7"/>
      <c r="BT1048" s="7"/>
    </row>
    <row r="1049" spans="58:72" x14ac:dyDescent="0.55000000000000004">
      <c r="BF1049" s="7"/>
      <c r="BM1049" s="7"/>
      <c r="BT1049" s="7"/>
    </row>
    <row r="1050" spans="58:72" x14ac:dyDescent="0.55000000000000004">
      <c r="BF1050" s="7"/>
      <c r="BM1050" s="7"/>
      <c r="BT1050" s="7"/>
    </row>
    <row r="1051" spans="58:72" x14ac:dyDescent="0.55000000000000004">
      <c r="BF1051" s="7"/>
      <c r="BM1051" s="7"/>
      <c r="BT1051" s="7"/>
    </row>
    <row r="1052" spans="58:72" x14ac:dyDescent="0.55000000000000004">
      <c r="BF1052" s="7"/>
      <c r="BM1052" s="7"/>
      <c r="BT1052" s="7"/>
    </row>
    <row r="1053" spans="58:72" x14ac:dyDescent="0.55000000000000004">
      <c r="BF1053" s="7"/>
      <c r="BM1053" s="7"/>
      <c r="BT1053" s="7"/>
    </row>
    <row r="1054" spans="58:72" x14ac:dyDescent="0.55000000000000004">
      <c r="BF1054" s="7"/>
      <c r="BM1054" s="7"/>
      <c r="BT1054" s="7"/>
    </row>
    <row r="1055" spans="58:72" x14ac:dyDescent="0.55000000000000004">
      <c r="BF1055" s="7"/>
      <c r="BM1055" s="7"/>
      <c r="BT1055" s="7"/>
    </row>
    <row r="1056" spans="58:72" x14ac:dyDescent="0.55000000000000004">
      <c r="BF1056" s="7"/>
      <c r="BM1056" s="7"/>
      <c r="BT1056" s="7"/>
    </row>
    <row r="1057" spans="58:72" x14ac:dyDescent="0.55000000000000004">
      <c r="BF1057" s="7"/>
      <c r="BM1057" s="7"/>
      <c r="BT1057" s="7"/>
    </row>
    <row r="1058" spans="58:72" x14ac:dyDescent="0.55000000000000004">
      <c r="BF1058" s="7"/>
      <c r="BM1058" s="7"/>
      <c r="BT1058" s="7"/>
    </row>
    <row r="1059" spans="58:72" x14ac:dyDescent="0.55000000000000004">
      <c r="BF1059" s="7"/>
      <c r="BM1059" s="7"/>
      <c r="BT1059" s="7"/>
    </row>
    <row r="1060" spans="58:72" x14ac:dyDescent="0.55000000000000004">
      <c r="BF1060" s="7"/>
      <c r="BM1060" s="7"/>
      <c r="BT1060" s="7"/>
    </row>
    <row r="1061" spans="58:72" x14ac:dyDescent="0.55000000000000004">
      <c r="BF1061" s="7"/>
      <c r="BM1061" s="7"/>
      <c r="BT1061" s="7"/>
    </row>
    <row r="1062" spans="58:72" x14ac:dyDescent="0.55000000000000004">
      <c r="BF1062" s="7"/>
      <c r="BM1062" s="7"/>
      <c r="BT1062" s="7"/>
    </row>
    <row r="1063" spans="58:72" x14ac:dyDescent="0.55000000000000004">
      <c r="BF1063" s="7"/>
      <c r="BM1063" s="7"/>
      <c r="BT1063" s="7"/>
    </row>
    <row r="1064" spans="58:72" x14ac:dyDescent="0.55000000000000004">
      <c r="BF1064" s="7"/>
      <c r="BM1064" s="7"/>
      <c r="BT1064" s="7"/>
    </row>
    <row r="1065" spans="58:72" x14ac:dyDescent="0.55000000000000004">
      <c r="BF1065" s="7"/>
      <c r="BM1065" s="7"/>
      <c r="BT1065" s="7"/>
    </row>
    <row r="1066" spans="58:72" x14ac:dyDescent="0.55000000000000004">
      <c r="BF1066" s="7"/>
      <c r="BM1066" s="7"/>
      <c r="BT1066" s="7"/>
    </row>
    <row r="1067" spans="58:72" x14ac:dyDescent="0.55000000000000004">
      <c r="BF1067" s="7"/>
      <c r="BM1067" s="7"/>
      <c r="BT1067" s="7"/>
    </row>
    <row r="1068" spans="58:72" x14ac:dyDescent="0.55000000000000004">
      <c r="BF1068" s="7"/>
      <c r="BM1068" s="7"/>
      <c r="BT1068" s="7"/>
    </row>
    <row r="1069" spans="58:72" x14ac:dyDescent="0.55000000000000004">
      <c r="BF1069" s="7"/>
      <c r="BM1069" s="7"/>
      <c r="BT1069" s="7"/>
    </row>
    <row r="1070" spans="58:72" x14ac:dyDescent="0.55000000000000004">
      <c r="BF1070" s="7"/>
      <c r="BM1070" s="7"/>
      <c r="BT1070" s="7"/>
    </row>
    <row r="1071" spans="58:72" x14ac:dyDescent="0.55000000000000004">
      <c r="BF1071" s="7"/>
      <c r="BM1071" s="7"/>
      <c r="BT1071" s="7"/>
    </row>
    <row r="1072" spans="58:72" x14ac:dyDescent="0.55000000000000004">
      <c r="BF1072" s="7"/>
      <c r="BM1072" s="7"/>
      <c r="BT1072" s="7"/>
    </row>
    <row r="1073" spans="58:72" x14ac:dyDescent="0.55000000000000004">
      <c r="BF1073" s="7"/>
      <c r="BM1073" s="7"/>
      <c r="BT1073" s="7"/>
    </row>
    <row r="1074" spans="58:72" x14ac:dyDescent="0.55000000000000004">
      <c r="BF1074" s="7"/>
      <c r="BM1074" s="7"/>
      <c r="BT1074" s="7"/>
    </row>
    <row r="1075" spans="58:72" x14ac:dyDescent="0.55000000000000004">
      <c r="BF1075" s="7"/>
      <c r="BM1075" s="7"/>
      <c r="BT1075" s="7"/>
    </row>
    <row r="1076" spans="58:72" x14ac:dyDescent="0.55000000000000004">
      <c r="BF1076" s="7"/>
      <c r="BM1076" s="7"/>
      <c r="BT1076" s="7"/>
    </row>
    <row r="1077" spans="58:72" x14ac:dyDescent="0.55000000000000004">
      <c r="BF1077" s="7"/>
      <c r="BM1077" s="7"/>
      <c r="BT1077" s="7"/>
    </row>
    <row r="1078" spans="58:72" x14ac:dyDescent="0.55000000000000004">
      <c r="BF1078" s="7"/>
      <c r="BM1078" s="7"/>
      <c r="BT1078" s="7"/>
    </row>
    <row r="1079" spans="58:72" x14ac:dyDescent="0.55000000000000004">
      <c r="BF1079" s="7"/>
      <c r="BM1079" s="7"/>
      <c r="BT1079" s="7"/>
    </row>
    <row r="1080" spans="58:72" x14ac:dyDescent="0.55000000000000004">
      <c r="BF1080" s="7"/>
      <c r="BM1080" s="7"/>
      <c r="BT1080" s="7"/>
    </row>
    <row r="1081" spans="58:72" x14ac:dyDescent="0.55000000000000004">
      <c r="BF1081" s="7"/>
      <c r="BM1081" s="7"/>
      <c r="BT1081" s="7"/>
    </row>
    <row r="1082" spans="58:72" x14ac:dyDescent="0.55000000000000004">
      <c r="BF1082" s="7"/>
      <c r="BM1082" s="7"/>
      <c r="BT1082" s="7"/>
    </row>
    <row r="1083" spans="58:72" x14ac:dyDescent="0.55000000000000004">
      <c r="BF1083" s="7"/>
      <c r="BM1083" s="7"/>
      <c r="BT1083" s="7"/>
    </row>
    <row r="1084" spans="58:72" x14ac:dyDescent="0.55000000000000004">
      <c r="BF1084" s="7"/>
      <c r="BM1084" s="7"/>
      <c r="BT1084" s="7"/>
    </row>
    <row r="1085" spans="58:72" x14ac:dyDescent="0.55000000000000004">
      <c r="BF1085" s="7"/>
      <c r="BM1085" s="7"/>
      <c r="BT1085" s="7"/>
    </row>
    <row r="1086" spans="58:72" x14ac:dyDescent="0.55000000000000004">
      <c r="BF1086" s="7"/>
      <c r="BM1086" s="7"/>
      <c r="BT1086" s="7"/>
    </row>
    <row r="1087" spans="58:72" x14ac:dyDescent="0.55000000000000004">
      <c r="BF1087" s="7"/>
      <c r="BM1087" s="7"/>
      <c r="BT1087" s="7"/>
    </row>
    <row r="1088" spans="58:72" x14ac:dyDescent="0.55000000000000004">
      <c r="BF1088" s="7"/>
      <c r="BM1088" s="7"/>
      <c r="BT1088" s="7"/>
    </row>
    <row r="1089" spans="58:72" x14ac:dyDescent="0.55000000000000004">
      <c r="BF1089" s="7"/>
      <c r="BM1089" s="7"/>
      <c r="BT1089" s="7"/>
    </row>
    <row r="1090" spans="58:72" x14ac:dyDescent="0.55000000000000004">
      <c r="BF1090" s="7"/>
      <c r="BM1090" s="7"/>
      <c r="BT1090" s="7"/>
    </row>
    <row r="1091" spans="58:72" x14ac:dyDescent="0.55000000000000004">
      <c r="BF1091" s="7"/>
      <c r="BM1091" s="7"/>
      <c r="BT1091" s="7"/>
    </row>
    <row r="1092" spans="58:72" x14ac:dyDescent="0.55000000000000004">
      <c r="BF1092" s="7"/>
      <c r="BM1092" s="7"/>
      <c r="BT1092" s="7"/>
    </row>
    <row r="1093" spans="58:72" x14ac:dyDescent="0.55000000000000004">
      <c r="BF1093" s="7"/>
      <c r="BM1093" s="7"/>
      <c r="BT1093" s="7"/>
    </row>
    <row r="1094" spans="58:72" x14ac:dyDescent="0.55000000000000004">
      <c r="BF1094" s="7"/>
      <c r="BM1094" s="7"/>
      <c r="BT1094" s="7"/>
    </row>
    <row r="1095" spans="58:72" x14ac:dyDescent="0.55000000000000004">
      <c r="BF1095" s="7"/>
      <c r="BM1095" s="7"/>
      <c r="BT1095" s="7"/>
    </row>
    <row r="1096" spans="58:72" x14ac:dyDescent="0.55000000000000004">
      <c r="BF1096" s="7"/>
      <c r="BM1096" s="7"/>
      <c r="BT1096" s="7"/>
    </row>
    <row r="1097" spans="58:72" x14ac:dyDescent="0.55000000000000004">
      <c r="BF1097" s="7"/>
      <c r="BM1097" s="7"/>
      <c r="BT1097" s="7"/>
    </row>
    <row r="1098" spans="58:72" x14ac:dyDescent="0.55000000000000004">
      <c r="BF1098" s="7"/>
      <c r="BM1098" s="7"/>
      <c r="BT1098" s="7"/>
    </row>
    <row r="1099" spans="58:72" x14ac:dyDescent="0.55000000000000004">
      <c r="BF1099" s="7"/>
      <c r="BM1099" s="7"/>
      <c r="BT1099" s="7"/>
    </row>
    <row r="1100" spans="58:72" x14ac:dyDescent="0.55000000000000004">
      <c r="BF1100" s="7"/>
      <c r="BM1100" s="7"/>
      <c r="BT1100" s="7"/>
    </row>
    <row r="1101" spans="58:72" x14ac:dyDescent="0.55000000000000004">
      <c r="BF1101" s="7"/>
      <c r="BM1101" s="7"/>
      <c r="BT1101" s="7"/>
    </row>
    <row r="1102" spans="58:72" x14ac:dyDescent="0.55000000000000004">
      <c r="BF1102" s="7"/>
      <c r="BM1102" s="7"/>
      <c r="BT1102" s="7"/>
    </row>
    <row r="1103" spans="58:72" x14ac:dyDescent="0.55000000000000004">
      <c r="BF1103" s="7"/>
      <c r="BM1103" s="7"/>
      <c r="BT1103" s="7"/>
    </row>
    <row r="1104" spans="58:72" x14ac:dyDescent="0.55000000000000004">
      <c r="BF1104" s="7"/>
      <c r="BM1104" s="7"/>
      <c r="BT1104" s="7"/>
    </row>
    <row r="1105" spans="58:72" x14ac:dyDescent="0.55000000000000004">
      <c r="BF1105" s="7"/>
      <c r="BM1105" s="7"/>
      <c r="BT1105" s="7"/>
    </row>
    <row r="1106" spans="58:72" x14ac:dyDescent="0.55000000000000004">
      <c r="BF1106" s="7"/>
      <c r="BM1106" s="7"/>
      <c r="BT1106" s="7"/>
    </row>
    <row r="1107" spans="58:72" x14ac:dyDescent="0.55000000000000004">
      <c r="BF1107" s="7"/>
      <c r="BM1107" s="7"/>
      <c r="BT1107" s="7"/>
    </row>
    <row r="1108" spans="58:72" x14ac:dyDescent="0.55000000000000004">
      <c r="BF1108" s="7"/>
      <c r="BM1108" s="7"/>
      <c r="BT1108" s="7"/>
    </row>
    <row r="1109" spans="58:72" x14ac:dyDescent="0.55000000000000004">
      <c r="BF1109" s="7"/>
      <c r="BM1109" s="7"/>
      <c r="BT1109" s="7"/>
    </row>
    <row r="1110" spans="58:72" x14ac:dyDescent="0.55000000000000004">
      <c r="BF1110" s="7"/>
      <c r="BM1110" s="7"/>
      <c r="BT1110" s="7"/>
    </row>
    <row r="1111" spans="58:72" x14ac:dyDescent="0.55000000000000004">
      <c r="BF1111" s="7"/>
      <c r="BM1111" s="7"/>
      <c r="BT1111" s="7"/>
    </row>
    <row r="1112" spans="58:72" x14ac:dyDescent="0.55000000000000004">
      <c r="BF1112" s="7"/>
      <c r="BM1112" s="7"/>
      <c r="BT1112" s="7"/>
    </row>
    <row r="1113" spans="58:72" x14ac:dyDescent="0.55000000000000004">
      <c r="BF1113" s="7"/>
      <c r="BM1113" s="7"/>
      <c r="BT1113" s="7"/>
    </row>
    <row r="1114" spans="58:72" x14ac:dyDescent="0.55000000000000004">
      <c r="BF1114" s="7"/>
      <c r="BM1114" s="7"/>
      <c r="BT1114" s="7"/>
    </row>
    <row r="1115" spans="58:72" x14ac:dyDescent="0.55000000000000004">
      <c r="BF1115" s="7"/>
      <c r="BM1115" s="7"/>
      <c r="BT1115" s="7"/>
    </row>
    <row r="1116" spans="58:72" x14ac:dyDescent="0.55000000000000004">
      <c r="BF1116" s="7"/>
      <c r="BM1116" s="7"/>
      <c r="BT1116" s="7"/>
    </row>
    <row r="1117" spans="58:72" x14ac:dyDescent="0.55000000000000004">
      <c r="BF1117" s="7"/>
      <c r="BM1117" s="7"/>
      <c r="BT1117" s="7"/>
    </row>
    <row r="1118" spans="58:72" x14ac:dyDescent="0.55000000000000004">
      <c r="BF1118" s="7"/>
      <c r="BM1118" s="7"/>
      <c r="BT1118" s="7"/>
    </row>
    <row r="1119" spans="58:72" x14ac:dyDescent="0.55000000000000004">
      <c r="BF1119" s="7"/>
      <c r="BM1119" s="7"/>
      <c r="BT1119" s="7"/>
    </row>
    <row r="1120" spans="58:72" x14ac:dyDescent="0.55000000000000004">
      <c r="BF1120" s="7"/>
      <c r="BM1120" s="7"/>
      <c r="BT1120" s="7"/>
    </row>
    <row r="1121" spans="58:72" x14ac:dyDescent="0.55000000000000004">
      <c r="BF1121" s="7"/>
      <c r="BM1121" s="7"/>
      <c r="BT1121" s="7"/>
    </row>
    <row r="1122" spans="58:72" x14ac:dyDescent="0.55000000000000004">
      <c r="BF1122" s="7"/>
      <c r="BM1122" s="7"/>
      <c r="BT1122" s="7"/>
    </row>
    <row r="1123" spans="58:72" x14ac:dyDescent="0.55000000000000004">
      <c r="BF1123" s="7"/>
      <c r="BM1123" s="7"/>
      <c r="BT1123" s="7"/>
    </row>
    <row r="1124" spans="58:72" x14ac:dyDescent="0.55000000000000004">
      <c r="BF1124" s="7"/>
      <c r="BM1124" s="7"/>
      <c r="BT1124" s="7"/>
    </row>
    <row r="1125" spans="58:72" x14ac:dyDescent="0.55000000000000004">
      <c r="BF1125" s="7"/>
      <c r="BM1125" s="7"/>
      <c r="BT1125" s="7"/>
    </row>
    <row r="1126" spans="58:72" x14ac:dyDescent="0.55000000000000004">
      <c r="BF1126" s="7"/>
      <c r="BM1126" s="7"/>
      <c r="BT1126" s="7"/>
    </row>
    <row r="1127" spans="58:72" x14ac:dyDescent="0.55000000000000004">
      <c r="BF1127" s="7"/>
      <c r="BM1127" s="7"/>
      <c r="BT1127" s="7"/>
    </row>
    <row r="1128" spans="58:72" x14ac:dyDescent="0.55000000000000004">
      <c r="BF1128" s="7"/>
      <c r="BM1128" s="7"/>
      <c r="BT1128" s="7"/>
    </row>
    <row r="1129" spans="58:72" x14ac:dyDescent="0.55000000000000004">
      <c r="BF1129" s="7"/>
      <c r="BM1129" s="7"/>
      <c r="BT1129" s="7"/>
    </row>
    <row r="1130" spans="58:72" x14ac:dyDescent="0.55000000000000004">
      <c r="BF1130" s="7"/>
      <c r="BM1130" s="7"/>
      <c r="BT1130" s="7"/>
    </row>
    <row r="1131" spans="58:72" x14ac:dyDescent="0.55000000000000004">
      <c r="BF1131" s="7"/>
      <c r="BM1131" s="7"/>
      <c r="BT1131" s="7"/>
    </row>
    <row r="1132" spans="58:72" x14ac:dyDescent="0.55000000000000004">
      <c r="BF1132" s="7"/>
      <c r="BM1132" s="7"/>
      <c r="BT1132" s="7"/>
    </row>
    <row r="1133" spans="58:72" x14ac:dyDescent="0.55000000000000004">
      <c r="BF1133" s="7"/>
      <c r="BM1133" s="7"/>
      <c r="BT1133" s="7"/>
    </row>
    <row r="1134" spans="58:72" x14ac:dyDescent="0.55000000000000004">
      <c r="BF1134" s="7"/>
      <c r="BM1134" s="7"/>
      <c r="BT1134" s="7"/>
    </row>
    <row r="1135" spans="58:72" x14ac:dyDescent="0.55000000000000004">
      <c r="BF1135" s="7"/>
      <c r="BM1135" s="7"/>
      <c r="BT1135" s="7"/>
    </row>
    <row r="1136" spans="58:72" x14ac:dyDescent="0.55000000000000004">
      <c r="BF1136" s="7"/>
      <c r="BM1136" s="7"/>
      <c r="BT1136" s="7"/>
    </row>
    <row r="1137" spans="58:72" x14ac:dyDescent="0.55000000000000004">
      <c r="BF1137" s="7"/>
      <c r="BM1137" s="7"/>
      <c r="BT1137" s="7"/>
    </row>
    <row r="1138" spans="58:72" x14ac:dyDescent="0.55000000000000004">
      <c r="BF1138" s="7"/>
      <c r="BM1138" s="7"/>
      <c r="BT1138" s="7"/>
    </row>
    <row r="1139" spans="58:72" x14ac:dyDescent="0.55000000000000004">
      <c r="BF1139" s="7"/>
      <c r="BM1139" s="7"/>
      <c r="BT1139" s="7"/>
    </row>
    <row r="1140" spans="58:72" x14ac:dyDescent="0.55000000000000004">
      <c r="BF1140" s="7"/>
      <c r="BM1140" s="7"/>
      <c r="BT1140" s="7"/>
    </row>
    <row r="1141" spans="58:72" x14ac:dyDescent="0.55000000000000004">
      <c r="BF1141" s="7"/>
      <c r="BM1141" s="7"/>
      <c r="BT1141" s="7"/>
    </row>
    <row r="1142" spans="58:72" x14ac:dyDescent="0.55000000000000004">
      <c r="BF1142" s="7"/>
      <c r="BM1142" s="7"/>
      <c r="BT1142" s="7"/>
    </row>
    <row r="1143" spans="58:72" x14ac:dyDescent="0.55000000000000004">
      <c r="BF1143" s="7"/>
      <c r="BM1143" s="7"/>
      <c r="BT1143" s="7"/>
    </row>
    <row r="1144" spans="58:72" x14ac:dyDescent="0.55000000000000004">
      <c r="BF1144" s="7"/>
      <c r="BM1144" s="7"/>
      <c r="BT1144" s="7"/>
    </row>
    <row r="1145" spans="58:72" x14ac:dyDescent="0.55000000000000004">
      <c r="BF1145" s="7"/>
      <c r="BM1145" s="7"/>
      <c r="BT1145" s="7"/>
    </row>
    <row r="1146" spans="58:72" x14ac:dyDescent="0.55000000000000004">
      <c r="BF1146" s="7"/>
      <c r="BM1146" s="7"/>
      <c r="BT1146" s="7"/>
    </row>
    <row r="1147" spans="58:72" x14ac:dyDescent="0.55000000000000004">
      <c r="BF1147" s="7"/>
      <c r="BM1147" s="7"/>
      <c r="BT1147" s="7"/>
    </row>
    <row r="1148" spans="58:72" x14ac:dyDescent="0.55000000000000004">
      <c r="BF1148" s="7"/>
      <c r="BM1148" s="7"/>
      <c r="BT1148" s="7"/>
    </row>
    <row r="1149" spans="58:72" x14ac:dyDescent="0.55000000000000004">
      <c r="BF1149" s="7"/>
      <c r="BM1149" s="7"/>
      <c r="BT1149" s="7"/>
    </row>
    <row r="1150" spans="58:72" x14ac:dyDescent="0.55000000000000004">
      <c r="BF1150" s="7"/>
      <c r="BM1150" s="7"/>
      <c r="BT1150" s="7"/>
    </row>
    <row r="1151" spans="58:72" x14ac:dyDescent="0.55000000000000004">
      <c r="BF1151" s="7"/>
      <c r="BM1151" s="7"/>
      <c r="BT1151" s="7"/>
    </row>
    <row r="1152" spans="58:72" x14ac:dyDescent="0.55000000000000004">
      <c r="BF1152" s="7"/>
      <c r="BM1152" s="7"/>
      <c r="BT1152" s="7"/>
    </row>
    <row r="1153" spans="58:72" x14ac:dyDescent="0.55000000000000004">
      <c r="BF1153" s="7"/>
      <c r="BM1153" s="7"/>
      <c r="BT1153" s="7"/>
    </row>
    <row r="1154" spans="58:72" x14ac:dyDescent="0.55000000000000004">
      <c r="BF1154" s="7"/>
      <c r="BM1154" s="7"/>
      <c r="BT1154" s="7"/>
    </row>
    <row r="1155" spans="58:72" x14ac:dyDescent="0.55000000000000004">
      <c r="BF1155" s="7"/>
      <c r="BM1155" s="7"/>
      <c r="BT1155" s="7"/>
    </row>
    <row r="1156" spans="58:72" x14ac:dyDescent="0.55000000000000004">
      <c r="BF1156" s="7"/>
      <c r="BM1156" s="7"/>
      <c r="BT1156" s="7"/>
    </row>
    <row r="1157" spans="58:72" x14ac:dyDescent="0.55000000000000004">
      <c r="BF1157" s="7"/>
      <c r="BM1157" s="7"/>
      <c r="BT1157" s="7"/>
    </row>
    <row r="1158" spans="58:72" x14ac:dyDescent="0.55000000000000004">
      <c r="BF1158" s="7"/>
      <c r="BM1158" s="7"/>
      <c r="BT1158" s="7"/>
    </row>
    <row r="1159" spans="58:72" x14ac:dyDescent="0.55000000000000004">
      <c r="BF1159" s="7"/>
      <c r="BM1159" s="7"/>
      <c r="BT1159" s="7"/>
    </row>
    <row r="1160" spans="58:72" x14ac:dyDescent="0.55000000000000004">
      <c r="BF1160" s="7"/>
      <c r="BM1160" s="7"/>
      <c r="BT1160" s="7"/>
    </row>
    <row r="1161" spans="58:72" x14ac:dyDescent="0.55000000000000004">
      <c r="BF1161" s="7"/>
      <c r="BM1161" s="7"/>
      <c r="BT1161" s="7"/>
    </row>
    <row r="1162" spans="58:72" x14ac:dyDescent="0.55000000000000004">
      <c r="BF1162" s="7"/>
      <c r="BM1162" s="7"/>
      <c r="BT1162" s="7"/>
    </row>
    <row r="1163" spans="58:72" x14ac:dyDescent="0.55000000000000004">
      <c r="BF1163" s="7"/>
      <c r="BM1163" s="7"/>
      <c r="BT1163" s="7"/>
    </row>
    <row r="1164" spans="58:72" x14ac:dyDescent="0.55000000000000004">
      <c r="BF1164" s="7"/>
      <c r="BM1164" s="7"/>
      <c r="BT1164" s="7"/>
    </row>
    <row r="1165" spans="58:72" x14ac:dyDescent="0.55000000000000004">
      <c r="BF1165" s="7"/>
      <c r="BM1165" s="7"/>
      <c r="BT1165" s="7"/>
    </row>
    <row r="1166" spans="58:72" x14ac:dyDescent="0.55000000000000004">
      <c r="BF1166" s="7"/>
      <c r="BM1166" s="7"/>
      <c r="BT1166" s="7"/>
    </row>
    <row r="1167" spans="58:72" x14ac:dyDescent="0.55000000000000004">
      <c r="BF1167" s="7"/>
      <c r="BM1167" s="7"/>
      <c r="BT1167" s="7"/>
    </row>
    <row r="1168" spans="58:72" x14ac:dyDescent="0.55000000000000004">
      <c r="BF1168" s="7"/>
      <c r="BM1168" s="7"/>
      <c r="BT1168" s="7"/>
    </row>
    <row r="1169" spans="58:72" x14ac:dyDescent="0.55000000000000004">
      <c r="BF1169" s="7"/>
      <c r="BM1169" s="7"/>
      <c r="BT1169" s="7"/>
    </row>
    <row r="1170" spans="58:72" x14ac:dyDescent="0.55000000000000004">
      <c r="BF1170" s="7"/>
      <c r="BM1170" s="7"/>
      <c r="BT1170" s="7"/>
    </row>
    <row r="1171" spans="58:72" x14ac:dyDescent="0.55000000000000004">
      <c r="BF1171" s="7"/>
      <c r="BM1171" s="7"/>
      <c r="BT1171" s="7"/>
    </row>
    <row r="1172" spans="58:72" x14ac:dyDescent="0.55000000000000004">
      <c r="BF1172" s="7"/>
      <c r="BM1172" s="7"/>
      <c r="BT1172" s="7"/>
    </row>
    <row r="1173" spans="58:72" x14ac:dyDescent="0.55000000000000004">
      <c r="BF1173" s="7"/>
      <c r="BM1173" s="7"/>
      <c r="BT1173" s="7"/>
    </row>
    <row r="1174" spans="58:72" x14ac:dyDescent="0.55000000000000004">
      <c r="BF1174" s="7"/>
      <c r="BM1174" s="7"/>
      <c r="BT1174" s="7"/>
    </row>
    <row r="1175" spans="58:72" x14ac:dyDescent="0.55000000000000004">
      <c r="BF1175" s="7"/>
      <c r="BM1175" s="7"/>
      <c r="BT1175" s="7"/>
    </row>
    <row r="1176" spans="58:72" x14ac:dyDescent="0.55000000000000004">
      <c r="BF1176" s="7"/>
      <c r="BM1176" s="7"/>
      <c r="BT1176" s="7"/>
    </row>
    <row r="1177" spans="58:72" x14ac:dyDescent="0.55000000000000004">
      <c r="BF1177" s="7"/>
      <c r="BM1177" s="7"/>
      <c r="BT1177" s="7"/>
    </row>
    <row r="1178" spans="58:72" x14ac:dyDescent="0.55000000000000004">
      <c r="BF1178" s="7"/>
      <c r="BM1178" s="7"/>
      <c r="BT1178" s="7"/>
    </row>
    <row r="1179" spans="58:72" x14ac:dyDescent="0.55000000000000004">
      <c r="BF1179" s="7"/>
      <c r="BM1179" s="7"/>
      <c r="BT1179" s="7"/>
    </row>
    <row r="1180" spans="58:72" x14ac:dyDescent="0.55000000000000004">
      <c r="BF1180" s="7"/>
      <c r="BM1180" s="7"/>
      <c r="BT1180" s="7"/>
    </row>
    <row r="1181" spans="58:72" x14ac:dyDescent="0.55000000000000004">
      <c r="BF1181" s="7"/>
      <c r="BM1181" s="7"/>
      <c r="BT1181" s="7"/>
    </row>
    <row r="1182" spans="58:72" x14ac:dyDescent="0.55000000000000004">
      <c r="BF1182" s="7"/>
      <c r="BM1182" s="7"/>
      <c r="BT1182" s="7"/>
    </row>
    <row r="1183" spans="58:72" x14ac:dyDescent="0.55000000000000004">
      <c r="BF1183" s="7"/>
      <c r="BM1183" s="7"/>
      <c r="BT1183" s="7"/>
    </row>
    <row r="1184" spans="58:72" x14ac:dyDescent="0.55000000000000004">
      <c r="BF1184" s="7"/>
      <c r="BM1184" s="7"/>
      <c r="BT1184" s="7"/>
    </row>
    <row r="1185" spans="58:72" x14ac:dyDescent="0.55000000000000004">
      <c r="BF1185" s="7"/>
      <c r="BM1185" s="7"/>
      <c r="BT1185" s="7"/>
    </row>
    <row r="1186" spans="58:72" x14ac:dyDescent="0.55000000000000004">
      <c r="BF1186" s="7"/>
      <c r="BM1186" s="7"/>
      <c r="BT1186" s="7"/>
    </row>
    <row r="1187" spans="58:72" x14ac:dyDescent="0.55000000000000004">
      <c r="BF1187" s="7"/>
      <c r="BM1187" s="7"/>
      <c r="BT1187" s="7"/>
    </row>
    <row r="1188" spans="58:72" x14ac:dyDescent="0.55000000000000004">
      <c r="BF1188" s="7"/>
      <c r="BM1188" s="7"/>
      <c r="BT1188" s="7"/>
    </row>
    <row r="1189" spans="58:72" x14ac:dyDescent="0.55000000000000004">
      <c r="BF1189" s="7"/>
      <c r="BM1189" s="7"/>
      <c r="BT1189" s="7"/>
    </row>
    <row r="1190" spans="58:72" x14ac:dyDescent="0.55000000000000004">
      <c r="BF1190" s="7"/>
      <c r="BM1190" s="7"/>
      <c r="BT1190" s="7"/>
    </row>
    <row r="1191" spans="58:72" x14ac:dyDescent="0.55000000000000004">
      <c r="BF1191" s="7"/>
      <c r="BM1191" s="7"/>
      <c r="BT1191" s="7"/>
    </row>
    <row r="1192" spans="58:72" x14ac:dyDescent="0.55000000000000004">
      <c r="BF1192" s="7"/>
      <c r="BM1192" s="7"/>
      <c r="BT1192" s="7"/>
    </row>
    <row r="1193" spans="58:72" x14ac:dyDescent="0.55000000000000004">
      <c r="BF1193" s="7"/>
      <c r="BM1193" s="7"/>
      <c r="BT1193" s="7"/>
    </row>
    <row r="1194" spans="58:72" x14ac:dyDescent="0.55000000000000004">
      <c r="BF1194" s="7"/>
      <c r="BM1194" s="7"/>
      <c r="BT1194" s="7"/>
    </row>
    <row r="1195" spans="58:72" x14ac:dyDescent="0.55000000000000004">
      <c r="BF1195" s="7"/>
      <c r="BM1195" s="7"/>
      <c r="BT1195" s="7"/>
    </row>
    <row r="1196" spans="58:72" x14ac:dyDescent="0.55000000000000004">
      <c r="BF1196" s="7"/>
      <c r="BM1196" s="7"/>
      <c r="BT1196" s="7"/>
    </row>
    <row r="1197" spans="58:72" x14ac:dyDescent="0.55000000000000004">
      <c r="BF1197" s="7"/>
      <c r="BM1197" s="7"/>
      <c r="BT1197" s="7"/>
    </row>
    <row r="1198" spans="58:72" x14ac:dyDescent="0.55000000000000004">
      <c r="BF1198" s="7"/>
      <c r="BM1198" s="7"/>
      <c r="BT1198" s="7"/>
    </row>
    <row r="1199" spans="58:72" x14ac:dyDescent="0.55000000000000004">
      <c r="BF1199" s="7"/>
      <c r="BM1199" s="7"/>
      <c r="BT1199" s="7"/>
    </row>
    <row r="1200" spans="58:72" x14ac:dyDescent="0.55000000000000004">
      <c r="BF1200" s="7"/>
      <c r="BM1200" s="7"/>
      <c r="BT1200" s="7"/>
    </row>
    <row r="1201" spans="58:72" x14ac:dyDescent="0.55000000000000004">
      <c r="BF1201" s="7"/>
      <c r="BM1201" s="7"/>
      <c r="BT1201" s="7"/>
    </row>
    <row r="1202" spans="58:72" x14ac:dyDescent="0.55000000000000004">
      <c r="BF1202" s="7"/>
      <c r="BM1202" s="7"/>
      <c r="BT1202" s="7"/>
    </row>
    <row r="1203" spans="58:72" x14ac:dyDescent="0.55000000000000004">
      <c r="BF1203" s="7"/>
      <c r="BM1203" s="7"/>
      <c r="BT1203" s="7"/>
    </row>
    <row r="1204" spans="58:72" x14ac:dyDescent="0.55000000000000004">
      <c r="BF1204" s="7"/>
      <c r="BM1204" s="7"/>
      <c r="BT1204" s="7"/>
    </row>
    <row r="1205" spans="58:72" x14ac:dyDescent="0.55000000000000004">
      <c r="BF1205" s="7"/>
      <c r="BM1205" s="7"/>
      <c r="BT1205" s="7"/>
    </row>
    <row r="1206" spans="58:72" x14ac:dyDescent="0.55000000000000004">
      <c r="BF1206" s="7"/>
      <c r="BM1206" s="7"/>
      <c r="BT1206" s="7"/>
    </row>
    <row r="1207" spans="58:72" x14ac:dyDescent="0.55000000000000004">
      <c r="BF1207" s="7"/>
      <c r="BM1207" s="7"/>
      <c r="BT1207" s="7"/>
    </row>
    <row r="1208" spans="58:72" x14ac:dyDescent="0.55000000000000004">
      <c r="BF1208" s="7"/>
      <c r="BM1208" s="7"/>
      <c r="BT1208" s="7"/>
    </row>
    <row r="1209" spans="58:72" x14ac:dyDescent="0.55000000000000004">
      <c r="BF1209" s="7"/>
      <c r="BM1209" s="7"/>
      <c r="BT1209" s="7"/>
    </row>
    <row r="1210" spans="58:72" x14ac:dyDescent="0.55000000000000004">
      <c r="BF1210" s="7"/>
      <c r="BM1210" s="7"/>
      <c r="BT1210" s="7"/>
    </row>
    <row r="1211" spans="58:72" x14ac:dyDescent="0.55000000000000004">
      <c r="BF1211" s="7"/>
      <c r="BM1211" s="7"/>
      <c r="BT1211" s="7"/>
    </row>
    <row r="1212" spans="58:72" x14ac:dyDescent="0.55000000000000004">
      <c r="BF1212" s="7"/>
      <c r="BM1212" s="7"/>
      <c r="BT1212" s="7"/>
    </row>
    <row r="1213" spans="58:72" x14ac:dyDescent="0.55000000000000004">
      <c r="BF1213" s="7"/>
      <c r="BM1213" s="7"/>
      <c r="BT1213" s="7"/>
    </row>
    <row r="1214" spans="58:72" x14ac:dyDescent="0.55000000000000004">
      <c r="BF1214" s="7"/>
      <c r="BM1214" s="7"/>
      <c r="BT1214" s="7"/>
    </row>
    <row r="1215" spans="58:72" x14ac:dyDescent="0.55000000000000004">
      <c r="BF1215" s="7"/>
      <c r="BM1215" s="7"/>
      <c r="BT1215" s="7"/>
    </row>
    <row r="1216" spans="58:72" x14ac:dyDescent="0.55000000000000004">
      <c r="BF1216" s="7"/>
      <c r="BM1216" s="7"/>
      <c r="BT1216" s="7"/>
    </row>
    <row r="1217" spans="58:72" x14ac:dyDescent="0.55000000000000004">
      <c r="BF1217" s="7"/>
      <c r="BM1217" s="7"/>
      <c r="BT1217" s="7"/>
    </row>
    <row r="1218" spans="58:72" x14ac:dyDescent="0.55000000000000004">
      <c r="BF1218" s="7"/>
      <c r="BM1218" s="7"/>
      <c r="BT1218" s="7"/>
    </row>
    <row r="1219" spans="58:72" x14ac:dyDescent="0.55000000000000004">
      <c r="BF1219" s="7"/>
      <c r="BM1219" s="7"/>
      <c r="BT1219" s="7"/>
    </row>
    <row r="1220" spans="58:72" x14ac:dyDescent="0.55000000000000004">
      <c r="BF1220" s="7"/>
      <c r="BM1220" s="7"/>
      <c r="BT1220" s="7"/>
    </row>
    <row r="1221" spans="58:72" x14ac:dyDescent="0.55000000000000004">
      <c r="BF1221" s="7"/>
      <c r="BM1221" s="7"/>
      <c r="BT1221" s="7"/>
    </row>
    <row r="1222" spans="58:72" x14ac:dyDescent="0.55000000000000004">
      <c r="BF1222" s="7"/>
      <c r="BM1222" s="7"/>
      <c r="BT1222" s="7"/>
    </row>
    <row r="1223" spans="58:72" x14ac:dyDescent="0.55000000000000004">
      <c r="BF1223" s="7"/>
      <c r="BM1223" s="7"/>
      <c r="BT1223" s="7"/>
    </row>
    <row r="1224" spans="58:72" x14ac:dyDescent="0.55000000000000004">
      <c r="BF1224" s="7"/>
      <c r="BM1224" s="7"/>
      <c r="BT1224" s="7"/>
    </row>
    <row r="1225" spans="58:72" x14ac:dyDescent="0.55000000000000004">
      <c r="BF1225" s="7"/>
      <c r="BM1225" s="7"/>
      <c r="BT1225" s="7"/>
    </row>
    <row r="1226" spans="58:72" x14ac:dyDescent="0.55000000000000004">
      <c r="BF1226" s="7"/>
      <c r="BM1226" s="7"/>
      <c r="BT1226" s="7"/>
    </row>
    <row r="1227" spans="58:72" x14ac:dyDescent="0.55000000000000004">
      <c r="BF1227" s="7"/>
      <c r="BM1227" s="7"/>
      <c r="BT1227" s="7"/>
    </row>
    <row r="1228" spans="58:72" x14ac:dyDescent="0.55000000000000004">
      <c r="BF1228" s="7"/>
      <c r="BM1228" s="7"/>
      <c r="BT1228" s="7"/>
    </row>
    <row r="1229" spans="58:72" x14ac:dyDescent="0.55000000000000004">
      <c r="BF1229" s="7"/>
      <c r="BM1229" s="7"/>
      <c r="BT1229" s="7"/>
    </row>
    <row r="1230" spans="58:72" x14ac:dyDescent="0.55000000000000004">
      <c r="BF1230" s="7"/>
      <c r="BM1230" s="7"/>
      <c r="BT1230" s="7"/>
    </row>
    <row r="1231" spans="58:72" x14ac:dyDescent="0.55000000000000004">
      <c r="BF1231" s="7"/>
      <c r="BM1231" s="7"/>
      <c r="BT1231" s="7"/>
    </row>
    <row r="1232" spans="58:72" x14ac:dyDescent="0.55000000000000004">
      <c r="BF1232" s="7"/>
      <c r="BM1232" s="7"/>
      <c r="BT1232" s="7"/>
    </row>
    <row r="1233" spans="58:72" x14ac:dyDescent="0.55000000000000004">
      <c r="BF1233" s="7"/>
      <c r="BM1233" s="7"/>
      <c r="BT1233" s="7"/>
    </row>
    <row r="1234" spans="58:72" x14ac:dyDescent="0.55000000000000004">
      <c r="BF1234" s="7"/>
      <c r="BM1234" s="7"/>
      <c r="BT1234" s="7"/>
    </row>
    <row r="1235" spans="58:72" x14ac:dyDescent="0.55000000000000004">
      <c r="BF1235" s="7"/>
      <c r="BM1235" s="7"/>
      <c r="BT1235" s="7"/>
    </row>
    <row r="1236" spans="58:72" x14ac:dyDescent="0.55000000000000004">
      <c r="BF1236" s="7"/>
      <c r="BM1236" s="7"/>
      <c r="BT1236" s="7"/>
    </row>
    <row r="1237" spans="58:72" x14ac:dyDescent="0.55000000000000004">
      <c r="BF1237" s="7"/>
      <c r="BM1237" s="7"/>
      <c r="BT1237" s="7"/>
    </row>
    <row r="1238" spans="58:72" x14ac:dyDescent="0.55000000000000004">
      <c r="BF1238" s="7"/>
      <c r="BM1238" s="7"/>
      <c r="BT1238" s="7"/>
    </row>
    <row r="1239" spans="58:72" x14ac:dyDescent="0.55000000000000004">
      <c r="BF1239" s="7"/>
      <c r="BM1239" s="7"/>
      <c r="BT1239" s="7"/>
    </row>
    <row r="1240" spans="58:72" x14ac:dyDescent="0.55000000000000004">
      <c r="BF1240" s="7"/>
      <c r="BM1240" s="7"/>
      <c r="BT1240" s="7"/>
    </row>
    <row r="1241" spans="58:72" x14ac:dyDescent="0.55000000000000004">
      <c r="BF1241" s="7"/>
      <c r="BM1241" s="7"/>
      <c r="BT1241" s="7"/>
    </row>
    <row r="1242" spans="58:72" x14ac:dyDescent="0.55000000000000004">
      <c r="BF1242" s="7"/>
      <c r="BM1242" s="7"/>
      <c r="BT1242" s="7"/>
    </row>
    <row r="1243" spans="58:72" x14ac:dyDescent="0.55000000000000004">
      <c r="BF1243" s="7"/>
      <c r="BM1243" s="7"/>
      <c r="BT1243" s="7"/>
    </row>
    <row r="1244" spans="58:72" x14ac:dyDescent="0.55000000000000004">
      <c r="BF1244" s="7"/>
      <c r="BM1244" s="7"/>
      <c r="BT1244" s="7"/>
    </row>
    <row r="1245" spans="58:72" x14ac:dyDescent="0.55000000000000004">
      <c r="BF1245" s="7"/>
      <c r="BM1245" s="7"/>
      <c r="BT1245" s="7"/>
    </row>
    <row r="1246" spans="58:72" x14ac:dyDescent="0.55000000000000004">
      <c r="BF1246" s="7"/>
      <c r="BM1246" s="7"/>
      <c r="BT1246" s="7"/>
    </row>
    <row r="1247" spans="58:72" x14ac:dyDescent="0.55000000000000004">
      <c r="BF1247" s="7"/>
      <c r="BM1247" s="7"/>
      <c r="BT1247" s="7"/>
    </row>
    <row r="1248" spans="58:72" x14ac:dyDescent="0.55000000000000004">
      <c r="BF1248" s="7"/>
      <c r="BM1248" s="7"/>
      <c r="BT1248" s="7"/>
    </row>
    <row r="1249" spans="58:72" x14ac:dyDescent="0.55000000000000004">
      <c r="BF1249" s="7"/>
      <c r="BM1249" s="7"/>
      <c r="BT1249" s="7"/>
    </row>
    <row r="1250" spans="58:72" x14ac:dyDescent="0.55000000000000004">
      <c r="BF1250" s="7"/>
      <c r="BM1250" s="7"/>
      <c r="BT1250" s="7"/>
    </row>
    <row r="1251" spans="58:72" x14ac:dyDescent="0.55000000000000004">
      <c r="BF1251" s="7"/>
      <c r="BM1251" s="7"/>
      <c r="BT1251" s="7"/>
    </row>
    <row r="1252" spans="58:72" x14ac:dyDescent="0.55000000000000004">
      <c r="BF1252" s="7"/>
      <c r="BM1252" s="7"/>
      <c r="BT1252" s="7"/>
    </row>
    <row r="1253" spans="58:72" x14ac:dyDescent="0.55000000000000004">
      <c r="BF1253" s="7"/>
      <c r="BM1253" s="7"/>
      <c r="BT1253" s="7"/>
    </row>
    <row r="1254" spans="58:72" x14ac:dyDescent="0.55000000000000004">
      <c r="BF1254" s="7"/>
      <c r="BM1254" s="7"/>
      <c r="BT1254" s="7"/>
    </row>
    <row r="1255" spans="58:72" x14ac:dyDescent="0.55000000000000004">
      <c r="BF1255" s="7"/>
      <c r="BM1255" s="7"/>
      <c r="BT1255" s="7"/>
    </row>
    <row r="1256" spans="58:72" x14ac:dyDescent="0.55000000000000004">
      <c r="BF1256" s="7"/>
      <c r="BM1256" s="7"/>
      <c r="BT1256" s="7"/>
    </row>
    <row r="1257" spans="58:72" x14ac:dyDescent="0.55000000000000004">
      <c r="BF1257" s="7"/>
      <c r="BM1257" s="7"/>
      <c r="BT1257" s="7"/>
    </row>
    <row r="1258" spans="58:72" x14ac:dyDescent="0.55000000000000004">
      <c r="BF1258" s="7"/>
      <c r="BM1258" s="7"/>
      <c r="BT1258" s="7"/>
    </row>
    <row r="1259" spans="58:72" x14ac:dyDescent="0.55000000000000004">
      <c r="BF1259" s="7"/>
      <c r="BM1259" s="7"/>
      <c r="BT1259" s="7"/>
    </row>
    <row r="1260" spans="58:72" x14ac:dyDescent="0.55000000000000004">
      <c r="BF1260" s="7"/>
      <c r="BM1260" s="7"/>
      <c r="BT1260" s="7"/>
    </row>
    <row r="1261" spans="58:72" x14ac:dyDescent="0.55000000000000004">
      <c r="BF1261" s="7"/>
      <c r="BM1261" s="7"/>
      <c r="BT1261" s="7"/>
    </row>
    <row r="1262" spans="58:72" x14ac:dyDescent="0.55000000000000004">
      <c r="BF1262" s="7"/>
      <c r="BM1262" s="7"/>
      <c r="BT1262" s="7"/>
    </row>
    <row r="1263" spans="58:72" x14ac:dyDescent="0.55000000000000004">
      <c r="BF1263" s="7"/>
      <c r="BM1263" s="7"/>
      <c r="BT1263" s="7"/>
    </row>
    <row r="1264" spans="58:72" x14ac:dyDescent="0.55000000000000004">
      <c r="BF1264" s="7"/>
      <c r="BM1264" s="7"/>
      <c r="BT1264" s="7"/>
    </row>
    <row r="1265" spans="58:72" x14ac:dyDescent="0.55000000000000004">
      <c r="BF1265" s="7"/>
      <c r="BM1265" s="7"/>
      <c r="BT1265" s="7"/>
    </row>
    <row r="1266" spans="58:72" x14ac:dyDescent="0.55000000000000004">
      <c r="BF1266" s="7"/>
      <c r="BM1266" s="7"/>
      <c r="BT1266" s="7"/>
    </row>
    <row r="1267" spans="58:72" x14ac:dyDescent="0.55000000000000004">
      <c r="BF1267" s="7"/>
      <c r="BM1267" s="7"/>
      <c r="BT1267" s="7"/>
    </row>
    <row r="1268" spans="58:72" x14ac:dyDescent="0.55000000000000004">
      <c r="BF1268" s="7"/>
      <c r="BM1268" s="7"/>
      <c r="BT1268" s="7"/>
    </row>
    <row r="1269" spans="58:72" x14ac:dyDescent="0.55000000000000004">
      <c r="BF1269" s="7"/>
      <c r="BM1269" s="7"/>
      <c r="BT1269" s="7"/>
    </row>
    <row r="1270" spans="58:72" x14ac:dyDescent="0.55000000000000004">
      <c r="BF1270" s="7"/>
      <c r="BM1270" s="7"/>
      <c r="BT1270" s="7"/>
    </row>
    <row r="1271" spans="58:72" x14ac:dyDescent="0.55000000000000004">
      <c r="BF1271" s="7"/>
      <c r="BM1271" s="7"/>
      <c r="BT1271" s="7"/>
    </row>
    <row r="1272" spans="58:72" x14ac:dyDescent="0.55000000000000004">
      <c r="BF1272" s="7"/>
      <c r="BM1272" s="7"/>
      <c r="BT1272" s="7"/>
    </row>
    <row r="1273" spans="58:72" x14ac:dyDescent="0.55000000000000004">
      <c r="BF1273" s="7"/>
      <c r="BM1273" s="7"/>
      <c r="BT1273" s="7"/>
    </row>
    <row r="1274" spans="58:72" x14ac:dyDescent="0.55000000000000004">
      <c r="BF1274" s="7"/>
      <c r="BM1274" s="7"/>
      <c r="BT1274" s="7"/>
    </row>
    <row r="1275" spans="58:72" x14ac:dyDescent="0.55000000000000004">
      <c r="BF1275" s="7"/>
      <c r="BM1275" s="7"/>
      <c r="BT1275" s="7"/>
    </row>
    <row r="1276" spans="58:72" x14ac:dyDescent="0.55000000000000004">
      <c r="BF1276" s="7"/>
      <c r="BM1276" s="7"/>
      <c r="BT1276" s="7"/>
    </row>
    <row r="1277" spans="58:72" x14ac:dyDescent="0.55000000000000004">
      <c r="BF1277" s="7"/>
      <c r="BM1277" s="7"/>
      <c r="BT1277" s="7"/>
    </row>
    <row r="1278" spans="58:72" x14ac:dyDescent="0.55000000000000004">
      <c r="BF1278" s="7"/>
      <c r="BM1278" s="7"/>
      <c r="BT1278" s="7"/>
    </row>
    <row r="1279" spans="58:72" x14ac:dyDescent="0.55000000000000004">
      <c r="BF1279" s="7"/>
      <c r="BM1279" s="7"/>
      <c r="BT1279" s="7"/>
    </row>
    <row r="1280" spans="58:72" x14ac:dyDescent="0.55000000000000004">
      <c r="BF1280" s="7"/>
      <c r="BM1280" s="7"/>
      <c r="BT1280" s="7"/>
    </row>
    <row r="1281" spans="58:72" x14ac:dyDescent="0.55000000000000004">
      <c r="BF1281" s="7"/>
      <c r="BM1281" s="7"/>
      <c r="BT1281" s="7"/>
    </row>
    <row r="1282" spans="58:72" x14ac:dyDescent="0.55000000000000004">
      <c r="BF1282" s="7"/>
      <c r="BM1282" s="7"/>
      <c r="BT1282" s="7"/>
    </row>
    <row r="1283" spans="58:72" x14ac:dyDescent="0.55000000000000004">
      <c r="BF1283" s="7"/>
      <c r="BM1283" s="7"/>
      <c r="BT1283" s="7"/>
    </row>
    <row r="1284" spans="58:72" x14ac:dyDescent="0.55000000000000004">
      <c r="BF1284" s="7"/>
      <c r="BM1284" s="7"/>
      <c r="BT1284" s="7"/>
    </row>
    <row r="1285" spans="58:72" x14ac:dyDescent="0.55000000000000004">
      <c r="BF1285" s="7"/>
      <c r="BM1285" s="7"/>
      <c r="BT1285" s="7"/>
    </row>
    <row r="1286" spans="58:72" x14ac:dyDescent="0.55000000000000004">
      <c r="BF1286" s="7"/>
      <c r="BM1286" s="7"/>
      <c r="BT1286" s="7"/>
    </row>
    <row r="1287" spans="58:72" x14ac:dyDescent="0.55000000000000004">
      <c r="BF1287" s="7"/>
      <c r="BM1287" s="7"/>
      <c r="BT1287" s="7"/>
    </row>
    <row r="1288" spans="58:72" x14ac:dyDescent="0.55000000000000004">
      <c r="BF1288" s="7"/>
      <c r="BM1288" s="7"/>
      <c r="BT1288" s="7"/>
    </row>
    <row r="1289" spans="58:72" x14ac:dyDescent="0.55000000000000004">
      <c r="BF1289" s="7"/>
      <c r="BM1289" s="7"/>
      <c r="BT1289" s="7"/>
    </row>
    <row r="1290" spans="58:72" x14ac:dyDescent="0.55000000000000004">
      <c r="BF1290" s="7"/>
      <c r="BM1290" s="7"/>
      <c r="BT1290" s="7"/>
    </row>
    <row r="1291" spans="58:72" x14ac:dyDescent="0.55000000000000004">
      <c r="BF1291" s="7"/>
      <c r="BM1291" s="7"/>
      <c r="BT1291" s="7"/>
    </row>
    <row r="1292" spans="58:72" x14ac:dyDescent="0.55000000000000004">
      <c r="BF1292" s="7"/>
      <c r="BM1292" s="7"/>
      <c r="BT1292" s="7"/>
    </row>
    <row r="1293" spans="58:72" x14ac:dyDescent="0.55000000000000004">
      <c r="BF1293" s="7"/>
      <c r="BM1293" s="7"/>
      <c r="BT1293" s="7"/>
    </row>
    <row r="1294" spans="58:72" x14ac:dyDescent="0.55000000000000004">
      <c r="BF1294" s="7"/>
      <c r="BM1294" s="7"/>
      <c r="BT1294" s="7"/>
    </row>
    <row r="1295" spans="58:72" x14ac:dyDescent="0.55000000000000004">
      <c r="BF1295" s="7"/>
      <c r="BM1295" s="7"/>
      <c r="BT1295" s="7"/>
    </row>
    <row r="1296" spans="58:72" x14ac:dyDescent="0.55000000000000004">
      <c r="BF1296" s="7"/>
      <c r="BM1296" s="7"/>
      <c r="BT1296" s="7"/>
    </row>
    <row r="1297" spans="58:72" x14ac:dyDescent="0.55000000000000004">
      <c r="BF1297" s="7"/>
      <c r="BM1297" s="7"/>
      <c r="BT1297" s="7"/>
    </row>
    <row r="1298" spans="58:72" x14ac:dyDescent="0.55000000000000004">
      <c r="BF1298" s="7"/>
      <c r="BM1298" s="7"/>
      <c r="BT1298" s="7"/>
    </row>
    <row r="1299" spans="58:72" x14ac:dyDescent="0.55000000000000004">
      <c r="BF1299" s="7"/>
      <c r="BM1299" s="7"/>
      <c r="BT1299" s="7"/>
    </row>
    <row r="1300" spans="58:72" x14ac:dyDescent="0.55000000000000004">
      <c r="BF1300" s="7"/>
      <c r="BM1300" s="7"/>
      <c r="BT1300" s="7"/>
    </row>
    <row r="1301" spans="58:72" x14ac:dyDescent="0.55000000000000004">
      <c r="BF1301" s="7"/>
      <c r="BM1301" s="7"/>
      <c r="BT1301" s="7"/>
    </row>
    <row r="1302" spans="58:72" x14ac:dyDescent="0.55000000000000004">
      <c r="BF1302" s="7"/>
      <c r="BM1302" s="7"/>
      <c r="BT1302" s="7"/>
    </row>
    <row r="1303" spans="58:72" x14ac:dyDescent="0.55000000000000004">
      <c r="BF1303" s="7"/>
      <c r="BM1303" s="7"/>
      <c r="BT1303" s="7"/>
    </row>
    <row r="1304" spans="58:72" x14ac:dyDescent="0.55000000000000004">
      <c r="BF1304" s="7"/>
      <c r="BM1304" s="7"/>
      <c r="BT1304" s="7"/>
    </row>
    <row r="1305" spans="58:72" x14ac:dyDescent="0.55000000000000004">
      <c r="BF1305" s="7"/>
      <c r="BM1305" s="7"/>
      <c r="BT1305" s="7"/>
    </row>
    <row r="1306" spans="58:72" x14ac:dyDescent="0.55000000000000004">
      <c r="BF1306" s="7"/>
      <c r="BM1306" s="7"/>
      <c r="BT1306" s="7"/>
    </row>
    <row r="1307" spans="58:72" x14ac:dyDescent="0.55000000000000004">
      <c r="BF1307" s="7"/>
      <c r="BM1307" s="7"/>
      <c r="BT1307" s="7"/>
    </row>
    <row r="1308" spans="58:72" x14ac:dyDescent="0.55000000000000004">
      <c r="BF1308" s="7"/>
      <c r="BM1308" s="7"/>
      <c r="BT1308" s="7"/>
    </row>
    <row r="1309" spans="58:72" x14ac:dyDescent="0.55000000000000004">
      <c r="BF1309" s="7"/>
      <c r="BM1309" s="7"/>
      <c r="BT1309" s="7"/>
    </row>
    <row r="1310" spans="58:72" x14ac:dyDescent="0.55000000000000004">
      <c r="BF1310" s="7"/>
      <c r="BM1310" s="7"/>
      <c r="BT1310" s="7"/>
    </row>
    <row r="1311" spans="58:72" x14ac:dyDescent="0.55000000000000004">
      <c r="BF1311" s="7"/>
      <c r="BM1311" s="7"/>
      <c r="BT1311" s="7"/>
    </row>
    <row r="1312" spans="58:72" x14ac:dyDescent="0.55000000000000004">
      <c r="BF1312" s="7"/>
      <c r="BM1312" s="7"/>
      <c r="BT1312" s="7"/>
    </row>
    <row r="1313" spans="58:72" x14ac:dyDescent="0.55000000000000004">
      <c r="BF1313" s="7"/>
      <c r="BM1313" s="7"/>
      <c r="BT1313" s="7"/>
    </row>
    <row r="1314" spans="58:72" x14ac:dyDescent="0.55000000000000004">
      <c r="BF1314" s="7"/>
      <c r="BM1314" s="7"/>
      <c r="BT1314" s="7"/>
    </row>
    <row r="1315" spans="58:72" x14ac:dyDescent="0.55000000000000004">
      <c r="BF1315" s="7"/>
      <c r="BM1315" s="7"/>
      <c r="BT1315" s="7"/>
    </row>
    <row r="1316" spans="58:72" x14ac:dyDescent="0.55000000000000004">
      <c r="BF1316" s="7"/>
      <c r="BM1316" s="7"/>
      <c r="BT1316" s="7"/>
    </row>
    <row r="1317" spans="58:72" x14ac:dyDescent="0.55000000000000004">
      <c r="BF1317" s="7"/>
      <c r="BM1317" s="7"/>
      <c r="BT1317" s="7"/>
    </row>
    <row r="1318" spans="58:72" x14ac:dyDescent="0.55000000000000004">
      <c r="BF1318" s="7"/>
      <c r="BM1318" s="7"/>
      <c r="BT1318" s="7"/>
    </row>
    <row r="1319" spans="58:72" x14ac:dyDescent="0.55000000000000004">
      <c r="BF1319" s="7"/>
      <c r="BM1319" s="7"/>
      <c r="BT1319" s="7"/>
    </row>
    <row r="1320" spans="58:72" x14ac:dyDescent="0.55000000000000004">
      <c r="BF1320" s="7"/>
      <c r="BM1320" s="7"/>
      <c r="BT1320" s="7"/>
    </row>
    <row r="1321" spans="58:72" x14ac:dyDescent="0.55000000000000004">
      <c r="BF1321" s="7"/>
      <c r="BM1321" s="7"/>
      <c r="BT1321" s="7"/>
    </row>
    <row r="1322" spans="58:72" x14ac:dyDescent="0.55000000000000004">
      <c r="BF1322" s="7"/>
      <c r="BM1322" s="7"/>
      <c r="BT1322" s="7"/>
    </row>
    <row r="1323" spans="58:72" x14ac:dyDescent="0.55000000000000004">
      <c r="BF1323" s="7"/>
      <c r="BM1323" s="7"/>
      <c r="BT1323" s="7"/>
    </row>
    <row r="1324" spans="58:72" x14ac:dyDescent="0.55000000000000004">
      <c r="BF1324" s="7"/>
      <c r="BM1324" s="7"/>
      <c r="BT1324" s="7"/>
    </row>
    <row r="1325" spans="58:72" x14ac:dyDescent="0.55000000000000004">
      <c r="BF1325" s="7"/>
      <c r="BM1325" s="7"/>
      <c r="BT1325" s="7"/>
    </row>
    <row r="1326" spans="58:72" x14ac:dyDescent="0.55000000000000004">
      <c r="BF1326" s="7"/>
      <c r="BM1326" s="7"/>
      <c r="BT1326" s="7"/>
    </row>
    <row r="1327" spans="58:72" x14ac:dyDescent="0.55000000000000004">
      <c r="BF1327" s="7"/>
      <c r="BM1327" s="7"/>
      <c r="BT1327" s="7"/>
    </row>
    <row r="1328" spans="58:72" x14ac:dyDescent="0.55000000000000004">
      <c r="BF1328" s="7"/>
      <c r="BM1328" s="7"/>
      <c r="BT1328" s="7"/>
    </row>
    <row r="1329" spans="58:72" x14ac:dyDescent="0.55000000000000004">
      <c r="BF1329" s="7"/>
      <c r="BM1329" s="7"/>
      <c r="BT1329" s="7"/>
    </row>
    <row r="1330" spans="58:72" x14ac:dyDescent="0.55000000000000004">
      <c r="BF1330" s="7"/>
      <c r="BM1330" s="7"/>
      <c r="BT1330" s="7"/>
    </row>
    <row r="1331" spans="58:72" x14ac:dyDescent="0.55000000000000004">
      <c r="BF1331" s="7"/>
      <c r="BM1331" s="7"/>
      <c r="BT1331" s="7"/>
    </row>
    <row r="1332" spans="58:72" x14ac:dyDescent="0.55000000000000004">
      <c r="BF1332" s="7"/>
      <c r="BM1332" s="7"/>
      <c r="BT1332" s="7"/>
    </row>
    <row r="1333" spans="58:72" x14ac:dyDescent="0.55000000000000004">
      <c r="BF1333" s="7"/>
      <c r="BM1333" s="7"/>
      <c r="BT1333" s="7"/>
    </row>
    <row r="1334" spans="58:72" x14ac:dyDescent="0.55000000000000004">
      <c r="BF1334" s="7"/>
      <c r="BM1334" s="7"/>
      <c r="BT1334" s="7"/>
    </row>
    <row r="1335" spans="58:72" x14ac:dyDescent="0.55000000000000004">
      <c r="BF1335" s="7"/>
      <c r="BM1335" s="7"/>
      <c r="BT1335" s="7"/>
    </row>
    <row r="1336" spans="58:72" x14ac:dyDescent="0.55000000000000004">
      <c r="BF1336" s="7"/>
      <c r="BM1336" s="7"/>
      <c r="BT1336" s="7"/>
    </row>
    <row r="1337" spans="58:72" x14ac:dyDescent="0.55000000000000004">
      <c r="BF1337" s="7"/>
      <c r="BM1337" s="7"/>
      <c r="BT1337" s="7"/>
    </row>
    <row r="1338" spans="58:72" x14ac:dyDescent="0.55000000000000004">
      <c r="BF1338" s="7"/>
      <c r="BM1338" s="7"/>
      <c r="BT1338" s="7"/>
    </row>
    <row r="1339" spans="58:72" x14ac:dyDescent="0.55000000000000004">
      <c r="BF1339" s="7"/>
      <c r="BM1339" s="7"/>
      <c r="BT1339" s="7"/>
    </row>
    <row r="1340" spans="58:72" x14ac:dyDescent="0.55000000000000004">
      <c r="BF1340" s="7"/>
      <c r="BM1340" s="7"/>
      <c r="BT1340" s="7"/>
    </row>
    <row r="1341" spans="58:72" x14ac:dyDescent="0.55000000000000004">
      <c r="BF1341" s="7"/>
      <c r="BM1341" s="7"/>
      <c r="BT1341" s="7"/>
    </row>
    <row r="1342" spans="58:72" x14ac:dyDescent="0.55000000000000004">
      <c r="BF1342" s="7"/>
      <c r="BM1342" s="7"/>
      <c r="BT1342" s="7"/>
    </row>
    <row r="1343" spans="58:72" x14ac:dyDescent="0.55000000000000004">
      <c r="BF1343" s="7"/>
      <c r="BM1343" s="7"/>
      <c r="BT1343" s="7"/>
    </row>
    <row r="1344" spans="58:72" x14ac:dyDescent="0.55000000000000004">
      <c r="BF1344" s="7"/>
      <c r="BM1344" s="7"/>
      <c r="BT1344" s="7"/>
    </row>
    <row r="1345" spans="58:72" x14ac:dyDescent="0.55000000000000004">
      <c r="BF1345" s="7"/>
      <c r="BM1345" s="7"/>
      <c r="BT1345" s="7"/>
    </row>
    <row r="1346" spans="58:72" x14ac:dyDescent="0.55000000000000004">
      <c r="BF1346" s="7"/>
      <c r="BM1346" s="7"/>
      <c r="BT1346" s="7"/>
    </row>
    <row r="1347" spans="58:72" x14ac:dyDescent="0.55000000000000004">
      <c r="BF1347" s="7"/>
      <c r="BM1347" s="7"/>
      <c r="BT1347" s="7"/>
    </row>
    <row r="1348" spans="58:72" x14ac:dyDescent="0.55000000000000004">
      <c r="BF1348" s="7"/>
      <c r="BM1348" s="7"/>
      <c r="BT1348" s="7"/>
    </row>
    <row r="1349" spans="58:72" x14ac:dyDescent="0.55000000000000004">
      <c r="BF1349" s="7"/>
      <c r="BM1349" s="7"/>
      <c r="BT1349" s="7"/>
    </row>
    <row r="1350" spans="58:72" x14ac:dyDescent="0.55000000000000004">
      <c r="BF1350" s="7"/>
      <c r="BM1350" s="7"/>
      <c r="BT1350" s="7"/>
    </row>
    <row r="1351" spans="58:72" x14ac:dyDescent="0.55000000000000004">
      <c r="BF1351" s="7"/>
      <c r="BM1351" s="7"/>
      <c r="BT1351" s="7"/>
    </row>
    <row r="1352" spans="58:72" x14ac:dyDescent="0.55000000000000004">
      <c r="BF1352" s="7"/>
      <c r="BM1352" s="7"/>
      <c r="BT1352" s="7"/>
    </row>
    <row r="1353" spans="58:72" x14ac:dyDescent="0.55000000000000004">
      <c r="BF1353" s="7"/>
      <c r="BM1353" s="7"/>
      <c r="BT1353" s="7"/>
    </row>
    <row r="1354" spans="58:72" x14ac:dyDescent="0.55000000000000004">
      <c r="BF1354" s="7"/>
      <c r="BM1354" s="7"/>
      <c r="BT1354" s="7"/>
    </row>
    <row r="1355" spans="58:72" x14ac:dyDescent="0.55000000000000004">
      <c r="BF1355" s="7"/>
      <c r="BM1355" s="7"/>
      <c r="BT1355" s="7"/>
    </row>
    <row r="1356" spans="58:72" x14ac:dyDescent="0.55000000000000004">
      <c r="BF1356" s="7"/>
      <c r="BM1356" s="7"/>
      <c r="BT1356" s="7"/>
    </row>
    <row r="1357" spans="58:72" x14ac:dyDescent="0.55000000000000004">
      <c r="BF1357" s="7"/>
      <c r="BM1357" s="7"/>
      <c r="BT1357" s="7"/>
    </row>
    <row r="1358" spans="58:72" x14ac:dyDescent="0.55000000000000004">
      <c r="BF1358" s="7"/>
      <c r="BM1358" s="7"/>
      <c r="BT1358" s="7"/>
    </row>
    <row r="1359" spans="58:72" x14ac:dyDescent="0.55000000000000004">
      <c r="BF1359" s="7"/>
      <c r="BM1359" s="7"/>
      <c r="BT1359" s="7"/>
    </row>
    <row r="1360" spans="58:72" x14ac:dyDescent="0.55000000000000004">
      <c r="BF1360" s="7"/>
      <c r="BM1360" s="7"/>
      <c r="BT1360" s="7"/>
    </row>
    <row r="1361" spans="58:72" x14ac:dyDescent="0.55000000000000004">
      <c r="BF1361" s="7"/>
      <c r="BM1361" s="7"/>
      <c r="BT1361" s="7"/>
    </row>
    <row r="1362" spans="58:72" x14ac:dyDescent="0.55000000000000004">
      <c r="BF1362" s="7"/>
      <c r="BM1362" s="7"/>
      <c r="BT1362" s="7"/>
    </row>
    <row r="1363" spans="58:72" x14ac:dyDescent="0.55000000000000004">
      <c r="BF1363" s="7"/>
      <c r="BM1363" s="7"/>
      <c r="BT1363" s="7"/>
    </row>
    <row r="1364" spans="58:72" x14ac:dyDescent="0.55000000000000004">
      <c r="BF1364" s="7"/>
      <c r="BM1364" s="7"/>
      <c r="BT1364" s="7"/>
    </row>
    <row r="1365" spans="58:72" x14ac:dyDescent="0.55000000000000004">
      <c r="BF1365" s="7"/>
      <c r="BM1365" s="7"/>
      <c r="BT1365" s="7"/>
    </row>
    <row r="1366" spans="58:72" x14ac:dyDescent="0.55000000000000004">
      <c r="BF1366" s="7"/>
      <c r="BM1366" s="7"/>
      <c r="BT1366" s="7"/>
    </row>
    <row r="1367" spans="58:72" x14ac:dyDescent="0.55000000000000004">
      <c r="BF1367" s="7"/>
      <c r="BM1367" s="7"/>
      <c r="BT1367" s="7"/>
    </row>
    <row r="1368" spans="58:72" x14ac:dyDescent="0.55000000000000004">
      <c r="BF1368" s="7"/>
      <c r="BM1368" s="7"/>
      <c r="BT1368" s="7"/>
    </row>
    <row r="1369" spans="58:72" x14ac:dyDescent="0.55000000000000004">
      <c r="BF1369" s="7"/>
      <c r="BM1369" s="7"/>
      <c r="BT1369" s="7"/>
    </row>
    <row r="1370" spans="58:72" x14ac:dyDescent="0.55000000000000004">
      <c r="BF1370" s="7"/>
      <c r="BM1370" s="7"/>
      <c r="BT1370" s="7"/>
    </row>
    <row r="1371" spans="58:72" x14ac:dyDescent="0.55000000000000004">
      <c r="BF1371" s="7"/>
      <c r="BM1371" s="7"/>
      <c r="BT1371" s="7"/>
    </row>
    <row r="1372" spans="58:72" x14ac:dyDescent="0.55000000000000004">
      <c r="BF1372" s="7"/>
      <c r="BM1372" s="7"/>
      <c r="BT1372" s="7"/>
    </row>
    <row r="1373" spans="58:72" x14ac:dyDescent="0.55000000000000004">
      <c r="BF1373" s="7"/>
      <c r="BM1373" s="7"/>
      <c r="BT1373" s="7"/>
    </row>
    <row r="1374" spans="58:72" x14ac:dyDescent="0.55000000000000004">
      <c r="BF1374" s="7"/>
      <c r="BM1374" s="7"/>
      <c r="BT1374" s="7"/>
    </row>
    <row r="1375" spans="58:72" x14ac:dyDescent="0.55000000000000004">
      <c r="BF1375" s="7"/>
      <c r="BM1375" s="7"/>
      <c r="BT1375" s="7"/>
    </row>
    <row r="1376" spans="58:72" x14ac:dyDescent="0.55000000000000004">
      <c r="BF1376" s="7"/>
      <c r="BM1376" s="7"/>
      <c r="BT1376" s="7"/>
    </row>
    <row r="1377" spans="58:72" x14ac:dyDescent="0.55000000000000004">
      <c r="BF1377" s="7"/>
      <c r="BM1377" s="7"/>
      <c r="BT1377" s="7"/>
    </row>
    <row r="1378" spans="58:72" x14ac:dyDescent="0.55000000000000004">
      <c r="BF1378" s="7"/>
      <c r="BM1378" s="7"/>
      <c r="BT1378" s="7"/>
    </row>
    <row r="1379" spans="58:72" x14ac:dyDescent="0.55000000000000004">
      <c r="BF1379" s="7"/>
      <c r="BM1379" s="7"/>
      <c r="BT1379" s="7"/>
    </row>
    <row r="1380" spans="58:72" x14ac:dyDescent="0.55000000000000004">
      <c r="BF1380" s="7"/>
      <c r="BM1380" s="7"/>
      <c r="BT1380" s="7"/>
    </row>
    <row r="1381" spans="58:72" x14ac:dyDescent="0.55000000000000004">
      <c r="BF1381" s="7"/>
      <c r="BM1381" s="7"/>
      <c r="BT1381" s="7"/>
    </row>
    <row r="1382" spans="58:72" x14ac:dyDescent="0.55000000000000004">
      <c r="BF1382" s="7"/>
      <c r="BM1382" s="7"/>
      <c r="BT1382" s="7"/>
    </row>
    <row r="1383" spans="58:72" x14ac:dyDescent="0.55000000000000004">
      <c r="BF1383" s="7"/>
      <c r="BM1383" s="7"/>
      <c r="BT1383" s="7"/>
    </row>
    <row r="1384" spans="58:72" x14ac:dyDescent="0.55000000000000004">
      <c r="BF1384" s="7"/>
      <c r="BM1384" s="7"/>
      <c r="BT1384" s="7"/>
    </row>
    <row r="1385" spans="58:72" x14ac:dyDescent="0.55000000000000004">
      <c r="BF1385" s="7"/>
      <c r="BM1385" s="7"/>
      <c r="BT1385" s="7"/>
    </row>
    <row r="1386" spans="58:72" x14ac:dyDescent="0.55000000000000004">
      <c r="BF1386" s="7"/>
      <c r="BM1386" s="7"/>
      <c r="BT1386" s="7"/>
    </row>
    <row r="1387" spans="58:72" x14ac:dyDescent="0.55000000000000004">
      <c r="BF1387" s="7"/>
      <c r="BM1387" s="7"/>
      <c r="BT1387" s="7"/>
    </row>
    <row r="1388" spans="58:72" x14ac:dyDescent="0.55000000000000004">
      <c r="BF1388" s="7"/>
      <c r="BM1388" s="7"/>
      <c r="BT1388" s="7"/>
    </row>
    <row r="1389" spans="58:72" x14ac:dyDescent="0.55000000000000004">
      <c r="BF1389" s="7"/>
      <c r="BM1389" s="7"/>
      <c r="BT1389" s="7"/>
    </row>
    <row r="1390" spans="58:72" x14ac:dyDescent="0.55000000000000004">
      <c r="BF1390" s="7"/>
      <c r="BM1390" s="7"/>
      <c r="BT1390" s="7"/>
    </row>
    <row r="1391" spans="58:72" x14ac:dyDescent="0.55000000000000004">
      <c r="BF1391" s="7"/>
      <c r="BM1391" s="7"/>
      <c r="BT1391" s="7"/>
    </row>
    <row r="1392" spans="58:72" x14ac:dyDescent="0.55000000000000004">
      <c r="BF1392" s="7"/>
      <c r="BM1392" s="7"/>
      <c r="BT1392" s="7"/>
    </row>
    <row r="1393" spans="58:72" x14ac:dyDescent="0.55000000000000004">
      <c r="BF1393" s="7"/>
      <c r="BM1393" s="7"/>
      <c r="BT1393" s="7"/>
    </row>
    <row r="1394" spans="58:72" x14ac:dyDescent="0.55000000000000004">
      <c r="BF1394" s="7"/>
      <c r="BM1394" s="7"/>
      <c r="BT1394" s="7"/>
    </row>
    <row r="1395" spans="58:72" x14ac:dyDescent="0.55000000000000004">
      <c r="BF1395" s="7"/>
      <c r="BM1395" s="7"/>
      <c r="BT1395" s="7"/>
    </row>
    <row r="1396" spans="58:72" x14ac:dyDescent="0.55000000000000004">
      <c r="BF1396" s="7"/>
      <c r="BM1396" s="7"/>
      <c r="BT1396" s="7"/>
    </row>
    <row r="1397" spans="58:72" x14ac:dyDescent="0.55000000000000004">
      <c r="BF1397" s="7"/>
      <c r="BM1397" s="7"/>
      <c r="BT1397" s="7"/>
    </row>
    <row r="1398" spans="58:72" x14ac:dyDescent="0.55000000000000004">
      <c r="BF1398" s="7"/>
      <c r="BM1398" s="7"/>
      <c r="BT1398" s="7"/>
    </row>
    <row r="1399" spans="58:72" x14ac:dyDescent="0.55000000000000004">
      <c r="BF1399" s="7"/>
      <c r="BM1399" s="7"/>
      <c r="BT1399" s="7"/>
    </row>
    <row r="1400" spans="58:72" x14ac:dyDescent="0.55000000000000004">
      <c r="BF1400" s="7"/>
      <c r="BM1400" s="7"/>
      <c r="BT1400" s="7"/>
    </row>
    <row r="1401" spans="58:72" x14ac:dyDescent="0.55000000000000004">
      <c r="BF1401" s="7"/>
      <c r="BM1401" s="7"/>
      <c r="BT1401" s="7"/>
    </row>
    <row r="1402" spans="58:72" x14ac:dyDescent="0.55000000000000004">
      <c r="BF1402" s="7"/>
      <c r="BM1402" s="7"/>
      <c r="BT1402" s="7"/>
    </row>
    <row r="1403" spans="58:72" x14ac:dyDescent="0.55000000000000004">
      <c r="BF1403" s="7"/>
      <c r="BM1403" s="7"/>
      <c r="BT1403" s="7"/>
    </row>
    <row r="1404" spans="58:72" x14ac:dyDescent="0.55000000000000004">
      <c r="BF1404" s="7"/>
      <c r="BM1404" s="7"/>
      <c r="BT1404" s="7"/>
    </row>
    <row r="1405" spans="58:72" x14ac:dyDescent="0.55000000000000004">
      <c r="BF1405" s="7"/>
      <c r="BM1405" s="7"/>
      <c r="BT1405" s="7"/>
    </row>
    <row r="1406" spans="58:72" x14ac:dyDescent="0.55000000000000004">
      <c r="BF1406" s="7"/>
      <c r="BM1406" s="7"/>
      <c r="BT1406" s="7"/>
    </row>
    <row r="1407" spans="58:72" x14ac:dyDescent="0.55000000000000004">
      <c r="BF1407" s="7"/>
      <c r="BM1407" s="7"/>
      <c r="BT1407" s="7"/>
    </row>
    <row r="1408" spans="58:72" x14ac:dyDescent="0.55000000000000004">
      <c r="BF1408" s="7"/>
      <c r="BM1408" s="7"/>
      <c r="BT1408" s="7"/>
    </row>
    <row r="1409" spans="58:72" x14ac:dyDescent="0.55000000000000004">
      <c r="BF1409" s="7"/>
      <c r="BM1409" s="7"/>
      <c r="BT1409" s="7"/>
    </row>
    <row r="1410" spans="58:72" x14ac:dyDescent="0.55000000000000004">
      <c r="BF1410" s="7"/>
      <c r="BM1410" s="7"/>
      <c r="BT1410" s="7"/>
    </row>
    <row r="1411" spans="58:72" x14ac:dyDescent="0.55000000000000004">
      <c r="BF1411" s="7"/>
      <c r="BM1411" s="7"/>
      <c r="BT1411" s="7"/>
    </row>
    <row r="1412" spans="58:72" x14ac:dyDescent="0.55000000000000004">
      <c r="BF1412" s="7"/>
      <c r="BM1412" s="7"/>
      <c r="BT1412" s="7"/>
    </row>
    <row r="1413" spans="58:72" x14ac:dyDescent="0.55000000000000004">
      <c r="BF1413" s="7"/>
      <c r="BM1413" s="7"/>
      <c r="BT1413" s="7"/>
    </row>
    <row r="1414" spans="58:72" x14ac:dyDescent="0.55000000000000004">
      <c r="BF1414" s="7"/>
      <c r="BM1414" s="7"/>
      <c r="BT1414" s="7"/>
    </row>
    <row r="1415" spans="58:72" x14ac:dyDescent="0.55000000000000004">
      <c r="BF1415" s="7"/>
      <c r="BM1415" s="7"/>
      <c r="BT1415" s="7"/>
    </row>
    <row r="1416" spans="58:72" x14ac:dyDescent="0.55000000000000004">
      <c r="BF1416" s="7"/>
      <c r="BM1416" s="7"/>
      <c r="BT1416" s="7"/>
    </row>
    <row r="1417" spans="58:72" x14ac:dyDescent="0.55000000000000004">
      <c r="BF1417" s="7"/>
      <c r="BM1417" s="7"/>
      <c r="BT1417" s="7"/>
    </row>
    <row r="1418" spans="58:72" x14ac:dyDescent="0.55000000000000004">
      <c r="BF1418" s="7"/>
      <c r="BM1418" s="7"/>
      <c r="BT1418" s="7"/>
    </row>
    <row r="1419" spans="58:72" x14ac:dyDescent="0.55000000000000004">
      <c r="BF1419" s="7"/>
      <c r="BM1419" s="7"/>
      <c r="BT1419" s="7"/>
    </row>
    <row r="1420" spans="58:72" x14ac:dyDescent="0.55000000000000004">
      <c r="BF1420" s="7"/>
      <c r="BM1420" s="7"/>
      <c r="BT1420" s="7"/>
    </row>
    <row r="1421" spans="58:72" x14ac:dyDescent="0.55000000000000004">
      <c r="BF1421" s="7"/>
      <c r="BM1421" s="7"/>
      <c r="BT1421" s="7"/>
    </row>
    <row r="1422" spans="58:72" x14ac:dyDescent="0.55000000000000004">
      <c r="BF1422" s="7"/>
      <c r="BM1422" s="7"/>
      <c r="BT1422" s="7"/>
    </row>
    <row r="1423" spans="58:72" x14ac:dyDescent="0.55000000000000004">
      <c r="BF1423" s="7"/>
      <c r="BM1423" s="7"/>
      <c r="BT1423" s="7"/>
    </row>
    <row r="1424" spans="58:72" x14ac:dyDescent="0.55000000000000004">
      <c r="BF1424" s="7"/>
      <c r="BM1424" s="7"/>
      <c r="BT1424" s="7"/>
    </row>
    <row r="1425" spans="58:72" x14ac:dyDescent="0.55000000000000004">
      <c r="BF1425" s="7"/>
      <c r="BM1425" s="7"/>
      <c r="BT1425" s="7"/>
    </row>
    <row r="1426" spans="58:72" x14ac:dyDescent="0.55000000000000004">
      <c r="BF1426" s="7"/>
      <c r="BM1426" s="7"/>
      <c r="BT1426" s="7"/>
    </row>
    <row r="1427" spans="58:72" x14ac:dyDescent="0.55000000000000004">
      <c r="BF1427" s="7"/>
      <c r="BM1427" s="7"/>
      <c r="BT1427" s="7"/>
    </row>
    <row r="1428" spans="58:72" x14ac:dyDescent="0.55000000000000004">
      <c r="BF1428" s="7"/>
      <c r="BM1428" s="7"/>
      <c r="BT1428" s="7"/>
    </row>
    <row r="1429" spans="58:72" x14ac:dyDescent="0.55000000000000004">
      <c r="BF1429" s="7"/>
      <c r="BM1429" s="7"/>
      <c r="BT1429" s="7"/>
    </row>
    <row r="1430" spans="58:72" x14ac:dyDescent="0.55000000000000004">
      <c r="BF1430" s="7"/>
      <c r="BM1430" s="7"/>
      <c r="BT1430" s="7"/>
    </row>
    <row r="1431" spans="58:72" x14ac:dyDescent="0.55000000000000004">
      <c r="BF1431" s="7"/>
      <c r="BM1431" s="7"/>
      <c r="BT1431" s="7"/>
    </row>
    <row r="1432" spans="58:72" x14ac:dyDescent="0.55000000000000004">
      <c r="BF1432" s="7"/>
      <c r="BM1432" s="7"/>
      <c r="BT1432" s="7"/>
    </row>
    <row r="1433" spans="58:72" x14ac:dyDescent="0.55000000000000004">
      <c r="BF1433" s="7"/>
      <c r="BM1433" s="7"/>
      <c r="BT1433" s="7"/>
    </row>
    <row r="1434" spans="58:72" x14ac:dyDescent="0.55000000000000004">
      <c r="BF1434" s="7"/>
      <c r="BM1434" s="7"/>
      <c r="BT1434" s="7"/>
    </row>
    <row r="1435" spans="58:72" x14ac:dyDescent="0.55000000000000004">
      <c r="BF1435" s="7"/>
      <c r="BM1435" s="7"/>
      <c r="BT1435" s="7"/>
    </row>
    <row r="1436" spans="58:72" x14ac:dyDescent="0.55000000000000004">
      <c r="BF1436" s="7"/>
      <c r="BM1436" s="7"/>
      <c r="BT1436" s="7"/>
    </row>
    <row r="1437" spans="58:72" x14ac:dyDescent="0.55000000000000004">
      <c r="BF1437" s="7"/>
      <c r="BM1437" s="7"/>
      <c r="BT1437" s="7"/>
    </row>
    <row r="1438" spans="58:72" x14ac:dyDescent="0.55000000000000004">
      <c r="BF1438" s="7"/>
      <c r="BM1438" s="7"/>
      <c r="BT1438" s="7"/>
    </row>
    <row r="1439" spans="58:72" x14ac:dyDescent="0.55000000000000004">
      <c r="BF1439" s="7"/>
      <c r="BM1439" s="7"/>
      <c r="BT1439" s="7"/>
    </row>
    <row r="1440" spans="58:72" x14ac:dyDescent="0.55000000000000004">
      <c r="BF1440" s="7"/>
      <c r="BM1440" s="7"/>
      <c r="BT1440" s="7"/>
    </row>
    <row r="1441" spans="58:72" x14ac:dyDescent="0.55000000000000004">
      <c r="BF1441" s="7"/>
      <c r="BM1441" s="7"/>
      <c r="BT1441" s="7"/>
    </row>
    <row r="1442" spans="58:72" x14ac:dyDescent="0.55000000000000004">
      <c r="BF1442" s="7"/>
      <c r="BM1442" s="7"/>
      <c r="BT1442" s="7"/>
    </row>
    <row r="1443" spans="58:72" x14ac:dyDescent="0.55000000000000004">
      <c r="BF1443" s="7"/>
      <c r="BM1443" s="7"/>
      <c r="BT1443" s="7"/>
    </row>
    <row r="1444" spans="58:72" x14ac:dyDescent="0.55000000000000004">
      <c r="BF1444" s="7"/>
      <c r="BM1444" s="7"/>
      <c r="BT1444" s="7"/>
    </row>
    <row r="1445" spans="58:72" x14ac:dyDescent="0.55000000000000004">
      <c r="BF1445" s="7"/>
      <c r="BM1445" s="7"/>
      <c r="BT1445" s="7"/>
    </row>
    <row r="1446" spans="58:72" x14ac:dyDescent="0.55000000000000004">
      <c r="BF1446" s="7"/>
      <c r="BM1446" s="7"/>
      <c r="BT1446" s="7"/>
    </row>
    <row r="1447" spans="58:72" x14ac:dyDescent="0.55000000000000004">
      <c r="BF1447" s="7"/>
      <c r="BM1447" s="7"/>
      <c r="BT1447" s="7"/>
    </row>
    <row r="1448" spans="58:72" x14ac:dyDescent="0.55000000000000004">
      <c r="BF1448" s="7"/>
      <c r="BM1448" s="7"/>
      <c r="BT1448" s="7"/>
    </row>
    <row r="1449" spans="58:72" x14ac:dyDescent="0.55000000000000004">
      <c r="BF1449" s="7"/>
      <c r="BM1449" s="7"/>
      <c r="BT1449" s="7"/>
    </row>
    <row r="1450" spans="58:72" x14ac:dyDescent="0.55000000000000004">
      <c r="BF1450" s="7"/>
      <c r="BM1450" s="7"/>
      <c r="BT1450" s="7"/>
    </row>
    <row r="1451" spans="58:72" x14ac:dyDescent="0.55000000000000004">
      <c r="BF1451" s="7"/>
      <c r="BM1451" s="7"/>
      <c r="BT1451" s="7"/>
    </row>
    <row r="1452" spans="58:72" x14ac:dyDescent="0.55000000000000004">
      <c r="BF1452" s="7"/>
      <c r="BM1452" s="7"/>
      <c r="BT1452" s="7"/>
    </row>
    <row r="1453" spans="58:72" x14ac:dyDescent="0.55000000000000004">
      <c r="BF1453" s="7"/>
      <c r="BM1453" s="7"/>
      <c r="BT1453" s="7"/>
    </row>
    <row r="1454" spans="58:72" x14ac:dyDescent="0.55000000000000004">
      <c r="BF1454" s="7"/>
      <c r="BM1454" s="7"/>
      <c r="BT1454" s="7"/>
    </row>
    <row r="1455" spans="58:72" x14ac:dyDescent="0.55000000000000004">
      <c r="BF1455" s="7"/>
      <c r="BM1455" s="7"/>
      <c r="BT1455" s="7"/>
    </row>
    <row r="1456" spans="58:72" x14ac:dyDescent="0.55000000000000004">
      <c r="BF1456" s="7"/>
      <c r="BM1456" s="7"/>
      <c r="BT1456" s="7"/>
    </row>
    <row r="1457" spans="58:72" x14ac:dyDescent="0.55000000000000004">
      <c r="BF1457" s="7"/>
      <c r="BM1457" s="7"/>
      <c r="BT1457" s="7"/>
    </row>
    <row r="1458" spans="58:72" x14ac:dyDescent="0.55000000000000004">
      <c r="BF1458" s="7"/>
      <c r="BM1458" s="7"/>
      <c r="BT1458" s="7"/>
    </row>
    <row r="1459" spans="58:72" x14ac:dyDescent="0.55000000000000004">
      <c r="BF1459" s="7"/>
      <c r="BM1459" s="7"/>
      <c r="BT1459" s="7"/>
    </row>
    <row r="1460" spans="58:72" x14ac:dyDescent="0.55000000000000004">
      <c r="BF1460" s="7"/>
      <c r="BM1460" s="7"/>
      <c r="BT1460" s="7"/>
    </row>
    <row r="1461" spans="58:72" x14ac:dyDescent="0.55000000000000004">
      <c r="BF1461" s="7"/>
      <c r="BM1461" s="7"/>
      <c r="BT1461" s="7"/>
    </row>
    <row r="1462" spans="58:72" x14ac:dyDescent="0.55000000000000004">
      <c r="BF1462" s="7"/>
      <c r="BM1462" s="7"/>
      <c r="BT1462" s="7"/>
    </row>
    <row r="1463" spans="58:72" x14ac:dyDescent="0.55000000000000004">
      <c r="BF1463" s="7"/>
      <c r="BM1463" s="7"/>
      <c r="BT1463" s="7"/>
    </row>
    <row r="1464" spans="58:72" x14ac:dyDescent="0.55000000000000004">
      <c r="BF1464" s="7"/>
      <c r="BM1464" s="7"/>
      <c r="BT1464" s="7"/>
    </row>
    <row r="1465" spans="58:72" x14ac:dyDescent="0.55000000000000004">
      <c r="BF1465" s="7"/>
      <c r="BM1465" s="7"/>
      <c r="BT1465" s="7"/>
    </row>
    <row r="1466" spans="58:72" x14ac:dyDescent="0.55000000000000004">
      <c r="BF1466" s="7"/>
      <c r="BM1466" s="7"/>
      <c r="BT1466" s="7"/>
    </row>
    <row r="1467" spans="58:72" x14ac:dyDescent="0.55000000000000004">
      <c r="BF1467" s="7"/>
      <c r="BM1467" s="7"/>
      <c r="BT1467" s="7"/>
    </row>
    <row r="1468" spans="58:72" x14ac:dyDescent="0.55000000000000004">
      <c r="BF1468" s="7"/>
      <c r="BM1468" s="7"/>
      <c r="BT1468" s="7"/>
    </row>
    <row r="1469" spans="58:72" x14ac:dyDescent="0.55000000000000004">
      <c r="BF1469" s="7"/>
      <c r="BM1469" s="7"/>
      <c r="BT1469" s="7"/>
    </row>
    <row r="1470" spans="58:72" x14ac:dyDescent="0.55000000000000004">
      <c r="BF1470" s="7"/>
      <c r="BM1470" s="7"/>
      <c r="BT1470" s="7"/>
    </row>
    <row r="1471" spans="58:72" x14ac:dyDescent="0.55000000000000004">
      <c r="BF1471" s="7"/>
      <c r="BM1471" s="7"/>
      <c r="BT1471" s="7"/>
    </row>
    <row r="1472" spans="58:72" x14ac:dyDescent="0.55000000000000004">
      <c r="BF1472" s="7"/>
      <c r="BM1472" s="7"/>
      <c r="BT1472" s="7"/>
    </row>
    <row r="1473" spans="58:72" x14ac:dyDescent="0.55000000000000004">
      <c r="BF1473" s="7"/>
      <c r="BM1473" s="7"/>
      <c r="BT1473" s="7"/>
    </row>
    <row r="1474" spans="58:72" x14ac:dyDescent="0.55000000000000004">
      <c r="BF1474" s="7"/>
      <c r="BM1474" s="7"/>
      <c r="BT1474" s="7"/>
    </row>
    <row r="1475" spans="58:72" x14ac:dyDescent="0.55000000000000004">
      <c r="BF1475" s="7"/>
      <c r="BM1475" s="7"/>
      <c r="BT1475" s="7"/>
    </row>
    <row r="1476" spans="58:72" x14ac:dyDescent="0.55000000000000004">
      <c r="BF1476" s="7"/>
      <c r="BM1476" s="7"/>
      <c r="BT1476" s="7"/>
    </row>
    <row r="1477" spans="58:72" x14ac:dyDescent="0.55000000000000004">
      <c r="BF1477" s="7"/>
      <c r="BM1477" s="7"/>
      <c r="BT1477" s="7"/>
    </row>
    <row r="1478" spans="58:72" x14ac:dyDescent="0.55000000000000004">
      <c r="BF1478" s="7"/>
      <c r="BM1478" s="7"/>
      <c r="BT1478" s="7"/>
    </row>
    <row r="1479" spans="58:72" x14ac:dyDescent="0.55000000000000004">
      <c r="BF1479" s="7"/>
      <c r="BM1479" s="7"/>
      <c r="BT1479" s="7"/>
    </row>
    <row r="1480" spans="58:72" x14ac:dyDescent="0.55000000000000004">
      <c r="BF1480" s="7"/>
      <c r="BM1480" s="7"/>
      <c r="BT1480" s="7"/>
    </row>
    <row r="1481" spans="58:72" x14ac:dyDescent="0.55000000000000004">
      <c r="BF1481" s="7"/>
      <c r="BM1481" s="7"/>
      <c r="BT1481" s="7"/>
    </row>
    <row r="1482" spans="58:72" x14ac:dyDescent="0.55000000000000004">
      <c r="BF1482" s="7"/>
      <c r="BM1482" s="7"/>
      <c r="BT1482" s="7"/>
    </row>
    <row r="1483" spans="58:72" x14ac:dyDescent="0.55000000000000004">
      <c r="BF1483" s="7"/>
      <c r="BM1483" s="7"/>
      <c r="BT1483" s="7"/>
    </row>
    <row r="1484" spans="58:72" x14ac:dyDescent="0.55000000000000004">
      <c r="BF1484" s="7"/>
      <c r="BM1484" s="7"/>
      <c r="BT1484" s="7"/>
    </row>
    <row r="1485" spans="58:72" x14ac:dyDescent="0.55000000000000004">
      <c r="BF1485" s="7"/>
      <c r="BM1485" s="7"/>
      <c r="BT1485" s="7"/>
    </row>
    <row r="1486" spans="58:72" x14ac:dyDescent="0.55000000000000004">
      <c r="BF1486" s="7"/>
      <c r="BM1486" s="7"/>
      <c r="BT1486" s="7"/>
    </row>
    <row r="1487" spans="58:72" x14ac:dyDescent="0.55000000000000004">
      <c r="BF1487" s="7"/>
      <c r="BM1487" s="7"/>
      <c r="BT1487" s="7"/>
    </row>
    <row r="1488" spans="58:72" x14ac:dyDescent="0.55000000000000004">
      <c r="BF1488" s="7"/>
      <c r="BM1488" s="7"/>
      <c r="BT1488" s="7"/>
    </row>
    <row r="1489" spans="58:72" x14ac:dyDescent="0.55000000000000004">
      <c r="BF1489" s="7"/>
      <c r="BM1489" s="7"/>
      <c r="BT1489" s="7"/>
    </row>
    <row r="1490" spans="58:72" x14ac:dyDescent="0.55000000000000004">
      <c r="BF1490" s="7"/>
      <c r="BM1490" s="7"/>
      <c r="BT1490" s="7"/>
    </row>
    <row r="1491" spans="58:72" x14ac:dyDescent="0.55000000000000004">
      <c r="BF1491" s="7"/>
      <c r="BM1491" s="7"/>
      <c r="BT1491" s="7"/>
    </row>
    <row r="1492" spans="58:72" x14ac:dyDescent="0.55000000000000004">
      <c r="BF1492" s="7"/>
      <c r="BM1492" s="7"/>
      <c r="BT1492" s="7"/>
    </row>
    <row r="1493" spans="58:72" x14ac:dyDescent="0.55000000000000004">
      <c r="BF1493" s="7"/>
      <c r="BM1493" s="7"/>
      <c r="BT1493" s="7"/>
    </row>
    <row r="1494" spans="58:72" x14ac:dyDescent="0.55000000000000004">
      <c r="BF1494" s="7"/>
      <c r="BM1494" s="7"/>
      <c r="BT1494" s="7"/>
    </row>
    <row r="1495" spans="58:72" x14ac:dyDescent="0.55000000000000004">
      <c r="BF1495" s="7"/>
      <c r="BM1495" s="7"/>
      <c r="BT1495" s="7"/>
    </row>
    <row r="1496" spans="58:72" x14ac:dyDescent="0.55000000000000004">
      <c r="BF1496" s="7"/>
      <c r="BM1496" s="7"/>
      <c r="BT1496" s="7"/>
    </row>
    <row r="1497" spans="58:72" x14ac:dyDescent="0.55000000000000004">
      <c r="BF1497" s="7"/>
      <c r="BM1497" s="7"/>
      <c r="BT1497" s="7"/>
    </row>
    <row r="1498" spans="58:72" x14ac:dyDescent="0.55000000000000004">
      <c r="BF1498" s="7"/>
      <c r="BM1498" s="7"/>
      <c r="BT1498" s="7"/>
    </row>
    <row r="1499" spans="58:72" x14ac:dyDescent="0.55000000000000004">
      <c r="BF1499" s="7"/>
      <c r="BM1499" s="7"/>
      <c r="BT1499" s="7"/>
    </row>
    <row r="1500" spans="58:72" x14ac:dyDescent="0.55000000000000004">
      <c r="BF1500" s="7"/>
      <c r="BM1500" s="7"/>
      <c r="BT1500" s="7"/>
    </row>
    <row r="1501" spans="58:72" x14ac:dyDescent="0.55000000000000004">
      <c r="BF1501" s="7"/>
      <c r="BM1501" s="7"/>
      <c r="BT1501" s="7"/>
    </row>
    <row r="1502" spans="58:72" x14ac:dyDescent="0.55000000000000004">
      <c r="BF1502" s="7"/>
      <c r="BM1502" s="7"/>
      <c r="BT1502" s="7"/>
    </row>
    <row r="1503" spans="58:72" x14ac:dyDescent="0.55000000000000004">
      <c r="BF1503" s="7"/>
      <c r="BM1503" s="7"/>
      <c r="BT1503" s="7"/>
    </row>
    <row r="1504" spans="58:72" x14ac:dyDescent="0.55000000000000004">
      <c r="BF1504" s="7"/>
      <c r="BM1504" s="7"/>
      <c r="BT1504" s="7"/>
    </row>
    <row r="1505" spans="58:72" x14ac:dyDescent="0.55000000000000004">
      <c r="BF1505" s="7"/>
      <c r="BM1505" s="7"/>
      <c r="BT1505" s="7"/>
    </row>
    <row r="1506" spans="58:72" x14ac:dyDescent="0.55000000000000004">
      <c r="BF1506" s="7"/>
      <c r="BM1506" s="7"/>
      <c r="BT1506" s="7"/>
    </row>
    <row r="1507" spans="58:72" x14ac:dyDescent="0.55000000000000004">
      <c r="BF1507" s="7"/>
      <c r="BM1507" s="7"/>
      <c r="BT1507" s="7"/>
    </row>
    <row r="1508" spans="58:72" x14ac:dyDescent="0.55000000000000004">
      <c r="BF1508" s="7"/>
      <c r="BM1508" s="7"/>
      <c r="BT1508" s="7"/>
    </row>
    <row r="1509" spans="58:72" x14ac:dyDescent="0.55000000000000004">
      <c r="BF1509" s="7"/>
      <c r="BM1509" s="7"/>
      <c r="BT1509" s="7"/>
    </row>
    <row r="1510" spans="58:72" x14ac:dyDescent="0.55000000000000004">
      <c r="BF1510" s="7"/>
      <c r="BM1510" s="7"/>
      <c r="BT1510" s="7"/>
    </row>
    <row r="1511" spans="58:72" x14ac:dyDescent="0.55000000000000004">
      <c r="BF1511" s="7"/>
      <c r="BM1511" s="7"/>
      <c r="BT1511" s="7"/>
    </row>
    <row r="1512" spans="58:72" x14ac:dyDescent="0.55000000000000004">
      <c r="BF1512" s="7"/>
      <c r="BM1512" s="7"/>
      <c r="BT1512" s="7"/>
    </row>
    <row r="1513" spans="58:72" x14ac:dyDescent="0.55000000000000004">
      <c r="BF1513" s="7"/>
      <c r="BM1513" s="7"/>
      <c r="BT1513" s="7"/>
    </row>
    <row r="1514" spans="58:72" x14ac:dyDescent="0.55000000000000004">
      <c r="BF1514" s="7"/>
      <c r="BM1514" s="7"/>
      <c r="BT1514" s="7"/>
    </row>
    <row r="1515" spans="58:72" x14ac:dyDescent="0.55000000000000004">
      <c r="BF1515" s="7"/>
      <c r="BM1515" s="7"/>
      <c r="BT1515" s="7"/>
    </row>
    <row r="1516" spans="58:72" x14ac:dyDescent="0.55000000000000004">
      <c r="BF1516" s="7"/>
      <c r="BM1516" s="7"/>
      <c r="BT1516" s="7"/>
    </row>
    <row r="1517" spans="58:72" x14ac:dyDescent="0.55000000000000004">
      <c r="BF1517" s="7"/>
      <c r="BM1517" s="7"/>
      <c r="BT1517" s="7"/>
    </row>
    <row r="1518" spans="58:72" x14ac:dyDescent="0.55000000000000004">
      <c r="BF1518" s="7"/>
      <c r="BM1518" s="7"/>
      <c r="BT1518" s="7"/>
    </row>
    <row r="1519" spans="58:72" x14ac:dyDescent="0.55000000000000004">
      <c r="BF1519" s="7"/>
      <c r="BM1519" s="7"/>
      <c r="BT1519" s="7"/>
    </row>
    <row r="1520" spans="58:72" x14ac:dyDescent="0.55000000000000004">
      <c r="BF1520" s="7"/>
      <c r="BM1520" s="7"/>
      <c r="BT1520" s="7"/>
    </row>
    <row r="1521" spans="58:72" x14ac:dyDescent="0.55000000000000004">
      <c r="BF1521" s="7"/>
      <c r="BM1521" s="7"/>
      <c r="BT1521" s="7"/>
    </row>
    <row r="1522" spans="58:72" x14ac:dyDescent="0.55000000000000004">
      <c r="BF1522" s="7"/>
      <c r="BM1522" s="7"/>
      <c r="BT1522" s="7"/>
    </row>
    <row r="1523" spans="58:72" x14ac:dyDescent="0.55000000000000004">
      <c r="BF1523" s="7"/>
      <c r="BM1523" s="7"/>
      <c r="BT1523" s="7"/>
    </row>
    <row r="1524" spans="58:72" x14ac:dyDescent="0.55000000000000004">
      <c r="BF1524" s="7"/>
      <c r="BM1524" s="7"/>
      <c r="BT1524" s="7"/>
    </row>
    <row r="1525" spans="58:72" x14ac:dyDescent="0.55000000000000004">
      <c r="BF1525" s="7"/>
      <c r="BM1525" s="7"/>
      <c r="BT1525" s="7"/>
    </row>
    <row r="1526" spans="58:72" x14ac:dyDescent="0.55000000000000004">
      <c r="BF1526" s="7"/>
      <c r="BM1526" s="7"/>
      <c r="BT1526" s="7"/>
    </row>
    <row r="1527" spans="58:72" x14ac:dyDescent="0.55000000000000004">
      <c r="BF1527" s="7"/>
      <c r="BM1527" s="7"/>
      <c r="BT1527" s="7"/>
    </row>
    <row r="1528" spans="58:72" x14ac:dyDescent="0.55000000000000004">
      <c r="BF1528" s="7"/>
      <c r="BM1528" s="7"/>
      <c r="BT1528" s="7"/>
    </row>
    <row r="1529" spans="58:72" x14ac:dyDescent="0.55000000000000004">
      <c r="BF1529" s="7"/>
      <c r="BM1529" s="7"/>
      <c r="BT1529" s="7"/>
    </row>
    <row r="1530" spans="58:72" x14ac:dyDescent="0.55000000000000004">
      <c r="BF1530" s="7"/>
      <c r="BM1530" s="7"/>
      <c r="BT1530" s="7"/>
    </row>
    <row r="1531" spans="58:72" x14ac:dyDescent="0.55000000000000004">
      <c r="BF1531" s="7"/>
      <c r="BM1531" s="7"/>
      <c r="BT1531" s="7"/>
    </row>
    <row r="1532" spans="58:72" x14ac:dyDescent="0.55000000000000004">
      <c r="BF1532" s="7"/>
      <c r="BM1532" s="7"/>
      <c r="BT1532" s="7"/>
    </row>
    <row r="1533" spans="58:72" x14ac:dyDescent="0.55000000000000004">
      <c r="BF1533" s="7"/>
      <c r="BM1533" s="7"/>
      <c r="BT1533" s="7"/>
    </row>
    <row r="1534" spans="58:72" x14ac:dyDescent="0.55000000000000004">
      <c r="BF1534" s="7"/>
      <c r="BM1534" s="7"/>
      <c r="BT1534" s="7"/>
    </row>
    <row r="1535" spans="58:72" x14ac:dyDescent="0.55000000000000004">
      <c r="BF1535" s="7"/>
      <c r="BM1535" s="7"/>
      <c r="BT1535" s="7"/>
    </row>
    <row r="1536" spans="58:72" x14ac:dyDescent="0.55000000000000004">
      <c r="BF1536" s="7"/>
      <c r="BM1536" s="7"/>
      <c r="BT1536" s="7"/>
    </row>
    <row r="1537" spans="58:72" x14ac:dyDescent="0.55000000000000004">
      <c r="BF1537" s="7"/>
      <c r="BM1537" s="7"/>
      <c r="BT1537" s="7"/>
    </row>
    <row r="1538" spans="58:72" x14ac:dyDescent="0.55000000000000004">
      <c r="BF1538" s="7"/>
      <c r="BM1538" s="7"/>
      <c r="BT1538" s="7"/>
    </row>
    <row r="1539" spans="58:72" x14ac:dyDescent="0.55000000000000004">
      <c r="BF1539" s="7"/>
      <c r="BM1539" s="7"/>
      <c r="BT1539" s="7"/>
    </row>
    <row r="1540" spans="58:72" x14ac:dyDescent="0.55000000000000004">
      <c r="BF1540" s="7"/>
      <c r="BM1540" s="7"/>
      <c r="BT1540" s="7"/>
    </row>
    <row r="1541" spans="58:72" x14ac:dyDescent="0.55000000000000004">
      <c r="BF1541" s="7"/>
      <c r="BM1541" s="7"/>
      <c r="BT1541" s="7"/>
    </row>
    <row r="1542" spans="58:72" x14ac:dyDescent="0.55000000000000004">
      <c r="BF1542" s="7"/>
      <c r="BM1542" s="7"/>
      <c r="BT1542" s="7"/>
    </row>
    <row r="1543" spans="58:72" x14ac:dyDescent="0.55000000000000004">
      <c r="BF1543" s="7"/>
      <c r="BM1543" s="7"/>
      <c r="BT1543" s="7"/>
    </row>
    <row r="1544" spans="58:72" x14ac:dyDescent="0.55000000000000004">
      <c r="BF1544" s="7"/>
      <c r="BM1544" s="7"/>
      <c r="BT1544" s="7"/>
    </row>
    <row r="1545" spans="58:72" x14ac:dyDescent="0.55000000000000004">
      <c r="BF1545" s="7"/>
      <c r="BM1545" s="7"/>
      <c r="BT1545" s="7"/>
    </row>
    <row r="1546" spans="58:72" x14ac:dyDescent="0.55000000000000004">
      <c r="BF1546" s="7"/>
      <c r="BM1546" s="7"/>
      <c r="BT1546" s="7"/>
    </row>
    <row r="1547" spans="58:72" x14ac:dyDescent="0.55000000000000004">
      <c r="BF1547" s="7"/>
      <c r="BM1547" s="7"/>
      <c r="BT1547" s="7"/>
    </row>
    <row r="1548" spans="58:72" x14ac:dyDescent="0.55000000000000004">
      <c r="BF1548" s="7"/>
      <c r="BM1548" s="7"/>
      <c r="BT1548" s="7"/>
    </row>
    <row r="1549" spans="58:72" x14ac:dyDescent="0.55000000000000004">
      <c r="BF1549" s="7"/>
      <c r="BM1549" s="7"/>
      <c r="BT1549" s="7"/>
    </row>
    <row r="1550" spans="58:72" x14ac:dyDescent="0.55000000000000004">
      <c r="BF1550" s="7"/>
      <c r="BM1550" s="7"/>
      <c r="BT1550" s="7"/>
    </row>
    <row r="1551" spans="58:72" x14ac:dyDescent="0.55000000000000004">
      <c r="BF1551" s="7"/>
      <c r="BM1551" s="7"/>
      <c r="BT1551" s="7"/>
    </row>
    <row r="1552" spans="58:72" x14ac:dyDescent="0.55000000000000004">
      <c r="BF1552" s="7"/>
      <c r="BM1552" s="7"/>
      <c r="BT1552" s="7"/>
    </row>
    <row r="1553" spans="58:72" x14ac:dyDescent="0.55000000000000004">
      <c r="BF1553" s="7"/>
      <c r="BM1553" s="7"/>
      <c r="BT1553" s="7"/>
    </row>
    <row r="1554" spans="58:72" x14ac:dyDescent="0.55000000000000004">
      <c r="BF1554" s="7"/>
      <c r="BM1554" s="7"/>
      <c r="BT1554" s="7"/>
    </row>
    <row r="1555" spans="58:72" x14ac:dyDescent="0.55000000000000004">
      <c r="BF1555" s="7"/>
      <c r="BM1555" s="7"/>
      <c r="BT1555" s="7"/>
    </row>
    <row r="1556" spans="58:72" x14ac:dyDescent="0.55000000000000004">
      <c r="BF1556" s="7"/>
      <c r="BM1556" s="7"/>
      <c r="BT1556" s="7"/>
    </row>
    <row r="1557" spans="58:72" x14ac:dyDescent="0.55000000000000004">
      <c r="BF1557" s="7"/>
      <c r="BM1557" s="7"/>
      <c r="BT1557" s="7"/>
    </row>
    <row r="1558" spans="58:72" x14ac:dyDescent="0.55000000000000004">
      <c r="BF1558" s="7"/>
      <c r="BM1558" s="7"/>
      <c r="BT1558" s="7"/>
    </row>
    <row r="1559" spans="58:72" x14ac:dyDescent="0.55000000000000004">
      <c r="BF1559" s="7"/>
      <c r="BM1559" s="7"/>
      <c r="BT1559" s="7"/>
    </row>
    <row r="1560" spans="58:72" x14ac:dyDescent="0.55000000000000004">
      <c r="BF1560" s="7"/>
      <c r="BM1560" s="7"/>
      <c r="BT1560" s="7"/>
    </row>
    <row r="1561" spans="58:72" x14ac:dyDescent="0.55000000000000004">
      <c r="BF1561" s="7"/>
      <c r="BM1561" s="7"/>
      <c r="BT1561" s="7"/>
    </row>
    <row r="1562" spans="58:72" x14ac:dyDescent="0.55000000000000004">
      <c r="BF1562" s="7"/>
      <c r="BM1562" s="7"/>
      <c r="BT1562" s="7"/>
    </row>
    <row r="1563" spans="58:72" x14ac:dyDescent="0.55000000000000004">
      <c r="BF1563" s="7"/>
      <c r="BM1563" s="7"/>
      <c r="BT1563" s="7"/>
    </row>
    <row r="1564" spans="58:72" x14ac:dyDescent="0.55000000000000004">
      <c r="BF1564" s="7"/>
      <c r="BM1564" s="7"/>
      <c r="BT1564" s="7"/>
    </row>
    <row r="1565" spans="58:72" x14ac:dyDescent="0.55000000000000004">
      <c r="BF1565" s="7"/>
      <c r="BM1565" s="7"/>
      <c r="BT1565" s="7"/>
    </row>
    <row r="1566" spans="58:72" x14ac:dyDescent="0.55000000000000004">
      <c r="BF1566" s="7"/>
      <c r="BM1566" s="7"/>
      <c r="BT1566" s="7"/>
    </row>
    <row r="1567" spans="58:72" x14ac:dyDescent="0.55000000000000004">
      <c r="BF1567" s="7"/>
      <c r="BM1567" s="7"/>
      <c r="BT1567" s="7"/>
    </row>
    <row r="1568" spans="58:72" x14ac:dyDescent="0.55000000000000004">
      <c r="BF1568" s="7"/>
      <c r="BM1568" s="7"/>
      <c r="BT1568" s="7"/>
    </row>
    <row r="1569" spans="58:72" x14ac:dyDescent="0.55000000000000004">
      <c r="BF1569" s="7"/>
      <c r="BM1569" s="7"/>
      <c r="BT1569" s="7"/>
    </row>
    <row r="1570" spans="58:72" x14ac:dyDescent="0.55000000000000004">
      <c r="BF1570" s="7"/>
      <c r="BM1570" s="7"/>
      <c r="BT1570" s="7"/>
    </row>
    <row r="1571" spans="58:72" x14ac:dyDescent="0.55000000000000004">
      <c r="BF1571" s="7"/>
      <c r="BM1571" s="7"/>
      <c r="BT1571" s="7"/>
    </row>
    <row r="1572" spans="58:72" x14ac:dyDescent="0.55000000000000004">
      <c r="BF1572" s="7"/>
      <c r="BM1572" s="7"/>
      <c r="BT1572" s="7"/>
    </row>
    <row r="1573" spans="58:72" x14ac:dyDescent="0.55000000000000004">
      <c r="BF1573" s="7"/>
      <c r="BM1573" s="7"/>
      <c r="BT1573" s="7"/>
    </row>
    <row r="1574" spans="58:72" x14ac:dyDescent="0.55000000000000004">
      <c r="BF1574" s="7"/>
      <c r="BM1574" s="7"/>
      <c r="BT1574" s="7"/>
    </row>
    <row r="1575" spans="58:72" x14ac:dyDescent="0.55000000000000004">
      <c r="BF1575" s="7"/>
      <c r="BM1575" s="7"/>
      <c r="BT1575" s="7"/>
    </row>
    <row r="1576" spans="58:72" x14ac:dyDescent="0.55000000000000004">
      <c r="BF1576" s="7"/>
      <c r="BM1576" s="7"/>
      <c r="BT1576" s="7"/>
    </row>
    <row r="1577" spans="58:72" x14ac:dyDescent="0.55000000000000004">
      <c r="BF1577" s="7"/>
      <c r="BM1577" s="7"/>
      <c r="BT1577" s="7"/>
    </row>
    <row r="1578" spans="58:72" x14ac:dyDescent="0.55000000000000004">
      <c r="BF1578" s="7"/>
      <c r="BM1578" s="7"/>
      <c r="BT1578" s="7"/>
    </row>
    <row r="1579" spans="58:72" x14ac:dyDescent="0.55000000000000004">
      <c r="BF1579" s="7"/>
      <c r="BM1579" s="7"/>
      <c r="BT1579" s="7"/>
    </row>
    <row r="1580" spans="58:72" x14ac:dyDescent="0.55000000000000004">
      <c r="BF1580" s="7"/>
      <c r="BM1580" s="7"/>
      <c r="BT1580" s="7"/>
    </row>
    <row r="1581" spans="58:72" x14ac:dyDescent="0.55000000000000004">
      <c r="BF1581" s="7"/>
      <c r="BM1581" s="7"/>
      <c r="BT1581" s="7"/>
    </row>
    <row r="1582" spans="58:72" x14ac:dyDescent="0.55000000000000004">
      <c r="BF1582" s="7"/>
      <c r="BM1582" s="7"/>
      <c r="BT1582" s="7"/>
    </row>
    <row r="1583" spans="58:72" x14ac:dyDescent="0.55000000000000004">
      <c r="BF1583" s="7"/>
      <c r="BM1583" s="7"/>
      <c r="BT1583" s="7"/>
    </row>
    <row r="1584" spans="58:72" x14ac:dyDescent="0.55000000000000004">
      <c r="BF1584" s="7"/>
      <c r="BM1584" s="7"/>
      <c r="BT1584" s="7"/>
    </row>
    <row r="1585" spans="58:72" x14ac:dyDescent="0.55000000000000004">
      <c r="BF1585" s="7"/>
      <c r="BM1585" s="7"/>
      <c r="BT1585" s="7"/>
    </row>
    <row r="1586" spans="58:72" x14ac:dyDescent="0.55000000000000004">
      <c r="BF1586" s="7"/>
      <c r="BM1586" s="7"/>
      <c r="BT1586" s="7"/>
    </row>
    <row r="1587" spans="58:72" x14ac:dyDescent="0.55000000000000004">
      <c r="BF1587" s="7"/>
      <c r="BM1587" s="7"/>
      <c r="BT1587" s="7"/>
    </row>
    <row r="1588" spans="58:72" x14ac:dyDescent="0.55000000000000004">
      <c r="BF1588" s="7"/>
      <c r="BM1588" s="7"/>
      <c r="BT1588" s="7"/>
    </row>
    <row r="1589" spans="58:72" x14ac:dyDescent="0.55000000000000004">
      <c r="BF1589" s="7"/>
      <c r="BM1589" s="7"/>
      <c r="BT1589" s="7"/>
    </row>
    <row r="1590" spans="58:72" x14ac:dyDescent="0.55000000000000004">
      <c r="BF1590" s="7"/>
      <c r="BM1590" s="7"/>
      <c r="BT1590" s="7"/>
    </row>
    <row r="1591" spans="58:72" x14ac:dyDescent="0.55000000000000004">
      <c r="BF1591" s="7"/>
      <c r="BM1591" s="7"/>
      <c r="BT1591" s="7"/>
    </row>
    <row r="1592" spans="58:72" x14ac:dyDescent="0.55000000000000004">
      <c r="BF1592" s="7"/>
      <c r="BM1592" s="7"/>
      <c r="BT1592" s="7"/>
    </row>
    <row r="1593" spans="58:72" x14ac:dyDescent="0.55000000000000004">
      <c r="BF1593" s="7"/>
      <c r="BM1593" s="7"/>
      <c r="BT1593" s="7"/>
    </row>
    <row r="1594" spans="58:72" x14ac:dyDescent="0.55000000000000004">
      <c r="BF1594" s="7"/>
      <c r="BM1594" s="7"/>
      <c r="BT1594" s="7"/>
    </row>
    <row r="1595" spans="58:72" x14ac:dyDescent="0.55000000000000004">
      <c r="BF1595" s="7"/>
      <c r="BM1595" s="7"/>
      <c r="BT1595" s="7"/>
    </row>
    <row r="1596" spans="58:72" x14ac:dyDescent="0.55000000000000004">
      <c r="BF1596" s="7"/>
      <c r="BM1596" s="7"/>
      <c r="BT1596" s="7"/>
    </row>
    <row r="1597" spans="58:72" x14ac:dyDescent="0.55000000000000004">
      <c r="BF1597" s="7"/>
      <c r="BM1597" s="7"/>
      <c r="BT1597" s="7"/>
    </row>
    <row r="1598" spans="58:72" x14ac:dyDescent="0.55000000000000004">
      <c r="BF1598" s="7"/>
      <c r="BM1598" s="7"/>
      <c r="BT1598" s="7"/>
    </row>
    <row r="1599" spans="58:72" x14ac:dyDescent="0.55000000000000004">
      <c r="BF1599" s="7"/>
      <c r="BM1599" s="7"/>
      <c r="BT1599" s="7"/>
    </row>
    <row r="1600" spans="58:72" x14ac:dyDescent="0.55000000000000004">
      <c r="BF1600" s="7"/>
      <c r="BM1600" s="7"/>
      <c r="BT1600" s="7"/>
    </row>
    <row r="1601" spans="58:72" x14ac:dyDescent="0.55000000000000004">
      <c r="BF1601" s="7"/>
      <c r="BM1601" s="7"/>
      <c r="BT1601" s="7"/>
    </row>
    <row r="1602" spans="58:72" x14ac:dyDescent="0.55000000000000004">
      <c r="BF1602" s="7"/>
      <c r="BM1602" s="7"/>
      <c r="BT1602" s="7"/>
    </row>
    <row r="1603" spans="58:72" x14ac:dyDescent="0.55000000000000004">
      <c r="BF1603" s="7"/>
      <c r="BM1603" s="7"/>
      <c r="BT1603" s="7"/>
    </row>
    <row r="1604" spans="58:72" x14ac:dyDescent="0.55000000000000004">
      <c r="BF1604" s="7"/>
      <c r="BM1604" s="7"/>
      <c r="BT1604" s="7"/>
    </row>
    <row r="1605" spans="58:72" x14ac:dyDescent="0.55000000000000004">
      <c r="BF1605" s="7"/>
      <c r="BM1605" s="7"/>
      <c r="BT1605" s="7"/>
    </row>
    <row r="1606" spans="58:72" x14ac:dyDescent="0.55000000000000004">
      <c r="BF1606" s="7"/>
      <c r="BM1606" s="7"/>
      <c r="BT1606" s="7"/>
    </row>
    <row r="1607" spans="58:72" x14ac:dyDescent="0.55000000000000004">
      <c r="BF1607" s="7"/>
      <c r="BM1607" s="7"/>
      <c r="BT1607" s="7"/>
    </row>
    <row r="1608" spans="58:72" x14ac:dyDescent="0.55000000000000004">
      <c r="BF1608" s="7"/>
      <c r="BM1608" s="7"/>
      <c r="BT1608" s="7"/>
    </row>
    <row r="1609" spans="58:72" x14ac:dyDescent="0.55000000000000004">
      <c r="BF1609" s="7"/>
      <c r="BM1609" s="7"/>
      <c r="BT1609" s="7"/>
    </row>
    <row r="1610" spans="58:72" x14ac:dyDescent="0.55000000000000004">
      <c r="BF1610" s="7"/>
      <c r="BM1610" s="7"/>
      <c r="BT1610" s="7"/>
    </row>
    <row r="1611" spans="58:72" x14ac:dyDescent="0.55000000000000004">
      <c r="BF1611" s="7"/>
      <c r="BM1611" s="7"/>
      <c r="BT1611" s="7"/>
    </row>
    <row r="1612" spans="58:72" x14ac:dyDescent="0.55000000000000004">
      <c r="BF1612" s="7"/>
      <c r="BM1612" s="7"/>
      <c r="BT1612" s="7"/>
    </row>
    <row r="1613" spans="58:72" x14ac:dyDescent="0.55000000000000004">
      <c r="BF1613" s="7"/>
      <c r="BM1613" s="7"/>
      <c r="BT1613" s="7"/>
    </row>
    <row r="1614" spans="58:72" x14ac:dyDescent="0.55000000000000004">
      <c r="BF1614" s="7"/>
      <c r="BM1614" s="7"/>
      <c r="BT1614" s="7"/>
    </row>
    <row r="1615" spans="58:72" x14ac:dyDescent="0.55000000000000004">
      <c r="BF1615" s="7"/>
      <c r="BM1615" s="7"/>
      <c r="BT1615" s="7"/>
    </row>
    <row r="1616" spans="58:72" x14ac:dyDescent="0.55000000000000004">
      <c r="BF1616" s="7"/>
      <c r="BM1616" s="7"/>
      <c r="BT1616" s="7"/>
    </row>
    <row r="1617" spans="58:72" x14ac:dyDescent="0.55000000000000004">
      <c r="BF1617" s="7"/>
      <c r="BM1617" s="7"/>
      <c r="BT1617" s="7"/>
    </row>
    <row r="1618" spans="58:72" x14ac:dyDescent="0.55000000000000004">
      <c r="BF1618" s="7"/>
      <c r="BM1618" s="7"/>
      <c r="BT1618" s="7"/>
    </row>
    <row r="1619" spans="58:72" x14ac:dyDescent="0.55000000000000004">
      <c r="BF1619" s="7"/>
      <c r="BM1619" s="7"/>
      <c r="BT1619" s="7"/>
    </row>
    <row r="1620" spans="58:72" x14ac:dyDescent="0.55000000000000004">
      <c r="BF1620" s="7"/>
      <c r="BM1620" s="7"/>
      <c r="BT1620" s="7"/>
    </row>
    <row r="1621" spans="58:72" x14ac:dyDescent="0.55000000000000004">
      <c r="BF1621" s="7"/>
      <c r="BM1621" s="7"/>
      <c r="BT1621" s="7"/>
    </row>
    <row r="1622" spans="58:72" x14ac:dyDescent="0.55000000000000004">
      <c r="BF1622" s="7"/>
      <c r="BM1622" s="7"/>
      <c r="BT1622" s="7"/>
    </row>
    <row r="1623" spans="58:72" x14ac:dyDescent="0.55000000000000004">
      <c r="BF1623" s="7"/>
      <c r="BM1623" s="7"/>
      <c r="BT1623" s="7"/>
    </row>
    <row r="1624" spans="58:72" x14ac:dyDescent="0.55000000000000004">
      <c r="BF1624" s="7"/>
      <c r="BM1624" s="7"/>
      <c r="BT1624" s="7"/>
    </row>
    <row r="1625" spans="58:72" x14ac:dyDescent="0.55000000000000004">
      <c r="BF1625" s="7"/>
      <c r="BM1625" s="7"/>
      <c r="BT1625" s="7"/>
    </row>
    <row r="1626" spans="58:72" x14ac:dyDescent="0.55000000000000004">
      <c r="BF1626" s="7"/>
      <c r="BM1626" s="7"/>
      <c r="BT1626" s="7"/>
    </row>
    <row r="1627" spans="58:72" x14ac:dyDescent="0.55000000000000004">
      <c r="BF1627" s="7"/>
      <c r="BM1627" s="7"/>
      <c r="BT1627" s="7"/>
    </row>
    <row r="1628" spans="58:72" x14ac:dyDescent="0.55000000000000004">
      <c r="BF1628" s="7"/>
      <c r="BM1628" s="7"/>
      <c r="BT1628" s="7"/>
    </row>
    <row r="1629" spans="58:72" x14ac:dyDescent="0.55000000000000004">
      <c r="BF1629" s="7"/>
      <c r="BM1629" s="7"/>
      <c r="BT1629" s="7"/>
    </row>
    <row r="1630" spans="58:72" x14ac:dyDescent="0.55000000000000004">
      <c r="BF1630" s="7"/>
      <c r="BM1630" s="7"/>
      <c r="BT1630" s="7"/>
    </row>
    <row r="1631" spans="58:72" x14ac:dyDescent="0.55000000000000004">
      <c r="BF1631" s="7"/>
      <c r="BM1631" s="7"/>
      <c r="BT1631" s="7"/>
    </row>
    <row r="1632" spans="58:72" x14ac:dyDescent="0.55000000000000004">
      <c r="BF1632" s="7"/>
      <c r="BM1632" s="7"/>
      <c r="BT1632" s="7"/>
    </row>
    <row r="1633" spans="58:72" x14ac:dyDescent="0.55000000000000004">
      <c r="BF1633" s="7"/>
      <c r="BM1633" s="7"/>
      <c r="BT1633" s="7"/>
    </row>
    <row r="1634" spans="58:72" x14ac:dyDescent="0.55000000000000004">
      <c r="BF1634" s="7"/>
      <c r="BM1634" s="7"/>
      <c r="BT1634" s="7"/>
    </row>
    <row r="1635" spans="58:72" x14ac:dyDescent="0.55000000000000004">
      <c r="BF1635" s="7"/>
      <c r="BM1635" s="7"/>
      <c r="BT1635" s="7"/>
    </row>
    <row r="1636" spans="58:72" x14ac:dyDescent="0.55000000000000004">
      <c r="BF1636" s="7"/>
      <c r="BM1636" s="7"/>
      <c r="BT1636" s="7"/>
    </row>
    <row r="1637" spans="58:72" x14ac:dyDescent="0.55000000000000004">
      <c r="BF1637" s="7"/>
      <c r="BM1637" s="7"/>
      <c r="BT1637" s="7"/>
    </row>
    <row r="1638" spans="58:72" x14ac:dyDescent="0.55000000000000004">
      <c r="BF1638" s="7"/>
      <c r="BM1638" s="7"/>
      <c r="BT1638" s="7"/>
    </row>
    <row r="1639" spans="58:72" x14ac:dyDescent="0.55000000000000004">
      <c r="BF1639" s="7"/>
      <c r="BM1639" s="7"/>
      <c r="BT1639" s="7"/>
    </row>
    <row r="1640" spans="58:72" x14ac:dyDescent="0.55000000000000004">
      <c r="BF1640" s="7"/>
      <c r="BM1640" s="7"/>
      <c r="BT1640" s="7"/>
    </row>
    <row r="1641" spans="58:72" x14ac:dyDescent="0.55000000000000004">
      <c r="BF1641" s="7"/>
      <c r="BM1641" s="7"/>
      <c r="BT1641" s="7"/>
    </row>
    <row r="1642" spans="58:72" x14ac:dyDescent="0.55000000000000004">
      <c r="BF1642" s="7"/>
      <c r="BM1642" s="7"/>
      <c r="BT1642" s="7"/>
    </row>
    <row r="1643" spans="58:72" x14ac:dyDescent="0.55000000000000004">
      <c r="BF1643" s="7"/>
      <c r="BM1643" s="7"/>
      <c r="BT1643" s="7"/>
    </row>
    <row r="1644" spans="58:72" x14ac:dyDescent="0.55000000000000004">
      <c r="BF1644" s="7"/>
      <c r="BM1644" s="7"/>
      <c r="BT1644" s="7"/>
    </row>
    <row r="1645" spans="58:72" x14ac:dyDescent="0.55000000000000004">
      <c r="BF1645" s="7"/>
      <c r="BM1645" s="7"/>
      <c r="BT1645" s="7"/>
    </row>
    <row r="1646" spans="58:72" x14ac:dyDescent="0.55000000000000004">
      <c r="BF1646" s="7"/>
      <c r="BM1646" s="7"/>
      <c r="BT1646" s="7"/>
    </row>
    <row r="1647" spans="58:72" x14ac:dyDescent="0.55000000000000004">
      <c r="BF1647" s="7"/>
      <c r="BM1647" s="7"/>
      <c r="BT1647" s="7"/>
    </row>
    <row r="1648" spans="58:72" x14ac:dyDescent="0.55000000000000004">
      <c r="BF1648" s="7"/>
      <c r="BM1648" s="7"/>
      <c r="BT1648" s="7"/>
    </row>
    <row r="1649" spans="58:72" x14ac:dyDescent="0.55000000000000004">
      <c r="BF1649" s="7"/>
      <c r="BM1649" s="7"/>
      <c r="BT1649" s="7"/>
    </row>
    <row r="1650" spans="58:72" x14ac:dyDescent="0.55000000000000004">
      <c r="BF1650" s="7"/>
      <c r="BM1650" s="7"/>
      <c r="BT1650" s="7"/>
    </row>
    <row r="1651" spans="58:72" x14ac:dyDescent="0.55000000000000004">
      <c r="BF1651" s="7"/>
      <c r="BM1651" s="7"/>
      <c r="BT1651" s="7"/>
    </row>
    <row r="1652" spans="58:72" x14ac:dyDescent="0.55000000000000004">
      <c r="BF1652" s="7"/>
      <c r="BM1652" s="7"/>
      <c r="BT1652" s="7"/>
    </row>
    <row r="1653" spans="58:72" x14ac:dyDescent="0.55000000000000004">
      <c r="BF1653" s="7"/>
      <c r="BM1653" s="7"/>
      <c r="BT1653" s="7"/>
    </row>
    <row r="1654" spans="58:72" x14ac:dyDescent="0.55000000000000004">
      <c r="BF1654" s="7"/>
      <c r="BM1654" s="7"/>
      <c r="BT1654" s="7"/>
    </row>
    <row r="1655" spans="58:72" x14ac:dyDescent="0.55000000000000004">
      <c r="BF1655" s="7"/>
      <c r="BM1655" s="7"/>
      <c r="BT1655" s="7"/>
    </row>
    <row r="1656" spans="58:72" x14ac:dyDescent="0.55000000000000004">
      <c r="BF1656" s="7"/>
      <c r="BM1656" s="7"/>
      <c r="BT1656" s="7"/>
    </row>
    <row r="1657" spans="58:72" x14ac:dyDescent="0.55000000000000004">
      <c r="BF1657" s="7"/>
      <c r="BM1657" s="7"/>
      <c r="BT1657" s="7"/>
    </row>
    <row r="1658" spans="58:72" x14ac:dyDescent="0.55000000000000004">
      <c r="BF1658" s="7"/>
      <c r="BM1658" s="7"/>
      <c r="BT1658" s="7"/>
    </row>
    <row r="1659" spans="58:72" x14ac:dyDescent="0.55000000000000004">
      <c r="BF1659" s="7"/>
      <c r="BM1659" s="7"/>
      <c r="BT1659" s="7"/>
    </row>
    <row r="1660" spans="58:72" x14ac:dyDescent="0.55000000000000004">
      <c r="BF1660" s="7"/>
      <c r="BM1660" s="7"/>
      <c r="BT1660" s="7"/>
    </row>
    <row r="1661" spans="58:72" x14ac:dyDescent="0.55000000000000004">
      <c r="BF1661" s="7"/>
      <c r="BM1661" s="7"/>
      <c r="BT1661" s="7"/>
    </row>
    <row r="1662" spans="58:72" x14ac:dyDescent="0.55000000000000004">
      <c r="BF1662" s="7"/>
      <c r="BM1662" s="7"/>
      <c r="BT1662" s="7"/>
    </row>
    <row r="1663" spans="58:72" x14ac:dyDescent="0.55000000000000004">
      <c r="BF1663" s="7"/>
      <c r="BM1663" s="7"/>
      <c r="BT1663" s="7"/>
    </row>
    <row r="1664" spans="58:72" x14ac:dyDescent="0.55000000000000004">
      <c r="BF1664" s="7"/>
      <c r="BM1664" s="7"/>
      <c r="BT1664" s="7"/>
    </row>
    <row r="1665" spans="58:72" x14ac:dyDescent="0.55000000000000004">
      <c r="BF1665" s="7"/>
      <c r="BM1665" s="7"/>
      <c r="BT1665" s="7"/>
    </row>
    <row r="1666" spans="58:72" x14ac:dyDescent="0.55000000000000004">
      <c r="BF1666" s="7"/>
      <c r="BM1666" s="7"/>
      <c r="BT1666" s="7"/>
    </row>
    <row r="1667" spans="58:72" x14ac:dyDescent="0.55000000000000004">
      <c r="BF1667" s="7"/>
      <c r="BM1667" s="7"/>
      <c r="BT1667" s="7"/>
    </row>
    <row r="1668" spans="58:72" x14ac:dyDescent="0.55000000000000004">
      <c r="BF1668" s="7"/>
      <c r="BM1668" s="7"/>
      <c r="BT1668" s="7"/>
    </row>
    <row r="1669" spans="58:72" x14ac:dyDescent="0.55000000000000004">
      <c r="BF1669" s="7"/>
      <c r="BM1669" s="7"/>
      <c r="BT1669" s="7"/>
    </row>
    <row r="1670" spans="58:72" x14ac:dyDescent="0.55000000000000004">
      <c r="BF1670" s="7"/>
      <c r="BM1670" s="7"/>
      <c r="BT1670" s="7"/>
    </row>
    <row r="1671" spans="58:72" x14ac:dyDescent="0.55000000000000004">
      <c r="BF1671" s="7"/>
      <c r="BM1671" s="7"/>
      <c r="BT1671" s="7"/>
    </row>
    <row r="1672" spans="58:72" x14ac:dyDescent="0.55000000000000004">
      <c r="BF1672" s="7"/>
      <c r="BM1672" s="7"/>
      <c r="BT1672" s="7"/>
    </row>
    <row r="1673" spans="58:72" x14ac:dyDescent="0.55000000000000004">
      <c r="BF1673" s="7"/>
      <c r="BM1673" s="7"/>
      <c r="BT1673" s="7"/>
    </row>
    <row r="1674" spans="58:72" x14ac:dyDescent="0.55000000000000004">
      <c r="BF1674" s="7"/>
      <c r="BM1674" s="7"/>
      <c r="BT1674" s="7"/>
    </row>
    <row r="1675" spans="58:72" x14ac:dyDescent="0.55000000000000004">
      <c r="BF1675" s="7"/>
      <c r="BM1675" s="7"/>
      <c r="BT1675" s="7"/>
    </row>
    <row r="1676" spans="58:72" x14ac:dyDescent="0.55000000000000004">
      <c r="BF1676" s="7"/>
      <c r="BM1676" s="7"/>
      <c r="BT1676" s="7"/>
    </row>
    <row r="1677" spans="58:72" x14ac:dyDescent="0.55000000000000004">
      <c r="BF1677" s="7"/>
      <c r="BM1677" s="7"/>
      <c r="BT1677" s="7"/>
    </row>
    <row r="1678" spans="58:72" x14ac:dyDescent="0.55000000000000004">
      <c r="BF1678" s="7"/>
      <c r="BM1678" s="7"/>
      <c r="BT1678" s="7"/>
    </row>
    <row r="1679" spans="58:72" x14ac:dyDescent="0.55000000000000004">
      <c r="BF1679" s="7"/>
      <c r="BM1679" s="7"/>
      <c r="BT1679" s="7"/>
    </row>
    <row r="1680" spans="58:72" x14ac:dyDescent="0.55000000000000004">
      <c r="BF1680" s="7"/>
      <c r="BM1680" s="7"/>
      <c r="BT1680" s="7"/>
    </row>
    <row r="1681" spans="58:72" x14ac:dyDescent="0.55000000000000004">
      <c r="BF1681" s="7"/>
      <c r="BM1681" s="7"/>
      <c r="BT1681" s="7"/>
    </row>
    <row r="1682" spans="58:72" x14ac:dyDescent="0.55000000000000004">
      <c r="BF1682" s="7"/>
      <c r="BM1682" s="7"/>
      <c r="BT1682" s="7"/>
    </row>
    <row r="1683" spans="58:72" x14ac:dyDescent="0.55000000000000004">
      <c r="BF1683" s="7"/>
      <c r="BM1683" s="7"/>
      <c r="BT1683" s="7"/>
    </row>
    <row r="1684" spans="58:72" x14ac:dyDescent="0.55000000000000004">
      <c r="BF1684" s="7"/>
      <c r="BM1684" s="7"/>
      <c r="BT1684" s="7"/>
    </row>
    <row r="1685" spans="58:72" x14ac:dyDescent="0.55000000000000004">
      <c r="BF1685" s="7"/>
      <c r="BM1685" s="7"/>
      <c r="BT1685" s="7"/>
    </row>
    <row r="1686" spans="58:72" x14ac:dyDescent="0.55000000000000004">
      <c r="BF1686" s="7"/>
      <c r="BM1686" s="7"/>
      <c r="BT1686" s="7"/>
    </row>
    <row r="1687" spans="58:72" x14ac:dyDescent="0.55000000000000004">
      <c r="BF1687" s="7"/>
      <c r="BM1687" s="7"/>
      <c r="BT1687" s="7"/>
    </row>
    <row r="1688" spans="58:72" x14ac:dyDescent="0.55000000000000004">
      <c r="BF1688" s="7"/>
      <c r="BM1688" s="7"/>
      <c r="BT1688" s="7"/>
    </row>
    <row r="1689" spans="58:72" x14ac:dyDescent="0.55000000000000004">
      <c r="BF1689" s="7"/>
      <c r="BM1689" s="7"/>
      <c r="BT1689" s="7"/>
    </row>
    <row r="1690" spans="58:72" x14ac:dyDescent="0.55000000000000004">
      <c r="BF1690" s="7"/>
      <c r="BM1690" s="7"/>
      <c r="BT1690" s="7"/>
    </row>
    <row r="1691" spans="58:72" x14ac:dyDescent="0.55000000000000004">
      <c r="BF1691" s="7"/>
      <c r="BM1691" s="7"/>
      <c r="BT1691" s="7"/>
    </row>
    <row r="1692" spans="58:72" x14ac:dyDescent="0.55000000000000004">
      <c r="BF1692" s="7"/>
      <c r="BM1692" s="7"/>
      <c r="BT1692" s="7"/>
    </row>
    <row r="1693" spans="58:72" x14ac:dyDescent="0.55000000000000004">
      <c r="BF1693" s="7"/>
      <c r="BM1693" s="7"/>
      <c r="BT1693" s="7"/>
    </row>
    <row r="1694" spans="58:72" x14ac:dyDescent="0.55000000000000004">
      <c r="BF1694" s="7"/>
      <c r="BM1694" s="7"/>
      <c r="BT1694" s="7"/>
    </row>
    <row r="1695" spans="58:72" x14ac:dyDescent="0.55000000000000004">
      <c r="BF1695" s="7"/>
      <c r="BM1695" s="7"/>
      <c r="BT1695" s="7"/>
    </row>
    <row r="1696" spans="58:72" x14ac:dyDescent="0.55000000000000004">
      <c r="BF1696" s="7"/>
      <c r="BM1696" s="7"/>
      <c r="BT1696" s="7"/>
    </row>
    <row r="1697" spans="58:72" x14ac:dyDescent="0.55000000000000004">
      <c r="BF1697" s="7"/>
      <c r="BM1697" s="7"/>
      <c r="BT1697" s="7"/>
    </row>
    <row r="1698" spans="58:72" x14ac:dyDescent="0.55000000000000004">
      <c r="BF1698" s="7"/>
      <c r="BM1698" s="7"/>
      <c r="BT1698" s="7"/>
    </row>
    <row r="1699" spans="58:72" x14ac:dyDescent="0.55000000000000004">
      <c r="BF1699" s="7"/>
      <c r="BM1699" s="7"/>
      <c r="BT1699" s="7"/>
    </row>
    <row r="1700" spans="58:72" x14ac:dyDescent="0.55000000000000004">
      <c r="BF1700" s="7"/>
      <c r="BM1700" s="7"/>
      <c r="BT1700" s="7"/>
    </row>
    <row r="1701" spans="58:72" x14ac:dyDescent="0.55000000000000004">
      <c r="BF1701" s="7"/>
      <c r="BM1701" s="7"/>
      <c r="BT1701" s="7"/>
    </row>
    <row r="1702" spans="58:72" x14ac:dyDescent="0.55000000000000004">
      <c r="BF1702" s="7"/>
      <c r="BM1702" s="7"/>
      <c r="BT1702" s="7"/>
    </row>
    <row r="1703" spans="58:72" x14ac:dyDescent="0.55000000000000004">
      <c r="BF1703" s="7"/>
      <c r="BM1703" s="7"/>
      <c r="BT1703" s="7"/>
    </row>
    <row r="1704" spans="58:72" x14ac:dyDescent="0.55000000000000004">
      <c r="BF1704" s="7"/>
      <c r="BM1704" s="7"/>
      <c r="BT1704" s="7"/>
    </row>
    <row r="1705" spans="58:72" x14ac:dyDescent="0.55000000000000004">
      <c r="BF1705" s="7"/>
      <c r="BM1705" s="7"/>
      <c r="BT1705" s="7"/>
    </row>
    <row r="1706" spans="58:72" x14ac:dyDescent="0.55000000000000004">
      <c r="BF1706" s="7"/>
      <c r="BM1706" s="7"/>
      <c r="BT1706" s="7"/>
    </row>
    <row r="1707" spans="58:72" x14ac:dyDescent="0.55000000000000004">
      <c r="BF1707" s="7"/>
      <c r="BM1707" s="7"/>
      <c r="BT1707" s="7"/>
    </row>
    <row r="1708" spans="58:72" x14ac:dyDescent="0.55000000000000004">
      <c r="BF1708" s="7"/>
      <c r="BM1708" s="7"/>
      <c r="BT1708" s="7"/>
    </row>
    <row r="1709" spans="58:72" x14ac:dyDescent="0.55000000000000004">
      <c r="BF1709" s="7"/>
      <c r="BM1709" s="7"/>
      <c r="BT1709" s="7"/>
    </row>
    <row r="1710" spans="58:72" x14ac:dyDescent="0.55000000000000004">
      <c r="BF1710" s="7"/>
      <c r="BM1710" s="7"/>
      <c r="BT1710" s="7"/>
    </row>
    <row r="1711" spans="58:72" x14ac:dyDescent="0.55000000000000004">
      <c r="BF1711" s="7"/>
      <c r="BM1711" s="7"/>
      <c r="BT1711" s="7"/>
    </row>
    <row r="1712" spans="58:72" x14ac:dyDescent="0.55000000000000004">
      <c r="BF1712" s="7"/>
      <c r="BM1712" s="7"/>
      <c r="BT1712" s="7"/>
    </row>
    <row r="1713" spans="58:72" x14ac:dyDescent="0.55000000000000004">
      <c r="BF1713" s="7"/>
      <c r="BM1713" s="7"/>
      <c r="BT1713" s="7"/>
    </row>
    <row r="1714" spans="58:72" x14ac:dyDescent="0.55000000000000004">
      <c r="BF1714" s="7"/>
      <c r="BM1714" s="7"/>
      <c r="BT1714" s="7"/>
    </row>
    <row r="1715" spans="58:72" x14ac:dyDescent="0.55000000000000004">
      <c r="BF1715" s="7"/>
      <c r="BM1715" s="7"/>
      <c r="BT1715" s="7"/>
    </row>
    <row r="1716" spans="58:72" x14ac:dyDescent="0.55000000000000004">
      <c r="BF1716" s="7"/>
      <c r="BM1716" s="7"/>
      <c r="BT1716" s="7"/>
    </row>
    <row r="1717" spans="58:72" x14ac:dyDescent="0.55000000000000004">
      <c r="BF1717" s="7"/>
      <c r="BM1717" s="7"/>
      <c r="BT1717" s="7"/>
    </row>
    <row r="1718" spans="58:72" x14ac:dyDescent="0.55000000000000004">
      <c r="BF1718" s="7"/>
      <c r="BM1718" s="7"/>
      <c r="BT1718" s="7"/>
    </row>
    <row r="1719" spans="58:72" x14ac:dyDescent="0.55000000000000004">
      <c r="BF1719" s="7"/>
      <c r="BM1719" s="7"/>
      <c r="BT1719" s="7"/>
    </row>
    <row r="1720" spans="58:72" x14ac:dyDescent="0.55000000000000004">
      <c r="BF1720" s="7"/>
      <c r="BM1720" s="7"/>
      <c r="BT1720" s="7"/>
    </row>
    <row r="1721" spans="58:72" x14ac:dyDescent="0.55000000000000004">
      <c r="BF1721" s="7"/>
      <c r="BM1721" s="7"/>
      <c r="BT1721" s="7"/>
    </row>
    <row r="1722" spans="58:72" x14ac:dyDescent="0.55000000000000004">
      <c r="BF1722" s="7"/>
      <c r="BM1722" s="7"/>
      <c r="BT1722" s="7"/>
    </row>
    <row r="1723" spans="58:72" x14ac:dyDescent="0.55000000000000004">
      <c r="BF1723" s="7"/>
      <c r="BM1723" s="7"/>
      <c r="BT1723" s="7"/>
    </row>
    <row r="1724" spans="58:72" x14ac:dyDescent="0.55000000000000004">
      <c r="BF1724" s="7"/>
      <c r="BM1724" s="7"/>
      <c r="BT1724" s="7"/>
    </row>
    <row r="1725" spans="58:72" x14ac:dyDescent="0.55000000000000004">
      <c r="BF1725" s="7"/>
      <c r="BM1725" s="7"/>
      <c r="BT1725" s="7"/>
    </row>
    <row r="1726" spans="58:72" x14ac:dyDescent="0.55000000000000004">
      <c r="BF1726" s="7"/>
      <c r="BM1726" s="7"/>
      <c r="BT1726" s="7"/>
    </row>
    <row r="1727" spans="58:72" x14ac:dyDescent="0.55000000000000004">
      <c r="BF1727" s="7"/>
      <c r="BM1727" s="7"/>
      <c r="BT1727" s="7"/>
    </row>
    <row r="1728" spans="58:72" x14ac:dyDescent="0.55000000000000004">
      <c r="BF1728" s="7"/>
      <c r="BM1728" s="7"/>
      <c r="BT1728" s="7"/>
    </row>
    <row r="1729" spans="58:72" x14ac:dyDescent="0.55000000000000004">
      <c r="BF1729" s="7"/>
      <c r="BM1729" s="7"/>
      <c r="BT1729" s="7"/>
    </row>
    <row r="1730" spans="58:72" x14ac:dyDescent="0.55000000000000004">
      <c r="BF1730" s="7"/>
      <c r="BM1730" s="7"/>
      <c r="BT1730" s="7"/>
    </row>
    <row r="1731" spans="58:72" x14ac:dyDescent="0.55000000000000004">
      <c r="BF1731" s="7"/>
      <c r="BM1731" s="7"/>
      <c r="BT1731" s="7"/>
    </row>
    <row r="1732" spans="58:72" x14ac:dyDescent="0.55000000000000004">
      <c r="BF1732" s="7"/>
      <c r="BM1732" s="7"/>
      <c r="BT1732" s="7"/>
    </row>
    <row r="1733" spans="58:72" x14ac:dyDescent="0.55000000000000004">
      <c r="BF1733" s="7"/>
      <c r="BM1733" s="7"/>
      <c r="BT1733" s="7"/>
    </row>
    <row r="1734" spans="58:72" x14ac:dyDescent="0.55000000000000004">
      <c r="BF1734" s="7"/>
      <c r="BM1734" s="7"/>
      <c r="BT1734" s="7"/>
    </row>
    <row r="1735" spans="58:72" x14ac:dyDescent="0.55000000000000004">
      <c r="BF1735" s="7"/>
      <c r="BM1735" s="7"/>
      <c r="BT1735" s="7"/>
    </row>
    <row r="1736" spans="58:72" x14ac:dyDescent="0.55000000000000004">
      <c r="BF1736" s="7"/>
      <c r="BM1736" s="7"/>
      <c r="BT1736" s="7"/>
    </row>
    <row r="1737" spans="58:72" x14ac:dyDescent="0.55000000000000004">
      <c r="BF1737" s="7"/>
      <c r="BM1737" s="7"/>
      <c r="BT1737" s="7"/>
    </row>
    <row r="1738" spans="58:72" x14ac:dyDescent="0.55000000000000004">
      <c r="BF1738" s="7"/>
      <c r="BM1738" s="7"/>
      <c r="BT1738" s="7"/>
    </row>
    <row r="1739" spans="58:72" x14ac:dyDescent="0.55000000000000004">
      <c r="BF1739" s="7"/>
      <c r="BM1739" s="7"/>
      <c r="BT1739" s="7"/>
    </row>
    <row r="1740" spans="58:72" x14ac:dyDescent="0.55000000000000004">
      <c r="BF1740" s="7"/>
      <c r="BM1740" s="7"/>
      <c r="BT1740" s="7"/>
    </row>
    <row r="1741" spans="58:72" x14ac:dyDescent="0.55000000000000004">
      <c r="BF1741" s="7"/>
      <c r="BM1741" s="7"/>
      <c r="BT1741" s="7"/>
    </row>
    <row r="1742" spans="58:72" x14ac:dyDescent="0.55000000000000004">
      <c r="BF1742" s="7"/>
      <c r="BM1742" s="7"/>
      <c r="BT1742" s="7"/>
    </row>
    <row r="1743" spans="58:72" x14ac:dyDescent="0.55000000000000004">
      <c r="BF1743" s="7"/>
      <c r="BM1743" s="7"/>
      <c r="BT1743" s="7"/>
    </row>
    <row r="1744" spans="58:72" x14ac:dyDescent="0.55000000000000004">
      <c r="BF1744" s="7"/>
      <c r="BM1744" s="7"/>
      <c r="BT1744" s="7"/>
    </row>
    <row r="1745" spans="58:72" x14ac:dyDescent="0.55000000000000004">
      <c r="BF1745" s="7"/>
      <c r="BM1745" s="7"/>
      <c r="BT1745" s="7"/>
    </row>
    <row r="1746" spans="58:72" x14ac:dyDescent="0.55000000000000004">
      <c r="BF1746" s="7"/>
      <c r="BM1746" s="7"/>
      <c r="BT1746" s="7"/>
    </row>
    <row r="1747" spans="58:72" x14ac:dyDescent="0.55000000000000004">
      <c r="BF1747" s="7"/>
      <c r="BM1747" s="7"/>
      <c r="BT1747" s="7"/>
    </row>
    <row r="1748" spans="58:72" x14ac:dyDescent="0.55000000000000004">
      <c r="BF1748" s="7"/>
      <c r="BM1748" s="7"/>
      <c r="BT1748" s="7"/>
    </row>
    <row r="1749" spans="58:72" x14ac:dyDescent="0.55000000000000004">
      <c r="BF1749" s="7"/>
      <c r="BM1749" s="7"/>
      <c r="BT1749" s="7"/>
    </row>
    <row r="1750" spans="58:72" x14ac:dyDescent="0.55000000000000004">
      <c r="BF1750" s="7"/>
      <c r="BM1750" s="7"/>
      <c r="BT1750" s="7"/>
    </row>
    <row r="1751" spans="58:72" x14ac:dyDescent="0.55000000000000004">
      <c r="BF1751" s="7"/>
      <c r="BM1751" s="7"/>
      <c r="BT1751" s="7"/>
    </row>
    <row r="1752" spans="58:72" x14ac:dyDescent="0.55000000000000004">
      <c r="BF1752" s="7"/>
      <c r="BM1752" s="7"/>
      <c r="BT1752" s="7"/>
    </row>
    <row r="1753" spans="58:72" x14ac:dyDescent="0.55000000000000004">
      <c r="BF1753" s="7"/>
      <c r="BM1753" s="7"/>
      <c r="BT1753" s="7"/>
    </row>
    <row r="1754" spans="58:72" x14ac:dyDescent="0.55000000000000004">
      <c r="BF1754" s="7"/>
      <c r="BM1754" s="7"/>
      <c r="BT1754" s="7"/>
    </row>
    <row r="1755" spans="58:72" x14ac:dyDescent="0.55000000000000004">
      <c r="BF1755" s="7"/>
      <c r="BM1755" s="7"/>
      <c r="BT1755" s="7"/>
    </row>
    <row r="1756" spans="58:72" x14ac:dyDescent="0.55000000000000004">
      <c r="BF1756" s="7"/>
      <c r="BM1756" s="7"/>
      <c r="BT1756" s="7"/>
    </row>
    <row r="1757" spans="58:72" x14ac:dyDescent="0.55000000000000004">
      <c r="BF1757" s="7"/>
      <c r="BM1757" s="7"/>
      <c r="BT1757" s="7"/>
    </row>
    <row r="1758" spans="58:72" x14ac:dyDescent="0.55000000000000004">
      <c r="BF1758" s="7"/>
      <c r="BM1758" s="7"/>
      <c r="BT1758" s="7"/>
    </row>
    <row r="1759" spans="58:72" x14ac:dyDescent="0.55000000000000004">
      <c r="BF1759" s="7"/>
      <c r="BM1759" s="7"/>
      <c r="BT1759" s="7"/>
    </row>
    <row r="1760" spans="58:72" x14ac:dyDescent="0.55000000000000004">
      <c r="BF1760" s="7"/>
      <c r="BM1760" s="7"/>
      <c r="BT1760" s="7"/>
    </row>
    <row r="1761" spans="58:72" x14ac:dyDescent="0.55000000000000004">
      <c r="BF1761" s="7"/>
      <c r="BM1761" s="7"/>
      <c r="BT1761" s="7"/>
    </row>
    <row r="1762" spans="58:72" x14ac:dyDescent="0.55000000000000004">
      <c r="BF1762" s="7"/>
      <c r="BM1762" s="7"/>
      <c r="BT1762" s="7"/>
    </row>
    <row r="1763" spans="58:72" x14ac:dyDescent="0.55000000000000004">
      <c r="BF1763" s="7"/>
      <c r="BM1763" s="7"/>
      <c r="BT1763" s="7"/>
    </row>
    <row r="1764" spans="58:72" x14ac:dyDescent="0.55000000000000004">
      <c r="BF1764" s="7"/>
      <c r="BM1764" s="7"/>
      <c r="BT1764" s="7"/>
    </row>
    <row r="1765" spans="58:72" x14ac:dyDescent="0.55000000000000004">
      <c r="BF1765" s="7"/>
      <c r="BM1765" s="7"/>
      <c r="BT1765" s="7"/>
    </row>
    <row r="1766" spans="58:72" x14ac:dyDescent="0.55000000000000004">
      <c r="BF1766" s="7"/>
      <c r="BM1766" s="7"/>
      <c r="BT1766" s="7"/>
    </row>
    <row r="1767" spans="58:72" x14ac:dyDescent="0.55000000000000004">
      <c r="BF1767" s="7"/>
      <c r="BM1767" s="7"/>
      <c r="BT1767" s="7"/>
    </row>
    <row r="1768" spans="58:72" x14ac:dyDescent="0.55000000000000004">
      <c r="BF1768" s="7"/>
      <c r="BM1768" s="7"/>
      <c r="BT1768" s="7"/>
    </row>
    <row r="1769" spans="58:72" x14ac:dyDescent="0.55000000000000004">
      <c r="BF1769" s="7"/>
      <c r="BM1769" s="7"/>
      <c r="BT1769" s="7"/>
    </row>
    <row r="1770" spans="58:72" x14ac:dyDescent="0.55000000000000004">
      <c r="BF1770" s="7"/>
      <c r="BM1770" s="7"/>
      <c r="BT1770" s="7"/>
    </row>
    <row r="1771" spans="58:72" x14ac:dyDescent="0.55000000000000004">
      <c r="BF1771" s="7"/>
      <c r="BM1771" s="7"/>
      <c r="BT1771" s="7"/>
    </row>
    <row r="1772" spans="58:72" x14ac:dyDescent="0.55000000000000004">
      <c r="BF1772" s="7"/>
      <c r="BM1772" s="7"/>
      <c r="BT1772" s="7"/>
    </row>
    <row r="1773" spans="58:72" x14ac:dyDescent="0.55000000000000004">
      <c r="BF1773" s="7"/>
      <c r="BM1773" s="7"/>
      <c r="BT1773" s="7"/>
    </row>
    <row r="1774" spans="58:72" x14ac:dyDescent="0.55000000000000004">
      <c r="BF1774" s="7"/>
      <c r="BM1774" s="7"/>
      <c r="BT1774" s="7"/>
    </row>
    <row r="1775" spans="58:72" x14ac:dyDescent="0.55000000000000004">
      <c r="BF1775" s="7"/>
      <c r="BM1775" s="7"/>
      <c r="BT1775" s="7"/>
    </row>
    <row r="1776" spans="58:72" x14ac:dyDescent="0.55000000000000004">
      <c r="BF1776" s="7"/>
      <c r="BM1776" s="7"/>
      <c r="BT1776" s="7"/>
    </row>
    <row r="1777" spans="58:72" x14ac:dyDescent="0.55000000000000004">
      <c r="BF1777" s="7"/>
      <c r="BM1777" s="7"/>
      <c r="BT1777" s="7"/>
    </row>
    <row r="1778" spans="58:72" x14ac:dyDescent="0.55000000000000004">
      <c r="BF1778" s="7"/>
      <c r="BM1778" s="7"/>
      <c r="BT1778" s="7"/>
    </row>
    <row r="1779" spans="58:72" x14ac:dyDescent="0.55000000000000004">
      <c r="BF1779" s="7"/>
      <c r="BM1779" s="7"/>
      <c r="BT1779" s="7"/>
    </row>
    <row r="1780" spans="58:72" x14ac:dyDescent="0.55000000000000004">
      <c r="BF1780" s="7"/>
      <c r="BM1780" s="7"/>
      <c r="BT1780" s="7"/>
    </row>
    <row r="1781" spans="58:72" x14ac:dyDescent="0.55000000000000004">
      <c r="BF1781" s="7"/>
      <c r="BM1781" s="7"/>
      <c r="BT1781" s="7"/>
    </row>
    <row r="1782" spans="58:72" x14ac:dyDescent="0.55000000000000004">
      <c r="BF1782" s="7"/>
      <c r="BM1782" s="7"/>
      <c r="BT1782" s="7"/>
    </row>
    <row r="1783" spans="58:72" x14ac:dyDescent="0.55000000000000004">
      <c r="BF1783" s="7"/>
      <c r="BM1783" s="7"/>
      <c r="BT1783" s="7"/>
    </row>
    <row r="1784" spans="58:72" x14ac:dyDescent="0.55000000000000004">
      <c r="BF1784" s="7"/>
      <c r="BM1784" s="7"/>
      <c r="BT1784" s="7"/>
    </row>
    <row r="1785" spans="58:72" x14ac:dyDescent="0.55000000000000004">
      <c r="BF1785" s="7"/>
      <c r="BM1785" s="7"/>
      <c r="BT1785" s="7"/>
    </row>
    <row r="1786" spans="58:72" x14ac:dyDescent="0.55000000000000004">
      <c r="BF1786" s="7"/>
      <c r="BM1786" s="7"/>
      <c r="BT1786" s="7"/>
    </row>
    <row r="1787" spans="58:72" x14ac:dyDescent="0.55000000000000004">
      <c r="BF1787" s="7"/>
      <c r="BM1787" s="7"/>
      <c r="BT1787" s="7"/>
    </row>
    <row r="1788" spans="58:72" x14ac:dyDescent="0.55000000000000004">
      <c r="BF1788" s="7"/>
      <c r="BM1788" s="7"/>
      <c r="BT1788" s="7"/>
    </row>
    <row r="1789" spans="58:72" x14ac:dyDescent="0.55000000000000004">
      <c r="BF1789" s="7"/>
      <c r="BM1789" s="7"/>
      <c r="BT1789" s="7"/>
    </row>
    <row r="1790" spans="58:72" x14ac:dyDescent="0.55000000000000004">
      <c r="BF1790" s="7"/>
      <c r="BM1790" s="7"/>
      <c r="BT1790" s="7"/>
    </row>
    <row r="1791" spans="58:72" x14ac:dyDescent="0.55000000000000004">
      <c r="BF1791" s="7"/>
      <c r="BM1791" s="7"/>
      <c r="BT1791" s="7"/>
    </row>
    <row r="1792" spans="58:72" x14ac:dyDescent="0.55000000000000004">
      <c r="BF1792" s="7"/>
      <c r="BM1792" s="7"/>
      <c r="BT1792" s="7"/>
    </row>
    <row r="1793" spans="58:72" x14ac:dyDescent="0.55000000000000004">
      <c r="BF1793" s="7"/>
      <c r="BM1793" s="7"/>
      <c r="BT1793" s="7"/>
    </row>
    <row r="1794" spans="58:72" x14ac:dyDescent="0.55000000000000004">
      <c r="BF1794" s="7"/>
      <c r="BM1794" s="7"/>
      <c r="BT1794" s="7"/>
    </row>
    <row r="1795" spans="58:72" x14ac:dyDescent="0.55000000000000004">
      <c r="BF1795" s="7"/>
      <c r="BM1795" s="7"/>
      <c r="BT1795" s="7"/>
    </row>
    <row r="1796" spans="58:72" x14ac:dyDescent="0.55000000000000004">
      <c r="BF1796" s="7"/>
      <c r="BM1796" s="7"/>
      <c r="BT1796" s="7"/>
    </row>
    <row r="1797" spans="58:72" x14ac:dyDescent="0.55000000000000004">
      <c r="BF1797" s="7"/>
      <c r="BM1797" s="7"/>
      <c r="BT1797" s="7"/>
    </row>
    <row r="1798" spans="58:72" x14ac:dyDescent="0.55000000000000004">
      <c r="BF1798" s="7"/>
      <c r="BM1798" s="7"/>
      <c r="BT1798" s="7"/>
    </row>
    <row r="1799" spans="58:72" x14ac:dyDescent="0.55000000000000004">
      <c r="BF1799" s="7"/>
      <c r="BM1799" s="7"/>
      <c r="BT1799" s="7"/>
    </row>
    <row r="1800" spans="58:72" x14ac:dyDescent="0.55000000000000004">
      <c r="BF1800" s="7"/>
      <c r="BM1800" s="7"/>
      <c r="BT1800" s="7"/>
    </row>
    <row r="1801" spans="58:72" x14ac:dyDescent="0.55000000000000004">
      <c r="BF1801" s="7"/>
      <c r="BM1801" s="7"/>
      <c r="BT1801" s="7"/>
    </row>
    <row r="1802" spans="58:72" x14ac:dyDescent="0.55000000000000004">
      <c r="BF1802" s="7"/>
      <c r="BM1802" s="7"/>
      <c r="BT1802" s="7"/>
    </row>
    <row r="1803" spans="58:72" x14ac:dyDescent="0.55000000000000004">
      <c r="BF1803" s="7"/>
      <c r="BM1803" s="7"/>
      <c r="BT1803" s="7"/>
    </row>
    <row r="1804" spans="58:72" x14ac:dyDescent="0.55000000000000004">
      <c r="BF1804" s="7"/>
      <c r="BM1804" s="7"/>
      <c r="BT1804" s="7"/>
    </row>
    <row r="1805" spans="58:72" x14ac:dyDescent="0.55000000000000004">
      <c r="BF1805" s="7"/>
      <c r="BM1805" s="7"/>
      <c r="BT1805" s="7"/>
    </row>
    <row r="1806" spans="58:72" x14ac:dyDescent="0.55000000000000004">
      <c r="BF1806" s="7"/>
      <c r="BM1806" s="7"/>
      <c r="BT1806" s="7"/>
    </row>
    <row r="1807" spans="58:72" x14ac:dyDescent="0.55000000000000004">
      <c r="BF1807" s="7"/>
      <c r="BM1807" s="7"/>
      <c r="BT1807" s="7"/>
    </row>
    <row r="1808" spans="58:72" x14ac:dyDescent="0.55000000000000004">
      <c r="BF1808" s="7"/>
      <c r="BM1808" s="7"/>
      <c r="BT1808" s="7"/>
    </row>
    <row r="1809" spans="58:72" x14ac:dyDescent="0.55000000000000004">
      <c r="BF1809" s="7"/>
      <c r="BM1809" s="7"/>
      <c r="BT1809" s="7"/>
    </row>
    <row r="1810" spans="58:72" x14ac:dyDescent="0.55000000000000004">
      <c r="BF1810" s="7"/>
      <c r="BM1810" s="7"/>
      <c r="BT1810" s="7"/>
    </row>
    <row r="1811" spans="58:72" x14ac:dyDescent="0.55000000000000004">
      <c r="BF1811" s="7"/>
      <c r="BM1811" s="7"/>
      <c r="BT1811" s="7"/>
    </row>
    <row r="1812" spans="58:72" x14ac:dyDescent="0.55000000000000004">
      <c r="BF1812" s="7"/>
      <c r="BM1812" s="7"/>
      <c r="BT1812" s="7"/>
    </row>
    <row r="1813" spans="58:72" x14ac:dyDescent="0.55000000000000004">
      <c r="BF1813" s="7"/>
      <c r="BM1813" s="7"/>
      <c r="BT1813" s="7"/>
    </row>
    <row r="1814" spans="58:72" x14ac:dyDescent="0.55000000000000004">
      <c r="BF1814" s="7"/>
      <c r="BM1814" s="7"/>
      <c r="BT1814" s="7"/>
    </row>
    <row r="1815" spans="58:72" x14ac:dyDescent="0.55000000000000004">
      <c r="BF1815" s="7"/>
      <c r="BM1815" s="7"/>
      <c r="BT1815" s="7"/>
    </row>
    <row r="1816" spans="58:72" x14ac:dyDescent="0.55000000000000004">
      <c r="BF1816" s="7"/>
      <c r="BM1816" s="7"/>
      <c r="BT1816" s="7"/>
    </row>
    <row r="1817" spans="58:72" x14ac:dyDescent="0.55000000000000004">
      <c r="BF1817" s="7"/>
      <c r="BM1817" s="7"/>
      <c r="BT1817" s="7"/>
    </row>
    <row r="1818" spans="58:72" x14ac:dyDescent="0.55000000000000004">
      <c r="BF1818" s="7"/>
      <c r="BM1818" s="7"/>
      <c r="BT1818" s="7"/>
    </row>
    <row r="1819" spans="58:72" x14ac:dyDescent="0.55000000000000004">
      <c r="BF1819" s="7"/>
      <c r="BM1819" s="7"/>
      <c r="BT1819" s="7"/>
    </row>
    <row r="1820" spans="58:72" x14ac:dyDescent="0.55000000000000004">
      <c r="BF1820" s="7"/>
      <c r="BM1820" s="7"/>
      <c r="BT1820" s="7"/>
    </row>
    <row r="1821" spans="58:72" x14ac:dyDescent="0.55000000000000004">
      <c r="BF1821" s="7"/>
      <c r="BM1821" s="7"/>
      <c r="BT1821" s="7"/>
    </row>
    <row r="1822" spans="58:72" x14ac:dyDescent="0.55000000000000004">
      <c r="BF1822" s="7"/>
      <c r="BM1822" s="7"/>
      <c r="BT1822" s="7"/>
    </row>
    <row r="1823" spans="58:72" x14ac:dyDescent="0.55000000000000004">
      <c r="BF1823" s="7"/>
      <c r="BM1823" s="7"/>
      <c r="BT1823" s="7"/>
    </row>
    <row r="1824" spans="58:72" x14ac:dyDescent="0.55000000000000004">
      <c r="BF1824" s="7"/>
      <c r="BM1824" s="7"/>
      <c r="BT1824" s="7"/>
    </row>
    <row r="1825" spans="58:72" x14ac:dyDescent="0.55000000000000004">
      <c r="BF1825" s="7"/>
      <c r="BM1825" s="7"/>
      <c r="BT1825" s="7"/>
    </row>
    <row r="1826" spans="58:72" x14ac:dyDescent="0.55000000000000004">
      <c r="BF1826" s="7"/>
      <c r="BM1826" s="7"/>
      <c r="BT1826" s="7"/>
    </row>
    <row r="1827" spans="58:72" x14ac:dyDescent="0.55000000000000004">
      <c r="BF1827" s="7"/>
      <c r="BM1827" s="7"/>
      <c r="BT1827" s="7"/>
    </row>
    <row r="1828" spans="58:72" x14ac:dyDescent="0.55000000000000004">
      <c r="BF1828" s="7"/>
      <c r="BM1828" s="7"/>
      <c r="BT1828" s="7"/>
    </row>
    <row r="1829" spans="58:72" x14ac:dyDescent="0.55000000000000004">
      <c r="BF1829" s="7"/>
      <c r="BM1829" s="7"/>
      <c r="BT1829" s="7"/>
    </row>
    <row r="1830" spans="58:72" x14ac:dyDescent="0.55000000000000004">
      <c r="BF1830" s="7"/>
      <c r="BM1830" s="7"/>
      <c r="BT1830" s="7"/>
    </row>
    <row r="1831" spans="58:72" x14ac:dyDescent="0.55000000000000004">
      <c r="BF1831" s="7"/>
      <c r="BM1831" s="7"/>
      <c r="BT1831" s="7"/>
    </row>
    <row r="1832" spans="58:72" x14ac:dyDescent="0.55000000000000004">
      <c r="BF1832" s="7"/>
      <c r="BM1832" s="7"/>
      <c r="BT1832" s="7"/>
    </row>
    <row r="1833" spans="58:72" x14ac:dyDescent="0.55000000000000004">
      <c r="BF1833" s="7"/>
      <c r="BM1833" s="7"/>
      <c r="BT1833" s="7"/>
    </row>
    <row r="1834" spans="58:72" x14ac:dyDescent="0.55000000000000004">
      <c r="BF1834" s="7"/>
      <c r="BM1834" s="7"/>
      <c r="BT1834" s="7"/>
    </row>
    <row r="1835" spans="58:72" x14ac:dyDescent="0.55000000000000004">
      <c r="BF1835" s="7"/>
      <c r="BM1835" s="7"/>
      <c r="BT1835" s="7"/>
    </row>
    <row r="1836" spans="58:72" x14ac:dyDescent="0.55000000000000004">
      <c r="BF1836" s="7"/>
      <c r="BM1836" s="7"/>
      <c r="BT1836" s="7"/>
    </row>
    <row r="1837" spans="58:72" x14ac:dyDescent="0.55000000000000004">
      <c r="BF1837" s="7"/>
      <c r="BM1837" s="7"/>
      <c r="BT1837" s="7"/>
    </row>
    <row r="1838" spans="58:72" x14ac:dyDescent="0.55000000000000004">
      <c r="BF1838" s="7"/>
      <c r="BM1838" s="7"/>
      <c r="BT1838" s="7"/>
    </row>
    <row r="1839" spans="58:72" x14ac:dyDescent="0.55000000000000004">
      <c r="BF1839" s="7"/>
      <c r="BM1839" s="7"/>
      <c r="BT1839" s="7"/>
    </row>
    <row r="1840" spans="58:72" x14ac:dyDescent="0.55000000000000004">
      <c r="BF1840" s="7"/>
      <c r="BM1840" s="7"/>
      <c r="BT1840" s="7"/>
    </row>
    <row r="1841" spans="58:72" x14ac:dyDescent="0.55000000000000004">
      <c r="BF1841" s="7"/>
      <c r="BM1841" s="7"/>
      <c r="BT1841" s="7"/>
    </row>
    <row r="1842" spans="58:72" x14ac:dyDescent="0.55000000000000004">
      <c r="BF1842" s="7"/>
      <c r="BM1842" s="7"/>
      <c r="BT1842" s="7"/>
    </row>
    <row r="1843" spans="58:72" x14ac:dyDescent="0.55000000000000004">
      <c r="BF1843" s="7"/>
      <c r="BM1843" s="7"/>
      <c r="BT1843" s="7"/>
    </row>
    <row r="1844" spans="58:72" x14ac:dyDescent="0.55000000000000004">
      <c r="BF1844" s="7"/>
      <c r="BM1844" s="7"/>
      <c r="BT1844" s="7"/>
    </row>
    <row r="1845" spans="58:72" x14ac:dyDescent="0.55000000000000004">
      <c r="BF1845" s="7"/>
      <c r="BM1845" s="7"/>
      <c r="BT1845" s="7"/>
    </row>
    <row r="1846" spans="58:72" x14ac:dyDescent="0.55000000000000004">
      <c r="BF1846" s="7"/>
      <c r="BM1846" s="7"/>
      <c r="BT1846" s="7"/>
    </row>
    <row r="1847" spans="58:72" x14ac:dyDescent="0.55000000000000004">
      <c r="BF1847" s="7"/>
      <c r="BM1847" s="7"/>
      <c r="BT1847" s="7"/>
    </row>
    <row r="1848" spans="58:72" x14ac:dyDescent="0.55000000000000004">
      <c r="BF1848" s="7"/>
      <c r="BM1848" s="7"/>
      <c r="BT1848" s="7"/>
    </row>
    <row r="1849" spans="58:72" x14ac:dyDescent="0.55000000000000004">
      <c r="BF1849" s="7"/>
      <c r="BM1849" s="7"/>
      <c r="BT1849" s="7"/>
    </row>
    <row r="1850" spans="58:72" x14ac:dyDescent="0.55000000000000004">
      <c r="BF1850" s="7"/>
      <c r="BM1850" s="7"/>
      <c r="BT1850" s="7"/>
    </row>
    <row r="1851" spans="58:72" x14ac:dyDescent="0.55000000000000004">
      <c r="BF1851" s="7"/>
      <c r="BM1851" s="7"/>
      <c r="BT1851" s="7"/>
    </row>
    <row r="1852" spans="58:72" x14ac:dyDescent="0.55000000000000004">
      <c r="BF1852" s="7"/>
      <c r="BM1852" s="7"/>
      <c r="BT1852" s="7"/>
    </row>
    <row r="1853" spans="58:72" x14ac:dyDescent="0.55000000000000004">
      <c r="BF1853" s="7"/>
      <c r="BM1853" s="7"/>
      <c r="BT1853" s="7"/>
    </row>
    <row r="1854" spans="58:72" x14ac:dyDescent="0.55000000000000004">
      <c r="BF1854" s="7"/>
      <c r="BM1854" s="7"/>
      <c r="BT1854" s="7"/>
    </row>
    <row r="1855" spans="58:72" x14ac:dyDescent="0.55000000000000004">
      <c r="BF1855" s="7"/>
      <c r="BM1855" s="7"/>
      <c r="BT1855" s="7"/>
    </row>
    <row r="1856" spans="58:72" x14ac:dyDescent="0.55000000000000004">
      <c r="BF1856" s="7"/>
      <c r="BM1856" s="7"/>
      <c r="BT1856" s="7"/>
    </row>
    <row r="1857" spans="58:72" x14ac:dyDescent="0.55000000000000004">
      <c r="BF1857" s="7"/>
      <c r="BM1857" s="7"/>
      <c r="BT1857" s="7"/>
    </row>
    <row r="1858" spans="58:72" x14ac:dyDescent="0.55000000000000004">
      <c r="BF1858" s="7"/>
      <c r="BM1858" s="7"/>
      <c r="BT1858" s="7"/>
    </row>
    <row r="1859" spans="58:72" x14ac:dyDescent="0.55000000000000004">
      <c r="BF1859" s="7"/>
      <c r="BM1859" s="7"/>
      <c r="BT1859" s="7"/>
    </row>
    <row r="1860" spans="58:72" x14ac:dyDescent="0.55000000000000004">
      <c r="BF1860" s="7"/>
      <c r="BM1860" s="7"/>
      <c r="BT1860" s="7"/>
    </row>
    <row r="1861" spans="58:72" x14ac:dyDescent="0.55000000000000004">
      <c r="BF1861" s="7"/>
      <c r="BM1861" s="7"/>
      <c r="BT1861" s="7"/>
    </row>
    <row r="1862" spans="58:72" x14ac:dyDescent="0.55000000000000004">
      <c r="BF1862" s="7"/>
      <c r="BM1862" s="7"/>
      <c r="BT1862" s="7"/>
    </row>
    <row r="1863" spans="58:72" x14ac:dyDescent="0.55000000000000004">
      <c r="BF1863" s="7"/>
      <c r="BM1863" s="7"/>
      <c r="BT1863" s="7"/>
    </row>
    <row r="1864" spans="58:72" x14ac:dyDescent="0.55000000000000004">
      <c r="BF1864" s="7"/>
      <c r="BM1864" s="7"/>
      <c r="BT1864" s="7"/>
    </row>
    <row r="1865" spans="58:72" x14ac:dyDescent="0.55000000000000004">
      <c r="BF1865" s="7"/>
      <c r="BM1865" s="7"/>
      <c r="BT1865" s="7"/>
    </row>
    <row r="1866" spans="58:72" x14ac:dyDescent="0.55000000000000004">
      <c r="BF1866" s="7"/>
      <c r="BM1866" s="7"/>
      <c r="BT1866" s="7"/>
    </row>
    <row r="1867" spans="58:72" x14ac:dyDescent="0.55000000000000004">
      <c r="BF1867" s="7"/>
      <c r="BM1867" s="7"/>
      <c r="BT1867" s="7"/>
    </row>
    <row r="1868" spans="58:72" x14ac:dyDescent="0.55000000000000004">
      <c r="BF1868" s="7"/>
      <c r="BM1868" s="7"/>
      <c r="BT1868" s="7"/>
    </row>
    <row r="1869" spans="58:72" x14ac:dyDescent="0.55000000000000004">
      <c r="BF1869" s="7"/>
      <c r="BM1869" s="7"/>
      <c r="BT1869" s="7"/>
    </row>
    <row r="1870" spans="58:72" x14ac:dyDescent="0.55000000000000004">
      <c r="BF1870" s="7"/>
      <c r="BM1870" s="7"/>
      <c r="BT1870" s="7"/>
    </row>
    <row r="1871" spans="58:72" x14ac:dyDescent="0.55000000000000004">
      <c r="BF1871" s="7"/>
      <c r="BM1871" s="7"/>
      <c r="BT1871" s="7"/>
    </row>
    <row r="1872" spans="58:72" x14ac:dyDescent="0.55000000000000004">
      <c r="BF1872" s="7"/>
      <c r="BM1872" s="7"/>
      <c r="BT1872" s="7"/>
    </row>
    <row r="1873" spans="58:72" x14ac:dyDescent="0.55000000000000004">
      <c r="BF1873" s="7"/>
      <c r="BM1873" s="7"/>
      <c r="BT1873" s="7"/>
    </row>
    <row r="1874" spans="58:72" x14ac:dyDescent="0.55000000000000004">
      <c r="BF1874" s="7"/>
      <c r="BM1874" s="7"/>
      <c r="BT1874" s="7"/>
    </row>
    <row r="1875" spans="58:72" x14ac:dyDescent="0.55000000000000004">
      <c r="BF1875" s="7"/>
      <c r="BM1875" s="7"/>
      <c r="BT1875" s="7"/>
    </row>
    <row r="1876" spans="58:72" x14ac:dyDescent="0.55000000000000004">
      <c r="BF1876" s="7"/>
      <c r="BM1876" s="7"/>
      <c r="BT1876" s="7"/>
    </row>
    <row r="1877" spans="58:72" x14ac:dyDescent="0.55000000000000004">
      <c r="BF1877" s="7"/>
      <c r="BM1877" s="7"/>
      <c r="BT1877" s="7"/>
    </row>
    <row r="1878" spans="58:72" x14ac:dyDescent="0.55000000000000004">
      <c r="BF1878" s="7"/>
      <c r="BM1878" s="7"/>
      <c r="BT1878" s="7"/>
    </row>
    <row r="1879" spans="58:72" x14ac:dyDescent="0.55000000000000004">
      <c r="BF1879" s="7"/>
      <c r="BM1879" s="7"/>
      <c r="BT1879" s="7"/>
    </row>
    <row r="1880" spans="58:72" x14ac:dyDescent="0.55000000000000004">
      <c r="BF1880" s="7"/>
      <c r="BM1880" s="7"/>
      <c r="BT1880" s="7"/>
    </row>
    <row r="1881" spans="58:72" x14ac:dyDescent="0.55000000000000004">
      <c r="BF1881" s="7"/>
      <c r="BM1881" s="7"/>
      <c r="BT1881" s="7"/>
    </row>
    <row r="1882" spans="58:72" x14ac:dyDescent="0.55000000000000004">
      <c r="BF1882" s="7"/>
      <c r="BM1882" s="7"/>
      <c r="BT1882" s="7"/>
    </row>
    <row r="1883" spans="58:72" x14ac:dyDescent="0.55000000000000004">
      <c r="BF1883" s="7"/>
      <c r="BM1883" s="7"/>
      <c r="BT1883" s="7"/>
    </row>
    <row r="1884" spans="58:72" x14ac:dyDescent="0.55000000000000004">
      <c r="BF1884" s="7"/>
      <c r="BM1884" s="7"/>
      <c r="BT1884" s="7"/>
    </row>
    <row r="1885" spans="58:72" x14ac:dyDescent="0.55000000000000004">
      <c r="BF1885" s="7"/>
      <c r="BM1885" s="7"/>
      <c r="BT1885" s="7"/>
    </row>
    <row r="1886" spans="58:72" x14ac:dyDescent="0.55000000000000004">
      <c r="BF1886" s="7"/>
      <c r="BM1886" s="7"/>
      <c r="BT1886" s="7"/>
    </row>
    <row r="1887" spans="58:72" x14ac:dyDescent="0.55000000000000004">
      <c r="BF1887" s="7"/>
      <c r="BM1887" s="7"/>
      <c r="BT1887" s="7"/>
    </row>
    <row r="1888" spans="58:72" x14ac:dyDescent="0.55000000000000004">
      <c r="BF1888" s="7"/>
      <c r="BM1888" s="7"/>
      <c r="BT1888" s="7"/>
    </row>
    <row r="1889" spans="58:72" x14ac:dyDescent="0.55000000000000004">
      <c r="BF1889" s="7"/>
      <c r="BM1889" s="7"/>
      <c r="BT1889" s="7"/>
    </row>
    <row r="1890" spans="58:72" x14ac:dyDescent="0.55000000000000004">
      <c r="BF1890" s="7"/>
      <c r="BM1890" s="7"/>
      <c r="BT1890" s="7"/>
    </row>
    <row r="1891" spans="58:72" x14ac:dyDescent="0.55000000000000004">
      <c r="BF1891" s="7"/>
      <c r="BM1891" s="7"/>
      <c r="BT1891" s="7"/>
    </row>
    <row r="1892" spans="58:72" x14ac:dyDescent="0.55000000000000004">
      <c r="BF1892" s="7"/>
      <c r="BM1892" s="7"/>
      <c r="BT1892" s="7"/>
    </row>
    <row r="1893" spans="58:72" x14ac:dyDescent="0.55000000000000004">
      <c r="BF1893" s="7"/>
      <c r="BM1893" s="7"/>
      <c r="BT1893" s="7"/>
    </row>
    <row r="1894" spans="58:72" x14ac:dyDescent="0.55000000000000004">
      <c r="BF1894" s="7"/>
      <c r="BM1894" s="7"/>
      <c r="BT1894" s="7"/>
    </row>
    <row r="1895" spans="58:72" x14ac:dyDescent="0.55000000000000004">
      <c r="BF1895" s="7"/>
      <c r="BM1895" s="7"/>
      <c r="BT1895" s="7"/>
    </row>
    <row r="1896" spans="58:72" x14ac:dyDescent="0.55000000000000004">
      <c r="BF1896" s="7"/>
      <c r="BM1896" s="7"/>
      <c r="BT1896" s="7"/>
    </row>
    <row r="1897" spans="58:72" x14ac:dyDescent="0.55000000000000004">
      <c r="BF1897" s="7"/>
      <c r="BM1897" s="7"/>
      <c r="BT1897" s="7"/>
    </row>
    <row r="1898" spans="58:72" x14ac:dyDescent="0.55000000000000004">
      <c r="BF1898" s="7"/>
      <c r="BM1898" s="7"/>
      <c r="BT1898" s="7"/>
    </row>
    <row r="1899" spans="58:72" x14ac:dyDescent="0.55000000000000004">
      <c r="BF1899" s="7"/>
      <c r="BM1899" s="7"/>
      <c r="BT1899" s="7"/>
    </row>
    <row r="1900" spans="58:72" x14ac:dyDescent="0.55000000000000004">
      <c r="BF1900" s="7"/>
      <c r="BM1900" s="7"/>
      <c r="BT1900" s="7"/>
    </row>
    <row r="1901" spans="58:72" x14ac:dyDescent="0.55000000000000004">
      <c r="BF1901" s="7"/>
      <c r="BM1901" s="7"/>
      <c r="BT1901" s="7"/>
    </row>
    <row r="1902" spans="58:72" x14ac:dyDescent="0.55000000000000004">
      <c r="BF1902" s="7"/>
      <c r="BM1902" s="7"/>
      <c r="BT1902" s="7"/>
    </row>
    <row r="1903" spans="58:72" x14ac:dyDescent="0.55000000000000004">
      <c r="BF1903" s="7"/>
      <c r="BM1903" s="7"/>
      <c r="BT1903" s="7"/>
    </row>
    <row r="1904" spans="58:72" x14ac:dyDescent="0.55000000000000004">
      <c r="BF1904" s="7"/>
      <c r="BM1904" s="7"/>
      <c r="BT1904" s="7"/>
    </row>
    <row r="1905" spans="58:72" x14ac:dyDescent="0.55000000000000004">
      <c r="BF1905" s="7"/>
      <c r="BM1905" s="7"/>
      <c r="BT1905" s="7"/>
    </row>
    <row r="1906" spans="58:72" x14ac:dyDescent="0.55000000000000004">
      <c r="BF1906" s="7"/>
      <c r="BM1906" s="7"/>
      <c r="BT1906" s="7"/>
    </row>
    <row r="1907" spans="58:72" x14ac:dyDescent="0.55000000000000004">
      <c r="BF1907" s="7"/>
      <c r="BM1907" s="7"/>
      <c r="BT1907" s="7"/>
    </row>
    <row r="1908" spans="58:72" x14ac:dyDescent="0.55000000000000004">
      <c r="BF1908" s="7"/>
      <c r="BM1908" s="7"/>
      <c r="BT1908" s="7"/>
    </row>
    <row r="1909" spans="58:72" x14ac:dyDescent="0.55000000000000004">
      <c r="BF1909" s="7"/>
      <c r="BM1909" s="7"/>
      <c r="BT1909" s="7"/>
    </row>
    <row r="1910" spans="58:72" x14ac:dyDescent="0.55000000000000004">
      <c r="BF1910" s="7"/>
      <c r="BM1910" s="7"/>
      <c r="BT1910" s="7"/>
    </row>
    <row r="1911" spans="58:72" x14ac:dyDescent="0.55000000000000004">
      <c r="BF1911" s="7"/>
      <c r="BM1911" s="7"/>
      <c r="BT1911" s="7"/>
    </row>
    <row r="1912" spans="58:72" x14ac:dyDescent="0.55000000000000004">
      <c r="BF1912" s="7"/>
      <c r="BM1912" s="7"/>
      <c r="BT1912" s="7"/>
    </row>
    <row r="1913" spans="58:72" x14ac:dyDescent="0.55000000000000004">
      <c r="BF1913" s="7"/>
      <c r="BM1913" s="7"/>
      <c r="BT1913" s="7"/>
    </row>
    <row r="1914" spans="58:72" x14ac:dyDescent="0.55000000000000004">
      <c r="BF1914" s="7"/>
      <c r="BM1914" s="7"/>
      <c r="BT1914" s="7"/>
    </row>
    <row r="1915" spans="58:72" x14ac:dyDescent="0.55000000000000004">
      <c r="BF1915" s="7"/>
      <c r="BM1915" s="7"/>
      <c r="BT1915" s="7"/>
    </row>
    <row r="1916" spans="58:72" x14ac:dyDescent="0.55000000000000004">
      <c r="BF1916" s="7"/>
      <c r="BM1916" s="7"/>
      <c r="BT1916" s="7"/>
    </row>
    <row r="1917" spans="58:72" x14ac:dyDescent="0.55000000000000004">
      <c r="BF1917" s="7"/>
      <c r="BM1917" s="7"/>
      <c r="BT1917" s="7"/>
    </row>
    <row r="1918" spans="58:72" x14ac:dyDescent="0.55000000000000004">
      <c r="BF1918" s="7"/>
      <c r="BM1918" s="7"/>
      <c r="BT1918" s="7"/>
    </row>
    <row r="1919" spans="58:72" x14ac:dyDescent="0.55000000000000004">
      <c r="BF1919" s="7"/>
      <c r="BM1919" s="7"/>
      <c r="BT1919" s="7"/>
    </row>
    <row r="1920" spans="58:72" x14ac:dyDescent="0.55000000000000004">
      <c r="BF1920" s="7"/>
      <c r="BM1920" s="7"/>
      <c r="BT1920" s="7"/>
    </row>
    <row r="1921" spans="58:72" x14ac:dyDescent="0.55000000000000004">
      <c r="BF1921" s="7"/>
      <c r="BM1921" s="7"/>
      <c r="BT1921" s="7"/>
    </row>
    <row r="1922" spans="58:72" x14ac:dyDescent="0.55000000000000004">
      <c r="BF1922" s="7"/>
      <c r="BM1922" s="7"/>
      <c r="BT1922" s="7"/>
    </row>
    <row r="1923" spans="58:72" x14ac:dyDescent="0.55000000000000004">
      <c r="BF1923" s="7"/>
      <c r="BM1923" s="7"/>
      <c r="BT1923" s="7"/>
    </row>
    <row r="1924" spans="58:72" x14ac:dyDescent="0.55000000000000004">
      <c r="BF1924" s="7"/>
      <c r="BM1924" s="7"/>
      <c r="BT1924" s="7"/>
    </row>
    <row r="1925" spans="58:72" x14ac:dyDescent="0.55000000000000004">
      <c r="BF1925" s="7"/>
      <c r="BM1925" s="7"/>
      <c r="BT1925" s="7"/>
    </row>
    <row r="1926" spans="58:72" x14ac:dyDescent="0.55000000000000004">
      <c r="BF1926" s="7"/>
      <c r="BM1926" s="7"/>
      <c r="BT1926" s="7"/>
    </row>
    <row r="1927" spans="58:72" x14ac:dyDescent="0.55000000000000004">
      <c r="BF1927" s="7"/>
      <c r="BM1927" s="7"/>
      <c r="BT1927" s="7"/>
    </row>
    <row r="1928" spans="58:72" x14ac:dyDescent="0.55000000000000004">
      <c r="BF1928" s="7"/>
      <c r="BM1928" s="7"/>
      <c r="BT1928" s="7"/>
    </row>
    <row r="1929" spans="58:72" x14ac:dyDescent="0.55000000000000004">
      <c r="BF1929" s="7"/>
      <c r="BM1929" s="7"/>
      <c r="BT1929" s="7"/>
    </row>
    <row r="1930" spans="58:72" x14ac:dyDescent="0.55000000000000004">
      <c r="BF1930" s="7"/>
      <c r="BM1930" s="7"/>
      <c r="BT1930" s="7"/>
    </row>
    <row r="1931" spans="58:72" x14ac:dyDescent="0.55000000000000004">
      <c r="BF1931" s="7"/>
      <c r="BM1931" s="7"/>
      <c r="BT1931" s="7"/>
    </row>
    <row r="1932" spans="58:72" x14ac:dyDescent="0.55000000000000004">
      <c r="BF1932" s="7"/>
      <c r="BM1932" s="7"/>
      <c r="BT1932" s="7"/>
    </row>
    <row r="1933" spans="58:72" x14ac:dyDescent="0.55000000000000004">
      <c r="BF1933" s="7"/>
      <c r="BM1933" s="7"/>
      <c r="BT1933" s="7"/>
    </row>
    <row r="1934" spans="58:72" x14ac:dyDescent="0.55000000000000004">
      <c r="BF1934" s="7"/>
      <c r="BM1934" s="7"/>
      <c r="BT1934" s="7"/>
    </row>
    <row r="1935" spans="58:72" x14ac:dyDescent="0.55000000000000004">
      <c r="BF1935" s="7"/>
      <c r="BM1935" s="7"/>
      <c r="BT1935" s="7"/>
    </row>
    <row r="1936" spans="58:72" x14ac:dyDescent="0.55000000000000004">
      <c r="BF1936" s="7"/>
      <c r="BM1936" s="7"/>
      <c r="BT1936" s="7"/>
    </row>
    <row r="1937" spans="58:72" x14ac:dyDescent="0.55000000000000004">
      <c r="BF1937" s="7"/>
      <c r="BM1937" s="7"/>
      <c r="BT1937" s="7"/>
    </row>
    <row r="1938" spans="58:72" x14ac:dyDescent="0.55000000000000004">
      <c r="BF1938" s="7"/>
      <c r="BM1938" s="7"/>
      <c r="BT1938" s="7"/>
    </row>
    <row r="1939" spans="58:72" x14ac:dyDescent="0.55000000000000004">
      <c r="BF1939" s="7"/>
      <c r="BM1939" s="7"/>
      <c r="BT1939" s="7"/>
    </row>
    <row r="1940" spans="58:72" x14ac:dyDescent="0.55000000000000004">
      <c r="BF1940" s="7"/>
      <c r="BM1940" s="7"/>
      <c r="BT1940" s="7"/>
    </row>
    <row r="1941" spans="58:72" x14ac:dyDescent="0.55000000000000004">
      <c r="BF1941" s="7"/>
      <c r="BM1941" s="7"/>
      <c r="BT1941" s="7"/>
    </row>
    <row r="1942" spans="58:72" x14ac:dyDescent="0.55000000000000004">
      <c r="BF1942" s="7"/>
      <c r="BM1942" s="7"/>
      <c r="BT1942" s="7"/>
    </row>
    <row r="1943" spans="58:72" x14ac:dyDescent="0.55000000000000004">
      <c r="BF1943" s="7"/>
      <c r="BM1943" s="7"/>
      <c r="BT1943" s="7"/>
    </row>
    <row r="1944" spans="58:72" x14ac:dyDescent="0.55000000000000004">
      <c r="BF1944" s="7"/>
      <c r="BM1944" s="7"/>
      <c r="BT1944" s="7"/>
    </row>
    <row r="1945" spans="58:72" x14ac:dyDescent="0.55000000000000004">
      <c r="BF1945" s="7"/>
      <c r="BM1945" s="7"/>
      <c r="BT1945" s="7"/>
    </row>
    <row r="1946" spans="58:72" x14ac:dyDescent="0.55000000000000004">
      <c r="BF1946" s="7"/>
      <c r="BM1946" s="7"/>
      <c r="BT1946" s="7"/>
    </row>
    <row r="1947" spans="58:72" x14ac:dyDescent="0.55000000000000004">
      <c r="BF1947" s="7"/>
      <c r="BM1947" s="7"/>
      <c r="BT1947" s="7"/>
    </row>
    <row r="1948" spans="58:72" x14ac:dyDescent="0.55000000000000004">
      <c r="BF1948" s="7"/>
      <c r="BM1948" s="7"/>
      <c r="BT1948" s="7"/>
    </row>
    <row r="1949" spans="58:72" x14ac:dyDescent="0.55000000000000004">
      <c r="BF1949" s="7"/>
      <c r="BM1949" s="7"/>
      <c r="BT1949" s="7"/>
    </row>
    <row r="1950" spans="58:72" x14ac:dyDescent="0.55000000000000004">
      <c r="BF1950" s="7"/>
      <c r="BM1950" s="7"/>
      <c r="BT1950" s="7"/>
    </row>
    <row r="1951" spans="58:72" x14ac:dyDescent="0.55000000000000004">
      <c r="BF1951" s="7"/>
      <c r="BM1951" s="7"/>
      <c r="BT1951" s="7"/>
    </row>
    <row r="1952" spans="58:72" x14ac:dyDescent="0.55000000000000004">
      <c r="BF1952" s="7"/>
      <c r="BM1952" s="7"/>
      <c r="BT1952" s="7"/>
    </row>
    <row r="1953" spans="58:72" x14ac:dyDescent="0.55000000000000004">
      <c r="BF1953" s="7"/>
      <c r="BM1953" s="7"/>
      <c r="BT1953" s="7"/>
    </row>
    <row r="1954" spans="58:72" x14ac:dyDescent="0.55000000000000004">
      <c r="BF1954" s="7"/>
      <c r="BM1954" s="7"/>
      <c r="BT1954" s="7"/>
    </row>
    <row r="1955" spans="58:72" x14ac:dyDescent="0.55000000000000004">
      <c r="BF1955" s="7"/>
      <c r="BM1955" s="7"/>
      <c r="BT1955" s="7"/>
    </row>
    <row r="1956" spans="58:72" x14ac:dyDescent="0.55000000000000004">
      <c r="BF1956" s="7"/>
      <c r="BM1956" s="7"/>
      <c r="BT1956" s="7"/>
    </row>
    <row r="1957" spans="58:72" x14ac:dyDescent="0.55000000000000004">
      <c r="BF1957" s="7"/>
      <c r="BM1957" s="7"/>
      <c r="BT1957" s="7"/>
    </row>
    <row r="1958" spans="58:72" x14ac:dyDescent="0.55000000000000004">
      <c r="BF1958" s="7"/>
      <c r="BM1958" s="7"/>
      <c r="BT1958" s="7"/>
    </row>
    <row r="1959" spans="58:72" x14ac:dyDescent="0.55000000000000004">
      <c r="BF1959" s="7"/>
      <c r="BM1959" s="7"/>
      <c r="BT1959" s="7"/>
    </row>
    <row r="1960" spans="58:72" x14ac:dyDescent="0.55000000000000004">
      <c r="BF1960" s="7"/>
      <c r="BM1960" s="7"/>
      <c r="BT1960" s="7"/>
    </row>
    <row r="1961" spans="58:72" x14ac:dyDescent="0.55000000000000004">
      <c r="BF1961" s="7"/>
      <c r="BM1961" s="7"/>
      <c r="BT1961" s="7"/>
    </row>
    <row r="1962" spans="58:72" x14ac:dyDescent="0.55000000000000004">
      <c r="BF1962" s="7"/>
      <c r="BM1962" s="7"/>
      <c r="BT1962" s="7"/>
    </row>
    <row r="1963" spans="58:72" x14ac:dyDescent="0.55000000000000004">
      <c r="BF1963" s="7"/>
      <c r="BM1963" s="7"/>
      <c r="BT1963" s="7"/>
    </row>
    <row r="1964" spans="58:72" x14ac:dyDescent="0.55000000000000004">
      <c r="BF1964" s="7"/>
      <c r="BM1964" s="7"/>
      <c r="BT1964" s="7"/>
    </row>
    <row r="1965" spans="58:72" x14ac:dyDescent="0.55000000000000004">
      <c r="BF1965" s="7"/>
      <c r="BM1965" s="7"/>
      <c r="BT1965" s="7"/>
    </row>
    <row r="1966" spans="58:72" x14ac:dyDescent="0.55000000000000004">
      <c r="BF1966" s="7"/>
      <c r="BM1966" s="7"/>
      <c r="BT1966" s="7"/>
    </row>
    <row r="1967" spans="58:72" x14ac:dyDescent="0.55000000000000004">
      <c r="BF1967" s="7"/>
      <c r="BM1967" s="7"/>
      <c r="BT1967" s="7"/>
    </row>
    <row r="1968" spans="58:72" x14ac:dyDescent="0.55000000000000004">
      <c r="BF1968" s="7"/>
      <c r="BM1968" s="7"/>
      <c r="BT1968" s="7"/>
    </row>
    <row r="1969" spans="58:72" x14ac:dyDescent="0.55000000000000004">
      <c r="BF1969" s="7"/>
      <c r="BM1969" s="7"/>
      <c r="BT1969" s="7"/>
    </row>
    <row r="1970" spans="58:72" x14ac:dyDescent="0.55000000000000004">
      <c r="BF1970" s="7"/>
      <c r="BM1970" s="7"/>
      <c r="BT1970" s="7"/>
    </row>
    <row r="1971" spans="58:72" x14ac:dyDescent="0.55000000000000004">
      <c r="BF1971" s="7"/>
      <c r="BM1971" s="7"/>
      <c r="BT1971" s="7"/>
    </row>
    <row r="1972" spans="58:72" x14ac:dyDescent="0.55000000000000004">
      <c r="BF1972" s="7"/>
      <c r="BM1972" s="7"/>
      <c r="BT1972" s="7"/>
    </row>
    <row r="1973" spans="58:72" x14ac:dyDescent="0.55000000000000004">
      <c r="BF1973" s="7"/>
      <c r="BM1973" s="7"/>
      <c r="BT1973" s="7"/>
    </row>
    <row r="1974" spans="58:72" x14ac:dyDescent="0.55000000000000004">
      <c r="BF1974" s="7"/>
      <c r="BM1974" s="7"/>
      <c r="BT1974" s="7"/>
    </row>
    <row r="1975" spans="58:72" x14ac:dyDescent="0.55000000000000004">
      <c r="BF1975" s="7"/>
      <c r="BM1975" s="7"/>
      <c r="BT1975" s="7"/>
    </row>
    <row r="1976" spans="58:72" x14ac:dyDescent="0.55000000000000004">
      <c r="BF1976" s="7"/>
      <c r="BM1976" s="7"/>
      <c r="BT1976" s="7"/>
    </row>
    <row r="1977" spans="58:72" x14ac:dyDescent="0.55000000000000004">
      <c r="BF1977" s="7"/>
      <c r="BM1977" s="7"/>
      <c r="BT1977" s="7"/>
    </row>
    <row r="1978" spans="58:72" x14ac:dyDescent="0.55000000000000004">
      <c r="BF1978" s="7"/>
      <c r="BM1978" s="7"/>
      <c r="BT1978" s="7"/>
    </row>
    <row r="1979" spans="58:72" x14ac:dyDescent="0.55000000000000004">
      <c r="BF1979" s="7"/>
      <c r="BM1979" s="7"/>
      <c r="BT1979" s="7"/>
    </row>
    <row r="1980" spans="58:72" x14ac:dyDescent="0.55000000000000004">
      <c r="BF1980" s="7"/>
      <c r="BM1980" s="7"/>
      <c r="BT1980" s="7"/>
    </row>
    <row r="1981" spans="58:72" x14ac:dyDescent="0.55000000000000004">
      <c r="BF1981" s="7"/>
      <c r="BM1981" s="7"/>
      <c r="BT1981" s="7"/>
    </row>
    <row r="1982" spans="58:72" x14ac:dyDescent="0.55000000000000004">
      <c r="BF1982" s="7"/>
      <c r="BM1982" s="7"/>
      <c r="BT1982" s="7"/>
    </row>
    <row r="1983" spans="58:72" x14ac:dyDescent="0.55000000000000004">
      <c r="BF1983" s="7"/>
      <c r="BM1983" s="7"/>
      <c r="BT1983" s="7"/>
    </row>
    <row r="1984" spans="58:72" x14ac:dyDescent="0.55000000000000004">
      <c r="BF1984" s="7"/>
      <c r="BM1984" s="7"/>
      <c r="BT1984" s="7"/>
    </row>
    <row r="1985" spans="58:72" x14ac:dyDescent="0.55000000000000004">
      <c r="BF1985" s="7"/>
      <c r="BM1985" s="7"/>
      <c r="BT1985" s="7"/>
    </row>
    <row r="1986" spans="58:72" x14ac:dyDescent="0.55000000000000004">
      <c r="BF1986" s="7"/>
      <c r="BM1986" s="7"/>
      <c r="BT1986" s="7"/>
    </row>
    <row r="1987" spans="58:72" x14ac:dyDescent="0.55000000000000004">
      <c r="BF1987" s="7"/>
      <c r="BM1987" s="7"/>
      <c r="BT1987" s="7"/>
    </row>
    <row r="1988" spans="58:72" x14ac:dyDescent="0.55000000000000004">
      <c r="BF1988" s="7"/>
      <c r="BM1988" s="7"/>
      <c r="BT1988" s="7"/>
    </row>
    <row r="1989" spans="58:72" x14ac:dyDescent="0.55000000000000004">
      <c r="BF1989" s="7"/>
      <c r="BM1989" s="7"/>
      <c r="BT1989" s="7"/>
    </row>
    <row r="1990" spans="58:72" x14ac:dyDescent="0.55000000000000004">
      <c r="BF1990" s="7"/>
      <c r="BM1990" s="7"/>
      <c r="BT1990" s="7"/>
    </row>
    <row r="1991" spans="58:72" x14ac:dyDescent="0.55000000000000004">
      <c r="BF1991" s="7"/>
      <c r="BM1991" s="7"/>
      <c r="BT1991" s="7"/>
    </row>
    <row r="1992" spans="58:72" x14ac:dyDescent="0.55000000000000004">
      <c r="BF1992" s="7"/>
      <c r="BM1992" s="7"/>
      <c r="BT1992" s="7"/>
    </row>
    <row r="1993" spans="58:72" x14ac:dyDescent="0.55000000000000004">
      <c r="BF1993" s="7"/>
      <c r="BM1993" s="7"/>
      <c r="BT1993" s="7"/>
    </row>
    <row r="1994" spans="58:72" x14ac:dyDescent="0.55000000000000004">
      <c r="BF1994" s="7"/>
      <c r="BM1994" s="7"/>
      <c r="BT1994" s="7"/>
    </row>
    <row r="1995" spans="58:72" x14ac:dyDescent="0.55000000000000004">
      <c r="BF1995" s="7"/>
      <c r="BM1995" s="7"/>
      <c r="BT1995" s="7"/>
    </row>
    <row r="1996" spans="58:72" x14ac:dyDescent="0.55000000000000004">
      <c r="BF1996" s="7"/>
      <c r="BM1996" s="7"/>
      <c r="BT1996" s="7"/>
    </row>
    <row r="1997" spans="58:72" x14ac:dyDescent="0.55000000000000004">
      <c r="BF1997" s="7"/>
      <c r="BM1997" s="7"/>
      <c r="BT1997" s="7"/>
    </row>
    <row r="1998" spans="58:72" x14ac:dyDescent="0.55000000000000004">
      <c r="BF1998" s="7"/>
      <c r="BM1998" s="7"/>
      <c r="BT1998" s="7"/>
    </row>
    <row r="1999" spans="58:72" x14ac:dyDescent="0.55000000000000004">
      <c r="BF1999" s="7"/>
      <c r="BM1999" s="7"/>
      <c r="BT1999" s="7"/>
    </row>
    <row r="2000" spans="58:72" x14ac:dyDescent="0.55000000000000004">
      <c r="BF2000" s="7"/>
      <c r="BM2000" s="7"/>
      <c r="BT2000" s="7"/>
    </row>
    <row r="2001" spans="58:72" x14ac:dyDescent="0.55000000000000004">
      <c r="BF2001" s="7"/>
      <c r="BM2001" s="7"/>
      <c r="BT2001" s="7"/>
    </row>
    <row r="2002" spans="58:72" x14ac:dyDescent="0.55000000000000004">
      <c r="BF2002" s="7"/>
      <c r="BM2002" s="7"/>
      <c r="BT2002" s="7"/>
    </row>
    <row r="2003" spans="58:72" x14ac:dyDescent="0.55000000000000004">
      <c r="BF2003" s="7"/>
      <c r="BM2003" s="7"/>
      <c r="BT2003" s="7"/>
    </row>
    <row r="2004" spans="58:72" x14ac:dyDescent="0.55000000000000004">
      <c r="BF2004" s="7"/>
      <c r="BM2004" s="7"/>
      <c r="BT2004" s="7"/>
    </row>
    <row r="2005" spans="58:72" x14ac:dyDescent="0.55000000000000004">
      <c r="BF2005" s="7"/>
      <c r="BM2005" s="7"/>
      <c r="BT2005" s="7"/>
    </row>
    <row r="2006" spans="58:72" x14ac:dyDescent="0.55000000000000004">
      <c r="BF2006" s="7"/>
      <c r="BM2006" s="7"/>
      <c r="BT2006" s="7"/>
    </row>
    <row r="2007" spans="58:72" x14ac:dyDescent="0.55000000000000004">
      <c r="BF2007" s="7"/>
      <c r="BM2007" s="7"/>
      <c r="BT2007" s="7"/>
    </row>
    <row r="2008" spans="58:72" x14ac:dyDescent="0.55000000000000004">
      <c r="BF2008" s="7"/>
      <c r="BM2008" s="7"/>
      <c r="BT2008" s="7"/>
    </row>
    <row r="2009" spans="58:72" x14ac:dyDescent="0.55000000000000004">
      <c r="BF2009" s="7"/>
      <c r="BM2009" s="7"/>
      <c r="BT2009" s="7"/>
    </row>
    <row r="2010" spans="58:72" x14ac:dyDescent="0.55000000000000004">
      <c r="BF2010" s="7"/>
      <c r="BM2010" s="7"/>
      <c r="BT2010" s="7"/>
    </row>
    <row r="2011" spans="58:72" x14ac:dyDescent="0.55000000000000004">
      <c r="BF2011" s="7"/>
      <c r="BM2011" s="7"/>
      <c r="BT2011" s="7"/>
    </row>
    <row r="2012" spans="58:72" x14ac:dyDescent="0.55000000000000004">
      <c r="BF2012" s="7"/>
      <c r="BM2012" s="7"/>
      <c r="BT2012" s="7"/>
    </row>
    <row r="2013" spans="58:72" x14ac:dyDescent="0.55000000000000004">
      <c r="BF2013" s="7"/>
      <c r="BM2013" s="7"/>
      <c r="BT2013" s="7"/>
    </row>
    <row r="2014" spans="58:72" x14ac:dyDescent="0.55000000000000004">
      <c r="BF2014" s="7"/>
      <c r="BM2014" s="7"/>
      <c r="BT2014" s="7"/>
    </row>
    <row r="2015" spans="58:72" x14ac:dyDescent="0.55000000000000004">
      <c r="BF2015" s="7"/>
      <c r="BM2015" s="7"/>
      <c r="BT2015" s="7"/>
    </row>
    <row r="2016" spans="58:72" x14ac:dyDescent="0.55000000000000004">
      <c r="BF2016" s="7"/>
      <c r="BM2016" s="7"/>
      <c r="BT2016" s="7"/>
    </row>
    <row r="2017" spans="58:72" x14ac:dyDescent="0.55000000000000004">
      <c r="BF2017" s="7"/>
      <c r="BM2017" s="7"/>
      <c r="BT2017" s="7"/>
    </row>
    <row r="2018" spans="58:72" x14ac:dyDescent="0.55000000000000004">
      <c r="BF2018" s="7"/>
      <c r="BM2018" s="7"/>
      <c r="BT2018" s="7"/>
    </row>
    <row r="2019" spans="58:72" x14ac:dyDescent="0.55000000000000004">
      <c r="BF2019" s="7"/>
      <c r="BM2019" s="7"/>
      <c r="BT2019" s="7"/>
    </row>
    <row r="2020" spans="58:72" x14ac:dyDescent="0.55000000000000004">
      <c r="BF2020" s="7"/>
      <c r="BM2020" s="7"/>
      <c r="BT2020" s="7"/>
    </row>
    <row r="2021" spans="58:72" x14ac:dyDescent="0.55000000000000004">
      <c r="BF2021" s="7"/>
      <c r="BM2021" s="7"/>
      <c r="BT2021" s="7"/>
    </row>
    <row r="2022" spans="58:72" x14ac:dyDescent="0.55000000000000004">
      <c r="BF2022" s="7"/>
      <c r="BM2022" s="7"/>
      <c r="BT2022" s="7"/>
    </row>
    <row r="2023" spans="58:72" x14ac:dyDescent="0.55000000000000004">
      <c r="BF2023" s="7"/>
      <c r="BM2023" s="7"/>
      <c r="BT2023" s="7"/>
    </row>
    <row r="2024" spans="58:72" x14ac:dyDescent="0.55000000000000004">
      <c r="BF2024" s="7"/>
      <c r="BM2024" s="7"/>
      <c r="BT2024" s="7"/>
    </row>
    <row r="2025" spans="58:72" x14ac:dyDescent="0.55000000000000004">
      <c r="BF2025" s="7"/>
      <c r="BM2025" s="7"/>
      <c r="BT2025" s="7"/>
    </row>
    <row r="2026" spans="58:72" x14ac:dyDescent="0.55000000000000004">
      <c r="BF2026" s="7"/>
      <c r="BM2026" s="7"/>
      <c r="BT2026" s="7"/>
    </row>
    <row r="2027" spans="58:72" x14ac:dyDescent="0.55000000000000004">
      <c r="BF2027" s="7"/>
      <c r="BM2027" s="7"/>
      <c r="BT2027" s="7"/>
    </row>
    <row r="2028" spans="58:72" x14ac:dyDescent="0.55000000000000004">
      <c r="BF2028" s="7"/>
      <c r="BM2028" s="7"/>
      <c r="BT2028" s="7"/>
    </row>
    <row r="2029" spans="58:72" x14ac:dyDescent="0.55000000000000004">
      <c r="BF2029" s="7"/>
      <c r="BM2029" s="7"/>
      <c r="BT2029" s="7"/>
    </row>
    <row r="2030" spans="58:72" x14ac:dyDescent="0.55000000000000004">
      <c r="BF2030" s="7"/>
      <c r="BM2030" s="7"/>
      <c r="BT2030" s="7"/>
    </row>
    <row r="2031" spans="58:72" x14ac:dyDescent="0.55000000000000004">
      <c r="BF2031" s="7"/>
      <c r="BM2031" s="7"/>
      <c r="BT2031" s="7"/>
    </row>
    <row r="2032" spans="58:72" x14ac:dyDescent="0.55000000000000004">
      <c r="BF2032" s="7"/>
      <c r="BM2032" s="7"/>
      <c r="BT2032" s="7"/>
    </row>
    <row r="2033" spans="58:72" x14ac:dyDescent="0.55000000000000004">
      <c r="BF2033" s="7"/>
      <c r="BM2033" s="7"/>
      <c r="BT2033" s="7"/>
    </row>
    <row r="2034" spans="58:72" x14ac:dyDescent="0.55000000000000004">
      <c r="BF2034" s="7"/>
      <c r="BM2034" s="7"/>
      <c r="BT2034" s="7"/>
    </row>
    <row r="2035" spans="58:72" x14ac:dyDescent="0.55000000000000004">
      <c r="BF2035" s="7"/>
      <c r="BM2035" s="7"/>
      <c r="BT2035" s="7"/>
    </row>
    <row r="2036" spans="58:72" x14ac:dyDescent="0.55000000000000004">
      <c r="BF2036" s="7"/>
      <c r="BM2036" s="7"/>
      <c r="BT2036" s="7"/>
    </row>
    <row r="2037" spans="58:72" x14ac:dyDescent="0.55000000000000004">
      <c r="BF2037" s="7"/>
      <c r="BM2037" s="7"/>
      <c r="BT2037" s="7"/>
    </row>
    <row r="2038" spans="58:72" x14ac:dyDescent="0.55000000000000004">
      <c r="BF2038" s="7"/>
      <c r="BM2038" s="7"/>
      <c r="BT2038" s="7"/>
    </row>
    <row r="2039" spans="58:72" x14ac:dyDescent="0.55000000000000004">
      <c r="BF2039" s="7"/>
      <c r="BM2039" s="7"/>
      <c r="BT2039" s="7"/>
    </row>
    <row r="2040" spans="58:72" x14ac:dyDescent="0.55000000000000004">
      <c r="BF2040" s="7"/>
      <c r="BM2040" s="7"/>
      <c r="BT2040" s="7"/>
    </row>
    <row r="2041" spans="58:72" x14ac:dyDescent="0.55000000000000004">
      <c r="BF2041" s="7"/>
      <c r="BM2041" s="7"/>
      <c r="BT2041" s="7"/>
    </row>
    <row r="2042" spans="58:72" x14ac:dyDescent="0.55000000000000004">
      <c r="BF2042" s="7"/>
      <c r="BM2042" s="7"/>
      <c r="BT2042" s="7"/>
    </row>
    <row r="2043" spans="58:72" x14ac:dyDescent="0.55000000000000004">
      <c r="BF2043" s="7"/>
      <c r="BM2043" s="7"/>
      <c r="BT2043" s="7"/>
    </row>
    <row r="2044" spans="58:72" x14ac:dyDescent="0.55000000000000004">
      <c r="BF2044" s="7"/>
      <c r="BM2044" s="7"/>
      <c r="BT2044" s="7"/>
    </row>
    <row r="2045" spans="58:72" x14ac:dyDescent="0.55000000000000004">
      <c r="BF2045" s="7"/>
      <c r="BM2045" s="7"/>
      <c r="BT2045" s="7"/>
    </row>
    <row r="2046" spans="58:72" x14ac:dyDescent="0.55000000000000004">
      <c r="BF2046" s="7"/>
      <c r="BM2046" s="7"/>
      <c r="BT2046" s="7"/>
    </row>
    <row r="2047" spans="58:72" x14ac:dyDescent="0.55000000000000004">
      <c r="BF2047" s="7"/>
      <c r="BM2047" s="7"/>
      <c r="BT2047" s="7"/>
    </row>
    <row r="2048" spans="58:72" x14ac:dyDescent="0.55000000000000004">
      <c r="BF2048" s="7"/>
      <c r="BM2048" s="7"/>
      <c r="BT2048" s="7"/>
    </row>
    <row r="2049" spans="58:72" x14ac:dyDescent="0.55000000000000004">
      <c r="BF2049" s="7"/>
      <c r="BM2049" s="7"/>
      <c r="BT2049" s="7"/>
    </row>
    <row r="2050" spans="58:72" x14ac:dyDescent="0.55000000000000004">
      <c r="BF2050" s="7"/>
      <c r="BM2050" s="7"/>
      <c r="BT2050" s="7"/>
    </row>
    <row r="2051" spans="58:72" x14ac:dyDescent="0.55000000000000004">
      <c r="BF2051" s="7"/>
      <c r="BM2051" s="7"/>
      <c r="BT2051" s="7"/>
    </row>
    <row r="2052" spans="58:72" x14ac:dyDescent="0.55000000000000004">
      <c r="BF2052" s="7"/>
      <c r="BM2052" s="7"/>
      <c r="BT2052" s="7"/>
    </row>
    <row r="2053" spans="58:72" x14ac:dyDescent="0.55000000000000004">
      <c r="BF2053" s="7"/>
      <c r="BM2053" s="7"/>
      <c r="BT2053" s="7"/>
    </row>
    <row r="2054" spans="58:72" x14ac:dyDescent="0.55000000000000004">
      <c r="BF2054" s="7"/>
      <c r="BM2054" s="7"/>
      <c r="BT2054" s="7"/>
    </row>
    <row r="2055" spans="58:72" x14ac:dyDescent="0.55000000000000004">
      <c r="BF2055" s="7"/>
      <c r="BM2055" s="7"/>
      <c r="BT2055" s="7"/>
    </row>
    <row r="2056" spans="58:72" x14ac:dyDescent="0.55000000000000004">
      <c r="BF2056" s="7"/>
      <c r="BM2056" s="7"/>
      <c r="BT2056" s="7"/>
    </row>
    <row r="2057" spans="58:72" x14ac:dyDescent="0.55000000000000004">
      <c r="BF2057" s="7"/>
      <c r="BM2057" s="7"/>
      <c r="BT2057" s="7"/>
    </row>
    <row r="2058" spans="58:72" x14ac:dyDescent="0.55000000000000004">
      <c r="BF2058" s="7"/>
      <c r="BM2058" s="7"/>
      <c r="BT2058" s="7"/>
    </row>
    <row r="2059" spans="58:72" x14ac:dyDescent="0.55000000000000004">
      <c r="BF2059" s="7"/>
      <c r="BM2059" s="7"/>
      <c r="BT2059" s="7"/>
    </row>
    <row r="2060" spans="58:72" x14ac:dyDescent="0.55000000000000004">
      <c r="BF2060" s="7"/>
      <c r="BM2060" s="7"/>
      <c r="BT2060" s="7"/>
    </row>
    <row r="2061" spans="58:72" x14ac:dyDescent="0.55000000000000004">
      <c r="BF2061" s="7"/>
      <c r="BM2061" s="7"/>
      <c r="BT2061" s="7"/>
    </row>
    <row r="2062" spans="58:72" x14ac:dyDescent="0.55000000000000004">
      <c r="BF2062" s="7"/>
      <c r="BM2062" s="7"/>
      <c r="BT2062" s="7"/>
    </row>
    <row r="2063" spans="58:72" x14ac:dyDescent="0.55000000000000004">
      <c r="BF2063" s="7"/>
      <c r="BM2063" s="7"/>
      <c r="BT2063" s="7"/>
    </row>
    <row r="2064" spans="58:72" x14ac:dyDescent="0.55000000000000004">
      <c r="BF2064" s="7"/>
      <c r="BM2064" s="7"/>
      <c r="BT2064" s="7"/>
    </row>
    <row r="2065" spans="58:72" x14ac:dyDescent="0.55000000000000004">
      <c r="BF2065" s="7"/>
      <c r="BM2065" s="7"/>
      <c r="BT2065" s="7"/>
    </row>
    <row r="2066" spans="58:72" x14ac:dyDescent="0.55000000000000004">
      <c r="BF2066" s="7"/>
      <c r="BM2066" s="7"/>
      <c r="BT2066" s="7"/>
    </row>
    <row r="2067" spans="58:72" x14ac:dyDescent="0.55000000000000004">
      <c r="BF2067" s="7"/>
      <c r="BM2067" s="7"/>
      <c r="BT2067" s="7"/>
    </row>
    <row r="2068" spans="58:72" x14ac:dyDescent="0.55000000000000004">
      <c r="BF2068" s="7"/>
      <c r="BM2068" s="7"/>
      <c r="BT2068" s="7"/>
    </row>
    <row r="2069" spans="58:72" x14ac:dyDescent="0.55000000000000004">
      <c r="BF2069" s="7"/>
      <c r="BM2069" s="7"/>
      <c r="BT2069" s="7"/>
    </row>
    <row r="2070" spans="58:72" x14ac:dyDescent="0.55000000000000004">
      <c r="BF2070" s="7"/>
      <c r="BM2070" s="7"/>
      <c r="BT2070" s="7"/>
    </row>
    <row r="2071" spans="58:72" x14ac:dyDescent="0.55000000000000004">
      <c r="BF2071" s="7"/>
      <c r="BM2071" s="7"/>
      <c r="BT2071" s="7"/>
    </row>
    <row r="2072" spans="58:72" x14ac:dyDescent="0.55000000000000004">
      <c r="BF2072" s="7"/>
      <c r="BM2072" s="7"/>
      <c r="BT2072" s="7"/>
    </row>
    <row r="2073" spans="58:72" x14ac:dyDescent="0.55000000000000004">
      <c r="BF2073" s="7"/>
      <c r="BM2073" s="7"/>
      <c r="BT2073" s="7"/>
    </row>
    <row r="2074" spans="58:72" x14ac:dyDescent="0.55000000000000004">
      <c r="BF2074" s="7"/>
      <c r="BM2074" s="7"/>
      <c r="BT2074" s="7"/>
    </row>
    <row r="2075" spans="58:72" x14ac:dyDescent="0.55000000000000004">
      <c r="BF2075" s="7"/>
      <c r="BM2075" s="7"/>
      <c r="BT2075" s="7"/>
    </row>
    <row r="2076" spans="58:72" x14ac:dyDescent="0.55000000000000004">
      <c r="BF2076" s="7"/>
      <c r="BM2076" s="7"/>
      <c r="BT2076" s="7"/>
    </row>
    <row r="2077" spans="58:72" x14ac:dyDescent="0.55000000000000004">
      <c r="BF2077" s="7"/>
      <c r="BM2077" s="7"/>
      <c r="BT2077" s="7"/>
    </row>
    <row r="2078" spans="58:72" x14ac:dyDescent="0.55000000000000004">
      <c r="BF2078" s="7"/>
      <c r="BM2078" s="7"/>
      <c r="BT2078" s="7"/>
    </row>
    <row r="2079" spans="58:72" x14ac:dyDescent="0.55000000000000004">
      <c r="BF2079" s="7"/>
      <c r="BM2079" s="7"/>
      <c r="BT2079" s="7"/>
    </row>
    <row r="2080" spans="58:72" x14ac:dyDescent="0.55000000000000004">
      <c r="BF2080" s="7"/>
      <c r="BM2080" s="7"/>
      <c r="BT2080" s="7"/>
    </row>
    <row r="2081" spans="58:72" x14ac:dyDescent="0.55000000000000004">
      <c r="BF2081" s="7"/>
      <c r="BM2081" s="7"/>
      <c r="BT2081" s="7"/>
    </row>
    <row r="2082" spans="58:72" x14ac:dyDescent="0.55000000000000004">
      <c r="BF2082" s="7"/>
      <c r="BM2082" s="7"/>
      <c r="BT2082" s="7"/>
    </row>
    <row r="2083" spans="58:72" x14ac:dyDescent="0.55000000000000004">
      <c r="BF2083" s="7"/>
      <c r="BM2083" s="7"/>
      <c r="BT2083" s="7"/>
    </row>
    <row r="2084" spans="58:72" x14ac:dyDescent="0.55000000000000004">
      <c r="BF2084" s="7"/>
      <c r="BM2084" s="7"/>
      <c r="BT2084" s="7"/>
    </row>
    <row r="2085" spans="58:72" x14ac:dyDescent="0.55000000000000004">
      <c r="BF2085" s="7"/>
      <c r="BM2085" s="7"/>
      <c r="BT2085" s="7"/>
    </row>
    <row r="2086" spans="58:72" x14ac:dyDescent="0.55000000000000004">
      <c r="BF2086" s="7"/>
      <c r="BM2086" s="7"/>
      <c r="BT2086" s="7"/>
    </row>
    <row r="2087" spans="58:72" x14ac:dyDescent="0.55000000000000004">
      <c r="BF2087" s="7"/>
      <c r="BM2087" s="7"/>
      <c r="BT2087" s="7"/>
    </row>
    <row r="2088" spans="58:72" x14ac:dyDescent="0.55000000000000004">
      <c r="BF2088" s="7"/>
      <c r="BM2088" s="7"/>
      <c r="BT2088" s="7"/>
    </row>
    <row r="2089" spans="58:72" x14ac:dyDescent="0.55000000000000004">
      <c r="BF2089" s="7"/>
      <c r="BM2089" s="7"/>
      <c r="BT2089" s="7"/>
    </row>
    <row r="2090" spans="58:72" x14ac:dyDescent="0.55000000000000004">
      <c r="BF2090" s="7"/>
      <c r="BM2090" s="7"/>
      <c r="BT2090" s="7"/>
    </row>
    <row r="2091" spans="58:72" x14ac:dyDescent="0.55000000000000004">
      <c r="BF2091" s="7"/>
      <c r="BM2091" s="7"/>
      <c r="BT2091" s="7"/>
    </row>
    <row r="2092" spans="58:72" x14ac:dyDescent="0.55000000000000004">
      <c r="BF2092" s="7"/>
      <c r="BM2092" s="7"/>
      <c r="BT2092" s="7"/>
    </row>
    <row r="2093" spans="58:72" x14ac:dyDescent="0.55000000000000004">
      <c r="BF2093" s="7"/>
      <c r="BM2093" s="7"/>
      <c r="BT2093" s="7"/>
    </row>
    <row r="2094" spans="58:72" x14ac:dyDescent="0.55000000000000004">
      <c r="BF2094" s="7"/>
      <c r="BM2094" s="7"/>
      <c r="BT2094" s="7"/>
    </row>
    <row r="2095" spans="58:72" x14ac:dyDescent="0.55000000000000004">
      <c r="BF2095" s="7"/>
      <c r="BM2095" s="7"/>
      <c r="BT2095" s="7"/>
    </row>
    <row r="2096" spans="58:72" x14ac:dyDescent="0.55000000000000004">
      <c r="BF2096" s="7"/>
      <c r="BM2096" s="7"/>
      <c r="BT2096" s="7"/>
    </row>
    <row r="2097" spans="58:72" x14ac:dyDescent="0.55000000000000004">
      <c r="BF2097" s="7"/>
      <c r="BM2097" s="7"/>
      <c r="BT2097" s="7"/>
    </row>
    <row r="2098" spans="58:72" x14ac:dyDescent="0.55000000000000004">
      <c r="BF2098" s="7"/>
      <c r="BM2098" s="7"/>
      <c r="BT2098" s="7"/>
    </row>
    <row r="2099" spans="58:72" x14ac:dyDescent="0.55000000000000004">
      <c r="BF2099" s="7"/>
      <c r="BM2099" s="7"/>
      <c r="BT2099" s="7"/>
    </row>
    <row r="2100" spans="58:72" x14ac:dyDescent="0.55000000000000004">
      <c r="BF2100" s="7"/>
      <c r="BM2100" s="7"/>
      <c r="BT2100" s="7"/>
    </row>
    <row r="2101" spans="58:72" x14ac:dyDescent="0.55000000000000004">
      <c r="BF2101" s="7"/>
      <c r="BM2101" s="7"/>
      <c r="BT2101" s="7"/>
    </row>
    <row r="2102" spans="58:72" x14ac:dyDescent="0.55000000000000004">
      <c r="BF2102" s="7"/>
      <c r="BM2102" s="7"/>
      <c r="BT2102" s="7"/>
    </row>
    <row r="2103" spans="58:72" x14ac:dyDescent="0.55000000000000004">
      <c r="BF2103" s="7"/>
      <c r="BM2103" s="7"/>
      <c r="BT2103" s="7"/>
    </row>
    <row r="2104" spans="58:72" x14ac:dyDescent="0.55000000000000004">
      <c r="BF2104" s="7"/>
      <c r="BM2104" s="7"/>
      <c r="BT2104" s="7"/>
    </row>
    <row r="2105" spans="58:72" x14ac:dyDescent="0.55000000000000004">
      <c r="BF2105" s="7"/>
      <c r="BM2105" s="7"/>
      <c r="BT2105" s="7"/>
    </row>
    <row r="2106" spans="58:72" x14ac:dyDescent="0.55000000000000004">
      <c r="BF2106" s="7"/>
      <c r="BM2106" s="7"/>
      <c r="BT2106" s="7"/>
    </row>
    <row r="2107" spans="58:72" x14ac:dyDescent="0.55000000000000004">
      <c r="BF2107" s="7"/>
      <c r="BM2107" s="7"/>
      <c r="BT2107" s="7"/>
    </row>
    <row r="2108" spans="58:72" x14ac:dyDescent="0.55000000000000004">
      <c r="BF2108" s="7"/>
      <c r="BM2108" s="7"/>
      <c r="BT2108" s="7"/>
    </row>
    <row r="2109" spans="58:72" x14ac:dyDescent="0.55000000000000004">
      <c r="BF2109" s="7"/>
      <c r="BM2109" s="7"/>
      <c r="BT2109" s="7"/>
    </row>
    <row r="2110" spans="58:72" x14ac:dyDescent="0.55000000000000004">
      <c r="BF2110" s="7"/>
      <c r="BM2110" s="7"/>
      <c r="BT2110" s="7"/>
    </row>
    <row r="2111" spans="58:72" x14ac:dyDescent="0.55000000000000004">
      <c r="BF2111" s="7"/>
      <c r="BM2111" s="7"/>
      <c r="BT2111" s="7"/>
    </row>
    <row r="2112" spans="58:72" x14ac:dyDescent="0.55000000000000004">
      <c r="BF2112" s="7"/>
      <c r="BM2112" s="7"/>
      <c r="BT2112" s="7"/>
    </row>
    <row r="2113" spans="58:72" x14ac:dyDescent="0.55000000000000004">
      <c r="BF2113" s="7"/>
      <c r="BM2113" s="7"/>
      <c r="BT2113" s="7"/>
    </row>
    <row r="2114" spans="58:72" x14ac:dyDescent="0.55000000000000004">
      <c r="BF2114" s="7"/>
      <c r="BM2114" s="7"/>
      <c r="BT2114" s="7"/>
    </row>
    <row r="2115" spans="58:72" x14ac:dyDescent="0.55000000000000004">
      <c r="BF2115" s="7"/>
      <c r="BM2115" s="7"/>
      <c r="BT2115" s="7"/>
    </row>
    <row r="2116" spans="58:72" x14ac:dyDescent="0.55000000000000004">
      <c r="BF2116" s="7"/>
      <c r="BM2116" s="7"/>
      <c r="BT2116" s="7"/>
    </row>
    <row r="2117" spans="58:72" x14ac:dyDescent="0.55000000000000004">
      <c r="BF2117" s="7"/>
      <c r="BM2117" s="7"/>
      <c r="BT2117" s="7"/>
    </row>
    <row r="2118" spans="58:72" x14ac:dyDescent="0.55000000000000004">
      <c r="BF2118" s="7"/>
      <c r="BM2118" s="7"/>
      <c r="BT2118" s="7"/>
    </row>
    <row r="2119" spans="58:72" x14ac:dyDescent="0.55000000000000004">
      <c r="BF2119" s="7"/>
      <c r="BM2119" s="7"/>
      <c r="BT2119" s="7"/>
    </row>
    <row r="2120" spans="58:72" x14ac:dyDescent="0.55000000000000004">
      <c r="BF2120" s="7"/>
      <c r="BM2120" s="7"/>
      <c r="BT2120" s="7"/>
    </row>
    <row r="2121" spans="58:72" x14ac:dyDescent="0.55000000000000004">
      <c r="BF2121" s="7"/>
      <c r="BM2121" s="7"/>
      <c r="BT2121" s="7"/>
    </row>
    <row r="2122" spans="58:72" x14ac:dyDescent="0.55000000000000004">
      <c r="BF2122" s="7"/>
      <c r="BM2122" s="7"/>
      <c r="BT2122" s="7"/>
    </row>
    <row r="2123" spans="58:72" x14ac:dyDescent="0.55000000000000004">
      <c r="BF2123" s="7"/>
      <c r="BM2123" s="7"/>
      <c r="BT2123" s="7"/>
    </row>
    <row r="2124" spans="58:72" x14ac:dyDescent="0.55000000000000004">
      <c r="BF2124" s="7"/>
      <c r="BM2124" s="7"/>
      <c r="BT2124" s="7"/>
    </row>
    <row r="2125" spans="58:72" x14ac:dyDescent="0.55000000000000004">
      <c r="BF2125" s="7"/>
      <c r="BM2125" s="7"/>
      <c r="BT2125" s="7"/>
    </row>
    <row r="2126" spans="58:72" x14ac:dyDescent="0.55000000000000004">
      <c r="BF2126" s="7"/>
      <c r="BM2126" s="7"/>
      <c r="BT2126" s="7"/>
    </row>
    <row r="2127" spans="58:72" x14ac:dyDescent="0.55000000000000004">
      <c r="BF2127" s="7"/>
      <c r="BM2127" s="7"/>
      <c r="BT2127" s="7"/>
    </row>
    <row r="2128" spans="58:72" x14ac:dyDescent="0.55000000000000004">
      <c r="BF2128" s="7"/>
      <c r="BM2128" s="7"/>
      <c r="BT2128" s="7"/>
    </row>
    <row r="2129" spans="58:72" x14ac:dyDescent="0.55000000000000004">
      <c r="BF2129" s="7"/>
      <c r="BM2129" s="7"/>
      <c r="BT2129" s="7"/>
    </row>
    <row r="2130" spans="58:72" x14ac:dyDescent="0.55000000000000004">
      <c r="BF2130" s="7"/>
      <c r="BM2130" s="7"/>
      <c r="BT2130" s="7"/>
    </row>
    <row r="2131" spans="58:72" x14ac:dyDescent="0.55000000000000004">
      <c r="BF2131" s="7"/>
      <c r="BM2131" s="7"/>
      <c r="BT2131" s="7"/>
    </row>
    <row r="2132" spans="58:72" x14ac:dyDescent="0.55000000000000004">
      <c r="BF2132" s="7"/>
      <c r="BM2132" s="7"/>
      <c r="BT2132" s="7"/>
    </row>
    <row r="2133" spans="58:72" x14ac:dyDescent="0.55000000000000004">
      <c r="BF2133" s="7"/>
      <c r="BM2133" s="7"/>
      <c r="BT2133" s="7"/>
    </row>
    <row r="2134" spans="58:72" x14ac:dyDescent="0.55000000000000004">
      <c r="BF2134" s="7"/>
      <c r="BM2134" s="7"/>
      <c r="BT2134" s="7"/>
    </row>
    <row r="2135" spans="58:72" x14ac:dyDescent="0.55000000000000004">
      <c r="BF2135" s="7"/>
      <c r="BM2135" s="7"/>
      <c r="BT2135" s="7"/>
    </row>
    <row r="2136" spans="58:72" x14ac:dyDescent="0.55000000000000004">
      <c r="BF2136" s="7"/>
      <c r="BM2136" s="7"/>
      <c r="BT2136" s="7"/>
    </row>
    <row r="2137" spans="58:72" x14ac:dyDescent="0.55000000000000004">
      <c r="BF2137" s="7"/>
      <c r="BM2137" s="7"/>
      <c r="BT2137" s="7"/>
    </row>
    <row r="2138" spans="58:72" x14ac:dyDescent="0.55000000000000004">
      <c r="BF2138" s="7"/>
      <c r="BM2138" s="7"/>
      <c r="BT2138" s="7"/>
    </row>
    <row r="2139" spans="58:72" x14ac:dyDescent="0.55000000000000004">
      <c r="BF2139" s="7"/>
      <c r="BM2139" s="7"/>
      <c r="BT2139" s="7"/>
    </row>
    <row r="2140" spans="58:72" x14ac:dyDescent="0.55000000000000004">
      <c r="BF2140" s="7"/>
      <c r="BM2140" s="7"/>
      <c r="BT2140" s="7"/>
    </row>
    <row r="2141" spans="58:72" x14ac:dyDescent="0.55000000000000004">
      <c r="BF2141" s="7"/>
      <c r="BM2141" s="7"/>
      <c r="BT2141" s="7"/>
    </row>
    <row r="2142" spans="58:72" x14ac:dyDescent="0.55000000000000004">
      <c r="BF2142" s="7"/>
      <c r="BM2142" s="7"/>
      <c r="BT2142" s="7"/>
    </row>
    <row r="2143" spans="58:72" x14ac:dyDescent="0.55000000000000004">
      <c r="BF2143" s="7"/>
      <c r="BM2143" s="7"/>
      <c r="BT2143" s="7"/>
    </row>
    <row r="2144" spans="58:72" x14ac:dyDescent="0.55000000000000004">
      <c r="BF2144" s="7"/>
      <c r="BM2144" s="7"/>
      <c r="BT2144" s="7"/>
    </row>
    <row r="2145" spans="58:72" x14ac:dyDescent="0.55000000000000004">
      <c r="BF2145" s="7"/>
      <c r="BM2145" s="7"/>
      <c r="BT2145" s="7"/>
    </row>
    <row r="2146" spans="58:72" x14ac:dyDescent="0.55000000000000004">
      <c r="BF2146" s="7"/>
      <c r="BM2146" s="7"/>
      <c r="BT2146" s="7"/>
    </row>
    <row r="2147" spans="58:72" x14ac:dyDescent="0.55000000000000004">
      <c r="BF2147" s="7"/>
      <c r="BM2147" s="7"/>
      <c r="BT2147" s="7"/>
    </row>
    <row r="2148" spans="58:72" x14ac:dyDescent="0.55000000000000004">
      <c r="BF2148" s="7"/>
      <c r="BM2148" s="7"/>
      <c r="BT2148" s="7"/>
    </row>
    <row r="2149" spans="58:72" x14ac:dyDescent="0.55000000000000004">
      <c r="BF2149" s="7"/>
      <c r="BM2149" s="7"/>
      <c r="BT2149" s="7"/>
    </row>
    <row r="2150" spans="58:72" x14ac:dyDescent="0.55000000000000004">
      <c r="BF2150" s="7"/>
      <c r="BM2150" s="7"/>
      <c r="BT2150" s="7"/>
    </row>
    <row r="2151" spans="58:72" x14ac:dyDescent="0.55000000000000004">
      <c r="BF2151" s="7"/>
      <c r="BM2151" s="7"/>
      <c r="BT2151" s="7"/>
    </row>
    <row r="2152" spans="58:72" x14ac:dyDescent="0.55000000000000004">
      <c r="BF2152" s="7"/>
      <c r="BM2152" s="7"/>
      <c r="BT2152" s="7"/>
    </row>
    <row r="2153" spans="58:72" x14ac:dyDescent="0.55000000000000004">
      <c r="BF2153" s="7"/>
      <c r="BM2153" s="7"/>
      <c r="BT2153" s="7"/>
    </row>
    <row r="2154" spans="58:72" x14ac:dyDescent="0.55000000000000004">
      <c r="BF2154" s="7"/>
      <c r="BM2154" s="7"/>
      <c r="BT2154" s="7"/>
    </row>
    <row r="2155" spans="58:72" x14ac:dyDescent="0.55000000000000004">
      <c r="BF2155" s="7"/>
      <c r="BM2155" s="7"/>
      <c r="BT2155" s="7"/>
    </row>
    <row r="2156" spans="58:72" x14ac:dyDescent="0.55000000000000004">
      <c r="BF2156" s="7"/>
      <c r="BM2156" s="7"/>
      <c r="BT2156" s="7"/>
    </row>
    <row r="2157" spans="58:72" x14ac:dyDescent="0.55000000000000004">
      <c r="BF2157" s="7"/>
      <c r="BM2157" s="7"/>
      <c r="BT2157" s="7"/>
    </row>
    <row r="2158" spans="58:72" x14ac:dyDescent="0.55000000000000004">
      <c r="BF2158" s="7"/>
      <c r="BM2158" s="7"/>
      <c r="BT2158" s="7"/>
    </row>
    <row r="2159" spans="58:72" x14ac:dyDescent="0.55000000000000004">
      <c r="BF2159" s="7"/>
      <c r="BM2159" s="7"/>
      <c r="BT2159" s="7"/>
    </row>
    <row r="2160" spans="58:72" x14ac:dyDescent="0.55000000000000004">
      <c r="BF2160" s="7"/>
      <c r="BM2160" s="7"/>
      <c r="BT2160" s="7"/>
    </row>
    <row r="2161" spans="58:72" x14ac:dyDescent="0.55000000000000004">
      <c r="BF2161" s="7"/>
      <c r="BM2161" s="7"/>
      <c r="BT2161" s="7"/>
    </row>
    <row r="2162" spans="58:72" x14ac:dyDescent="0.55000000000000004">
      <c r="BF2162" s="7"/>
      <c r="BM2162" s="7"/>
      <c r="BT2162" s="7"/>
    </row>
    <row r="2163" spans="58:72" x14ac:dyDescent="0.55000000000000004">
      <c r="BF2163" s="7"/>
      <c r="BM2163" s="7"/>
      <c r="BT2163" s="7"/>
    </row>
    <row r="2164" spans="58:72" x14ac:dyDescent="0.55000000000000004">
      <c r="BF2164" s="7"/>
      <c r="BM2164" s="7"/>
      <c r="BT2164" s="7"/>
    </row>
    <row r="2165" spans="58:72" x14ac:dyDescent="0.55000000000000004">
      <c r="BF2165" s="7"/>
      <c r="BM2165" s="7"/>
      <c r="BT2165" s="7"/>
    </row>
    <row r="2166" spans="58:72" x14ac:dyDescent="0.55000000000000004">
      <c r="BF2166" s="7"/>
      <c r="BM2166" s="7"/>
      <c r="BT2166" s="7"/>
    </row>
    <row r="2167" spans="58:72" x14ac:dyDescent="0.55000000000000004">
      <c r="BF2167" s="7"/>
      <c r="BM2167" s="7"/>
      <c r="BT2167" s="7"/>
    </row>
    <row r="2168" spans="58:72" x14ac:dyDescent="0.55000000000000004">
      <c r="BF2168" s="7"/>
      <c r="BM2168" s="7"/>
      <c r="BT2168" s="7"/>
    </row>
    <row r="2169" spans="58:72" x14ac:dyDescent="0.55000000000000004">
      <c r="BF2169" s="7"/>
      <c r="BM2169" s="7"/>
      <c r="BT2169" s="7"/>
    </row>
    <row r="2170" spans="58:72" x14ac:dyDescent="0.55000000000000004">
      <c r="BF2170" s="7"/>
      <c r="BM2170" s="7"/>
      <c r="BT2170" s="7"/>
    </row>
    <row r="2171" spans="58:72" x14ac:dyDescent="0.55000000000000004">
      <c r="BF2171" s="7"/>
      <c r="BM2171" s="7"/>
      <c r="BT2171" s="7"/>
    </row>
    <row r="2172" spans="58:72" x14ac:dyDescent="0.55000000000000004">
      <c r="BF2172" s="7"/>
      <c r="BM2172" s="7"/>
      <c r="BT2172" s="7"/>
    </row>
    <row r="2173" spans="58:72" x14ac:dyDescent="0.55000000000000004">
      <c r="BF2173" s="7"/>
      <c r="BM2173" s="7"/>
      <c r="BT2173" s="7"/>
    </row>
    <row r="2174" spans="58:72" x14ac:dyDescent="0.55000000000000004">
      <c r="BF2174" s="7"/>
      <c r="BM2174" s="7"/>
      <c r="BT2174" s="7"/>
    </row>
    <row r="2175" spans="58:72" x14ac:dyDescent="0.55000000000000004">
      <c r="BF2175" s="7"/>
      <c r="BM2175" s="7"/>
      <c r="BT2175" s="7"/>
    </row>
    <row r="2176" spans="58:72" x14ac:dyDescent="0.55000000000000004">
      <c r="BF2176" s="7"/>
      <c r="BM2176" s="7"/>
      <c r="BT2176" s="7"/>
    </row>
    <row r="2177" spans="58:72" x14ac:dyDescent="0.55000000000000004">
      <c r="BF2177" s="7"/>
      <c r="BM2177" s="7"/>
      <c r="BT2177" s="7"/>
    </row>
    <row r="2178" spans="58:72" x14ac:dyDescent="0.55000000000000004">
      <c r="BF2178" s="7"/>
      <c r="BM2178" s="7"/>
      <c r="BT2178" s="7"/>
    </row>
    <row r="2179" spans="58:72" x14ac:dyDescent="0.55000000000000004">
      <c r="BF2179" s="7"/>
      <c r="BM2179" s="7"/>
      <c r="BT2179" s="7"/>
    </row>
    <row r="2180" spans="58:72" x14ac:dyDescent="0.55000000000000004">
      <c r="BF2180" s="7"/>
      <c r="BM2180" s="7"/>
      <c r="BT2180" s="7"/>
    </row>
    <row r="2181" spans="58:72" x14ac:dyDescent="0.55000000000000004">
      <c r="BF2181" s="7"/>
      <c r="BM2181" s="7"/>
      <c r="BT2181" s="7"/>
    </row>
    <row r="2182" spans="58:72" x14ac:dyDescent="0.55000000000000004">
      <c r="BF2182" s="7"/>
      <c r="BM2182" s="7"/>
      <c r="BT2182" s="7"/>
    </row>
    <row r="2183" spans="58:72" x14ac:dyDescent="0.55000000000000004">
      <c r="BF2183" s="7"/>
      <c r="BM2183" s="7"/>
      <c r="BT2183" s="7"/>
    </row>
    <row r="2184" spans="58:72" x14ac:dyDescent="0.55000000000000004">
      <c r="BF2184" s="7"/>
      <c r="BM2184" s="7"/>
      <c r="BT2184" s="7"/>
    </row>
    <row r="2185" spans="58:72" x14ac:dyDescent="0.55000000000000004">
      <c r="BF2185" s="7"/>
      <c r="BM2185" s="7"/>
      <c r="BT2185" s="7"/>
    </row>
    <row r="2186" spans="58:72" x14ac:dyDescent="0.55000000000000004">
      <c r="BF2186" s="7"/>
      <c r="BM2186" s="7"/>
      <c r="BT2186" s="7"/>
    </row>
    <row r="2187" spans="58:72" x14ac:dyDescent="0.55000000000000004">
      <c r="BF2187" s="7"/>
      <c r="BM2187" s="7"/>
      <c r="BT2187" s="7"/>
    </row>
    <row r="2188" spans="58:72" x14ac:dyDescent="0.55000000000000004">
      <c r="BF2188" s="7"/>
      <c r="BM2188" s="7"/>
      <c r="BT2188" s="7"/>
    </row>
    <row r="2189" spans="58:72" x14ac:dyDescent="0.55000000000000004">
      <c r="BF2189" s="7"/>
      <c r="BM2189" s="7"/>
      <c r="BT2189" s="7"/>
    </row>
    <row r="2190" spans="58:72" x14ac:dyDescent="0.55000000000000004">
      <c r="BF2190" s="7"/>
      <c r="BM2190" s="7"/>
      <c r="BT2190" s="7"/>
    </row>
    <row r="2191" spans="58:72" x14ac:dyDescent="0.55000000000000004">
      <c r="BF2191" s="7"/>
      <c r="BM2191" s="7"/>
      <c r="BT2191" s="7"/>
    </row>
    <row r="2192" spans="58:72" x14ac:dyDescent="0.55000000000000004">
      <c r="BF2192" s="7"/>
      <c r="BM2192" s="7"/>
      <c r="BT2192" s="7"/>
    </row>
    <row r="2193" spans="58:72" x14ac:dyDescent="0.55000000000000004">
      <c r="BF2193" s="7"/>
      <c r="BM2193" s="7"/>
      <c r="BT2193" s="7"/>
    </row>
    <row r="2194" spans="58:72" x14ac:dyDescent="0.55000000000000004">
      <c r="BF2194" s="7"/>
      <c r="BM2194" s="7"/>
      <c r="BT2194" s="7"/>
    </row>
    <row r="2195" spans="58:72" x14ac:dyDescent="0.55000000000000004">
      <c r="BF2195" s="7"/>
      <c r="BM2195" s="7"/>
      <c r="BT2195" s="7"/>
    </row>
    <row r="2196" spans="58:72" x14ac:dyDescent="0.55000000000000004">
      <c r="BF2196" s="7"/>
      <c r="BM2196" s="7"/>
      <c r="BT2196" s="7"/>
    </row>
    <row r="2197" spans="58:72" x14ac:dyDescent="0.55000000000000004">
      <c r="BF2197" s="7"/>
      <c r="BM2197" s="7"/>
      <c r="BT2197" s="7"/>
    </row>
    <row r="2198" spans="58:72" x14ac:dyDescent="0.55000000000000004">
      <c r="BF2198" s="7"/>
      <c r="BM2198" s="7"/>
      <c r="BT2198" s="7"/>
    </row>
    <row r="2199" spans="58:72" x14ac:dyDescent="0.55000000000000004">
      <c r="BF2199" s="7"/>
      <c r="BM2199" s="7"/>
      <c r="BT2199" s="7"/>
    </row>
    <row r="2200" spans="58:72" x14ac:dyDescent="0.55000000000000004">
      <c r="BF2200" s="7"/>
      <c r="BM2200" s="7"/>
      <c r="BT2200" s="7"/>
    </row>
    <row r="2201" spans="58:72" x14ac:dyDescent="0.55000000000000004">
      <c r="BF2201" s="7"/>
      <c r="BM2201" s="7"/>
      <c r="BT2201" s="7"/>
    </row>
    <row r="2202" spans="58:72" x14ac:dyDescent="0.55000000000000004">
      <c r="BF2202" s="7"/>
      <c r="BM2202" s="7"/>
      <c r="BT2202" s="7"/>
    </row>
    <row r="2203" spans="58:72" x14ac:dyDescent="0.55000000000000004">
      <c r="BF2203" s="7"/>
      <c r="BM2203" s="7"/>
      <c r="BT2203" s="7"/>
    </row>
    <row r="2204" spans="58:72" x14ac:dyDescent="0.55000000000000004">
      <c r="BF2204" s="7"/>
      <c r="BM2204" s="7"/>
      <c r="BT2204" s="7"/>
    </row>
    <row r="2205" spans="58:72" x14ac:dyDescent="0.55000000000000004">
      <c r="BF2205" s="7"/>
      <c r="BM2205" s="7"/>
      <c r="BT2205" s="7"/>
    </row>
    <row r="2206" spans="58:72" x14ac:dyDescent="0.55000000000000004">
      <c r="BF2206" s="7"/>
      <c r="BM2206" s="7"/>
      <c r="BT2206" s="7"/>
    </row>
    <row r="2207" spans="58:72" x14ac:dyDescent="0.55000000000000004">
      <c r="BF2207" s="7"/>
      <c r="BM2207" s="7"/>
      <c r="BT2207" s="7"/>
    </row>
    <row r="2208" spans="58:72" x14ac:dyDescent="0.55000000000000004">
      <c r="BF2208" s="7"/>
      <c r="BM2208" s="7"/>
      <c r="BT2208" s="7"/>
    </row>
    <row r="2209" spans="58:72" x14ac:dyDescent="0.55000000000000004">
      <c r="BF2209" s="7"/>
      <c r="BM2209" s="7"/>
      <c r="BT2209" s="7"/>
    </row>
    <row r="2210" spans="58:72" x14ac:dyDescent="0.55000000000000004">
      <c r="BF2210" s="7"/>
      <c r="BM2210" s="7"/>
      <c r="BT2210" s="7"/>
    </row>
    <row r="2211" spans="58:72" x14ac:dyDescent="0.55000000000000004">
      <c r="BF2211" s="7"/>
      <c r="BM2211" s="7"/>
      <c r="BT2211" s="7"/>
    </row>
    <row r="2212" spans="58:72" x14ac:dyDescent="0.55000000000000004">
      <c r="BF2212" s="7"/>
      <c r="BM2212" s="7"/>
      <c r="BT2212" s="7"/>
    </row>
    <row r="2213" spans="58:72" x14ac:dyDescent="0.55000000000000004">
      <c r="BF2213" s="7"/>
      <c r="BM2213" s="7"/>
      <c r="BT2213" s="7"/>
    </row>
    <row r="2214" spans="58:72" x14ac:dyDescent="0.55000000000000004">
      <c r="BF2214" s="7"/>
      <c r="BM2214" s="7"/>
      <c r="BT2214" s="7"/>
    </row>
    <row r="2215" spans="58:72" x14ac:dyDescent="0.55000000000000004">
      <c r="BF2215" s="7"/>
      <c r="BM2215" s="7"/>
      <c r="BT2215" s="7"/>
    </row>
    <row r="2216" spans="58:72" x14ac:dyDescent="0.55000000000000004">
      <c r="BF2216" s="7"/>
      <c r="BM2216" s="7"/>
      <c r="BT2216" s="7"/>
    </row>
    <row r="2217" spans="58:72" x14ac:dyDescent="0.55000000000000004">
      <c r="BF2217" s="7"/>
      <c r="BM2217" s="7"/>
      <c r="BT2217" s="7"/>
    </row>
    <row r="2218" spans="58:72" x14ac:dyDescent="0.55000000000000004">
      <c r="BF2218" s="7"/>
      <c r="BM2218" s="7"/>
      <c r="BT2218" s="7"/>
    </row>
    <row r="2219" spans="58:72" x14ac:dyDescent="0.55000000000000004">
      <c r="BF2219" s="7"/>
      <c r="BM2219" s="7"/>
      <c r="BT2219" s="7"/>
    </row>
    <row r="2220" spans="58:72" x14ac:dyDescent="0.55000000000000004">
      <c r="BF2220" s="7"/>
      <c r="BM2220" s="7"/>
      <c r="BT2220" s="7"/>
    </row>
    <row r="2221" spans="58:72" x14ac:dyDescent="0.55000000000000004">
      <c r="BF2221" s="7"/>
      <c r="BM2221" s="7"/>
      <c r="BT2221" s="7"/>
    </row>
    <row r="2222" spans="58:72" x14ac:dyDescent="0.55000000000000004">
      <c r="BF2222" s="7"/>
      <c r="BM2222" s="7"/>
      <c r="BT2222" s="7"/>
    </row>
    <row r="2223" spans="58:72" x14ac:dyDescent="0.55000000000000004">
      <c r="BF2223" s="7"/>
      <c r="BM2223" s="7"/>
      <c r="BT2223" s="7"/>
    </row>
    <row r="2224" spans="58:72" x14ac:dyDescent="0.55000000000000004">
      <c r="BF2224" s="7"/>
      <c r="BM2224" s="7"/>
      <c r="BT2224" s="7"/>
    </row>
    <row r="2225" spans="58:72" x14ac:dyDescent="0.55000000000000004">
      <c r="BF2225" s="7"/>
      <c r="BM2225" s="7"/>
      <c r="BT2225" s="7"/>
    </row>
    <row r="2226" spans="58:72" x14ac:dyDescent="0.55000000000000004">
      <c r="BF2226" s="7"/>
      <c r="BM2226" s="7"/>
      <c r="BT2226" s="7"/>
    </row>
    <row r="2227" spans="58:72" x14ac:dyDescent="0.55000000000000004">
      <c r="BF2227" s="7"/>
      <c r="BM2227" s="7"/>
      <c r="BT2227" s="7"/>
    </row>
    <row r="2228" spans="58:72" x14ac:dyDescent="0.55000000000000004">
      <c r="BF2228" s="7"/>
      <c r="BM2228" s="7"/>
      <c r="BT2228" s="7"/>
    </row>
    <row r="2229" spans="58:72" x14ac:dyDescent="0.55000000000000004">
      <c r="BF2229" s="7"/>
      <c r="BM2229" s="7"/>
      <c r="BT2229" s="7"/>
    </row>
    <row r="2230" spans="58:72" x14ac:dyDescent="0.55000000000000004">
      <c r="BF2230" s="7"/>
      <c r="BM2230" s="7"/>
      <c r="BT2230" s="7"/>
    </row>
    <row r="2231" spans="58:72" x14ac:dyDescent="0.55000000000000004">
      <c r="BF2231" s="7"/>
      <c r="BM2231" s="7"/>
      <c r="BT2231" s="7"/>
    </row>
    <row r="2232" spans="58:72" x14ac:dyDescent="0.55000000000000004">
      <c r="BF2232" s="7"/>
      <c r="BM2232" s="7"/>
      <c r="BT2232" s="7"/>
    </row>
    <row r="2233" spans="58:72" x14ac:dyDescent="0.55000000000000004">
      <c r="BF2233" s="7"/>
      <c r="BM2233" s="7"/>
      <c r="BT2233" s="7"/>
    </row>
    <row r="2234" spans="58:72" x14ac:dyDescent="0.55000000000000004">
      <c r="BF2234" s="7"/>
      <c r="BM2234" s="7"/>
      <c r="BT2234" s="7"/>
    </row>
    <row r="2235" spans="58:72" x14ac:dyDescent="0.55000000000000004">
      <c r="BF2235" s="7"/>
      <c r="BM2235" s="7"/>
      <c r="BT2235" s="7"/>
    </row>
    <row r="2236" spans="58:72" x14ac:dyDescent="0.55000000000000004">
      <c r="BF2236" s="7"/>
      <c r="BM2236" s="7"/>
      <c r="BT2236" s="7"/>
    </row>
    <row r="2237" spans="58:72" x14ac:dyDescent="0.55000000000000004">
      <c r="BF2237" s="7"/>
      <c r="BM2237" s="7"/>
      <c r="BT2237" s="7"/>
    </row>
    <row r="2238" spans="58:72" x14ac:dyDescent="0.55000000000000004">
      <c r="BF2238" s="7"/>
      <c r="BM2238" s="7"/>
      <c r="BT2238" s="7"/>
    </row>
    <row r="2239" spans="58:72" x14ac:dyDescent="0.55000000000000004">
      <c r="BF2239" s="7"/>
      <c r="BM2239" s="7"/>
      <c r="BT2239" s="7"/>
    </row>
    <row r="2240" spans="58:72" x14ac:dyDescent="0.55000000000000004">
      <c r="BF2240" s="7"/>
      <c r="BM2240" s="7"/>
      <c r="BT2240" s="7"/>
    </row>
    <row r="2241" spans="58:72" x14ac:dyDescent="0.55000000000000004">
      <c r="BF2241" s="7"/>
      <c r="BM2241" s="7"/>
      <c r="BT2241" s="7"/>
    </row>
    <row r="2242" spans="58:72" x14ac:dyDescent="0.55000000000000004">
      <c r="BF2242" s="7"/>
      <c r="BM2242" s="7"/>
      <c r="BT2242" s="7"/>
    </row>
    <row r="2243" spans="58:72" x14ac:dyDescent="0.55000000000000004">
      <c r="BF2243" s="7"/>
      <c r="BM2243" s="7"/>
      <c r="BT2243" s="7"/>
    </row>
    <row r="2244" spans="58:72" x14ac:dyDescent="0.55000000000000004">
      <c r="BF2244" s="7"/>
      <c r="BM2244" s="7"/>
      <c r="BT2244" s="7"/>
    </row>
    <row r="2245" spans="58:72" x14ac:dyDescent="0.55000000000000004">
      <c r="BF2245" s="7"/>
      <c r="BM2245" s="7"/>
      <c r="BT2245" s="7"/>
    </row>
    <row r="2246" spans="58:72" x14ac:dyDescent="0.55000000000000004">
      <c r="BF2246" s="7"/>
      <c r="BM2246" s="7"/>
      <c r="BT2246" s="7"/>
    </row>
    <row r="2247" spans="58:72" x14ac:dyDescent="0.55000000000000004">
      <c r="BF2247" s="7"/>
      <c r="BM2247" s="7"/>
      <c r="BT2247" s="7"/>
    </row>
    <row r="2248" spans="58:72" x14ac:dyDescent="0.55000000000000004">
      <c r="BF2248" s="7"/>
      <c r="BM2248" s="7"/>
      <c r="BT2248" s="7"/>
    </row>
    <row r="2249" spans="58:72" x14ac:dyDescent="0.55000000000000004">
      <c r="BF2249" s="7"/>
      <c r="BM2249" s="7"/>
      <c r="BT2249" s="7"/>
    </row>
    <row r="2250" spans="58:72" x14ac:dyDescent="0.55000000000000004">
      <c r="BF2250" s="7"/>
      <c r="BM2250" s="7"/>
      <c r="BT2250" s="7"/>
    </row>
    <row r="2251" spans="58:72" x14ac:dyDescent="0.55000000000000004">
      <c r="BF2251" s="7"/>
      <c r="BM2251" s="7"/>
      <c r="BT2251" s="7"/>
    </row>
    <row r="2252" spans="58:72" x14ac:dyDescent="0.55000000000000004">
      <c r="BF2252" s="7"/>
      <c r="BM2252" s="7"/>
      <c r="BT2252" s="7"/>
    </row>
    <row r="2253" spans="58:72" x14ac:dyDescent="0.55000000000000004">
      <c r="BF2253" s="7"/>
      <c r="BM2253" s="7"/>
      <c r="BT2253" s="7"/>
    </row>
    <row r="2254" spans="58:72" x14ac:dyDescent="0.55000000000000004">
      <c r="BF2254" s="7"/>
      <c r="BM2254" s="7"/>
      <c r="BT2254" s="7"/>
    </row>
    <row r="2255" spans="58:72" x14ac:dyDescent="0.55000000000000004">
      <c r="BF2255" s="7"/>
      <c r="BM2255" s="7"/>
      <c r="BT2255" s="7"/>
    </row>
    <row r="2256" spans="58:72" x14ac:dyDescent="0.55000000000000004">
      <c r="BF2256" s="7"/>
      <c r="BM2256" s="7"/>
      <c r="BT2256" s="7"/>
    </row>
    <row r="2257" spans="58:72" x14ac:dyDescent="0.55000000000000004">
      <c r="BF2257" s="7"/>
      <c r="BM2257" s="7"/>
      <c r="BT2257" s="7"/>
    </row>
    <row r="2258" spans="58:72" x14ac:dyDescent="0.55000000000000004">
      <c r="BF2258" s="7"/>
      <c r="BM2258" s="7"/>
      <c r="BT2258" s="7"/>
    </row>
    <row r="2259" spans="58:72" x14ac:dyDescent="0.55000000000000004">
      <c r="BF2259" s="7"/>
      <c r="BM2259" s="7"/>
      <c r="BT2259" s="7"/>
    </row>
    <row r="2260" spans="58:72" x14ac:dyDescent="0.55000000000000004">
      <c r="BF2260" s="7"/>
      <c r="BM2260" s="7"/>
      <c r="BT2260" s="7"/>
    </row>
    <row r="2261" spans="58:72" x14ac:dyDescent="0.55000000000000004">
      <c r="BF2261" s="7"/>
      <c r="BM2261" s="7"/>
      <c r="BT2261" s="7"/>
    </row>
    <row r="2262" spans="58:72" x14ac:dyDescent="0.55000000000000004">
      <c r="BF2262" s="7"/>
      <c r="BM2262" s="7"/>
      <c r="BT2262" s="7"/>
    </row>
    <row r="2263" spans="58:72" x14ac:dyDescent="0.55000000000000004">
      <c r="BF2263" s="7"/>
      <c r="BM2263" s="7"/>
      <c r="BT2263" s="7"/>
    </row>
    <row r="2264" spans="58:72" x14ac:dyDescent="0.55000000000000004">
      <c r="BF2264" s="7"/>
      <c r="BM2264" s="7"/>
      <c r="BT2264" s="7"/>
    </row>
    <row r="2265" spans="58:72" x14ac:dyDescent="0.55000000000000004">
      <c r="BF2265" s="7"/>
      <c r="BM2265" s="7"/>
      <c r="BT2265" s="7"/>
    </row>
    <row r="2266" spans="58:72" x14ac:dyDescent="0.55000000000000004">
      <c r="BF2266" s="7"/>
      <c r="BM2266" s="7"/>
      <c r="BT2266" s="7"/>
    </row>
    <row r="2267" spans="58:72" x14ac:dyDescent="0.55000000000000004">
      <c r="BF2267" s="7"/>
      <c r="BM2267" s="7"/>
      <c r="BT2267" s="7"/>
    </row>
    <row r="2268" spans="58:72" x14ac:dyDescent="0.55000000000000004">
      <c r="BF2268" s="7"/>
      <c r="BM2268" s="7"/>
      <c r="BT2268" s="7"/>
    </row>
    <row r="2269" spans="58:72" x14ac:dyDescent="0.55000000000000004">
      <c r="BF2269" s="7"/>
      <c r="BM2269" s="7"/>
      <c r="BT2269" s="7"/>
    </row>
    <row r="2270" spans="58:72" x14ac:dyDescent="0.55000000000000004">
      <c r="BF2270" s="7"/>
      <c r="BM2270" s="7"/>
      <c r="BT2270" s="7"/>
    </row>
    <row r="2271" spans="58:72" x14ac:dyDescent="0.55000000000000004">
      <c r="BF2271" s="7"/>
      <c r="BM2271" s="7"/>
      <c r="BT2271" s="7"/>
    </row>
    <row r="2272" spans="58:72" x14ac:dyDescent="0.55000000000000004">
      <c r="BF2272" s="7"/>
      <c r="BM2272" s="7"/>
      <c r="BT2272" s="7"/>
    </row>
    <row r="2273" spans="58:72" x14ac:dyDescent="0.55000000000000004">
      <c r="BF2273" s="7"/>
      <c r="BM2273" s="7"/>
      <c r="BT2273" s="7"/>
    </row>
    <row r="2274" spans="58:72" x14ac:dyDescent="0.55000000000000004">
      <c r="BF2274" s="7"/>
      <c r="BM2274" s="7"/>
      <c r="BT2274" s="7"/>
    </row>
    <row r="2275" spans="58:72" x14ac:dyDescent="0.55000000000000004">
      <c r="BF2275" s="7"/>
      <c r="BM2275" s="7"/>
      <c r="BT2275" s="7"/>
    </row>
    <row r="2276" spans="58:72" x14ac:dyDescent="0.55000000000000004">
      <c r="BF2276" s="7"/>
      <c r="BM2276" s="7"/>
      <c r="BT2276" s="7"/>
    </row>
    <row r="2277" spans="58:72" x14ac:dyDescent="0.55000000000000004">
      <c r="BF2277" s="7"/>
      <c r="BM2277" s="7"/>
      <c r="BT2277" s="7"/>
    </row>
    <row r="2278" spans="58:72" x14ac:dyDescent="0.55000000000000004">
      <c r="BF2278" s="7"/>
      <c r="BM2278" s="7"/>
      <c r="BT2278" s="7"/>
    </row>
    <row r="2279" spans="58:72" x14ac:dyDescent="0.55000000000000004">
      <c r="BF2279" s="7"/>
      <c r="BM2279" s="7"/>
      <c r="BT2279" s="7"/>
    </row>
    <row r="2280" spans="58:72" x14ac:dyDescent="0.55000000000000004">
      <c r="BF2280" s="7"/>
      <c r="BM2280" s="7"/>
      <c r="BT2280" s="7"/>
    </row>
    <row r="2281" spans="58:72" x14ac:dyDescent="0.55000000000000004">
      <c r="BF2281" s="7"/>
      <c r="BM2281" s="7"/>
      <c r="BT2281" s="7"/>
    </row>
    <row r="2282" spans="58:72" x14ac:dyDescent="0.55000000000000004">
      <c r="BF2282" s="7"/>
      <c r="BM2282" s="7"/>
      <c r="BT2282" s="7"/>
    </row>
    <row r="2283" spans="58:72" x14ac:dyDescent="0.55000000000000004">
      <c r="BF2283" s="7"/>
      <c r="BM2283" s="7"/>
      <c r="BT2283" s="7"/>
    </row>
    <row r="2284" spans="58:72" x14ac:dyDescent="0.55000000000000004">
      <c r="BF2284" s="7"/>
      <c r="BM2284" s="7"/>
      <c r="BT2284" s="7"/>
    </row>
    <row r="2285" spans="58:72" x14ac:dyDescent="0.55000000000000004">
      <c r="BF2285" s="7"/>
      <c r="BM2285" s="7"/>
      <c r="BT2285" s="7"/>
    </row>
    <row r="2286" spans="58:72" x14ac:dyDescent="0.55000000000000004">
      <c r="BF2286" s="7"/>
      <c r="BM2286" s="7"/>
      <c r="BT2286" s="7"/>
    </row>
    <row r="2287" spans="58:72" x14ac:dyDescent="0.55000000000000004">
      <c r="BF2287" s="7"/>
      <c r="BM2287" s="7"/>
      <c r="BT2287" s="7"/>
    </row>
    <row r="2288" spans="58:72" x14ac:dyDescent="0.55000000000000004">
      <c r="BF2288" s="7"/>
      <c r="BM2288" s="7"/>
      <c r="BT2288" s="7"/>
    </row>
    <row r="2289" spans="58:72" x14ac:dyDescent="0.55000000000000004">
      <c r="BF2289" s="7"/>
      <c r="BM2289" s="7"/>
      <c r="BT2289" s="7"/>
    </row>
    <row r="2290" spans="58:72" x14ac:dyDescent="0.55000000000000004">
      <c r="BF2290" s="7"/>
      <c r="BM2290" s="7"/>
      <c r="BT2290" s="7"/>
    </row>
    <row r="2291" spans="58:72" x14ac:dyDescent="0.55000000000000004">
      <c r="BF2291" s="7"/>
      <c r="BM2291" s="7"/>
      <c r="BT2291" s="7"/>
    </row>
    <row r="2292" spans="58:72" x14ac:dyDescent="0.55000000000000004">
      <c r="BF2292" s="7"/>
      <c r="BM2292" s="7"/>
      <c r="BT2292" s="7"/>
    </row>
    <row r="2293" spans="58:72" x14ac:dyDescent="0.55000000000000004">
      <c r="BF2293" s="7"/>
      <c r="BM2293" s="7"/>
      <c r="BT2293" s="7"/>
    </row>
    <row r="2294" spans="58:72" x14ac:dyDescent="0.55000000000000004">
      <c r="BF2294" s="7"/>
      <c r="BM2294" s="7"/>
      <c r="BT2294" s="7"/>
    </row>
    <row r="2295" spans="58:72" x14ac:dyDescent="0.55000000000000004">
      <c r="BF2295" s="7"/>
      <c r="BM2295" s="7"/>
      <c r="BT2295" s="7"/>
    </row>
    <row r="2296" spans="58:72" x14ac:dyDescent="0.55000000000000004">
      <c r="BF2296" s="7"/>
      <c r="BM2296" s="7"/>
      <c r="BT2296" s="7"/>
    </row>
    <row r="2297" spans="58:72" x14ac:dyDescent="0.55000000000000004">
      <c r="BF2297" s="7"/>
      <c r="BM2297" s="7"/>
      <c r="BT2297" s="7"/>
    </row>
    <row r="2298" spans="58:72" x14ac:dyDescent="0.55000000000000004">
      <c r="BF2298" s="7"/>
      <c r="BM2298" s="7"/>
      <c r="BT2298" s="7"/>
    </row>
    <row r="2299" spans="58:72" x14ac:dyDescent="0.55000000000000004">
      <c r="BF2299" s="7"/>
      <c r="BM2299" s="7"/>
      <c r="BT2299" s="7"/>
    </row>
    <row r="2300" spans="58:72" x14ac:dyDescent="0.55000000000000004">
      <c r="BF2300" s="7"/>
      <c r="BM2300" s="7"/>
      <c r="BT2300" s="7"/>
    </row>
    <row r="2301" spans="58:72" x14ac:dyDescent="0.55000000000000004">
      <c r="BF2301" s="7"/>
      <c r="BM2301" s="7"/>
      <c r="BT2301" s="7"/>
    </row>
    <row r="2302" spans="58:72" x14ac:dyDescent="0.55000000000000004">
      <c r="BF2302" s="7"/>
      <c r="BM2302" s="7"/>
      <c r="BT2302" s="7"/>
    </row>
    <row r="2303" spans="58:72" x14ac:dyDescent="0.55000000000000004">
      <c r="BF2303" s="7"/>
      <c r="BM2303" s="7"/>
      <c r="BT2303" s="7"/>
    </row>
    <row r="2304" spans="58:72" x14ac:dyDescent="0.55000000000000004">
      <c r="BF2304" s="7"/>
      <c r="BM2304" s="7"/>
      <c r="BT2304" s="7"/>
    </row>
    <row r="2305" spans="58:72" x14ac:dyDescent="0.55000000000000004">
      <c r="BF2305" s="7"/>
      <c r="BM2305" s="7"/>
      <c r="BT2305" s="7"/>
    </row>
    <row r="2306" spans="58:72" x14ac:dyDescent="0.55000000000000004">
      <c r="BF2306" s="7"/>
      <c r="BM2306" s="7"/>
      <c r="BT2306" s="7"/>
    </row>
    <row r="2307" spans="58:72" x14ac:dyDescent="0.55000000000000004">
      <c r="BF2307" s="7"/>
      <c r="BM2307" s="7"/>
      <c r="BT2307" s="7"/>
    </row>
    <row r="2308" spans="58:72" x14ac:dyDescent="0.55000000000000004">
      <c r="BF2308" s="7"/>
      <c r="BM2308" s="7"/>
      <c r="BT2308" s="7"/>
    </row>
    <row r="2309" spans="58:72" x14ac:dyDescent="0.55000000000000004">
      <c r="BF2309" s="7"/>
      <c r="BM2309" s="7"/>
      <c r="BT2309" s="7"/>
    </row>
    <row r="2310" spans="58:72" x14ac:dyDescent="0.55000000000000004">
      <c r="BF2310" s="7"/>
      <c r="BM2310" s="7"/>
      <c r="BT2310" s="7"/>
    </row>
    <row r="2311" spans="58:72" x14ac:dyDescent="0.55000000000000004">
      <c r="BF2311" s="7"/>
      <c r="BM2311" s="7"/>
      <c r="BT2311" s="7"/>
    </row>
    <row r="2312" spans="58:72" x14ac:dyDescent="0.55000000000000004">
      <c r="BF2312" s="7"/>
      <c r="BM2312" s="7"/>
      <c r="BT2312" s="7"/>
    </row>
    <row r="2313" spans="58:72" x14ac:dyDescent="0.55000000000000004">
      <c r="BF2313" s="7"/>
      <c r="BM2313" s="7"/>
      <c r="BT2313" s="7"/>
    </row>
    <row r="2314" spans="58:72" x14ac:dyDescent="0.55000000000000004">
      <c r="BF2314" s="7"/>
      <c r="BM2314" s="7"/>
      <c r="BT2314" s="7"/>
    </row>
    <row r="2315" spans="58:72" x14ac:dyDescent="0.55000000000000004">
      <c r="BF2315" s="7"/>
      <c r="BM2315" s="7"/>
      <c r="BT2315" s="7"/>
    </row>
    <row r="2316" spans="58:72" x14ac:dyDescent="0.55000000000000004">
      <c r="BF2316" s="7"/>
      <c r="BM2316" s="7"/>
      <c r="BT2316" s="7"/>
    </row>
    <row r="2317" spans="58:72" x14ac:dyDescent="0.55000000000000004">
      <c r="BF2317" s="7"/>
      <c r="BM2317" s="7"/>
      <c r="BT2317" s="7"/>
    </row>
    <row r="2318" spans="58:72" x14ac:dyDescent="0.55000000000000004">
      <c r="BF2318" s="7"/>
      <c r="BM2318" s="7"/>
      <c r="BT2318" s="7"/>
    </row>
    <row r="2319" spans="58:72" x14ac:dyDescent="0.55000000000000004">
      <c r="BF2319" s="7"/>
      <c r="BM2319" s="7"/>
      <c r="BT2319" s="7"/>
    </row>
    <row r="2320" spans="58:72" x14ac:dyDescent="0.55000000000000004">
      <c r="BF2320" s="7"/>
      <c r="BM2320" s="7"/>
      <c r="BT2320" s="7"/>
    </row>
    <row r="2321" spans="58:72" x14ac:dyDescent="0.55000000000000004">
      <c r="BF2321" s="7"/>
      <c r="BM2321" s="7"/>
      <c r="BT2321" s="7"/>
    </row>
    <row r="2322" spans="58:72" x14ac:dyDescent="0.55000000000000004">
      <c r="BF2322" s="7"/>
      <c r="BM2322" s="7"/>
      <c r="BT2322" s="7"/>
    </row>
    <row r="2323" spans="58:72" x14ac:dyDescent="0.55000000000000004">
      <c r="BF2323" s="7"/>
      <c r="BM2323" s="7"/>
      <c r="BT2323" s="7"/>
    </row>
    <row r="2324" spans="58:72" x14ac:dyDescent="0.55000000000000004">
      <c r="BF2324" s="7"/>
      <c r="BM2324" s="7"/>
      <c r="BT2324" s="7"/>
    </row>
    <row r="2325" spans="58:72" x14ac:dyDescent="0.55000000000000004">
      <c r="BF2325" s="7"/>
      <c r="BM2325" s="7"/>
      <c r="BT2325" s="7"/>
    </row>
    <row r="2326" spans="58:72" x14ac:dyDescent="0.55000000000000004">
      <c r="BF2326" s="7"/>
      <c r="BM2326" s="7"/>
      <c r="BT2326" s="7"/>
    </row>
    <row r="2327" spans="58:72" x14ac:dyDescent="0.55000000000000004">
      <c r="BF2327" s="7"/>
      <c r="BM2327" s="7"/>
      <c r="BT2327" s="7"/>
    </row>
    <row r="2328" spans="58:72" x14ac:dyDescent="0.55000000000000004">
      <c r="BF2328" s="7"/>
      <c r="BM2328" s="7"/>
      <c r="BT2328" s="7"/>
    </row>
    <row r="2329" spans="58:72" x14ac:dyDescent="0.55000000000000004">
      <c r="BF2329" s="7"/>
      <c r="BM2329" s="7"/>
      <c r="BT2329" s="7"/>
    </row>
    <row r="2330" spans="58:72" x14ac:dyDescent="0.55000000000000004">
      <c r="BF2330" s="7"/>
      <c r="BM2330" s="7"/>
      <c r="BT2330" s="7"/>
    </row>
    <row r="2331" spans="58:72" x14ac:dyDescent="0.55000000000000004">
      <c r="BF2331" s="7"/>
      <c r="BM2331" s="7"/>
      <c r="BT2331" s="7"/>
    </row>
    <row r="2332" spans="58:72" x14ac:dyDescent="0.55000000000000004">
      <c r="BF2332" s="7"/>
      <c r="BM2332" s="7"/>
      <c r="BT2332" s="7"/>
    </row>
    <row r="2333" spans="58:72" x14ac:dyDescent="0.55000000000000004">
      <c r="BF2333" s="7"/>
      <c r="BM2333" s="7"/>
      <c r="BT2333" s="7"/>
    </row>
    <row r="2334" spans="58:72" x14ac:dyDescent="0.55000000000000004">
      <c r="BF2334" s="7"/>
      <c r="BM2334" s="7"/>
      <c r="BT2334" s="7"/>
    </row>
    <row r="2335" spans="58:72" x14ac:dyDescent="0.55000000000000004">
      <c r="BF2335" s="7"/>
      <c r="BM2335" s="7"/>
      <c r="BT2335" s="7"/>
    </row>
    <row r="2336" spans="58:72" x14ac:dyDescent="0.55000000000000004">
      <c r="BF2336" s="7"/>
      <c r="BM2336" s="7"/>
      <c r="BT2336" s="7"/>
    </row>
    <row r="2337" spans="58:72" x14ac:dyDescent="0.55000000000000004">
      <c r="BF2337" s="7"/>
      <c r="BM2337" s="7"/>
      <c r="BT2337" s="7"/>
    </row>
    <row r="2338" spans="58:72" x14ac:dyDescent="0.55000000000000004">
      <c r="BF2338" s="7"/>
      <c r="BM2338" s="7"/>
      <c r="BT2338" s="7"/>
    </row>
    <row r="2339" spans="58:72" x14ac:dyDescent="0.55000000000000004">
      <c r="BF2339" s="7"/>
      <c r="BM2339" s="7"/>
      <c r="BT2339" s="7"/>
    </row>
    <row r="2340" spans="58:72" x14ac:dyDescent="0.55000000000000004">
      <c r="BF2340" s="7"/>
      <c r="BM2340" s="7"/>
      <c r="BT2340" s="7"/>
    </row>
    <row r="2341" spans="58:72" x14ac:dyDescent="0.55000000000000004">
      <c r="BF2341" s="7"/>
      <c r="BM2341" s="7"/>
      <c r="BT2341" s="7"/>
    </row>
    <row r="2342" spans="58:72" x14ac:dyDescent="0.55000000000000004">
      <c r="BF2342" s="7"/>
      <c r="BM2342" s="7"/>
      <c r="BT2342" s="7"/>
    </row>
    <row r="2343" spans="58:72" x14ac:dyDescent="0.55000000000000004">
      <c r="BF2343" s="7"/>
      <c r="BM2343" s="7"/>
      <c r="BT2343" s="7"/>
    </row>
    <row r="2344" spans="58:72" x14ac:dyDescent="0.55000000000000004">
      <c r="BF2344" s="7"/>
      <c r="BM2344" s="7"/>
      <c r="BT2344" s="7"/>
    </row>
    <row r="2345" spans="58:72" x14ac:dyDescent="0.55000000000000004">
      <c r="BF2345" s="7"/>
      <c r="BM2345" s="7"/>
      <c r="BT2345" s="7"/>
    </row>
    <row r="2346" spans="58:72" x14ac:dyDescent="0.55000000000000004">
      <c r="BF2346" s="7"/>
      <c r="BM2346" s="7"/>
      <c r="BT2346" s="7"/>
    </row>
    <row r="2347" spans="58:72" x14ac:dyDescent="0.55000000000000004">
      <c r="BF2347" s="7"/>
      <c r="BM2347" s="7"/>
      <c r="BT2347" s="7"/>
    </row>
    <row r="2348" spans="58:72" x14ac:dyDescent="0.55000000000000004">
      <c r="BF2348" s="7"/>
      <c r="BM2348" s="7"/>
      <c r="BT2348" s="7"/>
    </row>
    <row r="2349" spans="58:72" x14ac:dyDescent="0.55000000000000004">
      <c r="BF2349" s="7"/>
      <c r="BM2349" s="7"/>
      <c r="BT2349" s="7"/>
    </row>
    <row r="2350" spans="58:72" x14ac:dyDescent="0.55000000000000004">
      <c r="BF2350" s="7"/>
      <c r="BM2350" s="7"/>
      <c r="BT2350" s="7"/>
    </row>
    <row r="2351" spans="58:72" x14ac:dyDescent="0.55000000000000004">
      <c r="BF2351" s="7"/>
      <c r="BM2351" s="7"/>
      <c r="BT2351" s="7"/>
    </row>
    <row r="2352" spans="58:72" x14ac:dyDescent="0.55000000000000004">
      <c r="BF2352" s="7"/>
      <c r="BM2352" s="7"/>
      <c r="BT2352" s="7"/>
    </row>
    <row r="2353" spans="58:72" x14ac:dyDescent="0.55000000000000004">
      <c r="BF2353" s="7"/>
      <c r="BM2353" s="7"/>
      <c r="BT2353" s="7"/>
    </row>
    <row r="2354" spans="58:72" x14ac:dyDescent="0.55000000000000004">
      <c r="BF2354" s="7"/>
      <c r="BM2354" s="7"/>
      <c r="BT2354" s="7"/>
    </row>
    <row r="2355" spans="58:72" x14ac:dyDescent="0.55000000000000004">
      <c r="BF2355" s="7"/>
      <c r="BM2355" s="7"/>
      <c r="BT2355" s="7"/>
    </row>
    <row r="2356" spans="58:72" x14ac:dyDescent="0.55000000000000004">
      <c r="BF2356" s="7"/>
      <c r="BM2356" s="7"/>
      <c r="BT2356" s="7"/>
    </row>
    <row r="2357" spans="58:72" x14ac:dyDescent="0.55000000000000004">
      <c r="BF2357" s="7"/>
      <c r="BM2357" s="7"/>
      <c r="BT2357" s="7"/>
    </row>
    <row r="2358" spans="58:72" x14ac:dyDescent="0.55000000000000004">
      <c r="BF2358" s="7"/>
      <c r="BM2358" s="7"/>
      <c r="BT2358" s="7"/>
    </row>
    <row r="2359" spans="58:72" x14ac:dyDescent="0.55000000000000004">
      <c r="BF2359" s="7"/>
      <c r="BM2359" s="7"/>
      <c r="BT2359" s="7"/>
    </row>
    <row r="2360" spans="58:72" x14ac:dyDescent="0.55000000000000004">
      <c r="BF2360" s="7"/>
      <c r="BM2360" s="7"/>
      <c r="BT2360" s="7"/>
    </row>
    <row r="2361" spans="58:72" x14ac:dyDescent="0.55000000000000004">
      <c r="BF2361" s="7"/>
      <c r="BM2361" s="7"/>
      <c r="BT2361" s="7"/>
    </row>
    <row r="2362" spans="58:72" x14ac:dyDescent="0.55000000000000004">
      <c r="BF2362" s="7"/>
      <c r="BM2362" s="7"/>
      <c r="BT2362" s="7"/>
    </row>
    <row r="2363" spans="58:72" x14ac:dyDescent="0.55000000000000004">
      <c r="BF2363" s="7"/>
      <c r="BM2363" s="7"/>
      <c r="BT2363" s="7"/>
    </row>
    <row r="2364" spans="58:72" x14ac:dyDescent="0.55000000000000004">
      <c r="BF2364" s="7"/>
      <c r="BM2364" s="7"/>
      <c r="BT2364" s="7"/>
    </row>
    <row r="2365" spans="58:72" x14ac:dyDescent="0.55000000000000004">
      <c r="BF2365" s="7"/>
      <c r="BM2365" s="7"/>
      <c r="BT2365" s="7"/>
    </row>
    <row r="2366" spans="58:72" x14ac:dyDescent="0.55000000000000004">
      <c r="BF2366" s="7"/>
      <c r="BM2366" s="7"/>
      <c r="BT2366" s="7"/>
    </row>
    <row r="2367" spans="58:72" x14ac:dyDescent="0.55000000000000004">
      <c r="BF2367" s="7"/>
      <c r="BM2367" s="7"/>
      <c r="BT2367" s="7"/>
    </row>
    <row r="2368" spans="58:72" x14ac:dyDescent="0.55000000000000004">
      <c r="BF2368" s="7"/>
      <c r="BM2368" s="7"/>
      <c r="BT2368" s="7"/>
    </row>
    <row r="2369" spans="58:72" x14ac:dyDescent="0.55000000000000004">
      <c r="BF2369" s="7"/>
      <c r="BM2369" s="7"/>
      <c r="BT2369" s="7"/>
    </row>
    <row r="2370" spans="58:72" x14ac:dyDescent="0.55000000000000004">
      <c r="BF2370" s="7"/>
      <c r="BM2370" s="7"/>
      <c r="BT2370" s="7"/>
    </row>
    <row r="2371" spans="58:72" x14ac:dyDescent="0.55000000000000004">
      <c r="BF2371" s="7"/>
      <c r="BM2371" s="7"/>
      <c r="BT2371" s="7"/>
    </row>
    <row r="2372" spans="58:72" x14ac:dyDescent="0.55000000000000004">
      <c r="BF2372" s="7"/>
      <c r="BM2372" s="7"/>
      <c r="BT2372" s="7"/>
    </row>
    <row r="2373" spans="58:72" x14ac:dyDescent="0.55000000000000004">
      <c r="BF2373" s="7"/>
      <c r="BM2373" s="7"/>
      <c r="BT2373" s="7"/>
    </row>
    <row r="2374" spans="58:72" x14ac:dyDescent="0.55000000000000004">
      <c r="BF2374" s="7"/>
      <c r="BM2374" s="7"/>
      <c r="BT2374" s="7"/>
    </row>
    <row r="2375" spans="58:72" x14ac:dyDescent="0.55000000000000004">
      <c r="BF2375" s="7"/>
      <c r="BM2375" s="7"/>
      <c r="BT2375" s="7"/>
    </row>
    <row r="2376" spans="58:72" x14ac:dyDescent="0.55000000000000004">
      <c r="BF2376" s="7"/>
      <c r="BM2376" s="7"/>
      <c r="BT2376" s="7"/>
    </row>
    <row r="2377" spans="58:72" x14ac:dyDescent="0.55000000000000004">
      <c r="BF2377" s="7"/>
      <c r="BM2377" s="7"/>
      <c r="BT2377" s="7"/>
    </row>
    <row r="2378" spans="58:72" x14ac:dyDescent="0.55000000000000004">
      <c r="BF2378" s="7"/>
      <c r="BM2378" s="7"/>
      <c r="BT2378" s="7"/>
    </row>
    <row r="2379" spans="58:72" x14ac:dyDescent="0.55000000000000004">
      <c r="BF2379" s="7"/>
      <c r="BM2379" s="7"/>
      <c r="BT2379" s="7"/>
    </row>
    <row r="2380" spans="58:72" x14ac:dyDescent="0.55000000000000004">
      <c r="BF2380" s="7"/>
      <c r="BM2380" s="7"/>
      <c r="BT2380" s="7"/>
    </row>
    <row r="2381" spans="58:72" x14ac:dyDescent="0.55000000000000004">
      <c r="BF2381" s="7"/>
      <c r="BM2381" s="7"/>
      <c r="BT2381" s="7"/>
    </row>
    <row r="2382" spans="58:72" x14ac:dyDescent="0.55000000000000004">
      <c r="BF2382" s="7"/>
      <c r="BM2382" s="7"/>
      <c r="BT2382" s="7"/>
    </row>
    <row r="2383" spans="58:72" x14ac:dyDescent="0.55000000000000004">
      <c r="BF2383" s="7"/>
      <c r="BM2383" s="7"/>
      <c r="BT2383" s="7"/>
    </row>
    <row r="2384" spans="58:72" x14ac:dyDescent="0.55000000000000004">
      <c r="BF2384" s="7"/>
      <c r="BM2384" s="7"/>
      <c r="BT2384" s="7"/>
    </row>
    <row r="2385" spans="58:72" x14ac:dyDescent="0.55000000000000004">
      <c r="BF2385" s="7"/>
      <c r="BM2385" s="7"/>
      <c r="BT2385" s="7"/>
    </row>
    <row r="2386" spans="58:72" x14ac:dyDescent="0.55000000000000004">
      <c r="BF2386" s="7"/>
      <c r="BM2386" s="7"/>
      <c r="BT2386" s="7"/>
    </row>
    <row r="2387" spans="58:72" x14ac:dyDescent="0.55000000000000004">
      <c r="BF2387" s="7"/>
      <c r="BM2387" s="7"/>
      <c r="BT2387" s="7"/>
    </row>
    <row r="2388" spans="58:72" x14ac:dyDescent="0.55000000000000004">
      <c r="BF2388" s="7"/>
      <c r="BM2388" s="7"/>
      <c r="BT2388" s="7"/>
    </row>
    <row r="2389" spans="58:72" x14ac:dyDescent="0.55000000000000004">
      <c r="BF2389" s="7"/>
      <c r="BM2389" s="7"/>
      <c r="BT2389" s="7"/>
    </row>
    <row r="2390" spans="58:72" x14ac:dyDescent="0.55000000000000004">
      <c r="BF2390" s="7"/>
      <c r="BM2390" s="7"/>
      <c r="BT2390" s="7"/>
    </row>
    <row r="2391" spans="58:72" x14ac:dyDescent="0.55000000000000004">
      <c r="BF2391" s="7"/>
      <c r="BM2391" s="7"/>
      <c r="BT2391" s="7"/>
    </row>
    <row r="2392" spans="58:72" x14ac:dyDescent="0.55000000000000004">
      <c r="BF2392" s="7"/>
      <c r="BM2392" s="7"/>
      <c r="BT2392" s="7"/>
    </row>
    <row r="2393" spans="58:72" x14ac:dyDescent="0.55000000000000004">
      <c r="BF2393" s="7"/>
      <c r="BM2393" s="7"/>
      <c r="BT2393" s="7"/>
    </row>
    <row r="2394" spans="58:72" x14ac:dyDescent="0.55000000000000004">
      <c r="BF2394" s="7"/>
      <c r="BM2394" s="7"/>
      <c r="BT2394" s="7"/>
    </row>
    <row r="2395" spans="58:72" x14ac:dyDescent="0.55000000000000004">
      <c r="BF2395" s="7"/>
      <c r="BM2395" s="7"/>
      <c r="BT2395" s="7"/>
    </row>
    <row r="2396" spans="58:72" x14ac:dyDescent="0.55000000000000004">
      <c r="BF2396" s="7"/>
      <c r="BM2396" s="7"/>
      <c r="BT2396" s="7"/>
    </row>
    <row r="2397" spans="58:72" x14ac:dyDescent="0.55000000000000004">
      <c r="BF2397" s="7"/>
      <c r="BM2397" s="7"/>
      <c r="BT2397" s="7"/>
    </row>
    <row r="2398" spans="58:72" x14ac:dyDescent="0.55000000000000004">
      <c r="BF2398" s="7"/>
      <c r="BM2398" s="7"/>
      <c r="BT2398" s="7"/>
    </row>
    <row r="2399" spans="58:72" x14ac:dyDescent="0.55000000000000004">
      <c r="BF2399" s="7"/>
      <c r="BM2399" s="7"/>
      <c r="BT2399" s="7"/>
    </row>
    <row r="2400" spans="58:72" x14ac:dyDescent="0.55000000000000004">
      <c r="BF2400" s="7"/>
      <c r="BM2400" s="7"/>
      <c r="BT2400" s="7"/>
    </row>
    <row r="2401" spans="58:72" x14ac:dyDescent="0.55000000000000004">
      <c r="BF2401" s="7"/>
      <c r="BM2401" s="7"/>
      <c r="BT2401" s="7"/>
    </row>
    <row r="2402" spans="58:72" x14ac:dyDescent="0.55000000000000004">
      <c r="BF2402" s="7"/>
      <c r="BM2402" s="7"/>
      <c r="BT2402" s="7"/>
    </row>
    <row r="2403" spans="58:72" x14ac:dyDescent="0.55000000000000004">
      <c r="BF2403" s="7"/>
      <c r="BM2403" s="7"/>
      <c r="BT2403" s="7"/>
    </row>
    <row r="2404" spans="58:72" x14ac:dyDescent="0.55000000000000004">
      <c r="BF2404" s="7"/>
      <c r="BM2404" s="7"/>
      <c r="BT2404" s="7"/>
    </row>
    <row r="2405" spans="58:72" x14ac:dyDescent="0.55000000000000004">
      <c r="BF2405" s="7"/>
      <c r="BM2405" s="7"/>
      <c r="BT2405" s="7"/>
    </row>
    <row r="2406" spans="58:72" x14ac:dyDescent="0.55000000000000004">
      <c r="BF2406" s="7"/>
      <c r="BM2406" s="7"/>
      <c r="BT2406" s="7"/>
    </row>
    <row r="2407" spans="58:72" x14ac:dyDescent="0.55000000000000004">
      <c r="BF2407" s="7"/>
      <c r="BM2407" s="7"/>
      <c r="BT2407" s="7"/>
    </row>
    <row r="2408" spans="58:72" x14ac:dyDescent="0.55000000000000004">
      <c r="BF2408" s="7"/>
      <c r="BM2408" s="7"/>
      <c r="BT2408" s="7"/>
    </row>
    <row r="2409" spans="58:72" x14ac:dyDescent="0.55000000000000004">
      <c r="BF2409" s="7"/>
      <c r="BM2409" s="7"/>
      <c r="BT2409" s="7"/>
    </row>
    <row r="2410" spans="58:72" x14ac:dyDescent="0.55000000000000004">
      <c r="BF2410" s="7"/>
      <c r="BM2410" s="7"/>
      <c r="BT2410" s="7"/>
    </row>
    <row r="2411" spans="58:72" x14ac:dyDescent="0.55000000000000004">
      <c r="BF2411" s="7"/>
      <c r="BM2411" s="7"/>
      <c r="BT2411" s="7"/>
    </row>
    <row r="2412" spans="58:72" x14ac:dyDescent="0.55000000000000004">
      <c r="BF2412" s="7"/>
      <c r="BM2412" s="7"/>
      <c r="BT2412" s="7"/>
    </row>
    <row r="2413" spans="58:72" x14ac:dyDescent="0.55000000000000004">
      <c r="BF2413" s="7"/>
      <c r="BM2413" s="7"/>
      <c r="BT2413" s="7"/>
    </row>
    <row r="2414" spans="58:72" x14ac:dyDescent="0.55000000000000004">
      <c r="BF2414" s="7"/>
      <c r="BM2414" s="7"/>
      <c r="BT2414" s="7"/>
    </row>
    <row r="2415" spans="58:72" x14ac:dyDescent="0.55000000000000004">
      <c r="BF2415" s="7"/>
      <c r="BM2415" s="7"/>
      <c r="BT2415" s="7"/>
    </row>
    <row r="2416" spans="58:72" x14ac:dyDescent="0.55000000000000004">
      <c r="BF2416" s="7"/>
      <c r="BM2416" s="7"/>
      <c r="BT2416" s="7"/>
    </row>
    <row r="2417" spans="58:72" x14ac:dyDescent="0.55000000000000004">
      <c r="BF2417" s="7"/>
      <c r="BM2417" s="7"/>
      <c r="BT2417" s="7"/>
    </row>
    <row r="2418" spans="58:72" x14ac:dyDescent="0.55000000000000004">
      <c r="BF2418" s="7"/>
      <c r="BM2418" s="7"/>
      <c r="BT2418" s="7"/>
    </row>
    <row r="2419" spans="58:72" x14ac:dyDescent="0.55000000000000004">
      <c r="BF2419" s="7"/>
      <c r="BM2419" s="7"/>
      <c r="BT2419" s="7"/>
    </row>
    <row r="2420" spans="58:72" x14ac:dyDescent="0.55000000000000004">
      <c r="BF2420" s="7"/>
      <c r="BM2420" s="7"/>
      <c r="BT2420" s="7"/>
    </row>
    <row r="2421" spans="58:72" x14ac:dyDescent="0.55000000000000004">
      <c r="BF2421" s="7"/>
      <c r="BM2421" s="7"/>
      <c r="BT2421" s="7"/>
    </row>
    <row r="2422" spans="58:72" x14ac:dyDescent="0.55000000000000004">
      <c r="BF2422" s="7"/>
      <c r="BM2422" s="7"/>
      <c r="BT2422" s="7"/>
    </row>
    <row r="2423" spans="58:72" x14ac:dyDescent="0.55000000000000004">
      <c r="BF2423" s="7"/>
      <c r="BM2423" s="7"/>
      <c r="BT2423" s="7"/>
    </row>
    <row r="2424" spans="58:72" x14ac:dyDescent="0.55000000000000004">
      <c r="BF2424" s="7"/>
      <c r="BM2424" s="7"/>
      <c r="BT2424" s="7"/>
    </row>
    <row r="2425" spans="58:72" x14ac:dyDescent="0.55000000000000004">
      <c r="BF2425" s="7"/>
      <c r="BM2425" s="7"/>
      <c r="BT2425" s="7"/>
    </row>
    <row r="2426" spans="58:72" x14ac:dyDescent="0.55000000000000004">
      <c r="BF2426" s="7"/>
      <c r="BM2426" s="7"/>
      <c r="BT2426" s="7"/>
    </row>
    <row r="2427" spans="58:72" x14ac:dyDescent="0.55000000000000004">
      <c r="BF2427" s="7"/>
      <c r="BM2427" s="7"/>
      <c r="BT2427" s="7"/>
    </row>
    <row r="2428" spans="58:72" x14ac:dyDescent="0.55000000000000004">
      <c r="BF2428" s="7"/>
      <c r="BM2428" s="7"/>
      <c r="BT2428" s="7"/>
    </row>
    <row r="2429" spans="58:72" x14ac:dyDescent="0.55000000000000004">
      <c r="BF2429" s="7"/>
      <c r="BM2429" s="7"/>
      <c r="BT2429" s="7"/>
    </row>
    <row r="2430" spans="58:72" x14ac:dyDescent="0.55000000000000004">
      <c r="BF2430" s="7"/>
      <c r="BM2430" s="7"/>
      <c r="BT2430" s="7"/>
    </row>
    <row r="2431" spans="58:72" x14ac:dyDescent="0.55000000000000004">
      <c r="BF2431" s="7"/>
      <c r="BM2431" s="7"/>
      <c r="BT2431" s="7"/>
    </row>
    <row r="2432" spans="58:72" x14ac:dyDescent="0.55000000000000004">
      <c r="BF2432" s="7"/>
      <c r="BM2432" s="7"/>
      <c r="BT2432" s="7"/>
    </row>
    <row r="2433" spans="58:72" x14ac:dyDescent="0.55000000000000004">
      <c r="BF2433" s="7"/>
      <c r="BM2433" s="7"/>
      <c r="BT2433" s="7"/>
    </row>
    <row r="2434" spans="58:72" x14ac:dyDescent="0.55000000000000004">
      <c r="BF2434" s="7"/>
      <c r="BM2434" s="7"/>
      <c r="BT2434" s="7"/>
    </row>
    <row r="2435" spans="58:72" x14ac:dyDescent="0.55000000000000004">
      <c r="BF2435" s="7"/>
      <c r="BM2435" s="7"/>
      <c r="BT2435" s="7"/>
    </row>
    <row r="2436" spans="58:72" x14ac:dyDescent="0.55000000000000004">
      <c r="BF2436" s="7"/>
      <c r="BM2436" s="7"/>
      <c r="BT2436" s="7"/>
    </row>
    <row r="2437" spans="58:72" x14ac:dyDescent="0.55000000000000004">
      <c r="BF2437" s="7"/>
      <c r="BM2437" s="7"/>
      <c r="BT2437" s="7"/>
    </row>
    <row r="2438" spans="58:72" x14ac:dyDescent="0.55000000000000004">
      <c r="BF2438" s="7"/>
      <c r="BM2438" s="7"/>
      <c r="BT2438" s="7"/>
    </row>
    <row r="2439" spans="58:72" x14ac:dyDescent="0.55000000000000004">
      <c r="BF2439" s="7"/>
      <c r="BM2439" s="7"/>
      <c r="BT2439" s="7"/>
    </row>
    <row r="2440" spans="58:72" x14ac:dyDescent="0.55000000000000004">
      <c r="BF2440" s="7"/>
      <c r="BM2440" s="7"/>
      <c r="BT2440" s="7"/>
    </row>
    <row r="2441" spans="58:72" x14ac:dyDescent="0.55000000000000004">
      <c r="BF2441" s="7"/>
      <c r="BM2441" s="7"/>
      <c r="BT2441" s="7"/>
    </row>
    <row r="2442" spans="58:72" x14ac:dyDescent="0.55000000000000004">
      <c r="BF2442" s="7"/>
      <c r="BM2442" s="7"/>
      <c r="BT2442" s="7"/>
    </row>
    <row r="2443" spans="58:72" x14ac:dyDescent="0.55000000000000004">
      <c r="BF2443" s="7"/>
      <c r="BM2443" s="7"/>
      <c r="BT2443" s="7"/>
    </row>
    <row r="2444" spans="58:72" x14ac:dyDescent="0.55000000000000004">
      <c r="BF2444" s="7"/>
      <c r="BM2444" s="7"/>
      <c r="BT2444" s="7"/>
    </row>
    <row r="2445" spans="58:72" x14ac:dyDescent="0.55000000000000004">
      <c r="BF2445" s="7"/>
      <c r="BM2445" s="7"/>
      <c r="BT2445" s="7"/>
    </row>
    <row r="2446" spans="58:72" x14ac:dyDescent="0.55000000000000004">
      <c r="BF2446" s="7"/>
      <c r="BM2446" s="7"/>
      <c r="BT2446" s="7"/>
    </row>
    <row r="2447" spans="58:72" x14ac:dyDescent="0.55000000000000004">
      <c r="BF2447" s="7"/>
      <c r="BM2447" s="7"/>
      <c r="BT2447" s="7"/>
    </row>
    <row r="2448" spans="58:72" x14ac:dyDescent="0.55000000000000004">
      <c r="BF2448" s="7"/>
      <c r="BM2448" s="7"/>
      <c r="BT2448" s="7"/>
    </row>
    <row r="2449" spans="58:72" x14ac:dyDescent="0.55000000000000004">
      <c r="BF2449" s="7"/>
      <c r="BM2449" s="7"/>
      <c r="BT2449" s="7"/>
    </row>
    <row r="2450" spans="58:72" x14ac:dyDescent="0.55000000000000004">
      <c r="BF2450" s="7"/>
      <c r="BM2450" s="7"/>
      <c r="BT2450" s="7"/>
    </row>
    <row r="2451" spans="58:72" x14ac:dyDescent="0.55000000000000004">
      <c r="BF2451" s="7"/>
      <c r="BM2451" s="7"/>
      <c r="BT2451" s="7"/>
    </row>
    <row r="2452" spans="58:72" x14ac:dyDescent="0.55000000000000004">
      <c r="BF2452" s="7"/>
      <c r="BM2452" s="7"/>
      <c r="BT2452" s="7"/>
    </row>
    <row r="2453" spans="58:72" x14ac:dyDescent="0.55000000000000004">
      <c r="BF2453" s="7"/>
      <c r="BM2453" s="7"/>
      <c r="BT2453" s="7"/>
    </row>
    <row r="2454" spans="58:72" x14ac:dyDescent="0.55000000000000004">
      <c r="BF2454" s="7"/>
      <c r="BM2454" s="7"/>
      <c r="BT2454" s="7"/>
    </row>
    <row r="2455" spans="58:72" x14ac:dyDescent="0.55000000000000004">
      <c r="BF2455" s="7"/>
      <c r="BM2455" s="7"/>
      <c r="BT2455" s="7"/>
    </row>
    <row r="2456" spans="58:72" x14ac:dyDescent="0.55000000000000004">
      <c r="BF2456" s="7"/>
      <c r="BM2456" s="7"/>
      <c r="BT2456" s="7"/>
    </row>
    <row r="2457" spans="58:72" x14ac:dyDescent="0.55000000000000004">
      <c r="BF2457" s="7"/>
      <c r="BM2457" s="7"/>
      <c r="BT2457" s="7"/>
    </row>
    <row r="2458" spans="58:72" x14ac:dyDescent="0.55000000000000004">
      <c r="BF2458" s="7"/>
      <c r="BM2458" s="7"/>
      <c r="BT2458" s="7"/>
    </row>
    <row r="2459" spans="58:72" x14ac:dyDescent="0.55000000000000004">
      <c r="BF2459" s="7"/>
      <c r="BM2459" s="7"/>
      <c r="BT2459" s="7"/>
    </row>
    <row r="2460" spans="58:72" x14ac:dyDescent="0.55000000000000004">
      <c r="BF2460" s="7"/>
      <c r="BM2460" s="7"/>
      <c r="BT2460" s="7"/>
    </row>
    <row r="2461" spans="58:72" x14ac:dyDescent="0.55000000000000004">
      <c r="BF2461" s="7"/>
      <c r="BM2461" s="7"/>
      <c r="BT2461" s="7"/>
    </row>
    <row r="2462" spans="58:72" x14ac:dyDescent="0.55000000000000004">
      <c r="BF2462" s="7"/>
      <c r="BM2462" s="7"/>
      <c r="BT2462" s="7"/>
    </row>
    <row r="2463" spans="58:72" x14ac:dyDescent="0.55000000000000004">
      <c r="BF2463" s="7"/>
      <c r="BM2463" s="7"/>
      <c r="BT2463" s="7"/>
    </row>
    <row r="2464" spans="58:72" x14ac:dyDescent="0.55000000000000004">
      <c r="BF2464" s="7"/>
      <c r="BM2464" s="7"/>
      <c r="BT2464" s="7"/>
    </row>
    <row r="2465" spans="58:72" x14ac:dyDescent="0.55000000000000004">
      <c r="BF2465" s="7"/>
      <c r="BM2465" s="7"/>
      <c r="BT2465" s="7"/>
    </row>
    <row r="2466" spans="58:72" x14ac:dyDescent="0.55000000000000004">
      <c r="BF2466" s="7"/>
      <c r="BM2466" s="7"/>
      <c r="BT2466" s="7"/>
    </row>
    <row r="2467" spans="58:72" x14ac:dyDescent="0.55000000000000004">
      <c r="BF2467" s="7"/>
      <c r="BM2467" s="7"/>
      <c r="BT2467" s="7"/>
    </row>
    <row r="2468" spans="58:72" x14ac:dyDescent="0.55000000000000004">
      <c r="BF2468" s="7"/>
      <c r="BM2468" s="7"/>
      <c r="BT2468" s="7"/>
    </row>
    <row r="2469" spans="58:72" x14ac:dyDescent="0.55000000000000004">
      <c r="BF2469" s="7"/>
      <c r="BM2469" s="7"/>
      <c r="BT2469" s="7"/>
    </row>
    <row r="2470" spans="58:72" x14ac:dyDescent="0.55000000000000004">
      <c r="BF2470" s="7"/>
      <c r="BM2470" s="7"/>
      <c r="BT2470" s="7"/>
    </row>
    <row r="2471" spans="58:72" x14ac:dyDescent="0.55000000000000004">
      <c r="BF2471" s="7"/>
      <c r="BM2471" s="7"/>
      <c r="BT2471" s="7"/>
    </row>
    <row r="2472" spans="58:72" x14ac:dyDescent="0.55000000000000004">
      <c r="BF2472" s="7"/>
      <c r="BM2472" s="7"/>
      <c r="BT2472" s="7"/>
    </row>
    <row r="2473" spans="58:72" x14ac:dyDescent="0.55000000000000004">
      <c r="BF2473" s="7"/>
      <c r="BM2473" s="7"/>
      <c r="BT2473" s="7"/>
    </row>
    <row r="2474" spans="58:72" x14ac:dyDescent="0.55000000000000004">
      <c r="BF2474" s="7"/>
      <c r="BM2474" s="7"/>
      <c r="BT2474" s="7"/>
    </row>
    <row r="2475" spans="58:72" x14ac:dyDescent="0.55000000000000004">
      <c r="BF2475" s="7"/>
      <c r="BM2475" s="7"/>
      <c r="BT2475" s="7"/>
    </row>
    <row r="2476" spans="58:72" x14ac:dyDescent="0.55000000000000004">
      <c r="BF2476" s="7"/>
      <c r="BM2476" s="7"/>
      <c r="BT2476" s="7"/>
    </row>
    <row r="2477" spans="58:72" x14ac:dyDescent="0.55000000000000004">
      <c r="BF2477" s="7"/>
      <c r="BM2477" s="7"/>
      <c r="BT2477" s="7"/>
    </row>
    <row r="2478" spans="58:72" x14ac:dyDescent="0.55000000000000004">
      <c r="BF2478" s="7"/>
      <c r="BM2478" s="7"/>
      <c r="BT2478" s="7"/>
    </row>
    <row r="2479" spans="58:72" x14ac:dyDescent="0.55000000000000004">
      <c r="BF2479" s="7"/>
      <c r="BM2479" s="7"/>
      <c r="BT2479" s="7"/>
    </row>
    <row r="2480" spans="58:72" x14ac:dyDescent="0.55000000000000004">
      <c r="BF2480" s="7"/>
      <c r="BM2480" s="7"/>
      <c r="BT2480" s="7"/>
    </row>
    <row r="2481" spans="58:72" x14ac:dyDescent="0.55000000000000004">
      <c r="BF2481" s="7"/>
      <c r="BM2481" s="7"/>
      <c r="BT2481" s="7"/>
    </row>
    <row r="2482" spans="58:72" x14ac:dyDescent="0.55000000000000004">
      <c r="BF2482" s="7"/>
      <c r="BM2482" s="7"/>
      <c r="BT2482" s="7"/>
    </row>
    <row r="2483" spans="58:72" x14ac:dyDescent="0.55000000000000004">
      <c r="BF2483" s="7"/>
      <c r="BM2483" s="7"/>
      <c r="BT2483" s="7"/>
    </row>
    <row r="2484" spans="58:72" x14ac:dyDescent="0.55000000000000004">
      <c r="BF2484" s="7"/>
      <c r="BM2484" s="7"/>
      <c r="BT2484" s="7"/>
    </row>
    <row r="2485" spans="58:72" x14ac:dyDescent="0.55000000000000004">
      <c r="BF2485" s="7"/>
      <c r="BM2485" s="7"/>
      <c r="BT2485" s="7"/>
    </row>
    <row r="2486" spans="58:72" x14ac:dyDescent="0.55000000000000004">
      <c r="BF2486" s="7"/>
      <c r="BM2486" s="7"/>
      <c r="BT2486" s="7"/>
    </row>
    <row r="2487" spans="58:72" x14ac:dyDescent="0.55000000000000004">
      <c r="BF2487" s="7"/>
      <c r="BM2487" s="7"/>
      <c r="BT2487" s="7"/>
    </row>
    <row r="2488" spans="58:72" x14ac:dyDescent="0.55000000000000004">
      <c r="BF2488" s="7"/>
      <c r="BM2488" s="7"/>
      <c r="BT2488" s="7"/>
    </row>
    <row r="2489" spans="58:72" x14ac:dyDescent="0.55000000000000004">
      <c r="BF2489" s="7"/>
      <c r="BM2489" s="7"/>
      <c r="BT2489" s="7"/>
    </row>
    <row r="2490" spans="58:72" x14ac:dyDescent="0.55000000000000004">
      <c r="BF2490" s="7"/>
      <c r="BM2490" s="7"/>
      <c r="BT2490" s="7"/>
    </row>
    <row r="2491" spans="58:72" x14ac:dyDescent="0.55000000000000004">
      <c r="BF2491" s="7"/>
      <c r="BM2491" s="7"/>
      <c r="BT2491" s="7"/>
    </row>
    <row r="2492" spans="58:72" x14ac:dyDescent="0.55000000000000004">
      <c r="BF2492" s="7"/>
      <c r="BM2492" s="7"/>
      <c r="BT2492" s="7"/>
    </row>
    <row r="2493" spans="58:72" x14ac:dyDescent="0.55000000000000004">
      <c r="BF2493" s="7"/>
      <c r="BM2493" s="7"/>
      <c r="BT2493" s="7"/>
    </row>
    <row r="2494" spans="58:72" x14ac:dyDescent="0.55000000000000004">
      <c r="BF2494" s="7"/>
      <c r="BM2494" s="7"/>
      <c r="BT2494" s="7"/>
    </row>
    <row r="2495" spans="58:72" x14ac:dyDescent="0.55000000000000004">
      <c r="BF2495" s="7"/>
      <c r="BM2495" s="7"/>
      <c r="BT2495" s="7"/>
    </row>
    <row r="2496" spans="58:72" x14ac:dyDescent="0.55000000000000004">
      <c r="BF2496" s="7"/>
      <c r="BM2496" s="7"/>
      <c r="BT2496" s="7"/>
    </row>
    <row r="2497" spans="58:72" x14ac:dyDescent="0.55000000000000004">
      <c r="BF2497" s="7"/>
      <c r="BM2497" s="7"/>
      <c r="BT2497" s="7"/>
    </row>
    <row r="2498" spans="58:72" x14ac:dyDescent="0.55000000000000004">
      <c r="BF2498" s="7"/>
      <c r="BM2498" s="7"/>
      <c r="BT2498" s="7"/>
    </row>
    <row r="2499" spans="58:72" x14ac:dyDescent="0.55000000000000004">
      <c r="BF2499" s="7"/>
      <c r="BM2499" s="7"/>
      <c r="BT2499" s="7"/>
    </row>
    <row r="2500" spans="58:72" x14ac:dyDescent="0.55000000000000004">
      <c r="BF2500" s="7"/>
      <c r="BM2500" s="7"/>
      <c r="BT2500" s="7"/>
    </row>
    <row r="2501" spans="58:72" x14ac:dyDescent="0.55000000000000004">
      <c r="BF2501" s="7"/>
      <c r="BM2501" s="7"/>
      <c r="BT2501" s="7"/>
    </row>
    <row r="2502" spans="58:72" x14ac:dyDescent="0.55000000000000004">
      <c r="BF2502" s="7"/>
      <c r="BM2502" s="7"/>
      <c r="BT2502" s="7"/>
    </row>
    <row r="2503" spans="58:72" x14ac:dyDescent="0.55000000000000004">
      <c r="BF2503" s="7"/>
      <c r="BM2503" s="7"/>
      <c r="BT2503" s="7"/>
    </row>
    <row r="2504" spans="58:72" x14ac:dyDescent="0.55000000000000004">
      <c r="BF2504" s="7"/>
      <c r="BM2504" s="7"/>
      <c r="BT2504" s="7"/>
    </row>
    <row r="2505" spans="58:72" x14ac:dyDescent="0.55000000000000004">
      <c r="BF2505" s="7"/>
      <c r="BM2505" s="7"/>
      <c r="BT2505" s="7"/>
    </row>
    <row r="2506" spans="58:72" x14ac:dyDescent="0.55000000000000004">
      <c r="BF2506" s="7"/>
      <c r="BM2506" s="7"/>
      <c r="BT2506" s="7"/>
    </row>
    <row r="2507" spans="58:72" x14ac:dyDescent="0.55000000000000004">
      <c r="BF2507" s="7"/>
      <c r="BM2507" s="7"/>
      <c r="BT2507" s="7"/>
    </row>
    <row r="2508" spans="58:72" x14ac:dyDescent="0.55000000000000004">
      <c r="BF2508" s="7"/>
      <c r="BM2508" s="7"/>
      <c r="BT2508" s="7"/>
    </row>
    <row r="2509" spans="58:72" x14ac:dyDescent="0.55000000000000004">
      <c r="BF2509" s="7"/>
      <c r="BM2509" s="7"/>
      <c r="BT2509" s="7"/>
    </row>
    <row r="2510" spans="58:72" x14ac:dyDescent="0.55000000000000004">
      <c r="BF2510" s="7"/>
      <c r="BM2510" s="7"/>
      <c r="BT2510" s="7"/>
    </row>
    <row r="2511" spans="58:72" x14ac:dyDescent="0.55000000000000004">
      <c r="BF2511" s="7"/>
      <c r="BM2511" s="7"/>
      <c r="BT2511" s="7"/>
    </row>
    <row r="2512" spans="58:72" x14ac:dyDescent="0.55000000000000004">
      <c r="BF2512" s="7"/>
      <c r="BM2512" s="7"/>
      <c r="BT2512" s="7"/>
    </row>
    <row r="2513" spans="58:72" x14ac:dyDescent="0.55000000000000004">
      <c r="BF2513" s="7"/>
      <c r="BM2513" s="7"/>
      <c r="BT2513" s="7"/>
    </row>
    <row r="2514" spans="58:72" x14ac:dyDescent="0.55000000000000004">
      <c r="BF2514" s="7"/>
      <c r="BM2514" s="7"/>
      <c r="BT2514" s="7"/>
    </row>
    <row r="2515" spans="58:72" x14ac:dyDescent="0.55000000000000004">
      <c r="BF2515" s="7"/>
      <c r="BM2515" s="7"/>
      <c r="BT2515" s="7"/>
    </row>
    <row r="2516" spans="58:72" x14ac:dyDescent="0.55000000000000004">
      <c r="BF2516" s="7"/>
      <c r="BM2516" s="7"/>
      <c r="BT2516" s="7"/>
    </row>
    <row r="2517" spans="58:72" x14ac:dyDescent="0.55000000000000004">
      <c r="BF2517" s="7"/>
      <c r="BM2517" s="7"/>
      <c r="BT2517" s="7"/>
    </row>
    <row r="2518" spans="58:72" x14ac:dyDescent="0.55000000000000004">
      <c r="BF2518" s="7"/>
      <c r="BM2518" s="7"/>
      <c r="BT2518" s="7"/>
    </row>
    <row r="2519" spans="58:72" x14ac:dyDescent="0.55000000000000004">
      <c r="BF2519" s="7"/>
      <c r="BM2519" s="7"/>
      <c r="BT2519" s="7"/>
    </row>
    <row r="2520" spans="58:72" x14ac:dyDescent="0.55000000000000004">
      <c r="BF2520" s="7"/>
      <c r="BM2520" s="7"/>
      <c r="BT2520" s="7"/>
    </row>
    <row r="2521" spans="58:72" x14ac:dyDescent="0.55000000000000004">
      <c r="BF2521" s="7"/>
      <c r="BM2521" s="7"/>
      <c r="BT2521" s="7"/>
    </row>
    <row r="2522" spans="58:72" x14ac:dyDescent="0.55000000000000004">
      <c r="BF2522" s="7"/>
      <c r="BM2522" s="7"/>
      <c r="BT2522" s="7"/>
    </row>
    <row r="2523" spans="58:72" x14ac:dyDescent="0.55000000000000004">
      <c r="BF2523" s="7"/>
      <c r="BM2523" s="7"/>
      <c r="BT2523" s="7"/>
    </row>
    <row r="2524" spans="58:72" x14ac:dyDescent="0.55000000000000004">
      <c r="BF2524" s="7"/>
      <c r="BM2524" s="7"/>
      <c r="BT2524" s="7"/>
    </row>
    <row r="2525" spans="58:72" x14ac:dyDescent="0.55000000000000004">
      <c r="BF2525" s="7"/>
      <c r="BM2525" s="7"/>
      <c r="BT2525" s="7"/>
    </row>
    <row r="2526" spans="58:72" x14ac:dyDescent="0.55000000000000004">
      <c r="BF2526" s="7"/>
      <c r="BM2526" s="7"/>
      <c r="BT2526" s="7"/>
    </row>
    <row r="2527" spans="58:72" x14ac:dyDescent="0.55000000000000004">
      <c r="BF2527" s="7"/>
      <c r="BM2527" s="7"/>
      <c r="BT2527" s="7"/>
    </row>
    <row r="2528" spans="58:72" x14ac:dyDescent="0.55000000000000004">
      <c r="BF2528" s="7"/>
      <c r="BM2528" s="7"/>
      <c r="BT2528" s="7"/>
    </row>
    <row r="2529" spans="58:72" x14ac:dyDescent="0.55000000000000004">
      <c r="BF2529" s="7"/>
      <c r="BM2529" s="7"/>
      <c r="BT2529" s="7"/>
    </row>
    <row r="2530" spans="58:72" x14ac:dyDescent="0.55000000000000004">
      <c r="BF2530" s="7"/>
      <c r="BM2530" s="7"/>
      <c r="BT2530" s="7"/>
    </row>
    <row r="2531" spans="58:72" x14ac:dyDescent="0.55000000000000004">
      <c r="BF2531" s="7"/>
      <c r="BM2531" s="7"/>
      <c r="BT2531" s="7"/>
    </row>
    <row r="2532" spans="58:72" x14ac:dyDescent="0.55000000000000004">
      <c r="BF2532" s="7"/>
      <c r="BM2532" s="7"/>
      <c r="BT2532" s="7"/>
    </row>
    <row r="2533" spans="58:72" x14ac:dyDescent="0.55000000000000004">
      <c r="BF2533" s="7"/>
      <c r="BM2533" s="7"/>
      <c r="BT2533" s="7"/>
    </row>
    <row r="2534" spans="58:72" x14ac:dyDescent="0.55000000000000004">
      <c r="BF2534" s="7"/>
      <c r="BM2534" s="7"/>
      <c r="BT2534" s="7"/>
    </row>
    <row r="2535" spans="58:72" x14ac:dyDescent="0.55000000000000004">
      <c r="BF2535" s="7"/>
      <c r="BM2535" s="7"/>
      <c r="BT2535" s="7"/>
    </row>
    <row r="2536" spans="58:72" x14ac:dyDescent="0.55000000000000004">
      <c r="BF2536" s="7"/>
      <c r="BM2536" s="7"/>
      <c r="BT2536" s="7"/>
    </row>
    <row r="2537" spans="58:72" x14ac:dyDescent="0.55000000000000004">
      <c r="BF2537" s="7"/>
      <c r="BM2537" s="7"/>
      <c r="BT2537" s="7"/>
    </row>
    <row r="2538" spans="58:72" x14ac:dyDescent="0.55000000000000004">
      <c r="BF2538" s="7"/>
      <c r="BM2538" s="7"/>
      <c r="BT2538" s="7"/>
    </row>
    <row r="2539" spans="58:72" x14ac:dyDescent="0.55000000000000004">
      <c r="BF2539" s="7"/>
      <c r="BM2539" s="7"/>
      <c r="BT2539" s="7"/>
    </row>
    <row r="2540" spans="58:72" x14ac:dyDescent="0.55000000000000004">
      <c r="BF2540" s="7"/>
      <c r="BM2540" s="7"/>
      <c r="BT2540" s="7"/>
    </row>
    <row r="2541" spans="58:72" x14ac:dyDescent="0.55000000000000004">
      <c r="BF2541" s="7"/>
      <c r="BM2541" s="7"/>
      <c r="BT2541" s="7"/>
    </row>
    <row r="2542" spans="58:72" x14ac:dyDescent="0.55000000000000004">
      <c r="BF2542" s="7"/>
      <c r="BM2542" s="7"/>
      <c r="BT2542" s="7"/>
    </row>
    <row r="2543" spans="58:72" x14ac:dyDescent="0.55000000000000004">
      <c r="BF2543" s="7"/>
      <c r="BM2543" s="7"/>
      <c r="BT2543" s="7"/>
    </row>
    <row r="2544" spans="58:72" x14ac:dyDescent="0.55000000000000004">
      <c r="BF2544" s="7"/>
      <c r="BM2544" s="7"/>
      <c r="BT2544" s="7"/>
    </row>
    <row r="2545" spans="58:72" x14ac:dyDescent="0.55000000000000004">
      <c r="BF2545" s="7"/>
      <c r="BM2545" s="7"/>
      <c r="BT2545" s="7"/>
    </row>
    <row r="2546" spans="58:72" x14ac:dyDescent="0.55000000000000004">
      <c r="BF2546" s="7"/>
      <c r="BM2546" s="7"/>
      <c r="BT2546" s="7"/>
    </row>
    <row r="2547" spans="58:72" x14ac:dyDescent="0.55000000000000004">
      <c r="BF2547" s="7"/>
      <c r="BM2547" s="7"/>
      <c r="BT2547" s="7"/>
    </row>
    <row r="2548" spans="58:72" x14ac:dyDescent="0.55000000000000004">
      <c r="BF2548" s="7"/>
      <c r="BM2548" s="7"/>
      <c r="BT2548" s="7"/>
    </row>
    <row r="2549" spans="58:72" x14ac:dyDescent="0.55000000000000004">
      <c r="BF2549" s="7"/>
      <c r="BM2549" s="7"/>
      <c r="BT2549" s="7"/>
    </row>
    <row r="2550" spans="58:72" x14ac:dyDescent="0.55000000000000004">
      <c r="BF2550" s="7"/>
      <c r="BM2550" s="7"/>
      <c r="BT2550" s="7"/>
    </row>
    <row r="2551" spans="58:72" x14ac:dyDescent="0.55000000000000004">
      <c r="BF2551" s="7"/>
      <c r="BM2551" s="7"/>
      <c r="BT2551" s="7"/>
    </row>
    <row r="2552" spans="58:72" x14ac:dyDescent="0.55000000000000004">
      <c r="BF2552" s="7"/>
      <c r="BM2552" s="7"/>
      <c r="BT2552" s="7"/>
    </row>
    <row r="2553" spans="58:72" x14ac:dyDescent="0.55000000000000004">
      <c r="BF2553" s="7"/>
      <c r="BM2553" s="7"/>
      <c r="BT2553" s="7"/>
    </row>
    <row r="2554" spans="58:72" x14ac:dyDescent="0.55000000000000004">
      <c r="BF2554" s="7"/>
      <c r="BM2554" s="7"/>
      <c r="BT2554" s="7"/>
    </row>
    <row r="2555" spans="58:72" x14ac:dyDescent="0.55000000000000004">
      <c r="BF2555" s="7"/>
      <c r="BM2555" s="7"/>
      <c r="BT2555" s="7"/>
    </row>
    <row r="2556" spans="58:72" x14ac:dyDescent="0.55000000000000004">
      <c r="BF2556" s="7"/>
      <c r="BM2556" s="7"/>
      <c r="BT2556" s="7"/>
    </row>
    <row r="2557" spans="58:72" x14ac:dyDescent="0.55000000000000004">
      <c r="BF2557" s="7"/>
      <c r="BM2557" s="7"/>
      <c r="BT2557" s="7"/>
    </row>
    <row r="2558" spans="58:72" x14ac:dyDescent="0.55000000000000004">
      <c r="BF2558" s="7"/>
      <c r="BM2558" s="7"/>
      <c r="BT2558" s="7"/>
    </row>
    <row r="2559" spans="58:72" x14ac:dyDescent="0.55000000000000004">
      <c r="BF2559" s="7"/>
      <c r="BM2559" s="7"/>
      <c r="BT2559" s="7"/>
    </row>
    <row r="2560" spans="58:72" x14ac:dyDescent="0.55000000000000004">
      <c r="BF2560" s="7"/>
      <c r="BM2560" s="7"/>
      <c r="BT2560" s="7"/>
    </row>
    <row r="2561" spans="58:72" x14ac:dyDescent="0.55000000000000004">
      <c r="BF2561" s="7"/>
      <c r="BM2561" s="7"/>
      <c r="BT2561" s="7"/>
    </row>
    <row r="2562" spans="58:72" x14ac:dyDescent="0.55000000000000004">
      <c r="BF2562" s="7"/>
      <c r="BM2562" s="7"/>
      <c r="BT2562" s="7"/>
    </row>
    <row r="2563" spans="58:72" x14ac:dyDescent="0.55000000000000004">
      <c r="BF2563" s="7"/>
      <c r="BM2563" s="7"/>
      <c r="BT2563" s="7"/>
    </row>
    <row r="2564" spans="58:72" x14ac:dyDescent="0.55000000000000004">
      <c r="BF2564" s="7"/>
      <c r="BM2564" s="7"/>
      <c r="BT2564" s="7"/>
    </row>
    <row r="2565" spans="58:72" x14ac:dyDescent="0.55000000000000004">
      <c r="BF2565" s="7"/>
      <c r="BM2565" s="7"/>
      <c r="BT2565" s="7"/>
    </row>
    <row r="2566" spans="58:72" x14ac:dyDescent="0.55000000000000004">
      <c r="BF2566" s="7"/>
      <c r="BM2566" s="7"/>
      <c r="BT2566" s="7"/>
    </row>
    <row r="2567" spans="58:72" x14ac:dyDescent="0.55000000000000004">
      <c r="BF2567" s="7"/>
      <c r="BM2567" s="7"/>
      <c r="BT2567" s="7"/>
    </row>
    <row r="2568" spans="58:72" x14ac:dyDescent="0.55000000000000004">
      <c r="BF2568" s="7"/>
      <c r="BM2568" s="7"/>
      <c r="BT2568" s="7"/>
    </row>
    <row r="2569" spans="58:72" x14ac:dyDescent="0.55000000000000004">
      <c r="BF2569" s="7"/>
      <c r="BM2569" s="7"/>
      <c r="BT2569" s="7"/>
    </row>
    <row r="2570" spans="58:72" x14ac:dyDescent="0.55000000000000004">
      <c r="BF2570" s="7"/>
      <c r="BM2570" s="7"/>
      <c r="BT2570" s="7"/>
    </row>
    <row r="2571" spans="58:72" x14ac:dyDescent="0.55000000000000004">
      <c r="BF2571" s="7"/>
      <c r="BM2571" s="7"/>
      <c r="BT2571" s="7"/>
    </row>
    <row r="2572" spans="58:72" x14ac:dyDescent="0.55000000000000004">
      <c r="BF2572" s="7"/>
      <c r="BM2572" s="7"/>
      <c r="BT2572" s="7"/>
    </row>
    <row r="2573" spans="58:72" x14ac:dyDescent="0.55000000000000004">
      <c r="BF2573" s="7"/>
      <c r="BM2573" s="7"/>
      <c r="BT2573" s="7"/>
    </row>
    <row r="2574" spans="58:72" x14ac:dyDescent="0.55000000000000004">
      <c r="BF2574" s="7"/>
      <c r="BM2574" s="7"/>
      <c r="BT2574" s="7"/>
    </row>
    <row r="2575" spans="58:72" x14ac:dyDescent="0.55000000000000004">
      <c r="BF2575" s="7"/>
      <c r="BM2575" s="7"/>
      <c r="BT2575" s="7"/>
    </row>
    <row r="2576" spans="58:72" x14ac:dyDescent="0.55000000000000004">
      <c r="BF2576" s="7"/>
      <c r="BM2576" s="7"/>
      <c r="BT2576" s="7"/>
    </row>
    <row r="2577" spans="58:72" x14ac:dyDescent="0.55000000000000004">
      <c r="BF2577" s="7"/>
      <c r="BM2577" s="7"/>
      <c r="BT2577" s="7"/>
    </row>
    <row r="2578" spans="58:72" x14ac:dyDescent="0.55000000000000004">
      <c r="BF2578" s="7"/>
      <c r="BM2578" s="7"/>
      <c r="BT2578" s="7"/>
    </row>
    <row r="2579" spans="58:72" x14ac:dyDescent="0.55000000000000004">
      <c r="BF2579" s="7"/>
      <c r="BM2579" s="7"/>
      <c r="BT2579" s="7"/>
    </row>
    <row r="2580" spans="58:72" x14ac:dyDescent="0.55000000000000004">
      <c r="BF2580" s="7"/>
      <c r="BM2580" s="7"/>
      <c r="BT2580" s="7"/>
    </row>
    <row r="2581" spans="58:72" x14ac:dyDescent="0.55000000000000004">
      <c r="BF2581" s="7"/>
      <c r="BM2581" s="7"/>
      <c r="BT2581" s="7"/>
    </row>
    <row r="2582" spans="58:72" x14ac:dyDescent="0.55000000000000004">
      <c r="BF2582" s="7"/>
      <c r="BM2582" s="7"/>
      <c r="BT2582" s="7"/>
    </row>
    <row r="2583" spans="58:72" x14ac:dyDescent="0.55000000000000004">
      <c r="BF2583" s="7"/>
      <c r="BM2583" s="7"/>
      <c r="BT2583" s="7"/>
    </row>
    <row r="2584" spans="58:72" x14ac:dyDescent="0.55000000000000004">
      <c r="BF2584" s="7"/>
      <c r="BM2584" s="7"/>
      <c r="BT2584" s="7"/>
    </row>
    <row r="2585" spans="58:72" x14ac:dyDescent="0.55000000000000004">
      <c r="BF2585" s="7"/>
      <c r="BM2585" s="7"/>
      <c r="BT2585" s="7"/>
    </row>
    <row r="2586" spans="58:72" x14ac:dyDescent="0.55000000000000004">
      <c r="BF2586" s="7"/>
      <c r="BM2586" s="7"/>
      <c r="BT2586" s="7"/>
    </row>
    <row r="2587" spans="58:72" x14ac:dyDescent="0.55000000000000004">
      <c r="BF2587" s="7"/>
      <c r="BM2587" s="7"/>
      <c r="BT2587" s="7"/>
    </row>
    <row r="2588" spans="58:72" x14ac:dyDescent="0.55000000000000004">
      <c r="BF2588" s="7"/>
      <c r="BM2588" s="7"/>
      <c r="BT2588" s="7"/>
    </row>
    <row r="2589" spans="58:72" x14ac:dyDescent="0.55000000000000004">
      <c r="BF2589" s="7"/>
      <c r="BM2589" s="7"/>
      <c r="BT2589" s="7"/>
    </row>
    <row r="2590" spans="58:72" x14ac:dyDescent="0.55000000000000004">
      <c r="BF2590" s="7"/>
      <c r="BM2590" s="7"/>
      <c r="BT2590" s="7"/>
    </row>
    <row r="2591" spans="58:72" x14ac:dyDescent="0.55000000000000004">
      <c r="BF2591" s="7"/>
      <c r="BM2591" s="7"/>
      <c r="BT2591" s="7"/>
    </row>
    <row r="2592" spans="58:72" x14ac:dyDescent="0.55000000000000004">
      <c r="BF2592" s="7"/>
      <c r="BM2592" s="7"/>
      <c r="BT2592" s="7"/>
    </row>
    <row r="2593" spans="58:72" x14ac:dyDescent="0.55000000000000004">
      <c r="BF2593" s="7"/>
      <c r="BM2593" s="7"/>
      <c r="BT2593" s="7"/>
    </row>
    <row r="2594" spans="58:72" x14ac:dyDescent="0.55000000000000004">
      <c r="BF2594" s="7"/>
      <c r="BM2594" s="7"/>
      <c r="BT2594" s="7"/>
    </row>
    <row r="2595" spans="58:72" x14ac:dyDescent="0.55000000000000004">
      <c r="BF2595" s="7"/>
      <c r="BM2595" s="7"/>
      <c r="BT2595" s="7"/>
    </row>
    <row r="2596" spans="58:72" x14ac:dyDescent="0.55000000000000004">
      <c r="BF2596" s="7"/>
      <c r="BM2596" s="7"/>
      <c r="BT2596" s="7"/>
    </row>
    <row r="2597" spans="58:72" x14ac:dyDescent="0.55000000000000004">
      <c r="BF2597" s="7"/>
      <c r="BM2597" s="7"/>
      <c r="BT2597" s="7"/>
    </row>
    <row r="2598" spans="58:72" x14ac:dyDescent="0.55000000000000004">
      <c r="BF2598" s="7"/>
      <c r="BM2598" s="7"/>
      <c r="BT2598" s="7"/>
    </row>
    <row r="2599" spans="58:72" x14ac:dyDescent="0.55000000000000004">
      <c r="BF2599" s="7"/>
      <c r="BM2599" s="7"/>
      <c r="BT2599" s="7"/>
    </row>
    <row r="2600" spans="58:72" x14ac:dyDescent="0.55000000000000004">
      <c r="BF2600" s="7"/>
      <c r="BM2600" s="7"/>
      <c r="BT2600" s="7"/>
    </row>
    <row r="2601" spans="58:72" x14ac:dyDescent="0.55000000000000004">
      <c r="BF2601" s="7"/>
      <c r="BM2601" s="7"/>
      <c r="BT2601" s="7"/>
    </row>
    <row r="2602" spans="58:72" x14ac:dyDescent="0.55000000000000004">
      <c r="BF2602" s="7"/>
      <c r="BM2602" s="7"/>
      <c r="BT2602" s="7"/>
    </row>
    <row r="2603" spans="58:72" x14ac:dyDescent="0.55000000000000004">
      <c r="BF2603" s="7"/>
      <c r="BM2603" s="7"/>
      <c r="BT2603" s="7"/>
    </row>
    <row r="2604" spans="58:72" x14ac:dyDescent="0.55000000000000004">
      <c r="BF2604" s="7"/>
      <c r="BM2604" s="7"/>
      <c r="BT2604" s="7"/>
    </row>
    <row r="2605" spans="58:72" x14ac:dyDescent="0.55000000000000004">
      <c r="BF2605" s="7"/>
      <c r="BM2605" s="7"/>
      <c r="BT2605" s="7"/>
    </row>
    <row r="2606" spans="58:72" x14ac:dyDescent="0.55000000000000004">
      <c r="BF2606" s="7"/>
      <c r="BM2606" s="7"/>
      <c r="BT2606" s="7"/>
    </row>
    <row r="2607" spans="58:72" x14ac:dyDescent="0.55000000000000004">
      <c r="BF2607" s="7"/>
      <c r="BM2607" s="7"/>
      <c r="BT2607" s="7"/>
    </row>
    <row r="2608" spans="58:72" x14ac:dyDescent="0.55000000000000004">
      <c r="BF2608" s="7"/>
      <c r="BM2608" s="7"/>
      <c r="BT2608" s="7"/>
    </row>
    <row r="2609" spans="58:72" x14ac:dyDescent="0.55000000000000004">
      <c r="BF2609" s="7"/>
      <c r="BM2609" s="7"/>
      <c r="BT2609" s="7"/>
    </row>
    <row r="2610" spans="58:72" x14ac:dyDescent="0.55000000000000004">
      <c r="BF2610" s="7"/>
      <c r="BM2610" s="7"/>
      <c r="BT2610" s="7"/>
    </row>
    <row r="2611" spans="58:72" x14ac:dyDescent="0.55000000000000004">
      <c r="BF2611" s="7"/>
      <c r="BM2611" s="7"/>
      <c r="BT2611" s="7"/>
    </row>
    <row r="2612" spans="58:72" x14ac:dyDescent="0.55000000000000004">
      <c r="BF2612" s="7"/>
      <c r="BM2612" s="7"/>
      <c r="BT2612" s="7"/>
    </row>
    <row r="2613" spans="58:72" x14ac:dyDescent="0.55000000000000004">
      <c r="BF2613" s="7"/>
      <c r="BM2613" s="7"/>
      <c r="BT2613" s="7"/>
    </row>
    <row r="2614" spans="58:72" x14ac:dyDescent="0.55000000000000004">
      <c r="BF2614" s="7"/>
      <c r="BM2614" s="7"/>
      <c r="BT2614" s="7"/>
    </row>
    <row r="2615" spans="58:72" x14ac:dyDescent="0.55000000000000004">
      <c r="BF2615" s="7"/>
      <c r="BM2615" s="7"/>
      <c r="BT2615" s="7"/>
    </row>
    <row r="2616" spans="58:72" x14ac:dyDescent="0.55000000000000004">
      <c r="BF2616" s="7"/>
      <c r="BM2616" s="7"/>
      <c r="BT2616" s="7"/>
    </row>
    <row r="2617" spans="58:72" x14ac:dyDescent="0.55000000000000004">
      <c r="BF2617" s="7"/>
      <c r="BM2617" s="7"/>
      <c r="BT2617" s="7"/>
    </row>
    <row r="2618" spans="58:72" x14ac:dyDescent="0.55000000000000004">
      <c r="BF2618" s="7"/>
      <c r="BM2618" s="7"/>
      <c r="BT2618" s="7"/>
    </row>
    <row r="2619" spans="58:72" x14ac:dyDescent="0.55000000000000004">
      <c r="BF2619" s="7"/>
      <c r="BM2619" s="7"/>
      <c r="BT2619" s="7"/>
    </row>
    <row r="2620" spans="58:72" x14ac:dyDescent="0.55000000000000004">
      <c r="BF2620" s="7"/>
      <c r="BM2620" s="7"/>
      <c r="BT2620" s="7"/>
    </row>
    <row r="2621" spans="58:72" x14ac:dyDescent="0.55000000000000004">
      <c r="BF2621" s="7"/>
      <c r="BM2621" s="7"/>
      <c r="BT2621" s="7"/>
    </row>
    <row r="2622" spans="58:72" x14ac:dyDescent="0.55000000000000004">
      <c r="BF2622" s="7"/>
      <c r="BM2622" s="7"/>
      <c r="BT2622" s="7"/>
    </row>
    <row r="2623" spans="58:72" x14ac:dyDescent="0.55000000000000004">
      <c r="BF2623" s="7"/>
      <c r="BM2623" s="7"/>
      <c r="BT2623" s="7"/>
    </row>
    <row r="2624" spans="58:72" x14ac:dyDescent="0.55000000000000004">
      <c r="BF2624" s="7"/>
      <c r="BM2624" s="7"/>
      <c r="BT2624" s="7"/>
    </row>
    <row r="2625" spans="58:72" x14ac:dyDescent="0.55000000000000004">
      <c r="BF2625" s="7"/>
      <c r="BM2625" s="7"/>
      <c r="BT2625" s="7"/>
    </row>
    <row r="2626" spans="58:72" x14ac:dyDescent="0.55000000000000004">
      <c r="BF2626" s="7"/>
      <c r="BM2626" s="7"/>
      <c r="BT2626" s="7"/>
    </row>
    <row r="2627" spans="58:72" x14ac:dyDescent="0.55000000000000004">
      <c r="BF2627" s="7"/>
      <c r="BM2627" s="7"/>
      <c r="BT2627" s="7"/>
    </row>
    <row r="2628" spans="58:72" x14ac:dyDescent="0.55000000000000004">
      <c r="BF2628" s="7"/>
      <c r="BM2628" s="7"/>
      <c r="BT2628" s="7"/>
    </row>
    <row r="2629" spans="58:72" x14ac:dyDescent="0.55000000000000004">
      <c r="BF2629" s="7"/>
      <c r="BM2629" s="7"/>
      <c r="BT2629" s="7"/>
    </row>
    <row r="2630" spans="58:72" x14ac:dyDescent="0.55000000000000004">
      <c r="BF2630" s="7"/>
      <c r="BM2630" s="7"/>
      <c r="BT2630" s="7"/>
    </row>
    <row r="2631" spans="58:72" x14ac:dyDescent="0.55000000000000004">
      <c r="BF2631" s="7"/>
      <c r="BM2631" s="7"/>
      <c r="BT2631" s="7"/>
    </row>
    <row r="2632" spans="58:72" x14ac:dyDescent="0.55000000000000004">
      <c r="BF2632" s="7"/>
      <c r="BM2632" s="7"/>
      <c r="BT2632" s="7"/>
    </row>
    <row r="2633" spans="58:72" x14ac:dyDescent="0.55000000000000004">
      <c r="BF2633" s="7"/>
      <c r="BM2633" s="7"/>
      <c r="BT2633" s="7"/>
    </row>
    <row r="2634" spans="58:72" x14ac:dyDescent="0.55000000000000004">
      <c r="BF2634" s="7"/>
      <c r="BM2634" s="7"/>
      <c r="BT2634" s="7"/>
    </row>
    <row r="2635" spans="58:72" x14ac:dyDescent="0.55000000000000004">
      <c r="BF2635" s="7"/>
      <c r="BM2635" s="7"/>
      <c r="BT2635" s="7"/>
    </row>
    <row r="2636" spans="58:72" x14ac:dyDescent="0.55000000000000004">
      <c r="BF2636" s="7"/>
      <c r="BM2636" s="7"/>
      <c r="BT2636" s="7"/>
    </row>
    <row r="2637" spans="58:72" x14ac:dyDescent="0.55000000000000004">
      <c r="BF2637" s="7"/>
      <c r="BM2637" s="7"/>
      <c r="BT2637" s="7"/>
    </row>
    <row r="2638" spans="58:72" x14ac:dyDescent="0.55000000000000004">
      <c r="BF2638" s="7"/>
      <c r="BM2638" s="7"/>
      <c r="BT2638" s="7"/>
    </row>
    <row r="2639" spans="58:72" x14ac:dyDescent="0.55000000000000004">
      <c r="BF2639" s="7"/>
      <c r="BM2639" s="7"/>
      <c r="BT2639" s="7"/>
    </row>
    <row r="2640" spans="58:72" x14ac:dyDescent="0.55000000000000004">
      <c r="BF2640" s="7"/>
      <c r="BM2640" s="7"/>
      <c r="BT2640" s="7"/>
    </row>
    <row r="2641" spans="58:72" x14ac:dyDescent="0.55000000000000004">
      <c r="BF2641" s="7"/>
      <c r="BM2641" s="7"/>
      <c r="BT2641" s="7"/>
    </row>
    <row r="2642" spans="58:72" x14ac:dyDescent="0.55000000000000004">
      <c r="BF2642" s="7"/>
      <c r="BM2642" s="7"/>
      <c r="BT2642" s="7"/>
    </row>
    <row r="2643" spans="58:72" x14ac:dyDescent="0.55000000000000004">
      <c r="BF2643" s="7"/>
      <c r="BM2643" s="7"/>
      <c r="BT2643" s="7"/>
    </row>
    <row r="2644" spans="58:72" x14ac:dyDescent="0.55000000000000004">
      <c r="BF2644" s="7"/>
      <c r="BM2644" s="7"/>
      <c r="BT2644" s="7"/>
    </row>
    <row r="2645" spans="58:72" x14ac:dyDescent="0.55000000000000004">
      <c r="BF2645" s="7"/>
      <c r="BM2645" s="7"/>
      <c r="BT2645" s="7"/>
    </row>
    <row r="2646" spans="58:72" x14ac:dyDescent="0.55000000000000004">
      <c r="BF2646" s="7"/>
      <c r="BM2646" s="7"/>
      <c r="BT2646" s="7"/>
    </row>
    <row r="2647" spans="58:72" x14ac:dyDescent="0.55000000000000004">
      <c r="BF2647" s="7"/>
      <c r="BM2647" s="7"/>
      <c r="BT2647" s="7"/>
    </row>
    <row r="2648" spans="58:72" x14ac:dyDescent="0.55000000000000004">
      <c r="BF2648" s="7"/>
      <c r="BM2648" s="7"/>
      <c r="BT2648" s="7"/>
    </row>
    <row r="2649" spans="58:72" x14ac:dyDescent="0.55000000000000004">
      <c r="BF2649" s="7"/>
      <c r="BM2649" s="7"/>
      <c r="BT2649" s="7"/>
    </row>
    <row r="2650" spans="58:72" x14ac:dyDescent="0.55000000000000004">
      <c r="BF2650" s="7"/>
      <c r="BM2650" s="7"/>
      <c r="BT2650" s="7"/>
    </row>
    <row r="2651" spans="58:72" x14ac:dyDescent="0.55000000000000004">
      <c r="BF2651" s="7"/>
      <c r="BM2651" s="7"/>
      <c r="BT2651" s="7"/>
    </row>
    <row r="2652" spans="58:72" x14ac:dyDescent="0.55000000000000004">
      <c r="BF2652" s="7"/>
      <c r="BM2652" s="7"/>
      <c r="BT2652" s="7"/>
    </row>
    <row r="2653" spans="58:72" x14ac:dyDescent="0.55000000000000004">
      <c r="BF2653" s="7"/>
      <c r="BM2653" s="7"/>
      <c r="BT2653" s="7"/>
    </row>
    <row r="2654" spans="58:72" x14ac:dyDescent="0.55000000000000004">
      <c r="BF2654" s="7"/>
      <c r="BM2654" s="7"/>
      <c r="BT2654" s="7"/>
    </row>
    <row r="2655" spans="58:72" x14ac:dyDescent="0.55000000000000004">
      <c r="BF2655" s="7"/>
      <c r="BM2655" s="7"/>
      <c r="BT2655" s="7"/>
    </row>
    <row r="2656" spans="58:72" x14ac:dyDescent="0.55000000000000004">
      <c r="BF2656" s="7"/>
      <c r="BM2656" s="7"/>
      <c r="BT2656" s="7"/>
    </row>
    <row r="2657" spans="58:72" x14ac:dyDescent="0.55000000000000004">
      <c r="BF2657" s="7"/>
      <c r="BM2657" s="7"/>
      <c r="BT2657" s="7"/>
    </row>
    <row r="2658" spans="58:72" x14ac:dyDescent="0.55000000000000004">
      <c r="BF2658" s="7"/>
      <c r="BM2658" s="7"/>
      <c r="BT2658" s="7"/>
    </row>
    <row r="2659" spans="58:72" x14ac:dyDescent="0.55000000000000004">
      <c r="BF2659" s="7"/>
      <c r="BM2659" s="7"/>
      <c r="BT2659" s="7"/>
    </row>
    <row r="2660" spans="58:72" x14ac:dyDescent="0.55000000000000004">
      <c r="BF2660" s="7"/>
      <c r="BM2660" s="7"/>
      <c r="BT2660" s="7"/>
    </row>
    <row r="2661" spans="58:72" x14ac:dyDescent="0.55000000000000004">
      <c r="BF2661" s="7"/>
      <c r="BM2661" s="7"/>
      <c r="BT2661" s="7"/>
    </row>
    <row r="2662" spans="58:72" x14ac:dyDescent="0.55000000000000004">
      <c r="BF2662" s="7"/>
      <c r="BM2662" s="7"/>
      <c r="BT2662" s="7"/>
    </row>
    <row r="2663" spans="58:72" x14ac:dyDescent="0.55000000000000004">
      <c r="BF2663" s="7"/>
      <c r="BM2663" s="7"/>
      <c r="BT2663" s="7"/>
    </row>
    <row r="2664" spans="58:72" x14ac:dyDescent="0.55000000000000004">
      <c r="BF2664" s="7"/>
      <c r="BM2664" s="7"/>
      <c r="BT2664" s="7"/>
    </row>
    <row r="2665" spans="58:72" x14ac:dyDescent="0.55000000000000004">
      <c r="BF2665" s="7"/>
      <c r="BM2665" s="7"/>
      <c r="BT2665" s="7"/>
    </row>
    <row r="2666" spans="58:72" x14ac:dyDescent="0.55000000000000004">
      <c r="BF2666" s="7"/>
      <c r="BM2666" s="7"/>
      <c r="BT2666" s="7"/>
    </row>
    <row r="2667" spans="58:72" x14ac:dyDescent="0.55000000000000004">
      <c r="BF2667" s="7"/>
      <c r="BM2667" s="7"/>
      <c r="BT2667" s="7"/>
    </row>
    <row r="2668" spans="58:72" x14ac:dyDescent="0.55000000000000004">
      <c r="BF2668" s="7"/>
      <c r="BM2668" s="7"/>
      <c r="BT2668" s="7"/>
    </row>
    <row r="2669" spans="58:72" x14ac:dyDescent="0.55000000000000004">
      <c r="BF2669" s="7"/>
      <c r="BM2669" s="7"/>
      <c r="BT2669" s="7"/>
    </row>
    <row r="2670" spans="58:72" x14ac:dyDescent="0.55000000000000004">
      <c r="BF2670" s="7"/>
      <c r="BM2670" s="7"/>
      <c r="BT2670" s="7"/>
    </row>
    <row r="2671" spans="58:72" x14ac:dyDescent="0.55000000000000004">
      <c r="BF2671" s="7"/>
      <c r="BM2671" s="7"/>
      <c r="BT2671" s="7"/>
    </row>
    <row r="2672" spans="58:72" x14ac:dyDescent="0.55000000000000004">
      <c r="BF2672" s="7"/>
      <c r="BM2672" s="7"/>
      <c r="BT2672" s="7"/>
    </row>
    <row r="2673" spans="58:72" x14ac:dyDescent="0.55000000000000004">
      <c r="BF2673" s="7"/>
      <c r="BM2673" s="7"/>
      <c r="BT2673" s="7"/>
    </row>
    <row r="2674" spans="58:72" x14ac:dyDescent="0.55000000000000004">
      <c r="BF2674" s="7"/>
      <c r="BM2674" s="7"/>
      <c r="BT2674" s="7"/>
    </row>
    <row r="2675" spans="58:72" x14ac:dyDescent="0.55000000000000004">
      <c r="BF2675" s="7"/>
      <c r="BM2675" s="7"/>
      <c r="BT2675" s="7"/>
    </row>
    <row r="2676" spans="58:72" x14ac:dyDescent="0.55000000000000004">
      <c r="BF2676" s="7"/>
      <c r="BM2676" s="7"/>
      <c r="BT2676" s="7"/>
    </row>
    <row r="2677" spans="58:72" x14ac:dyDescent="0.55000000000000004">
      <c r="BF2677" s="7"/>
      <c r="BM2677" s="7"/>
      <c r="BT2677" s="7"/>
    </row>
    <row r="2678" spans="58:72" x14ac:dyDescent="0.55000000000000004">
      <c r="BF2678" s="7"/>
      <c r="BM2678" s="7"/>
      <c r="BT2678" s="7"/>
    </row>
    <row r="2679" spans="58:72" x14ac:dyDescent="0.55000000000000004">
      <c r="BF2679" s="7"/>
      <c r="BM2679" s="7"/>
      <c r="BT2679" s="7"/>
    </row>
    <row r="2680" spans="58:72" x14ac:dyDescent="0.55000000000000004">
      <c r="BF2680" s="7"/>
      <c r="BM2680" s="7"/>
      <c r="BT2680" s="7"/>
    </row>
    <row r="2681" spans="58:72" x14ac:dyDescent="0.55000000000000004">
      <c r="BF2681" s="7"/>
      <c r="BM2681" s="7"/>
      <c r="BT2681" s="7"/>
    </row>
    <row r="2682" spans="58:72" x14ac:dyDescent="0.55000000000000004">
      <c r="BF2682" s="7"/>
      <c r="BM2682" s="7"/>
      <c r="BT2682" s="7"/>
    </row>
    <row r="2683" spans="58:72" x14ac:dyDescent="0.55000000000000004">
      <c r="BF2683" s="7"/>
      <c r="BM2683" s="7"/>
      <c r="BT2683" s="7"/>
    </row>
    <row r="2684" spans="58:72" x14ac:dyDescent="0.55000000000000004">
      <c r="BF2684" s="7"/>
      <c r="BM2684" s="7"/>
      <c r="BT2684" s="7"/>
    </row>
    <row r="2685" spans="58:72" x14ac:dyDescent="0.55000000000000004">
      <c r="BF2685" s="7"/>
      <c r="BM2685" s="7"/>
      <c r="BT2685" s="7"/>
    </row>
    <row r="2686" spans="58:72" x14ac:dyDescent="0.55000000000000004">
      <c r="BF2686" s="7"/>
      <c r="BM2686" s="7"/>
      <c r="BT2686" s="7"/>
    </row>
    <row r="2687" spans="58:72" x14ac:dyDescent="0.55000000000000004">
      <c r="BF2687" s="7"/>
      <c r="BM2687" s="7"/>
      <c r="BT2687" s="7"/>
    </row>
    <row r="2688" spans="58:72" x14ac:dyDescent="0.55000000000000004">
      <c r="BF2688" s="7"/>
      <c r="BM2688" s="7"/>
      <c r="BT2688" s="7"/>
    </row>
    <row r="2689" spans="58:72" x14ac:dyDescent="0.55000000000000004">
      <c r="BF2689" s="7"/>
      <c r="BM2689" s="7"/>
      <c r="BT2689" s="7"/>
    </row>
    <row r="2690" spans="58:72" x14ac:dyDescent="0.55000000000000004">
      <c r="BF2690" s="7"/>
      <c r="BM2690" s="7"/>
      <c r="BT2690" s="7"/>
    </row>
    <row r="2691" spans="58:72" x14ac:dyDescent="0.55000000000000004">
      <c r="BF2691" s="7"/>
      <c r="BM2691" s="7"/>
      <c r="BT2691" s="7"/>
    </row>
    <row r="2692" spans="58:72" x14ac:dyDescent="0.55000000000000004">
      <c r="BF2692" s="7"/>
      <c r="BM2692" s="7"/>
      <c r="BT2692" s="7"/>
    </row>
    <row r="2693" spans="58:72" x14ac:dyDescent="0.55000000000000004">
      <c r="BF2693" s="7"/>
      <c r="BM2693" s="7"/>
      <c r="BT2693" s="7"/>
    </row>
    <row r="2694" spans="58:72" x14ac:dyDescent="0.55000000000000004">
      <c r="BF2694" s="7"/>
      <c r="BM2694" s="7"/>
      <c r="BT2694" s="7"/>
    </row>
    <row r="2695" spans="58:72" x14ac:dyDescent="0.55000000000000004">
      <c r="BF2695" s="7"/>
      <c r="BM2695" s="7"/>
      <c r="BT2695" s="7"/>
    </row>
    <row r="2696" spans="58:72" x14ac:dyDescent="0.55000000000000004">
      <c r="BF2696" s="7"/>
      <c r="BM2696" s="7"/>
      <c r="BT2696" s="7"/>
    </row>
    <row r="2697" spans="58:72" x14ac:dyDescent="0.55000000000000004">
      <c r="BF2697" s="7"/>
      <c r="BM2697" s="7"/>
      <c r="BT2697" s="7"/>
    </row>
    <row r="2698" spans="58:72" x14ac:dyDescent="0.55000000000000004">
      <c r="BF2698" s="7"/>
      <c r="BM2698" s="7"/>
      <c r="BT2698" s="7"/>
    </row>
    <row r="2699" spans="58:72" x14ac:dyDescent="0.55000000000000004">
      <c r="BF2699" s="7"/>
      <c r="BM2699" s="7"/>
      <c r="BT2699" s="7"/>
    </row>
    <row r="2700" spans="58:72" x14ac:dyDescent="0.55000000000000004">
      <c r="BF2700" s="7"/>
      <c r="BM2700" s="7"/>
      <c r="BT2700" s="7"/>
    </row>
    <row r="2701" spans="58:72" x14ac:dyDescent="0.55000000000000004">
      <c r="BF2701" s="7"/>
      <c r="BM2701" s="7"/>
      <c r="BT2701" s="7"/>
    </row>
    <row r="2702" spans="58:72" x14ac:dyDescent="0.55000000000000004">
      <c r="BF2702" s="7"/>
      <c r="BM2702" s="7"/>
      <c r="BT2702" s="7"/>
    </row>
    <row r="2703" spans="58:72" x14ac:dyDescent="0.55000000000000004">
      <c r="BF2703" s="7"/>
      <c r="BM2703" s="7"/>
      <c r="BT2703" s="7"/>
    </row>
    <row r="2704" spans="58:72" x14ac:dyDescent="0.55000000000000004">
      <c r="BF2704" s="7"/>
      <c r="BM2704" s="7"/>
      <c r="BT2704" s="7"/>
    </row>
    <row r="2705" spans="58:72" x14ac:dyDescent="0.55000000000000004">
      <c r="BF2705" s="7"/>
      <c r="BM2705" s="7"/>
      <c r="BT2705" s="7"/>
    </row>
    <row r="2706" spans="58:72" x14ac:dyDescent="0.55000000000000004">
      <c r="BF2706" s="7"/>
      <c r="BM2706" s="7"/>
      <c r="BT2706" s="7"/>
    </row>
    <row r="2707" spans="58:72" x14ac:dyDescent="0.55000000000000004">
      <c r="BF2707" s="7"/>
      <c r="BM2707" s="7"/>
      <c r="BT2707" s="7"/>
    </row>
    <row r="2708" spans="58:72" x14ac:dyDescent="0.55000000000000004">
      <c r="BF2708" s="7"/>
      <c r="BM2708" s="7"/>
      <c r="BT2708" s="7"/>
    </row>
    <row r="2709" spans="58:72" x14ac:dyDescent="0.55000000000000004">
      <c r="BF2709" s="7"/>
      <c r="BM2709" s="7"/>
      <c r="BT2709" s="7"/>
    </row>
    <row r="2710" spans="58:72" x14ac:dyDescent="0.55000000000000004">
      <c r="BF2710" s="7"/>
      <c r="BM2710" s="7"/>
      <c r="BT2710" s="7"/>
    </row>
    <row r="2711" spans="58:72" x14ac:dyDescent="0.55000000000000004">
      <c r="BF2711" s="7"/>
      <c r="BM2711" s="7"/>
      <c r="BT2711" s="7"/>
    </row>
    <row r="2712" spans="58:72" x14ac:dyDescent="0.55000000000000004">
      <c r="BF2712" s="7"/>
      <c r="BM2712" s="7"/>
      <c r="BT2712" s="7"/>
    </row>
    <row r="2713" spans="58:72" x14ac:dyDescent="0.55000000000000004">
      <c r="BF2713" s="7"/>
      <c r="BM2713" s="7"/>
      <c r="BT2713" s="7"/>
    </row>
    <row r="2714" spans="58:72" x14ac:dyDescent="0.55000000000000004">
      <c r="BF2714" s="7"/>
      <c r="BM2714" s="7"/>
      <c r="BT2714" s="7"/>
    </row>
    <row r="2715" spans="58:72" x14ac:dyDescent="0.55000000000000004">
      <c r="BF2715" s="7"/>
      <c r="BM2715" s="7"/>
      <c r="BT2715" s="7"/>
    </row>
    <row r="2716" spans="58:72" x14ac:dyDescent="0.55000000000000004">
      <c r="BF2716" s="7"/>
      <c r="BM2716" s="7"/>
      <c r="BT2716" s="7"/>
    </row>
    <row r="2717" spans="58:72" x14ac:dyDescent="0.55000000000000004">
      <c r="BF2717" s="7"/>
      <c r="BM2717" s="7"/>
      <c r="BT2717" s="7"/>
    </row>
    <row r="2718" spans="58:72" x14ac:dyDescent="0.55000000000000004">
      <c r="BF2718" s="7"/>
      <c r="BM2718" s="7"/>
      <c r="BT2718" s="7"/>
    </row>
    <row r="2719" spans="58:72" x14ac:dyDescent="0.55000000000000004">
      <c r="BF2719" s="7"/>
      <c r="BM2719" s="7"/>
      <c r="BT2719" s="7"/>
    </row>
    <row r="2720" spans="58:72" x14ac:dyDescent="0.55000000000000004">
      <c r="BF2720" s="7"/>
      <c r="BM2720" s="7"/>
      <c r="BT2720" s="7"/>
    </row>
    <row r="2721" spans="58:72" x14ac:dyDescent="0.55000000000000004">
      <c r="BF2721" s="7"/>
      <c r="BM2721" s="7"/>
      <c r="BT2721" s="7"/>
    </row>
    <row r="2722" spans="58:72" x14ac:dyDescent="0.55000000000000004">
      <c r="BF2722" s="7"/>
      <c r="BM2722" s="7"/>
      <c r="BT2722" s="7"/>
    </row>
    <row r="2723" spans="58:72" x14ac:dyDescent="0.55000000000000004">
      <c r="BF2723" s="7"/>
      <c r="BM2723" s="7"/>
      <c r="BT2723" s="7"/>
    </row>
    <row r="2724" spans="58:72" x14ac:dyDescent="0.55000000000000004">
      <c r="BF2724" s="7"/>
      <c r="BM2724" s="7"/>
      <c r="BT2724" s="7"/>
    </row>
    <row r="2725" spans="58:72" x14ac:dyDescent="0.55000000000000004">
      <c r="BF2725" s="7"/>
      <c r="BM2725" s="7"/>
      <c r="BT2725" s="7"/>
    </row>
    <row r="2726" spans="58:72" x14ac:dyDescent="0.55000000000000004">
      <c r="BF2726" s="7"/>
      <c r="BM2726" s="7"/>
      <c r="BT2726" s="7"/>
    </row>
    <row r="2727" spans="58:72" x14ac:dyDescent="0.55000000000000004">
      <c r="BF2727" s="7"/>
      <c r="BM2727" s="7"/>
      <c r="BT2727" s="7"/>
    </row>
    <row r="2728" spans="58:72" x14ac:dyDescent="0.55000000000000004">
      <c r="BF2728" s="7"/>
      <c r="BM2728" s="7"/>
      <c r="BT2728" s="7"/>
    </row>
    <row r="2729" spans="58:72" x14ac:dyDescent="0.55000000000000004">
      <c r="BF2729" s="7"/>
      <c r="BM2729" s="7"/>
      <c r="BT2729" s="7"/>
    </row>
    <row r="2730" spans="58:72" x14ac:dyDescent="0.55000000000000004">
      <c r="BF2730" s="7"/>
      <c r="BM2730" s="7"/>
      <c r="BT2730" s="7"/>
    </row>
    <row r="2731" spans="58:72" x14ac:dyDescent="0.55000000000000004">
      <c r="BF2731" s="7"/>
      <c r="BM2731" s="7"/>
      <c r="BT2731" s="7"/>
    </row>
    <row r="2732" spans="58:72" x14ac:dyDescent="0.55000000000000004">
      <c r="BF2732" s="7"/>
      <c r="BM2732" s="7"/>
      <c r="BT2732" s="7"/>
    </row>
    <row r="2733" spans="58:72" x14ac:dyDescent="0.55000000000000004">
      <c r="BF2733" s="7"/>
      <c r="BM2733" s="7"/>
      <c r="BT2733" s="7"/>
    </row>
    <row r="2734" spans="58:72" x14ac:dyDescent="0.55000000000000004">
      <c r="BF2734" s="7"/>
      <c r="BM2734" s="7"/>
      <c r="BT2734" s="7"/>
    </row>
    <row r="2735" spans="58:72" x14ac:dyDescent="0.55000000000000004">
      <c r="BF2735" s="7"/>
      <c r="BM2735" s="7"/>
      <c r="BT2735" s="7"/>
    </row>
    <row r="2736" spans="58:72" x14ac:dyDescent="0.55000000000000004">
      <c r="BF2736" s="7"/>
      <c r="BM2736" s="7"/>
      <c r="BT2736" s="7"/>
    </row>
    <row r="2737" spans="58:72" x14ac:dyDescent="0.55000000000000004">
      <c r="BF2737" s="7"/>
      <c r="BM2737" s="7"/>
      <c r="BT2737" s="7"/>
    </row>
    <row r="2738" spans="58:72" x14ac:dyDescent="0.55000000000000004">
      <c r="BF2738" s="7"/>
      <c r="BM2738" s="7"/>
      <c r="BT2738" s="7"/>
    </row>
    <row r="2739" spans="58:72" x14ac:dyDescent="0.55000000000000004">
      <c r="BF2739" s="7"/>
      <c r="BM2739" s="7"/>
      <c r="BT2739" s="7"/>
    </row>
    <row r="2740" spans="58:72" x14ac:dyDescent="0.55000000000000004">
      <c r="BF2740" s="7"/>
      <c r="BM2740" s="7"/>
      <c r="BT2740" s="7"/>
    </row>
    <row r="2741" spans="58:72" x14ac:dyDescent="0.55000000000000004">
      <c r="BF2741" s="7"/>
      <c r="BM2741" s="7"/>
      <c r="BT2741" s="7"/>
    </row>
    <row r="2742" spans="58:72" x14ac:dyDescent="0.55000000000000004">
      <c r="BF2742" s="7"/>
      <c r="BM2742" s="7"/>
      <c r="BT2742" s="7"/>
    </row>
    <row r="2743" spans="58:72" x14ac:dyDescent="0.55000000000000004">
      <c r="BF2743" s="7"/>
      <c r="BM2743" s="7"/>
      <c r="BT2743" s="7"/>
    </row>
    <row r="2744" spans="58:72" x14ac:dyDescent="0.55000000000000004">
      <c r="BF2744" s="7"/>
      <c r="BM2744" s="7"/>
      <c r="BT2744" s="7"/>
    </row>
    <row r="2745" spans="58:72" x14ac:dyDescent="0.55000000000000004">
      <c r="BF2745" s="7"/>
      <c r="BM2745" s="7"/>
      <c r="BT2745" s="7"/>
    </row>
    <row r="2746" spans="58:72" x14ac:dyDescent="0.55000000000000004">
      <c r="BF2746" s="7"/>
      <c r="BM2746" s="7"/>
      <c r="BT2746" s="7"/>
    </row>
    <row r="2747" spans="58:72" x14ac:dyDescent="0.55000000000000004">
      <c r="BF2747" s="7"/>
      <c r="BM2747" s="7"/>
      <c r="BT2747" s="7"/>
    </row>
    <row r="2748" spans="58:72" x14ac:dyDescent="0.55000000000000004">
      <c r="BF2748" s="7"/>
      <c r="BM2748" s="7"/>
      <c r="BT2748" s="7"/>
    </row>
    <row r="2749" spans="58:72" x14ac:dyDescent="0.55000000000000004">
      <c r="BF2749" s="7"/>
      <c r="BM2749" s="7"/>
      <c r="BT2749" s="7"/>
    </row>
    <row r="2750" spans="58:72" x14ac:dyDescent="0.55000000000000004">
      <c r="BF2750" s="7"/>
      <c r="BM2750" s="7"/>
      <c r="BT2750" s="7"/>
    </row>
    <row r="2751" spans="58:72" x14ac:dyDescent="0.55000000000000004">
      <c r="BF2751" s="7"/>
      <c r="BM2751" s="7"/>
      <c r="BT2751" s="7"/>
    </row>
    <row r="2752" spans="58:72" x14ac:dyDescent="0.55000000000000004">
      <c r="BF2752" s="7"/>
      <c r="BM2752" s="7"/>
      <c r="BT2752" s="7"/>
    </row>
    <row r="2753" spans="58:72" x14ac:dyDescent="0.55000000000000004">
      <c r="BF2753" s="7"/>
      <c r="BM2753" s="7"/>
      <c r="BT2753" s="7"/>
    </row>
    <row r="2754" spans="58:72" x14ac:dyDescent="0.55000000000000004">
      <c r="BF2754" s="7"/>
      <c r="BM2754" s="7"/>
      <c r="BT2754" s="7"/>
    </row>
    <row r="2755" spans="58:72" x14ac:dyDescent="0.55000000000000004">
      <c r="BF2755" s="7"/>
      <c r="BM2755" s="7"/>
      <c r="BT2755" s="7"/>
    </row>
    <row r="2756" spans="58:72" x14ac:dyDescent="0.55000000000000004">
      <c r="BF2756" s="7"/>
      <c r="BM2756" s="7"/>
      <c r="BT2756" s="7"/>
    </row>
    <row r="2757" spans="58:72" x14ac:dyDescent="0.55000000000000004">
      <c r="BF2757" s="7"/>
      <c r="BM2757" s="7"/>
      <c r="BT2757" s="7"/>
    </row>
    <row r="2758" spans="58:72" x14ac:dyDescent="0.55000000000000004">
      <c r="BF2758" s="7"/>
      <c r="BM2758" s="7"/>
      <c r="BT2758" s="7"/>
    </row>
    <row r="2759" spans="58:72" x14ac:dyDescent="0.55000000000000004">
      <c r="BF2759" s="7"/>
      <c r="BM2759" s="7"/>
      <c r="BT2759" s="7"/>
    </row>
    <row r="2760" spans="58:72" x14ac:dyDescent="0.55000000000000004">
      <c r="BF2760" s="7"/>
      <c r="BM2760" s="7"/>
      <c r="BT2760" s="7"/>
    </row>
    <row r="2761" spans="58:72" x14ac:dyDescent="0.55000000000000004">
      <c r="BF2761" s="7"/>
      <c r="BM2761" s="7"/>
      <c r="BT2761" s="7"/>
    </row>
    <row r="2762" spans="58:72" x14ac:dyDescent="0.55000000000000004">
      <c r="BF2762" s="7"/>
      <c r="BM2762" s="7"/>
      <c r="BT2762" s="7"/>
    </row>
    <row r="2763" spans="58:72" x14ac:dyDescent="0.55000000000000004">
      <c r="BF2763" s="7"/>
      <c r="BM2763" s="7"/>
      <c r="BT2763" s="7"/>
    </row>
    <row r="2764" spans="58:72" x14ac:dyDescent="0.55000000000000004">
      <c r="BF2764" s="7"/>
      <c r="BM2764" s="7"/>
      <c r="BT2764" s="7"/>
    </row>
    <row r="2765" spans="58:72" x14ac:dyDescent="0.55000000000000004">
      <c r="BF2765" s="7"/>
      <c r="BM2765" s="7"/>
      <c r="BT2765" s="7"/>
    </row>
    <row r="2766" spans="58:72" x14ac:dyDescent="0.55000000000000004">
      <c r="BF2766" s="7"/>
      <c r="BM2766" s="7"/>
      <c r="BT2766" s="7"/>
    </row>
    <row r="2767" spans="58:72" x14ac:dyDescent="0.55000000000000004">
      <c r="BF2767" s="7"/>
      <c r="BM2767" s="7"/>
      <c r="BT2767" s="7"/>
    </row>
    <row r="2768" spans="58:72" x14ac:dyDescent="0.55000000000000004">
      <c r="BF2768" s="7"/>
      <c r="BM2768" s="7"/>
      <c r="BT2768" s="7"/>
    </row>
    <row r="2769" spans="58:72" x14ac:dyDescent="0.55000000000000004">
      <c r="BF2769" s="7"/>
      <c r="BM2769" s="7"/>
      <c r="BT2769" s="7"/>
    </row>
    <row r="2770" spans="58:72" x14ac:dyDescent="0.55000000000000004">
      <c r="BF2770" s="7"/>
      <c r="BM2770" s="7"/>
      <c r="BT2770" s="7"/>
    </row>
    <row r="2771" spans="58:72" x14ac:dyDescent="0.55000000000000004">
      <c r="BF2771" s="7"/>
      <c r="BM2771" s="7"/>
      <c r="BT2771" s="7"/>
    </row>
    <row r="2772" spans="58:72" x14ac:dyDescent="0.55000000000000004">
      <c r="BF2772" s="7"/>
      <c r="BM2772" s="7"/>
      <c r="BT2772" s="7"/>
    </row>
    <row r="2773" spans="58:72" x14ac:dyDescent="0.55000000000000004">
      <c r="BF2773" s="7"/>
      <c r="BM2773" s="7"/>
      <c r="BT2773" s="7"/>
    </row>
    <row r="2774" spans="58:72" x14ac:dyDescent="0.55000000000000004">
      <c r="BF2774" s="7"/>
      <c r="BM2774" s="7"/>
      <c r="BT2774" s="7"/>
    </row>
    <row r="2775" spans="58:72" x14ac:dyDescent="0.55000000000000004">
      <c r="BF2775" s="7"/>
      <c r="BM2775" s="7"/>
      <c r="BT2775" s="7"/>
    </row>
    <row r="2776" spans="58:72" x14ac:dyDescent="0.55000000000000004">
      <c r="BF2776" s="7"/>
      <c r="BM2776" s="7"/>
      <c r="BT2776" s="7"/>
    </row>
    <row r="2777" spans="58:72" x14ac:dyDescent="0.55000000000000004">
      <c r="BF2777" s="7"/>
      <c r="BM2777" s="7"/>
      <c r="BT2777" s="7"/>
    </row>
    <row r="2778" spans="58:72" x14ac:dyDescent="0.55000000000000004">
      <c r="BF2778" s="7"/>
      <c r="BM2778" s="7"/>
      <c r="BT2778" s="7"/>
    </row>
    <row r="2779" spans="58:72" x14ac:dyDescent="0.55000000000000004">
      <c r="BF2779" s="7"/>
      <c r="BM2779" s="7"/>
      <c r="BT2779" s="7"/>
    </row>
    <row r="2780" spans="58:72" x14ac:dyDescent="0.55000000000000004">
      <c r="BF2780" s="7"/>
      <c r="BM2780" s="7"/>
      <c r="BT2780" s="7"/>
    </row>
    <row r="2781" spans="58:72" x14ac:dyDescent="0.55000000000000004">
      <c r="BF2781" s="7"/>
      <c r="BM2781" s="7"/>
      <c r="BT2781" s="7"/>
    </row>
    <row r="2782" spans="58:72" x14ac:dyDescent="0.55000000000000004">
      <c r="BF2782" s="7"/>
      <c r="BM2782" s="7"/>
      <c r="BT2782" s="7"/>
    </row>
    <row r="2783" spans="58:72" x14ac:dyDescent="0.55000000000000004">
      <c r="BF2783" s="7"/>
      <c r="BM2783" s="7"/>
      <c r="BT2783" s="7"/>
    </row>
    <row r="2784" spans="58:72" x14ac:dyDescent="0.55000000000000004">
      <c r="BF2784" s="7"/>
      <c r="BM2784" s="7"/>
      <c r="BT2784" s="7"/>
    </row>
    <row r="2785" spans="58:72" x14ac:dyDescent="0.55000000000000004">
      <c r="BF2785" s="7"/>
      <c r="BM2785" s="7"/>
      <c r="BT2785" s="7"/>
    </row>
    <row r="2786" spans="58:72" x14ac:dyDescent="0.55000000000000004">
      <c r="BF2786" s="7"/>
      <c r="BM2786" s="7"/>
      <c r="BT2786" s="7"/>
    </row>
    <row r="2787" spans="58:72" x14ac:dyDescent="0.55000000000000004">
      <c r="BF2787" s="7"/>
      <c r="BM2787" s="7"/>
      <c r="BT2787" s="7"/>
    </row>
    <row r="2788" spans="58:72" x14ac:dyDescent="0.55000000000000004">
      <c r="BF2788" s="7"/>
      <c r="BM2788" s="7"/>
      <c r="BT2788" s="7"/>
    </row>
    <row r="2789" spans="58:72" x14ac:dyDescent="0.55000000000000004">
      <c r="BF2789" s="7"/>
      <c r="BM2789" s="7"/>
      <c r="BT2789" s="7"/>
    </row>
    <row r="2790" spans="58:72" x14ac:dyDescent="0.55000000000000004">
      <c r="BF2790" s="7"/>
      <c r="BM2790" s="7"/>
      <c r="BT2790" s="7"/>
    </row>
    <row r="2791" spans="58:72" x14ac:dyDescent="0.55000000000000004">
      <c r="BF2791" s="7"/>
      <c r="BM2791" s="7"/>
      <c r="BT2791" s="7"/>
    </row>
    <row r="2792" spans="58:72" x14ac:dyDescent="0.55000000000000004">
      <c r="BF2792" s="7"/>
      <c r="BM2792" s="7"/>
      <c r="BT2792" s="7"/>
    </row>
    <row r="2793" spans="58:72" x14ac:dyDescent="0.55000000000000004">
      <c r="BF2793" s="7"/>
      <c r="BM2793" s="7"/>
      <c r="BT2793" s="7"/>
    </row>
    <row r="2794" spans="58:72" x14ac:dyDescent="0.55000000000000004">
      <c r="BF2794" s="7"/>
      <c r="BM2794" s="7"/>
      <c r="BT2794" s="7"/>
    </row>
    <row r="2795" spans="58:72" x14ac:dyDescent="0.55000000000000004">
      <c r="BF2795" s="7"/>
      <c r="BM2795" s="7"/>
      <c r="BT2795" s="7"/>
    </row>
    <row r="2796" spans="58:72" x14ac:dyDescent="0.55000000000000004">
      <c r="BF2796" s="7"/>
      <c r="BM2796" s="7"/>
      <c r="BT2796" s="7"/>
    </row>
    <row r="2797" spans="58:72" x14ac:dyDescent="0.55000000000000004">
      <c r="BF2797" s="7"/>
      <c r="BM2797" s="7"/>
      <c r="BT2797" s="7"/>
    </row>
    <row r="2798" spans="58:72" x14ac:dyDescent="0.55000000000000004">
      <c r="BF2798" s="7"/>
      <c r="BM2798" s="7"/>
      <c r="BT2798" s="7"/>
    </row>
    <row r="2799" spans="58:72" x14ac:dyDescent="0.55000000000000004">
      <c r="BF2799" s="7"/>
      <c r="BM2799" s="7"/>
      <c r="BT2799" s="7"/>
    </row>
    <row r="2800" spans="58:72" x14ac:dyDescent="0.55000000000000004">
      <c r="BF2800" s="7"/>
      <c r="BM2800" s="7"/>
      <c r="BT2800" s="7"/>
    </row>
    <row r="2801" spans="58:72" x14ac:dyDescent="0.55000000000000004">
      <c r="BF2801" s="7"/>
      <c r="BM2801" s="7"/>
      <c r="BT2801" s="7"/>
    </row>
    <row r="2802" spans="58:72" x14ac:dyDescent="0.55000000000000004">
      <c r="BF2802" s="7"/>
      <c r="BM2802" s="7"/>
      <c r="BT2802" s="7"/>
    </row>
    <row r="2803" spans="58:72" x14ac:dyDescent="0.55000000000000004">
      <c r="BF2803" s="7"/>
      <c r="BM2803" s="7"/>
      <c r="BT2803" s="7"/>
    </row>
    <row r="2804" spans="58:72" x14ac:dyDescent="0.55000000000000004">
      <c r="BF2804" s="7"/>
      <c r="BM2804" s="7"/>
      <c r="BT2804" s="7"/>
    </row>
    <row r="2805" spans="58:72" x14ac:dyDescent="0.55000000000000004">
      <c r="BF2805" s="7"/>
      <c r="BM2805" s="7"/>
      <c r="BT2805" s="7"/>
    </row>
    <row r="2806" spans="58:72" x14ac:dyDescent="0.55000000000000004">
      <c r="BF2806" s="7"/>
      <c r="BM2806" s="7"/>
      <c r="BT2806" s="7"/>
    </row>
    <row r="2807" spans="58:72" x14ac:dyDescent="0.55000000000000004">
      <c r="BF2807" s="7"/>
      <c r="BM2807" s="7"/>
      <c r="BT2807" s="7"/>
    </row>
    <row r="2808" spans="58:72" x14ac:dyDescent="0.55000000000000004">
      <c r="BF2808" s="7"/>
      <c r="BM2808" s="7"/>
      <c r="BT2808" s="7"/>
    </row>
    <row r="2809" spans="58:72" x14ac:dyDescent="0.55000000000000004">
      <c r="BF2809" s="7"/>
      <c r="BM2809" s="7"/>
      <c r="BT2809" s="7"/>
    </row>
    <row r="2810" spans="58:72" x14ac:dyDescent="0.55000000000000004">
      <c r="BF2810" s="7"/>
      <c r="BM2810" s="7"/>
      <c r="BT2810" s="7"/>
    </row>
    <row r="2811" spans="58:72" x14ac:dyDescent="0.55000000000000004">
      <c r="BF2811" s="7"/>
      <c r="BM2811" s="7"/>
      <c r="BT2811" s="7"/>
    </row>
    <row r="2812" spans="58:72" x14ac:dyDescent="0.55000000000000004">
      <c r="BF2812" s="7"/>
      <c r="BM2812" s="7"/>
      <c r="BT2812" s="7"/>
    </row>
    <row r="2813" spans="58:72" x14ac:dyDescent="0.55000000000000004">
      <c r="BF2813" s="7"/>
      <c r="BM2813" s="7"/>
      <c r="BT2813" s="7"/>
    </row>
    <row r="2814" spans="58:72" x14ac:dyDescent="0.55000000000000004">
      <c r="BF2814" s="7"/>
      <c r="BM2814" s="7"/>
      <c r="BT2814" s="7"/>
    </row>
    <row r="2815" spans="58:72" x14ac:dyDescent="0.55000000000000004">
      <c r="BF2815" s="7"/>
      <c r="BM2815" s="7"/>
      <c r="BT2815" s="7"/>
    </row>
    <row r="2816" spans="58:72" x14ac:dyDescent="0.55000000000000004">
      <c r="BF2816" s="7"/>
      <c r="BM2816" s="7"/>
      <c r="BT2816" s="7"/>
    </row>
    <row r="2817" spans="58:72" x14ac:dyDescent="0.55000000000000004">
      <c r="BF2817" s="7"/>
      <c r="BM2817" s="7"/>
      <c r="BT2817" s="7"/>
    </row>
    <row r="2818" spans="58:72" x14ac:dyDescent="0.55000000000000004">
      <c r="BF2818" s="7"/>
      <c r="BM2818" s="7"/>
      <c r="BT2818" s="7"/>
    </row>
    <row r="2819" spans="58:72" x14ac:dyDescent="0.55000000000000004">
      <c r="BF2819" s="7"/>
      <c r="BM2819" s="7"/>
      <c r="BT2819" s="7"/>
    </row>
    <row r="2820" spans="58:72" x14ac:dyDescent="0.55000000000000004">
      <c r="BF2820" s="7"/>
      <c r="BM2820" s="7"/>
      <c r="BT2820" s="7"/>
    </row>
    <row r="2821" spans="58:72" x14ac:dyDescent="0.55000000000000004">
      <c r="BF2821" s="7"/>
      <c r="BM2821" s="7"/>
      <c r="BT2821" s="7"/>
    </row>
    <row r="2822" spans="58:72" x14ac:dyDescent="0.55000000000000004">
      <c r="BF2822" s="7"/>
      <c r="BM2822" s="7"/>
      <c r="BT2822" s="7"/>
    </row>
    <row r="2823" spans="58:72" x14ac:dyDescent="0.55000000000000004">
      <c r="BF2823" s="7"/>
      <c r="BM2823" s="7"/>
      <c r="BT2823" s="7"/>
    </row>
    <row r="2824" spans="58:72" x14ac:dyDescent="0.55000000000000004">
      <c r="BF2824" s="7"/>
      <c r="BM2824" s="7"/>
      <c r="BT2824" s="7"/>
    </row>
    <row r="2825" spans="58:72" x14ac:dyDescent="0.55000000000000004">
      <c r="BF2825" s="7"/>
      <c r="BM2825" s="7"/>
      <c r="BT2825" s="7"/>
    </row>
    <row r="2826" spans="58:72" x14ac:dyDescent="0.55000000000000004">
      <c r="BF2826" s="7"/>
      <c r="BM2826" s="7"/>
      <c r="BT2826" s="7"/>
    </row>
    <row r="2827" spans="58:72" x14ac:dyDescent="0.55000000000000004">
      <c r="BF2827" s="7"/>
      <c r="BM2827" s="7"/>
      <c r="BT2827" s="7"/>
    </row>
    <row r="2828" spans="58:72" x14ac:dyDescent="0.55000000000000004">
      <c r="BF2828" s="7"/>
      <c r="BM2828" s="7"/>
      <c r="BT2828" s="7"/>
    </row>
    <row r="2829" spans="58:72" x14ac:dyDescent="0.55000000000000004">
      <c r="BF2829" s="7"/>
      <c r="BM2829" s="7"/>
      <c r="BT2829" s="7"/>
    </row>
    <row r="2830" spans="58:72" x14ac:dyDescent="0.55000000000000004">
      <c r="BF2830" s="7"/>
      <c r="BM2830" s="7"/>
      <c r="BT2830" s="7"/>
    </row>
    <row r="2831" spans="58:72" x14ac:dyDescent="0.55000000000000004">
      <c r="BF2831" s="7"/>
      <c r="BM2831" s="7"/>
      <c r="BT2831" s="7"/>
    </row>
    <row r="2832" spans="58:72" x14ac:dyDescent="0.55000000000000004">
      <c r="BF2832" s="7"/>
      <c r="BM2832" s="7"/>
      <c r="BT2832" s="7"/>
    </row>
    <row r="2833" spans="58:72" x14ac:dyDescent="0.55000000000000004">
      <c r="BF2833" s="7"/>
      <c r="BM2833" s="7"/>
      <c r="BT2833" s="7"/>
    </row>
    <row r="2834" spans="58:72" x14ac:dyDescent="0.55000000000000004">
      <c r="BF2834" s="7"/>
      <c r="BM2834" s="7"/>
      <c r="BT2834" s="7"/>
    </row>
    <row r="2835" spans="58:72" x14ac:dyDescent="0.55000000000000004">
      <c r="BF2835" s="7"/>
      <c r="BM2835" s="7"/>
      <c r="BT2835" s="7"/>
    </row>
    <row r="2836" spans="58:72" x14ac:dyDescent="0.55000000000000004">
      <c r="BF2836" s="7"/>
      <c r="BM2836" s="7"/>
      <c r="BT2836" s="7"/>
    </row>
    <row r="2837" spans="58:72" x14ac:dyDescent="0.55000000000000004">
      <c r="BF2837" s="7"/>
      <c r="BM2837" s="7"/>
      <c r="BT2837" s="7"/>
    </row>
    <row r="2838" spans="58:72" x14ac:dyDescent="0.55000000000000004">
      <c r="BF2838" s="7"/>
      <c r="BM2838" s="7"/>
      <c r="BT2838" s="7"/>
    </row>
    <row r="2839" spans="58:72" x14ac:dyDescent="0.55000000000000004">
      <c r="BF2839" s="7"/>
      <c r="BM2839" s="7"/>
      <c r="BT2839" s="7"/>
    </row>
    <row r="2840" spans="58:72" x14ac:dyDescent="0.55000000000000004">
      <c r="BF2840" s="7"/>
      <c r="BM2840" s="7"/>
      <c r="BT2840" s="7"/>
    </row>
    <row r="2841" spans="58:72" x14ac:dyDescent="0.55000000000000004">
      <c r="BF2841" s="7"/>
      <c r="BM2841" s="7"/>
      <c r="BT2841" s="7"/>
    </row>
    <row r="2842" spans="58:72" x14ac:dyDescent="0.55000000000000004">
      <c r="BF2842" s="7"/>
      <c r="BM2842" s="7"/>
      <c r="BT2842" s="7"/>
    </row>
    <row r="2843" spans="58:72" x14ac:dyDescent="0.55000000000000004">
      <c r="BF2843" s="7"/>
      <c r="BM2843" s="7"/>
      <c r="BT2843" s="7"/>
    </row>
    <row r="2844" spans="58:72" x14ac:dyDescent="0.55000000000000004">
      <c r="BF2844" s="7"/>
      <c r="BM2844" s="7"/>
      <c r="BT2844" s="7"/>
    </row>
    <row r="2845" spans="58:72" x14ac:dyDescent="0.55000000000000004">
      <c r="BF2845" s="7"/>
      <c r="BM2845" s="7"/>
      <c r="BT2845" s="7"/>
    </row>
    <row r="2846" spans="58:72" x14ac:dyDescent="0.55000000000000004">
      <c r="BF2846" s="7"/>
      <c r="BM2846" s="7"/>
      <c r="BT2846" s="7"/>
    </row>
    <row r="2847" spans="58:72" x14ac:dyDescent="0.55000000000000004">
      <c r="BF2847" s="7"/>
      <c r="BM2847" s="7"/>
      <c r="BT2847" s="7"/>
    </row>
    <row r="2848" spans="58:72" x14ac:dyDescent="0.55000000000000004">
      <c r="BF2848" s="7"/>
      <c r="BM2848" s="7"/>
      <c r="BT2848" s="7"/>
    </row>
    <row r="2849" spans="58:72" x14ac:dyDescent="0.55000000000000004">
      <c r="BF2849" s="7"/>
      <c r="BM2849" s="7"/>
      <c r="BT2849" s="7"/>
    </row>
    <row r="2850" spans="58:72" x14ac:dyDescent="0.55000000000000004">
      <c r="BF2850" s="7"/>
      <c r="BM2850" s="7"/>
      <c r="BT2850" s="7"/>
    </row>
    <row r="2851" spans="58:72" x14ac:dyDescent="0.55000000000000004">
      <c r="BF2851" s="7"/>
      <c r="BM2851" s="7"/>
      <c r="BT2851" s="7"/>
    </row>
    <row r="2852" spans="58:72" x14ac:dyDescent="0.55000000000000004">
      <c r="BF2852" s="7"/>
      <c r="BM2852" s="7"/>
      <c r="BT2852" s="7"/>
    </row>
    <row r="2853" spans="58:72" x14ac:dyDescent="0.55000000000000004">
      <c r="BF2853" s="7"/>
      <c r="BM2853" s="7"/>
      <c r="BT2853" s="7"/>
    </row>
    <row r="2854" spans="58:72" x14ac:dyDescent="0.55000000000000004">
      <c r="BF2854" s="7"/>
      <c r="BM2854" s="7"/>
      <c r="BT2854" s="7"/>
    </row>
    <row r="2855" spans="58:72" x14ac:dyDescent="0.55000000000000004">
      <c r="BF2855" s="7"/>
      <c r="BM2855" s="7"/>
      <c r="BT2855" s="7"/>
    </row>
    <row r="2856" spans="58:72" x14ac:dyDescent="0.55000000000000004">
      <c r="BF2856" s="7"/>
      <c r="BM2856" s="7"/>
      <c r="BT2856" s="7"/>
    </row>
    <row r="2857" spans="58:72" x14ac:dyDescent="0.55000000000000004">
      <c r="BF2857" s="7"/>
      <c r="BM2857" s="7"/>
      <c r="BT2857" s="7"/>
    </row>
    <row r="2858" spans="58:72" x14ac:dyDescent="0.55000000000000004">
      <c r="BF2858" s="7"/>
      <c r="BM2858" s="7"/>
      <c r="BT2858" s="7"/>
    </row>
    <row r="2859" spans="58:72" x14ac:dyDescent="0.55000000000000004">
      <c r="BF2859" s="7"/>
      <c r="BM2859" s="7"/>
      <c r="BT2859" s="7"/>
    </row>
    <row r="2860" spans="58:72" x14ac:dyDescent="0.55000000000000004">
      <c r="BF2860" s="7"/>
      <c r="BM2860" s="7"/>
      <c r="BT2860" s="7"/>
    </row>
    <row r="2861" spans="58:72" x14ac:dyDescent="0.55000000000000004">
      <c r="BF2861" s="7"/>
      <c r="BM2861" s="7"/>
      <c r="BT2861" s="7"/>
    </row>
    <row r="2862" spans="58:72" x14ac:dyDescent="0.55000000000000004">
      <c r="BF2862" s="7"/>
      <c r="BM2862" s="7"/>
      <c r="BT2862" s="7"/>
    </row>
    <row r="2863" spans="58:72" x14ac:dyDescent="0.55000000000000004">
      <c r="BF2863" s="7"/>
      <c r="BM2863" s="7"/>
      <c r="BT2863" s="7"/>
    </row>
    <row r="2864" spans="58:72" x14ac:dyDescent="0.55000000000000004">
      <c r="BF2864" s="7"/>
      <c r="BM2864" s="7"/>
      <c r="BT2864" s="7"/>
    </row>
    <row r="2865" spans="58:72" x14ac:dyDescent="0.55000000000000004">
      <c r="BF2865" s="7"/>
      <c r="BM2865" s="7"/>
      <c r="BT2865" s="7"/>
    </row>
    <row r="2866" spans="58:72" x14ac:dyDescent="0.55000000000000004">
      <c r="BF2866" s="7"/>
      <c r="BM2866" s="7"/>
      <c r="BT2866" s="7"/>
    </row>
    <row r="2867" spans="58:72" x14ac:dyDescent="0.55000000000000004">
      <c r="BF2867" s="7"/>
      <c r="BM2867" s="7"/>
      <c r="BT2867" s="7"/>
    </row>
    <row r="2868" spans="58:72" x14ac:dyDescent="0.55000000000000004">
      <c r="BF2868" s="7"/>
      <c r="BM2868" s="7"/>
      <c r="BT2868" s="7"/>
    </row>
    <row r="2869" spans="58:72" x14ac:dyDescent="0.55000000000000004">
      <c r="BF2869" s="7"/>
      <c r="BM2869" s="7"/>
      <c r="BT2869" s="7"/>
    </row>
    <row r="2870" spans="58:72" x14ac:dyDescent="0.55000000000000004">
      <c r="BF2870" s="7"/>
      <c r="BM2870" s="7"/>
      <c r="BT2870" s="7"/>
    </row>
    <row r="2871" spans="58:72" x14ac:dyDescent="0.55000000000000004">
      <c r="BF2871" s="7"/>
      <c r="BM2871" s="7"/>
      <c r="BT2871" s="7"/>
    </row>
    <row r="2872" spans="58:72" x14ac:dyDescent="0.55000000000000004">
      <c r="BF2872" s="7"/>
      <c r="BM2872" s="7"/>
      <c r="BT2872" s="7"/>
    </row>
    <row r="2873" spans="58:72" x14ac:dyDescent="0.55000000000000004">
      <c r="BF2873" s="7"/>
      <c r="BM2873" s="7"/>
      <c r="BT2873" s="7"/>
    </row>
    <row r="2874" spans="58:72" x14ac:dyDescent="0.55000000000000004">
      <c r="BF2874" s="7"/>
      <c r="BM2874" s="7"/>
      <c r="BT2874" s="7"/>
    </row>
    <row r="2875" spans="58:72" x14ac:dyDescent="0.55000000000000004">
      <c r="BF2875" s="7"/>
      <c r="BM2875" s="7"/>
      <c r="BT2875" s="7"/>
    </row>
    <row r="2876" spans="58:72" x14ac:dyDescent="0.55000000000000004">
      <c r="BF2876" s="7"/>
      <c r="BM2876" s="7"/>
      <c r="BT2876" s="7"/>
    </row>
    <row r="2877" spans="58:72" x14ac:dyDescent="0.55000000000000004">
      <c r="BF2877" s="7"/>
      <c r="BM2877" s="7"/>
      <c r="BT2877" s="7"/>
    </row>
    <row r="2878" spans="58:72" x14ac:dyDescent="0.55000000000000004">
      <c r="BF2878" s="7"/>
      <c r="BM2878" s="7"/>
      <c r="BT2878" s="7"/>
    </row>
    <row r="2879" spans="58:72" x14ac:dyDescent="0.55000000000000004">
      <c r="BF2879" s="7"/>
      <c r="BM2879" s="7"/>
      <c r="BT2879" s="7"/>
    </row>
    <row r="2880" spans="58:72" x14ac:dyDescent="0.55000000000000004">
      <c r="BF2880" s="7"/>
      <c r="BM2880" s="7"/>
      <c r="BT2880" s="7"/>
    </row>
    <row r="2881" spans="58:72" x14ac:dyDescent="0.55000000000000004">
      <c r="BF2881" s="7"/>
      <c r="BM2881" s="7"/>
      <c r="BT2881" s="7"/>
    </row>
    <row r="2882" spans="58:72" x14ac:dyDescent="0.55000000000000004">
      <c r="BF2882" s="7"/>
      <c r="BM2882" s="7"/>
      <c r="BT2882" s="7"/>
    </row>
    <row r="2883" spans="58:72" x14ac:dyDescent="0.55000000000000004">
      <c r="BF2883" s="7"/>
      <c r="BM2883" s="7"/>
      <c r="BT2883" s="7"/>
    </row>
    <row r="2884" spans="58:72" x14ac:dyDescent="0.55000000000000004">
      <c r="BF2884" s="7"/>
      <c r="BM2884" s="7"/>
      <c r="BT2884" s="7"/>
    </row>
    <row r="2885" spans="58:72" x14ac:dyDescent="0.55000000000000004">
      <c r="BF2885" s="7"/>
      <c r="BM2885" s="7"/>
      <c r="BT2885" s="7"/>
    </row>
    <row r="2886" spans="58:72" x14ac:dyDescent="0.55000000000000004">
      <c r="BF2886" s="7"/>
      <c r="BM2886" s="7"/>
      <c r="BT2886" s="7"/>
    </row>
    <row r="2887" spans="58:72" x14ac:dyDescent="0.55000000000000004">
      <c r="BF2887" s="7"/>
      <c r="BM2887" s="7"/>
      <c r="BT2887" s="7"/>
    </row>
    <row r="2888" spans="58:72" x14ac:dyDescent="0.55000000000000004">
      <c r="BF2888" s="7"/>
      <c r="BM2888" s="7"/>
      <c r="BT2888" s="7"/>
    </row>
    <row r="2889" spans="58:72" x14ac:dyDescent="0.55000000000000004">
      <c r="BF2889" s="7"/>
      <c r="BM2889" s="7"/>
      <c r="BT2889" s="7"/>
    </row>
    <row r="2890" spans="58:72" x14ac:dyDescent="0.55000000000000004">
      <c r="BF2890" s="7"/>
      <c r="BM2890" s="7"/>
      <c r="BT2890" s="7"/>
    </row>
    <row r="2891" spans="58:72" x14ac:dyDescent="0.55000000000000004">
      <c r="BF2891" s="7"/>
      <c r="BM2891" s="7"/>
      <c r="BT2891" s="7"/>
    </row>
    <row r="2892" spans="58:72" x14ac:dyDescent="0.55000000000000004">
      <c r="BF2892" s="7"/>
      <c r="BM2892" s="7"/>
      <c r="BT2892" s="7"/>
    </row>
    <row r="2893" spans="58:72" x14ac:dyDescent="0.55000000000000004">
      <c r="BF2893" s="7"/>
      <c r="BM2893" s="7"/>
      <c r="BT2893" s="7"/>
    </row>
    <row r="2894" spans="58:72" x14ac:dyDescent="0.55000000000000004">
      <c r="BF2894" s="7"/>
      <c r="BM2894" s="7"/>
      <c r="BT2894" s="7"/>
    </row>
    <row r="2895" spans="58:72" x14ac:dyDescent="0.55000000000000004">
      <c r="BF2895" s="7"/>
      <c r="BM2895" s="7"/>
      <c r="BT2895" s="7"/>
    </row>
    <row r="2896" spans="58:72" x14ac:dyDescent="0.55000000000000004">
      <c r="BF2896" s="7"/>
      <c r="BM2896" s="7"/>
      <c r="BT2896" s="7"/>
    </row>
    <row r="2897" spans="58:72" x14ac:dyDescent="0.55000000000000004">
      <c r="BF2897" s="7"/>
      <c r="BM2897" s="7"/>
      <c r="BT2897" s="7"/>
    </row>
    <row r="2898" spans="58:72" x14ac:dyDescent="0.55000000000000004">
      <c r="BF2898" s="7"/>
      <c r="BM2898" s="7"/>
      <c r="BT2898" s="7"/>
    </row>
    <row r="2899" spans="58:72" x14ac:dyDescent="0.55000000000000004">
      <c r="BF2899" s="7"/>
      <c r="BM2899" s="7"/>
      <c r="BT2899" s="7"/>
    </row>
    <row r="2900" spans="58:72" x14ac:dyDescent="0.55000000000000004">
      <c r="BF2900" s="7"/>
      <c r="BM2900" s="7"/>
      <c r="BT2900" s="7"/>
    </row>
    <row r="2901" spans="58:72" x14ac:dyDescent="0.55000000000000004">
      <c r="BF2901" s="7"/>
      <c r="BM2901" s="7"/>
      <c r="BT2901" s="7"/>
    </row>
    <row r="2902" spans="58:72" x14ac:dyDescent="0.55000000000000004">
      <c r="BF2902" s="7"/>
      <c r="BM2902" s="7"/>
      <c r="BT2902" s="7"/>
    </row>
    <row r="2903" spans="58:72" x14ac:dyDescent="0.55000000000000004">
      <c r="BF2903" s="7"/>
      <c r="BM2903" s="7"/>
      <c r="BT2903" s="7"/>
    </row>
    <row r="2904" spans="58:72" x14ac:dyDescent="0.55000000000000004">
      <c r="BF2904" s="7"/>
      <c r="BM2904" s="7"/>
      <c r="BT2904" s="7"/>
    </row>
    <row r="2905" spans="58:72" x14ac:dyDescent="0.55000000000000004">
      <c r="BF2905" s="7"/>
      <c r="BM2905" s="7"/>
      <c r="BT2905" s="7"/>
    </row>
    <row r="2906" spans="58:72" x14ac:dyDescent="0.55000000000000004">
      <c r="BF2906" s="7"/>
      <c r="BM2906" s="7"/>
      <c r="BT2906" s="7"/>
    </row>
    <row r="2907" spans="58:72" x14ac:dyDescent="0.55000000000000004">
      <c r="BF2907" s="7"/>
      <c r="BM2907" s="7"/>
      <c r="BT2907" s="7"/>
    </row>
    <row r="2908" spans="58:72" x14ac:dyDescent="0.55000000000000004">
      <c r="BF2908" s="7"/>
      <c r="BM2908" s="7"/>
      <c r="BT2908" s="7"/>
    </row>
    <row r="2909" spans="58:72" x14ac:dyDescent="0.55000000000000004">
      <c r="BF2909" s="7"/>
      <c r="BM2909" s="7"/>
      <c r="BT2909" s="7"/>
    </row>
    <row r="2910" spans="58:72" x14ac:dyDescent="0.55000000000000004">
      <c r="BF2910" s="7"/>
      <c r="BM2910" s="7"/>
      <c r="BT2910" s="7"/>
    </row>
    <row r="2911" spans="58:72" x14ac:dyDescent="0.55000000000000004">
      <c r="BF2911" s="7"/>
      <c r="BM2911" s="7"/>
      <c r="BT2911" s="7"/>
    </row>
    <row r="2912" spans="58:72" x14ac:dyDescent="0.55000000000000004">
      <c r="BF2912" s="7"/>
      <c r="BM2912" s="7"/>
      <c r="BT2912" s="7"/>
    </row>
    <row r="2913" spans="58:72" x14ac:dyDescent="0.55000000000000004">
      <c r="BF2913" s="7"/>
      <c r="BM2913" s="7"/>
      <c r="BT2913" s="7"/>
    </row>
    <row r="2914" spans="58:72" x14ac:dyDescent="0.55000000000000004">
      <c r="BF2914" s="7"/>
      <c r="BM2914" s="7"/>
      <c r="BT2914" s="7"/>
    </row>
    <row r="2915" spans="58:72" x14ac:dyDescent="0.55000000000000004">
      <c r="BF2915" s="7"/>
      <c r="BM2915" s="7"/>
      <c r="BT2915" s="7"/>
    </row>
    <row r="2916" spans="58:72" x14ac:dyDescent="0.55000000000000004">
      <c r="BF2916" s="7"/>
      <c r="BM2916" s="7"/>
      <c r="BT2916" s="7"/>
    </row>
    <row r="2917" spans="58:72" x14ac:dyDescent="0.55000000000000004">
      <c r="BF2917" s="7"/>
      <c r="BM2917" s="7"/>
      <c r="BT2917" s="7"/>
    </row>
    <row r="2918" spans="58:72" x14ac:dyDescent="0.55000000000000004">
      <c r="BF2918" s="7"/>
      <c r="BM2918" s="7"/>
      <c r="BT2918" s="7"/>
    </row>
    <row r="2919" spans="58:72" x14ac:dyDescent="0.55000000000000004">
      <c r="BF2919" s="7"/>
      <c r="BM2919" s="7"/>
      <c r="BT2919" s="7"/>
    </row>
    <row r="2920" spans="58:72" x14ac:dyDescent="0.55000000000000004">
      <c r="BF2920" s="7"/>
      <c r="BM2920" s="7"/>
      <c r="BT2920" s="7"/>
    </row>
    <row r="2921" spans="58:72" x14ac:dyDescent="0.55000000000000004">
      <c r="BF2921" s="7"/>
      <c r="BM2921" s="7"/>
      <c r="BT2921" s="7"/>
    </row>
    <row r="2922" spans="58:72" x14ac:dyDescent="0.55000000000000004">
      <c r="BF2922" s="7"/>
      <c r="BM2922" s="7"/>
      <c r="BT2922" s="7"/>
    </row>
    <row r="2923" spans="58:72" x14ac:dyDescent="0.55000000000000004">
      <c r="BF2923" s="7"/>
      <c r="BM2923" s="7"/>
      <c r="BT2923" s="7"/>
    </row>
    <row r="2924" spans="58:72" x14ac:dyDescent="0.55000000000000004">
      <c r="BF2924" s="7"/>
      <c r="BM2924" s="7"/>
      <c r="BT2924" s="7"/>
    </row>
    <row r="2925" spans="58:72" x14ac:dyDescent="0.55000000000000004">
      <c r="BF2925" s="7"/>
      <c r="BM2925" s="7"/>
      <c r="BT2925" s="7"/>
    </row>
    <row r="2926" spans="58:72" x14ac:dyDescent="0.55000000000000004">
      <c r="BF2926" s="7"/>
      <c r="BM2926" s="7"/>
      <c r="BT2926" s="7"/>
    </row>
    <row r="2927" spans="58:72" x14ac:dyDescent="0.55000000000000004">
      <c r="BF2927" s="7"/>
      <c r="BM2927" s="7"/>
      <c r="BT2927" s="7"/>
    </row>
    <row r="2928" spans="58:72" x14ac:dyDescent="0.55000000000000004">
      <c r="BF2928" s="7"/>
      <c r="BM2928" s="7"/>
      <c r="BT2928" s="7"/>
    </row>
    <row r="2929" spans="58:72" x14ac:dyDescent="0.55000000000000004">
      <c r="BF2929" s="7"/>
      <c r="BM2929" s="7"/>
      <c r="BT2929" s="7"/>
    </row>
    <row r="2930" spans="58:72" x14ac:dyDescent="0.55000000000000004">
      <c r="BF2930" s="7"/>
      <c r="BM2930" s="7"/>
      <c r="BT2930" s="7"/>
    </row>
    <row r="2931" spans="58:72" x14ac:dyDescent="0.55000000000000004">
      <c r="BF2931" s="7"/>
      <c r="BM2931" s="7"/>
      <c r="BT2931" s="7"/>
    </row>
    <row r="2932" spans="58:72" x14ac:dyDescent="0.55000000000000004">
      <c r="BF2932" s="7"/>
      <c r="BM2932" s="7"/>
      <c r="BT2932" s="7"/>
    </row>
    <row r="2933" spans="58:72" x14ac:dyDescent="0.55000000000000004">
      <c r="BF2933" s="7"/>
      <c r="BM2933" s="7"/>
      <c r="BT2933" s="7"/>
    </row>
    <row r="2934" spans="58:72" x14ac:dyDescent="0.55000000000000004">
      <c r="BF2934" s="7"/>
      <c r="BM2934" s="7"/>
      <c r="BT2934" s="7"/>
    </row>
    <row r="2935" spans="58:72" x14ac:dyDescent="0.55000000000000004">
      <c r="BF2935" s="7"/>
      <c r="BM2935" s="7"/>
      <c r="BT2935" s="7"/>
    </row>
    <row r="2936" spans="58:72" x14ac:dyDescent="0.55000000000000004">
      <c r="BF2936" s="7"/>
      <c r="BM2936" s="7"/>
      <c r="BT2936" s="7"/>
    </row>
    <row r="2937" spans="58:72" x14ac:dyDescent="0.55000000000000004">
      <c r="BF2937" s="7"/>
      <c r="BM2937" s="7"/>
      <c r="BT2937" s="7"/>
    </row>
    <row r="2938" spans="58:72" x14ac:dyDescent="0.55000000000000004">
      <c r="BF2938" s="7"/>
      <c r="BM2938" s="7"/>
      <c r="BT2938" s="7"/>
    </row>
    <row r="2939" spans="58:72" x14ac:dyDescent="0.55000000000000004">
      <c r="BF2939" s="7"/>
      <c r="BM2939" s="7"/>
      <c r="BT2939" s="7"/>
    </row>
    <row r="2940" spans="58:72" x14ac:dyDescent="0.55000000000000004">
      <c r="BF2940" s="7"/>
      <c r="BM2940" s="7"/>
      <c r="BT2940" s="7"/>
    </row>
    <row r="2941" spans="58:72" x14ac:dyDescent="0.55000000000000004">
      <c r="BF2941" s="7"/>
      <c r="BM2941" s="7"/>
      <c r="BT2941" s="7"/>
    </row>
    <row r="2942" spans="58:72" x14ac:dyDescent="0.55000000000000004">
      <c r="BF2942" s="7"/>
      <c r="BM2942" s="7"/>
      <c r="BT2942" s="7"/>
    </row>
    <row r="2943" spans="58:72" x14ac:dyDescent="0.55000000000000004">
      <c r="BF2943" s="7"/>
      <c r="BM2943" s="7"/>
      <c r="BT2943" s="7"/>
    </row>
    <row r="2944" spans="58:72" x14ac:dyDescent="0.55000000000000004">
      <c r="BF2944" s="7"/>
      <c r="BM2944" s="7"/>
      <c r="BT2944" s="7"/>
    </row>
    <row r="2945" spans="58:72" x14ac:dyDescent="0.55000000000000004">
      <c r="BF2945" s="7"/>
      <c r="BM2945" s="7"/>
      <c r="BT2945" s="7"/>
    </row>
    <row r="2946" spans="58:72" x14ac:dyDescent="0.55000000000000004">
      <c r="BF2946" s="7"/>
      <c r="BM2946" s="7"/>
      <c r="BT2946" s="7"/>
    </row>
    <row r="2947" spans="58:72" x14ac:dyDescent="0.55000000000000004">
      <c r="BF2947" s="7"/>
      <c r="BM2947" s="7"/>
      <c r="BT2947" s="7"/>
    </row>
    <row r="2948" spans="58:72" x14ac:dyDescent="0.55000000000000004">
      <c r="BF2948" s="7"/>
      <c r="BM2948" s="7"/>
      <c r="BT2948" s="7"/>
    </row>
    <row r="2949" spans="58:72" x14ac:dyDescent="0.55000000000000004">
      <c r="BF2949" s="7"/>
      <c r="BM2949" s="7"/>
      <c r="BT2949" s="7"/>
    </row>
    <row r="2950" spans="58:72" x14ac:dyDescent="0.55000000000000004">
      <c r="BF2950" s="7"/>
      <c r="BM2950" s="7"/>
      <c r="BT2950" s="7"/>
    </row>
    <row r="2951" spans="58:72" x14ac:dyDescent="0.55000000000000004">
      <c r="BF2951" s="7"/>
      <c r="BM2951" s="7"/>
      <c r="BT2951" s="7"/>
    </row>
    <row r="2952" spans="58:72" x14ac:dyDescent="0.55000000000000004">
      <c r="BF2952" s="7"/>
      <c r="BM2952" s="7"/>
      <c r="BT2952" s="7"/>
    </row>
    <row r="2953" spans="58:72" x14ac:dyDescent="0.55000000000000004">
      <c r="BF2953" s="7"/>
      <c r="BM2953" s="7"/>
      <c r="BT2953" s="7"/>
    </row>
    <row r="2954" spans="58:72" x14ac:dyDescent="0.55000000000000004">
      <c r="BF2954" s="7"/>
      <c r="BM2954" s="7"/>
      <c r="BT2954" s="7"/>
    </row>
    <row r="2955" spans="58:72" x14ac:dyDescent="0.55000000000000004">
      <c r="BF2955" s="7"/>
      <c r="BM2955" s="7"/>
      <c r="BT2955" s="7"/>
    </row>
    <row r="2956" spans="58:72" x14ac:dyDescent="0.55000000000000004">
      <c r="BF2956" s="7"/>
      <c r="BM2956" s="7"/>
      <c r="BT2956" s="7"/>
    </row>
    <row r="2957" spans="58:72" x14ac:dyDescent="0.55000000000000004">
      <c r="BF2957" s="7"/>
      <c r="BM2957" s="7"/>
      <c r="BT2957" s="7"/>
    </row>
    <row r="2958" spans="58:72" x14ac:dyDescent="0.55000000000000004">
      <c r="BF2958" s="7"/>
      <c r="BM2958" s="7"/>
      <c r="BT2958" s="7"/>
    </row>
    <row r="2959" spans="58:72" x14ac:dyDescent="0.55000000000000004">
      <c r="BF2959" s="7"/>
      <c r="BM2959" s="7"/>
      <c r="BT2959" s="7"/>
    </row>
    <row r="2960" spans="58:72" x14ac:dyDescent="0.55000000000000004">
      <c r="BF2960" s="7"/>
      <c r="BM2960" s="7"/>
      <c r="BT2960" s="7"/>
    </row>
    <row r="2961" spans="58:72" x14ac:dyDescent="0.55000000000000004">
      <c r="BF2961" s="7"/>
      <c r="BM2961" s="7"/>
      <c r="BT2961" s="7"/>
    </row>
    <row r="2962" spans="58:72" x14ac:dyDescent="0.55000000000000004">
      <c r="BF2962" s="7"/>
      <c r="BM2962" s="7"/>
      <c r="BT2962" s="7"/>
    </row>
    <row r="2963" spans="58:72" x14ac:dyDescent="0.55000000000000004">
      <c r="BF2963" s="7"/>
      <c r="BM2963" s="7"/>
      <c r="BT2963" s="7"/>
    </row>
    <row r="2964" spans="58:72" x14ac:dyDescent="0.55000000000000004">
      <c r="BF2964" s="7"/>
      <c r="BM2964" s="7"/>
      <c r="BT2964" s="7"/>
    </row>
    <row r="2965" spans="58:72" x14ac:dyDescent="0.55000000000000004">
      <c r="BF2965" s="7"/>
      <c r="BM2965" s="7"/>
      <c r="BT2965" s="7"/>
    </row>
    <row r="2966" spans="58:72" x14ac:dyDescent="0.55000000000000004">
      <c r="BF2966" s="7"/>
      <c r="BM2966" s="7"/>
      <c r="BT2966" s="7"/>
    </row>
    <row r="2967" spans="58:72" x14ac:dyDescent="0.55000000000000004">
      <c r="BF2967" s="7"/>
      <c r="BM2967" s="7"/>
      <c r="BT2967" s="7"/>
    </row>
    <row r="2968" spans="58:72" x14ac:dyDescent="0.55000000000000004">
      <c r="BF2968" s="7"/>
      <c r="BM2968" s="7"/>
      <c r="BT2968" s="7"/>
    </row>
    <row r="2969" spans="58:72" x14ac:dyDescent="0.55000000000000004">
      <c r="BF2969" s="7"/>
      <c r="BM2969" s="7"/>
      <c r="BT2969" s="7"/>
    </row>
    <row r="2970" spans="58:72" x14ac:dyDescent="0.55000000000000004">
      <c r="BF2970" s="7"/>
      <c r="BM2970" s="7"/>
      <c r="BT2970" s="7"/>
    </row>
    <row r="2971" spans="58:72" x14ac:dyDescent="0.55000000000000004">
      <c r="BF2971" s="7"/>
      <c r="BM2971" s="7"/>
      <c r="BT2971" s="7"/>
    </row>
    <row r="2972" spans="58:72" x14ac:dyDescent="0.55000000000000004">
      <c r="BF2972" s="7"/>
      <c r="BM2972" s="7"/>
      <c r="BT2972" s="7"/>
    </row>
    <row r="2973" spans="58:72" x14ac:dyDescent="0.55000000000000004">
      <c r="BF2973" s="7"/>
      <c r="BM2973" s="7"/>
      <c r="BT2973" s="7"/>
    </row>
    <row r="2974" spans="58:72" x14ac:dyDescent="0.55000000000000004">
      <c r="BF2974" s="7"/>
      <c r="BM2974" s="7"/>
      <c r="BT2974" s="7"/>
    </row>
    <row r="2975" spans="58:72" x14ac:dyDescent="0.55000000000000004">
      <c r="BF2975" s="7"/>
      <c r="BM2975" s="7"/>
      <c r="BT2975" s="7"/>
    </row>
    <row r="2976" spans="58:72" x14ac:dyDescent="0.55000000000000004">
      <c r="BF2976" s="7"/>
      <c r="BM2976" s="7"/>
      <c r="BT2976" s="7"/>
    </row>
    <row r="2977" spans="58:72" x14ac:dyDescent="0.55000000000000004">
      <c r="BF2977" s="7"/>
      <c r="BM2977" s="7"/>
      <c r="BT2977" s="7"/>
    </row>
    <row r="2978" spans="58:72" x14ac:dyDescent="0.55000000000000004">
      <c r="BF2978" s="7"/>
      <c r="BM2978" s="7"/>
      <c r="BT2978" s="7"/>
    </row>
    <row r="2979" spans="58:72" x14ac:dyDescent="0.55000000000000004">
      <c r="BF2979" s="7"/>
      <c r="BM2979" s="7"/>
      <c r="BT2979" s="7"/>
    </row>
    <row r="2980" spans="58:72" x14ac:dyDescent="0.55000000000000004">
      <c r="BF2980" s="7"/>
      <c r="BM2980" s="7"/>
      <c r="BT2980" s="7"/>
    </row>
    <row r="2981" spans="58:72" x14ac:dyDescent="0.55000000000000004">
      <c r="BF2981" s="7"/>
      <c r="BM2981" s="7"/>
      <c r="BT2981" s="7"/>
    </row>
    <row r="2982" spans="58:72" x14ac:dyDescent="0.55000000000000004">
      <c r="BF2982" s="7"/>
      <c r="BM2982" s="7"/>
      <c r="BT2982" s="7"/>
    </row>
    <row r="2983" spans="58:72" x14ac:dyDescent="0.55000000000000004">
      <c r="BF2983" s="7"/>
      <c r="BM2983" s="7"/>
      <c r="BT2983" s="7"/>
    </row>
    <row r="2984" spans="58:72" x14ac:dyDescent="0.55000000000000004">
      <c r="BF2984" s="7"/>
      <c r="BM2984" s="7"/>
      <c r="BT2984" s="7"/>
    </row>
    <row r="2985" spans="58:72" x14ac:dyDescent="0.55000000000000004">
      <c r="BF2985" s="7"/>
      <c r="BM2985" s="7"/>
      <c r="BT2985" s="7"/>
    </row>
    <row r="2986" spans="58:72" x14ac:dyDescent="0.55000000000000004">
      <c r="BF2986" s="7"/>
      <c r="BM2986" s="7"/>
      <c r="BT2986" s="7"/>
    </row>
    <row r="2987" spans="58:72" x14ac:dyDescent="0.55000000000000004">
      <c r="BF2987" s="7"/>
      <c r="BM2987" s="7"/>
      <c r="BT2987" s="7"/>
    </row>
    <row r="2988" spans="58:72" x14ac:dyDescent="0.55000000000000004">
      <c r="BF2988" s="7"/>
      <c r="BM2988" s="7"/>
      <c r="BT2988" s="7"/>
    </row>
    <row r="2989" spans="58:72" x14ac:dyDescent="0.55000000000000004">
      <c r="BF2989" s="7"/>
      <c r="BM2989" s="7"/>
      <c r="BT2989" s="7"/>
    </row>
    <row r="2990" spans="58:72" x14ac:dyDescent="0.55000000000000004">
      <c r="BF2990" s="7"/>
      <c r="BM2990" s="7"/>
      <c r="BT2990" s="7"/>
    </row>
    <row r="2991" spans="58:72" x14ac:dyDescent="0.55000000000000004">
      <c r="BF2991" s="7"/>
      <c r="BM2991" s="7"/>
      <c r="BT2991" s="7"/>
    </row>
    <row r="2992" spans="58:72" x14ac:dyDescent="0.55000000000000004">
      <c r="BF2992" s="7"/>
      <c r="BM2992" s="7"/>
      <c r="BT2992" s="7"/>
    </row>
    <row r="2993" spans="58:72" x14ac:dyDescent="0.55000000000000004">
      <c r="BF2993" s="7"/>
      <c r="BM2993" s="7"/>
      <c r="BT2993" s="7"/>
    </row>
    <row r="2994" spans="58:72" x14ac:dyDescent="0.55000000000000004">
      <c r="BF2994" s="7"/>
      <c r="BM2994" s="7"/>
      <c r="BT2994" s="7"/>
    </row>
    <row r="2995" spans="58:72" x14ac:dyDescent="0.55000000000000004">
      <c r="BF2995" s="7"/>
      <c r="BM2995" s="7"/>
      <c r="BT2995" s="7"/>
    </row>
    <row r="2996" spans="58:72" x14ac:dyDescent="0.55000000000000004">
      <c r="BF2996" s="7"/>
      <c r="BM2996" s="7"/>
      <c r="BT2996" s="7"/>
    </row>
    <row r="2997" spans="58:72" x14ac:dyDescent="0.55000000000000004">
      <c r="BF2997" s="7"/>
      <c r="BM2997" s="7"/>
      <c r="BT2997" s="7"/>
    </row>
    <row r="2998" spans="58:72" x14ac:dyDescent="0.55000000000000004">
      <c r="BF2998" s="7"/>
      <c r="BM2998" s="7"/>
      <c r="BT2998" s="7"/>
    </row>
    <row r="2999" spans="58:72" x14ac:dyDescent="0.55000000000000004">
      <c r="BF2999" s="7"/>
      <c r="BM2999" s="7"/>
      <c r="BT2999" s="7"/>
    </row>
    <row r="3000" spans="58:72" x14ac:dyDescent="0.55000000000000004">
      <c r="BF3000" s="7"/>
      <c r="BM3000" s="7"/>
      <c r="BT3000" s="7"/>
    </row>
  </sheetData>
  <phoneticPr fontId="12"/>
  <conditionalFormatting sqref="B36:I43">
    <cfRule type="colorScale" priority="1">
      <colorScale>
        <cfvo type="formula" val="IF($B$32=&quot;Pctl&quot;,0,IF($B$32=&quot;Residual&quot;,-5,-2))"/>
        <cfvo type="formula" val="IF($B$32=&quot;Pctl&quot;,0.5,0)"/>
        <cfvo type="formula" val="IF($B$32=&quot;Pctl&quot;,1,IF($B$32=&quot;Residual&quot;,5,2))"/>
        <color rgb="FF5B9BD5"/>
        <color rgb="FFFFFFFF"/>
        <color rgb="FFF8696B"/>
      </colorScale>
    </cfRule>
  </conditionalFormatting>
  <dataValidations count="3">
    <dataValidation type="list" allowBlank="1" showInputMessage="1" showErrorMessage="1" sqref="B1" xr:uid="{5C5E23C5-322A-45EB-A8E2-2A2F375D2CBB}">
      <formula1>"Live,Fixed"</formula1>
    </dataValidation>
    <dataValidation type="list" allowBlank="1" showInputMessage="1" showErrorMessage="1" sqref="B32" xr:uid="{02CB043B-F5E5-4BC4-8587-124FCAEAA583}">
      <formula1>"Z,Residual,Pctl"</formula1>
    </dataValidation>
    <dataValidation type="list" allowBlank="1" showInputMessage="1" showErrorMessage="1" sqref="B33" xr:uid="{FFCED555-7012-4398-A4A8-1D10E2898788}">
      <formula1>"Live,DB"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29C9F-1441-4471-84FB-C85489BCE1A6}">
  <sheetPr codeName="Sheet2"/>
  <dimension ref="A1:X47"/>
  <sheetViews>
    <sheetView zoomScale="66" workbookViewId="0">
      <selection activeCell="J5" sqref="J5"/>
    </sheetView>
  </sheetViews>
  <sheetFormatPr defaultRowHeight="18.5" outlineLevelCol="1" x14ac:dyDescent="0.55000000000000004"/>
  <cols>
    <col min="1" max="1" width="10.5" customWidth="1"/>
    <col min="2" max="4" width="12.6640625" customWidth="1"/>
    <col min="5" max="5" width="13.75" customWidth="1"/>
    <col min="6" max="7" width="15.9140625" customWidth="1"/>
    <col min="8" max="8" width="14.83203125" customWidth="1"/>
    <col min="11" max="21" width="0" hidden="1" customWidth="1" outlineLevel="1"/>
    <col min="22" max="22" width="43.75" hidden="1" customWidth="1" outlineLevel="1"/>
    <col min="23" max="23" width="4.6640625" hidden="1" customWidth="1" outlineLevel="1"/>
    <col min="24" max="24" width="8.6640625" collapsed="1"/>
  </cols>
  <sheetData>
    <row r="1" spans="1:23" ht="20" customHeight="1" x14ac:dyDescent="0.6">
      <c r="A1" s="32" t="s">
        <v>58</v>
      </c>
      <c r="B1" s="33" t="s">
        <v>53</v>
      </c>
      <c r="C1" s="32" t="s">
        <v>59</v>
      </c>
      <c r="D1" s="34" cm="1">
        <f t="array" aca="1" ref="D1" ca="1">LiveInfo("swap",_xlfn.ANCHORARRAY($K$3))</f>
      </c>
      <c r="E1" s="35" t="s">
        <v>111</v>
      </c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3" ht="21" customHeight="1" x14ac:dyDescent="0.6">
      <c r="A2" s="37" t="s">
        <v>112</v>
      </c>
      <c r="B2" s="36"/>
      <c r="C2" s="36"/>
      <c r="D2" s="36"/>
      <c r="E2" s="36"/>
      <c r="F2" s="36"/>
      <c r="G2" s="36"/>
      <c r="H2" s="36"/>
      <c r="I2" s="36"/>
      <c r="J2" s="36"/>
      <c r="K2" s="36" t="s">
        <v>116</v>
      </c>
      <c r="L2" s="36"/>
      <c r="M2" s="36"/>
      <c r="N2" s="36"/>
      <c r="O2" s="36"/>
      <c r="P2" s="36" t="s">
        <v>117</v>
      </c>
      <c r="Q2" s="36"/>
      <c r="R2" s="36"/>
      <c r="S2" s="36"/>
      <c r="T2" s="36"/>
      <c r="V2" t="s">
        <v>118</v>
      </c>
    </row>
    <row r="3" spans="1:23" ht="20" customHeight="1" x14ac:dyDescent="0.55000000000000004">
      <c r="A3" s="36" t="s">
        <v>113</v>
      </c>
      <c r="B3" s="39" cm="1">
        <f t="array" aca="1" ref="B3" ca="1">_xlfn.XLOOKUP("O/N",INDEX(_xlfn.ANCHORARRAY($P$3),,2),INDEX(_xlfn.ANCHORARRAY($P$3),,3),"")</f>
      </c>
      <c r="C3" s="36"/>
      <c r="D3" s="36"/>
      <c r="E3" s="36"/>
      <c r="F3" s="36"/>
      <c r="G3" s="36"/>
      <c r="H3" s="36"/>
      <c r="I3" s="36"/>
      <c r="J3" s="36"/>
      <c r="K3" s="36" cm="1">
        <f t="array" aca="1" ref="K3" ca="1">IF($B$1="Fixed",LiveSnapshot("swap"),LiveQuotes("swap"))</f>
      </c>
      <c r="L3" s="36"/>
      <c r="M3" s="36"/>
      <c r="N3" s="36"/>
      <c r="O3" s="36"/>
      <c r="P3" s="36" cm="1">
        <f t="array" aca="1" ref="P3:T46" ca="1">_xlfn.LET(_xlpm.q,_xlfn.ANCHORARRAY($K$3),_xlpm.t,$V$4:$V$47,_xlfn.HSTACK($W$4:$W$47,_xlpm.t,INDEX(_xlpm.q,_xlfn.XMATCH(_xlpm.t,INDEX(_xlpm.q,,1)),{2,3,4})))</f>
      </c>
      <c r="Q3" s="36">
        <f ca="1"/>
      </c>
      <c r="R3" s="36">
        <f ca="1"/>
      </c>
      <c r="S3" s="36">
        <f ca="1"/>
      </c>
      <c r="T3" s="36">
        <f ca="1"/>
      </c>
      <c r="V3" t="s">
        <v>119</v>
      </c>
      <c r="W3" t="s">
        <v>120</v>
      </c>
    </row>
    <row r="4" spans="1:23" ht="20" customHeight="1" x14ac:dyDescent="0.55000000000000004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>
        <f ca="1"/>
      </c>
      <c r="Q4" s="36">
        <f ca="1"/>
      </c>
      <c r="R4" s="36">
        <f ca="1"/>
      </c>
      <c r="S4" s="36">
        <f ca="1"/>
      </c>
      <c r="T4" s="36">
        <f ca="1"/>
      </c>
      <c r="V4" t="s">
        <v>0</v>
      </c>
      <c r="W4" s="43"/>
    </row>
    <row r="5" spans="1:23" ht="20" customHeight="1" x14ac:dyDescent="0.55000000000000004">
      <c r="A5" s="36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>
        <f ca="1"/>
      </c>
      <c r="Q5" s="36">
        <f ca="1"/>
      </c>
      <c r="R5" s="36">
        <f ca="1"/>
      </c>
      <c r="S5" s="36">
        <f ca="1"/>
      </c>
      <c r="T5" s="36">
        <f ca="1"/>
      </c>
      <c r="V5" t="s">
        <v>1</v>
      </c>
      <c r="W5" s="43">
        <v>1</v>
      </c>
    </row>
    <row r="6" spans="1:23" ht="20" customHeight="1" x14ac:dyDescent="0.6">
      <c r="A6" s="40" t="s">
        <v>114</v>
      </c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>
        <f ca="1"/>
      </c>
      <c r="Q6" s="36">
        <f ca="1"/>
      </c>
      <c r="R6" s="36">
        <f ca="1"/>
      </c>
      <c r="S6" s="36">
        <f ca="1"/>
      </c>
      <c r="T6" s="36">
        <f ca="1"/>
      </c>
      <c r="V6" t="s">
        <v>2</v>
      </c>
      <c r="W6" s="43">
        <v>1</v>
      </c>
    </row>
    <row r="7" spans="1:23" ht="30" customHeight="1" x14ac:dyDescent="0.6">
      <c r="A7" s="41" t="s">
        <v>119</v>
      </c>
      <c r="B7" s="41" t="s">
        <v>128</v>
      </c>
      <c r="C7" s="41" t="s">
        <v>129</v>
      </c>
      <c r="D7" s="41" t="s">
        <v>130</v>
      </c>
      <c r="E7" s="41" t="s">
        <v>131</v>
      </c>
      <c r="F7" s="41" t="s">
        <v>132</v>
      </c>
      <c r="G7" s="41" t="s">
        <v>133</v>
      </c>
      <c r="H7" s="41" t="s">
        <v>134</v>
      </c>
      <c r="I7" s="36"/>
      <c r="J7" s="36"/>
      <c r="K7" s="36"/>
      <c r="L7" s="36"/>
      <c r="M7" s="36"/>
      <c r="N7" s="36"/>
      <c r="O7" s="36"/>
      <c r="P7" s="36">
        <f ca="1"/>
      </c>
      <c r="Q7" s="36">
        <f ca="1"/>
      </c>
      <c r="R7" s="36">
        <f ca="1"/>
      </c>
      <c r="S7" s="36">
        <f ca="1"/>
      </c>
      <c r="T7" s="36">
        <f ca="1"/>
      </c>
      <c r="V7" t="s">
        <v>3</v>
      </c>
      <c r="W7" s="43">
        <v>1</v>
      </c>
    </row>
    <row r="8" spans="1:23" ht="20" customHeight="1" x14ac:dyDescent="0.55000000000000004">
      <c r="A8" s="36" t="s">
        <v>109</v>
      </c>
      <c r="B8" s="38" cm="1">
        <f t="array" aca="1" ref="B8" ca="1">_xlfn.XLOOKUP($A8,INDEX(_xlfn.ANCHORARRAY($P$3),,2),INDEX(_xlfn.ANCHORARRAY($P$3),,4),"")</f>
      </c>
      <c r="C8" s="38" cm="1">
        <f t="array" aca="1" ref="C8" ca="1">_xlfn.XLOOKUP($A8,INDEX(_xlfn.ANCHORARRAY($P$3),,2),INDEX(_xlfn.ANCHORARRAY($P$3),,5),"")</f>
      </c>
      <c r="D8" s="36">
        <f t="shared" ref="D8:D17" ca="1" si="0">IF(AND(ISNUMBER(B8),ISNUMBER(C8)),C8-B8,"")</f>
      </c>
      <c r="E8" s="39" cm="1">
        <f t="array" aca="1" ref="E8" ca="1">_xlfn.XLOOKUP($A8,INDEX(_xlfn.ANCHORARRAY($P$3),,2),INDEX(_xlfn.ANCHORARRAY($P$3),,3),"")</f>
      </c>
      <c r="F8" s="39" cm="1">
        <f t="array" aca="1" ref="F8" ca="1">BojSpotForwards(B8:C17,_xlfn.TAKE(_xlfn.ANCHORARRAY($P$3),,3))</f>
      </c>
      <c r="G8" s="42">
        <f t="shared" ref="G8:G17" ca="1" si="1">IF(AND(ISNUMBER(E8),ISNUMBER(F8)),(E8-F8)*100,"")</f>
      </c>
      <c r="H8" s="42">
        <f ca="1">IF(AND(ISNUMBER(E8),ISNUMBER($B$3)),(E8-$B$3)*100,"")</f>
      </c>
      <c r="I8" s="36"/>
      <c r="J8" s="36"/>
      <c r="K8" s="36"/>
      <c r="L8" s="36"/>
      <c r="M8" s="36"/>
      <c r="N8" s="36"/>
      <c r="O8" s="36"/>
      <c r="P8" s="36">
        <f ca="1"/>
      </c>
      <c r="Q8" s="36">
        <f ca="1"/>
      </c>
      <c r="R8" s="36">
        <f ca="1"/>
      </c>
      <c r="S8" s="36">
        <f ca="1"/>
      </c>
      <c r="T8" s="36">
        <f ca="1"/>
      </c>
      <c r="V8" t="s">
        <v>4</v>
      </c>
      <c r="W8" s="43">
        <v>1</v>
      </c>
    </row>
    <row r="9" spans="1:23" ht="20" customHeight="1" x14ac:dyDescent="0.55000000000000004">
      <c r="A9" s="36" t="s">
        <v>33</v>
      </c>
      <c r="B9" s="38" cm="1">
        <f t="array" aca="1" ref="B9" ca="1">_xlfn.XLOOKUP($A9,INDEX(_xlfn.ANCHORARRAY($P$3),,2),INDEX(_xlfn.ANCHORARRAY($P$3),,4),"")</f>
      </c>
      <c r="C9" s="38" cm="1">
        <f t="array" aca="1" ref="C9" ca="1">_xlfn.XLOOKUP($A9,INDEX(_xlfn.ANCHORARRAY($P$3),,2),INDEX(_xlfn.ANCHORARRAY($P$3),,5),"")</f>
      </c>
      <c r="D9" s="36">
        <f t="shared" ca="1" si="0"/>
      </c>
      <c r="E9" s="39" cm="1">
        <f t="array" aca="1" ref="E9" ca="1">_xlfn.XLOOKUP($A9,INDEX(_xlfn.ANCHORARRAY($P$3),,2),INDEX(_xlfn.ANCHORARRAY($P$3),,3),"")</f>
      </c>
      <c r="F9" s="39"/>
      <c r="G9" s="42">
        <f t="shared" ca="1" si="1"/>
      </c>
      <c r="H9" s="42">
        <f t="shared" ref="H9:H17" ca="1" si="2">IF(AND(ISNUMBER(E9),ISNUMBER(E8)),(E9-E8)*100,"")</f>
      </c>
      <c r="I9" s="36"/>
      <c r="J9" s="36"/>
      <c r="K9" s="36"/>
      <c r="L9" s="36"/>
      <c r="M9" s="36"/>
      <c r="N9" s="36"/>
      <c r="O9" s="36"/>
      <c r="P9" s="36">
        <f ca="1"/>
      </c>
      <c r="Q9" s="36">
        <f ca="1"/>
      </c>
      <c r="R9" s="36">
        <f ca="1"/>
      </c>
      <c r="S9" s="36">
        <f ca="1"/>
      </c>
      <c r="T9" s="36">
        <f ca="1"/>
      </c>
      <c r="V9" t="s">
        <v>5</v>
      </c>
      <c r="W9" s="43">
        <v>1</v>
      </c>
    </row>
    <row r="10" spans="1:23" ht="20" customHeight="1" x14ac:dyDescent="0.55000000000000004">
      <c r="A10" s="36" t="s">
        <v>34</v>
      </c>
      <c r="B10" s="38" cm="1">
        <f t="array" aca="1" ref="B10" ca="1">_xlfn.XLOOKUP($A10,INDEX(_xlfn.ANCHORARRAY($P$3),,2),INDEX(_xlfn.ANCHORARRAY($P$3),,4),"")</f>
      </c>
      <c r="C10" s="38" cm="1">
        <f t="array" aca="1" ref="C10" ca="1">_xlfn.XLOOKUP($A10,INDEX(_xlfn.ANCHORARRAY($P$3),,2),INDEX(_xlfn.ANCHORARRAY($P$3),,5),"")</f>
      </c>
      <c r="D10" s="36">
        <f t="shared" ca="1" si="0"/>
      </c>
      <c r="E10" s="39" cm="1">
        <f t="array" aca="1" ref="E10" ca="1">_xlfn.XLOOKUP($A10,INDEX(_xlfn.ANCHORARRAY($P$3),,2),INDEX(_xlfn.ANCHORARRAY($P$3),,3),"")</f>
      </c>
      <c r="F10" s="39"/>
      <c r="G10" s="42">
        <f t="shared" ca="1" si="1"/>
      </c>
      <c r="H10" s="42">
        <f t="shared" ca="1" si="2"/>
      </c>
      <c r="I10" s="36"/>
      <c r="J10" s="36"/>
      <c r="K10" s="36"/>
      <c r="L10" s="36"/>
      <c r="M10" s="36"/>
      <c r="N10" s="36"/>
      <c r="O10" s="36"/>
      <c r="P10" s="36">
        <f ca="1"/>
      </c>
      <c r="Q10" s="36">
        <f ca="1"/>
      </c>
      <c r="R10" s="36">
        <f ca="1"/>
      </c>
      <c r="S10" s="36">
        <f ca="1"/>
      </c>
      <c r="T10" s="36">
        <f ca="1"/>
      </c>
      <c r="V10" t="s">
        <v>6</v>
      </c>
      <c r="W10" s="43">
        <v>1</v>
      </c>
    </row>
    <row r="11" spans="1:23" ht="20" customHeight="1" x14ac:dyDescent="0.55000000000000004">
      <c r="A11" s="36" t="s">
        <v>35</v>
      </c>
      <c r="B11" s="38" cm="1">
        <f t="array" aca="1" ref="B11" ca="1">_xlfn.XLOOKUP($A11,INDEX(_xlfn.ANCHORARRAY($P$3),,2),INDEX(_xlfn.ANCHORARRAY($P$3),,4),"")</f>
      </c>
      <c r="C11" s="38" cm="1">
        <f t="array" aca="1" ref="C11" ca="1">_xlfn.XLOOKUP($A11,INDEX(_xlfn.ANCHORARRAY($P$3),,2),INDEX(_xlfn.ANCHORARRAY($P$3),,5),"")</f>
      </c>
      <c r="D11" s="36">
        <f t="shared" ca="1" si="0"/>
      </c>
      <c r="E11" s="39" cm="1">
        <f t="array" aca="1" ref="E11" ca="1">_xlfn.XLOOKUP($A11,INDEX(_xlfn.ANCHORARRAY($P$3),,2),INDEX(_xlfn.ANCHORARRAY($P$3),,3),"")</f>
      </c>
      <c r="F11" s="39"/>
      <c r="G11" s="42">
        <f t="shared" ca="1" si="1"/>
      </c>
      <c r="H11" s="42">
        <f t="shared" ca="1" si="2"/>
      </c>
      <c r="I11" s="36"/>
      <c r="J11" s="36"/>
      <c r="K11" s="36"/>
      <c r="L11" s="36"/>
      <c r="M11" s="36"/>
      <c r="N11" s="36"/>
      <c r="O11" s="36"/>
      <c r="P11" s="36">
        <f ca="1"/>
      </c>
      <c r="Q11" s="36">
        <f ca="1"/>
      </c>
      <c r="R11" s="36">
        <f ca="1"/>
      </c>
      <c r="S11" s="36">
        <f ca="1"/>
      </c>
      <c r="T11" s="36">
        <f ca="1"/>
      </c>
      <c r="V11" t="s">
        <v>7</v>
      </c>
      <c r="W11" s="43">
        <v>1</v>
      </c>
    </row>
    <row r="12" spans="1:23" ht="20" customHeight="1" x14ac:dyDescent="0.55000000000000004">
      <c r="A12" s="36" t="s">
        <v>36</v>
      </c>
      <c r="B12" s="38" cm="1">
        <f t="array" aca="1" ref="B12" ca="1">_xlfn.XLOOKUP($A12,INDEX(_xlfn.ANCHORARRAY($P$3),,2),INDEX(_xlfn.ANCHORARRAY($P$3),,4),"")</f>
      </c>
      <c r="C12" s="38" cm="1">
        <f t="array" aca="1" ref="C12" ca="1">_xlfn.XLOOKUP($A12,INDEX(_xlfn.ANCHORARRAY($P$3),,2),INDEX(_xlfn.ANCHORARRAY($P$3),,5),"")</f>
      </c>
      <c r="D12" s="36">
        <f t="shared" ca="1" si="0"/>
      </c>
      <c r="E12" s="39" cm="1">
        <f t="array" aca="1" ref="E12" ca="1">_xlfn.XLOOKUP($A12,INDEX(_xlfn.ANCHORARRAY($P$3),,2),INDEX(_xlfn.ANCHORARRAY($P$3),,3),"")</f>
      </c>
      <c r="F12" s="39"/>
      <c r="G12" s="42">
        <f t="shared" ca="1" si="1"/>
      </c>
      <c r="H12" s="42">
        <f t="shared" ca="1" si="2"/>
      </c>
      <c r="I12" s="36"/>
      <c r="J12" s="36"/>
      <c r="K12" s="36"/>
      <c r="L12" s="36"/>
      <c r="M12" s="36"/>
      <c r="N12" s="36"/>
      <c r="O12" s="36"/>
      <c r="P12" s="36">
        <f ca="1"/>
      </c>
      <c r="Q12" s="36">
        <f ca="1"/>
      </c>
      <c r="R12" s="36">
        <f ca="1"/>
      </c>
      <c r="S12" s="36">
        <f ca="1"/>
      </c>
      <c r="T12" s="36">
        <f ca="1"/>
      </c>
      <c r="V12" t="s">
        <v>8</v>
      </c>
      <c r="W12" s="43">
        <v>1</v>
      </c>
    </row>
    <row r="13" spans="1:23" ht="20" customHeight="1" x14ac:dyDescent="0.55000000000000004">
      <c r="A13" s="36" t="s">
        <v>37</v>
      </c>
      <c r="B13" s="38" cm="1">
        <f t="array" aca="1" ref="B13" ca="1">_xlfn.XLOOKUP($A13,INDEX(_xlfn.ANCHORARRAY($P$3),,2),INDEX(_xlfn.ANCHORARRAY($P$3),,4),"")</f>
      </c>
      <c r="C13" s="38" cm="1">
        <f t="array" aca="1" ref="C13" ca="1">_xlfn.XLOOKUP($A13,INDEX(_xlfn.ANCHORARRAY($P$3),,2),INDEX(_xlfn.ANCHORARRAY($P$3),,5),"")</f>
      </c>
      <c r="D13" s="36">
        <f t="shared" ca="1" si="0"/>
      </c>
      <c r="E13" s="39" cm="1">
        <f t="array" aca="1" ref="E13" ca="1">_xlfn.XLOOKUP($A13,INDEX(_xlfn.ANCHORARRAY($P$3),,2),INDEX(_xlfn.ANCHORARRAY($P$3),,3),"")</f>
      </c>
      <c r="F13" s="39"/>
      <c r="G13" s="42">
        <f t="shared" ca="1" si="1"/>
      </c>
      <c r="H13" s="42">
        <f t="shared" ca="1" si="2"/>
      </c>
      <c r="I13" s="36"/>
      <c r="J13" s="36"/>
      <c r="K13" s="36"/>
      <c r="L13" s="36"/>
      <c r="M13" s="36"/>
      <c r="N13" s="36"/>
      <c r="O13" s="36"/>
      <c r="P13" s="36">
        <f ca="1"/>
      </c>
      <c r="Q13" s="36">
        <f ca="1"/>
      </c>
      <c r="R13" s="36">
        <f ca="1"/>
      </c>
      <c r="S13" s="36">
        <f ca="1"/>
      </c>
      <c r="T13" s="36">
        <f ca="1"/>
      </c>
      <c r="V13" t="s">
        <v>9</v>
      </c>
      <c r="W13" s="43">
        <v>1</v>
      </c>
    </row>
    <row r="14" spans="1:23" ht="20" customHeight="1" x14ac:dyDescent="0.55000000000000004">
      <c r="A14" s="36" t="s">
        <v>38</v>
      </c>
      <c r="B14" s="38" cm="1">
        <f t="array" aca="1" ref="B14" ca="1">_xlfn.XLOOKUP($A14,INDEX(_xlfn.ANCHORARRAY($P$3),,2),INDEX(_xlfn.ANCHORARRAY($P$3),,4),"")</f>
      </c>
      <c r="C14" s="38" cm="1">
        <f t="array" aca="1" ref="C14" ca="1">_xlfn.XLOOKUP($A14,INDEX(_xlfn.ANCHORARRAY($P$3),,2),INDEX(_xlfn.ANCHORARRAY($P$3),,5),"")</f>
      </c>
      <c r="D14" s="36">
        <f t="shared" ca="1" si="0"/>
      </c>
      <c r="E14" s="39" cm="1">
        <f t="array" aca="1" ref="E14" ca="1">_xlfn.XLOOKUP($A14,INDEX(_xlfn.ANCHORARRAY($P$3),,2),INDEX(_xlfn.ANCHORARRAY($P$3),,3),"")</f>
      </c>
      <c r="F14" s="39"/>
      <c r="G14" s="42">
        <f t="shared" ca="1" si="1"/>
      </c>
      <c r="H14" s="42">
        <f t="shared" ca="1" si="2"/>
      </c>
      <c r="I14" s="36"/>
      <c r="J14" s="36"/>
      <c r="K14" s="36"/>
      <c r="L14" s="36"/>
      <c r="M14" s="36"/>
      <c r="N14" s="36"/>
      <c r="O14" s="36"/>
      <c r="P14" s="36">
        <f ca="1"/>
      </c>
      <c r="Q14" s="36">
        <f ca="1"/>
      </c>
      <c r="R14" s="36">
        <f ca="1"/>
      </c>
      <c r="S14" s="36">
        <f ca="1"/>
      </c>
      <c r="T14" s="36">
        <f ca="1"/>
      </c>
      <c r="V14" t="s">
        <v>10</v>
      </c>
      <c r="W14" s="43">
        <v>1</v>
      </c>
    </row>
    <row r="15" spans="1:23" ht="20" customHeight="1" x14ac:dyDescent="0.55000000000000004">
      <c r="A15" s="36" t="s">
        <v>39</v>
      </c>
      <c r="B15" s="38" cm="1">
        <f t="array" aca="1" ref="B15" ca="1">_xlfn.XLOOKUP($A15,INDEX(_xlfn.ANCHORARRAY($P$3),,2),INDEX(_xlfn.ANCHORARRAY($P$3),,4),"")</f>
      </c>
      <c r="C15" s="38" cm="1">
        <f t="array" aca="1" ref="C15" ca="1">_xlfn.XLOOKUP($A15,INDEX(_xlfn.ANCHORARRAY($P$3),,2),INDEX(_xlfn.ANCHORARRAY($P$3),,5),"")</f>
      </c>
      <c r="D15" s="36">
        <f t="shared" ca="1" si="0"/>
      </c>
      <c r="E15" s="39" cm="1">
        <f t="array" aca="1" ref="E15" ca="1">_xlfn.XLOOKUP($A15,INDEX(_xlfn.ANCHORARRAY($P$3),,2),INDEX(_xlfn.ANCHORARRAY($P$3),,3),"")</f>
      </c>
      <c r="F15" s="39"/>
      <c r="G15" s="42">
        <f t="shared" ca="1" si="1"/>
      </c>
      <c r="H15" s="42">
        <f t="shared" ca="1" si="2"/>
      </c>
      <c r="I15" s="36"/>
      <c r="J15" s="36"/>
      <c r="K15" s="36"/>
      <c r="L15" s="36"/>
      <c r="M15" s="36"/>
      <c r="N15" s="36"/>
      <c r="O15" s="36"/>
      <c r="P15" s="36">
        <f ca="1"/>
      </c>
      <c r="Q15" s="36">
        <f ca="1"/>
      </c>
      <c r="R15" s="36">
        <f ca="1"/>
      </c>
      <c r="S15" s="36">
        <f ca="1"/>
      </c>
      <c r="T15" s="36">
        <f ca="1"/>
      </c>
      <c r="V15" t="s">
        <v>11</v>
      </c>
      <c r="W15" s="43">
        <v>1</v>
      </c>
    </row>
    <row r="16" spans="1:23" ht="20" customHeight="1" x14ac:dyDescent="0.55000000000000004">
      <c r="A16" s="36" t="s">
        <v>40</v>
      </c>
      <c r="B16" s="38" cm="1">
        <f t="array" aca="1" ref="B16" ca="1">_xlfn.XLOOKUP($A16,INDEX(_xlfn.ANCHORARRAY($P$3),,2),INDEX(_xlfn.ANCHORARRAY($P$3),,4),"")</f>
      </c>
      <c r="C16" s="38" cm="1">
        <f t="array" aca="1" ref="C16" ca="1">_xlfn.XLOOKUP($A16,INDEX(_xlfn.ANCHORARRAY($P$3),,2),INDEX(_xlfn.ANCHORARRAY($P$3),,5),"")</f>
      </c>
      <c r="D16" s="36">
        <f t="shared" ca="1" si="0"/>
      </c>
      <c r="E16" s="39" cm="1">
        <f t="array" aca="1" ref="E16" ca="1">_xlfn.XLOOKUP($A16,INDEX(_xlfn.ANCHORARRAY($P$3),,2),INDEX(_xlfn.ANCHORARRAY($P$3),,3),"")</f>
      </c>
      <c r="F16" s="39"/>
      <c r="G16" s="42">
        <f t="shared" ca="1" si="1"/>
      </c>
      <c r="H16" s="42">
        <f t="shared" ca="1" si="2"/>
      </c>
      <c r="I16" s="36"/>
      <c r="J16" s="36"/>
      <c r="K16" s="36"/>
      <c r="L16" s="36"/>
      <c r="M16" s="36"/>
      <c r="N16" s="36"/>
      <c r="O16" s="36"/>
      <c r="P16" s="36">
        <f ca="1"/>
      </c>
      <c r="Q16" s="36">
        <f ca="1"/>
      </c>
      <c r="R16" s="36">
        <f ca="1"/>
      </c>
      <c r="S16" s="36">
        <f ca="1"/>
      </c>
      <c r="T16" s="36">
        <f ca="1"/>
      </c>
      <c r="V16" t="s">
        <v>12</v>
      </c>
      <c r="W16" s="43">
        <v>1</v>
      </c>
    </row>
    <row r="17" spans="1:23" ht="20" customHeight="1" x14ac:dyDescent="0.55000000000000004">
      <c r="A17" s="36" t="s">
        <v>110</v>
      </c>
      <c r="B17" s="38" cm="1">
        <f t="array" aca="1" ref="B17" ca="1">_xlfn.XLOOKUP($A17,INDEX(_xlfn.ANCHORARRAY($P$3),,2),INDEX(_xlfn.ANCHORARRAY($P$3),,4),"")</f>
      </c>
      <c r="C17" s="38" cm="1">
        <f t="array" aca="1" ref="C17" ca="1">_xlfn.XLOOKUP($A17,INDEX(_xlfn.ANCHORARRAY($P$3),,2),INDEX(_xlfn.ANCHORARRAY($P$3),,5),"")</f>
      </c>
      <c r="D17" s="36">
        <f t="shared" ca="1" si="0"/>
      </c>
      <c r="E17" s="39" cm="1">
        <f t="array" aca="1" ref="E17" ca="1">_xlfn.XLOOKUP($A17,INDEX(_xlfn.ANCHORARRAY($P$3),,2),INDEX(_xlfn.ANCHORARRAY($P$3),,3),"")</f>
      </c>
      <c r="F17" s="39"/>
      <c r="G17" s="42">
        <f t="shared" ca="1" si="1"/>
      </c>
      <c r="H17" s="42">
        <f t="shared" ca="1" si="2"/>
      </c>
      <c r="I17" s="36"/>
      <c r="J17" s="36"/>
      <c r="K17" s="36"/>
      <c r="L17" s="36"/>
      <c r="M17" s="36"/>
      <c r="N17" s="36"/>
      <c r="O17" s="36"/>
      <c r="P17" s="36">
        <f ca="1"/>
      </c>
      <c r="Q17" s="36">
        <f ca="1"/>
      </c>
      <c r="R17" s="36">
        <f ca="1"/>
      </c>
      <c r="S17" s="36">
        <f ca="1"/>
      </c>
      <c r="T17" s="36">
        <f ca="1"/>
      </c>
      <c r="V17" t="s">
        <v>41</v>
      </c>
      <c r="W17" s="43">
        <v>1</v>
      </c>
    </row>
    <row r="18" spans="1:23" ht="20" customHeight="1" x14ac:dyDescent="0.55000000000000004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>
        <f ca="1"/>
      </c>
      <c r="Q18" s="36">
        <f ca="1"/>
      </c>
      <c r="R18" s="36">
        <f ca="1"/>
      </c>
      <c r="S18" s="36">
        <f ca="1"/>
      </c>
      <c r="T18" s="36">
        <f ca="1"/>
      </c>
      <c r="V18" t="s">
        <v>13</v>
      </c>
      <c r="W18" s="43">
        <v>1</v>
      </c>
    </row>
    <row r="19" spans="1:23" ht="20" customHeight="1" x14ac:dyDescent="0.55000000000000004">
      <c r="A19" s="36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>
        <f ca="1"/>
      </c>
      <c r="Q19" s="36">
        <f ca="1"/>
      </c>
      <c r="R19" s="36">
        <f ca="1"/>
      </c>
      <c r="S19" s="36">
        <f ca="1"/>
      </c>
      <c r="T19" s="36">
        <f ca="1"/>
      </c>
      <c r="V19" t="s">
        <v>14</v>
      </c>
      <c r="W19" s="43">
        <v>1</v>
      </c>
    </row>
    <row r="20" spans="1:23" ht="20" customHeight="1" x14ac:dyDescent="0.6">
      <c r="A20" s="40" t="s">
        <v>115</v>
      </c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>
        <f ca="1"/>
      </c>
      <c r="Q20" s="36">
        <f ca="1"/>
      </c>
      <c r="R20" s="36">
        <f ca="1"/>
      </c>
      <c r="S20" s="36">
        <f ca="1"/>
      </c>
      <c r="T20" s="36">
        <f ca="1"/>
      </c>
      <c r="V20" t="s">
        <v>15</v>
      </c>
      <c r="W20" s="43">
        <v>1</v>
      </c>
    </row>
    <row r="21" spans="1:23" ht="30" customHeight="1" x14ac:dyDescent="0.6">
      <c r="A21" s="41" t="s">
        <v>135</v>
      </c>
      <c r="B21" s="41" t="s">
        <v>136</v>
      </c>
      <c r="C21" s="41" t="s">
        <v>137</v>
      </c>
      <c r="D21" s="41" t="s">
        <v>138</v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>
        <f ca="1"/>
      </c>
      <c r="Q21" s="36">
        <f ca="1"/>
      </c>
      <c r="R21" s="36">
        <f ca="1"/>
      </c>
      <c r="S21" s="36">
        <f ca="1"/>
      </c>
      <c r="T21" s="36">
        <f ca="1"/>
      </c>
      <c r="V21" t="s">
        <v>16</v>
      </c>
      <c r="W21" s="43">
        <v>1</v>
      </c>
    </row>
    <row r="22" spans="1:23" ht="20" customHeight="1" x14ac:dyDescent="0.55000000000000004">
      <c r="A22" s="36" t="s">
        <v>1</v>
      </c>
      <c r="B22" s="39" cm="1">
        <f t="array" aca="1" ref="B22" ca="1">_xlfn.XLOOKUP($A22,INDEX(_xlfn.ANCHORARRAY($P$3),,2),INDEX(_xlfn.ANCHORARRAY($P$3),,3),"")</f>
      </c>
      <c r="C22" s="39" cm="1">
        <f t="array" aca="1" ref="C22" ca="1">BojImpliedRates(A22:A34,_xlfn.TAKE(_xlfn.ANCHORARRAY($P$3),,3),_xlfn.HSTACK(A8:A17,E8:E17,B8:C17))</f>
      </c>
      <c r="D22" s="42">
        <f t="shared" ref="D22:D34" ca="1" si="3">IF(AND(ISNUMBER(B22),ISNUMBER(C22)),(B22-C22)*100,"")</f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>
        <f ca="1"/>
      </c>
      <c r="Q22" s="36">
        <f ca="1"/>
      </c>
      <c r="R22" s="36">
        <f ca="1"/>
      </c>
      <c r="S22" s="36">
        <f ca="1"/>
      </c>
      <c r="T22" s="36">
        <f ca="1"/>
      </c>
      <c r="V22" t="s">
        <v>17</v>
      </c>
      <c r="W22" s="43">
        <v>1</v>
      </c>
    </row>
    <row r="23" spans="1:23" ht="20" customHeight="1" x14ac:dyDescent="0.55000000000000004">
      <c r="A23" s="36" t="s">
        <v>2</v>
      </c>
      <c r="B23" s="39" cm="1">
        <f t="array" aca="1" ref="B23" ca="1">_xlfn.XLOOKUP($A23,INDEX(_xlfn.ANCHORARRAY($P$3),,2),INDEX(_xlfn.ANCHORARRAY($P$3),,3),"")</f>
      </c>
      <c r="C23" s="39"/>
      <c r="D23" s="42">
        <f t="shared" ca="1" si="3"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>
        <f ca="1"/>
      </c>
      <c r="Q23" s="36">
        <f ca="1"/>
      </c>
      <c r="R23" s="36">
        <f ca="1"/>
      </c>
      <c r="S23" s="36">
        <f ca="1"/>
      </c>
      <c r="T23" s="36">
        <f ca="1"/>
      </c>
      <c r="V23" t="s">
        <v>18</v>
      </c>
      <c r="W23" s="43">
        <v>1</v>
      </c>
    </row>
    <row r="24" spans="1:23" ht="20" customHeight="1" x14ac:dyDescent="0.55000000000000004">
      <c r="A24" s="36" t="s">
        <v>3</v>
      </c>
      <c r="B24" s="39" cm="1">
        <f t="array" aca="1" ref="B24" ca="1">_xlfn.XLOOKUP($A24,INDEX(_xlfn.ANCHORARRAY($P$3),,2),INDEX(_xlfn.ANCHORARRAY($P$3),,3),"")</f>
      </c>
      <c r="C24" s="39"/>
      <c r="D24" s="42">
        <f t="shared" ca="1" si="3"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>
        <f ca="1"/>
      </c>
      <c r="Q24" s="36">
        <f ca="1"/>
      </c>
      <c r="R24" s="36">
        <f ca="1"/>
      </c>
      <c r="S24" s="36">
        <f ca="1"/>
      </c>
      <c r="T24" s="36">
        <f ca="1"/>
      </c>
      <c r="V24" t="s">
        <v>19</v>
      </c>
      <c r="W24" s="43">
        <v>1</v>
      </c>
    </row>
    <row r="25" spans="1:23" ht="20" customHeight="1" x14ac:dyDescent="0.55000000000000004">
      <c r="A25" s="36" t="s">
        <v>4</v>
      </c>
      <c r="B25" s="39" cm="1">
        <f t="array" aca="1" ref="B25" ca="1">_xlfn.XLOOKUP($A25,INDEX(_xlfn.ANCHORARRAY($P$3),,2),INDEX(_xlfn.ANCHORARRAY($P$3),,3),"")</f>
      </c>
      <c r="C25" s="39"/>
      <c r="D25" s="42">
        <f t="shared" ca="1" si="3"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>
        <f ca="1"/>
      </c>
      <c r="Q25" s="36">
        <f ca="1"/>
      </c>
      <c r="R25" s="36">
        <f ca="1"/>
      </c>
      <c r="S25" s="36">
        <f ca="1"/>
      </c>
      <c r="T25" s="36">
        <f ca="1"/>
      </c>
      <c r="V25" t="s">
        <v>20</v>
      </c>
      <c r="W25" s="43">
        <v>1</v>
      </c>
    </row>
    <row r="26" spans="1:23" ht="20" customHeight="1" x14ac:dyDescent="0.55000000000000004">
      <c r="A26" s="36" t="s">
        <v>5</v>
      </c>
      <c r="B26" s="39" cm="1">
        <f t="array" aca="1" ref="B26" ca="1">_xlfn.XLOOKUP($A26,INDEX(_xlfn.ANCHORARRAY($P$3),,2),INDEX(_xlfn.ANCHORARRAY($P$3),,3),"")</f>
      </c>
      <c r="C26" s="39"/>
      <c r="D26" s="42">
        <f t="shared" ca="1" si="3"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>
        <f ca="1"/>
      </c>
      <c r="Q26" s="36">
        <f ca="1"/>
      </c>
      <c r="R26" s="36">
        <f ca="1"/>
      </c>
      <c r="S26" s="36">
        <f ca="1"/>
      </c>
      <c r="T26" s="36">
        <f ca="1"/>
      </c>
      <c r="V26" t="s">
        <v>21</v>
      </c>
      <c r="W26" s="43">
        <v>1</v>
      </c>
    </row>
    <row r="27" spans="1:23" ht="20" customHeight="1" x14ac:dyDescent="0.55000000000000004">
      <c r="A27" s="36" t="s">
        <v>6</v>
      </c>
      <c r="B27" s="39" cm="1">
        <f t="array" aca="1" ref="B27" ca="1">_xlfn.XLOOKUP($A27,INDEX(_xlfn.ANCHORARRAY($P$3),,2),INDEX(_xlfn.ANCHORARRAY($P$3),,3),"")</f>
      </c>
      <c r="C27" s="39"/>
      <c r="D27" s="42">
        <f t="shared" ca="1" si="3"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>
        <f ca="1"/>
      </c>
      <c r="Q27" s="36">
        <f ca="1"/>
      </c>
      <c r="R27" s="36">
        <f ca="1"/>
      </c>
      <c r="S27" s="36">
        <f ca="1"/>
      </c>
      <c r="T27" s="36">
        <f ca="1"/>
      </c>
      <c r="V27" t="s">
        <v>22</v>
      </c>
      <c r="W27" s="43">
        <v>1</v>
      </c>
    </row>
    <row r="28" spans="1:23" ht="20" customHeight="1" x14ac:dyDescent="0.55000000000000004">
      <c r="A28" s="36" t="s">
        <v>7</v>
      </c>
      <c r="B28" s="39" cm="1">
        <f t="array" aca="1" ref="B28" ca="1">_xlfn.XLOOKUP($A28,INDEX(_xlfn.ANCHORARRAY($P$3),,2),INDEX(_xlfn.ANCHORARRAY($P$3),,3),"")</f>
      </c>
      <c r="C28" s="39"/>
      <c r="D28" s="42">
        <f t="shared" ca="1" si="3"/>
      </c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>
        <f ca="1"/>
      </c>
      <c r="Q28" s="36">
        <f ca="1"/>
      </c>
      <c r="R28" s="36">
        <f ca="1"/>
      </c>
      <c r="S28" s="36">
        <f ca="1"/>
      </c>
      <c r="T28" s="36">
        <f ca="1"/>
      </c>
      <c r="V28" t="s">
        <v>23</v>
      </c>
      <c r="W28" s="43">
        <v>1</v>
      </c>
    </row>
    <row r="29" spans="1:23" ht="20" customHeight="1" x14ac:dyDescent="0.55000000000000004">
      <c r="A29" s="36" t="s">
        <v>8</v>
      </c>
      <c r="B29" s="39" cm="1">
        <f t="array" aca="1" ref="B29" ca="1">_xlfn.XLOOKUP($A29,INDEX(_xlfn.ANCHORARRAY($P$3),,2),INDEX(_xlfn.ANCHORARRAY($P$3),,3),"")</f>
      </c>
      <c r="C29" s="39"/>
      <c r="D29" s="42">
        <f t="shared" ca="1" si="3"/>
      </c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>
        <f ca="1"/>
      </c>
      <c r="Q29" s="36">
        <f ca="1"/>
      </c>
      <c r="R29" s="36">
        <f ca="1"/>
      </c>
      <c r="S29" s="36">
        <f ca="1"/>
      </c>
      <c r="T29" s="36">
        <f ca="1"/>
      </c>
      <c r="V29" t="s">
        <v>24</v>
      </c>
      <c r="W29" s="43">
        <v>1</v>
      </c>
    </row>
    <row r="30" spans="1:23" ht="20" customHeight="1" x14ac:dyDescent="0.55000000000000004">
      <c r="A30" s="36" t="s">
        <v>9</v>
      </c>
      <c r="B30" s="39" cm="1">
        <f t="array" aca="1" ref="B30" ca="1">_xlfn.XLOOKUP($A30,INDEX(_xlfn.ANCHORARRAY($P$3),,2),INDEX(_xlfn.ANCHORARRAY($P$3),,3),"")</f>
      </c>
      <c r="C30" s="39"/>
      <c r="D30" s="42">
        <f t="shared" ca="1" si="3"/>
      </c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>
        <f ca="1"/>
      </c>
      <c r="Q30" s="36">
        <f ca="1"/>
      </c>
      <c r="R30" s="36">
        <f ca="1"/>
      </c>
      <c r="S30" s="36">
        <f ca="1"/>
      </c>
      <c r="T30" s="36">
        <f ca="1"/>
      </c>
      <c r="V30" t="s">
        <v>25</v>
      </c>
      <c r="W30" s="43">
        <v>1</v>
      </c>
    </row>
    <row r="31" spans="1:23" ht="20" customHeight="1" x14ac:dyDescent="0.55000000000000004">
      <c r="A31" s="36" t="s">
        <v>10</v>
      </c>
      <c r="B31" s="39" cm="1">
        <f t="array" aca="1" ref="B31" ca="1">_xlfn.XLOOKUP($A31,INDEX(_xlfn.ANCHORARRAY($P$3),,2),INDEX(_xlfn.ANCHORARRAY($P$3),,3),"")</f>
      </c>
      <c r="C31" s="39"/>
      <c r="D31" s="42">
        <f t="shared" ca="1" si="3"/>
      </c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>
        <f ca="1"/>
      </c>
      <c r="Q31" s="36">
        <f ca="1"/>
      </c>
      <c r="R31" s="36">
        <f ca="1"/>
      </c>
      <c r="S31" s="36">
        <f ca="1"/>
      </c>
      <c r="T31" s="36">
        <f ca="1"/>
      </c>
      <c r="V31" t="s">
        <v>26</v>
      </c>
      <c r="W31" s="43">
        <v>1</v>
      </c>
    </row>
    <row r="32" spans="1:23" ht="20" customHeight="1" x14ac:dyDescent="0.55000000000000004">
      <c r="A32" s="36" t="s">
        <v>11</v>
      </c>
      <c r="B32" s="39" cm="1">
        <f t="array" aca="1" ref="B32" ca="1">_xlfn.XLOOKUP($A32,INDEX(_xlfn.ANCHORARRAY($P$3),,2),INDEX(_xlfn.ANCHORARRAY($P$3),,3),"")</f>
      </c>
      <c r="C32" s="39"/>
      <c r="D32" s="42">
        <f t="shared" ca="1" si="3"/>
      </c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>
        <f ca="1"/>
      </c>
      <c r="Q32" s="36">
        <f ca="1"/>
      </c>
      <c r="R32" s="36">
        <f ca="1"/>
      </c>
      <c r="S32" s="36">
        <f ca="1"/>
      </c>
      <c r="T32" s="36">
        <f ca="1"/>
      </c>
      <c r="V32" t="s">
        <v>27</v>
      </c>
      <c r="W32" s="43">
        <v>1</v>
      </c>
    </row>
    <row r="33" spans="1:23" ht="20" customHeight="1" x14ac:dyDescent="0.55000000000000004">
      <c r="A33" s="36" t="s">
        <v>12</v>
      </c>
      <c r="B33" s="39" cm="1">
        <f t="array" aca="1" ref="B33" ca="1">_xlfn.XLOOKUP($A33,INDEX(_xlfn.ANCHORARRAY($P$3),,2),INDEX(_xlfn.ANCHORARRAY($P$3),,3),"")</f>
      </c>
      <c r="C33" s="39"/>
      <c r="D33" s="42">
        <f t="shared" ca="1" si="3"/>
      </c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>
        <f ca="1"/>
      </c>
      <c r="Q33" s="36">
        <f ca="1"/>
      </c>
      <c r="R33" s="36">
        <f ca="1"/>
      </c>
      <c r="S33" s="36">
        <f ca="1"/>
      </c>
      <c r="T33" s="36">
        <f ca="1"/>
      </c>
      <c r="V33" t="s">
        <v>28</v>
      </c>
      <c r="W33" s="43">
        <v>1</v>
      </c>
    </row>
    <row r="34" spans="1:23" ht="20" customHeight="1" x14ac:dyDescent="0.55000000000000004">
      <c r="A34" s="36" t="s">
        <v>41</v>
      </c>
      <c r="B34" s="39" cm="1">
        <f t="array" aca="1" ref="B34" ca="1">_xlfn.XLOOKUP($A34,INDEX(_xlfn.ANCHORARRAY($P$3),,2),INDEX(_xlfn.ANCHORARRAY($P$3),,3),"")</f>
      </c>
      <c r="C34" s="39"/>
      <c r="D34" s="42">
        <f t="shared" ca="1" si="3"/>
      </c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>
        <f ca="1"/>
      </c>
      <c r="Q34" s="36">
        <f ca="1"/>
      </c>
      <c r="R34" s="36">
        <f ca="1"/>
      </c>
      <c r="S34" s="36">
        <f ca="1"/>
      </c>
      <c r="T34" s="36">
        <f ca="1"/>
      </c>
      <c r="V34" t="s">
        <v>29</v>
      </c>
      <c r="W34" s="43">
        <v>1</v>
      </c>
    </row>
    <row r="35" spans="1:23" ht="20" customHeight="1" x14ac:dyDescent="0.55000000000000004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>
        <f ca="1"/>
      </c>
      <c r="Q35" s="36">
        <f ca="1"/>
      </c>
      <c r="R35" s="36">
        <f ca="1"/>
      </c>
      <c r="S35" s="36">
        <f ca="1"/>
      </c>
      <c r="T35" s="36">
        <f ca="1"/>
      </c>
      <c r="V35" t="s">
        <v>30</v>
      </c>
      <c r="W35" s="43">
        <v>1</v>
      </c>
    </row>
    <row r="36" spans="1:23" ht="20" customHeight="1" x14ac:dyDescent="0.55000000000000004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>
        <f ca="1"/>
      </c>
      <c r="Q36" s="36">
        <f ca="1"/>
      </c>
      <c r="R36" s="36">
        <f ca="1"/>
      </c>
      <c r="S36" s="36">
        <f ca="1"/>
      </c>
      <c r="T36" s="36">
        <f ca="1"/>
      </c>
      <c r="V36" t="s">
        <v>31</v>
      </c>
      <c r="W36" s="43">
        <v>1</v>
      </c>
    </row>
    <row r="37" spans="1:23" ht="20" customHeight="1" x14ac:dyDescent="0.6">
      <c r="A37" s="40" t="s">
        <v>121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>
        <f ca="1"/>
      </c>
      <c r="Q37" s="36">
        <f ca="1"/>
      </c>
      <c r="R37" s="36">
        <f ca="1"/>
      </c>
      <c r="S37" s="36">
        <f ca="1"/>
      </c>
      <c r="T37" s="36">
        <f ca="1"/>
      </c>
      <c r="V37" t="s">
        <v>32</v>
      </c>
      <c r="W37" s="43">
        <v>1</v>
      </c>
    </row>
    <row r="38" spans="1:23" ht="20" customHeight="1" x14ac:dyDescent="0.55000000000000004">
      <c r="A38" s="36" t="s">
        <v>122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>
        <f ca="1"/>
      </c>
      <c r="Q38" s="36">
        <f ca="1"/>
      </c>
      <c r="R38" s="36">
        <f ca="1"/>
      </c>
      <c r="S38" s="36">
        <f ca="1"/>
      </c>
      <c r="T38" s="36">
        <f ca="1"/>
      </c>
      <c r="V38" t="s">
        <v>109</v>
      </c>
      <c r="W38" s="43">
        <v>0</v>
      </c>
    </row>
    <row r="39" spans="1:23" ht="20" customHeight="1" x14ac:dyDescent="0.55000000000000004">
      <c r="A39" s="36" t="s">
        <v>123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>
        <f ca="1"/>
      </c>
      <c r="Q39" s="36">
        <f ca="1"/>
      </c>
      <c r="R39" s="36">
        <f ca="1"/>
      </c>
      <c r="S39" s="36">
        <f ca="1"/>
      </c>
      <c r="T39" s="36">
        <f ca="1"/>
      </c>
      <c r="V39" t="s">
        <v>33</v>
      </c>
      <c r="W39" s="43">
        <v>0</v>
      </c>
    </row>
    <row r="40" spans="1:23" ht="20" customHeight="1" x14ac:dyDescent="0.55000000000000004">
      <c r="A40" s="36" t="s">
        <v>124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>
        <f ca="1"/>
      </c>
      <c r="Q40" s="36">
        <f ca="1"/>
      </c>
      <c r="R40" s="36">
        <f ca="1"/>
      </c>
      <c r="S40" s="36">
        <f ca="1"/>
      </c>
      <c r="T40" s="36">
        <f ca="1"/>
      </c>
      <c r="V40" t="s">
        <v>34</v>
      </c>
      <c r="W40" s="43">
        <v>0</v>
      </c>
    </row>
    <row r="41" spans="1:23" ht="20" customHeight="1" x14ac:dyDescent="0.55000000000000004">
      <c r="A41" s="36" t="s">
        <v>125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>
        <f ca="1"/>
      </c>
      <c r="Q41" s="36">
        <f ca="1"/>
      </c>
      <c r="R41" s="36">
        <f ca="1"/>
      </c>
      <c r="S41" s="36">
        <f ca="1"/>
      </c>
      <c r="T41" s="36">
        <f ca="1"/>
      </c>
      <c r="V41" t="s">
        <v>35</v>
      </c>
      <c r="W41" s="43">
        <v>0</v>
      </c>
    </row>
    <row r="42" spans="1:23" ht="20" customHeight="1" x14ac:dyDescent="0.55000000000000004">
      <c r="A42" s="36" t="s">
        <v>126</v>
      </c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>
        <f ca="1"/>
      </c>
      <c r="Q42" s="36">
        <f ca="1"/>
      </c>
      <c r="R42" s="36">
        <f ca="1"/>
      </c>
      <c r="S42" s="36">
        <f ca="1"/>
      </c>
      <c r="T42" s="36">
        <f ca="1"/>
      </c>
      <c r="V42" t="s">
        <v>36</v>
      </c>
      <c r="W42" s="43">
        <v>0</v>
      </c>
    </row>
    <row r="43" spans="1:23" ht="20" customHeight="1" x14ac:dyDescent="0.55000000000000004">
      <c r="A43" s="36" t="s">
        <v>127</v>
      </c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>
        <f ca="1"/>
      </c>
      <c r="Q43" s="36">
        <f ca="1"/>
      </c>
      <c r="R43" s="36">
        <f ca="1"/>
      </c>
      <c r="S43" s="36">
        <f ca="1"/>
      </c>
      <c r="T43" s="36">
        <f ca="1"/>
      </c>
      <c r="V43" t="s">
        <v>37</v>
      </c>
      <c r="W43" s="43">
        <v>0</v>
      </c>
    </row>
    <row r="44" spans="1:23" ht="20" customHeight="1" x14ac:dyDescent="0.55000000000000004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>
        <f ca="1"/>
      </c>
      <c r="Q44" s="36">
        <f ca="1"/>
      </c>
      <c r="R44" s="36">
        <f ca="1"/>
      </c>
      <c r="S44" s="36">
        <f ca="1"/>
      </c>
      <c r="T44" s="36">
        <f ca="1"/>
      </c>
      <c r="V44" t="s">
        <v>38</v>
      </c>
      <c r="W44" s="43">
        <v>0</v>
      </c>
    </row>
    <row r="45" spans="1:23" ht="20" customHeight="1" x14ac:dyDescent="0.55000000000000004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>
        <f ca="1"/>
      </c>
      <c r="Q45" s="36">
        <f ca="1"/>
      </c>
      <c r="R45" s="36">
        <f ca="1"/>
      </c>
      <c r="S45" s="36">
        <f ca="1"/>
      </c>
      <c r="T45" s="36">
        <f ca="1"/>
      </c>
      <c r="V45" t="s">
        <v>39</v>
      </c>
      <c r="W45" s="43">
        <v>0</v>
      </c>
    </row>
    <row r="46" spans="1:23" x14ac:dyDescent="0.55000000000000004">
      <c r="P46">
        <f ca="1"/>
      </c>
      <c r="Q46">
        <f ca="1"/>
      </c>
      <c r="R46">
        <f ca="1"/>
      </c>
      <c r="S46">
        <f ca="1"/>
      </c>
      <c r="T46">
        <f ca="1"/>
      </c>
      <c r="V46" t="s">
        <v>40</v>
      </c>
      <c r="W46" s="43">
        <v>0</v>
      </c>
    </row>
    <row r="47" spans="1:23" x14ac:dyDescent="0.55000000000000004">
      <c r="V47" t="s">
        <v>110</v>
      </c>
      <c r="W47" s="43">
        <v>0</v>
      </c>
    </row>
  </sheetData>
  <phoneticPr fontId="9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{33D7CCF2-9D92-4820-8BC6-DF6F6AE8C0C1}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{D02CFC7F-EC5C-41E8-A85E-520B14D6F151}</x14:id>
        </ext>
      </extLst>
    </cfRule>
  </conditionalFormatting>
  <dataValidations count="1">
    <dataValidation type="list" allowBlank="1" showInputMessage="1" showErrorMessage="1" sqref="B1" xr:uid="{63CDC566-08F5-4229-9377-48A46B17A15B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3D7CCF2-9D92-4820-8BC6-DF6F6AE8C0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D02CFC7F-EC5C-41E8-A85E-520B14D6F15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E5F55-1C47-4FBD-A466-5C07F736E95B}">
  <sheetPr codeName="Sheet5"/>
  <dimension ref="A1:HQ800"/>
  <sheetViews>
    <sheetView zoomScale="56" workbookViewId="0">
      <selection activeCell="H10" sqref="H10:J10"/>
    </sheetView>
  </sheetViews>
  <sheetFormatPr defaultRowHeight="18.5" outlineLevelCol="1" x14ac:dyDescent="0.55000000000000004"/>
  <cols>
    <col min="1" max="1" width="18.58203125" customWidth="1"/>
    <col min="2" max="10" width="11.58203125" customWidth="1"/>
    <col min="11" max="11" width="13.58203125" customWidth="1"/>
    <col min="12" max="31" width="7.08203125" customWidth="1"/>
    <col min="33" max="36" width="11.58203125" customWidth="1"/>
    <col min="49" max="221" width="8.6640625" hidden="1" customWidth="1" outlineLevel="1"/>
    <col min="222" max="224" width="0" hidden="1" customWidth="1" outlineLevel="1"/>
    <col min="225" max="225" width="8.6640625" collapsed="1"/>
  </cols>
  <sheetData>
    <row r="1" spans="1:224" x14ac:dyDescent="0.55000000000000004">
      <c r="A1" s="4" t="s">
        <v>58</v>
      </c>
      <c r="B1" s="2" t="s">
        <v>53</v>
      </c>
      <c r="C1" t="s">
        <v>59</v>
      </c>
      <c r="D1" cm="1">
        <f t="array" aca="1" ref="D1" ca="1">LiveInfo("swap",_xlfn.ANCHORARRAY($AW$3))</f>
      </c>
      <c r="E1" t="s">
        <v>456</v>
      </c>
    </row>
    <row r="2" spans="1:224" ht="20" x14ac:dyDescent="0.55000000000000004">
      <c r="A2" s="20" t="s">
        <v>255</v>
      </c>
      <c r="AW2" s="4" t="s">
        <v>116</v>
      </c>
      <c r="AX2" s="4"/>
      <c r="AY2" s="4"/>
      <c r="AZ2" s="4"/>
      <c r="BA2" s="4"/>
      <c r="BB2" s="4" t="s">
        <v>117</v>
      </c>
      <c r="BC2" s="4"/>
      <c r="BD2" s="4"/>
      <c r="BE2" s="4"/>
      <c r="BF2" s="4"/>
      <c r="BG2" s="4"/>
      <c r="BH2" s="4" t="s">
        <v>118</v>
      </c>
      <c r="BI2" s="4"/>
      <c r="BJ2" s="4"/>
      <c r="BK2" s="4" t="s">
        <v>266</v>
      </c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 t="s">
        <v>267</v>
      </c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 t="s">
        <v>268</v>
      </c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 t="s">
        <v>314</v>
      </c>
      <c r="GZ2" s="4"/>
      <c r="HA2" s="4"/>
      <c r="HB2" s="4"/>
      <c r="HC2" s="4"/>
      <c r="HD2" s="4" t="s">
        <v>317</v>
      </c>
      <c r="HE2" s="4"/>
      <c r="HF2" s="4"/>
      <c r="HG2" s="4"/>
      <c r="HH2" s="4"/>
      <c r="HI2" s="4" t="s">
        <v>318</v>
      </c>
      <c r="HJ2" s="4"/>
      <c r="HK2" s="4"/>
      <c r="HL2" s="4"/>
      <c r="HM2" s="4"/>
      <c r="HO2" s="4" t="s">
        <v>319</v>
      </c>
      <c r="HP2" s="4"/>
    </row>
    <row r="3" spans="1:224" x14ac:dyDescent="0.55000000000000004">
      <c r="A3" s="4" t="s">
        <v>256</v>
      </c>
      <c r="AW3" s="4" cm="1">
        <f t="array" aca="1" ref="AW3:AZ46" ca="1">IF($B$1="Fixed",LiveSnapshot("swap"),LiveQuotes("swap"))</f>
      </c>
      <c r="AX3" s="4">
        <f ca="1"/>
      </c>
      <c r="AY3" s="4">
        <f ca="1"/>
      </c>
      <c r="AZ3" s="4">
        <f ca="1"/>
      </c>
      <c r="BA3" s="4"/>
      <c r="BB3" s="4" cm="1">
        <f t="array" aca="1" ref="BB3:BF46" ca="1">_xlfn.LET(_xlpm.q,_xlfn.ANCHORARRAY($AW$3),_xlpm.t,$BH$4:$BH$47,_xlfn.HSTACK($BI$4:$BI$47,_xlpm.t,INDEX(_xlpm.q,_xlfn.XMATCH(_xlpm.t,INDEX(_xlpm.q,,1)),{2,3,4})))</f>
      </c>
      <c r="BC3" s="4">
        <f ca="1"/>
      </c>
      <c r="BD3" s="4">
        <f ca="1"/>
      </c>
      <c r="BE3" s="4">
        <f ca="1"/>
      </c>
      <c r="BF3" s="4">
        <f ca="1"/>
      </c>
      <c r="BG3" s="4"/>
      <c r="BH3" s="4" t="s">
        <v>119</v>
      </c>
      <c r="BI3" s="4" t="s">
        <v>120</v>
      </c>
      <c r="BJ3" s="4"/>
      <c r="BK3" s="4" cm="1">
        <f t="array" aca="1" ref="BK3:DE486" ca="1">FwdHistory($A$12:$A$35,"CMT",FWM_Base)</f>
      </c>
      <c r="BL3" s="4">
        <f ca="1"/>
      </c>
      <c r="BM3" s="4">
        <f ca="1"/>
      </c>
      <c r="BN3" s="4">
        <f ca="1"/>
      </c>
      <c r="BO3" s="4">
        <f ca="1"/>
      </c>
      <c r="BP3" s="4">
        <f ca="1"/>
      </c>
      <c r="BQ3" s="4">
        <f ca="1"/>
      </c>
      <c r="BR3" s="4">
        <f ca="1"/>
      </c>
      <c r="BS3" s="4">
        <f ca="1"/>
      </c>
      <c r="BT3" s="4">
        <f ca="1"/>
      </c>
      <c r="BU3" s="4">
        <f ca="1"/>
      </c>
      <c r="BV3" s="4">
        <f ca="1"/>
      </c>
      <c r="BW3" s="4">
        <f ca="1"/>
      </c>
      <c r="BX3" s="4">
        <f ca="1"/>
      </c>
      <c r="BY3" s="4">
        <f ca="1"/>
      </c>
      <c r="BZ3" s="4">
        <f ca="1"/>
      </c>
      <c r="CA3" s="4">
        <f ca="1"/>
      </c>
      <c r="CB3" s="4">
        <f ca="1"/>
      </c>
      <c r="CC3" s="4">
        <f ca="1"/>
      </c>
      <c r="CD3" s="4">
        <f ca="1"/>
      </c>
      <c r="CE3" s="4">
        <f ca="1"/>
      </c>
      <c r="CF3" s="4">
        <f ca="1"/>
      </c>
      <c r="CG3" s="4">
        <f ca="1"/>
      </c>
      <c r="CH3" s="4">
        <f ca="1"/>
      </c>
      <c r="CI3" s="4">
        <f ca="1"/>
      </c>
      <c r="CJ3" s="4">
        <f ca="1"/>
      </c>
      <c r="CK3" s="4">
        <f ca="1"/>
      </c>
      <c r="CL3" s="4">
        <f ca="1"/>
      </c>
      <c r="CM3" s="4">
        <f ca="1"/>
      </c>
      <c r="CN3" s="4">
        <f ca="1"/>
      </c>
      <c r="CO3" s="4">
        <f ca="1"/>
      </c>
      <c r="CP3" s="4">
        <f ca="1"/>
      </c>
      <c r="CQ3" s="4">
        <f ca="1"/>
      </c>
      <c r="CR3" s="4">
        <f ca="1"/>
      </c>
      <c r="CS3" s="4">
        <f ca="1"/>
      </c>
      <c r="CT3" s="4">
        <f ca="1"/>
      </c>
      <c r="CU3" s="4">
        <f ca="1"/>
      </c>
      <c r="CV3" s="4">
        <f ca="1"/>
      </c>
      <c r="CW3" s="4">
        <f ca="1"/>
      </c>
      <c r="CX3" s="4">
        <f ca="1"/>
      </c>
      <c r="CY3" s="4">
        <f ca="1"/>
      </c>
      <c r="CZ3" s="4">
        <f ca="1"/>
      </c>
      <c r="DA3" s="4">
        <f ca="1"/>
      </c>
      <c r="DB3" s="4">
        <f ca="1"/>
      </c>
      <c r="DC3" s="4">
        <f ca="1"/>
      </c>
      <c r="DD3" s="4">
        <f ca="1"/>
      </c>
      <c r="DE3" s="4">
        <f ca="1"/>
      </c>
      <c r="DF3" s="4"/>
      <c r="DG3" s="4" cm="1">
        <f t="array" aca="1" ref="DG3:FA486" ca="1">FwdHistory($A$12:$A$35,"FIXED",FWM_Base)</f>
      </c>
      <c r="DH3" s="4">
        <f ca="1"/>
      </c>
      <c r="DI3" s="4">
        <f ca="1"/>
      </c>
      <c r="DJ3" s="4">
        <f ca="1"/>
      </c>
      <c r="DK3" s="4">
        <f ca="1"/>
      </c>
      <c r="DL3" s="4">
        <f ca="1"/>
      </c>
      <c r="DM3" s="4">
        <f ca="1"/>
      </c>
      <c r="DN3" s="4">
        <f ca="1"/>
      </c>
      <c r="DO3" s="4">
        <f ca="1"/>
      </c>
      <c r="DP3" s="4">
        <f ca="1"/>
      </c>
      <c r="DQ3" s="4">
        <f ca="1"/>
      </c>
      <c r="DR3" s="4">
        <f ca="1"/>
      </c>
      <c r="DS3" s="4">
        <f ca="1"/>
      </c>
      <c r="DT3" s="4">
        <f ca="1"/>
      </c>
      <c r="DU3" s="4">
        <f ca="1"/>
      </c>
      <c r="DV3" s="4">
        <f ca="1"/>
      </c>
      <c r="DW3" s="4">
        <f ca="1"/>
      </c>
      <c r="DX3" s="4">
        <f ca="1"/>
      </c>
      <c r="DY3" s="4">
        <f ca="1"/>
      </c>
      <c r="DZ3" s="4">
        <f ca="1"/>
      </c>
      <c r="EA3" s="4">
        <f ca="1"/>
      </c>
      <c r="EB3" s="4">
        <f ca="1"/>
      </c>
      <c r="EC3" s="4">
        <f ca="1"/>
      </c>
      <c r="ED3" s="4">
        <f ca="1"/>
      </c>
      <c r="EE3" s="4">
        <f ca="1"/>
      </c>
      <c r="EF3" s="4">
        <f ca="1"/>
      </c>
      <c r="EG3" s="4">
        <f ca="1"/>
      </c>
      <c r="EH3" s="4">
        <f ca="1"/>
      </c>
      <c r="EI3" s="4">
        <f ca="1"/>
      </c>
      <c r="EJ3" s="4">
        <f ca="1"/>
      </c>
      <c r="EK3" s="4">
        <f ca="1"/>
      </c>
      <c r="EL3" s="4">
        <f ca="1"/>
      </c>
      <c r="EM3" s="4">
        <f ca="1"/>
      </c>
      <c r="EN3" s="4">
        <f ca="1"/>
      </c>
      <c r="EO3" s="4">
        <f ca="1"/>
      </c>
      <c r="EP3" s="4">
        <f ca="1"/>
      </c>
      <c r="EQ3" s="4">
        <f ca="1"/>
      </c>
      <c r="ER3" s="4">
        <f ca="1"/>
      </c>
      <c r="ES3" s="4">
        <f ca="1"/>
      </c>
      <c r="ET3" s="4">
        <f ca="1"/>
      </c>
      <c r="EU3" s="4">
        <f ca="1"/>
      </c>
      <c r="EV3" s="4">
        <f ca="1"/>
      </c>
      <c r="EW3" s="4">
        <f ca="1"/>
      </c>
      <c r="EX3" s="4">
        <f ca="1"/>
      </c>
      <c r="EY3" s="4">
        <f ca="1"/>
      </c>
      <c r="EZ3" s="4">
        <f ca="1"/>
      </c>
      <c r="FA3" s="4">
        <f ca="1"/>
      </c>
      <c r="FB3" s="4"/>
      <c r="FC3" s="4" cm="1">
        <f t="array" aca="1" ref="FC3:GW486" ca="1">FwdHistory($A$12:$A$35,"ROLLING",FWM_Base)</f>
      </c>
      <c r="FD3" s="4">
        <f ca="1"/>
      </c>
      <c r="FE3" s="4">
        <f ca="1"/>
      </c>
      <c r="FF3" s="4">
        <f ca="1"/>
      </c>
      <c r="FG3" s="4">
        <f ca="1"/>
      </c>
      <c r="FH3" s="4">
        <f ca="1"/>
      </c>
      <c r="FI3" s="4">
        <f ca="1"/>
      </c>
      <c r="FJ3" s="4">
        <f ca="1"/>
      </c>
      <c r="FK3" s="4">
        <f ca="1"/>
      </c>
      <c r="FL3" s="4">
        <f ca="1"/>
      </c>
      <c r="FM3" s="4">
        <f ca="1"/>
      </c>
      <c r="FN3" s="4">
        <f ca="1"/>
      </c>
      <c r="FO3" s="4">
        <f ca="1"/>
      </c>
      <c r="FP3" s="4">
        <f ca="1"/>
      </c>
      <c r="FQ3" s="4">
        <f ca="1"/>
      </c>
      <c r="FR3" s="4">
        <f ca="1"/>
      </c>
      <c r="FS3" s="4">
        <f ca="1"/>
      </c>
      <c r="FT3" s="4">
        <f ca="1"/>
      </c>
      <c r="FU3" s="4">
        <f ca="1"/>
      </c>
      <c r="FV3" s="4">
        <f ca="1"/>
      </c>
      <c r="FW3" s="4">
        <f ca="1"/>
      </c>
      <c r="FX3" s="4">
        <f ca="1"/>
      </c>
      <c r="FY3" s="4">
        <f ca="1"/>
      </c>
      <c r="FZ3" s="4">
        <f ca="1"/>
      </c>
      <c r="GA3" s="4">
        <f ca="1"/>
      </c>
      <c r="GB3" s="4">
        <f ca="1"/>
      </c>
      <c r="GC3" s="4">
        <f ca="1"/>
      </c>
      <c r="GD3" s="4">
        <f ca="1"/>
      </c>
      <c r="GE3" s="4">
        <f ca="1"/>
      </c>
      <c r="GF3" s="4">
        <f ca="1"/>
      </c>
      <c r="GG3" s="4">
        <f ca="1"/>
      </c>
      <c r="GH3" s="4">
        <f ca="1"/>
      </c>
      <c r="GI3" s="4">
        <f ca="1"/>
      </c>
      <c r="GJ3" s="4">
        <f ca="1"/>
      </c>
      <c r="GK3" s="4">
        <f ca="1"/>
      </c>
      <c r="GL3" s="4">
        <f ca="1"/>
      </c>
      <c r="GM3" s="4">
        <f ca="1"/>
      </c>
      <c r="GN3" s="4">
        <f ca="1"/>
      </c>
      <c r="GO3" s="4">
        <f ca="1"/>
      </c>
      <c r="GP3" s="4">
        <f ca="1"/>
      </c>
      <c r="GQ3" s="4">
        <f ca="1"/>
      </c>
      <c r="GR3" s="4">
        <f ca="1"/>
      </c>
      <c r="GS3" s="4">
        <f ca="1"/>
      </c>
      <c r="GT3" s="4">
        <f ca="1"/>
      </c>
      <c r="GU3" s="4">
        <f ca="1"/>
      </c>
      <c r="GV3" s="4">
        <f ca="1"/>
      </c>
      <c r="GW3" s="4">
        <f ca="1"/>
      </c>
      <c r="GX3" s="4"/>
      <c r="GY3" s="4" t="s">
        <v>315</v>
      </c>
      <c r="GZ3" s="4" t="s">
        <v>53</v>
      </c>
      <c r="HA3" s="4">
        <f>"Compare "&amp;TEXT(FWM_Cmp,"yyyy-mm-dd")</f>
      </c>
      <c r="HB3" s="4" t="s">
        <v>316</v>
      </c>
      <c r="HC3" s="4"/>
      <c r="HD3" s="4" t="s">
        <v>315</v>
      </c>
      <c r="HE3" s="4" t="s">
        <v>53</v>
      </c>
      <c r="HF3" s="4">
        <f>HA3</f>
      </c>
      <c r="HG3" s="4" t="s">
        <v>316</v>
      </c>
      <c r="HH3" s="4"/>
      <c r="HI3" s="4" t="s">
        <v>75</v>
      </c>
      <c r="HJ3" s="4" cm="1">
        <f t="array" aca="1" ref="HJ3" ca="1">_xlfn.LET(_xlpm.r,IFERROR(SMALL(IF((FWM_TShow="Yes")*(FWM_TL1&lt;&gt;""),_xlfn.SEQUENCE(10)),1),0),IF(_xlpm.r=0,"",INDEX(FWM_TName,_xlpm.r)&amp;" ("&amp;INDEX(FWM_TMode,_xlpm.r)&amp;")"))</f>
      </c>
      <c r="HK3" s="4" cm="1">
        <f t="array" aca="1" ref="HK3" ca="1">_xlfn.LET(_xlpm.r,IFERROR(SMALL(IF((FWM_TShow="Yes")*(FWM_TL1&lt;&gt;""),_xlfn.SEQUENCE(10)),2),0),IF(_xlpm.r=0,"",INDEX(FWM_TName,_xlpm.r)&amp;" ("&amp;INDEX(FWM_TMode,_xlpm.r)&amp;")"))</f>
      </c>
      <c r="HL3" s="4" cm="1">
        <f t="array" aca="1" ref="HL3" ca="1">_xlfn.LET(_xlpm.r,IFERROR(SMALL(IF((FWM_TShow="Yes")*(FWM_TL1&lt;&gt;""),_xlfn.SEQUENCE(10)),3),0),IF(_xlpm.r=0,"",INDEX(FWM_TName,_xlpm.r)&amp;" ("&amp;INDEX(FWM_TMode,_xlpm.r)&amp;")"))</f>
      </c>
      <c r="HM3" s="4" cm="1">
        <f t="array" aca="1" ref="HM3" ca="1">_xlfn.LET(_xlpm.r,IFERROR(SMALL(IF((FWM_TShow="Yes")*(FWM_TL1&lt;&gt;""),_xlfn.SEQUENCE(10)),4),0),IF(_xlpm.r=0,"",INDEX(FWM_TName,_xlpm.r)&amp;" ("&amp;INDEX(FWM_TMode,_xlpm.r)&amp;")"))</f>
      </c>
      <c r="HO3" s="4" t="s">
        <v>270</v>
      </c>
      <c r="HP3" s="4" t="s">
        <v>271</v>
      </c>
    </row>
    <row r="4" spans="1:224" x14ac:dyDescent="0.55000000000000004">
      <c r="A4" s="4" t="s">
        <v>257</v>
      </c>
      <c r="B4" s="3"/>
      <c r="C4" t="s">
        <v>258</v>
      </c>
      <c r="AW4">
        <f ca="1"/>
      </c>
      <c r="AX4">
        <f ca="1"/>
      </c>
      <c r="AY4">
        <f ca="1"/>
      </c>
      <c r="AZ4">
        <f ca="1"/>
      </c>
      <c r="BB4">
        <f ca="1"/>
      </c>
      <c r="BC4">
        <f ca="1"/>
      </c>
      <c r="BD4">
        <f ca="1"/>
      </c>
      <c r="BE4">
        <f ca="1"/>
      </c>
      <c r="BF4">
        <f ca="1"/>
      </c>
      <c r="BH4" t="s">
        <v>0</v>
      </c>
      <c r="BK4">
        <f ca="1"/>
      </c>
      <c r="BL4">
        <f ca="1"/>
      </c>
      <c r="BM4">
        <f ca="1"/>
      </c>
      <c r="BN4">
        <f ca="1"/>
      </c>
      <c r="BO4">
        <f ca="1"/>
      </c>
      <c r="BP4">
        <f ca="1"/>
      </c>
      <c r="BQ4">
        <f ca="1"/>
      </c>
      <c r="BR4">
        <f ca="1"/>
      </c>
      <c r="BS4">
        <f ca="1"/>
      </c>
      <c r="BT4">
        <f ca="1"/>
      </c>
      <c r="BU4">
        <f ca="1"/>
      </c>
      <c r="BV4">
        <f ca="1"/>
      </c>
      <c r="BW4">
        <f ca="1"/>
      </c>
      <c r="BX4">
        <f ca="1"/>
      </c>
      <c r="BY4">
        <f ca="1"/>
      </c>
      <c r="BZ4">
        <f ca="1"/>
      </c>
      <c r="CA4">
        <f ca="1"/>
      </c>
      <c r="CB4">
        <f ca="1"/>
      </c>
      <c r="CC4">
        <f ca="1"/>
      </c>
      <c r="CD4">
        <f ca="1"/>
      </c>
      <c r="CE4">
        <f ca="1"/>
      </c>
      <c r="CF4">
        <f ca="1"/>
      </c>
      <c r="CG4">
        <f ca="1"/>
      </c>
      <c r="CH4">
        <f ca="1"/>
      </c>
      <c r="CI4">
        <f ca="1"/>
      </c>
      <c r="CJ4">
        <f ca="1"/>
      </c>
      <c r="CK4">
        <f ca="1"/>
      </c>
      <c r="CL4">
        <f ca="1"/>
      </c>
      <c r="CM4">
        <f ca="1"/>
      </c>
      <c r="CN4">
        <f ca="1"/>
      </c>
      <c r="CO4">
        <f ca="1"/>
      </c>
      <c r="CP4">
        <f ca="1"/>
      </c>
      <c r="CQ4">
        <f ca="1"/>
      </c>
      <c r="CR4">
        <f ca="1"/>
      </c>
      <c r="CS4">
        <f ca="1"/>
      </c>
      <c r="CT4">
        <f ca="1"/>
      </c>
      <c r="CU4">
        <f ca="1"/>
      </c>
      <c r="CV4">
        <f ca="1"/>
      </c>
      <c r="CW4">
        <f ca="1"/>
      </c>
      <c r="CX4">
        <f ca="1"/>
      </c>
      <c r="CY4">
        <f ca="1"/>
      </c>
      <c r="CZ4">
        <f ca="1"/>
      </c>
      <c r="DA4">
        <f ca="1"/>
      </c>
      <c r="DB4">
        <f ca="1"/>
      </c>
      <c r="DC4">
        <f ca="1"/>
      </c>
      <c r="DD4">
        <f ca="1"/>
      </c>
      <c r="DE4">
        <f ca="1"/>
      </c>
      <c r="DG4">
        <f ca="1"/>
      </c>
      <c r="DH4">
        <f ca="1"/>
      </c>
      <c r="DI4">
        <f ca="1"/>
      </c>
      <c r="DJ4">
        <f ca="1"/>
      </c>
      <c r="DK4">
        <f ca="1"/>
      </c>
      <c r="DL4">
        <f ca="1"/>
      </c>
      <c r="DM4">
        <f ca="1"/>
      </c>
      <c r="DN4">
        <f ca="1"/>
      </c>
      <c r="DO4">
        <f ca="1"/>
      </c>
      <c r="DP4">
        <f ca="1"/>
      </c>
      <c r="DQ4">
        <f ca="1"/>
      </c>
      <c r="DR4">
        <f ca="1"/>
      </c>
      <c r="DS4">
        <f ca="1"/>
      </c>
      <c r="DT4">
        <f ca="1"/>
      </c>
      <c r="DU4">
        <f ca="1"/>
      </c>
      <c r="DV4">
        <f ca="1"/>
      </c>
      <c r="DW4">
        <f ca="1"/>
      </c>
      <c r="DX4">
        <f ca="1"/>
      </c>
      <c r="DY4">
        <f ca="1"/>
      </c>
      <c r="DZ4">
        <f ca="1"/>
      </c>
      <c r="EA4">
        <f ca="1"/>
      </c>
      <c r="EB4">
        <f ca="1"/>
      </c>
      <c r="EC4">
        <f ca="1"/>
      </c>
      <c r="ED4">
        <f ca="1"/>
      </c>
      <c r="EE4">
        <f ca="1"/>
      </c>
      <c r="EF4">
        <f ca="1"/>
      </c>
      <c r="EG4">
        <f ca="1"/>
      </c>
      <c r="EH4">
        <f ca="1"/>
      </c>
      <c r="EI4">
        <f ca="1"/>
      </c>
      <c r="EJ4">
        <f ca="1"/>
      </c>
      <c r="EK4">
        <f ca="1"/>
      </c>
      <c r="EL4">
        <f ca="1"/>
      </c>
      <c r="EM4">
        <f ca="1"/>
      </c>
      <c r="EN4">
        <f ca="1"/>
      </c>
      <c r="EO4">
        <f ca="1"/>
      </c>
      <c r="EP4">
        <f ca="1"/>
      </c>
      <c r="EQ4">
        <f ca="1"/>
      </c>
      <c r="ER4">
        <f ca="1"/>
      </c>
      <c r="ES4">
        <f ca="1"/>
      </c>
      <c r="ET4">
        <f ca="1"/>
      </c>
      <c r="EU4">
        <f ca="1"/>
      </c>
      <c r="EV4">
        <f ca="1"/>
      </c>
      <c r="EW4">
        <f ca="1"/>
      </c>
      <c r="EX4">
        <f ca="1"/>
      </c>
      <c r="EY4">
        <f ca="1"/>
      </c>
      <c r="EZ4">
        <f ca="1"/>
      </c>
      <c r="FA4">
        <f ca="1"/>
      </c>
      <c r="FC4">
        <f ca="1"/>
      </c>
      <c r="FD4">
        <f ca="1"/>
      </c>
      <c r="FE4">
        <f ca="1"/>
      </c>
      <c r="FF4">
        <f ca="1"/>
      </c>
      <c r="FG4">
        <f ca="1"/>
      </c>
      <c r="FH4">
        <f ca="1"/>
      </c>
      <c r="FI4">
        <f ca="1"/>
      </c>
      <c r="FJ4">
        <f ca="1"/>
      </c>
      <c r="FK4">
        <f ca="1"/>
      </c>
      <c r="FL4">
        <f ca="1"/>
      </c>
      <c r="FM4">
        <f ca="1"/>
      </c>
      <c r="FN4">
        <f ca="1"/>
      </c>
      <c r="FO4">
        <f ca="1"/>
      </c>
      <c r="FP4">
        <f ca="1"/>
      </c>
      <c r="FQ4">
        <f ca="1"/>
      </c>
      <c r="FR4">
        <f ca="1"/>
      </c>
      <c r="FS4">
        <f ca="1"/>
      </c>
      <c r="FT4">
        <f ca="1"/>
      </c>
      <c r="FU4">
        <f ca="1"/>
      </c>
      <c r="FV4">
        <f ca="1"/>
      </c>
      <c r="FW4">
        <f ca="1"/>
      </c>
      <c r="FX4">
        <f ca="1"/>
      </c>
      <c r="FY4">
        <f ca="1"/>
      </c>
      <c r="FZ4">
        <f ca="1"/>
      </c>
      <c r="GA4">
        <f ca="1"/>
      </c>
      <c r="GB4">
        <f ca="1"/>
      </c>
      <c r="GC4">
        <f ca="1"/>
      </c>
      <c r="GD4">
        <f ca="1"/>
      </c>
      <c r="GE4">
        <f ca="1"/>
      </c>
      <c r="GF4">
        <f ca="1"/>
      </c>
      <c r="GG4">
        <f ca="1"/>
      </c>
      <c r="GH4">
        <f ca="1"/>
      </c>
      <c r="GI4">
        <f ca="1"/>
      </c>
      <c r="GJ4">
        <f ca="1"/>
      </c>
      <c r="GK4">
        <f ca="1"/>
      </c>
      <c r="GL4">
        <f ca="1"/>
      </c>
      <c r="GM4">
        <f ca="1"/>
      </c>
      <c r="GN4">
        <f ca="1"/>
      </c>
      <c r="GO4">
        <f ca="1"/>
      </c>
      <c r="GP4">
        <f ca="1"/>
      </c>
      <c r="GQ4">
        <f ca="1"/>
      </c>
      <c r="GR4">
        <f ca="1"/>
      </c>
      <c r="GS4">
        <f ca="1"/>
      </c>
      <c r="GT4">
        <f ca="1"/>
      </c>
      <c r="GU4">
        <f ca="1"/>
      </c>
      <c r="GV4">
        <f ca="1"/>
      </c>
      <c r="GW4">
        <f ca="1"/>
      </c>
      <c r="GY4">
        <f>VALUE(_xlfn.TEXTBEFORE($A$12,"y"))</f>
      </c>
      <c r="GZ4">
        <f ca="1">$B$12</f>
      </c>
      <c r="HA4">
        <f ca="1">IFERROR($B$12-$G$12/100,NA())</f>
      </c>
      <c r="HB4">
        <f ca="1">$G$12</f>
      </c>
      <c r="HD4">
        <f>VALUE(_xlfn.TEXTBEFORE($A$29,"y"))</f>
      </c>
      <c r="HE4">
        <f ca="1">$B$29</f>
      </c>
      <c r="HF4">
        <f ca="1">IFERROR($B$29-$G$29/100,NA())</f>
      </c>
      <c r="HG4">
        <f ca="1">$G$29</f>
      </c>
      <c r="HI4" s="7" cm="1">
        <f t="array" aca="1" ref="HI4:HI244" ca="1">_xlfn._xlws.FILTER(FWM_Dates,FWM_Dates&gt;=N(FWM_From))</f>
      </c>
      <c r="HJ4" cm="1">
        <f t="array" aca="1" ref="HJ4:HJ244" ca="1">_xlfn.LET(_xlpm.r,IFERROR(SMALL(IF((FWM_TShow="Yes")*(FWM_TL1&lt;&gt;""),_xlfn.SEQUENCE(10)),1)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K4" cm="1">
        <f t="array" aca="1" ref="HK4:HK244" ca="1">_xlfn.LET(_xlpm.r,IFERROR(SMALL(IF((FWM_TShow="Yes")*(FWM_TL1&lt;&gt;""),_xlfn.SEQUENCE(10)),2)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L4" cm="1">
        <f t="array" aca="1" ref="HL4:HL244" ca="1">_xlfn.LET(_xlpm.r,IFERROR(SMALL(IF((FWM_TShow="Yes")*(FWM_TL1&lt;&gt;""),_xlfn.SEQUENCE(10)),3)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M4" cm="1">
        <f t="array" aca="1" ref="HM4:HM244" ca="1">_xlfn.LET(_xlpm.r,IFERROR(SMALL(IF((FWM_TShow="Yes")*(FWM_TL1&lt;&gt;""),_xlfn.SEQUENCE(10)),4),0),_xlfn.LET(_xlpm.keep,FWM_Dates&gt;=N(FWM_From),_xlpm.d,_xlfn._xlws.FILTER(FWM_Dates,_xlpm.keep),IF(_xlpm.r=0,IF(_xlpm.d,NA()),_xlfn.LET(_xlpm.x,_xlfn._xlws.FILTER(FWM_Row(_xlpm.r,""),_xlpm.keep),IF(FWM_View="Change",_xlpm.x-INDEX(_xlpm.x,1),_xlpm.x)))))</f>
      </c>
      <c r="HO4" cm="1">
        <f t="array" ref="HO4:HO26">_xlfn._xlws.FILTER($A$12:$A$35,$A$12:$A$35&lt;&gt;"")</f>
      </c>
      <c r="HP4" cm="1">
        <f t="array" aca="1" ref="HP4:HP26" ca="1">FwdLive(_xlfn.ANCHORARRAY($HO$4),_xlfn.TAKE(_xlfn.ANCHORARRAY($BB$3),,3))</f>
      </c>
    </row>
    <row r="5" spans="1:224" x14ac:dyDescent="0.55000000000000004">
      <c r="A5" s="4" t="s">
        <v>259</v>
      </c>
      <c r="B5" s="3">
        <v>46290</v>
      </c>
      <c r="C5" t="s">
        <v>260</v>
      </c>
      <c r="AW5">
        <f ca="1"/>
      </c>
      <c r="AX5">
        <f ca="1"/>
      </c>
      <c r="AY5">
        <f ca="1"/>
      </c>
      <c r="AZ5">
        <f ca="1"/>
      </c>
      <c r="BB5">
        <f ca="1"/>
      </c>
      <c r="BC5">
        <f ca="1"/>
      </c>
      <c r="BD5">
        <f ca="1"/>
      </c>
      <c r="BE5">
        <f ca="1"/>
      </c>
      <c r="BF5">
        <f ca="1"/>
      </c>
      <c r="BH5" t="s">
        <v>1</v>
      </c>
      <c r="BI5">
        <v>1</v>
      </c>
      <c r="BK5">
        <f ca="1"/>
      </c>
      <c r="BL5">
        <f ca="1"/>
      </c>
      <c r="BM5">
        <f ca="1"/>
      </c>
      <c r="BN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  <c r="BV5">
        <f ca="1"/>
      </c>
      <c r="BW5">
        <f ca="1"/>
      </c>
      <c r="BX5">
        <f ca="1"/>
      </c>
      <c r="BY5">
        <f ca="1"/>
      </c>
      <c r="BZ5">
        <f ca="1"/>
      </c>
      <c r="CA5">
        <f ca="1"/>
      </c>
      <c r="CB5">
        <f ca="1"/>
      </c>
      <c r="CC5">
        <f ca="1"/>
      </c>
      <c r="CD5">
        <f ca="1"/>
      </c>
      <c r="CE5">
        <f ca="1"/>
      </c>
      <c r="CF5">
        <f ca="1"/>
      </c>
      <c r="CG5">
        <f ca="1"/>
      </c>
      <c r="CH5">
        <f ca="1"/>
      </c>
      <c r="CI5">
        <f ca="1"/>
      </c>
      <c r="CJ5">
        <f ca="1"/>
      </c>
      <c r="CK5">
        <f ca="1"/>
      </c>
      <c r="CL5">
        <f ca="1"/>
      </c>
      <c r="CM5">
        <f ca="1"/>
      </c>
      <c r="CN5">
        <f ca="1"/>
      </c>
      <c r="CO5">
        <f ca="1"/>
      </c>
      <c r="CP5">
        <f ca="1"/>
      </c>
      <c r="CQ5">
        <f ca="1"/>
      </c>
      <c r="CR5">
        <f ca="1"/>
      </c>
      <c r="CS5">
        <f ca="1"/>
      </c>
      <c r="CT5">
        <f ca="1"/>
      </c>
      <c r="CU5">
        <f ca="1"/>
      </c>
      <c r="CV5">
        <f ca="1"/>
      </c>
      <c r="CW5">
        <f ca="1"/>
      </c>
      <c r="CX5">
        <f ca="1"/>
      </c>
      <c r="CY5">
        <f ca="1"/>
      </c>
      <c r="CZ5">
        <f ca="1"/>
      </c>
      <c r="DA5">
        <f ca="1"/>
      </c>
      <c r="DB5">
        <f ca="1"/>
      </c>
      <c r="DC5">
        <f ca="1"/>
      </c>
      <c r="DD5">
        <f ca="1"/>
      </c>
      <c r="DE5">
        <f ca="1"/>
      </c>
      <c r="DG5">
        <f ca="1"/>
      </c>
      <c r="DH5">
        <f ca="1"/>
      </c>
      <c r="DI5">
        <f ca="1"/>
      </c>
      <c r="DJ5">
        <f ca="1"/>
      </c>
      <c r="DK5">
        <f ca="1"/>
      </c>
      <c r="DL5">
        <f ca="1"/>
      </c>
      <c r="DM5">
        <f ca="1"/>
      </c>
      <c r="DN5">
        <f ca="1"/>
      </c>
      <c r="DO5">
        <f ca="1"/>
      </c>
      <c r="DP5">
        <f ca="1"/>
      </c>
      <c r="DQ5">
        <f ca="1"/>
      </c>
      <c r="DR5">
        <f ca="1"/>
      </c>
      <c r="DS5">
        <f ca="1"/>
      </c>
      <c r="DT5">
        <f ca="1"/>
      </c>
      <c r="DU5">
        <f ca="1"/>
      </c>
      <c r="DV5">
        <f ca="1"/>
      </c>
      <c r="DW5">
        <f ca="1"/>
      </c>
      <c r="DX5">
        <f ca="1"/>
      </c>
      <c r="DY5">
        <f ca="1"/>
      </c>
      <c r="DZ5">
        <f ca="1"/>
      </c>
      <c r="EA5">
        <f ca="1"/>
      </c>
      <c r="EB5">
        <f ca="1"/>
      </c>
      <c r="EC5">
        <f ca="1"/>
      </c>
      <c r="ED5">
        <f ca="1"/>
      </c>
      <c r="EE5">
        <f ca="1"/>
      </c>
      <c r="EF5">
        <f ca="1"/>
      </c>
      <c r="EG5">
        <f ca="1"/>
      </c>
      <c r="EH5">
        <f ca="1"/>
      </c>
      <c r="EI5">
        <f ca="1"/>
      </c>
      <c r="EJ5">
        <f ca="1"/>
      </c>
      <c r="EK5">
        <f ca="1"/>
      </c>
      <c r="EL5">
        <f ca="1"/>
      </c>
      <c r="EM5">
        <f ca="1"/>
      </c>
      <c r="EN5">
        <f ca="1"/>
      </c>
      <c r="EO5">
        <f ca="1"/>
      </c>
      <c r="EP5">
        <f ca="1"/>
      </c>
      <c r="EQ5">
        <f ca="1"/>
      </c>
      <c r="ER5">
        <f ca="1"/>
      </c>
      <c r="ES5">
        <f ca="1"/>
      </c>
      <c r="ET5">
        <f ca="1"/>
      </c>
      <c r="EU5">
        <f ca="1"/>
      </c>
      <c r="EV5">
        <f ca="1"/>
      </c>
      <c r="EW5">
        <f ca="1"/>
      </c>
      <c r="EX5">
        <f ca="1"/>
      </c>
      <c r="EY5">
        <f ca="1"/>
      </c>
      <c r="EZ5">
        <f ca="1"/>
      </c>
      <c r="FA5">
        <f ca="1"/>
      </c>
      <c r="FC5">
        <f ca="1"/>
      </c>
      <c r="FD5">
        <f ca="1"/>
      </c>
      <c r="FE5">
        <f ca="1"/>
      </c>
      <c r="FF5">
        <f ca="1"/>
      </c>
      <c r="FG5">
        <f ca="1"/>
      </c>
      <c r="FH5">
        <f ca="1"/>
      </c>
      <c r="FI5">
        <f ca="1"/>
      </c>
      <c r="FJ5">
        <f ca="1"/>
      </c>
      <c r="FK5">
        <f ca="1"/>
      </c>
      <c r="FL5">
        <f ca="1"/>
      </c>
      <c r="FM5">
        <f ca="1"/>
      </c>
      <c r="FN5">
        <f ca="1"/>
      </c>
      <c r="FO5">
        <f ca="1"/>
      </c>
      <c r="FP5">
        <f ca="1"/>
      </c>
      <c r="FQ5">
        <f ca="1"/>
      </c>
      <c r="FR5">
        <f ca="1"/>
      </c>
      <c r="FS5">
        <f ca="1"/>
      </c>
      <c r="FT5">
        <f ca="1"/>
      </c>
      <c r="FU5">
        <f ca="1"/>
      </c>
      <c r="FV5">
        <f ca="1"/>
      </c>
      <c r="FW5">
        <f ca="1"/>
      </c>
      <c r="FX5">
        <f ca="1"/>
      </c>
      <c r="FY5">
        <f ca="1"/>
      </c>
      <c r="FZ5">
        <f ca="1"/>
      </c>
      <c r="GA5">
        <f ca="1"/>
      </c>
      <c r="GB5">
        <f ca="1"/>
      </c>
      <c r="GC5">
        <f ca="1"/>
      </c>
      <c r="GD5">
        <f ca="1"/>
      </c>
      <c r="GE5">
        <f ca="1"/>
      </c>
      <c r="GF5">
        <f ca="1"/>
      </c>
      <c r="GG5">
        <f ca="1"/>
      </c>
      <c r="GH5">
        <f ca="1"/>
      </c>
      <c r="GI5">
        <f ca="1"/>
      </c>
      <c r="GJ5">
        <f ca="1"/>
      </c>
      <c r="GK5">
        <f ca="1"/>
      </c>
      <c r="GL5">
        <f ca="1"/>
      </c>
      <c r="GM5">
        <f ca="1"/>
      </c>
      <c r="GN5">
        <f ca="1"/>
      </c>
      <c r="GO5">
        <f ca="1"/>
      </c>
      <c r="GP5">
        <f ca="1"/>
      </c>
      <c r="GQ5">
        <f ca="1"/>
      </c>
      <c r="GR5">
        <f ca="1"/>
      </c>
      <c r="GS5">
        <f ca="1"/>
      </c>
      <c r="GT5">
        <f ca="1"/>
      </c>
      <c r="GU5">
        <f ca="1"/>
      </c>
      <c r="GV5">
        <f ca="1"/>
      </c>
      <c r="GW5">
        <f ca="1"/>
      </c>
      <c r="GY5">
        <f>VALUE(_xlfn.TEXTBEFORE($A$13,"y"))</f>
      </c>
      <c r="GZ5">
        <f ca="1">$B$13</f>
      </c>
      <c r="HA5">
        <f ca="1">IFERROR($B$13-$G$13/100,NA())</f>
      </c>
      <c r="HB5">
        <f ca="1">$G$13</f>
      </c>
      <c r="HD5">
        <f>VALUE(_xlfn.TEXTBEFORE($A$30,"y"))</f>
      </c>
      <c r="HE5">
        <f ca="1">$B$30</f>
      </c>
      <c r="HF5">
        <f ca="1">IFERROR($B$30-$G$30/100,NA())</f>
      </c>
      <c r="HG5">
        <f ca="1">$G$30</f>
      </c>
      <c r="HI5" s="7">
        <f ca="1"/>
      </c>
      <c r="HJ5">
        <f ca="1"/>
      </c>
      <c r="HK5">
        <f ca="1"/>
      </c>
      <c r="HL5">
        <f ca="1"/>
      </c>
      <c r="HM5">
        <f ca="1"/>
      </c>
      <c r="HP5">
        <f ca="1"/>
      </c>
    </row>
    <row r="6" spans="1:224" x14ac:dyDescent="0.55000000000000004">
      <c r="A6" s="4" t="s">
        <v>261</v>
      </c>
      <c r="B6" s="2">
        <v>63</v>
      </c>
      <c r="C6" t="s">
        <v>458</v>
      </c>
      <c r="AW6">
        <f ca="1"/>
      </c>
      <c r="AX6">
        <f ca="1"/>
      </c>
      <c r="AY6">
        <f ca="1"/>
      </c>
      <c r="AZ6">
        <f ca="1"/>
      </c>
      <c r="BB6">
        <f ca="1"/>
      </c>
      <c r="BC6">
        <f ca="1"/>
      </c>
      <c r="BD6">
        <f ca="1"/>
      </c>
      <c r="BE6">
        <f ca="1"/>
      </c>
      <c r="BF6">
        <f ca="1"/>
      </c>
      <c r="BH6" t="s">
        <v>2</v>
      </c>
      <c r="BI6">
        <v>1</v>
      </c>
      <c r="BK6">
        <f ca="1"/>
      </c>
      <c r="BL6">
        <f ca="1"/>
      </c>
      <c r="BM6">
        <f ca="1"/>
      </c>
      <c r="BN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  <c r="BV6">
        <f ca="1"/>
      </c>
      <c r="BW6">
        <f ca="1"/>
      </c>
      <c r="BX6">
        <f ca="1"/>
      </c>
      <c r="BY6">
        <f ca="1"/>
      </c>
      <c r="BZ6">
        <f ca="1"/>
      </c>
      <c r="CA6">
        <f ca="1"/>
      </c>
      <c r="CB6">
        <f ca="1"/>
      </c>
      <c r="CC6">
        <f ca="1"/>
      </c>
      <c r="CD6">
        <f ca="1"/>
      </c>
      <c r="CE6">
        <f ca="1"/>
      </c>
      <c r="CF6">
        <f ca="1"/>
      </c>
      <c r="CG6">
        <f ca="1"/>
      </c>
      <c r="CH6">
        <f ca="1"/>
      </c>
      <c r="CI6">
        <f ca="1"/>
      </c>
      <c r="CJ6">
        <f ca="1"/>
      </c>
      <c r="CK6">
        <f ca="1"/>
      </c>
      <c r="CL6">
        <f ca="1"/>
      </c>
      <c r="CM6">
        <f ca="1"/>
      </c>
      <c r="CN6">
        <f ca="1"/>
      </c>
      <c r="CO6">
        <f ca="1"/>
      </c>
      <c r="CP6">
        <f ca="1"/>
      </c>
      <c r="CQ6">
        <f ca="1"/>
      </c>
      <c r="CR6">
        <f ca="1"/>
      </c>
      <c r="CS6">
        <f ca="1"/>
      </c>
      <c r="CT6">
        <f ca="1"/>
      </c>
      <c r="CU6">
        <f ca="1"/>
      </c>
      <c r="CV6">
        <f ca="1"/>
      </c>
      <c r="CW6">
        <f ca="1"/>
      </c>
      <c r="CX6">
        <f ca="1"/>
      </c>
      <c r="CY6">
        <f ca="1"/>
      </c>
      <c r="CZ6">
        <f ca="1"/>
      </c>
      <c r="DA6">
        <f ca="1"/>
      </c>
      <c r="DB6">
        <f ca="1"/>
      </c>
      <c r="DC6">
        <f ca="1"/>
      </c>
      <c r="DD6">
        <f ca="1"/>
      </c>
      <c r="DE6">
        <f ca="1"/>
      </c>
      <c r="DG6">
        <f ca="1"/>
      </c>
      <c r="DH6">
        <f ca="1"/>
      </c>
      <c r="DI6">
        <f ca="1"/>
      </c>
      <c r="DJ6">
        <f ca="1"/>
      </c>
      <c r="DK6">
        <f ca="1"/>
      </c>
      <c r="DL6">
        <f ca="1"/>
      </c>
      <c r="DM6">
        <f ca="1"/>
      </c>
      <c r="DN6">
        <f ca="1"/>
      </c>
      <c r="DO6">
        <f ca="1"/>
      </c>
      <c r="DP6">
        <f ca="1"/>
      </c>
      <c r="DQ6">
        <f ca="1"/>
      </c>
      <c r="DR6">
        <f ca="1"/>
      </c>
      <c r="DS6">
        <f ca="1"/>
      </c>
      <c r="DT6">
        <f ca="1"/>
      </c>
      <c r="DU6">
        <f ca="1"/>
      </c>
      <c r="DV6">
        <f ca="1"/>
      </c>
      <c r="DW6">
        <f ca="1"/>
      </c>
      <c r="DX6">
        <f ca="1"/>
      </c>
      <c r="DY6">
        <f ca="1"/>
      </c>
      <c r="DZ6">
        <f ca="1"/>
      </c>
      <c r="EA6">
        <f ca="1"/>
      </c>
      <c r="EB6">
        <f ca="1"/>
      </c>
      <c r="EC6">
        <f ca="1"/>
      </c>
      <c r="ED6">
        <f ca="1"/>
      </c>
      <c r="EE6">
        <f ca="1"/>
      </c>
      <c r="EF6">
        <f ca="1"/>
      </c>
      <c r="EG6">
        <f ca="1"/>
      </c>
      <c r="EH6">
        <f ca="1"/>
      </c>
      <c r="EI6">
        <f ca="1"/>
      </c>
      <c r="EJ6">
        <f ca="1"/>
      </c>
      <c r="EK6">
        <f ca="1"/>
      </c>
      <c r="EL6">
        <f ca="1"/>
      </c>
      <c r="EM6">
        <f ca="1"/>
      </c>
      <c r="EN6">
        <f ca="1"/>
      </c>
      <c r="EO6">
        <f ca="1"/>
      </c>
      <c r="EP6">
        <f ca="1"/>
      </c>
      <c r="EQ6">
        <f ca="1"/>
      </c>
      <c r="ER6">
        <f ca="1"/>
      </c>
      <c r="ES6">
        <f ca="1"/>
      </c>
      <c r="ET6">
        <f ca="1"/>
      </c>
      <c r="EU6">
        <f ca="1"/>
      </c>
      <c r="EV6">
        <f ca="1"/>
      </c>
      <c r="EW6">
        <f ca="1"/>
      </c>
      <c r="EX6">
        <f ca="1"/>
      </c>
      <c r="EY6">
        <f ca="1"/>
      </c>
      <c r="EZ6">
        <f ca="1"/>
      </c>
      <c r="FA6">
        <f ca="1"/>
      </c>
      <c r="FC6">
        <f ca="1"/>
      </c>
      <c r="FD6">
        <f ca="1"/>
      </c>
      <c r="FE6">
        <f ca="1"/>
      </c>
      <c r="FF6">
        <f ca="1"/>
      </c>
      <c r="FG6">
        <f ca="1"/>
      </c>
      <c r="FH6">
        <f ca="1"/>
      </c>
      <c r="FI6">
        <f ca="1"/>
      </c>
      <c r="FJ6">
        <f ca="1"/>
      </c>
      <c r="FK6">
        <f ca="1"/>
      </c>
      <c r="FL6">
        <f ca="1"/>
      </c>
      <c r="FM6">
        <f ca="1"/>
      </c>
      <c r="FN6">
        <f ca="1"/>
      </c>
      <c r="FO6">
        <f ca="1"/>
      </c>
      <c r="FP6">
        <f ca="1"/>
      </c>
      <c r="FQ6">
        <f ca="1"/>
      </c>
      <c r="FR6">
        <f ca="1"/>
      </c>
      <c r="FS6">
        <f ca="1"/>
      </c>
      <c r="FT6">
        <f ca="1"/>
      </c>
      <c r="FU6">
        <f ca="1"/>
      </c>
      <c r="FV6">
        <f ca="1"/>
      </c>
      <c r="FW6">
        <f ca="1"/>
      </c>
      <c r="FX6">
        <f ca="1"/>
      </c>
      <c r="FY6">
        <f ca="1"/>
      </c>
      <c r="FZ6">
        <f ca="1"/>
      </c>
      <c r="GA6">
        <f ca="1"/>
      </c>
      <c r="GB6">
        <f ca="1"/>
      </c>
      <c r="GC6">
        <f ca="1"/>
      </c>
      <c r="GD6">
        <f ca="1"/>
      </c>
      <c r="GE6">
        <f ca="1"/>
      </c>
      <c r="GF6">
        <f ca="1"/>
      </c>
      <c r="GG6">
        <f ca="1"/>
      </c>
      <c r="GH6">
        <f ca="1"/>
      </c>
      <c r="GI6">
        <f ca="1"/>
      </c>
      <c r="GJ6">
        <f ca="1"/>
      </c>
      <c r="GK6">
        <f ca="1"/>
      </c>
      <c r="GL6">
        <f ca="1"/>
      </c>
      <c r="GM6">
        <f ca="1"/>
      </c>
      <c r="GN6">
        <f ca="1"/>
      </c>
      <c r="GO6">
        <f ca="1"/>
      </c>
      <c r="GP6">
        <f ca="1"/>
      </c>
      <c r="GQ6">
        <f ca="1"/>
      </c>
      <c r="GR6">
        <f ca="1"/>
      </c>
      <c r="GS6">
        <f ca="1"/>
      </c>
      <c r="GT6">
        <f ca="1"/>
      </c>
      <c r="GU6">
        <f ca="1"/>
      </c>
      <c r="GV6">
        <f ca="1"/>
      </c>
      <c r="GW6">
        <f ca="1"/>
      </c>
      <c r="GY6">
        <f>VALUE(_xlfn.TEXTBEFORE($A$14,"y"))</f>
      </c>
      <c r="GZ6">
        <f ca="1">$B$14</f>
      </c>
      <c r="HA6">
        <f ca="1">IFERROR($B$14-$G$14/100,NA())</f>
      </c>
      <c r="HB6">
        <f ca="1">$G$14</f>
      </c>
      <c r="HD6">
        <f>VALUE(_xlfn.TEXTBEFORE($A$31,"y"))</f>
      </c>
      <c r="HE6">
        <f ca="1">$B$31</f>
      </c>
      <c r="HF6">
        <f ca="1">IFERROR($B$31-$G$31/100,NA())</f>
      </c>
      <c r="HG6">
        <f ca="1">$G$31</f>
      </c>
      <c r="HI6" s="7">
        <f ca="1"/>
      </c>
      <c r="HJ6">
        <f ca="1"/>
      </c>
      <c r="HK6">
        <f ca="1"/>
      </c>
      <c r="HL6">
        <f ca="1"/>
      </c>
      <c r="HM6">
        <f ca="1"/>
      </c>
      <c r="HP6">
        <f ca="1"/>
      </c>
    </row>
    <row r="7" spans="1:224" x14ac:dyDescent="0.55000000000000004">
      <c r="A7" s="4" t="s">
        <v>262</v>
      </c>
      <c r="B7" s="3">
        <v>45955</v>
      </c>
      <c r="C7" t="s">
        <v>263</v>
      </c>
      <c r="AW7">
        <f ca="1"/>
      </c>
      <c r="AX7">
        <f ca="1"/>
      </c>
      <c r="AY7">
        <f ca="1"/>
      </c>
      <c r="AZ7">
        <f ca="1"/>
      </c>
      <c r="BB7">
        <f ca="1"/>
      </c>
      <c r="BC7">
        <f ca="1"/>
      </c>
      <c r="BD7">
        <f ca="1"/>
      </c>
      <c r="BE7">
        <f ca="1"/>
      </c>
      <c r="BF7">
        <f ca="1"/>
      </c>
      <c r="BH7" t="s">
        <v>3</v>
      </c>
      <c r="BI7">
        <v>1</v>
      </c>
      <c r="BK7">
        <f ca="1"/>
      </c>
      <c r="BL7">
        <f ca="1"/>
      </c>
      <c r="BM7">
        <f ca="1"/>
      </c>
      <c r="BN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  <c r="BV7">
        <f ca="1"/>
      </c>
      <c r="BW7">
        <f ca="1"/>
      </c>
      <c r="BX7">
        <f ca="1"/>
      </c>
      <c r="BY7">
        <f ca="1"/>
      </c>
      <c r="BZ7">
        <f ca="1"/>
      </c>
      <c r="CA7">
        <f ca="1"/>
      </c>
      <c r="CB7">
        <f ca="1"/>
      </c>
      <c r="CC7">
        <f ca="1"/>
      </c>
      <c r="CD7">
        <f ca="1"/>
      </c>
      <c r="CE7">
        <f ca="1"/>
      </c>
      <c r="CF7">
        <f ca="1"/>
      </c>
      <c r="CG7">
        <f ca="1"/>
      </c>
      <c r="CH7">
        <f ca="1"/>
      </c>
      <c r="CI7">
        <f ca="1"/>
      </c>
      <c r="CJ7">
        <f ca="1"/>
      </c>
      <c r="CK7">
        <f ca="1"/>
      </c>
      <c r="CL7">
        <f ca="1"/>
      </c>
      <c r="CM7">
        <f ca="1"/>
      </c>
      <c r="CN7">
        <f ca="1"/>
      </c>
      <c r="CO7">
        <f ca="1"/>
      </c>
      <c r="CP7">
        <f ca="1"/>
      </c>
      <c r="CQ7">
        <f ca="1"/>
      </c>
      <c r="CR7">
        <f ca="1"/>
      </c>
      <c r="CS7">
        <f ca="1"/>
      </c>
      <c r="CT7">
        <f ca="1"/>
      </c>
      <c r="CU7">
        <f ca="1"/>
      </c>
      <c r="CV7">
        <f ca="1"/>
      </c>
      <c r="CW7">
        <f ca="1"/>
      </c>
      <c r="CX7">
        <f ca="1"/>
      </c>
      <c r="CY7">
        <f ca="1"/>
      </c>
      <c r="CZ7">
        <f ca="1"/>
      </c>
      <c r="DA7">
        <f ca="1"/>
      </c>
      <c r="DB7">
        <f ca="1"/>
      </c>
      <c r="DC7">
        <f ca="1"/>
      </c>
      <c r="DD7">
        <f ca="1"/>
      </c>
      <c r="DE7">
        <f ca="1"/>
      </c>
      <c r="DG7">
        <f ca="1"/>
      </c>
      <c r="DH7">
        <f ca="1"/>
      </c>
      <c r="DI7">
        <f ca="1"/>
      </c>
      <c r="DJ7">
        <f ca="1"/>
      </c>
      <c r="DK7">
        <f ca="1"/>
      </c>
      <c r="DL7">
        <f ca="1"/>
      </c>
      <c r="DM7">
        <f ca="1"/>
      </c>
      <c r="DN7">
        <f ca="1"/>
      </c>
      <c r="DO7">
        <f ca="1"/>
      </c>
      <c r="DP7">
        <f ca="1"/>
      </c>
      <c r="DQ7">
        <f ca="1"/>
      </c>
      <c r="DR7">
        <f ca="1"/>
      </c>
      <c r="DS7">
        <f ca="1"/>
      </c>
      <c r="DT7">
        <f ca="1"/>
      </c>
      <c r="DU7">
        <f ca="1"/>
      </c>
      <c r="DV7">
        <f ca="1"/>
      </c>
      <c r="DW7">
        <f ca="1"/>
      </c>
      <c r="DX7">
        <f ca="1"/>
      </c>
      <c r="DY7">
        <f ca="1"/>
      </c>
      <c r="DZ7">
        <f ca="1"/>
      </c>
      <c r="EA7">
        <f ca="1"/>
      </c>
      <c r="EB7">
        <f ca="1"/>
      </c>
      <c r="EC7">
        <f ca="1"/>
      </c>
      <c r="ED7">
        <f ca="1"/>
      </c>
      <c r="EE7">
        <f ca="1"/>
      </c>
      <c r="EF7">
        <f ca="1"/>
      </c>
      <c r="EG7">
        <f ca="1"/>
      </c>
      <c r="EH7">
        <f ca="1"/>
      </c>
      <c r="EI7">
        <f ca="1"/>
      </c>
      <c r="EJ7">
        <f ca="1"/>
      </c>
      <c r="EK7">
        <f ca="1"/>
      </c>
      <c r="EL7">
        <f ca="1"/>
      </c>
      <c r="EM7">
        <f ca="1"/>
      </c>
      <c r="EN7">
        <f ca="1"/>
      </c>
      <c r="EO7">
        <f ca="1"/>
      </c>
      <c r="EP7">
        <f ca="1"/>
      </c>
      <c r="EQ7">
        <f ca="1"/>
      </c>
      <c r="ER7">
        <f ca="1"/>
      </c>
      <c r="ES7">
        <f ca="1"/>
      </c>
      <c r="ET7">
        <f ca="1"/>
      </c>
      <c r="EU7">
        <f ca="1"/>
      </c>
      <c r="EV7">
        <f ca="1"/>
      </c>
      <c r="EW7">
        <f ca="1"/>
      </c>
      <c r="EX7">
        <f ca="1"/>
      </c>
      <c r="EY7">
        <f ca="1"/>
      </c>
      <c r="EZ7">
        <f ca="1"/>
      </c>
      <c r="FA7">
        <f ca="1"/>
      </c>
      <c r="FC7">
        <f ca="1"/>
      </c>
      <c r="FD7">
        <f ca="1"/>
      </c>
      <c r="FE7">
        <f ca="1"/>
      </c>
      <c r="FF7">
        <f ca="1"/>
      </c>
      <c r="FG7">
        <f ca="1"/>
      </c>
      <c r="FH7">
        <f ca="1"/>
      </c>
      <c r="FI7">
        <f ca="1"/>
      </c>
      <c r="FJ7">
        <f ca="1"/>
      </c>
      <c r="FK7">
        <f ca="1"/>
      </c>
      <c r="FL7">
        <f ca="1"/>
      </c>
      <c r="FM7">
        <f ca="1"/>
      </c>
      <c r="FN7">
        <f ca="1"/>
      </c>
      <c r="FO7">
        <f ca="1"/>
      </c>
      <c r="FP7">
        <f ca="1"/>
      </c>
      <c r="FQ7">
        <f ca="1"/>
      </c>
      <c r="FR7">
        <f ca="1"/>
      </c>
      <c r="FS7">
        <f ca="1"/>
      </c>
      <c r="FT7">
        <f ca="1"/>
      </c>
      <c r="FU7">
        <f ca="1"/>
      </c>
      <c r="FV7">
        <f ca="1"/>
      </c>
      <c r="FW7">
        <f ca="1"/>
      </c>
      <c r="FX7">
        <f ca="1"/>
      </c>
      <c r="FY7">
        <f ca="1"/>
      </c>
      <c r="FZ7">
        <f ca="1"/>
      </c>
      <c r="GA7">
        <f ca="1"/>
      </c>
      <c r="GB7">
        <f ca="1"/>
      </c>
      <c r="GC7">
        <f ca="1"/>
      </c>
      <c r="GD7">
        <f ca="1"/>
      </c>
      <c r="GE7">
        <f ca="1"/>
      </c>
      <c r="GF7">
        <f ca="1"/>
      </c>
      <c r="GG7">
        <f ca="1"/>
      </c>
      <c r="GH7">
        <f ca="1"/>
      </c>
      <c r="GI7">
        <f ca="1"/>
      </c>
      <c r="GJ7">
        <f ca="1"/>
      </c>
      <c r="GK7">
        <f ca="1"/>
      </c>
      <c r="GL7">
        <f ca="1"/>
      </c>
      <c r="GM7">
        <f ca="1"/>
      </c>
      <c r="GN7">
        <f ca="1"/>
      </c>
      <c r="GO7">
        <f ca="1"/>
      </c>
      <c r="GP7">
        <f ca="1"/>
      </c>
      <c r="GQ7">
        <f ca="1"/>
      </c>
      <c r="GR7">
        <f ca="1"/>
      </c>
      <c r="GS7">
        <f ca="1"/>
      </c>
      <c r="GT7">
        <f ca="1"/>
      </c>
      <c r="GU7">
        <f ca="1"/>
      </c>
      <c r="GV7">
        <f ca="1"/>
      </c>
      <c r="GW7">
        <f ca="1"/>
      </c>
      <c r="GY7">
        <f>VALUE(_xlfn.TEXTBEFORE($A$15,"y"))</f>
      </c>
      <c r="GZ7">
        <f ca="1">$B$15</f>
      </c>
      <c r="HA7">
        <f ca="1">IFERROR($B$15-$G$15/100,NA())</f>
      </c>
      <c r="HB7">
        <f ca="1">$G$15</f>
      </c>
      <c r="HD7">
        <f>VALUE(_xlfn.TEXTBEFORE($A$32,"y"))</f>
      </c>
      <c r="HE7">
        <f ca="1">$B$32</f>
      </c>
      <c r="HF7">
        <f ca="1">IFERROR($B$32-$G$32/100,NA())</f>
      </c>
      <c r="HG7">
        <f ca="1">$G$32</f>
      </c>
      <c r="HI7" s="7">
        <f ca="1"/>
      </c>
      <c r="HJ7">
        <f ca="1"/>
      </c>
      <c r="HK7">
        <f ca="1"/>
      </c>
      <c r="HL7">
        <f ca="1"/>
      </c>
      <c r="HM7">
        <f ca="1"/>
      </c>
      <c r="HP7">
        <f ca="1"/>
      </c>
    </row>
    <row r="8" spans="1:224" x14ac:dyDescent="0.55000000000000004">
      <c r="A8" s="4" t="s">
        <v>264</v>
      </c>
      <c r="B8" s="2" t="s">
        <v>151</v>
      </c>
      <c r="C8" t="s">
        <v>265</v>
      </c>
      <c r="AW8">
        <f ca="1"/>
      </c>
      <c r="AX8">
        <f ca="1"/>
      </c>
      <c r="AY8">
        <f ca="1"/>
      </c>
      <c r="AZ8">
        <f ca="1"/>
      </c>
      <c r="BB8">
        <f ca="1"/>
      </c>
      <c r="BC8">
        <f ca="1"/>
      </c>
      <c r="BD8">
        <f ca="1"/>
      </c>
      <c r="BE8">
        <f ca="1"/>
      </c>
      <c r="BF8">
        <f ca="1"/>
      </c>
      <c r="BH8" t="s">
        <v>4</v>
      </c>
      <c r="BI8">
        <v>1</v>
      </c>
      <c r="BK8">
        <f ca="1"/>
      </c>
      <c r="BL8">
        <f ca="1"/>
      </c>
      <c r="BM8">
        <f ca="1"/>
      </c>
      <c r="BN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  <c r="BV8">
        <f ca="1"/>
      </c>
      <c r="BW8">
        <f ca="1"/>
      </c>
      <c r="BX8">
        <f ca="1"/>
      </c>
      <c r="BY8">
        <f ca="1"/>
      </c>
      <c r="BZ8">
        <f ca="1"/>
      </c>
      <c r="CA8">
        <f ca="1"/>
      </c>
      <c r="CB8">
        <f ca="1"/>
      </c>
      <c r="CC8">
        <f ca="1"/>
      </c>
      <c r="CD8">
        <f ca="1"/>
      </c>
      <c r="CE8">
        <f ca="1"/>
      </c>
      <c r="CF8">
        <f ca="1"/>
      </c>
      <c r="CG8">
        <f ca="1"/>
      </c>
      <c r="CH8">
        <f ca="1"/>
      </c>
      <c r="CI8">
        <f ca="1"/>
      </c>
      <c r="CJ8">
        <f ca="1"/>
      </c>
      <c r="CK8">
        <f ca="1"/>
      </c>
      <c r="CL8">
        <f ca="1"/>
      </c>
      <c r="CM8">
        <f ca="1"/>
      </c>
      <c r="CN8">
        <f ca="1"/>
      </c>
      <c r="CO8">
        <f ca="1"/>
      </c>
      <c r="CP8">
        <f ca="1"/>
      </c>
      <c r="CQ8">
        <f ca="1"/>
      </c>
      <c r="CR8">
        <f ca="1"/>
      </c>
      <c r="CS8">
        <f ca="1"/>
      </c>
      <c r="CT8">
        <f ca="1"/>
      </c>
      <c r="CU8">
        <f ca="1"/>
      </c>
      <c r="CV8">
        <f ca="1"/>
      </c>
      <c r="CW8">
        <f ca="1"/>
      </c>
      <c r="CX8">
        <f ca="1"/>
      </c>
      <c r="CY8">
        <f ca="1"/>
      </c>
      <c r="CZ8">
        <f ca="1"/>
      </c>
      <c r="DA8">
        <f ca="1"/>
      </c>
      <c r="DB8">
        <f ca="1"/>
      </c>
      <c r="DC8">
        <f ca="1"/>
      </c>
      <c r="DD8">
        <f ca="1"/>
      </c>
      <c r="DE8">
        <f ca="1"/>
      </c>
      <c r="DG8">
        <f ca="1"/>
      </c>
      <c r="DH8">
        <f ca="1"/>
      </c>
      <c r="DI8">
        <f ca="1"/>
      </c>
      <c r="DJ8">
        <f ca="1"/>
      </c>
      <c r="DK8">
        <f ca="1"/>
      </c>
      <c r="DL8">
        <f ca="1"/>
      </c>
      <c r="DM8">
        <f ca="1"/>
      </c>
      <c r="DN8">
        <f ca="1"/>
      </c>
      <c r="DO8">
        <f ca="1"/>
      </c>
      <c r="DP8">
        <f ca="1"/>
      </c>
      <c r="DQ8">
        <f ca="1"/>
      </c>
      <c r="DR8">
        <f ca="1"/>
      </c>
      <c r="DS8">
        <f ca="1"/>
      </c>
      <c r="DT8">
        <f ca="1"/>
      </c>
      <c r="DU8">
        <f ca="1"/>
      </c>
      <c r="DV8">
        <f ca="1"/>
      </c>
      <c r="DW8">
        <f ca="1"/>
      </c>
      <c r="DX8">
        <f ca="1"/>
      </c>
      <c r="DY8">
        <f ca="1"/>
      </c>
      <c r="DZ8">
        <f ca="1"/>
      </c>
      <c r="EA8">
        <f ca="1"/>
      </c>
      <c r="EB8">
        <f ca="1"/>
      </c>
      <c r="EC8">
        <f ca="1"/>
      </c>
      <c r="ED8">
        <f ca="1"/>
      </c>
      <c r="EE8">
        <f ca="1"/>
      </c>
      <c r="EF8">
        <f ca="1"/>
      </c>
      <c r="EG8">
        <f ca="1"/>
      </c>
      <c r="EH8">
        <f ca="1"/>
      </c>
      <c r="EI8">
        <f ca="1"/>
      </c>
      <c r="EJ8">
        <f ca="1"/>
      </c>
      <c r="EK8">
        <f ca="1"/>
      </c>
      <c r="EL8">
        <f ca="1"/>
      </c>
      <c r="EM8">
        <f ca="1"/>
      </c>
      <c r="EN8">
        <f ca="1"/>
      </c>
      <c r="EO8">
        <f ca="1"/>
      </c>
      <c r="EP8">
        <f ca="1"/>
      </c>
      <c r="EQ8">
        <f ca="1"/>
      </c>
      <c r="ER8">
        <f ca="1"/>
      </c>
      <c r="ES8">
        <f ca="1"/>
      </c>
      <c r="ET8">
        <f ca="1"/>
      </c>
      <c r="EU8">
        <f ca="1"/>
      </c>
      <c r="EV8">
        <f ca="1"/>
      </c>
      <c r="EW8">
        <f ca="1"/>
      </c>
      <c r="EX8">
        <f ca="1"/>
      </c>
      <c r="EY8">
        <f ca="1"/>
      </c>
      <c r="EZ8">
        <f ca="1"/>
      </c>
      <c r="FA8">
        <f ca="1"/>
      </c>
      <c r="FC8">
        <f ca="1"/>
      </c>
      <c r="FD8">
        <f ca="1"/>
      </c>
      <c r="FE8">
        <f ca="1"/>
      </c>
      <c r="FF8">
        <f ca="1"/>
      </c>
      <c r="FG8">
        <f ca="1"/>
      </c>
      <c r="FH8">
        <f ca="1"/>
      </c>
      <c r="FI8">
        <f ca="1"/>
      </c>
      <c r="FJ8">
        <f ca="1"/>
      </c>
      <c r="FK8">
        <f ca="1"/>
      </c>
      <c r="FL8">
        <f ca="1"/>
      </c>
      <c r="FM8">
        <f ca="1"/>
      </c>
      <c r="FN8">
        <f ca="1"/>
      </c>
      <c r="FO8">
        <f ca="1"/>
      </c>
      <c r="FP8">
        <f ca="1"/>
      </c>
      <c r="FQ8">
        <f ca="1"/>
      </c>
      <c r="FR8">
        <f ca="1"/>
      </c>
      <c r="FS8">
        <f ca="1"/>
      </c>
      <c r="FT8">
        <f ca="1"/>
      </c>
      <c r="FU8">
        <f ca="1"/>
      </c>
      <c r="FV8">
        <f ca="1"/>
      </c>
      <c r="FW8">
        <f ca="1"/>
      </c>
      <c r="FX8">
        <f ca="1"/>
      </c>
      <c r="FY8">
        <f ca="1"/>
      </c>
      <c r="FZ8">
        <f ca="1"/>
      </c>
      <c r="GA8">
        <f ca="1"/>
      </c>
      <c r="GB8">
        <f ca="1"/>
      </c>
      <c r="GC8">
        <f ca="1"/>
      </c>
      <c r="GD8">
        <f ca="1"/>
      </c>
      <c r="GE8">
        <f ca="1"/>
      </c>
      <c r="GF8">
        <f ca="1"/>
      </c>
      <c r="GG8">
        <f ca="1"/>
      </c>
      <c r="GH8">
        <f ca="1"/>
      </c>
      <c r="GI8">
        <f ca="1"/>
      </c>
      <c r="GJ8">
        <f ca="1"/>
      </c>
      <c r="GK8">
        <f ca="1"/>
      </c>
      <c r="GL8">
        <f ca="1"/>
      </c>
      <c r="GM8">
        <f ca="1"/>
      </c>
      <c r="GN8">
        <f ca="1"/>
      </c>
      <c r="GO8">
        <f ca="1"/>
      </c>
      <c r="GP8">
        <f ca="1"/>
      </c>
      <c r="GQ8">
        <f ca="1"/>
      </c>
      <c r="GR8">
        <f ca="1"/>
      </c>
      <c r="GS8">
        <f ca="1"/>
      </c>
      <c r="GT8">
        <f ca="1"/>
      </c>
      <c r="GU8">
        <f ca="1"/>
      </c>
      <c r="GV8">
        <f ca="1"/>
      </c>
      <c r="GW8">
        <f ca="1"/>
      </c>
      <c r="GY8">
        <f>VALUE(_xlfn.TEXTBEFORE($A$16,"y"))</f>
      </c>
      <c r="GZ8">
        <f ca="1">$B$16</f>
      </c>
      <c r="HA8">
        <f ca="1">IFERROR($B$16-$G$16/100,NA())</f>
      </c>
      <c r="HB8">
        <f ca="1">$G$16</f>
      </c>
      <c r="HD8">
        <f>VALUE(_xlfn.TEXTBEFORE($A$33,"y"))</f>
      </c>
      <c r="HE8">
        <f ca="1">$B$33</f>
      </c>
      <c r="HF8">
        <f ca="1">IFERROR($B$33-$G$33/100,NA())</f>
      </c>
      <c r="HG8">
        <f ca="1">$G$33</f>
      </c>
      <c r="HI8" s="7">
        <f ca="1"/>
      </c>
      <c r="HJ8">
        <f ca="1"/>
      </c>
      <c r="HK8">
        <f ca="1"/>
      </c>
      <c r="HL8">
        <f ca="1"/>
      </c>
      <c r="HM8">
        <f ca="1"/>
      </c>
      <c r="HP8">
        <f ca="1"/>
      </c>
    </row>
    <row r="9" spans="1:224" x14ac:dyDescent="0.55000000000000004">
      <c r="AW9">
        <f ca="1"/>
      </c>
      <c r="AX9">
        <f ca="1"/>
      </c>
      <c r="AY9">
        <f ca="1"/>
      </c>
      <c r="AZ9">
        <f ca="1"/>
      </c>
      <c r="BB9">
        <f ca="1"/>
      </c>
      <c r="BC9">
        <f ca="1"/>
      </c>
      <c r="BD9">
        <f ca="1"/>
      </c>
      <c r="BE9">
        <f ca="1"/>
      </c>
      <c r="BF9">
        <f ca="1"/>
      </c>
      <c r="BH9" t="s">
        <v>5</v>
      </c>
      <c r="BI9">
        <v>1</v>
      </c>
      <c r="BK9">
        <f ca="1"/>
      </c>
      <c r="BL9">
        <f ca="1"/>
      </c>
      <c r="BM9">
        <f ca="1"/>
      </c>
      <c r="BN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  <c r="BV9">
        <f ca="1"/>
      </c>
      <c r="BW9">
        <f ca="1"/>
      </c>
      <c r="BX9">
        <f ca="1"/>
      </c>
      <c r="BY9">
        <f ca="1"/>
      </c>
      <c r="BZ9">
        <f ca="1"/>
      </c>
      <c r="CA9">
        <f ca="1"/>
      </c>
      <c r="CB9">
        <f ca="1"/>
      </c>
      <c r="CC9">
        <f ca="1"/>
      </c>
      <c r="CD9">
        <f ca="1"/>
      </c>
      <c r="CE9">
        <f ca="1"/>
      </c>
      <c r="CF9">
        <f ca="1"/>
      </c>
      <c r="CG9">
        <f ca="1"/>
      </c>
      <c r="CH9">
        <f ca="1"/>
      </c>
      <c r="CI9">
        <f ca="1"/>
      </c>
      <c r="CJ9">
        <f ca="1"/>
      </c>
      <c r="CK9">
        <f ca="1"/>
      </c>
      <c r="CL9">
        <f ca="1"/>
      </c>
      <c r="CM9">
        <f ca="1"/>
      </c>
      <c r="CN9">
        <f ca="1"/>
      </c>
      <c r="CO9">
        <f ca="1"/>
      </c>
      <c r="CP9">
        <f ca="1"/>
      </c>
      <c r="CQ9">
        <f ca="1"/>
      </c>
      <c r="CR9">
        <f ca="1"/>
      </c>
      <c r="CS9">
        <f ca="1"/>
      </c>
      <c r="CT9">
        <f ca="1"/>
      </c>
      <c r="CU9">
        <f ca="1"/>
      </c>
      <c r="CV9">
        <f ca="1"/>
      </c>
      <c r="CW9">
        <f ca="1"/>
      </c>
      <c r="CX9">
        <f ca="1"/>
      </c>
      <c r="CY9">
        <f ca="1"/>
      </c>
      <c r="CZ9">
        <f ca="1"/>
      </c>
      <c r="DA9">
        <f ca="1"/>
      </c>
      <c r="DB9">
        <f ca="1"/>
      </c>
      <c r="DC9">
        <f ca="1"/>
      </c>
      <c r="DD9">
        <f ca="1"/>
      </c>
      <c r="DE9">
        <f ca="1"/>
      </c>
      <c r="DG9">
        <f ca="1"/>
      </c>
      <c r="DH9">
        <f ca="1"/>
      </c>
      <c r="DI9">
        <f ca="1"/>
      </c>
      <c r="DJ9">
        <f ca="1"/>
      </c>
      <c r="DK9">
        <f ca="1"/>
      </c>
      <c r="DL9">
        <f ca="1"/>
      </c>
      <c r="DM9">
        <f ca="1"/>
      </c>
      <c r="DN9">
        <f ca="1"/>
      </c>
      <c r="DO9">
        <f ca="1"/>
      </c>
      <c r="DP9">
        <f ca="1"/>
      </c>
      <c r="DQ9">
        <f ca="1"/>
      </c>
      <c r="DR9">
        <f ca="1"/>
      </c>
      <c r="DS9">
        <f ca="1"/>
      </c>
      <c r="DT9">
        <f ca="1"/>
      </c>
      <c r="DU9">
        <f ca="1"/>
      </c>
      <c r="DV9">
        <f ca="1"/>
      </c>
      <c r="DW9">
        <f ca="1"/>
      </c>
      <c r="DX9">
        <f ca="1"/>
      </c>
      <c r="DY9">
        <f ca="1"/>
      </c>
      <c r="DZ9">
        <f ca="1"/>
      </c>
      <c r="EA9">
        <f ca="1"/>
      </c>
      <c r="EB9">
        <f ca="1"/>
      </c>
      <c r="EC9">
        <f ca="1"/>
      </c>
      <c r="ED9">
        <f ca="1"/>
      </c>
      <c r="EE9">
        <f ca="1"/>
      </c>
      <c r="EF9">
        <f ca="1"/>
      </c>
      <c r="EG9">
        <f ca="1"/>
      </c>
      <c r="EH9">
        <f ca="1"/>
      </c>
      <c r="EI9">
        <f ca="1"/>
      </c>
      <c r="EJ9">
        <f ca="1"/>
      </c>
      <c r="EK9">
        <f ca="1"/>
      </c>
      <c r="EL9">
        <f ca="1"/>
      </c>
      <c r="EM9">
        <f ca="1"/>
      </c>
      <c r="EN9">
        <f ca="1"/>
      </c>
      <c r="EO9">
        <f ca="1"/>
      </c>
      <c r="EP9">
        <f ca="1"/>
      </c>
      <c r="EQ9">
        <f ca="1"/>
      </c>
      <c r="ER9">
        <f ca="1"/>
      </c>
      <c r="ES9">
        <f ca="1"/>
      </c>
      <c r="ET9">
        <f ca="1"/>
      </c>
      <c r="EU9">
        <f ca="1"/>
      </c>
      <c r="EV9">
        <f ca="1"/>
      </c>
      <c r="EW9">
        <f ca="1"/>
      </c>
      <c r="EX9">
        <f ca="1"/>
      </c>
      <c r="EY9">
        <f ca="1"/>
      </c>
      <c r="EZ9">
        <f ca="1"/>
      </c>
      <c r="FA9">
        <f ca="1"/>
      </c>
      <c r="FC9">
        <f ca="1"/>
      </c>
      <c r="FD9">
        <f ca="1"/>
      </c>
      <c r="FE9">
        <f ca="1"/>
      </c>
      <c r="FF9">
        <f ca="1"/>
      </c>
      <c r="FG9">
        <f ca="1"/>
      </c>
      <c r="FH9">
        <f ca="1"/>
      </c>
      <c r="FI9">
        <f ca="1"/>
      </c>
      <c r="FJ9">
        <f ca="1"/>
      </c>
      <c r="FK9">
        <f ca="1"/>
      </c>
      <c r="FL9">
        <f ca="1"/>
      </c>
      <c r="FM9">
        <f ca="1"/>
      </c>
      <c r="FN9">
        <f ca="1"/>
      </c>
      <c r="FO9">
        <f ca="1"/>
      </c>
      <c r="FP9">
        <f ca="1"/>
      </c>
      <c r="FQ9">
        <f ca="1"/>
      </c>
      <c r="FR9">
        <f ca="1"/>
      </c>
      <c r="FS9">
        <f ca="1"/>
      </c>
      <c r="FT9">
        <f ca="1"/>
      </c>
      <c r="FU9">
        <f ca="1"/>
      </c>
      <c r="FV9">
        <f ca="1"/>
      </c>
      <c r="FW9">
        <f ca="1"/>
      </c>
      <c r="FX9">
        <f ca="1"/>
      </c>
      <c r="FY9">
        <f ca="1"/>
      </c>
      <c r="FZ9">
        <f ca="1"/>
      </c>
      <c r="GA9">
        <f ca="1"/>
      </c>
      <c r="GB9">
        <f ca="1"/>
      </c>
      <c r="GC9">
        <f ca="1"/>
      </c>
      <c r="GD9">
        <f ca="1"/>
      </c>
      <c r="GE9">
        <f ca="1"/>
      </c>
      <c r="GF9">
        <f ca="1"/>
      </c>
      <c r="GG9">
        <f ca="1"/>
      </c>
      <c r="GH9">
        <f ca="1"/>
      </c>
      <c r="GI9">
        <f ca="1"/>
      </c>
      <c r="GJ9">
        <f ca="1"/>
      </c>
      <c r="GK9">
        <f ca="1"/>
      </c>
      <c r="GL9">
        <f ca="1"/>
      </c>
      <c r="GM9">
        <f ca="1"/>
      </c>
      <c r="GN9">
        <f ca="1"/>
      </c>
      <c r="GO9">
        <f ca="1"/>
      </c>
      <c r="GP9">
        <f ca="1"/>
      </c>
      <c r="GQ9">
        <f ca="1"/>
      </c>
      <c r="GR9">
        <f ca="1"/>
      </c>
      <c r="GS9">
        <f ca="1"/>
      </c>
      <c r="GT9">
        <f ca="1"/>
      </c>
      <c r="GU9">
        <f ca="1"/>
      </c>
      <c r="GV9">
        <f ca="1"/>
      </c>
      <c r="GW9">
        <f ca="1"/>
      </c>
      <c r="GY9">
        <f>VALUE(_xlfn.TEXTBEFORE($A$17,"y"))</f>
      </c>
      <c r="GZ9">
        <f ca="1">$B$17</f>
      </c>
      <c r="HA9">
        <f ca="1">IFERROR($B$17-$G$17/100,NA())</f>
      </c>
      <c r="HB9">
        <f ca="1">$G$17</f>
      </c>
      <c r="HD9">
        <f>VALUE(_xlfn.TEXTBEFORE($A$34,"y"))</f>
      </c>
      <c r="HE9">
        <f ca="1">$B$34</f>
      </c>
      <c r="HF9">
        <f ca="1">IFERROR($B$34-$G$34/100,NA())</f>
      </c>
      <c r="HG9">
        <f ca="1">$G$34</f>
      </c>
      <c r="HI9" s="7">
        <f ca="1"/>
      </c>
      <c r="HJ9">
        <f ca="1"/>
      </c>
      <c r="HK9">
        <f ca="1"/>
      </c>
      <c r="HL9">
        <f ca="1"/>
      </c>
      <c r="HM9">
        <f ca="1"/>
      </c>
      <c r="HP9">
        <f ca="1"/>
      </c>
    </row>
    <row r="10" spans="1:224" x14ac:dyDescent="0.55000000000000004">
      <c r="A10" s="4" t="s">
        <v>269</v>
      </c>
      <c r="G10" s="60" t="s">
        <v>454</v>
      </c>
      <c r="H10" s="61">
        <v>20</v>
      </c>
      <c r="I10" s="61">
        <v>50</v>
      </c>
      <c r="J10" s="61">
        <v>100</v>
      </c>
      <c r="L10" t="s">
        <v>455</v>
      </c>
      <c r="AW10">
        <f ca="1"/>
      </c>
      <c r="AX10">
        <f ca="1"/>
      </c>
      <c r="AY10">
        <f ca="1"/>
      </c>
      <c r="AZ10">
        <f ca="1"/>
      </c>
      <c r="BB10">
        <f ca="1"/>
      </c>
      <c r="BC10">
        <f ca="1"/>
      </c>
      <c r="BD10">
        <f ca="1"/>
      </c>
      <c r="BE10">
        <f ca="1"/>
      </c>
      <c r="BF10">
        <f ca="1"/>
      </c>
      <c r="BH10" t="s">
        <v>6</v>
      </c>
      <c r="BI10">
        <v>1</v>
      </c>
      <c r="BK10">
        <f ca="1"/>
      </c>
      <c r="BL10">
        <f ca="1"/>
      </c>
      <c r="BM10">
        <f ca="1"/>
      </c>
      <c r="BN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  <c r="BV10">
        <f ca="1"/>
      </c>
      <c r="BW10">
        <f ca="1"/>
      </c>
      <c r="BX10">
        <f ca="1"/>
      </c>
      <c r="BY10">
        <f ca="1"/>
      </c>
      <c r="BZ10">
        <f ca="1"/>
      </c>
      <c r="CA10">
        <f ca="1"/>
      </c>
      <c r="CB10">
        <f ca="1"/>
      </c>
      <c r="CC10">
        <f ca="1"/>
      </c>
      <c r="CD10">
        <f ca="1"/>
      </c>
      <c r="CE10">
        <f ca="1"/>
      </c>
      <c r="CF10">
        <f ca="1"/>
      </c>
      <c r="CG10">
        <f ca="1"/>
      </c>
      <c r="CH10">
        <f ca="1"/>
      </c>
      <c r="CI10">
        <f ca="1"/>
      </c>
      <c r="CJ10">
        <f ca="1"/>
      </c>
      <c r="CK10">
        <f ca="1"/>
      </c>
      <c r="CL10">
        <f ca="1"/>
      </c>
      <c r="CM10">
        <f ca="1"/>
      </c>
      <c r="CN10">
        <f ca="1"/>
      </c>
      <c r="CO10">
        <f ca="1"/>
      </c>
      <c r="CP10">
        <f ca="1"/>
      </c>
      <c r="CQ10">
        <f ca="1"/>
      </c>
      <c r="CR10">
        <f ca="1"/>
      </c>
      <c r="CS10">
        <f ca="1"/>
      </c>
      <c r="CT10">
        <f ca="1"/>
      </c>
      <c r="CU10">
        <f ca="1"/>
      </c>
      <c r="CV10">
        <f ca="1"/>
      </c>
      <c r="CW10">
        <f ca="1"/>
      </c>
      <c r="CX10">
        <f ca="1"/>
      </c>
      <c r="CY10">
        <f ca="1"/>
      </c>
      <c r="CZ10">
        <f ca="1"/>
      </c>
      <c r="DA10">
        <f ca="1"/>
      </c>
      <c r="DB10">
        <f ca="1"/>
      </c>
      <c r="DC10">
        <f ca="1"/>
      </c>
      <c r="DD10">
        <f ca="1"/>
      </c>
      <c r="DE10">
        <f ca="1"/>
      </c>
      <c r="DG10">
        <f ca="1"/>
      </c>
      <c r="DH10">
        <f ca="1"/>
      </c>
      <c r="DI10">
        <f ca="1"/>
      </c>
      <c r="DJ10">
        <f ca="1"/>
      </c>
      <c r="DK10">
        <f ca="1"/>
      </c>
      <c r="DL10">
        <f ca="1"/>
      </c>
      <c r="DM10">
        <f ca="1"/>
      </c>
      <c r="DN10">
        <f ca="1"/>
      </c>
      <c r="DO10">
        <f ca="1"/>
      </c>
      <c r="DP10">
        <f ca="1"/>
      </c>
      <c r="DQ10">
        <f ca="1"/>
      </c>
      <c r="DR10">
        <f ca="1"/>
      </c>
      <c r="DS10">
        <f ca="1"/>
      </c>
      <c r="DT10">
        <f ca="1"/>
      </c>
      <c r="DU10">
        <f ca="1"/>
      </c>
      <c r="DV10">
        <f ca="1"/>
      </c>
      <c r="DW10">
        <f ca="1"/>
      </c>
      <c r="DX10">
        <f ca="1"/>
      </c>
      <c r="DY10">
        <f ca="1"/>
      </c>
      <c r="DZ10">
        <f ca="1"/>
      </c>
      <c r="EA10">
        <f ca="1"/>
      </c>
      <c r="EB10">
        <f ca="1"/>
      </c>
      <c r="EC10">
        <f ca="1"/>
      </c>
      <c r="ED10">
        <f ca="1"/>
      </c>
      <c r="EE10">
        <f ca="1"/>
      </c>
      <c r="EF10">
        <f ca="1"/>
      </c>
      <c r="EG10">
        <f ca="1"/>
      </c>
      <c r="EH10">
        <f ca="1"/>
      </c>
      <c r="EI10">
        <f ca="1"/>
      </c>
      <c r="EJ10">
        <f ca="1"/>
      </c>
      <c r="EK10">
        <f ca="1"/>
      </c>
      <c r="EL10">
        <f ca="1"/>
      </c>
      <c r="EM10">
        <f ca="1"/>
      </c>
      <c r="EN10">
        <f ca="1"/>
      </c>
      <c r="EO10">
        <f ca="1"/>
      </c>
      <c r="EP10">
        <f ca="1"/>
      </c>
      <c r="EQ10">
        <f ca="1"/>
      </c>
      <c r="ER10">
        <f ca="1"/>
      </c>
      <c r="ES10">
        <f ca="1"/>
      </c>
      <c r="ET10">
        <f ca="1"/>
      </c>
      <c r="EU10">
        <f ca="1"/>
      </c>
      <c r="EV10">
        <f ca="1"/>
      </c>
      <c r="EW10">
        <f ca="1"/>
      </c>
      <c r="EX10">
        <f ca="1"/>
      </c>
      <c r="EY10">
        <f ca="1"/>
      </c>
      <c r="EZ10">
        <f ca="1"/>
      </c>
      <c r="FA10">
        <f ca="1"/>
      </c>
      <c r="FC10">
        <f ca="1"/>
      </c>
      <c r="FD10">
        <f ca="1"/>
      </c>
      <c r="FE10">
        <f ca="1"/>
      </c>
      <c r="FF10">
        <f ca="1"/>
      </c>
      <c r="FG10">
        <f ca="1"/>
      </c>
      <c r="FH10">
        <f ca="1"/>
      </c>
      <c r="FI10">
        <f ca="1"/>
      </c>
      <c r="FJ10">
        <f ca="1"/>
      </c>
      <c r="FK10">
        <f ca="1"/>
      </c>
      <c r="FL10">
        <f ca="1"/>
      </c>
      <c r="FM10">
        <f ca="1"/>
      </c>
      <c r="FN10">
        <f ca="1"/>
      </c>
      <c r="FO10">
        <f ca="1"/>
      </c>
      <c r="FP10">
        <f ca="1"/>
      </c>
      <c r="FQ10">
        <f ca="1"/>
      </c>
      <c r="FR10">
        <f ca="1"/>
      </c>
      <c r="FS10">
        <f ca="1"/>
      </c>
      <c r="FT10">
        <f ca="1"/>
      </c>
      <c r="FU10">
        <f ca="1"/>
      </c>
      <c r="FV10">
        <f ca="1"/>
      </c>
      <c r="FW10">
        <f ca="1"/>
      </c>
      <c r="FX10">
        <f ca="1"/>
      </c>
      <c r="FY10">
        <f ca="1"/>
      </c>
      <c r="FZ10">
        <f ca="1"/>
      </c>
      <c r="GA10">
        <f ca="1"/>
      </c>
      <c r="GB10">
        <f ca="1"/>
      </c>
      <c r="GC10">
        <f ca="1"/>
      </c>
      <c r="GD10">
        <f ca="1"/>
      </c>
      <c r="GE10">
        <f ca="1"/>
      </c>
      <c r="GF10">
        <f ca="1"/>
      </c>
      <c r="GG10">
        <f ca="1"/>
      </c>
      <c r="GH10">
        <f ca="1"/>
      </c>
      <c r="GI10">
        <f ca="1"/>
      </c>
      <c r="GJ10">
        <f ca="1"/>
      </c>
      <c r="GK10">
        <f ca="1"/>
      </c>
      <c r="GL10">
        <f ca="1"/>
      </c>
      <c r="GM10">
        <f ca="1"/>
      </c>
      <c r="GN10">
        <f ca="1"/>
      </c>
      <c r="GO10">
        <f ca="1"/>
      </c>
      <c r="GP10">
        <f ca="1"/>
      </c>
      <c r="GQ10">
        <f ca="1"/>
      </c>
      <c r="GR10">
        <f ca="1"/>
      </c>
      <c r="GS10">
        <f ca="1"/>
      </c>
      <c r="GT10">
        <f ca="1"/>
      </c>
      <c r="GU10">
        <f ca="1"/>
      </c>
      <c r="GV10">
        <f ca="1"/>
      </c>
      <c r="GW10">
        <f ca="1"/>
      </c>
      <c r="GY10">
        <f>VALUE(_xlfn.TEXTBEFORE($A$18,"y"))</f>
      </c>
      <c r="GZ10">
        <f ca="1">$B$18</f>
      </c>
      <c r="HA10">
        <f ca="1">IFERROR($B$18-$G$18/100,NA())</f>
      </c>
      <c r="HB10">
        <f ca="1">$G$18</f>
      </c>
      <c r="HD10">
        <f>VALUE(_xlfn.TEXTBEFORE($A$35,"y"))</f>
      </c>
      <c r="HE10">
        <f ca="1">$B$35</f>
      </c>
      <c r="HF10">
        <f ca="1">IFERROR($B$35-$G$35/100,NA())</f>
      </c>
      <c r="HG10">
        <f ca="1">$G$35</f>
      </c>
      <c r="HI10" s="7">
        <f ca="1"/>
      </c>
      <c r="HJ10">
        <f ca="1"/>
      </c>
      <c r="HK10">
        <f ca="1"/>
      </c>
      <c r="HL10">
        <f ca="1"/>
      </c>
      <c r="HM10">
        <f ca="1"/>
      </c>
      <c r="HP10">
        <f ca="1"/>
      </c>
    </row>
    <row r="11" spans="1:224" x14ac:dyDescent="0.55000000000000004">
      <c r="A11" s="4" t="s">
        <v>270</v>
      </c>
      <c r="B11" s="4" t="s">
        <v>271</v>
      </c>
      <c r="C11" s="4" t="s">
        <v>272</v>
      </c>
      <c r="D11" s="4" t="s">
        <v>450</v>
      </c>
      <c r="E11" s="4" t="s">
        <v>451</v>
      </c>
      <c r="F11" s="4" t="s">
        <v>452</v>
      </c>
      <c r="G11" s="4" t="s">
        <v>453</v>
      </c>
      <c r="H11" s="4">
        <f ca="1">"Z 1D ("&amp;H$10&amp;")"</f>
      </c>
      <c r="I11" s="4">
        <f ca="1">"Z 1D ("&amp;I$10&amp;")"</f>
      </c>
      <c r="J11" s="4">
        <f ca="1">"Z 1D ("&amp;J$10&amp;")"</f>
      </c>
      <c r="L11" s="62" cm="1">
        <f t="array" aca="1" ref="L11:AE11" ca="1">_xlfn.HSTACK(TODAY(),INDEX(_xlfn.TAKE(FWM_Dates,-19),_xlfn.SEQUENCE(1,19,19,-1)))</f>
      </c>
      <c r="M11" s="62">
        <f ca="1"/>
      </c>
      <c r="N11" s="62">
        <f ca="1"/>
      </c>
      <c r="O11" s="62">
        <f ca="1"/>
      </c>
      <c r="P11" s="62">
        <f ca="1"/>
      </c>
      <c r="Q11" s="62">
        <f ca="1"/>
      </c>
      <c r="R11" s="62">
        <f ca="1"/>
      </c>
      <c r="S11" s="62">
        <f ca="1"/>
      </c>
      <c r="T11" s="62">
        <f ca="1"/>
      </c>
      <c r="U11" s="62">
        <f ca="1"/>
      </c>
      <c r="V11" s="62">
        <f ca="1"/>
      </c>
      <c r="W11" s="62">
        <f ca="1"/>
      </c>
      <c r="X11" s="62">
        <f ca="1"/>
      </c>
      <c r="Y11" s="62">
        <f ca="1"/>
      </c>
      <c r="Z11" s="62">
        <f ca="1"/>
      </c>
      <c r="AA11" s="62">
        <f ca="1"/>
      </c>
      <c r="AB11" s="62">
        <f ca="1"/>
      </c>
      <c r="AC11" s="62">
        <f ca="1"/>
      </c>
      <c r="AD11" s="62">
        <f ca="1"/>
      </c>
      <c r="AE11" s="62">
        <f ca="1"/>
      </c>
      <c r="AW11">
        <f ca="1"/>
      </c>
      <c r="AX11">
        <f ca="1"/>
      </c>
      <c r="AY11">
        <f ca="1"/>
      </c>
      <c r="AZ11">
        <f ca="1"/>
      </c>
      <c r="BB11">
        <f ca="1"/>
      </c>
      <c r="BC11">
        <f ca="1"/>
      </c>
      <c r="BD11">
        <f ca="1"/>
      </c>
      <c r="BE11">
        <f ca="1"/>
      </c>
      <c r="BF11">
        <f ca="1"/>
      </c>
      <c r="BH11" t="s">
        <v>7</v>
      </c>
      <c r="BI11">
        <v>1</v>
      </c>
      <c r="BK11">
        <f ca="1"/>
      </c>
      <c r="BL11">
        <f ca="1"/>
      </c>
      <c r="BM11">
        <f ca="1"/>
      </c>
      <c r="BN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  <c r="BV11">
        <f ca="1"/>
      </c>
      <c r="BW11">
        <f ca="1"/>
      </c>
      <c r="BX11">
        <f ca="1"/>
      </c>
      <c r="BY11">
        <f ca="1"/>
      </c>
      <c r="BZ11">
        <f ca="1"/>
      </c>
      <c r="CA11">
        <f ca="1"/>
      </c>
      <c r="CB11">
        <f ca="1"/>
      </c>
      <c r="CC11">
        <f ca="1"/>
      </c>
      <c r="CD11">
        <f ca="1"/>
      </c>
      <c r="CE11">
        <f ca="1"/>
      </c>
      <c r="CF11">
        <f ca="1"/>
      </c>
      <c r="CG11">
        <f ca="1"/>
      </c>
      <c r="CH11">
        <f ca="1"/>
      </c>
      <c r="CI11">
        <f ca="1"/>
      </c>
      <c r="CJ11">
        <f ca="1"/>
      </c>
      <c r="CK11">
        <f ca="1"/>
      </c>
      <c r="CL11">
        <f ca="1"/>
      </c>
      <c r="CM11">
        <f ca="1"/>
      </c>
      <c r="CN11">
        <f ca="1"/>
      </c>
      <c r="CO11">
        <f ca="1"/>
      </c>
      <c r="CP11">
        <f ca="1"/>
      </c>
      <c r="CQ11">
        <f ca="1"/>
      </c>
      <c r="CR11">
        <f ca="1"/>
      </c>
      <c r="CS11">
        <f ca="1"/>
      </c>
      <c r="CT11">
        <f ca="1"/>
      </c>
      <c r="CU11">
        <f ca="1"/>
      </c>
      <c r="CV11">
        <f ca="1"/>
      </c>
      <c r="CW11">
        <f ca="1"/>
      </c>
      <c r="CX11">
        <f ca="1"/>
      </c>
      <c r="CY11">
        <f ca="1"/>
      </c>
      <c r="CZ11">
        <f ca="1"/>
      </c>
      <c r="DA11">
        <f ca="1"/>
      </c>
      <c r="DB11">
        <f ca="1"/>
      </c>
      <c r="DC11">
        <f ca="1"/>
      </c>
      <c r="DD11">
        <f ca="1"/>
      </c>
      <c r="DE11">
        <f ca="1"/>
      </c>
      <c r="DG11">
        <f ca="1"/>
      </c>
      <c r="DH11">
        <f ca="1"/>
      </c>
      <c r="DI11">
        <f ca="1"/>
      </c>
      <c r="DJ11">
        <f ca="1"/>
      </c>
      <c r="DK11">
        <f ca="1"/>
      </c>
      <c r="DL11">
        <f ca="1"/>
      </c>
      <c r="DM11">
        <f ca="1"/>
      </c>
      <c r="DN11">
        <f ca="1"/>
      </c>
      <c r="DO11">
        <f ca="1"/>
      </c>
      <c r="DP11">
        <f ca="1"/>
      </c>
      <c r="DQ11">
        <f ca="1"/>
      </c>
      <c r="DR11">
        <f ca="1"/>
      </c>
      <c r="DS11">
        <f ca="1"/>
      </c>
      <c r="DT11">
        <f ca="1"/>
      </c>
      <c r="DU11">
        <f ca="1"/>
      </c>
      <c r="DV11">
        <f ca="1"/>
      </c>
      <c r="DW11">
        <f ca="1"/>
      </c>
      <c r="DX11">
        <f ca="1"/>
      </c>
      <c r="DY11">
        <f ca="1"/>
      </c>
      <c r="DZ11">
        <f ca="1"/>
      </c>
      <c r="EA11">
        <f ca="1"/>
      </c>
      <c r="EB11">
        <f ca="1"/>
      </c>
      <c r="EC11">
        <f ca="1"/>
      </c>
      <c r="ED11">
        <f ca="1"/>
      </c>
      <c r="EE11">
        <f ca="1"/>
      </c>
      <c r="EF11">
        <f ca="1"/>
      </c>
      <c r="EG11">
        <f ca="1"/>
      </c>
      <c r="EH11">
        <f ca="1"/>
      </c>
      <c r="EI11">
        <f ca="1"/>
      </c>
      <c r="EJ11">
        <f ca="1"/>
      </c>
      <c r="EK11">
        <f ca="1"/>
      </c>
      <c r="EL11">
        <f ca="1"/>
      </c>
      <c r="EM11">
        <f ca="1"/>
      </c>
      <c r="EN11">
        <f ca="1"/>
      </c>
      <c r="EO11">
        <f ca="1"/>
      </c>
      <c r="EP11">
        <f ca="1"/>
      </c>
      <c r="EQ11">
        <f ca="1"/>
      </c>
      <c r="ER11">
        <f ca="1"/>
      </c>
      <c r="ES11">
        <f ca="1"/>
      </c>
      <c r="ET11">
        <f ca="1"/>
      </c>
      <c r="EU11">
        <f ca="1"/>
      </c>
      <c r="EV11">
        <f ca="1"/>
      </c>
      <c r="EW11">
        <f ca="1"/>
      </c>
      <c r="EX11">
        <f ca="1"/>
      </c>
      <c r="EY11">
        <f ca="1"/>
      </c>
      <c r="EZ11">
        <f ca="1"/>
      </c>
      <c r="FA11">
        <f ca="1"/>
      </c>
      <c r="FC11">
        <f ca="1"/>
      </c>
      <c r="FD11">
        <f ca="1"/>
      </c>
      <c r="FE11">
        <f ca="1"/>
      </c>
      <c r="FF11">
        <f ca="1"/>
      </c>
      <c r="FG11">
        <f ca="1"/>
      </c>
      <c r="FH11">
        <f ca="1"/>
      </c>
      <c r="FI11">
        <f ca="1"/>
      </c>
      <c r="FJ11">
        <f ca="1"/>
      </c>
      <c r="FK11">
        <f ca="1"/>
      </c>
      <c r="FL11">
        <f ca="1"/>
      </c>
      <c r="FM11">
        <f ca="1"/>
      </c>
      <c r="FN11">
        <f ca="1"/>
      </c>
      <c r="FO11">
        <f ca="1"/>
      </c>
      <c r="FP11">
        <f ca="1"/>
      </c>
      <c r="FQ11">
        <f ca="1"/>
      </c>
      <c r="FR11">
        <f ca="1"/>
      </c>
      <c r="FS11">
        <f ca="1"/>
      </c>
      <c r="FT11">
        <f ca="1"/>
      </c>
      <c r="FU11">
        <f ca="1"/>
      </c>
      <c r="FV11">
        <f ca="1"/>
      </c>
      <c r="FW11">
        <f ca="1"/>
      </c>
      <c r="FX11">
        <f ca="1"/>
      </c>
      <c r="FY11">
        <f ca="1"/>
      </c>
      <c r="FZ11">
        <f ca="1"/>
      </c>
      <c r="GA11">
        <f ca="1"/>
      </c>
      <c r="GB11">
        <f ca="1"/>
      </c>
      <c r="GC11">
        <f ca="1"/>
      </c>
      <c r="GD11">
        <f ca="1"/>
      </c>
      <c r="GE11">
        <f ca="1"/>
      </c>
      <c r="GF11">
        <f ca="1"/>
      </c>
      <c r="GG11">
        <f ca="1"/>
      </c>
      <c r="GH11">
        <f ca="1"/>
      </c>
      <c r="GI11">
        <f ca="1"/>
      </c>
      <c r="GJ11">
        <f ca="1"/>
      </c>
      <c r="GK11">
        <f ca="1"/>
      </c>
      <c r="GL11">
        <f ca="1"/>
      </c>
      <c r="GM11">
        <f ca="1"/>
      </c>
      <c r="GN11">
        <f ca="1"/>
      </c>
      <c r="GO11">
        <f ca="1"/>
      </c>
      <c r="GP11">
        <f ca="1"/>
      </c>
      <c r="GQ11">
        <f ca="1"/>
      </c>
      <c r="GR11">
        <f ca="1"/>
      </c>
      <c r="GS11">
        <f ca="1"/>
      </c>
      <c r="GT11">
        <f ca="1"/>
      </c>
      <c r="GU11">
        <f ca="1"/>
      </c>
      <c r="GV11">
        <f ca="1"/>
      </c>
      <c r="GW11">
        <f ca="1"/>
      </c>
      <c r="GY11">
        <f>VALUE(_xlfn.TEXTBEFORE($A$19,"y"))</f>
      </c>
      <c r="GZ11">
        <f ca="1">$B$19</f>
      </c>
      <c r="HA11">
        <f ca="1">IFERROR($B$19-$G$19/100,NA())</f>
      </c>
      <c r="HB11">
        <f ca="1">$G$19</f>
      </c>
      <c r="HI11" s="7">
        <f ca="1"/>
      </c>
      <c r="HJ11">
        <f ca="1"/>
      </c>
      <c r="HK11">
        <f ca="1"/>
      </c>
      <c r="HL11">
        <f ca="1"/>
      </c>
      <c r="HM11">
        <f ca="1"/>
      </c>
      <c r="HP11">
        <f ca="1"/>
      </c>
    </row>
    <row r="12" spans="1:224" x14ac:dyDescent="0.55000000000000004">
      <c r="A12" t="s">
        <v>278</v>
      </c>
      <c r="B12" s="13" cm="1">
        <f t="array" aca="1" ref="B12" ca="1">_xlfn.XLOOKUP($A12,_xlfn.ANCHORARRAY($HO$4),_xlfn.ANCHORARRAY($HP$4),"")</f>
      </c>
      <c r="C12" s="13" cm="1">
        <f t="array" aca="1" ref="C12" ca="1">_xlfn.LET(_xlpm.h,FWM_HC,_xlpm.c,_xlfn.XMATCH($A12,_xlfn.TAKE(_xlpm.h,1)),INDEX(_xlpm.h,ROWS(_xlpm.h),_xlpm.c))</f>
      </c>
      <c r="D12" s="44" cm="1">
        <f t="array" aca="1" ref="D12" ca="1">_xlfn.LET(_xlpm.h,FWM_HC,_xlpm.c,_xlfn.XMATCH($A12,_xlfn.TAKE(_xlpm.h,1)),(B12-INDEX(_xlpm.h,ROWS(_xlpm.h)-4,_xlpm.c))*100)</f>
      </c>
      <c r="E12" s="44" cm="1">
        <f t="array" aca="1" ref="E12" ca="1">_xlfn.LET(_xlpm.h,FWM_HC,_xlpm.c,_xlfn.XMATCH($A12,_xlfn.TAKE(_xlpm.h,1)),(B12-INDEX(_xlpm.h,ROWS(_xlpm.h)-20,_xlpm.c))*100)</f>
      </c>
      <c r="F12" s="44" cm="1">
        <f t="array" aca="1" ref="F12" ca="1">_xlfn.LET(_xlpm.h,FWM_HC,_xlpm.c,_xlfn.XMATCH($A12,_xlfn.TAKE(_xlpm.h,1)),(B12-_xlfn.XLOOKUP(FWM_Cmp,_xlfn.DROP(INDEX(_xlpm.h,,1),1),_xlfn.DROP(INDEX(_xlpm.h,,_xlpm.c),1),"",-1))*100)</f>
      </c>
      <c r="G12" s="44">
        <f ca="1">IF(ISNUMBER(B11),(B12-B11)*100,"")</f>
      </c>
      <c r="H12" s="45">
        <f ca="1">_xlfn.LET(_xlpm.h,FWM_HC,_xlpm.d,_xlfn.DROP(INDEX(_xlpm.h,,_xlfn.XMATCH($A12&amp;" dF",_xlfn.TAKE(_xlpm.h,1))),1),_xlpm.t,_xlfn.TAKE(_xlpm.d,-H$10),$L12/SQRT(SUMSQ(_xlpm.t)/ROWS(_xlpm.t)))</f>
      </c>
      <c r="I12" s="45">
        <f ca="1">_xlfn.LET(_xlpm.h,FWM_HC,_xlpm.d,_xlfn.DROP(INDEX(_xlpm.h,,_xlfn.XMATCH($A12&amp;" dF",_xlfn.TAKE(_xlpm.h,1))),1),_xlpm.t,_xlfn.TAKE(_xlpm.d,-I$10),$L12/SQRT(SUMSQ(_xlpm.t)/ROWS(_xlpm.t)))</f>
      </c>
      <c r="J12" s="45">
        <f ca="1">_xlfn.LET(_xlpm.h,FWM_HC,_xlpm.d,_xlfn.DROP(INDEX(_xlpm.h,,_xlfn.XMATCH($A12&amp;" dF",_xlfn.TAKE(_xlpm.h,1))),1),_xlpm.t,_xlfn.TAKE(_xlpm.d,-J$10),$L12/SQRT(SUMSQ(_xlpm.t)/ROWS(_xlpm.t)))</f>
      </c>
      <c r="L12" s="44" cm="1">
        <f t="array" aca="1" ref="L12:AE12" ca="1">_xlfn.LET(_xlpm.h,FWM_HC,_xlpm.c,_xlfn.XMATCH($A12,_xlfn.TAKE(_xlpm.h,1)),_xlpm.v,_xlfn.VSTACK(_xlfn.TAKE(_xlfn.DROP(INDEX(_xlpm.h,,_xlpm.c),1),-20),$B12),_xlpm.d,(_xlfn.DROP(_xlpm.v,1)-_xlfn.DROP(_xlpm.v,-1))*100,INDEX(_xlpm.d,_xlfn.SEQUENCE(1,20,20,-1)))</f>
      </c>
      <c r="M12" s="44">
        <f ca="1"/>
      </c>
      <c r="N12" s="44">
        <f ca="1"/>
      </c>
      <c r="O12" s="44">
        <f ca="1"/>
      </c>
      <c r="P12" s="44">
        <f ca="1"/>
      </c>
      <c r="Q12" s="44">
        <f ca="1"/>
      </c>
      <c r="R12" s="44">
        <f ca="1"/>
      </c>
      <c r="S12" s="44">
        <f ca="1"/>
      </c>
      <c r="T12" s="44">
        <f ca="1"/>
      </c>
      <c r="U12" s="44">
        <f ca="1"/>
      </c>
      <c r="V12" s="44">
        <f ca="1"/>
      </c>
      <c r="W12" s="44">
        <f ca="1"/>
      </c>
      <c r="X12" s="44">
        <f ca="1"/>
      </c>
      <c r="Y12" s="44">
        <f ca="1"/>
      </c>
      <c r="Z12" s="44">
        <f ca="1"/>
      </c>
      <c r="AA12" s="44">
        <f ca="1"/>
      </c>
      <c r="AB12" s="44">
        <f ca="1"/>
      </c>
      <c r="AC12" s="44">
        <f ca="1"/>
      </c>
      <c r="AD12" s="44">
        <f ca="1"/>
      </c>
      <c r="AE12" s="44">
        <f ca="1"/>
      </c>
      <c r="AW12">
        <f ca="1"/>
      </c>
      <c r="AX12">
        <f ca="1"/>
      </c>
      <c r="AY12">
        <f ca="1"/>
      </c>
      <c r="AZ12">
        <f ca="1"/>
      </c>
      <c r="BB12">
        <f ca="1"/>
      </c>
      <c r="BC12">
        <f ca="1"/>
      </c>
      <c r="BD12">
        <f ca="1"/>
      </c>
      <c r="BE12">
        <f ca="1"/>
      </c>
      <c r="BF12">
        <f ca="1"/>
      </c>
      <c r="BH12" t="s">
        <v>8</v>
      </c>
      <c r="BI12">
        <v>1</v>
      </c>
      <c r="BK12">
        <f ca="1"/>
      </c>
      <c r="BL12">
        <f ca="1"/>
      </c>
      <c r="BM12">
        <f ca="1"/>
      </c>
      <c r="BN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  <c r="BV12">
        <f ca="1"/>
      </c>
      <c r="BW12">
        <f ca="1"/>
      </c>
      <c r="BX12">
        <f ca="1"/>
      </c>
      <c r="BY12">
        <f ca="1"/>
      </c>
      <c r="BZ12">
        <f ca="1"/>
      </c>
      <c r="CA12">
        <f ca="1"/>
      </c>
      <c r="CB12">
        <f ca="1"/>
      </c>
      <c r="CC12">
        <f ca="1"/>
      </c>
      <c r="CD12">
        <f ca="1"/>
      </c>
      <c r="CE12">
        <f ca="1"/>
      </c>
      <c r="CF12">
        <f ca="1"/>
      </c>
      <c r="CG12">
        <f ca="1"/>
      </c>
      <c r="CH12">
        <f ca="1"/>
      </c>
      <c r="CI12">
        <f ca="1"/>
      </c>
      <c r="CJ12">
        <f ca="1"/>
      </c>
      <c r="CK12">
        <f ca="1"/>
      </c>
      <c r="CL12">
        <f ca="1"/>
      </c>
      <c r="CM12">
        <f ca="1"/>
      </c>
      <c r="CN12">
        <f ca="1"/>
      </c>
      <c r="CO12">
        <f ca="1"/>
      </c>
      <c r="CP12">
        <f ca="1"/>
      </c>
      <c r="CQ12">
        <f ca="1"/>
      </c>
      <c r="CR12">
        <f ca="1"/>
      </c>
      <c r="CS12">
        <f ca="1"/>
      </c>
      <c r="CT12">
        <f ca="1"/>
      </c>
      <c r="CU12">
        <f ca="1"/>
      </c>
      <c r="CV12">
        <f ca="1"/>
      </c>
      <c r="CW12">
        <f ca="1"/>
      </c>
      <c r="CX12">
        <f ca="1"/>
      </c>
      <c r="CY12">
        <f ca="1"/>
      </c>
      <c r="CZ12">
        <f ca="1"/>
      </c>
      <c r="DA12">
        <f ca="1"/>
      </c>
      <c r="DB12">
        <f ca="1"/>
      </c>
      <c r="DC12">
        <f ca="1"/>
      </c>
      <c r="DD12">
        <f ca="1"/>
      </c>
      <c r="DE12">
        <f ca="1"/>
      </c>
      <c r="DG12">
        <f ca="1"/>
      </c>
      <c r="DH12">
        <f ca="1"/>
      </c>
      <c r="DI12">
        <f ca="1"/>
      </c>
      <c r="DJ12">
        <f ca="1"/>
      </c>
      <c r="DK12">
        <f ca="1"/>
      </c>
      <c r="DL12">
        <f ca="1"/>
      </c>
      <c r="DM12">
        <f ca="1"/>
      </c>
      <c r="DN12">
        <f ca="1"/>
      </c>
      <c r="DO12">
        <f ca="1"/>
      </c>
      <c r="DP12">
        <f ca="1"/>
      </c>
      <c r="DQ12">
        <f ca="1"/>
      </c>
      <c r="DR12">
        <f ca="1"/>
      </c>
      <c r="DS12">
        <f ca="1"/>
      </c>
      <c r="DT12">
        <f ca="1"/>
      </c>
      <c r="DU12">
        <f ca="1"/>
      </c>
      <c r="DV12">
        <f ca="1"/>
      </c>
      <c r="DW12">
        <f ca="1"/>
      </c>
      <c r="DX12">
        <f ca="1"/>
      </c>
      <c r="DY12">
        <f ca="1"/>
      </c>
      <c r="DZ12">
        <f ca="1"/>
      </c>
      <c r="EA12">
        <f ca="1"/>
      </c>
      <c r="EB12">
        <f ca="1"/>
      </c>
      <c r="EC12">
        <f ca="1"/>
      </c>
      <c r="ED12">
        <f ca="1"/>
      </c>
      <c r="EE12">
        <f ca="1"/>
      </c>
      <c r="EF12">
        <f ca="1"/>
      </c>
      <c r="EG12">
        <f ca="1"/>
      </c>
      <c r="EH12">
        <f ca="1"/>
      </c>
      <c r="EI12">
        <f ca="1"/>
      </c>
      <c r="EJ12">
        <f ca="1"/>
      </c>
      <c r="EK12">
        <f ca="1"/>
      </c>
      <c r="EL12">
        <f ca="1"/>
      </c>
      <c r="EM12">
        <f ca="1"/>
      </c>
      <c r="EN12">
        <f ca="1"/>
      </c>
      <c r="EO12">
        <f ca="1"/>
      </c>
      <c r="EP12">
        <f ca="1"/>
      </c>
      <c r="EQ12">
        <f ca="1"/>
      </c>
      <c r="ER12">
        <f ca="1"/>
      </c>
      <c r="ES12">
        <f ca="1"/>
      </c>
      <c r="ET12">
        <f ca="1"/>
      </c>
      <c r="EU12">
        <f ca="1"/>
      </c>
      <c r="EV12">
        <f ca="1"/>
      </c>
      <c r="EW12">
        <f ca="1"/>
      </c>
      <c r="EX12">
        <f ca="1"/>
      </c>
      <c r="EY12">
        <f ca="1"/>
      </c>
      <c r="EZ12">
        <f ca="1"/>
      </c>
      <c r="FA12">
        <f ca="1"/>
      </c>
      <c r="FC12">
        <f ca="1"/>
      </c>
      <c r="FD12">
        <f ca="1"/>
      </c>
      <c r="FE12">
        <f ca="1"/>
      </c>
      <c r="FF12">
        <f ca="1"/>
      </c>
      <c r="FG12">
        <f ca="1"/>
      </c>
      <c r="FH12">
        <f ca="1"/>
      </c>
      <c r="FI12">
        <f ca="1"/>
      </c>
      <c r="FJ12">
        <f ca="1"/>
      </c>
      <c r="FK12">
        <f ca="1"/>
      </c>
      <c r="FL12">
        <f ca="1"/>
      </c>
      <c r="FM12">
        <f ca="1"/>
      </c>
      <c r="FN12">
        <f ca="1"/>
      </c>
      <c r="FO12">
        <f ca="1"/>
      </c>
      <c r="FP12">
        <f ca="1"/>
      </c>
      <c r="FQ12">
        <f ca="1"/>
      </c>
      <c r="FR12">
        <f ca="1"/>
      </c>
      <c r="FS12">
        <f ca="1"/>
      </c>
      <c r="FT12">
        <f ca="1"/>
      </c>
      <c r="FU12">
        <f ca="1"/>
      </c>
      <c r="FV12">
        <f ca="1"/>
      </c>
      <c r="FW12">
        <f ca="1"/>
      </c>
      <c r="FX12">
        <f ca="1"/>
      </c>
      <c r="FY12">
        <f ca="1"/>
      </c>
      <c r="FZ12">
        <f ca="1"/>
      </c>
      <c r="GA12">
        <f ca="1"/>
      </c>
      <c r="GB12">
        <f ca="1"/>
      </c>
      <c r="GC12">
        <f ca="1"/>
      </c>
      <c r="GD12">
        <f ca="1"/>
      </c>
      <c r="GE12">
        <f ca="1"/>
      </c>
      <c r="GF12">
        <f ca="1"/>
      </c>
      <c r="GG12">
        <f ca="1"/>
      </c>
      <c r="GH12">
        <f ca="1"/>
      </c>
      <c r="GI12">
        <f ca="1"/>
      </c>
      <c r="GJ12">
        <f ca="1"/>
      </c>
      <c r="GK12">
        <f ca="1"/>
      </c>
      <c r="GL12">
        <f ca="1"/>
      </c>
      <c r="GM12">
        <f ca="1"/>
      </c>
      <c r="GN12">
        <f ca="1"/>
      </c>
      <c r="GO12">
        <f ca="1"/>
      </c>
      <c r="GP12">
        <f ca="1"/>
      </c>
      <c r="GQ12">
        <f ca="1"/>
      </c>
      <c r="GR12">
        <f ca="1"/>
      </c>
      <c r="GS12">
        <f ca="1"/>
      </c>
      <c r="GT12">
        <f ca="1"/>
      </c>
      <c r="GU12">
        <f ca="1"/>
      </c>
      <c r="GV12">
        <f ca="1"/>
      </c>
      <c r="GW12">
        <f ca="1"/>
      </c>
      <c r="GY12">
        <f>VALUE(_xlfn.TEXTBEFORE($A$20,"y"))</f>
      </c>
      <c r="GZ12">
        <f ca="1">$B$20</f>
      </c>
      <c r="HA12">
        <f ca="1">IFERROR($B$20-$G$20/100,NA())</f>
      </c>
      <c r="HB12">
        <f ca="1">$G$20</f>
      </c>
      <c r="HI12" s="7">
        <f ca="1"/>
      </c>
      <c r="HJ12">
        <f ca="1"/>
      </c>
      <c r="HK12">
        <f ca="1"/>
      </c>
      <c r="HL12">
        <f ca="1"/>
      </c>
      <c r="HM12">
        <f ca="1"/>
      </c>
      <c r="HP12">
        <f ca="1"/>
      </c>
    </row>
    <row r="13" spans="1:224" x14ac:dyDescent="0.55000000000000004">
      <c r="A13" t="s">
        <v>279</v>
      </c>
      <c r="B13" s="13" cm="1">
        <f t="array" aca="1" ref="B13" ca="1">_xlfn.XLOOKUP($A13,_xlfn.ANCHORARRAY($HO$4),_xlfn.ANCHORARRAY($HP$4),"")</f>
      </c>
      <c r="C13" s="13" cm="1">
        <f t="array" aca="1" ref="C13" ca="1">_xlfn.LET(_xlpm.h,FWM_HC,_xlpm.c,_xlfn.XMATCH($A13,_xlfn.TAKE(_xlpm.h,1)),INDEX(_xlpm.h,ROWS(_xlpm.h),_xlpm.c))</f>
      </c>
      <c r="D13" s="44" cm="1">
        <f t="array" aca="1" ref="D13" ca="1">_xlfn.LET(_xlpm.h,FWM_HC,_xlpm.c,_xlfn.XMATCH($A13,_xlfn.TAKE(_xlpm.h,1)),(B13-INDEX(_xlpm.h,ROWS(_xlpm.h)-4,_xlpm.c))*100)</f>
      </c>
      <c r="E13" s="44" cm="1">
        <f t="array" aca="1" ref="E13" ca="1">_xlfn.LET(_xlpm.h,FWM_HC,_xlpm.c,_xlfn.XMATCH($A13,_xlfn.TAKE(_xlpm.h,1)),(B13-INDEX(_xlpm.h,ROWS(_xlpm.h)-20,_xlpm.c))*100)</f>
      </c>
      <c r="F13" s="44" cm="1">
        <f t="array" aca="1" ref="F13" ca="1">_xlfn.LET(_xlpm.h,FWM_HC,_xlpm.c,_xlfn.XMATCH($A13,_xlfn.TAKE(_xlpm.h,1)),(B13-_xlfn.XLOOKUP(FWM_Cmp,_xlfn.DROP(INDEX(_xlpm.h,,1),1),_xlfn.DROP(INDEX(_xlpm.h,,_xlpm.c),1),"",-1))*100)</f>
      </c>
      <c r="G13" s="44">
        <f ca="1">IF(ISNUMBER(B12),(B13-B12)*100,"")</f>
      </c>
      <c r="H13" s="45">
        <f ca="1">_xlfn.LET(_xlpm.h,FWM_HC,_xlpm.d,_xlfn.DROP(INDEX(_xlpm.h,,_xlfn.XMATCH($A13&amp;" dF",_xlfn.TAKE(_xlpm.h,1))),1),_xlpm.t,_xlfn.TAKE(_xlpm.d,-H$10),$L13/SQRT(SUMSQ(_xlpm.t)/ROWS(_xlpm.t)))</f>
      </c>
      <c r="I13" s="45">
        <f ca="1">_xlfn.LET(_xlpm.h,FWM_HC,_xlpm.d,_xlfn.DROP(INDEX(_xlpm.h,,_xlfn.XMATCH($A13&amp;" dF",_xlfn.TAKE(_xlpm.h,1))),1),_xlpm.t,_xlfn.TAKE(_xlpm.d,-I$10),$L13/SQRT(SUMSQ(_xlpm.t)/ROWS(_xlpm.t)))</f>
      </c>
      <c r="J13" s="45">
        <f ca="1">_xlfn.LET(_xlpm.h,FWM_HC,_xlpm.d,_xlfn.DROP(INDEX(_xlpm.h,,_xlfn.XMATCH($A13&amp;" dF",_xlfn.TAKE(_xlpm.h,1))),1),_xlpm.t,_xlfn.TAKE(_xlpm.d,-J$10),$L13/SQRT(SUMSQ(_xlpm.t)/ROWS(_xlpm.t)))</f>
      </c>
      <c r="L13" s="44" cm="1">
        <f t="array" aca="1" ref="L13:AE13" ca="1">_xlfn.LET(_xlpm.h,FWM_HC,_xlpm.c,_xlfn.XMATCH($A13,_xlfn.TAKE(_xlpm.h,1)),_xlpm.v,_xlfn.VSTACK(_xlfn.TAKE(_xlfn.DROP(INDEX(_xlpm.h,,_xlpm.c),1),-20),$B13),_xlpm.d,(_xlfn.DROP(_xlpm.v,1)-_xlfn.DROP(_xlpm.v,-1))*100,INDEX(_xlpm.d,_xlfn.SEQUENCE(1,20,20,-1)))</f>
      </c>
      <c r="M13" s="44">
        <f ca="1"/>
      </c>
      <c r="N13" s="44">
        <f ca="1"/>
      </c>
      <c r="O13" s="44">
        <f ca="1"/>
      </c>
      <c r="P13" s="44">
        <f ca="1"/>
      </c>
      <c r="Q13" s="44">
        <f ca="1"/>
      </c>
      <c r="R13" s="44">
        <f ca="1"/>
      </c>
      <c r="S13" s="44">
        <f ca="1"/>
      </c>
      <c r="T13" s="44">
        <f ca="1"/>
      </c>
      <c r="U13" s="44">
        <f ca="1"/>
      </c>
      <c r="V13" s="44">
        <f ca="1"/>
      </c>
      <c r="W13" s="44">
        <f ca="1"/>
      </c>
      <c r="X13" s="44">
        <f ca="1"/>
      </c>
      <c r="Y13" s="44">
        <f ca="1"/>
      </c>
      <c r="Z13" s="44">
        <f ca="1"/>
      </c>
      <c r="AA13" s="44">
        <f ca="1"/>
      </c>
      <c r="AB13" s="44">
        <f ca="1"/>
      </c>
      <c r="AC13" s="44">
        <f ca="1"/>
      </c>
      <c r="AD13" s="44">
        <f ca="1"/>
      </c>
      <c r="AE13" s="44">
        <f ca="1"/>
      </c>
      <c r="AW13">
        <f ca="1"/>
      </c>
      <c r="AX13">
        <f ca="1"/>
      </c>
      <c r="AY13">
        <f ca="1"/>
      </c>
      <c r="AZ13">
        <f ca="1"/>
      </c>
      <c r="BB13">
        <f ca="1"/>
      </c>
      <c r="BC13">
        <f ca="1"/>
      </c>
      <c r="BD13">
        <f ca="1"/>
      </c>
      <c r="BE13">
        <f ca="1"/>
      </c>
      <c r="BF13">
        <f ca="1"/>
      </c>
      <c r="BH13" t="s">
        <v>9</v>
      </c>
      <c r="BI13">
        <v>1</v>
      </c>
      <c r="BK13">
        <f ca="1"/>
      </c>
      <c r="BL13">
        <f ca="1"/>
      </c>
      <c r="BM13">
        <f ca="1"/>
      </c>
      <c r="BN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  <c r="BV13">
        <f ca="1"/>
      </c>
      <c r="BW13">
        <f ca="1"/>
      </c>
      <c r="BX13">
        <f ca="1"/>
      </c>
      <c r="BY13">
        <f ca="1"/>
      </c>
      <c r="BZ13">
        <f ca="1"/>
      </c>
      <c r="CA13">
        <f ca="1"/>
      </c>
      <c r="CB13">
        <f ca="1"/>
      </c>
      <c r="CC13">
        <f ca="1"/>
      </c>
      <c r="CD13">
        <f ca="1"/>
      </c>
      <c r="CE13">
        <f ca="1"/>
      </c>
      <c r="CF13">
        <f ca="1"/>
      </c>
      <c r="CG13">
        <f ca="1"/>
      </c>
      <c r="CH13">
        <f ca="1"/>
      </c>
      <c r="CI13">
        <f ca="1"/>
      </c>
      <c r="CJ13">
        <f ca="1"/>
      </c>
      <c r="CK13">
        <f ca="1"/>
      </c>
      <c r="CL13">
        <f ca="1"/>
      </c>
      <c r="CM13">
        <f ca="1"/>
      </c>
      <c r="CN13">
        <f ca="1"/>
      </c>
      <c r="CO13">
        <f ca="1"/>
      </c>
      <c r="CP13">
        <f ca="1"/>
      </c>
      <c r="CQ13">
        <f ca="1"/>
      </c>
      <c r="CR13">
        <f ca="1"/>
      </c>
      <c r="CS13">
        <f ca="1"/>
      </c>
      <c r="CT13">
        <f ca="1"/>
      </c>
      <c r="CU13">
        <f ca="1"/>
      </c>
      <c r="CV13">
        <f ca="1"/>
      </c>
      <c r="CW13">
        <f ca="1"/>
      </c>
      <c r="CX13">
        <f ca="1"/>
      </c>
      <c r="CY13">
        <f ca="1"/>
      </c>
      <c r="CZ13">
        <f ca="1"/>
      </c>
      <c r="DA13">
        <f ca="1"/>
      </c>
      <c r="DB13">
        <f ca="1"/>
      </c>
      <c r="DC13">
        <f ca="1"/>
      </c>
      <c r="DD13">
        <f ca="1"/>
      </c>
      <c r="DE13">
        <f ca="1"/>
      </c>
      <c r="DG13">
        <f ca="1"/>
      </c>
      <c r="DH13">
        <f ca="1"/>
      </c>
      <c r="DI13">
        <f ca="1"/>
      </c>
      <c r="DJ13">
        <f ca="1"/>
      </c>
      <c r="DK13">
        <f ca="1"/>
      </c>
      <c r="DL13">
        <f ca="1"/>
      </c>
      <c r="DM13">
        <f ca="1"/>
      </c>
      <c r="DN13">
        <f ca="1"/>
      </c>
      <c r="DO13">
        <f ca="1"/>
      </c>
      <c r="DP13">
        <f ca="1"/>
      </c>
      <c r="DQ13">
        <f ca="1"/>
      </c>
      <c r="DR13">
        <f ca="1"/>
      </c>
      <c r="DS13">
        <f ca="1"/>
      </c>
      <c r="DT13">
        <f ca="1"/>
      </c>
      <c r="DU13">
        <f ca="1"/>
      </c>
      <c r="DV13">
        <f ca="1"/>
      </c>
      <c r="DW13">
        <f ca="1"/>
      </c>
      <c r="DX13">
        <f ca="1"/>
      </c>
      <c r="DY13">
        <f ca="1"/>
      </c>
      <c r="DZ13">
        <f ca="1"/>
      </c>
      <c r="EA13">
        <f ca="1"/>
      </c>
      <c r="EB13">
        <f ca="1"/>
      </c>
      <c r="EC13">
        <f ca="1"/>
      </c>
      <c r="ED13">
        <f ca="1"/>
      </c>
      <c r="EE13">
        <f ca="1"/>
      </c>
      <c r="EF13">
        <f ca="1"/>
      </c>
      <c r="EG13">
        <f ca="1"/>
      </c>
      <c r="EH13">
        <f ca="1"/>
      </c>
      <c r="EI13">
        <f ca="1"/>
      </c>
      <c r="EJ13">
        <f ca="1"/>
      </c>
      <c r="EK13">
        <f ca="1"/>
      </c>
      <c r="EL13">
        <f ca="1"/>
      </c>
      <c r="EM13">
        <f ca="1"/>
      </c>
      <c r="EN13">
        <f ca="1"/>
      </c>
      <c r="EO13">
        <f ca="1"/>
      </c>
      <c r="EP13">
        <f ca="1"/>
      </c>
      <c r="EQ13">
        <f ca="1"/>
      </c>
      <c r="ER13">
        <f ca="1"/>
      </c>
      <c r="ES13">
        <f ca="1"/>
      </c>
      <c r="ET13">
        <f ca="1"/>
      </c>
      <c r="EU13">
        <f ca="1"/>
      </c>
      <c r="EV13">
        <f ca="1"/>
      </c>
      <c r="EW13">
        <f ca="1"/>
      </c>
      <c r="EX13">
        <f ca="1"/>
      </c>
      <c r="EY13">
        <f ca="1"/>
      </c>
      <c r="EZ13">
        <f ca="1"/>
      </c>
      <c r="FA13">
        <f ca="1"/>
      </c>
      <c r="FC13">
        <f ca="1"/>
      </c>
      <c r="FD13">
        <f ca="1"/>
      </c>
      <c r="FE13">
        <f ca="1"/>
      </c>
      <c r="FF13">
        <f ca="1"/>
      </c>
      <c r="FG13">
        <f ca="1"/>
      </c>
      <c r="FH13">
        <f ca="1"/>
      </c>
      <c r="FI13">
        <f ca="1"/>
      </c>
      <c r="FJ13">
        <f ca="1"/>
      </c>
      <c r="FK13">
        <f ca="1"/>
      </c>
      <c r="FL13">
        <f ca="1"/>
      </c>
      <c r="FM13">
        <f ca="1"/>
      </c>
      <c r="FN13">
        <f ca="1"/>
      </c>
      <c r="FO13">
        <f ca="1"/>
      </c>
      <c r="FP13">
        <f ca="1"/>
      </c>
      <c r="FQ13">
        <f ca="1"/>
      </c>
      <c r="FR13">
        <f ca="1"/>
      </c>
      <c r="FS13">
        <f ca="1"/>
      </c>
      <c r="FT13">
        <f ca="1"/>
      </c>
      <c r="FU13">
        <f ca="1"/>
      </c>
      <c r="FV13">
        <f ca="1"/>
      </c>
      <c r="FW13">
        <f ca="1"/>
      </c>
      <c r="FX13">
        <f ca="1"/>
      </c>
      <c r="FY13">
        <f ca="1"/>
      </c>
      <c r="FZ13">
        <f ca="1"/>
      </c>
      <c r="GA13">
        <f ca="1"/>
      </c>
      <c r="GB13">
        <f ca="1"/>
      </c>
      <c r="GC13">
        <f ca="1"/>
      </c>
      <c r="GD13">
        <f ca="1"/>
      </c>
      <c r="GE13">
        <f ca="1"/>
      </c>
      <c r="GF13">
        <f ca="1"/>
      </c>
      <c r="GG13">
        <f ca="1"/>
      </c>
      <c r="GH13">
        <f ca="1"/>
      </c>
      <c r="GI13">
        <f ca="1"/>
      </c>
      <c r="GJ13">
        <f ca="1"/>
      </c>
      <c r="GK13">
        <f ca="1"/>
      </c>
      <c r="GL13">
        <f ca="1"/>
      </c>
      <c r="GM13">
        <f ca="1"/>
      </c>
      <c r="GN13">
        <f ca="1"/>
      </c>
      <c r="GO13">
        <f ca="1"/>
      </c>
      <c r="GP13">
        <f ca="1"/>
      </c>
      <c r="GQ13">
        <f ca="1"/>
      </c>
      <c r="GR13">
        <f ca="1"/>
      </c>
      <c r="GS13">
        <f ca="1"/>
      </c>
      <c r="GT13">
        <f ca="1"/>
      </c>
      <c r="GU13">
        <f ca="1"/>
      </c>
      <c r="GV13">
        <f ca="1"/>
      </c>
      <c r="GW13">
        <f ca="1"/>
      </c>
      <c r="GY13">
        <f>VALUE(_xlfn.TEXTBEFORE($A$21,"y"))</f>
      </c>
      <c r="GZ13">
        <f ca="1">$B$21</f>
      </c>
      <c r="HA13">
        <f ca="1">IFERROR($B$21-$G$21/100,NA())</f>
      </c>
      <c r="HB13">
        <f ca="1">$G$21</f>
      </c>
      <c r="HI13" s="7">
        <f ca="1"/>
      </c>
      <c r="HJ13">
        <f ca="1"/>
      </c>
      <c r="HK13">
        <f ca="1"/>
      </c>
      <c r="HL13">
        <f ca="1"/>
      </c>
      <c r="HM13">
        <f ca="1"/>
      </c>
      <c r="HP13">
        <f ca="1"/>
      </c>
    </row>
    <row r="14" spans="1:224" x14ac:dyDescent="0.55000000000000004">
      <c r="A14" t="s">
        <v>280</v>
      </c>
      <c r="B14" s="13" cm="1">
        <f t="array" aca="1" ref="B14" ca="1">_xlfn.XLOOKUP($A14,_xlfn.ANCHORARRAY($HO$4),_xlfn.ANCHORARRAY($HP$4),"")</f>
      </c>
      <c r="C14" s="13" cm="1">
        <f t="array" aca="1" ref="C14" ca="1">_xlfn.LET(_xlpm.h,FWM_HC,_xlpm.c,_xlfn.XMATCH($A14,_xlfn.TAKE(_xlpm.h,1)),INDEX(_xlpm.h,ROWS(_xlpm.h),_xlpm.c))</f>
      </c>
      <c r="D14" s="44" cm="1">
        <f t="array" aca="1" ref="D14" ca="1">_xlfn.LET(_xlpm.h,FWM_HC,_xlpm.c,_xlfn.XMATCH($A14,_xlfn.TAKE(_xlpm.h,1)),(B14-INDEX(_xlpm.h,ROWS(_xlpm.h)-4,_xlpm.c))*100)</f>
      </c>
      <c r="E14" s="44" cm="1">
        <f t="array" aca="1" ref="E14" ca="1">_xlfn.LET(_xlpm.h,FWM_HC,_xlpm.c,_xlfn.XMATCH($A14,_xlfn.TAKE(_xlpm.h,1)),(B14-INDEX(_xlpm.h,ROWS(_xlpm.h)-20,_xlpm.c))*100)</f>
      </c>
      <c r="F14" s="44" cm="1">
        <f t="array" aca="1" ref="F14" ca="1">_xlfn.LET(_xlpm.h,FWM_HC,_xlpm.c,_xlfn.XMATCH($A14,_xlfn.TAKE(_xlpm.h,1)),(B14-_xlfn.XLOOKUP(FWM_Cmp,_xlfn.DROP(INDEX(_xlpm.h,,1),1),_xlfn.DROP(INDEX(_xlpm.h,,_xlpm.c),1),"",-1))*100)</f>
      </c>
      <c r="G14" s="44">
        <f ca="1">IF(ISNUMBER(B13),(B14-B13)*100,"")</f>
      </c>
      <c r="H14" s="45">
        <f ca="1">_xlfn.LET(_xlpm.h,FWM_HC,_xlpm.d,_xlfn.DROP(INDEX(_xlpm.h,,_xlfn.XMATCH($A14&amp;" dF",_xlfn.TAKE(_xlpm.h,1))),1),_xlpm.t,_xlfn.TAKE(_xlpm.d,-H$10),$L14/SQRT(SUMSQ(_xlpm.t)/ROWS(_xlpm.t)))</f>
      </c>
      <c r="I14" s="45">
        <f ca="1">_xlfn.LET(_xlpm.h,FWM_HC,_xlpm.d,_xlfn.DROP(INDEX(_xlpm.h,,_xlfn.XMATCH($A14&amp;" dF",_xlfn.TAKE(_xlpm.h,1))),1),_xlpm.t,_xlfn.TAKE(_xlpm.d,-I$10),$L14/SQRT(SUMSQ(_xlpm.t)/ROWS(_xlpm.t)))</f>
      </c>
      <c r="J14" s="45">
        <f ca="1">_xlfn.LET(_xlpm.h,FWM_HC,_xlpm.d,_xlfn.DROP(INDEX(_xlpm.h,,_xlfn.XMATCH($A14&amp;" dF",_xlfn.TAKE(_xlpm.h,1))),1),_xlpm.t,_xlfn.TAKE(_xlpm.d,-J$10),$L14/SQRT(SUMSQ(_xlpm.t)/ROWS(_xlpm.t)))</f>
      </c>
      <c r="L14" s="44" cm="1">
        <f t="array" aca="1" ref="L14:AE14" ca="1">_xlfn.LET(_xlpm.h,FWM_HC,_xlpm.c,_xlfn.XMATCH($A14,_xlfn.TAKE(_xlpm.h,1)),_xlpm.v,_xlfn.VSTACK(_xlfn.TAKE(_xlfn.DROP(INDEX(_xlpm.h,,_xlpm.c),1),-20),$B14),_xlpm.d,(_xlfn.DROP(_xlpm.v,1)-_xlfn.DROP(_xlpm.v,-1))*100,INDEX(_xlpm.d,_xlfn.SEQUENCE(1,20,20,-1)))</f>
      </c>
      <c r="M14" s="44">
        <f ca="1"/>
      </c>
      <c r="N14" s="44">
        <f ca="1"/>
      </c>
      <c r="O14" s="44">
        <f ca="1"/>
      </c>
      <c r="P14" s="44">
        <f ca="1"/>
      </c>
      <c r="Q14" s="44">
        <f ca="1"/>
      </c>
      <c r="R14" s="44">
        <f ca="1"/>
      </c>
      <c r="S14" s="44">
        <f ca="1"/>
      </c>
      <c r="T14" s="44">
        <f ca="1"/>
      </c>
      <c r="U14" s="44">
        <f ca="1"/>
      </c>
      <c r="V14" s="44">
        <f ca="1"/>
      </c>
      <c r="W14" s="44">
        <f ca="1"/>
      </c>
      <c r="X14" s="44">
        <f ca="1"/>
      </c>
      <c r="Y14" s="44">
        <f ca="1"/>
      </c>
      <c r="Z14" s="44">
        <f ca="1"/>
      </c>
      <c r="AA14" s="44">
        <f ca="1"/>
      </c>
      <c r="AB14" s="44">
        <f ca="1"/>
      </c>
      <c r="AC14" s="44">
        <f ca="1"/>
      </c>
      <c r="AD14" s="44">
        <f ca="1"/>
      </c>
      <c r="AE14" s="44">
        <f ca="1"/>
      </c>
      <c r="AW14">
        <f ca="1"/>
      </c>
      <c r="AX14">
        <f ca="1"/>
      </c>
      <c r="AY14">
        <f ca="1"/>
      </c>
      <c r="AZ14">
        <f ca="1"/>
      </c>
      <c r="BB14">
        <f ca="1"/>
      </c>
      <c r="BC14">
        <f ca="1"/>
      </c>
      <c r="BD14">
        <f ca="1"/>
      </c>
      <c r="BE14">
        <f ca="1"/>
      </c>
      <c r="BF14">
        <f ca="1"/>
      </c>
      <c r="BH14" t="s">
        <v>10</v>
      </c>
      <c r="BI14">
        <v>1</v>
      </c>
      <c r="BK14">
        <f ca="1"/>
      </c>
      <c r="BL14">
        <f ca="1"/>
      </c>
      <c r="BM14">
        <f ca="1"/>
      </c>
      <c r="BN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  <c r="BV14">
        <f ca="1"/>
      </c>
      <c r="BW14">
        <f ca="1"/>
      </c>
      <c r="BX14">
        <f ca="1"/>
      </c>
      <c r="BY14">
        <f ca="1"/>
      </c>
      <c r="BZ14">
        <f ca="1"/>
      </c>
      <c r="CA14">
        <f ca="1"/>
      </c>
      <c r="CB14">
        <f ca="1"/>
      </c>
      <c r="CC14">
        <f ca="1"/>
      </c>
      <c r="CD14">
        <f ca="1"/>
      </c>
      <c r="CE14">
        <f ca="1"/>
      </c>
      <c r="CF14">
        <f ca="1"/>
      </c>
      <c r="CG14">
        <f ca="1"/>
      </c>
      <c r="CH14">
        <f ca="1"/>
      </c>
      <c r="CI14">
        <f ca="1"/>
      </c>
      <c r="CJ14">
        <f ca="1"/>
      </c>
      <c r="CK14">
        <f ca="1"/>
      </c>
      <c r="CL14">
        <f ca="1"/>
      </c>
      <c r="CM14">
        <f ca="1"/>
      </c>
      <c r="CN14">
        <f ca="1"/>
      </c>
      <c r="CO14">
        <f ca="1"/>
      </c>
      <c r="CP14">
        <f ca="1"/>
      </c>
      <c r="CQ14">
        <f ca="1"/>
      </c>
      <c r="CR14">
        <f ca="1"/>
      </c>
      <c r="CS14">
        <f ca="1"/>
      </c>
      <c r="CT14">
        <f ca="1"/>
      </c>
      <c r="CU14">
        <f ca="1"/>
      </c>
      <c r="CV14">
        <f ca="1"/>
      </c>
      <c r="CW14">
        <f ca="1"/>
      </c>
      <c r="CX14">
        <f ca="1"/>
      </c>
      <c r="CY14">
        <f ca="1"/>
      </c>
      <c r="CZ14">
        <f ca="1"/>
      </c>
      <c r="DA14">
        <f ca="1"/>
      </c>
      <c r="DB14">
        <f ca="1"/>
      </c>
      <c r="DC14">
        <f ca="1"/>
      </c>
      <c r="DD14">
        <f ca="1"/>
      </c>
      <c r="DE14">
        <f ca="1"/>
      </c>
      <c r="DG14">
        <f ca="1"/>
      </c>
      <c r="DH14">
        <f ca="1"/>
      </c>
      <c r="DI14">
        <f ca="1"/>
      </c>
      <c r="DJ14">
        <f ca="1"/>
      </c>
      <c r="DK14">
        <f ca="1"/>
      </c>
      <c r="DL14">
        <f ca="1"/>
      </c>
      <c r="DM14">
        <f ca="1"/>
      </c>
      <c r="DN14">
        <f ca="1"/>
      </c>
      <c r="DO14">
        <f ca="1"/>
      </c>
      <c r="DP14">
        <f ca="1"/>
      </c>
      <c r="DQ14">
        <f ca="1"/>
      </c>
      <c r="DR14">
        <f ca="1"/>
      </c>
      <c r="DS14">
        <f ca="1"/>
      </c>
      <c r="DT14">
        <f ca="1"/>
      </c>
      <c r="DU14">
        <f ca="1"/>
      </c>
      <c r="DV14">
        <f ca="1"/>
      </c>
      <c r="DW14">
        <f ca="1"/>
      </c>
      <c r="DX14">
        <f ca="1"/>
      </c>
      <c r="DY14">
        <f ca="1"/>
      </c>
      <c r="DZ14">
        <f ca="1"/>
      </c>
      <c r="EA14">
        <f ca="1"/>
      </c>
      <c r="EB14">
        <f ca="1"/>
      </c>
      <c r="EC14">
        <f ca="1"/>
      </c>
      <c r="ED14">
        <f ca="1"/>
      </c>
      <c r="EE14">
        <f ca="1"/>
      </c>
      <c r="EF14">
        <f ca="1"/>
      </c>
      <c r="EG14">
        <f ca="1"/>
      </c>
      <c r="EH14">
        <f ca="1"/>
      </c>
      <c r="EI14">
        <f ca="1"/>
      </c>
      <c r="EJ14">
        <f ca="1"/>
      </c>
      <c r="EK14">
        <f ca="1"/>
      </c>
      <c r="EL14">
        <f ca="1"/>
      </c>
      <c r="EM14">
        <f ca="1"/>
      </c>
      <c r="EN14">
        <f ca="1"/>
      </c>
      <c r="EO14">
        <f ca="1"/>
      </c>
      <c r="EP14">
        <f ca="1"/>
      </c>
      <c r="EQ14">
        <f ca="1"/>
      </c>
      <c r="ER14">
        <f ca="1"/>
      </c>
      <c r="ES14">
        <f ca="1"/>
      </c>
      <c r="ET14">
        <f ca="1"/>
      </c>
      <c r="EU14">
        <f ca="1"/>
      </c>
      <c r="EV14">
        <f ca="1"/>
      </c>
      <c r="EW14">
        <f ca="1"/>
      </c>
      <c r="EX14">
        <f ca="1"/>
      </c>
      <c r="EY14">
        <f ca="1"/>
      </c>
      <c r="EZ14">
        <f ca="1"/>
      </c>
      <c r="FA14">
        <f ca="1"/>
      </c>
      <c r="FC14">
        <f ca="1"/>
      </c>
      <c r="FD14">
        <f ca="1"/>
      </c>
      <c r="FE14">
        <f ca="1"/>
      </c>
      <c r="FF14">
        <f ca="1"/>
      </c>
      <c r="FG14">
        <f ca="1"/>
      </c>
      <c r="FH14">
        <f ca="1"/>
      </c>
      <c r="FI14">
        <f ca="1"/>
      </c>
      <c r="FJ14">
        <f ca="1"/>
      </c>
      <c r="FK14">
        <f ca="1"/>
      </c>
      <c r="FL14">
        <f ca="1"/>
      </c>
      <c r="FM14">
        <f ca="1"/>
      </c>
      <c r="FN14">
        <f ca="1"/>
      </c>
      <c r="FO14">
        <f ca="1"/>
      </c>
      <c r="FP14">
        <f ca="1"/>
      </c>
      <c r="FQ14">
        <f ca="1"/>
      </c>
      <c r="FR14">
        <f ca="1"/>
      </c>
      <c r="FS14">
        <f ca="1"/>
      </c>
      <c r="FT14">
        <f ca="1"/>
      </c>
      <c r="FU14">
        <f ca="1"/>
      </c>
      <c r="FV14">
        <f ca="1"/>
      </c>
      <c r="FW14">
        <f ca="1"/>
      </c>
      <c r="FX14">
        <f ca="1"/>
      </c>
      <c r="FY14">
        <f ca="1"/>
      </c>
      <c r="FZ14">
        <f ca="1"/>
      </c>
      <c r="GA14">
        <f ca="1"/>
      </c>
      <c r="GB14">
        <f ca="1"/>
      </c>
      <c r="GC14">
        <f ca="1"/>
      </c>
      <c r="GD14">
        <f ca="1"/>
      </c>
      <c r="GE14">
        <f ca="1"/>
      </c>
      <c r="GF14">
        <f ca="1"/>
      </c>
      <c r="GG14">
        <f ca="1"/>
      </c>
      <c r="GH14">
        <f ca="1"/>
      </c>
      <c r="GI14">
        <f ca="1"/>
      </c>
      <c r="GJ14">
        <f ca="1"/>
      </c>
      <c r="GK14">
        <f ca="1"/>
      </c>
      <c r="GL14">
        <f ca="1"/>
      </c>
      <c r="GM14">
        <f ca="1"/>
      </c>
      <c r="GN14">
        <f ca="1"/>
      </c>
      <c r="GO14">
        <f ca="1"/>
      </c>
      <c r="GP14">
        <f ca="1"/>
      </c>
      <c r="GQ14">
        <f ca="1"/>
      </c>
      <c r="GR14">
        <f ca="1"/>
      </c>
      <c r="GS14">
        <f ca="1"/>
      </c>
      <c r="GT14">
        <f ca="1"/>
      </c>
      <c r="GU14">
        <f ca="1"/>
      </c>
      <c r="GV14">
        <f ca="1"/>
      </c>
      <c r="GW14">
        <f ca="1"/>
      </c>
      <c r="GY14">
        <f>VALUE(_xlfn.TEXTBEFORE($A$22,"y"))</f>
      </c>
      <c r="GZ14">
        <f ca="1">$B$22</f>
      </c>
      <c r="HA14">
        <f ca="1">IFERROR($B$22-$G$22/100,NA())</f>
      </c>
      <c r="HB14">
        <f ca="1">$G$22</f>
      </c>
      <c r="HI14" s="7">
        <f ca="1"/>
      </c>
      <c r="HJ14">
        <f ca="1"/>
      </c>
      <c r="HK14">
        <f ca="1"/>
      </c>
      <c r="HL14">
        <f ca="1"/>
      </c>
      <c r="HM14">
        <f ca="1"/>
      </c>
      <c r="HP14">
        <f ca="1"/>
      </c>
    </row>
    <row r="15" spans="1:224" x14ac:dyDescent="0.55000000000000004">
      <c r="A15" t="s">
        <v>281</v>
      </c>
      <c r="B15" s="13" cm="1">
        <f t="array" aca="1" ref="B15" ca="1">_xlfn.XLOOKUP($A15,_xlfn.ANCHORARRAY($HO$4),_xlfn.ANCHORARRAY($HP$4),"")</f>
      </c>
      <c r="C15" s="13" cm="1">
        <f t="array" aca="1" ref="C15" ca="1">_xlfn.LET(_xlpm.h,FWM_HC,_xlpm.c,_xlfn.XMATCH($A15,_xlfn.TAKE(_xlpm.h,1)),INDEX(_xlpm.h,ROWS(_xlpm.h),_xlpm.c))</f>
      </c>
      <c r="D15" s="44" cm="1">
        <f t="array" aca="1" ref="D15" ca="1">_xlfn.LET(_xlpm.h,FWM_HC,_xlpm.c,_xlfn.XMATCH($A15,_xlfn.TAKE(_xlpm.h,1)),(B15-INDEX(_xlpm.h,ROWS(_xlpm.h)-4,_xlpm.c))*100)</f>
      </c>
      <c r="E15" s="44" cm="1">
        <f t="array" aca="1" ref="E15" ca="1">_xlfn.LET(_xlpm.h,FWM_HC,_xlpm.c,_xlfn.XMATCH($A15,_xlfn.TAKE(_xlpm.h,1)),(B15-INDEX(_xlpm.h,ROWS(_xlpm.h)-20,_xlpm.c))*100)</f>
      </c>
      <c r="F15" s="44" cm="1">
        <f t="array" aca="1" ref="F15" ca="1">_xlfn.LET(_xlpm.h,FWM_HC,_xlpm.c,_xlfn.XMATCH($A15,_xlfn.TAKE(_xlpm.h,1)),(B15-_xlfn.XLOOKUP(FWM_Cmp,_xlfn.DROP(INDEX(_xlpm.h,,1),1),_xlfn.DROP(INDEX(_xlpm.h,,_xlpm.c),1),"",-1))*100)</f>
      </c>
      <c r="G15" s="44">
        <f ca="1">IF(ISNUMBER(B14),(B15-B14)*100,"")</f>
      </c>
      <c r="H15" s="45">
        <f ca="1">_xlfn.LET(_xlpm.h,FWM_HC,_xlpm.d,_xlfn.DROP(INDEX(_xlpm.h,,_xlfn.XMATCH($A15&amp;" dF",_xlfn.TAKE(_xlpm.h,1))),1),_xlpm.t,_xlfn.TAKE(_xlpm.d,-H$10),$L15/SQRT(SUMSQ(_xlpm.t)/ROWS(_xlpm.t)))</f>
      </c>
      <c r="I15" s="45">
        <f ca="1">_xlfn.LET(_xlpm.h,FWM_HC,_xlpm.d,_xlfn.DROP(INDEX(_xlpm.h,,_xlfn.XMATCH($A15&amp;" dF",_xlfn.TAKE(_xlpm.h,1))),1),_xlpm.t,_xlfn.TAKE(_xlpm.d,-I$10),$L15/SQRT(SUMSQ(_xlpm.t)/ROWS(_xlpm.t)))</f>
      </c>
      <c r="J15" s="45">
        <f ca="1">_xlfn.LET(_xlpm.h,FWM_HC,_xlpm.d,_xlfn.DROP(INDEX(_xlpm.h,,_xlfn.XMATCH($A15&amp;" dF",_xlfn.TAKE(_xlpm.h,1))),1),_xlpm.t,_xlfn.TAKE(_xlpm.d,-J$10),$L15/SQRT(SUMSQ(_xlpm.t)/ROWS(_xlpm.t)))</f>
      </c>
      <c r="L15" s="44" cm="1">
        <f t="array" aca="1" ref="L15:AE15" ca="1">_xlfn.LET(_xlpm.h,FWM_HC,_xlpm.c,_xlfn.XMATCH($A15,_xlfn.TAKE(_xlpm.h,1)),_xlpm.v,_xlfn.VSTACK(_xlfn.TAKE(_xlfn.DROP(INDEX(_xlpm.h,,_xlpm.c),1),-20),$B15),_xlpm.d,(_xlfn.DROP(_xlpm.v,1)-_xlfn.DROP(_xlpm.v,-1))*100,INDEX(_xlpm.d,_xlfn.SEQUENCE(1,20,20,-1)))</f>
      </c>
      <c r="M15" s="44">
        <f ca="1"/>
      </c>
      <c r="N15" s="44">
        <f ca="1"/>
      </c>
      <c r="O15" s="44">
        <f ca="1"/>
      </c>
      <c r="P15" s="44">
        <f ca="1"/>
      </c>
      <c r="Q15" s="44">
        <f ca="1"/>
      </c>
      <c r="R15" s="44">
        <f ca="1"/>
      </c>
      <c r="S15" s="44">
        <f ca="1"/>
      </c>
      <c r="T15" s="44">
        <f ca="1"/>
      </c>
      <c r="U15" s="44">
        <f ca="1"/>
      </c>
      <c r="V15" s="44">
        <f ca="1"/>
      </c>
      <c r="W15" s="44">
        <f ca="1"/>
      </c>
      <c r="X15" s="44">
        <f ca="1"/>
      </c>
      <c r="Y15" s="44">
        <f ca="1"/>
      </c>
      <c r="Z15" s="44">
        <f ca="1"/>
      </c>
      <c r="AA15" s="44">
        <f ca="1"/>
      </c>
      <c r="AB15" s="44">
        <f ca="1"/>
      </c>
      <c r="AC15" s="44">
        <f ca="1"/>
      </c>
      <c r="AD15" s="44">
        <f ca="1"/>
      </c>
      <c r="AE15" s="44">
        <f ca="1"/>
      </c>
      <c r="AW15">
        <f ca="1"/>
      </c>
      <c r="AX15">
        <f ca="1"/>
      </c>
      <c r="AY15">
        <f ca="1"/>
      </c>
      <c r="AZ15">
        <f ca="1"/>
      </c>
      <c r="BB15">
        <f ca="1"/>
      </c>
      <c r="BC15">
        <f ca="1"/>
      </c>
      <c r="BD15">
        <f ca="1"/>
      </c>
      <c r="BE15">
        <f ca="1"/>
      </c>
      <c r="BF15">
        <f ca="1"/>
      </c>
      <c r="BH15" t="s">
        <v>11</v>
      </c>
      <c r="BI15">
        <v>1</v>
      </c>
      <c r="BK15">
        <f ca="1"/>
      </c>
      <c r="BL15">
        <f ca="1"/>
      </c>
      <c r="BM15">
        <f ca="1"/>
      </c>
      <c r="BN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  <c r="BV15">
        <f ca="1"/>
      </c>
      <c r="BW15">
        <f ca="1"/>
      </c>
      <c r="BX15">
        <f ca="1"/>
      </c>
      <c r="BY15">
        <f ca="1"/>
      </c>
      <c r="BZ15">
        <f ca="1"/>
      </c>
      <c r="CA15">
        <f ca="1"/>
      </c>
      <c r="CB15">
        <f ca="1"/>
      </c>
      <c r="CC15">
        <f ca="1"/>
      </c>
      <c r="CD15">
        <f ca="1"/>
      </c>
      <c r="CE15">
        <f ca="1"/>
      </c>
      <c r="CF15">
        <f ca="1"/>
      </c>
      <c r="CG15">
        <f ca="1"/>
      </c>
      <c r="CH15">
        <f ca="1"/>
      </c>
      <c r="CI15">
        <f ca="1"/>
      </c>
      <c r="CJ15">
        <f ca="1"/>
      </c>
      <c r="CK15">
        <f ca="1"/>
      </c>
      <c r="CL15">
        <f ca="1"/>
      </c>
      <c r="CM15">
        <f ca="1"/>
      </c>
      <c r="CN15">
        <f ca="1"/>
      </c>
      <c r="CO15">
        <f ca="1"/>
      </c>
      <c r="CP15">
        <f ca="1"/>
      </c>
      <c r="CQ15">
        <f ca="1"/>
      </c>
      <c r="CR15">
        <f ca="1"/>
      </c>
      <c r="CS15">
        <f ca="1"/>
      </c>
      <c r="CT15">
        <f ca="1"/>
      </c>
      <c r="CU15">
        <f ca="1"/>
      </c>
      <c r="CV15">
        <f ca="1"/>
      </c>
      <c r="CW15">
        <f ca="1"/>
      </c>
      <c r="CX15">
        <f ca="1"/>
      </c>
      <c r="CY15">
        <f ca="1"/>
      </c>
      <c r="CZ15">
        <f ca="1"/>
      </c>
      <c r="DA15">
        <f ca="1"/>
      </c>
      <c r="DB15">
        <f ca="1"/>
      </c>
      <c r="DC15">
        <f ca="1"/>
      </c>
      <c r="DD15">
        <f ca="1"/>
      </c>
      <c r="DE15">
        <f ca="1"/>
      </c>
      <c r="DG15">
        <f ca="1"/>
      </c>
      <c r="DH15">
        <f ca="1"/>
      </c>
      <c r="DI15">
        <f ca="1"/>
      </c>
      <c r="DJ15">
        <f ca="1"/>
      </c>
      <c r="DK15">
        <f ca="1"/>
      </c>
      <c r="DL15">
        <f ca="1"/>
      </c>
      <c r="DM15">
        <f ca="1"/>
      </c>
      <c r="DN15">
        <f ca="1"/>
      </c>
      <c r="DO15">
        <f ca="1"/>
      </c>
      <c r="DP15">
        <f ca="1"/>
      </c>
      <c r="DQ15">
        <f ca="1"/>
      </c>
      <c r="DR15">
        <f ca="1"/>
      </c>
      <c r="DS15">
        <f ca="1"/>
      </c>
      <c r="DT15">
        <f ca="1"/>
      </c>
      <c r="DU15">
        <f ca="1"/>
      </c>
      <c r="DV15">
        <f ca="1"/>
      </c>
      <c r="DW15">
        <f ca="1"/>
      </c>
      <c r="DX15">
        <f ca="1"/>
      </c>
      <c r="DY15">
        <f ca="1"/>
      </c>
      <c r="DZ15">
        <f ca="1"/>
      </c>
      <c r="EA15">
        <f ca="1"/>
      </c>
      <c r="EB15">
        <f ca="1"/>
      </c>
      <c r="EC15">
        <f ca="1"/>
      </c>
      <c r="ED15">
        <f ca="1"/>
      </c>
      <c r="EE15">
        <f ca="1"/>
      </c>
      <c r="EF15">
        <f ca="1"/>
      </c>
      <c r="EG15">
        <f ca="1"/>
      </c>
      <c r="EH15">
        <f ca="1"/>
      </c>
      <c r="EI15">
        <f ca="1"/>
      </c>
      <c r="EJ15">
        <f ca="1"/>
      </c>
      <c r="EK15">
        <f ca="1"/>
      </c>
      <c r="EL15">
        <f ca="1"/>
      </c>
      <c r="EM15">
        <f ca="1"/>
      </c>
      <c r="EN15">
        <f ca="1"/>
      </c>
      <c r="EO15">
        <f ca="1"/>
      </c>
      <c r="EP15">
        <f ca="1"/>
      </c>
      <c r="EQ15">
        <f ca="1"/>
      </c>
      <c r="ER15">
        <f ca="1"/>
      </c>
      <c r="ES15">
        <f ca="1"/>
      </c>
      <c r="ET15">
        <f ca="1"/>
      </c>
      <c r="EU15">
        <f ca="1"/>
      </c>
      <c r="EV15">
        <f ca="1"/>
      </c>
      <c r="EW15">
        <f ca="1"/>
      </c>
      <c r="EX15">
        <f ca="1"/>
      </c>
      <c r="EY15">
        <f ca="1"/>
      </c>
      <c r="EZ15">
        <f ca="1"/>
      </c>
      <c r="FA15">
        <f ca="1"/>
      </c>
      <c r="FC15">
        <f ca="1"/>
      </c>
      <c r="FD15">
        <f ca="1"/>
      </c>
      <c r="FE15">
        <f ca="1"/>
      </c>
      <c r="FF15">
        <f ca="1"/>
      </c>
      <c r="FG15">
        <f ca="1"/>
      </c>
      <c r="FH15">
        <f ca="1"/>
      </c>
      <c r="FI15">
        <f ca="1"/>
      </c>
      <c r="FJ15">
        <f ca="1"/>
      </c>
      <c r="FK15">
        <f ca="1"/>
      </c>
      <c r="FL15">
        <f ca="1"/>
      </c>
      <c r="FM15">
        <f ca="1"/>
      </c>
      <c r="FN15">
        <f ca="1"/>
      </c>
      <c r="FO15">
        <f ca="1"/>
      </c>
      <c r="FP15">
        <f ca="1"/>
      </c>
      <c r="FQ15">
        <f ca="1"/>
      </c>
      <c r="FR15">
        <f ca="1"/>
      </c>
      <c r="FS15">
        <f ca="1"/>
      </c>
      <c r="FT15">
        <f ca="1"/>
      </c>
      <c r="FU15">
        <f ca="1"/>
      </c>
      <c r="FV15">
        <f ca="1"/>
      </c>
      <c r="FW15">
        <f ca="1"/>
      </c>
      <c r="FX15">
        <f ca="1"/>
      </c>
      <c r="FY15">
        <f ca="1"/>
      </c>
      <c r="FZ15">
        <f ca="1"/>
      </c>
      <c r="GA15">
        <f ca="1"/>
      </c>
      <c r="GB15">
        <f ca="1"/>
      </c>
      <c r="GC15">
        <f ca="1"/>
      </c>
      <c r="GD15">
        <f ca="1"/>
      </c>
      <c r="GE15">
        <f ca="1"/>
      </c>
      <c r="GF15">
        <f ca="1"/>
      </c>
      <c r="GG15">
        <f ca="1"/>
      </c>
      <c r="GH15">
        <f ca="1"/>
      </c>
      <c r="GI15">
        <f ca="1"/>
      </c>
      <c r="GJ15">
        <f ca="1"/>
      </c>
      <c r="GK15">
        <f ca="1"/>
      </c>
      <c r="GL15">
        <f ca="1"/>
      </c>
      <c r="GM15">
        <f ca="1"/>
      </c>
      <c r="GN15">
        <f ca="1"/>
      </c>
      <c r="GO15">
        <f ca="1"/>
      </c>
      <c r="GP15">
        <f ca="1"/>
      </c>
      <c r="GQ15">
        <f ca="1"/>
      </c>
      <c r="GR15">
        <f ca="1"/>
      </c>
      <c r="GS15">
        <f ca="1"/>
      </c>
      <c r="GT15">
        <f ca="1"/>
      </c>
      <c r="GU15">
        <f ca="1"/>
      </c>
      <c r="GV15">
        <f ca="1"/>
      </c>
      <c r="GW15">
        <f ca="1"/>
      </c>
      <c r="GY15">
        <f>VALUE(_xlfn.TEXTBEFORE($A$23,"y"))</f>
      </c>
      <c r="GZ15">
        <f ca="1">$B$23</f>
      </c>
      <c r="HA15">
        <f ca="1">IFERROR($B$23-$G$23/100,NA())</f>
      </c>
      <c r="HB15">
        <f ca="1">$G$23</f>
      </c>
      <c r="HI15" s="7">
        <f ca="1"/>
      </c>
      <c r="HJ15">
        <f ca="1"/>
      </c>
      <c r="HK15">
        <f ca="1"/>
      </c>
      <c r="HL15">
        <f ca="1"/>
      </c>
      <c r="HM15">
        <f ca="1"/>
      </c>
      <c r="HP15">
        <f ca="1"/>
      </c>
    </row>
    <row r="16" spans="1:224" x14ac:dyDescent="0.55000000000000004">
      <c r="A16" t="s">
        <v>282</v>
      </c>
      <c r="B16" s="13" cm="1">
        <f t="array" aca="1" ref="B16" ca="1">_xlfn.XLOOKUP($A16,_xlfn.ANCHORARRAY($HO$4),_xlfn.ANCHORARRAY($HP$4),"")</f>
      </c>
      <c r="C16" s="13" cm="1">
        <f t="array" aca="1" ref="C16" ca="1">_xlfn.LET(_xlpm.h,FWM_HC,_xlpm.c,_xlfn.XMATCH($A16,_xlfn.TAKE(_xlpm.h,1)),INDEX(_xlpm.h,ROWS(_xlpm.h),_xlpm.c))</f>
      </c>
      <c r="D16" s="44" cm="1">
        <f t="array" aca="1" ref="D16" ca="1">_xlfn.LET(_xlpm.h,FWM_HC,_xlpm.c,_xlfn.XMATCH($A16,_xlfn.TAKE(_xlpm.h,1)),(B16-INDEX(_xlpm.h,ROWS(_xlpm.h)-4,_xlpm.c))*100)</f>
      </c>
      <c r="E16" s="44" cm="1">
        <f t="array" aca="1" ref="E16" ca="1">_xlfn.LET(_xlpm.h,FWM_HC,_xlpm.c,_xlfn.XMATCH($A16,_xlfn.TAKE(_xlpm.h,1)),(B16-INDEX(_xlpm.h,ROWS(_xlpm.h)-20,_xlpm.c))*100)</f>
      </c>
      <c r="F16" s="44" cm="1">
        <f t="array" aca="1" ref="F16" ca="1">_xlfn.LET(_xlpm.h,FWM_HC,_xlpm.c,_xlfn.XMATCH($A16,_xlfn.TAKE(_xlpm.h,1)),(B16-_xlfn.XLOOKUP(FWM_Cmp,_xlfn.DROP(INDEX(_xlpm.h,,1),1),_xlfn.DROP(INDEX(_xlpm.h,,_xlpm.c),1),"",-1))*100)</f>
      </c>
      <c r="G16" s="44">
        <f ca="1">IF(ISNUMBER(B15),(B16-B15)*100,"")</f>
      </c>
      <c r="H16" s="45">
        <f ca="1">_xlfn.LET(_xlpm.h,FWM_HC,_xlpm.d,_xlfn.DROP(INDEX(_xlpm.h,,_xlfn.XMATCH($A16&amp;" dF",_xlfn.TAKE(_xlpm.h,1))),1),_xlpm.t,_xlfn.TAKE(_xlpm.d,-H$10),$L16/SQRT(SUMSQ(_xlpm.t)/ROWS(_xlpm.t)))</f>
      </c>
      <c r="I16" s="45">
        <f ca="1">_xlfn.LET(_xlpm.h,FWM_HC,_xlpm.d,_xlfn.DROP(INDEX(_xlpm.h,,_xlfn.XMATCH($A16&amp;" dF",_xlfn.TAKE(_xlpm.h,1))),1),_xlpm.t,_xlfn.TAKE(_xlpm.d,-I$10),$L16/SQRT(SUMSQ(_xlpm.t)/ROWS(_xlpm.t)))</f>
      </c>
      <c r="J16" s="45">
        <f ca="1">_xlfn.LET(_xlpm.h,FWM_HC,_xlpm.d,_xlfn.DROP(INDEX(_xlpm.h,,_xlfn.XMATCH($A16&amp;" dF",_xlfn.TAKE(_xlpm.h,1))),1),_xlpm.t,_xlfn.TAKE(_xlpm.d,-J$10),$L16/SQRT(SUMSQ(_xlpm.t)/ROWS(_xlpm.t)))</f>
      </c>
      <c r="L16" s="44" cm="1">
        <f t="array" aca="1" ref="L16:AE16" ca="1">_xlfn.LET(_xlpm.h,FWM_HC,_xlpm.c,_xlfn.XMATCH($A16,_xlfn.TAKE(_xlpm.h,1)),_xlpm.v,_xlfn.VSTACK(_xlfn.TAKE(_xlfn.DROP(INDEX(_xlpm.h,,_xlpm.c),1),-20),$B16),_xlpm.d,(_xlfn.DROP(_xlpm.v,1)-_xlfn.DROP(_xlpm.v,-1))*100,INDEX(_xlpm.d,_xlfn.SEQUENCE(1,20,20,-1)))</f>
      </c>
      <c r="M16" s="44">
        <f ca="1"/>
      </c>
      <c r="N16" s="44">
        <f ca="1"/>
      </c>
      <c r="O16" s="44">
        <f ca="1"/>
      </c>
      <c r="P16" s="44">
        <f ca="1"/>
      </c>
      <c r="Q16" s="44">
        <f ca="1"/>
      </c>
      <c r="R16" s="44">
        <f ca="1"/>
      </c>
      <c r="S16" s="44">
        <f ca="1"/>
      </c>
      <c r="T16" s="44">
        <f ca="1"/>
      </c>
      <c r="U16" s="44">
        <f ca="1"/>
      </c>
      <c r="V16" s="44">
        <f ca="1"/>
      </c>
      <c r="W16" s="44">
        <f ca="1"/>
      </c>
      <c r="X16" s="44">
        <f ca="1"/>
      </c>
      <c r="Y16" s="44">
        <f ca="1"/>
      </c>
      <c r="Z16" s="44">
        <f ca="1"/>
      </c>
      <c r="AA16" s="44">
        <f ca="1"/>
      </c>
      <c r="AB16" s="44">
        <f ca="1"/>
      </c>
      <c r="AC16" s="44">
        <f ca="1"/>
      </c>
      <c r="AD16" s="44">
        <f ca="1"/>
      </c>
      <c r="AE16" s="44">
        <f ca="1"/>
      </c>
      <c r="AW16">
        <f ca="1"/>
      </c>
      <c r="AX16">
        <f ca="1"/>
      </c>
      <c r="AY16">
        <f ca="1"/>
      </c>
      <c r="AZ16">
        <f ca="1"/>
      </c>
      <c r="BB16">
        <f ca="1"/>
      </c>
      <c r="BC16">
        <f ca="1"/>
      </c>
      <c r="BD16">
        <f ca="1"/>
      </c>
      <c r="BE16">
        <f ca="1"/>
      </c>
      <c r="BF16">
        <f ca="1"/>
      </c>
      <c r="BH16" t="s">
        <v>12</v>
      </c>
      <c r="BI16">
        <v>1</v>
      </c>
      <c r="BK16">
        <f ca="1"/>
      </c>
      <c r="BL16">
        <f ca="1"/>
      </c>
      <c r="BM16">
        <f ca="1"/>
      </c>
      <c r="BN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  <c r="BV16">
        <f ca="1"/>
      </c>
      <c r="BW16">
        <f ca="1"/>
      </c>
      <c r="BX16">
        <f ca="1"/>
      </c>
      <c r="BY16">
        <f ca="1"/>
      </c>
      <c r="BZ16">
        <f ca="1"/>
      </c>
      <c r="CA16">
        <f ca="1"/>
      </c>
      <c r="CB16">
        <f ca="1"/>
      </c>
      <c r="CC16">
        <f ca="1"/>
      </c>
      <c r="CD16">
        <f ca="1"/>
      </c>
      <c r="CE16">
        <f ca="1"/>
      </c>
      <c r="CF16">
        <f ca="1"/>
      </c>
      <c r="CG16">
        <f ca="1"/>
      </c>
      <c r="CH16">
        <f ca="1"/>
      </c>
      <c r="CI16">
        <f ca="1"/>
      </c>
      <c r="CJ16">
        <f ca="1"/>
      </c>
      <c r="CK16">
        <f ca="1"/>
      </c>
      <c r="CL16">
        <f ca="1"/>
      </c>
      <c r="CM16">
        <f ca="1"/>
      </c>
      <c r="CN16">
        <f ca="1"/>
      </c>
      <c r="CO16">
        <f ca="1"/>
      </c>
      <c r="CP16">
        <f ca="1"/>
      </c>
      <c r="CQ16">
        <f ca="1"/>
      </c>
      <c r="CR16">
        <f ca="1"/>
      </c>
      <c r="CS16">
        <f ca="1"/>
      </c>
      <c r="CT16">
        <f ca="1"/>
      </c>
      <c r="CU16">
        <f ca="1"/>
      </c>
      <c r="CV16">
        <f ca="1"/>
      </c>
      <c r="CW16">
        <f ca="1"/>
      </c>
      <c r="CX16">
        <f ca="1"/>
      </c>
      <c r="CY16">
        <f ca="1"/>
      </c>
      <c r="CZ16">
        <f ca="1"/>
      </c>
      <c r="DA16">
        <f ca="1"/>
      </c>
      <c r="DB16">
        <f ca="1"/>
      </c>
      <c r="DC16">
        <f ca="1"/>
      </c>
      <c r="DD16">
        <f ca="1"/>
      </c>
      <c r="DE16">
        <f ca="1"/>
      </c>
      <c r="DG16">
        <f ca="1"/>
      </c>
      <c r="DH16">
        <f ca="1"/>
      </c>
      <c r="DI16">
        <f ca="1"/>
      </c>
      <c r="DJ16">
        <f ca="1"/>
      </c>
      <c r="DK16">
        <f ca="1"/>
      </c>
      <c r="DL16">
        <f ca="1"/>
      </c>
      <c r="DM16">
        <f ca="1"/>
      </c>
      <c r="DN16">
        <f ca="1"/>
      </c>
      <c r="DO16">
        <f ca="1"/>
      </c>
      <c r="DP16">
        <f ca="1"/>
      </c>
      <c r="DQ16">
        <f ca="1"/>
      </c>
      <c r="DR16">
        <f ca="1"/>
      </c>
      <c r="DS16">
        <f ca="1"/>
      </c>
      <c r="DT16">
        <f ca="1"/>
      </c>
      <c r="DU16">
        <f ca="1"/>
      </c>
      <c r="DV16">
        <f ca="1"/>
      </c>
      <c r="DW16">
        <f ca="1"/>
      </c>
      <c r="DX16">
        <f ca="1"/>
      </c>
      <c r="DY16">
        <f ca="1"/>
      </c>
      <c r="DZ16">
        <f ca="1"/>
      </c>
      <c r="EA16">
        <f ca="1"/>
      </c>
      <c r="EB16">
        <f ca="1"/>
      </c>
      <c r="EC16">
        <f ca="1"/>
      </c>
      <c r="ED16">
        <f ca="1"/>
      </c>
      <c r="EE16">
        <f ca="1"/>
      </c>
      <c r="EF16">
        <f ca="1"/>
      </c>
      <c r="EG16">
        <f ca="1"/>
      </c>
      <c r="EH16">
        <f ca="1"/>
      </c>
      <c r="EI16">
        <f ca="1"/>
      </c>
      <c r="EJ16">
        <f ca="1"/>
      </c>
      <c r="EK16">
        <f ca="1"/>
      </c>
      <c r="EL16">
        <f ca="1"/>
      </c>
      <c r="EM16">
        <f ca="1"/>
      </c>
      <c r="EN16">
        <f ca="1"/>
      </c>
      <c r="EO16">
        <f ca="1"/>
      </c>
      <c r="EP16">
        <f ca="1"/>
      </c>
      <c r="EQ16">
        <f ca="1"/>
      </c>
      <c r="ER16">
        <f ca="1"/>
      </c>
      <c r="ES16">
        <f ca="1"/>
      </c>
      <c r="ET16">
        <f ca="1"/>
      </c>
      <c r="EU16">
        <f ca="1"/>
      </c>
      <c r="EV16">
        <f ca="1"/>
      </c>
      <c r="EW16">
        <f ca="1"/>
      </c>
      <c r="EX16">
        <f ca="1"/>
      </c>
      <c r="EY16">
        <f ca="1"/>
      </c>
      <c r="EZ16">
        <f ca="1"/>
      </c>
      <c r="FA16">
        <f ca="1"/>
      </c>
      <c r="FC16">
        <f ca="1"/>
      </c>
      <c r="FD16">
        <f ca="1"/>
      </c>
      <c r="FE16">
        <f ca="1"/>
      </c>
      <c r="FF16">
        <f ca="1"/>
      </c>
      <c r="FG16">
        <f ca="1"/>
      </c>
      <c r="FH16">
        <f ca="1"/>
      </c>
      <c r="FI16">
        <f ca="1"/>
      </c>
      <c r="FJ16">
        <f ca="1"/>
      </c>
      <c r="FK16">
        <f ca="1"/>
      </c>
      <c r="FL16">
        <f ca="1"/>
      </c>
      <c r="FM16">
        <f ca="1"/>
      </c>
      <c r="FN16">
        <f ca="1"/>
      </c>
      <c r="FO16">
        <f ca="1"/>
      </c>
      <c r="FP16">
        <f ca="1"/>
      </c>
      <c r="FQ16">
        <f ca="1"/>
      </c>
      <c r="FR16">
        <f ca="1"/>
      </c>
      <c r="FS16">
        <f ca="1"/>
      </c>
      <c r="FT16">
        <f ca="1"/>
      </c>
      <c r="FU16">
        <f ca="1"/>
      </c>
      <c r="FV16">
        <f ca="1"/>
      </c>
      <c r="FW16">
        <f ca="1"/>
      </c>
      <c r="FX16">
        <f ca="1"/>
      </c>
      <c r="FY16">
        <f ca="1"/>
      </c>
      <c r="FZ16">
        <f ca="1"/>
      </c>
      <c r="GA16">
        <f ca="1"/>
      </c>
      <c r="GB16">
        <f ca="1"/>
      </c>
      <c r="GC16">
        <f ca="1"/>
      </c>
      <c r="GD16">
        <f ca="1"/>
      </c>
      <c r="GE16">
        <f ca="1"/>
      </c>
      <c r="GF16">
        <f ca="1"/>
      </c>
      <c r="GG16">
        <f ca="1"/>
      </c>
      <c r="GH16">
        <f ca="1"/>
      </c>
      <c r="GI16">
        <f ca="1"/>
      </c>
      <c r="GJ16">
        <f ca="1"/>
      </c>
      <c r="GK16">
        <f ca="1"/>
      </c>
      <c r="GL16">
        <f ca="1"/>
      </c>
      <c r="GM16">
        <f ca="1"/>
      </c>
      <c r="GN16">
        <f ca="1"/>
      </c>
      <c r="GO16">
        <f ca="1"/>
      </c>
      <c r="GP16">
        <f ca="1"/>
      </c>
      <c r="GQ16">
        <f ca="1"/>
      </c>
      <c r="GR16">
        <f ca="1"/>
      </c>
      <c r="GS16">
        <f ca="1"/>
      </c>
      <c r="GT16">
        <f ca="1"/>
      </c>
      <c r="GU16">
        <f ca="1"/>
      </c>
      <c r="GV16">
        <f ca="1"/>
      </c>
      <c r="GW16">
        <f ca="1"/>
      </c>
      <c r="GY16">
        <f>VALUE(_xlfn.TEXTBEFORE($A$24,"y"))</f>
      </c>
      <c r="GZ16">
        <f ca="1">$B$24</f>
      </c>
      <c r="HA16">
        <f ca="1">IFERROR($B$24-$G$24/100,NA())</f>
      </c>
      <c r="HB16">
        <f ca="1">$G$24</f>
      </c>
      <c r="HI16" s="7">
        <f ca="1"/>
      </c>
      <c r="HJ16">
        <f ca="1"/>
      </c>
      <c r="HK16">
        <f ca="1"/>
      </c>
      <c r="HL16">
        <f ca="1"/>
      </c>
      <c r="HM16">
        <f ca="1"/>
      </c>
      <c r="HP16">
        <f ca="1"/>
      </c>
    </row>
    <row r="17" spans="1:224" x14ac:dyDescent="0.55000000000000004">
      <c r="A17" t="s">
        <v>283</v>
      </c>
      <c r="B17" s="13" cm="1">
        <f t="array" aca="1" ref="B17" ca="1">_xlfn.XLOOKUP($A17,_xlfn.ANCHORARRAY($HO$4),_xlfn.ANCHORARRAY($HP$4),"")</f>
      </c>
      <c r="C17" s="13" cm="1">
        <f t="array" aca="1" ref="C17" ca="1">_xlfn.LET(_xlpm.h,FWM_HC,_xlpm.c,_xlfn.XMATCH($A17,_xlfn.TAKE(_xlpm.h,1)),INDEX(_xlpm.h,ROWS(_xlpm.h),_xlpm.c))</f>
      </c>
      <c r="D17" s="44" cm="1">
        <f t="array" aca="1" ref="D17" ca="1">_xlfn.LET(_xlpm.h,FWM_HC,_xlpm.c,_xlfn.XMATCH($A17,_xlfn.TAKE(_xlpm.h,1)),(B17-INDEX(_xlpm.h,ROWS(_xlpm.h)-4,_xlpm.c))*100)</f>
      </c>
      <c r="E17" s="44" cm="1">
        <f t="array" aca="1" ref="E17" ca="1">_xlfn.LET(_xlpm.h,FWM_HC,_xlpm.c,_xlfn.XMATCH($A17,_xlfn.TAKE(_xlpm.h,1)),(B17-INDEX(_xlpm.h,ROWS(_xlpm.h)-20,_xlpm.c))*100)</f>
      </c>
      <c r="F17" s="44" cm="1">
        <f t="array" aca="1" ref="F17" ca="1">_xlfn.LET(_xlpm.h,FWM_HC,_xlpm.c,_xlfn.XMATCH($A17,_xlfn.TAKE(_xlpm.h,1)),(B17-_xlfn.XLOOKUP(FWM_Cmp,_xlfn.DROP(INDEX(_xlpm.h,,1),1),_xlfn.DROP(INDEX(_xlpm.h,,_xlpm.c),1),"",-1))*100)</f>
      </c>
      <c r="G17" s="44">
        <f ca="1">IF(ISNUMBER(B16),(B17-B16)*100,"")</f>
      </c>
      <c r="H17" s="45">
        <f ca="1">_xlfn.LET(_xlpm.h,FWM_HC,_xlpm.d,_xlfn.DROP(INDEX(_xlpm.h,,_xlfn.XMATCH($A17&amp;" dF",_xlfn.TAKE(_xlpm.h,1))),1),_xlpm.t,_xlfn.TAKE(_xlpm.d,-H$10),$L17/SQRT(SUMSQ(_xlpm.t)/ROWS(_xlpm.t)))</f>
      </c>
      <c r="I17" s="45">
        <f ca="1">_xlfn.LET(_xlpm.h,FWM_HC,_xlpm.d,_xlfn.DROP(INDEX(_xlpm.h,,_xlfn.XMATCH($A17&amp;" dF",_xlfn.TAKE(_xlpm.h,1))),1),_xlpm.t,_xlfn.TAKE(_xlpm.d,-I$10),$L17/SQRT(SUMSQ(_xlpm.t)/ROWS(_xlpm.t)))</f>
      </c>
      <c r="J17" s="45">
        <f ca="1">_xlfn.LET(_xlpm.h,FWM_HC,_xlpm.d,_xlfn.DROP(INDEX(_xlpm.h,,_xlfn.XMATCH($A17&amp;" dF",_xlfn.TAKE(_xlpm.h,1))),1),_xlpm.t,_xlfn.TAKE(_xlpm.d,-J$10),$L17/SQRT(SUMSQ(_xlpm.t)/ROWS(_xlpm.t)))</f>
      </c>
      <c r="L17" s="44" cm="1">
        <f t="array" aca="1" ref="L17:AE17" ca="1">_xlfn.LET(_xlpm.h,FWM_HC,_xlpm.c,_xlfn.XMATCH($A17,_xlfn.TAKE(_xlpm.h,1)),_xlpm.v,_xlfn.VSTACK(_xlfn.TAKE(_xlfn.DROP(INDEX(_xlpm.h,,_xlpm.c),1),-20),$B17),_xlpm.d,(_xlfn.DROP(_xlpm.v,1)-_xlfn.DROP(_xlpm.v,-1))*100,INDEX(_xlpm.d,_xlfn.SEQUENCE(1,20,20,-1)))</f>
      </c>
      <c r="M17" s="44">
        <f ca="1"/>
      </c>
      <c r="N17" s="44">
        <f ca="1"/>
      </c>
      <c r="O17" s="44">
        <f ca="1"/>
      </c>
      <c r="P17" s="44">
        <f ca="1"/>
      </c>
      <c r="Q17" s="44">
        <f ca="1"/>
      </c>
      <c r="R17" s="44">
        <f ca="1"/>
      </c>
      <c r="S17" s="44">
        <f ca="1"/>
      </c>
      <c r="T17" s="44">
        <f ca="1"/>
      </c>
      <c r="U17" s="44">
        <f ca="1"/>
      </c>
      <c r="V17" s="44">
        <f ca="1"/>
      </c>
      <c r="W17" s="44">
        <f ca="1"/>
      </c>
      <c r="X17" s="44">
        <f ca="1"/>
      </c>
      <c r="Y17" s="44">
        <f ca="1"/>
      </c>
      <c r="Z17" s="44">
        <f ca="1"/>
      </c>
      <c r="AA17" s="44">
        <f ca="1"/>
      </c>
      <c r="AB17" s="44">
        <f ca="1"/>
      </c>
      <c r="AC17" s="44">
        <f ca="1"/>
      </c>
      <c r="AD17" s="44">
        <f ca="1"/>
      </c>
      <c r="AE17" s="44">
        <f ca="1"/>
      </c>
      <c r="AW17">
        <f ca="1"/>
      </c>
      <c r="AX17">
        <f ca="1"/>
      </c>
      <c r="AY17">
        <f ca="1"/>
      </c>
      <c r="AZ17">
        <f ca="1"/>
      </c>
      <c r="BB17">
        <f ca="1"/>
      </c>
      <c r="BC17">
        <f ca="1"/>
      </c>
      <c r="BD17">
        <f ca="1"/>
      </c>
      <c r="BE17">
        <f ca="1"/>
      </c>
      <c r="BF17">
        <f ca="1"/>
      </c>
      <c r="BH17" t="s">
        <v>41</v>
      </c>
      <c r="BI17">
        <v>1</v>
      </c>
      <c r="BK17">
        <f ca="1"/>
      </c>
      <c r="BL17">
        <f ca="1"/>
      </c>
      <c r="BM17">
        <f ca="1"/>
      </c>
      <c r="BN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  <c r="BV17">
        <f ca="1"/>
      </c>
      <c r="BW17">
        <f ca="1"/>
      </c>
      <c r="BX17">
        <f ca="1"/>
      </c>
      <c r="BY17">
        <f ca="1"/>
      </c>
      <c r="BZ17">
        <f ca="1"/>
      </c>
      <c r="CA17">
        <f ca="1"/>
      </c>
      <c r="CB17">
        <f ca="1"/>
      </c>
      <c r="CC17">
        <f ca="1"/>
      </c>
      <c r="CD17">
        <f ca="1"/>
      </c>
      <c r="CE17">
        <f ca="1"/>
      </c>
      <c r="CF17">
        <f ca="1"/>
      </c>
      <c r="CG17">
        <f ca="1"/>
      </c>
      <c r="CH17">
        <f ca="1"/>
      </c>
      <c r="CI17">
        <f ca="1"/>
      </c>
      <c r="CJ17">
        <f ca="1"/>
      </c>
      <c r="CK17">
        <f ca="1"/>
      </c>
      <c r="CL17">
        <f ca="1"/>
      </c>
      <c r="CM17">
        <f ca="1"/>
      </c>
      <c r="CN17">
        <f ca="1"/>
      </c>
      <c r="CO17">
        <f ca="1"/>
      </c>
      <c r="CP17">
        <f ca="1"/>
      </c>
      <c r="CQ17">
        <f ca="1"/>
      </c>
      <c r="CR17">
        <f ca="1"/>
      </c>
      <c r="CS17">
        <f ca="1"/>
      </c>
      <c r="CT17">
        <f ca="1"/>
      </c>
      <c r="CU17">
        <f ca="1"/>
      </c>
      <c r="CV17">
        <f ca="1"/>
      </c>
      <c r="CW17">
        <f ca="1"/>
      </c>
      <c r="CX17">
        <f ca="1"/>
      </c>
      <c r="CY17">
        <f ca="1"/>
      </c>
      <c r="CZ17">
        <f ca="1"/>
      </c>
      <c r="DA17">
        <f ca="1"/>
      </c>
      <c r="DB17">
        <f ca="1"/>
      </c>
      <c r="DC17">
        <f ca="1"/>
      </c>
      <c r="DD17">
        <f ca="1"/>
      </c>
      <c r="DE17">
        <f ca="1"/>
      </c>
      <c r="DG17">
        <f ca="1"/>
      </c>
      <c r="DH17">
        <f ca="1"/>
      </c>
      <c r="DI17">
        <f ca="1"/>
      </c>
      <c r="DJ17">
        <f ca="1"/>
      </c>
      <c r="DK17">
        <f ca="1"/>
      </c>
      <c r="DL17">
        <f ca="1"/>
      </c>
      <c r="DM17">
        <f ca="1"/>
      </c>
      <c r="DN17">
        <f ca="1"/>
      </c>
      <c r="DO17">
        <f ca="1"/>
      </c>
      <c r="DP17">
        <f ca="1"/>
      </c>
      <c r="DQ17">
        <f ca="1"/>
      </c>
      <c r="DR17">
        <f ca="1"/>
      </c>
      <c r="DS17">
        <f ca="1"/>
      </c>
      <c r="DT17">
        <f ca="1"/>
      </c>
      <c r="DU17">
        <f ca="1"/>
      </c>
      <c r="DV17">
        <f ca="1"/>
      </c>
      <c r="DW17">
        <f ca="1"/>
      </c>
      <c r="DX17">
        <f ca="1"/>
      </c>
      <c r="DY17">
        <f ca="1"/>
      </c>
      <c r="DZ17">
        <f ca="1"/>
      </c>
      <c r="EA17">
        <f ca="1"/>
      </c>
      <c r="EB17">
        <f ca="1"/>
      </c>
      <c r="EC17">
        <f ca="1"/>
      </c>
      <c r="ED17">
        <f ca="1"/>
      </c>
      <c r="EE17">
        <f ca="1"/>
      </c>
      <c r="EF17">
        <f ca="1"/>
      </c>
      <c r="EG17">
        <f ca="1"/>
      </c>
      <c r="EH17">
        <f ca="1"/>
      </c>
      <c r="EI17">
        <f ca="1"/>
      </c>
      <c r="EJ17">
        <f ca="1"/>
      </c>
      <c r="EK17">
        <f ca="1"/>
      </c>
      <c r="EL17">
        <f ca="1"/>
      </c>
      <c r="EM17">
        <f ca="1"/>
      </c>
      <c r="EN17">
        <f ca="1"/>
      </c>
      <c r="EO17">
        <f ca="1"/>
      </c>
      <c r="EP17">
        <f ca="1"/>
      </c>
      <c r="EQ17">
        <f ca="1"/>
      </c>
      <c r="ER17">
        <f ca="1"/>
      </c>
      <c r="ES17">
        <f ca="1"/>
      </c>
      <c r="ET17">
        <f ca="1"/>
      </c>
      <c r="EU17">
        <f ca="1"/>
      </c>
      <c r="EV17">
        <f ca="1"/>
      </c>
      <c r="EW17">
        <f ca="1"/>
      </c>
      <c r="EX17">
        <f ca="1"/>
      </c>
      <c r="EY17">
        <f ca="1"/>
      </c>
      <c r="EZ17">
        <f ca="1"/>
      </c>
      <c r="FA17">
        <f ca="1"/>
      </c>
      <c r="FC17">
        <f ca="1"/>
      </c>
      <c r="FD17">
        <f ca="1"/>
      </c>
      <c r="FE17">
        <f ca="1"/>
      </c>
      <c r="FF17">
        <f ca="1"/>
      </c>
      <c r="FG17">
        <f ca="1"/>
      </c>
      <c r="FH17">
        <f ca="1"/>
      </c>
      <c r="FI17">
        <f ca="1"/>
      </c>
      <c r="FJ17">
        <f ca="1"/>
      </c>
      <c r="FK17">
        <f ca="1"/>
      </c>
      <c r="FL17">
        <f ca="1"/>
      </c>
      <c r="FM17">
        <f ca="1"/>
      </c>
      <c r="FN17">
        <f ca="1"/>
      </c>
      <c r="FO17">
        <f ca="1"/>
      </c>
      <c r="FP17">
        <f ca="1"/>
      </c>
      <c r="FQ17">
        <f ca="1"/>
      </c>
      <c r="FR17">
        <f ca="1"/>
      </c>
      <c r="FS17">
        <f ca="1"/>
      </c>
      <c r="FT17">
        <f ca="1"/>
      </c>
      <c r="FU17">
        <f ca="1"/>
      </c>
      <c r="FV17">
        <f ca="1"/>
      </c>
      <c r="FW17">
        <f ca="1"/>
      </c>
      <c r="FX17">
        <f ca="1"/>
      </c>
      <c r="FY17">
        <f ca="1"/>
      </c>
      <c r="FZ17">
        <f ca="1"/>
      </c>
      <c r="GA17">
        <f ca="1"/>
      </c>
      <c r="GB17">
        <f ca="1"/>
      </c>
      <c r="GC17">
        <f ca="1"/>
      </c>
      <c r="GD17">
        <f ca="1"/>
      </c>
      <c r="GE17">
        <f ca="1"/>
      </c>
      <c r="GF17">
        <f ca="1"/>
      </c>
      <c r="GG17">
        <f ca="1"/>
      </c>
      <c r="GH17">
        <f ca="1"/>
      </c>
      <c r="GI17">
        <f ca="1"/>
      </c>
      <c r="GJ17">
        <f ca="1"/>
      </c>
      <c r="GK17">
        <f ca="1"/>
      </c>
      <c r="GL17">
        <f ca="1"/>
      </c>
      <c r="GM17">
        <f ca="1"/>
      </c>
      <c r="GN17">
        <f ca="1"/>
      </c>
      <c r="GO17">
        <f ca="1"/>
      </c>
      <c r="GP17">
        <f ca="1"/>
      </c>
      <c r="GQ17">
        <f ca="1"/>
      </c>
      <c r="GR17">
        <f ca="1"/>
      </c>
      <c r="GS17">
        <f ca="1"/>
      </c>
      <c r="GT17">
        <f ca="1"/>
      </c>
      <c r="GU17">
        <f ca="1"/>
      </c>
      <c r="GV17">
        <f ca="1"/>
      </c>
      <c r="GW17">
        <f ca="1"/>
      </c>
      <c r="GY17">
        <f>VALUE(_xlfn.TEXTBEFORE($A$25,"y"))</f>
      </c>
      <c r="GZ17">
        <f ca="1">$B$25</f>
      </c>
      <c r="HA17">
        <f ca="1">IFERROR($B$25-$G$25/100,NA())</f>
      </c>
      <c r="HB17">
        <f ca="1">$G$25</f>
      </c>
      <c r="HI17" s="7">
        <f ca="1"/>
      </c>
      <c r="HJ17">
        <f ca="1"/>
      </c>
      <c r="HK17">
        <f ca="1"/>
      </c>
      <c r="HL17">
        <f ca="1"/>
      </c>
      <c r="HM17">
        <f ca="1"/>
      </c>
      <c r="HP17">
        <f ca="1"/>
      </c>
    </row>
    <row r="18" spans="1:224" x14ac:dyDescent="0.55000000000000004">
      <c r="A18" t="s">
        <v>284</v>
      </c>
      <c r="B18" s="13" cm="1">
        <f t="array" aca="1" ref="B18" ca="1">_xlfn.XLOOKUP($A18,_xlfn.ANCHORARRAY($HO$4),_xlfn.ANCHORARRAY($HP$4),"")</f>
      </c>
      <c r="C18" s="13" cm="1">
        <f t="array" aca="1" ref="C18" ca="1">_xlfn.LET(_xlpm.h,FWM_HC,_xlpm.c,_xlfn.XMATCH($A18,_xlfn.TAKE(_xlpm.h,1)),INDEX(_xlpm.h,ROWS(_xlpm.h),_xlpm.c))</f>
      </c>
      <c r="D18" s="44" cm="1">
        <f t="array" aca="1" ref="D18" ca="1">_xlfn.LET(_xlpm.h,FWM_HC,_xlpm.c,_xlfn.XMATCH($A18,_xlfn.TAKE(_xlpm.h,1)),(B18-INDEX(_xlpm.h,ROWS(_xlpm.h)-4,_xlpm.c))*100)</f>
      </c>
      <c r="E18" s="44" cm="1">
        <f t="array" aca="1" ref="E18" ca="1">_xlfn.LET(_xlpm.h,FWM_HC,_xlpm.c,_xlfn.XMATCH($A18,_xlfn.TAKE(_xlpm.h,1)),(B18-INDEX(_xlpm.h,ROWS(_xlpm.h)-20,_xlpm.c))*100)</f>
      </c>
      <c r="F18" s="44" cm="1">
        <f t="array" aca="1" ref="F18" ca="1">_xlfn.LET(_xlpm.h,FWM_HC,_xlpm.c,_xlfn.XMATCH($A18,_xlfn.TAKE(_xlpm.h,1)),(B18-_xlfn.XLOOKUP(FWM_Cmp,_xlfn.DROP(INDEX(_xlpm.h,,1),1),_xlfn.DROP(INDEX(_xlpm.h,,_xlpm.c),1),"",-1))*100)</f>
      </c>
      <c r="G18" s="44">
        <f ca="1">IF(ISNUMBER(B17),(B18-B17)*100,"")</f>
      </c>
      <c r="H18" s="45">
        <f ca="1">_xlfn.LET(_xlpm.h,FWM_HC,_xlpm.d,_xlfn.DROP(INDEX(_xlpm.h,,_xlfn.XMATCH($A18&amp;" dF",_xlfn.TAKE(_xlpm.h,1))),1),_xlpm.t,_xlfn.TAKE(_xlpm.d,-H$10),$L18/SQRT(SUMSQ(_xlpm.t)/ROWS(_xlpm.t)))</f>
      </c>
      <c r="I18" s="45">
        <f ca="1">_xlfn.LET(_xlpm.h,FWM_HC,_xlpm.d,_xlfn.DROP(INDEX(_xlpm.h,,_xlfn.XMATCH($A18&amp;" dF",_xlfn.TAKE(_xlpm.h,1))),1),_xlpm.t,_xlfn.TAKE(_xlpm.d,-I$10),$L18/SQRT(SUMSQ(_xlpm.t)/ROWS(_xlpm.t)))</f>
      </c>
      <c r="J18" s="45">
        <f ca="1">_xlfn.LET(_xlpm.h,FWM_HC,_xlpm.d,_xlfn.DROP(INDEX(_xlpm.h,,_xlfn.XMATCH($A18&amp;" dF",_xlfn.TAKE(_xlpm.h,1))),1),_xlpm.t,_xlfn.TAKE(_xlpm.d,-J$10),$L18/SQRT(SUMSQ(_xlpm.t)/ROWS(_xlpm.t)))</f>
      </c>
      <c r="L18" s="44" cm="1">
        <f t="array" aca="1" ref="L18:AE18" ca="1">_xlfn.LET(_xlpm.h,FWM_HC,_xlpm.c,_xlfn.XMATCH($A18,_xlfn.TAKE(_xlpm.h,1)),_xlpm.v,_xlfn.VSTACK(_xlfn.TAKE(_xlfn.DROP(INDEX(_xlpm.h,,_xlpm.c),1),-20),$B18),_xlpm.d,(_xlfn.DROP(_xlpm.v,1)-_xlfn.DROP(_xlpm.v,-1))*100,INDEX(_xlpm.d,_xlfn.SEQUENCE(1,20,20,-1)))</f>
      </c>
      <c r="M18" s="44">
        <f ca="1"/>
      </c>
      <c r="N18" s="44">
        <f ca="1"/>
      </c>
      <c r="O18" s="44">
        <f ca="1"/>
      </c>
      <c r="P18" s="44">
        <f ca="1"/>
      </c>
      <c r="Q18" s="44">
        <f ca="1"/>
      </c>
      <c r="R18" s="44">
        <f ca="1"/>
      </c>
      <c r="S18" s="44">
        <f ca="1"/>
      </c>
      <c r="T18" s="44">
        <f ca="1"/>
      </c>
      <c r="U18" s="44">
        <f ca="1"/>
      </c>
      <c r="V18" s="44">
        <f ca="1"/>
      </c>
      <c r="W18" s="44">
        <f ca="1"/>
      </c>
      <c r="X18" s="44">
        <f ca="1"/>
      </c>
      <c r="Y18" s="44">
        <f ca="1"/>
      </c>
      <c r="Z18" s="44">
        <f ca="1"/>
      </c>
      <c r="AA18" s="44">
        <f ca="1"/>
      </c>
      <c r="AB18" s="44">
        <f ca="1"/>
      </c>
      <c r="AC18" s="44">
        <f ca="1"/>
      </c>
      <c r="AD18" s="44">
        <f ca="1"/>
      </c>
      <c r="AE18" s="44">
        <f ca="1"/>
      </c>
      <c r="AW18">
        <f ca="1"/>
      </c>
      <c r="AX18">
        <f ca="1"/>
      </c>
      <c r="AY18">
        <f ca="1"/>
      </c>
      <c r="AZ18">
        <f ca="1"/>
      </c>
      <c r="BB18">
        <f ca="1"/>
      </c>
      <c r="BC18">
        <f ca="1"/>
      </c>
      <c r="BD18">
        <f ca="1"/>
      </c>
      <c r="BE18">
        <f ca="1"/>
      </c>
      <c r="BF18">
        <f ca="1"/>
      </c>
      <c r="BH18" t="s">
        <v>13</v>
      </c>
      <c r="BI18">
        <v>1</v>
      </c>
      <c r="BK18">
        <f ca="1"/>
      </c>
      <c r="BL18">
        <f ca="1"/>
      </c>
      <c r="BM18">
        <f ca="1"/>
      </c>
      <c r="BN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  <c r="BV18">
        <f ca="1"/>
      </c>
      <c r="BW18">
        <f ca="1"/>
      </c>
      <c r="BX18">
        <f ca="1"/>
      </c>
      <c r="BY18">
        <f ca="1"/>
      </c>
      <c r="BZ18">
        <f ca="1"/>
      </c>
      <c r="CA18">
        <f ca="1"/>
      </c>
      <c r="CB18">
        <f ca="1"/>
      </c>
      <c r="CC18">
        <f ca="1"/>
      </c>
      <c r="CD18">
        <f ca="1"/>
      </c>
      <c r="CE18">
        <f ca="1"/>
      </c>
      <c r="CF18">
        <f ca="1"/>
      </c>
      <c r="CG18">
        <f ca="1"/>
      </c>
      <c r="CH18">
        <f ca="1"/>
      </c>
      <c r="CI18">
        <f ca="1"/>
      </c>
      <c r="CJ18">
        <f ca="1"/>
      </c>
      <c r="CK18">
        <f ca="1"/>
      </c>
      <c r="CL18">
        <f ca="1"/>
      </c>
      <c r="CM18">
        <f ca="1"/>
      </c>
      <c r="CN18">
        <f ca="1"/>
      </c>
      <c r="CO18">
        <f ca="1"/>
      </c>
      <c r="CP18">
        <f ca="1"/>
      </c>
      <c r="CQ18">
        <f ca="1"/>
      </c>
      <c r="CR18">
        <f ca="1"/>
      </c>
      <c r="CS18">
        <f ca="1"/>
      </c>
      <c r="CT18">
        <f ca="1"/>
      </c>
      <c r="CU18">
        <f ca="1"/>
      </c>
      <c r="CV18">
        <f ca="1"/>
      </c>
      <c r="CW18">
        <f ca="1"/>
      </c>
      <c r="CX18">
        <f ca="1"/>
      </c>
      <c r="CY18">
        <f ca="1"/>
      </c>
      <c r="CZ18">
        <f ca="1"/>
      </c>
      <c r="DA18">
        <f ca="1"/>
      </c>
      <c r="DB18">
        <f ca="1"/>
      </c>
      <c r="DC18">
        <f ca="1"/>
      </c>
      <c r="DD18">
        <f ca="1"/>
      </c>
      <c r="DE18">
        <f ca="1"/>
      </c>
      <c r="DG18">
        <f ca="1"/>
      </c>
      <c r="DH18">
        <f ca="1"/>
      </c>
      <c r="DI18">
        <f ca="1"/>
      </c>
      <c r="DJ18">
        <f ca="1"/>
      </c>
      <c r="DK18">
        <f ca="1"/>
      </c>
      <c r="DL18">
        <f ca="1"/>
      </c>
      <c r="DM18">
        <f ca="1"/>
      </c>
      <c r="DN18">
        <f ca="1"/>
      </c>
      <c r="DO18">
        <f ca="1"/>
      </c>
      <c r="DP18">
        <f ca="1"/>
      </c>
      <c r="DQ18">
        <f ca="1"/>
      </c>
      <c r="DR18">
        <f ca="1"/>
      </c>
      <c r="DS18">
        <f ca="1"/>
      </c>
      <c r="DT18">
        <f ca="1"/>
      </c>
      <c r="DU18">
        <f ca="1"/>
      </c>
      <c r="DV18">
        <f ca="1"/>
      </c>
      <c r="DW18">
        <f ca="1"/>
      </c>
      <c r="DX18">
        <f ca="1"/>
      </c>
      <c r="DY18">
        <f ca="1"/>
      </c>
      <c r="DZ18">
        <f ca="1"/>
      </c>
      <c r="EA18">
        <f ca="1"/>
      </c>
      <c r="EB18">
        <f ca="1"/>
      </c>
      <c r="EC18">
        <f ca="1"/>
      </c>
      <c r="ED18">
        <f ca="1"/>
      </c>
      <c r="EE18">
        <f ca="1"/>
      </c>
      <c r="EF18">
        <f ca="1"/>
      </c>
      <c r="EG18">
        <f ca="1"/>
      </c>
      <c r="EH18">
        <f ca="1"/>
      </c>
      <c r="EI18">
        <f ca="1"/>
      </c>
      <c r="EJ18">
        <f ca="1"/>
      </c>
      <c r="EK18">
        <f ca="1"/>
      </c>
      <c r="EL18">
        <f ca="1"/>
      </c>
      <c r="EM18">
        <f ca="1"/>
      </c>
      <c r="EN18">
        <f ca="1"/>
      </c>
      <c r="EO18">
        <f ca="1"/>
      </c>
      <c r="EP18">
        <f ca="1"/>
      </c>
      <c r="EQ18">
        <f ca="1"/>
      </c>
      <c r="ER18">
        <f ca="1"/>
      </c>
      <c r="ES18">
        <f ca="1"/>
      </c>
      <c r="ET18">
        <f ca="1"/>
      </c>
      <c r="EU18">
        <f ca="1"/>
      </c>
      <c r="EV18">
        <f ca="1"/>
      </c>
      <c r="EW18">
        <f ca="1"/>
      </c>
      <c r="EX18">
        <f ca="1"/>
      </c>
      <c r="EY18">
        <f ca="1"/>
      </c>
      <c r="EZ18">
        <f ca="1"/>
      </c>
      <c r="FA18">
        <f ca="1"/>
      </c>
      <c r="FC18">
        <f ca="1"/>
      </c>
      <c r="FD18">
        <f ca="1"/>
      </c>
      <c r="FE18">
        <f ca="1"/>
      </c>
      <c r="FF18">
        <f ca="1"/>
      </c>
      <c r="FG18">
        <f ca="1"/>
      </c>
      <c r="FH18">
        <f ca="1"/>
      </c>
      <c r="FI18">
        <f ca="1"/>
      </c>
      <c r="FJ18">
        <f ca="1"/>
      </c>
      <c r="FK18">
        <f ca="1"/>
      </c>
      <c r="FL18">
        <f ca="1"/>
      </c>
      <c r="FM18">
        <f ca="1"/>
      </c>
      <c r="FN18">
        <f ca="1"/>
      </c>
      <c r="FO18">
        <f ca="1"/>
      </c>
      <c r="FP18">
        <f ca="1"/>
      </c>
      <c r="FQ18">
        <f ca="1"/>
      </c>
      <c r="FR18">
        <f ca="1"/>
      </c>
      <c r="FS18">
        <f ca="1"/>
      </c>
      <c r="FT18">
        <f ca="1"/>
      </c>
      <c r="FU18">
        <f ca="1"/>
      </c>
      <c r="FV18">
        <f ca="1"/>
      </c>
      <c r="FW18">
        <f ca="1"/>
      </c>
      <c r="FX18">
        <f ca="1"/>
      </c>
      <c r="FY18">
        <f ca="1"/>
      </c>
      <c r="FZ18">
        <f ca="1"/>
      </c>
      <c r="GA18">
        <f ca="1"/>
      </c>
      <c r="GB18">
        <f ca="1"/>
      </c>
      <c r="GC18">
        <f ca="1"/>
      </c>
      <c r="GD18">
        <f ca="1"/>
      </c>
      <c r="GE18">
        <f ca="1"/>
      </c>
      <c r="GF18">
        <f ca="1"/>
      </c>
      <c r="GG18">
        <f ca="1"/>
      </c>
      <c r="GH18">
        <f ca="1"/>
      </c>
      <c r="GI18">
        <f ca="1"/>
      </c>
      <c r="GJ18">
        <f ca="1"/>
      </c>
      <c r="GK18">
        <f ca="1"/>
      </c>
      <c r="GL18">
        <f ca="1"/>
      </c>
      <c r="GM18">
        <f ca="1"/>
      </c>
      <c r="GN18">
        <f ca="1"/>
      </c>
      <c r="GO18">
        <f ca="1"/>
      </c>
      <c r="GP18">
        <f ca="1"/>
      </c>
      <c r="GQ18">
        <f ca="1"/>
      </c>
      <c r="GR18">
        <f ca="1"/>
      </c>
      <c r="GS18">
        <f ca="1"/>
      </c>
      <c r="GT18">
        <f ca="1"/>
      </c>
      <c r="GU18">
        <f ca="1"/>
      </c>
      <c r="GV18">
        <f ca="1"/>
      </c>
      <c r="GW18">
        <f ca="1"/>
      </c>
      <c r="GY18">
        <f>VALUE(_xlfn.TEXTBEFORE($A$26,"y"))</f>
      </c>
      <c r="GZ18">
        <f ca="1">$B$26</f>
      </c>
      <c r="HA18">
        <f ca="1">IFERROR($B$26-$G$26/100,NA())</f>
      </c>
      <c r="HB18">
        <f ca="1">$G$26</f>
      </c>
      <c r="HI18" s="7">
        <f ca="1"/>
      </c>
      <c r="HJ18">
        <f ca="1"/>
      </c>
      <c r="HK18">
        <f ca="1"/>
      </c>
      <c r="HL18">
        <f ca="1"/>
      </c>
      <c r="HM18">
        <f ca="1"/>
      </c>
      <c r="HP18">
        <f ca="1"/>
      </c>
    </row>
    <row r="19" spans="1:224" x14ac:dyDescent="0.55000000000000004">
      <c r="A19" t="s">
        <v>285</v>
      </c>
      <c r="B19" s="13" cm="1">
        <f t="array" aca="1" ref="B19" ca="1">_xlfn.XLOOKUP($A19,_xlfn.ANCHORARRAY($HO$4),_xlfn.ANCHORARRAY($HP$4),"")</f>
      </c>
      <c r="C19" s="13" cm="1">
        <f t="array" aca="1" ref="C19" ca="1">_xlfn.LET(_xlpm.h,FWM_HC,_xlpm.c,_xlfn.XMATCH($A19,_xlfn.TAKE(_xlpm.h,1)),INDEX(_xlpm.h,ROWS(_xlpm.h),_xlpm.c))</f>
      </c>
      <c r="D19" s="44" cm="1">
        <f t="array" aca="1" ref="D19" ca="1">_xlfn.LET(_xlpm.h,FWM_HC,_xlpm.c,_xlfn.XMATCH($A19,_xlfn.TAKE(_xlpm.h,1)),(B19-INDEX(_xlpm.h,ROWS(_xlpm.h)-4,_xlpm.c))*100)</f>
      </c>
      <c r="E19" s="44" cm="1">
        <f t="array" aca="1" ref="E19" ca="1">_xlfn.LET(_xlpm.h,FWM_HC,_xlpm.c,_xlfn.XMATCH($A19,_xlfn.TAKE(_xlpm.h,1)),(B19-INDEX(_xlpm.h,ROWS(_xlpm.h)-20,_xlpm.c))*100)</f>
      </c>
      <c r="F19" s="44" cm="1">
        <f t="array" aca="1" ref="F19" ca="1">_xlfn.LET(_xlpm.h,FWM_HC,_xlpm.c,_xlfn.XMATCH($A19,_xlfn.TAKE(_xlpm.h,1)),(B19-_xlfn.XLOOKUP(FWM_Cmp,_xlfn.DROP(INDEX(_xlpm.h,,1),1),_xlfn.DROP(INDEX(_xlpm.h,,_xlpm.c),1),"",-1))*100)</f>
      </c>
      <c r="G19" s="44">
        <f ca="1">IF(ISNUMBER(B18),(B19-B18)*100,"")</f>
      </c>
      <c r="H19" s="45">
        <f ca="1">_xlfn.LET(_xlpm.h,FWM_HC,_xlpm.d,_xlfn.DROP(INDEX(_xlpm.h,,_xlfn.XMATCH($A19&amp;" dF",_xlfn.TAKE(_xlpm.h,1))),1),_xlpm.t,_xlfn.TAKE(_xlpm.d,-H$10),$L19/SQRT(SUMSQ(_xlpm.t)/ROWS(_xlpm.t)))</f>
      </c>
      <c r="I19" s="45">
        <f ca="1">_xlfn.LET(_xlpm.h,FWM_HC,_xlpm.d,_xlfn.DROP(INDEX(_xlpm.h,,_xlfn.XMATCH($A19&amp;" dF",_xlfn.TAKE(_xlpm.h,1))),1),_xlpm.t,_xlfn.TAKE(_xlpm.d,-I$10),$L19/SQRT(SUMSQ(_xlpm.t)/ROWS(_xlpm.t)))</f>
      </c>
      <c r="J19" s="45">
        <f ca="1">_xlfn.LET(_xlpm.h,FWM_HC,_xlpm.d,_xlfn.DROP(INDEX(_xlpm.h,,_xlfn.XMATCH($A19&amp;" dF",_xlfn.TAKE(_xlpm.h,1))),1),_xlpm.t,_xlfn.TAKE(_xlpm.d,-J$10),$L19/SQRT(SUMSQ(_xlpm.t)/ROWS(_xlpm.t)))</f>
      </c>
      <c r="L19" s="44" cm="1">
        <f t="array" aca="1" ref="L19:AE19" ca="1">_xlfn.LET(_xlpm.h,FWM_HC,_xlpm.c,_xlfn.XMATCH($A19,_xlfn.TAKE(_xlpm.h,1)),_xlpm.v,_xlfn.VSTACK(_xlfn.TAKE(_xlfn.DROP(INDEX(_xlpm.h,,_xlpm.c),1),-20),$B19),_xlpm.d,(_xlfn.DROP(_xlpm.v,1)-_xlfn.DROP(_xlpm.v,-1))*100,INDEX(_xlpm.d,_xlfn.SEQUENCE(1,20,20,-1)))</f>
      </c>
      <c r="M19" s="44">
        <f ca="1"/>
      </c>
      <c r="N19" s="44">
        <f ca="1"/>
      </c>
      <c r="O19" s="44">
        <f ca="1"/>
      </c>
      <c r="P19" s="44">
        <f ca="1"/>
      </c>
      <c r="Q19" s="44">
        <f ca="1"/>
      </c>
      <c r="R19" s="44">
        <f ca="1"/>
      </c>
      <c r="S19" s="44">
        <f ca="1"/>
      </c>
      <c r="T19" s="44">
        <f ca="1"/>
      </c>
      <c r="U19" s="44">
        <f ca="1"/>
      </c>
      <c r="V19" s="44">
        <f ca="1"/>
      </c>
      <c r="W19" s="44">
        <f ca="1"/>
      </c>
      <c r="X19" s="44">
        <f ca="1"/>
      </c>
      <c r="Y19" s="44">
        <f ca="1"/>
      </c>
      <c r="Z19" s="44">
        <f ca="1"/>
      </c>
      <c r="AA19" s="44">
        <f ca="1"/>
      </c>
      <c r="AB19" s="44">
        <f ca="1"/>
      </c>
      <c r="AC19" s="44">
        <f ca="1"/>
      </c>
      <c r="AD19" s="44">
        <f ca="1"/>
      </c>
      <c r="AE19" s="44">
        <f ca="1"/>
      </c>
      <c r="AW19">
        <f ca="1"/>
      </c>
      <c r="AX19">
        <f ca="1"/>
      </c>
      <c r="AY19">
        <f ca="1"/>
      </c>
      <c r="AZ19">
        <f ca="1"/>
      </c>
      <c r="BB19">
        <f ca="1"/>
      </c>
      <c r="BC19">
        <f ca="1"/>
      </c>
      <c r="BD19">
        <f ca="1"/>
      </c>
      <c r="BE19">
        <f ca="1"/>
      </c>
      <c r="BF19">
        <f ca="1"/>
      </c>
      <c r="BH19" t="s">
        <v>14</v>
      </c>
      <c r="BI19">
        <v>1</v>
      </c>
      <c r="BK19">
        <f ca="1"/>
      </c>
      <c r="BL19">
        <f ca="1"/>
      </c>
      <c r="BM19">
        <f ca="1"/>
      </c>
      <c r="BN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  <c r="BV19">
        <f ca="1"/>
      </c>
      <c r="BW19">
        <f ca="1"/>
      </c>
      <c r="BX19">
        <f ca="1"/>
      </c>
      <c r="BY19">
        <f ca="1"/>
      </c>
      <c r="BZ19">
        <f ca="1"/>
      </c>
      <c r="CA19">
        <f ca="1"/>
      </c>
      <c r="CB19">
        <f ca="1"/>
      </c>
      <c r="CC19">
        <f ca="1"/>
      </c>
      <c r="CD19">
        <f ca="1"/>
      </c>
      <c r="CE19">
        <f ca="1"/>
      </c>
      <c r="CF19">
        <f ca="1"/>
      </c>
      <c r="CG19">
        <f ca="1"/>
      </c>
      <c r="CH19">
        <f ca="1"/>
      </c>
      <c r="CI19">
        <f ca="1"/>
      </c>
      <c r="CJ19">
        <f ca="1"/>
      </c>
      <c r="CK19">
        <f ca="1"/>
      </c>
      <c r="CL19">
        <f ca="1"/>
      </c>
      <c r="CM19">
        <f ca="1"/>
      </c>
      <c r="CN19">
        <f ca="1"/>
      </c>
      <c r="CO19">
        <f ca="1"/>
      </c>
      <c r="CP19">
        <f ca="1"/>
      </c>
      <c r="CQ19">
        <f ca="1"/>
      </c>
      <c r="CR19">
        <f ca="1"/>
      </c>
      <c r="CS19">
        <f ca="1"/>
      </c>
      <c r="CT19">
        <f ca="1"/>
      </c>
      <c r="CU19">
        <f ca="1"/>
      </c>
      <c r="CV19">
        <f ca="1"/>
      </c>
      <c r="CW19">
        <f ca="1"/>
      </c>
      <c r="CX19">
        <f ca="1"/>
      </c>
      <c r="CY19">
        <f ca="1"/>
      </c>
      <c r="CZ19">
        <f ca="1"/>
      </c>
      <c r="DA19">
        <f ca="1"/>
      </c>
      <c r="DB19">
        <f ca="1"/>
      </c>
      <c r="DC19">
        <f ca="1"/>
      </c>
      <c r="DD19">
        <f ca="1"/>
      </c>
      <c r="DE19">
        <f ca="1"/>
      </c>
      <c r="DG19">
        <f ca="1"/>
      </c>
      <c r="DH19">
        <f ca="1"/>
      </c>
      <c r="DI19">
        <f ca="1"/>
      </c>
      <c r="DJ19">
        <f ca="1"/>
      </c>
      <c r="DK19">
        <f ca="1"/>
      </c>
      <c r="DL19">
        <f ca="1"/>
      </c>
      <c r="DM19">
        <f ca="1"/>
      </c>
      <c r="DN19">
        <f ca="1"/>
      </c>
      <c r="DO19">
        <f ca="1"/>
      </c>
      <c r="DP19">
        <f ca="1"/>
      </c>
      <c r="DQ19">
        <f ca="1"/>
      </c>
      <c r="DR19">
        <f ca="1"/>
      </c>
      <c r="DS19">
        <f ca="1"/>
      </c>
      <c r="DT19">
        <f ca="1"/>
      </c>
      <c r="DU19">
        <f ca="1"/>
      </c>
      <c r="DV19">
        <f ca="1"/>
      </c>
      <c r="DW19">
        <f ca="1"/>
      </c>
      <c r="DX19">
        <f ca="1"/>
      </c>
      <c r="DY19">
        <f ca="1"/>
      </c>
      <c r="DZ19">
        <f ca="1"/>
      </c>
      <c r="EA19">
        <f ca="1"/>
      </c>
      <c r="EB19">
        <f ca="1"/>
      </c>
      <c r="EC19">
        <f ca="1"/>
      </c>
      <c r="ED19">
        <f ca="1"/>
      </c>
      <c r="EE19">
        <f ca="1"/>
      </c>
      <c r="EF19">
        <f ca="1"/>
      </c>
      <c r="EG19">
        <f ca="1"/>
      </c>
      <c r="EH19">
        <f ca="1"/>
      </c>
      <c r="EI19">
        <f ca="1"/>
      </c>
      <c r="EJ19">
        <f ca="1"/>
      </c>
      <c r="EK19">
        <f ca="1"/>
      </c>
      <c r="EL19">
        <f ca="1"/>
      </c>
      <c r="EM19">
        <f ca="1"/>
      </c>
      <c r="EN19">
        <f ca="1"/>
      </c>
      <c r="EO19">
        <f ca="1"/>
      </c>
      <c r="EP19">
        <f ca="1"/>
      </c>
      <c r="EQ19">
        <f ca="1"/>
      </c>
      <c r="ER19">
        <f ca="1"/>
      </c>
      <c r="ES19">
        <f ca="1"/>
      </c>
      <c r="ET19">
        <f ca="1"/>
      </c>
      <c r="EU19">
        <f ca="1"/>
      </c>
      <c r="EV19">
        <f ca="1"/>
      </c>
      <c r="EW19">
        <f ca="1"/>
      </c>
      <c r="EX19">
        <f ca="1"/>
      </c>
      <c r="EY19">
        <f ca="1"/>
      </c>
      <c r="EZ19">
        <f ca="1"/>
      </c>
      <c r="FA19">
        <f ca="1"/>
      </c>
      <c r="FC19">
        <f ca="1"/>
      </c>
      <c r="FD19">
        <f ca="1"/>
      </c>
      <c r="FE19">
        <f ca="1"/>
      </c>
      <c r="FF19">
        <f ca="1"/>
      </c>
      <c r="FG19">
        <f ca="1"/>
      </c>
      <c r="FH19">
        <f ca="1"/>
      </c>
      <c r="FI19">
        <f ca="1"/>
      </c>
      <c r="FJ19">
        <f ca="1"/>
      </c>
      <c r="FK19">
        <f ca="1"/>
      </c>
      <c r="FL19">
        <f ca="1"/>
      </c>
      <c r="FM19">
        <f ca="1"/>
      </c>
      <c r="FN19">
        <f ca="1"/>
      </c>
      <c r="FO19">
        <f ca="1"/>
      </c>
      <c r="FP19">
        <f ca="1"/>
      </c>
      <c r="FQ19">
        <f ca="1"/>
      </c>
      <c r="FR19">
        <f ca="1"/>
      </c>
      <c r="FS19">
        <f ca="1"/>
      </c>
      <c r="FT19">
        <f ca="1"/>
      </c>
      <c r="FU19">
        <f ca="1"/>
      </c>
      <c r="FV19">
        <f ca="1"/>
      </c>
      <c r="FW19">
        <f ca="1"/>
      </c>
      <c r="FX19">
        <f ca="1"/>
      </c>
      <c r="FY19">
        <f ca="1"/>
      </c>
      <c r="FZ19">
        <f ca="1"/>
      </c>
      <c r="GA19">
        <f ca="1"/>
      </c>
      <c r="GB19">
        <f ca="1"/>
      </c>
      <c r="GC19">
        <f ca="1"/>
      </c>
      <c r="GD19">
        <f ca="1"/>
      </c>
      <c r="GE19">
        <f ca="1"/>
      </c>
      <c r="GF19">
        <f ca="1"/>
      </c>
      <c r="GG19">
        <f ca="1"/>
      </c>
      <c r="GH19">
        <f ca="1"/>
      </c>
      <c r="GI19">
        <f ca="1"/>
      </c>
      <c r="GJ19">
        <f ca="1"/>
      </c>
      <c r="GK19">
        <f ca="1"/>
      </c>
      <c r="GL19">
        <f ca="1"/>
      </c>
      <c r="GM19">
        <f ca="1"/>
      </c>
      <c r="GN19">
        <f ca="1"/>
      </c>
      <c r="GO19">
        <f ca="1"/>
      </c>
      <c r="GP19">
        <f ca="1"/>
      </c>
      <c r="GQ19">
        <f ca="1"/>
      </c>
      <c r="GR19">
        <f ca="1"/>
      </c>
      <c r="GS19">
        <f ca="1"/>
      </c>
      <c r="GT19">
        <f ca="1"/>
      </c>
      <c r="GU19">
        <f ca="1"/>
      </c>
      <c r="GV19">
        <f ca="1"/>
      </c>
      <c r="GW19">
        <f ca="1"/>
      </c>
      <c r="GY19">
        <f>VALUE(_xlfn.TEXTBEFORE($A$27,"y"))</f>
      </c>
      <c r="GZ19">
        <f ca="1">$B$27</f>
      </c>
      <c r="HA19">
        <f ca="1">IFERROR($B$27-$G$27/100,NA())</f>
      </c>
      <c r="HB19">
        <f ca="1">$G$27</f>
      </c>
      <c r="HI19" s="7">
        <f ca="1"/>
      </c>
      <c r="HJ19">
        <f ca="1"/>
      </c>
      <c r="HK19">
        <f ca="1"/>
      </c>
      <c r="HL19">
        <f ca="1"/>
      </c>
      <c r="HM19">
        <f ca="1"/>
      </c>
      <c r="HP19">
        <f ca="1"/>
      </c>
    </row>
    <row r="20" spans="1:224" x14ac:dyDescent="0.55000000000000004">
      <c r="A20" t="s">
        <v>286</v>
      </c>
      <c r="B20" s="13" cm="1">
        <f t="array" aca="1" ref="B20" ca="1">_xlfn.XLOOKUP($A20,_xlfn.ANCHORARRAY($HO$4),_xlfn.ANCHORARRAY($HP$4),"")</f>
      </c>
      <c r="C20" s="13" cm="1">
        <f t="array" aca="1" ref="C20" ca="1">_xlfn.LET(_xlpm.h,FWM_HC,_xlpm.c,_xlfn.XMATCH($A20,_xlfn.TAKE(_xlpm.h,1)),INDEX(_xlpm.h,ROWS(_xlpm.h),_xlpm.c))</f>
      </c>
      <c r="D20" s="44" cm="1">
        <f t="array" aca="1" ref="D20" ca="1">_xlfn.LET(_xlpm.h,FWM_HC,_xlpm.c,_xlfn.XMATCH($A20,_xlfn.TAKE(_xlpm.h,1)),(B20-INDEX(_xlpm.h,ROWS(_xlpm.h)-4,_xlpm.c))*100)</f>
      </c>
      <c r="E20" s="44" cm="1">
        <f t="array" aca="1" ref="E20" ca="1">_xlfn.LET(_xlpm.h,FWM_HC,_xlpm.c,_xlfn.XMATCH($A20,_xlfn.TAKE(_xlpm.h,1)),(B20-INDEX(_xlpm.h,ROWS(_xlpm.h)-20,_xlpm.c))*100)</f>
      </c>
      <c r="F20" s="44" cm="1">
        <f t="array" aca="1" ref="F20" ca="1">_xlfn.LET(_xlpm.h,FWM_HC,_xlpm.c,_xlfn.XMATCH($A20,_xlfn.TAKE(_xlpm.h,1)),(B20-_xlfn.XLOOKUP(FWM_Cmp,_xlfn.DROP(INDEX(_xlpm.h,,1),1),_xlfn.DROP(INDEX(_xlpm.h,,_xlpm.c),1),"",-1))*100)</f>
      </c>
      <c r="G20" s="44">
        <f ca="1">IF(ISNUMBER(B19),(B20-B19)*100,"")</f>
      </c>
      <c r="H20" s="45">
        <f ca="1">_xlfn.LET(_xlpm.h,FWM_HC,_xlpm.d,_xlfn.DROP(INDEX(_xlpm.h,,_xlfn.XMATCH($A20&amp;" dF",_xlfn.TAKE(_xlpm.h,1))),1),_xlpm.t,_xlfn.TAKE(_xlpm.d,-H$10),$L20/SQRT(SUMSQ(_xlpm.t)/ROWS(_xlpm.t)))</f>
      </c>
      <c r="I20" s="45">
        <f ca="1">_xlfn.LET(_xlpm.h,FWM_HC,_xlpm.d,_xlfn.DROP(INDEX(_xlpm.h,,_xlfn.XMATCH($A20&amp;" dF",_xlfn.TAKE(_xlpm.h,1))),1),_xlpm.t,_xlfn.TAKE(_xlpm.d,-I$10),$L20/SQRT(SUMSQ(_xlpm.t)/ROWS(_xlpm.t)))</f>
      </c>
      <c r="J20" s="45">
        <f ca="1">_xlfn.LET(_xlpm.h,FWM_HC,_xlpm.d,_xlfn.DROP(INDEX(_xlpm.h,,_xlfn.XMATCH($A20&amp;" dF",_xlfn.TAKE(_xlpm.h,1))),1),_xlpm.t,_xlfn.TAKE(_xlpm.d,-J$10),$L20/SQRT(SUMSQ(_xlpm.t)/ROWS(_xlpm.t)))</f>
      </c>
      <c r="L20" s="44" cm="1">
        <f t="array" aca="1" ref="L20:AE20" ca="1">_xlfn.LET(_xlpm.h,FWM_HC,_xlpm.c,_xlfn.XMATCH($A20,_xlfn.TAKE(_xlpm.h,1)),_xlpm.v,_xlfn.VSTACK(_xlfn.TAKE(_xlfn.DROP(INDEX(_xlpm.h,,_xlpm.c),1),-20),$B20),_xlpm.d,(_xlfn.DROP(_xlpm.v,1)-_xlfn.DROP(_xlpm.v,-1))*100,INDEX(_xlpm.d,_xlfn.SEQUENCE(1,20,20,-1)))</f>
      </c>
      <c r="M20" s="44">
        <f ca="1"/>
      </c>
      <c r="N20" s="44">
        <f ca="1"/>
      </c>
      <c r="O20" s="44">
        <f ca="1"/>
      </c>
      <c r="P20" s="44">
        <f ca="1"/>
      </c>
      <c r="Q20" s="44">
        <f ca="1"/>
      </c>
      <c r="R20" s="44">
        <f ca="1"/>
      </c>
      <c r="S20" s="44">
        <f ca="1"/>
      </c>
      <c r="T20" s="44">
        <f ca="1"/>
      </c>
      <c r="U20" s="44">
        <f ca="1"/>
      </c>
      <c r="V20" s="44">
        <f ca="1"/>
      </c>
      <c r="W20" s="44">
        <f ca="1"/>
      </c>
      <c r="X20" s="44">
        <f ca="1"/>
      </c>
      <c r="Y20" s="44">
        <f ca="1"/>
      </c>
      <c r="Z20" s="44">
        <f ca="1"/>
      </c>
      <c r="AA20" s="44">
        <f ca="1"/>
      </c>
      <c r="AB20" s="44">
        <f ca="1"/>
      </c>
      <c r="AC20" s="44">
        <f ca="1"/>
      </c>
      <c r="AD20" s="44">
        <f ca="1"/>
      </c>
      <c r="AE20" s="44">
        <f ca="1"/>
      </c>
      <c r="AW20">
        <f ca="1"/>
      </c>
      <c r="AX20">
        <f ca="1"/>
      </c>
      <c r="AY20">
        <f ca="1"/>
      </c>
      <c r="AZ20">
        <f ca="1"/>
      </c>
      <c r="BB20">
        <f ca="1"/>
      </c>
      <c r="BC20">
        <f ca="1"/>
      </c>
      <c r="BD20">
        <f ca="1"/>
      </c>
      <c r="BE20">
        <f ca="1"/>
      </c>
      <c r="BF20">
        <f ca="1"/>
      </c>
      <c r="BH20" t="s">
        <v>15</v>
      </c>
      <c r="BI20">
        <v>1</v>
      </c>
      <c r="BK20">
        <f ca="1"/>
      </c>
      <c r="BL20">
        <f ca="1"/>
      </c>
      <c r="BM20">
        <f ca="1"/>
      </c>
      <c r="BN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  <c r="BV20">
        <f ca="1"/>
      </c>
      <c r="BW20">
        <f ca="1"/>
      </c>
      <c r="BX20">
        <f ca="1"/>
      </c>
      <c r="BY20">
        <f ca="1"/>
      </c>
      <c r="BZ20">
        <f ca="1"/>
      </c>
      <c r="CA20">
        <f ca="1"/>
      </c>
      <c r="CB20">
        <f ca="1"/>
      </c>
      <c r="CC20">
        <f ca="1"/>
      </c>
      <c r="CD20">
        <f ca="1"/>
      </c>
      <c r="CE20">
        <f ca="1"/>
      </c>
      <c r="CF20">
        <f ca="1"/>
      </c>
      <c r="CG20">
        <f ca="1"/>
      </c>
      <c r="CH20">
        <f ca="1"/>
      </c>
      <c r="CI20">
        <f ca="1"/>
      </c>
      <c r="CJ20">
        <f ca="1"/>
      </c>
      <c r="CK20">
        <f ca="1"/>
      </c>
      <c r="CL20">
        <f ca="1"/>
      </c>
      <c r="CM20">
        <f ca="1"/>
      </c>
      <c r="CN20">
        <f ca="1"/>
      </c>
      <c r="CO20">
        <f ca="1"/>
      </c>
      <c r="CP20">
        <f ca="1"/>
      </c>
      <c r="CQ20">
        <f ca="1"/>
      </c>
      <c r="CR20">
        <f ca="1"/>
      </c>
      <c r="CS20">
        <f ca="1"/>
      </c>
      <c r="CT20">
        <f ca="1"/>
      </c>
      <c r="CU20">
        <f ca="1"/>
      </c>
      <c r="CV20">
        <f ca="1"/>
      </c>
      <c r="CW20">
        <f ca="1"/>
      </c>
      <c r="CX20">
        <f ca="1"/>
      </c>
      <c r="CY20">
        <f ca="1"/>
      </c>
      <c r="CZ20">
        <f ca="1"/>
      </c>
      <c r="DA20">
        <f ca="1"/>
      </c>
      <c r="DB20">
        <f ca="1"/>
      </c>
      <c r="DC20">
        <f ca="1"/>
      </c>
      <c r="DD20">
        <f ca="1"/>
      </c>
      <c r="DE20">
        <f ca="1"/>
      </c>
      <c r="DG20">
        <f ca="1"/>
      </c>
      <c r="DH20">
        <f ca="1"/>
      </c>
      <c r="DI20">
        <f ca="1"/>
      </c>
      <c r="DJ20">
        <f ca="1"/>
      </c>
      <c r="DK20">
        <f ca="1"/>
      </c>
      <c r="DL20">
        <f ca="1"/>
      </c>
      <c r="DM20">
        <f ca="1"/>
      </c>
      <c r="DN20">
        <f ca="1"/>
      </c>
      <c r="DO20">
        <f ca="1"/>
      </c>
      <c r="DP20">
        <f ca="1"/>
      </c>
      <c r="DQ20">
        <f ca="1"/>
      </c>
      <c r="DR20">
        <f ca="1"/>
      </c>
      <c r="DS20">
        <f ca="1"/>
      </c>
      <c r="DT20">
        <f ca="1"/>
      </c>
      <c r="DU20">
        <f ca="1"/>
      </c>
      <c r="DV20">
        <f ca="1"/>
      </c>
      <c r="DW20">
        <f ca="1"/>
      </c>
      <c r="DX20">
        <f ca="1"/>
      </c>
      <c r="DY20">
        <f ca="1"/>
      </c>
      <c r="DZ20">
        <f ca="1"/>
      </c>
      <c r="EA20">
        <f ca="1"/>
      </c>
      <c r="EB20">
        <f ca="1"/>
      </c>
      <c r="EC20">
        <f ca="1"/>
      </c>
      <c r="ED20">
        <f ca="1"/>
      </c>
      <c r="EE20">
        <f ca="1"/>
      </c>
      <c r="EF20">
        <f ca="1"/>
      </c>
      <c r="EG20">
        <f ca="1"/>
      </c>
      <c r="EH20">
        <f ca="1"/>
      </c>
      <c r="EI20">
        <f ca="1"/>
      </c>
      <c r="EJ20">
        <f ca="1"/>
      </c>
      <c r="EK20">
        <f ca="1"/>
      </c>
      <c r="EL20">
        <f ca="1"/>
      </c>
      <c r="EM20">
        <f ca="1"/>
      </c>
      <c r="EN20">
        <f ca="1"/>
      </c>
      <c r="EO20">
        <f ca="1"/>
      </c>
      <c r="EP20">
        <f ca="1"/>
      </c>
      <c r="EQ20">
        <f ca="1"/>
      </c>
      <c r="ER20">
        <f ca="1"/>
      </c>
      <c r="ES20">
        <f ca="1"/>
      </c>
      <c r="ET20">
        <f ca="1"/>
      </c>
      <c r="EU20">
        <f ca="1"/>
      </c>
      <c r="EV20">
        <f ca="1"/>
      </c>
      <c r="EW20">
        <f ca="1"/>
      </c>
      <c r="EX20">
        <f ca="1"/>
      </c>
      <c r="EY20">
        <f ca="1"/>
      </c>
      <c r="EZ20">
        <f ca="1"/>
      </c>
      <c r="FA20">
        <f ca="1"/>
      </c>
      <c r="FC20">
        <f ca="1"/>
      </c>
      <c r="FD20">
        <f ca="1"/>
      </c>
      <c r="FE20">
        <f ca="1"/>
      </c>
      <c r="FF20">
        <f ca="1"/>
      </c>
      <c r="FG20">
        <f ca="1"/>
      </c>
      <c r="FH20">
        <f ca="1"/>
      </c>
      <c r="FI20">
        <f ca="1"/>
      </c>
      <c r="FJ20">
        <f ca="1"/>
      </c>
      <c r="FK20">
        <f ca="1"/>
      </c>
      <c r="FL20">
        <f ca="1"/>
      </c>
      <c r="FM20">
        <f ca="1"/>
      </c>
      <c r="FN20">
        <f ca="1"/>
      </c>
      <c r="FO20">
        <f ca="1"/>
      </c>
      <c r="FP20">
        <f ca="1"/>
      </c>
      <c r="FQ20">
        <f ca="1"/>
      </c>
      <c r="FR20">
        <f ca="1"/>
      </c>
      <c r="FS20">
        <f ca="1"/>
      </c>
      <c r="FT20">
        <f ca="1"/>
      </c>
      <c r="FU20">
        <f ca="1"/>
      </c>
      <c r="FV20">
        <f ca="1"/>
      </c>
      <c r="FW20">
        <f ca="1"/>
      </c>
      <c r="FX20">
        <f ca="1"/>
      </c>
      <c r="FY20">
        <f ca="1"/>
      </c>
      <c r="FZ20">
        <f ca="1"/>
      </c>
      <c r="GA20">
        <f ca="1"/>
      </c>
      <c r="GB20">
        <f ca="1"/>
      </c>
      <c r="GC20">
        <f ca="1"/>
      </c>
      <c r="GD20">
        <f ca="1"/>
      </c>
      <c r="GE20">
        <f ca="1"/>
      </c>
      <c r="GF20">
        <f ca="1"/>
      </c>
      <c r="GG20">
        <f ca="1"/>
      </c>
      <c r="GH20">
        <f ca="1"/>
      </c>
      <c r="GI20">
        <f ca="1"/>
      </c>
      <c r="GJ20">
        <f ca="1"/>
      </c>
      <c r="GK20">
        <f ca="1"/>
      </c>
      <c r="GL20">
        <f ca="1"/>
      </c>
      <c r="GM20">
        <f ca="1"/>
      </c>
      <c r="GN20">
        <f ca="1"/>
      </c>
      <c r="GO20">
        <f ca="1"/>
      </c>
      <c r="GP20">
        <f ca="1"/>
      </c>
      <c r="GQ20">
        <f ca="1"/>
      </c>
      <c r="GR20">
        <f ca="1"/>
      </c>
      <c r="GS20">
        <f ca="1"/>
      </c>
      <c r="GT20">
        <f ca="1"/>
      </c>
      <c r="GU20">
        <f ca="1"/>
      </c>
      <c r="GV20">
        <f ca="1"/>
      </c>
      <c r="GW20">
        <f ca="1"/>
      </c>
      <c r="HI20" s="7">
        <f ca="1"/>
      </c>
      <c r="HJ20">
        <f ca="1"/>
      </c>
      <c r="HK20">
        <f ca="1"/>
      </c>
      <c r="HL20">
        <f ca="1"/>
      </c>
      <c r="HM20">
        <f ca="1"/>
      </c>
      <c r="HP20">
        <f ca="1"/>
      </c>
    </row>
    <row r="21" spans="1:224" x14ac:dyDescent="0.55000000000000004">
      <c r="A21" t="s">
        <v>287</v>
      </c>
      <c r="B21" s="13" cm="1">
        <f t="array" aca="1" ref="B21" ca="1">_xlfn.XLOOKUP($A21,_xlfn.ANCHORARRAY($HO$4),_xlfn.ANCHORARRAY($HP$4),"")</f>
      </c>
      <c r="C21" s="13" cm="1">
        <f t="array" aca="1" ref="C21" ca="1">_xlfn.LET(_xlpm.h,FWM_HC,_xlpm.c,_xlfn.XMATCH($A21,_xlfn.TAKE(_xlpm.h,1)),INDEX(_xlpm.h,ROWS(_xlpm.h),_xlpm.c))</f>
      </c>
      <c r="D21" s="44" cm="1">
        <f t="array" aca="1" ref="D21" ca="1">_xlfn.LET(_xlpm.h,FWM_HC,_xlpm.c,_xlfn.XMATCH($A21,_xlfn.TAKE(_xlpm.h,1)),(B21-INDEX(_xlpm.h,ROWS(_xlpm.h)-4,_xlpm.c))*100)</f>
      </c>
      <c r="E21" s="44" cm="1">
        <f t="array" aca="1" ref="E21" ca="1">_xlfn.LET(_xlpm.h,FWM_HC,_xlpm.c,_xlfn.XMATCH($A21,_xlfn.TAKE(_xlpm.h,1)),(B21-INDEX(_xlpm.h,ROWS(_xlpm.h)-20,_xlpm.c))*100)</f>
      </c>
      <c r="F21" s="44" cm="1">
        <f t="array" aca="1" ref="F21" ca="1">_xlfn.LET(_xlpm.h,FWM_HC,_xlpm.c,_xlfn.XMATCH($A21,_xlfn.TAKE(_xlpm.h,1)),(B21-_xlfn.XLOOKUP(FWM_Cmp,_xlfn.DROP(INDEX(_xlpm.h,,1),1),_xlfn.DROP(INDEX(_xlpm.h,,_xlpm.c),1),"",-1))*100)</f>
      </c>
      <c r="G21" s="44">
        <f ca="1">IF(ISNUMBER(B20),(B21-B20)*100,"")</f>
      </c>
      <c r="H21" s="45">
        <f ca="1">_xlfn.LET(_xlpm.h,FWM_HC,_xlpm.d,_xlfn.DROP(INDEX(_xlpm.h,,_xlfn.XMATCH($A21&amp;" dF",_xlfn.TAKE(_xlpm.h,1))),1),_xlpm.t,_xlfn.TAKE(_xlpm.d,-H$10),$L21/SQRT(SUMSQ(_xlpm.t)/ROWS(_xlpm.t)))</f>
      </c>
      <c r="I21" s="45">
        <f ca="1">_xlfn.LET(_xlpm.h,FWM_HC,_xlpm.d,_xlfn.DROP(INDEX(_xlpm.h,,_xlfn.XMATCH($A21&amp;" dF",_xlfn.TAKE(_xlpm.h,1))),1),_xlpm.t,_xlfn.TAKE(_xlpm.d,-I$10),$L21/SQRT(SUMSQ(_xlpm.t)/ROWS(_xlpm.t)))</f>
      </c>
      <c r="J21" s="45">
        <f ca="1">_xlfn.LET(_xlpm.h,FWM_HC,_xlpm.d,_xlfn.DROP(INDEX(_xlpm.h,,_xlfn.XMATCH($A21&amp;" dF",_xlfn.TAKE(_xlpm.h,1))),1),_xlpm.t,_xlfn.TAKE(_xlpm.d,-J$10),$L21/SQRT(SUMSQ(_xlpm.t)/ROWS(_xlpm.t)))</f>
      </c>
      <c r="L21" s="44" cm="1">
        <f t="array" aca="1" ref="L21:AE21" ca="1">_xlfn.LET(_xlpm.h,FWM_HC,_xlpm.c,_xlfn.XMATCH($A21,_xlfn.TAKE(_xlpm.h,1)),_xlpm.v,_xlfn.VSTACK(_xlfn.TAKE(_xlfn.DROP(INDEX(_xlpm.h,,_xlpm.c),1),-20),$B21),_xlpm.d,(_xlfn.DROP(_xlpm.v,1)-_xlfn.DROP(_xlpm.v,-1))*100,INDEX(_xlpm.d,_xlfn.SEQUENCE(1,20,20,-1)))</f>
      </c>
      <c r="M21" s="44">
        <f ca="1"/>
      </c>
      <c r="N21" s="44">
        <f ca="1"/>
      </c>
      <c r="O21" s="44">
        <f ca="1"/>
      </c>
      <c r="P21" s="44">
        <f ca="1"/>
      </c>
      <c r="Q21" s="44">
        <f ca="1"/>
      </c>
      <c r="R21" s="44">
        <f ca="1"/>
      </c>
      <c r="S21" s="44">
        <f ca="1"/>
      </c>
      <c r="T21" s="44">
        <f ca="1"/>
      </c>
      <c r="U21" s="44">
        <f ca="1"/>
      </c>
      <c r="V21" s="44">
        <f ca="1"/>
      </c>
      <c r="W21" s="44">
        <f ca="1"/>
      </c>
      <c r="X21" s="44">
        <f ca="1"/>
      </c>
      <c r="Y21" s="44">
        <f ca="1"/>
      </c>
      <c r="Z21" s="44">
        <f ca="1"/>
      </c>
      <c r="AA21" s="44">
        <f ca="1"/>
      </c>
      <c r="AB21" s="44">
        <f ca="1"/>
      </c>
      <c r="AC21" s="44">
        <f ca="1"/>
      </c>
      <c r="AD21" s="44">
        <f ca="1"/>
      </c>
      <c r="AE21" s="44">
        <f ca="1"/>
      </c>
      <c r="AW21">
        <f ca="1"/>
      </c>
      <c r="AX21">
        <f ca="1"/>
      </c>
      <c r="AY21">
        <f ca="1"/>
      </c>
      <c r="AZ21">
        <f ca="1"/>
      </c>
      <c r="BB21">
        <f ca="1"/>
      </c>
      <c r="BC21">
        <f ca="1"/>
      </c>
      <c r="BD21">
        <f ca="1"/>
      </c>
      <c r="BE21">
        <f ca="1"/>
      </c>
      <c r="BF21">
        <f ca="1"/>
      </c>
      <c r="BH21" t="s">
        <v>16</v>
      </c>
      <c r="BI21">
        <v>1</v>
      </c>
      <c r="BK21">
        <f ca="1"/>
      </c>
      <c r="BL21">
        <f ca="1"/>
      </c>
      <c r="BM21">
        <f ca="1"/>
      </c>
      <c r="BN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  <c r="BV21">
        <f ca="1"/>
      </c>
      <c r="BW21">
        <f ca="1"/>
      </c>
      <c r="BX21">
        <f ca="1"/>
      </c>
      <c r="BY21">
        <f ca="1"/>
      </c>
      <c r="BZ21">
        <f ca="1"/>
      </c>
      <c r="CA21">
        <f ca="1"/>
      </c>
      <c r="CB21">
        <f ca="1"/>
      </c>
      <c r="CC21">
        <f ca="1"/>
      </c>
      <c r="CD21">
        <f ca="1"/>
      </c>
      <c r="CE21">
        <f ca="1"/>
      </c>
      <c r="CF21">
        <f ca="1"/>
      </c>
      <c r="CG21">
        <f ca="1"/>
      </c>
      <c r="CH21">
        <f ca="1"/>
      </c>
      <c r="CI21">
        <f ca="1"/>
      </c>
      <c r="CJ21">
        <f ca="1"/>
      </c>
      <c r="CK21">
        <f ca="1"/>
      </c>
      <c r="CL21">
        <f ca="1"/>
      </c>
      <c r="CM21">
        <f ca="1"/>
      </c>
      <c r="CN21">
        <f ca="1"/>
      </c>
      <c r="CO21">
        <f ca="1"/>
      </c>
      <c r="CP21">
        <f ca="1"/>
      </c>
      <c r="CQ21">
        <f ca="1"/>
      </c>
      <c r="CR21">
        <f ca="1"/>
      </c>
      <c r="CS21">
        <f ca="1"/>
      </c>
      <c r="CT21">
        <f ca="1"/>
      </c>
      <c r="CU21">
        <f ca="1"/>
      </c>
      <c r="CV21">
        <f ca="1"/>
      </c>
      <c r="CW21">
        <f ca="1"/>
      </c>
      <c r="CX21">
        <f ca="1"/>
      </c>
      <c r="CY21">
        <f ca="1"/>
      </c>
      <c r="CZ21">
        <f ca="1"/>
      </c>
      <c r="DA21">
        <f ca="1"/>
      </c>
      <c r="DB21">
        <f ca="1"/>
      </c>
      <c r="DC21">
        <f ca="1"/>
      </c>
      <c r="DD21">
        <f ca="1"/>
      </c>
      <c r="DE21">
        <f ca="1"/>
      </c>
      <c r="DG21">
        <f ca="1"/>
      </c>
      <c r="DH21">
        <f ca="1"/>
      </c>
      <c r="DI21">
        <f ca="1"/>
      </c>
      <c r="DJ21">
        <f ca="1"/>
      </c>
      <c r="DK21">
        <f ca="1"/>
      </c>
      <c r="DL21">
        <f ca="1"/>
      </c>
      <c r="DM21">
        <f ca="1"/>
      </c>
      <c r="DN21">
        <f ca="1"/>
      </c>
      <c r="DO21">
        <f ca="1"/>
      </c>
      <c r="DP21">
        <f ca="1"/>
      </c>
      <c r="DQ21">
        <f ca="1"/>
      </c>
      <c r="DR21">
        <f ca="1"/>
      </c>
      <c r="DS21">
        <f ca="1"/>
      </c>
      <c r="DT21">
        <f ca="1"/>
      </c>
      <c r="DU21">
        <f ca="1"/>
      </c>
      <c r="DV21">
        <f ca="1"/>
      </c>
      <c r="DW21">
        <f ca="1"/>
      </c>
      <c r="DX21">
        <f ca="1"/>
      </c>
      <c r="DY21">
        <f ca="1"/>
      </c>
      <c r="DZ21">
        <f ca="1"/>
      </c>
      <c r="EA21">
        <f ca="1"/>
      </c>
      <c r="EB21">
        <f ca="1"/>
      </c>
      <c r="EC21">
        <f ca="1"/>
      </c>
      <c r="ED21">
        <f ca="1"/>
      </c>
      <c r="EE21">
        <f ca="1"/>
      </c>
      <c r="EF21">
        <f ca="1"/>
      </c>
      <c r="EG21">
        <f ca="1"/>
      </c>
      <c r="EH21">
        <f ca="1"/>
      </c>
      <c r="EI21">
        <f ca="1"/>
      </c>
      <c r="EJ21">
        <f ca="1"/>
      </c>
      <c r="EK21">
        <f ca="1"/>
      </c>
      <c r="EL21">
        <f ca="1"/>
      </c>
      <c r="EM21">
        <f ca="1"/>
      </c>
      <c r="EN21">
        <f ca="1"/>
      </c>
      <c r="EO21">
        <f ca="1"/>
      </c>
      <c r="EP21">
        <f ca="1"/>
      </c>
      <c r="EQ21">
        <f ca="1"/>
      </c>
      <c r="ER21">
        <f ca="1"/>
      </c>
      <c r="ES21">
        <f ca="1"/>
      </c>
      <c r="ET21">
        <f ca="1"/>
      </c>
      <c r="EU21">
        <f ca="1"/>
      </c>
      <c r="EV21">
        <f ca="1"/>
      </c>
      <c r="EW21">
        <f ca="1"/>
      </c>
      <c r="EX21">
        <f ca="1"/>
      </c>
      <c r="EY21">
        <f ca="1"/>
      </c>
      <c r="EZ21">
        <f ca="1"/>
      </c>
      <c r="FA21">
        <f ca="1"/>
      </c>
      <c r="FC21">
        <f ca="1"/>
      </c>
      <c r="FD21">
        <f ca="1"/>
      </c>
      <c r="FE21">
        <f ca="1"/>
      </c>
      <c r="FF21">
        <f ca="1"/>
      </c>
      <c r="FG21">
        <f ca="1"/>
      </c>
      <c r="FH21">
        <f ca="1"/>
      </c>
      <c r="FI21">
        <f ca="1"/>
      </c>
      <c r="FJ21">
        <f ca="1"/>
      </c>
      <c r="FK21">
        <f ca="1"/>
      </c>
      <c r="FL21">
        <f ca="1"/>
      </c>
      <c r="FM21">
        <f ca="1"/>
      </c>
      <c r="FN21">
        <f ca="1"/>
      </c>
      <c r="FO21">
        <f ca="1"/>
      </c>
      <c r="FP21">
        <f ca="1"/>
      </c>
      <c r="FQ21">
        <f ca="1"/>
      </c>
      <c r="FR21">
        <f ca="1"/>
      </c>
      <c r="FS21">
        <f ca="1"/>
      </c>
      <c r="FT21">
        <f ca="1"/>
      </c>
      <c r="FU21">
        <f ca="1"/>
      </c>
      <c r="FV21">
        <f ca="1"/>
      </c>
      <c r="FW21">
        <f ca="1"/>
      </c>
      <c r="FX21">
        <f ca="1"/>
      </c>
      <c r="FY21">
        <f ca="1"/>
      </c>
      <c r="FZ21">
        <f ca="1"/>
      </c>
      <c r="GA21">
        <f ca="1"/>
      </c>
      <c r="GB21">
        <f ca="1"/>
      </c>
      <c r="GC21">
        <f ca="1"/>
      </c>
      <c r="GD21">
        <f ca="1"/>
      </c>
      <c r="GE21">
        <f ca="1"/>
      </c>
      <c r="GF21">
        <f ca="1"/>
      </c>
      <c r="GG21">
        <f ca="1"/>
      </c>
      <c r="GH21">
        <f ca="1"/>
      </c>
      <c r="GI21">
        <f ca="1"/>
      </c>
      <c r="GJ21">
        <f ca="1"/>
      </c>
      <c r="GK21">
        <f ca="1"/>
      </c>
      <c r="GL21">
        <f ca="1"/>
      </c>
      <c r="GM21">
        <f ca="1"/>
      </c>
      <c r="GN21">
        <f ca="1"/>
      </c>
      <c r="GO21">
        <f ca="1"/>
      </c>
      <c r="GP21">
        <f ca="1"/>
      </c>
      <c r="GQ21">
        <f ca="1"/>
      </c>
      <c r="GR21">
        <f ca="1"/>
      </c>
      <c r="GS21">
        <f ca="1"/>
      </c>
      <c r="GT21">
        <f ca="1"/>
      </c>
      <c r="GU21">
        <f ca="1"/>
      </c>
      <c r="GV21">
        <f ca="1"/>
      </c>
      <c r="GW21">
        <f ca="1"/>
      </c>
      <c r="HI21" s="7">
        <f ca="1"/>
      </c>
      <c r="HJ21">
        <f ca="1"/>
      </c>
      <c r="HK21">
        <f ca="1"/>
      </c>
      <c r="HL21">
        <f ca="1"/>
      </c>
      <c r="HM21">
        <f ca="1"/>
      </c>
      <c r="HP21">
        <f ca="1"/>
      </c>
    </row>
    <row r="22" spans="1:224" x14ac:dyDescent="0.55000000000000004">
      <c r="A22" t="s">
        <v>288</v>
      </c>
      <c r="B22" s="13" cm="1">
        <f t="array" aca="1" ref="B22" ca="1">_xlfn.XLOOKUP($A22,_xlfn.ANCHORARRAY($HO$4),_xlfn.ANCHORARRAY($HP$4),"")</f>
      </c>
      <c r="C22" s="13" cm="1">
        <f t="array" aca="1" ref="C22" ca="1">_xlfn.LET(_xlpm.h,FWM_HC,_xlpm.c,_xlfn.XMATCH($A22,_xlfn.TAKE(_xlpm.h,1)),INDEX(_xlpm.h,ROWS(_xlpm.h),_xlpm.c))</f>
      </c>
      <c r="D22" s="44" cm="1">
        <f t="array" aca="1" ref="D22" ca="1">_xlfn.LET(_xlpm.h,FWM_HC,_xlpm.c,_xlfn.XMATCH($A22,_xlfn.TAKE(_xlpm.h,1)),(B22-INDEX(_xlpm.h,ROWS(_xlpm.h)-4,_xlpm.c))*100)</f>
      </c>
      <c r="E22" s="44" cm="1">
        <f t="array" aca="1" ref="E22" ca="1">_xlfn.LET(_xlpm.h,FWM_HC,_xlpm.c,_xlfn.XMATCH($A22,_xlfn.TAKE(_xlpm.h,1)),(B22-INDEX(_xlpm.h,ROWS(_xlpm.h)-20,_xlpm.c))*100)</f>
      </c>
      <c r="F22" s="44" cm="1">
        <f t="array" aca="1" ref="F22" ca="1">_xlfn.LET(_xlpm.h,FWM_HC,_xlpm.c,_xlfn.XMATCH($A22,_xlfn.TAKE(_xlpm.h,1)),(B22-_xlfn.XLOOKUP(FWM_Cmp,_xlfn.DROP(INDEX(_xlpm.h,,1),1),_xlfn.DROP(INDEX(_xlpm.h,,_xlpm.c),1),"",-1))*100)</f>
      </c>
      <c r="G22" s="44">
        <f ca="1">IF(ISNUMBER(B21),(B22-B21)*100,"")</f>
      </c>
      <c r="H22" s="45">
        <f ca="1">_xlfn.LET(_xlpm.h,FWM_HC,_xlpm.d,_xlfn.DROP(INDEX(_xlpm.h,,_xlfn.XMATCH($A22&amp;" dF",_xlfn.TAKE(_xlpm.h,1))),1),_xlpm.t,_xlfn.TAKE(_xlpm.d,-H$10),$L22/SQRT(SUMSQ(_xlpm.t)/ROWS(_xlpm.t)))</f>
      </c>
      <c r="I22" s="45">
        <f ca="1">_xlfn.LET(_xlpm.h,FWM_HC,_xlpm.d,_xlfn.DROP(INDEX(_xlpm.h,,_xlfn.XMATCH($A22&amp;" dF",_xlfn.TAKE(_xlpm.h,1))),1),_xlpm.t,_xlfn.TAKE(_xlpm.d,-I$10),$L22/SQRT(SUMSQ(_xlpm.t)/ROWS(_xlpm.t)))</f>
      </c>
      <c r="J22" s="45">
        <f ca="1">_xlfn.LET(_xlpm.h,FWM_HC,_xlpm.d,_xlfn.DROP(INDEX(_xlpm.h,,_xlfn.XMATCH($A22&amp;" dF",_xlfn.TAKE(_xlpm.h,1))),1),_xlpm.t,_xlfn.TAKE(_xlpm.d,-J$10),$L22/SQRT(SUMSQ(_xlpm.t)/ROWS(_xlpm.t)))</f>
      </c>
      <c r="L22" s="44" cm="1">
        <f t="array" aca="1" ref="L22:AE22" ca="1">_xlfn.LET(_xlpm.h,FWM_HC,_xlpm.c,_xlfn.XMATCH($A22,_xlfn.TAKE(_xlpm.h,1)),_xlpm.v,_xlfn.VSTACK(_xlfn.TAKE(_xlfn.DROP(INDEX(_xlpm.h,,_xlpm.c),1),-20),$B22),_xlpm.d,(_xlfn.DROP(_xlpm.v,1)-_xlfn.DROP(_xlpm.v,-1))*100,INDEX(_xlpm.d,_xlfn.SEQUENCE(1,20,20,-1)))</f>
      </c>
      <c r="M22" s="44">
        <f ca="1"/>
      </c>
      <c r="N22" s="44">
        <f ca="1"/>
      </c>
      <c r="O22" s="44">
        <f ca="1"/>
      </c>
      <c r="P22" s="44">
        <f ca="1"/>
      </c>
      <c r="Q22" s="44">
        <f ca="1"/>
      </c>
      <c r="R22" s="44">
        <f ca="1"/>
      </c>
      <c r="S22" s="44">
        <f ca="1"/>
      </c>
      <c r="T22" s="44">
        <f ca="1"/>
      </c>
      <c r="U22" s="44">
        <f ca="1"/>
      </c>
      <c r="V22" s="44">
        <f ca="1"/>
      </c>
      <c r="W22" s="44">
        <f ca="1"/>
      </c>
      <c r="X22" s="44">
        <f ca="1"/>
      </c>
      <c r="Y22" s="44">
        <f ca="1"/>
      </c>
      <c r="Z22" s="44">
        <f ca="1"/>
      </c>
      <c r="AA22" s="44">
        <f ca="1"/>
      </c>
      <c r="AB22" s="44">
        <f ca="1"/>
      </c>
      <c r="AC22" s="44">
        <f ca="1"/>
      </c>
      <c r="AD22" s="44">
        <f ca="1"/>
      </c>
      <c r="AE22" s="44">
        <f ca="1"/>
      </c>
      <c r="AW22">
        <f ca="1"/>
      </c>
      <c r="AX22">
        <f ca="1"/>
      </c>
      <c r="AY22">
        <f ca="1"/>
      </c>
      <c r="AZ22">
        <f ca="1"/>
      </c>
      <c r="BB22">
        <f ca="1"/>
      </c>
      <c r="BC22">
        <f ca="1"/>
      </c>
      <c r="BD22">
        <f ca="1"/>
      </c>
      <c r="BE22">
        <f ca="1"/>
      </c>
      <c r="BF22">
        <f ca="1"/>
      </c>
      <c r="BH22" t="s">
        <v>17</v>
      </c>
      <c r="BI22">
        <v>1</v>
      </c>
      <c r="BK22">
        <f ca="1"/>
      </c>
      <c r="BL22">
        <f ca="1"/>
      </c>
      <c r="BM22">
        <f ca="1"/>
      </c>
      <c r="BN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  <c r="BV22">
        <f ca="1"/>
      </c>
      <c r="BW22">
        <f ca="1"/>
      </c>
      <c r="BX22">
        <f ca="1"/>
      </c>
      <c r="BY22">
        <f ca="1"/>
      </c>
      <c r="BZ22">
        <f ca="1"/>
      </c>
      <c r="CA22">
        <f ca="1"/>
      </c>
      <c r="CB22">
        <f ca="1"/>
      </c>
      <c r="CC22">
        <f ca="1"/>
      </c>
      <c r="CD22">
        <f ca="1"/>
      </c>
      <c r="CE22">
        <f ca="1"/>
      </c>
      <c r="CF22">
        <f ca="1"/>
      </c>
      <c r="CG22">
        <f ca="1"/>
      </c>
      <c r="CH22">
        <f ca="1"/>
      </c>
      <c r="CI22">
        <f ca="1"/>
      </c>
      <c r="CJ22">
        <f ca="1"/>
      </c>
      <c r="CK22">
        <f ca="1"/>
      </c>
      <c r="CL22">
        <f ca="1"/>
      </c>
      <c r="CM22">
        <f ca="1"/>
      </c>
      <c r="CN22">
        <f ca="1"/>
      </c>
      <c r="CO22">
        <f ca="1"/>
      </c>
      <c r="CP22">
        <f ca="1"/>
      </c>
      <c r="CQ22">
        <f ca="1"/>
      </c>
      <c r="CR22">
        <f ca="1"/>
      </c>
      <c r="CS22">
        <f ca="1"/>
      </c>
      <c r="CT22">
        <f ca="1"/>
      </c>
      <c r="CU22">
        <f ca="1"/>
      </c>
      <c r="CV22">
        <f ca="1"/>
      </c>
      <c r="CW22">
        <f ca="1"/>
      </c>
      <c r="CX22">
        <f ca="1"/>
      </c>
      <c r="CY22">
        <f ca="1"/>
      </c>
      <c r="CZ22">
        <f ca="1"/>
      </c>
      <c r="DA22">
        <f ca="1"/>
      </c>
      <c r="DB22">
        <f ca="1"/>
      </c>
      <c r="DC22">
        <f ca="1"/>
      </c>
      <c r="DD22">
        <f ca="1"/>
      </c>
      <c r="DE22">
        <f ca="1"/>
      </c>
      <c r="DG22">
        <f ca="1"/>
      </c>
      <c r="DH22">
        <f ca="1"/>
      </c>
      <c r="DI22">
        <f ca="1"/>
      </c>
      <c r="DJ22">
        <f ca="1"/>
      </c>
      <c r="DK22">
        <f ca="1"/>
      </c>
      <c r="DL22">
        <f ca="1"/>
      </c>
      <c r="DM22">
        <f ca="1"/>
      </c>
      <c r="DN22">
        <f ca="1"/>
      </c>
      <c r="DO22">
        <f ca="1"/>
      </c>
      <c r="DP22">
        <f ca="1"/>
      </c>
      <c r="DQ22">
        <f ca="1"/>
      </c>
      <c r="DR22">
        <f ca="1"/>
      </c>
      <c r="DS22">
        <f ca="1"/>
      </c>
      <c r="DT22">
        <f ca="1"/>
      </c>
      <c r="DU22">
        <f ca="1"/>
      </c>
      <c r="DV22">
        <f ca="1"/>
      </c>
      <c r="DW22">
        <f ca="1"/>
      </c>
      <c r="DX22">
        <f ca="1"/>
      </c>
      <c r="DY22">
        <f ca="1"/>
      </c>
      <c r="DZ22">
        <f ca="1"/>
      </c>
      <c r="EA22">
        <f ca="1"/>
      </c>
      <c r="EB22">
        <f ca="1"/>
      </c>
      <c r="EC22">
        <f ca="1"/>
      </c>
      <c r="ED22">
        <f ca="1"/>
      </c>
      <c r="EE22">
        <f ca="1"/>
      </c>
      <c r="EF22">
        <f ca="1"/>
      </c>
      <c r="EG22">
        <f ca="1"/>
      </c>
      <c r="EH22">
        <f ca="1"/>
      </c>
      <c r="EI22">
        <f ca="1"/>
      </c>
      <c r="EJ22">
        <f ca="1"/>
      </c>
      <c r="EK22">
        <f ca="1"/>
      </c>
      <c r="EL22">
        <f ca="1"/>
      </c>
      <c r="EM22">
        <f ca="1"/>
      </c>
      <c r="EN22">
        <f ca="1"/>
      </c>
      <c r="EO22">
        <f ca="1"/>
      </c>
      <c r="EP22">
        <f ca="1"/>
      </c>
      <c r="EQ22">
        <f ca="1"/>
      </c>
      <c r="ER22">
        <f ca="1"/>
      </c>
      <c r="ES22">
        <f ca="1"/>
      </c>
      <c r="ET22">
        <f ca="1"/>
      </c>
      <c r="EU22">
        <f ca="1"/>
      </c>
      <c r="EV22">
        <f ca="1"/>
      </c>
      <c r="EW22">
        <f ca="1"/>
      </c>
      <c r="EX22">
        <f ca="1"/>
      </c>
      <c r="EY22">
        <f ca="1"/>
      </c>
      <c r="EZ22">
        <f ca="1"/>
      </c>
      <c r="FA22">
        <f ca="1"/>
      </c>
      <c r="FC22">
        <f ca="1"/>
      </c>
      <c r="FD22">
        <f ca="1"/>
      </c>
      <c r="FE22">
        <f ca="1"/>
      </c>
      <c r="FF22">
        <f ca="1"/>
      </c>
      <c r="FG22">
        <f ca="1"/>
      </c>
      <c r="FH22">
        <f ca="1"/>
      </c>
      <c r="FI22">
        <f ca="1"/>
      </c>
      <c r="FJ22">
        <f ca="1"/>
      </c>
      <c r="FK22">
        <f ca="1"/>
      </c>
      <c r="FL22">
        <f ca="1"/>
      </c>
      <c r="FM22">
        <f ca="1"/>
      </c>
      <c r="FN22">
        <f ca="1"/>
      </c>
      <c r="FO22">
        <f ca="1"/>
      </c>
      <c r="FP22">
        <f ca="1"/>
      </c>
      <c r="FQ22">
        <f ca="1"/>
      </c>
      <c r="FR22">
        <f ca="1"/>
      </c>
      <c r="FS22">
        <f ca="1"/>
      </c>
      <c r="FT22">
        <f ca="1"/>
      </c>
      <c r="FU22">
        <f ca="1"/>
      </c>
      <c r="FV22">
        <f ca="1"/>
      </c>
      <c r="FW22">
        <f ca="1"/>
      </c>
      <c r="FX22">
        <f ca="1"/>
      </c>
      <c r="FY22">
        <f ca="1"/>
      </c>
      <c r="FZ22">
        <f ca="1"/>
      </c>
      <c r="GA22">
        <f ca="1"/>
      </c>
      <c r="GB22">
        <f ca="1"/>
      </c>
      <c r="GC22">
        <f ca="1"/>
      </c>
      <c r="GD22">
        <f ca="1"/>
      </c>
      <c r="GE22">
        <f ca="1"/>
      </c>
      <c r="GF22">
        <f ca="1"/>
      </c>
      <c r="GG22">
        <f ca="1"/>
      </c>
      <c r="GH22">
        <f ca="1"/>
      </c>
      <c r="GI22">
        <f ca="1"/>
      </c>
      <c r="GJ22">
        <f ca="1"/>
      </c>
      <c r="GK22">
        <f ca="1"/>
      </c>
      <c r="GL22">
        <f ca="1"/>
      </c>
      <c r="GM22">
        <f ca="1"/>
      </c>
      <c r="GN22">
        <f ca="1"/>
      </c>
      <c r="GO22">
        <f ca="1"/>
      </c>
      <c r="GP22">
        <f ca="1"/>
      </c>
      <c r="GQ22">
        <f ca="1"/>
      </c>
      <c r="GR22">
        <f ca="1"/>
      </c>
      <c r="GS22">
        <f ca="1"/>
      </c>
      <c r="GT22">
        <f ca="1"/>
      </c>
      <c r="GU22">
        <f ca="1"/>
      </c>
      <c r="GV22">
        <f ca="1"/>
      </c>
      <c r="GW22">
        <f ca="1"/>
      </c>
      <c r="HI22" s="7">
        <f ca="1"/>
      </c>
      <c r="HJ22">
        <f ca="1"/>
      </c>
      <c r="HK22">
        <f ca="1"/>
      </c>
      <c r="HL22">
        <f ca="1"/>
      </c>
      <c r="HM22">
        <f ca="1"/>
      </c>
      <c r="HP22">
        <f ca="1"/>
      </c>
    </row>
    <row r="23" spans="1:224" x14ac:dyDescent="0.55000000000000004">
      <c r="A23" t="s">
        <v>289</v>
      </c>
      <c r="B23" s="13" cm="1">
        <f t="array" aca="1" ref="B23" ca="1">_xlfn.XLOOKUP($A23,_xlfn.ANCHORARRAY($HO$4),_xlfn.ANCHORARRAY($HP$4),"")</f>
      </c>
      <c r="C23" s="13" cm="1">
        <f t="array" aca="1" ref="C23" ca="1">_xlfn.LET(_xlpm.h,FWM_HC,_xlpm.c,_xlfn.XMATCH($A23,_xlfn.TAKE(_xlpm.h,1)),INDEX(_xlpm.h,ROWS(_xlpm.h),_xlpm.c))</f>
      </c>
      <c r="D23" s="44" cm="1">
        <f t="array" aca="1" ref="D23" ca="1">_xlfn.LET(_xlpm.h,FWM_HC,_xlpm.c,_xlfn.XMATCH($A23,_xlfn.TAKE(_xlpm.h,1)),(B23-INDEX(_xlpm.h,ROWS(_xlpm.h)-4,_xlpm.c))*100)</f>
      </c>
      <c r="E23" s="44" cm="1">
        <f t="array" aca="1" ref="E23" ca="1">_xlfn.LET(_xlpm.h,FWM_HC,_xlpm.c,_xlfn.XMATCH($A23,_xlfn.TAKE(_xlpm.h,1)),(B23-INDEX(_xlpm.h,ROWS(_xlpm.h)-20,_xlpm.c))*100)</f>
      </c>
      <c r="F23" s="44" cm="1">
        <f t="array" aca="1" ref="F23" ca="1">_xlfn.LET(_xlpm.h,FWM_HC,_xlpm.c,_xlfn.XMATCH($A23,_xlfn.TAKE(_xlpm.h,1)),(B23-_xlfn.XLOOKUP(FWM_Cmp,_xlfn.DROP(INDEX(_xlpm.h,,1),1),_xlfn.DROP(INDEX(_xlpm.h,,_xlpm.c),1),"",-1))*100)</f>
      </c>
      <c r="G23" s="44">
        <f ca="1">IF(ISNUMBER(B22),(B23-B22)*100,"")</f>
      </c>
      <c r="H23" s="45">
        <f ca="1">_xlfn.LET(_xlpm.h,FWM_HC,_xlpm.d,_xlfn.DROP(INDEX(_xlpm.h,,_xlfn.XMATCH($A23&amp;" dF",_xlfn.TAKE(_xlpm.h,1))),1),_xlpm.t,_xlfn.TAKE(_xlpm.d,-H$10),$L23/SQRT(SUMSQ(_xlpm.t)/ROWS(_xlpm.t)))</f>
      </c>
      <c r="I23" s="45">
        <f ca="1">_xlfn.LET(_xlpm.h,FWM_HC,_xlpm.d,_xlfn.DROP(INDEX(_xlpm.h,,_xlfn.XMATCH($A23&amp;" dF",_xlfn.TAKE(_xlpm.h,1))),1),_xlpm.t,_xlfn.TAKE(_xlpm.d,-I$10),$L23/SQRT(SUMSQ(_xlpm.t)/ROWS(_xlpm.t)))</f>
      </c>
      <c r="J23" s="45">
        <f ca="1">_xlfn.LET(_xlpm.h,FWM_HC,_xlpm.d,_xlfn.DROP(INDEX(_xlpm.h,,_xlfn.XMATCH($A23&amp;" dF",_xlfn.TAKE(_xlpm.h,1))),1),_xlpm.t,_xlfn.TAKE(_xlpm.d,-J$10),$L23/SQRT(SUMSQ(_xlpm.t)/ROWS(_xlpm.t)))</f>
      </c>
      <c r="L23" s="44" cm="1">
        <f t="array" aca="1" ref="L23:AE23" ca="1">_xlfn.LET(_xlpm.h,FWM_HC,_xlpm.c,_xlfn.XMATCH($A23,_xlfn.TAKE(_xlpm.h,1)),_xlpm.v,_xlfn.VSTACK(_xlfn.TAKE(_xlfn.DROP(INDEX(_xlpm.h,,_xlpm.c),1),-20),$B23),_xlpm.d,(_xlfn.DROP(_xlpm.v,1)-_xlfn.DROP(_xlpm.v,-1))*100,INDEX(_xlpm.d,_xlfn.SEQUENCE(1,20,20,-1)))</f>
      </c>
      <c r="M23" s="44">
        <f ca="1"/>
      </c>
      <c r="N23" s="44">
        <f ca="1"/>
      </c>
      <c r="O23" s="44">
        <f ca="1"/>
      </c>
      <c r="P23" s="44">
        <f ca="1"/>
      </c>
      <c r="Q23" s="44">
        <f ca="1"/>
      </c>
      <c r="R23" s="44">
        <f ca="1"/>
      </c>
      <c r="S23" s="44">
        <f ca="1"/>
      </c>
      <c r="T23" s="44">
        <f ca="1"/>
      </c>
      <c r="U23" s="44">
        <f ca="1"/>
      </c>
      <c r="V23" s="44">
        <f ca="1"/>
      </c>
      <c r="W23" s="44">
        <f ca="1"/>
      </c>
      <c r="X23" s="44">
        <f ca="1"/>
      </c>
      <c r="Y23" s="44">
        <f ca="1"/>
      </c>
      <c r="Z23" s="44">
        <f ca="1"/>
      </c>
      <c r="AA23" s="44">
        <f ca="1"/>
      </c>
      <c r="AB23" s="44">
        <f ca="1"/>
      </c>
      <c r="AC23" s="44">
        <f ca="1"/>
      </c>
      <c r="AD23" s="44">
        <f ca="1"/>
      </c>
      <c r="AE23" s="44">
        <f ca="1"/>
      </c>
      <c r="AW23">
        <f ca="1"/>
      </c>
      <c r="AX23">
        <f ca="1"/>
      </c>
      <c r="AY23">
        <f ca="1"/>
      </c>
      <c r="AZ23">
        <f ca="1"/>
      </c>
      <c r="BB23">
        <f ca="1"/>
      </c>
      <c r="BC23">
        <f ca="1"/>
      </c>
      <c r="BD23">
        <f ca="1"/>
      </c>
      <c r="BE23">
        <f ca="1"/>
      </c>
      <c r="BF23">
        <f ca="1"/>
      </c>
      <c r="BH23" t="s">
        <v>18</v>
      </c>
      <c r="BI23">
        <v>1</v>
      </c>
      <c r="BK23">
        <f ca="1"/>
      </c>
      <c r="BL23">
        <f ca="1"/>
      </c>
      <c r="BM23">
        <f ca="1"/>
      </c>
      <c r="BN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  <c r="BV23">
        <f ca="1"/>
      </c>
      <c r="BW23">
        <f ca="1"/>
      </c>
      <c r="BX23">
        <f ca="1"/>
      </c>
      <c r="BY23">
        <f ca="1"/>
      </c>
      <c r="BZ23">
        <f ca="1"/>
      </c>
      <c r="CA23">
        <f ca="1"/>
      </c>
      <c r="CB23">
        <f ca="1"/>
      </c>
      <c r="CC23">
        <f ca="1"/>
      </c>
      <c r="CD23">
        <f ca="1"/>
      </c>
      <c r="CE23">
        <f ca="1"/>
      </c>
      <c r="CF23">
        <f ca="1"/>
      </c>
      <c r="CG23">
        <f ca="1"/>
      </c>
      <c r="CH23">
        <f ca="1"/>
      </c>
      <c r="CI23">
        <f ca="1"/>
      </c>
      <c r="CJ23">
        <f ca="1"/>
      </c>
      <c r="CK23">
        <f ca="1"/>
      </c>
      <c r="CL23">
        <f ca="1"/>
      </c>
      <c r="CM23">
        <f ca="1"/>
      </c>
      <c r="CN23">
        <f ca="1"/>
      </c>
      <c r="CO23">
        <f ca="1"/>
      </c>
      <c r="CP23">
        <f ca="1"/>
      </c>
      <c r="CQ23">
        <f ca="1"/>
      </c>
      <c r="CR23">
        <f ca="1"/>
      </c>
      <c r="CS23">
        <f ca="1"/>
      </c>
      <c r="CT23">
        <f ca="1"/>
      </c>
      <c r="CU23">
        <f ca="1"/>
      </c>
      <c r="CV23">
        <f ca="1"/>
      </c>
      <c r="CW23">
        <f ca="1"/>
      </c>
      <c r="CX23">
        <f ca="1"/>
      </c>
      <c r="CY23">
        <f ca="1"/>
      </c>
      <c r="CZ23">
        <f ca="1"/>
      </c>
      <c r="DA23">
        <f ca="1"/>
      </c>
      <c r="DB23">
        <f ca="1"/>
      </c>
      <c r="DC23">
        <f ca="1"/>
      </c>
      <c r="DD23">
        <f ca="1"/>
      </c>
      <c r="DE23">
        <f ca="1"/>
      </c>
      <c r="DG23">
        <f ca="1"/>
      </c>
      <c r="DH23">
        <f ca="1"/>
      </c>
      <c r="DI23">
        <f ca="1"/>
      </c>
      <c r="DJ23">
        <f ca="1"/>
      </c>
      <c r="DK23">
        <f ca="1"/>
      </c>
      <c r="DL23">
        <f ca="1"/>
      </c>
      <c r="DM23">
        <f ca="1"/>
      </c>
      <c r="DN23">
        <f ca="1"/>
      </c>
      <c r="DO23">
        <f ca="1"/>
      </c>
      <c r="DP23">
        <f ca="1"/>
      </c>
      <c r="DQ23">
        <f ca="1"/>
      </c>
      <c r="DR23">
        <f ca="1"/>
      </c>
      <c r="DS23">
        <f ca="1"/>
      </c>
      <c r="DT23">
        <f ca="1"/>
      </c>
      <c r="DU23">
        <f ca="1"/>
      </c>
      <c r="DV23">
        <f ca="1"/>
      </c>
      <c r="DW23">
        <f ca="1"/>
      </c>
      <c r="DX23">
        <f ca="1"/>
      </c>
      <c r="DY23">
        <f ca="1"/>
      </c>
      <c r="DZ23">
        <f ca="1"/>
      </c>
      <c r="EA23">
        <f ca="1"/>
      </c>
      <c r="EB23">
        <f ca="1"/>
      </c>
      <c r="EC23">
        <f ca="1"/>
      </c>
      <c r="ED23">
        <f ca="1"/>
      </c>
      <c r="EE23">
        <f ca="1"/>
      </c>
      <c r="EF23">
        <f ca="1"/>
      </c>
      <c r="EG23">
        <f ca="1"/>
      </c>
      <c r="EH23">
        <f ca="1"/>
      </c>
      <c r="EI23">
        <f ca="1"/>
      </c>
      <c r="EJ23">
        <f ca="1"/>
      </c>
      <c r="EK23">
        <f ca="1"/>
      </c>
      <c r="EL23">
        <f ca="1"/>
      </c>
      <c r="EM23">
        <f ca="1"/>
      </c>
      <c r="EN23">
        <f ca="1"/>
      </c>
      <c r="EO23">
        <f ca="1"/>
      </c>
      <c r="EP23">
        <f ca="1"/>
      </c>
      <c r="EQ23">
        <f ca="1"/>
      </c>
      <c r="ER23">
        <f ca="1"/>
      </c>
      <c r="ES23">
        <f ca="1"/>
      </c>
      <c r="ET23">
        <f ca="1"/>
      </c>
      <c r="EU23">
        <f ca="1"/>
      </c>
      <c r="EV23">
        <f ca="1"/>
      </c>
      <c r="EW23">
        <f ca="1"/>
      </c>
      <c r="EX23">
        <f ca="1"/>
      </c>
      <c r="EY23">
        <f ca="1"/>
      </c>
      <c r="EZ23">
        <f ca="1"/>
      </c>
      <c r="FA23">
        <f ca="1"/>
      </c>
      <c r="FC23">
        <f ca="1"/>
      </c>
      <c r="FD23">
        <f ca="1"/>
      </c>
      <c r="FE23">
        <f ca="1"/>
      </c>
      <c r="FF23">
        <f ca="1"/>
      </c>
      <c r="FG23">
        <f ca="1"/>
      </c>
      <c r="FH23">
        <f ca="1"/>
      </c>
      <c r="FI23">
        <f ca="1"/>
      </c>
      <c r="FJ23">
        <f ca="1"/>
      </c>
      <c r="FK23">
        <f ca="1"/>
      </c>
      <c r="FL23">
        <f ca="1"/>
      </c>
      <c r="FM23">
        <f ca="1"/>
      </c>
      <c r="FN23">
        <f ca="1"/>
      </c>
      <c r="FO23">
        <f ca="1"/>
      </c>
      <c r="FP23">
        <f ca="1"/>
      </c>
      <c r="FQ23">
        <f ca="1"/>
      </c>
      <c r="FR23">
        <f ca="1"/>
      </c>
      <c r="FS23">
        <f ca="1"/>
      </c>
      <c r="FT23">
        <f ca="1"/>
      </c>
      <c r="FU23">
        <f ca="1"/>
      </c>
      <c r="FV23">
        <f ca="1"/>
      </c>
      <c r="FW23">
        <f ca="1"/>
      </c>
      <c r="FX23">
        <f ca="1"/>
      </c>
      <c r="FY23">
        <f ca="1"/>
      </c>
      <c r="FZ23">
        <f ca="1"/>
      </c>
      <c r="GA23">
        <f ca="1"/>
      </c>
      <c r="GB23">
        <f ca="1"/>
      </c>
      <c r="GC23">
        <f ca="1"/>
      </c>
      <c r="GD23">
        <f ca="1"/>
      </c>
      <c r="GE23">
        <f ca="1"/>
      </c>
      <c r="GF23">
        <f ca="1"/>
      </c>
      <c r="GG23">
        <f ca="1"/>
      </c>
      <c r="GH23">
        <f ca="1"/>
      </c>
      <c r="GI23">
        <f ca="1"/>
      </c>
      <c r="GJ23">
        <f ca="1"/>
      </c>
      <c r="GK23">
        <f ca="1"/>
      </c>
      <c r="GL23">
        <f ca="1"/>
      </c>
      <c r="GM23">
        <f ca="1"/>
      </c>
      <c r="GN23">
        <f ca="1"/>
      </c>
      <c r="GO23">
        <f ca="1"/>
      </c>
      <c r="GP23">
        <f ca="1"/>
      </c>
      <c r="GQ23">
        <f ca="1"/>
      </c>
      <c r="GR23">
        <f ca="1"/>
      </c>
      <c r="GS23">
        <f ca="1"/>
      </c>
      <c r="GT23">
        <f ca="1"/>
      </c>
      <c r="GU23">
        <f ca="1"/>
      </c>
      <c r="GV23">
        <f ca="1"/>
      </c>
      <c r="GW23">
        <f ca="1"/>
      </c>
      <c r="HI23" s="7">
        <f ca="1"/>
      </c>
      <c r="HJ23">
        <f ca="1"/>
      </c>
      <c r="HK23">
        <f ca="1"/>
      </c>
      <c r="HL23">
        <f ca="1"/>
      </c>
      <c r="HM23">
        <f ca="1"/>
      </c>
      <c r="HP23">
        <f ca="1"/>
      </c>
    </row>
    <row r="24" spans="1:224" x14ac:dyDescent="0.55000000000000004">
      <c r="A24" t="s">
        <v>290</v>
      </c>
      <c r="B24" s="13" cm="1">
        <f t="array" aca="1" ref="B24" ca="1">_xlfn.XLOOKUP($A24,_xlfn.ANCHORARRAY($HO$4),_xlfn.ANCHORARRAY($HP$4),"")</f>
      </c>
      <c r="C24" s="13" cm="1">
        <f t="array" aca="1" ref="C24" ca="1">_xlfn.LET(_xlpm.h,FWM_HC,_xlpm.c,_xlfn.XMATCH($A24,_xlfn.TAKE(_xlpm.h,1)),INDEX(_xlpm.h,ROWS(_xlpm.h),_xlpm.c))</f>
      </c>
      <c r="D24" s="44" cm="1">
        <f t="array" aca="1" ref="D24" ca="1">_xlfn.LET(_xlpm.h,FWM_HC,_xlpm.c,_xlfn.XMATCH($A24,_xlfn.TAKE(_xlpm.h,1)),(B24-INDEX(_xlpm.h,ROWS(_xlpm.h)-4,_xlpm.c))*100)</f>
      </c>
      <c r="E24" s="44" cm="1">
        <f t="array" aca="1" ref="E24" ca="1">_xlfn.LET(_xlpm.h,FWM_HC,_xlpm.c,_xlfn.XMATCH($A24,_xlfn.TAKE(_xlpm.h,1)),(B24-INDEX(_xlpm.h,ROWS(_xlpm.h)-20,_xlpm.c))*100)</f>
      </c>
      <c r="F24" s="44" cm="1">
        <f t="array" aca="1" ref="F24" ca="1">_xlfn.LET(_xlpm.h,FWM_HC,_xlpm.c,_xlfn.XMATCH($A24,_xlfn.TAKE(_xlpm.h,1)),(B24-_xlfn.XLOOKUP(FWM_Cmp,_xlfn.DROP(INDEX(_xlpm.h,,1),1),_xlfn.DROP(INDEX(_xlpm.h,,_xlpm.c),1),"",-1))*100)</f>
      </c>
      <c r="G24" s="44">
        <f ca="1">IF(ISNUMBER(B23),(B24-B23)*100,"")</f>
      </c>
      <c r="H24" s="45">
        <f ca="1">_xlfn.LET(_xlpm.h,FWM_HC,_xlpm.d,_xlfn.DROP(INDEX(_xlpm.h,,_xlfn.XMATCH($A24&amp;" dF",_xlfn.TAKE(_xlpm.h,1))),1),_xlpm.t,_xlfn.TAKE(_xlpm.d,-H$10),$L24/SQRT(SUMSQ(_xlpm.t)/ROWS(_xlpm.t)))</f>
      </c>
      <c r="I24" s="45">
        <f ca="1">_xlfn.LET(_xlpm.h,FWM_HC,_xlpm.d,_xlfn.DROP(INDEX(_xlpm.h,,_xlfn.XMATCH($A24&amp;" dF",_xlfn.TAKE(_xlpm.h,1))),1),_xlpm.t,_xlfn.TAKE(_xlpm.d,-I$10),$L24/SQRT(SUMSQ(_xlpm.t)/ROWS(_xlpm.t)))</f>
      </c>
      <c r="J24" s="45">
        <f ca="1">_xlfn.LET(_xlpm.h,FWM_HC,_xlpm.d,_xlfn.DROP(INDEX(_xlpm.h,,_xlfn.XMATCH($A24&amp;" dF",_xlfn.TAKE(_xlpm.h,1))),1),_xlpm.t,_xlfn.TAKE(_xlpm.d,-J$10),$L24/SQRT(SUMSQ(_xlpm.t)/ROWS(_xlpm.t)))</f>
      </c>
      <c r="L24" s="44" cm="1">
        <f t="array" aca="1" ref="L24:AE24" ca="1">_xlfn.LET(_xlpm.h,FWM_HC,_xlpm.c,_xlfn.XMATCH($A24,_xlfn.TAKE(_xlpm.h,1)),_xlpm.v,_xlfn.VSTACK(_xlfn.TAKE(_xlfn.DROP(INDEX(_xlpm.h,,_xlpm.c),1),-20),$B24),_xlpm.d,(_xlfn.DROP(_xlpm.v,1)-_xlfn.DROP(_xlpm.v,-1))*100,INDEX(_xlpm.d,_xlfn.SEQUENCE(1,20,20,-1)))</f>
      </c>
      <c r="M24" s="44">
        <f ca="1"/>
      </c>
      <c r="N24" s="44">
        <f ca="1"/>
      </c>
      <c r="O24" s="44">
        <f ca="1"/>
      </c>
      <c r="P24" s="44">
        <f ca="1"/>
      </c>
      <c r="Q24" s="44">
        <f ca="1"/>
      </c>
      <c r="R24" s="44">
        <f ca="1"/>
      </c>
      <c r="S24" s="44">
        <f ca="1"/>
      </c>
      <c r="T24" s="44">
        <f ca="1"/>
      </c>
      <c r="U24" s="44">
        <f ca="1"/>
      </c>
      <c r="V24" s="44">
        <f ca="1"/>
      </c>
      <c r="W24" s="44">
        <f ca="1"/>
      </c>
      <c r="X24" s="44">
        <f ca="1"/>
      </c>
      <c r="Y24" s="44">
        <f ca="1"/>
      </c>
      <c r="Z24" s="44">
        <f ca="1"/>
      </c>
      <c r="AA24" s="44">
        <f ca="1"/>
      </c>
      <c r="AB24" s="44">
        <f ca="1"/>
      </c>
      <c r="AC24" s="44">
        <f ca="1"/>
      </c>
      <c r="AD24" s="44">
        <f ca="1"/>
      </c>
      <c r="AE24" s="44">
        <f ca="1"/>
      </c>
      <c r="AW24">
        <f ca="1"/>
      </c>
      <c r="AX24">
        <f ca="1"/>
      </c>
      <c r="AY24">
        <f ca="1"/>
      </c>
      <c r="AZ24">
        <f ca="1"/>
      </c>
      <c r="BB24">
        <f ca="1"/>
      </c>
      <c r="BC24">
        <f ca="1"/>
      </c>
      <c r="BD24">
        <f ca="1"/>
      </c>
      <c r="BE24">
        <f ca="1"/>
      </c>
      <c r="BF24">
        <f ca="1"/>
      </c>
      <c r="BH24" t="s">
        <v>19</v>
      </c>
      <c r="BI24">
        <v>1</v>
      </c>
      <c r="BK24">
        <f ca="1"/>
      </c>
      <c r="BL24">
        <f ca="1"/>
      </c>
      <c r="BM24">
        <f ca="1"/>
      </c>
      <c r="BN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  <c r="BV24">
        <f ca="1"/>
      </c>
      <c r="BW24">
        <f ca="1"/>
      </c>
      <c r="BX24">
        <f ca="1"/>
      </c>
      <c r="BY24">
        <f ca="1"/>
      </c>
      <c r="BZ24">
        <f ca="1"/>
      </c>
      <c r="CA24">
        <f ca="1"/>
      </c>
      <c r="CB24">
        <f ca="1"/>
      </c>
      <c r="CC24">
        <f ca="1"/>
      </c>
      <c r="CD24">
        <f ca="1"/>
      </c>
      <c r="CE24">
        <f ca="1"/>
      </c>
      <c r="CF24">
        <f ca="1"/>
      </c>
      <c r="CG24">
        <f ca="1"/>
      </c>
      <c r="CH24">
        <f ca="1"/>
      </c>
      <c r="CI24">
        <f ca="1"/>
      </c>
      <c r="CJ24">
        <f ca="1"/>
      </c>
      <c r="CK24">
        <f ca="1"/>
      </c>
      <c r="CL24">
        <f ca="1"/>
      </c>
      <c r="CM24">
        <f ca="1"/>
      </c>
      <c r="CN24">
        <f ca="1"/>
      </c>
      <c r="CO24">
        <f ca="1"/>
      </c>
      <c r="CP24">
        <f ca="1"/>
      </c>
      <c r="CQ24">
        <f ca="1"/>
      </c>
      <c r="CR24">
        <f ca="1"/>
      </c>
      <c r="CS24">
        <f ca="1"/>
      </c>
      <c r="CT24">
        <f ca="1"/>
      </c>
      <c r="CU24">
        <f ca="1"/>
      </c>
      <c r="CV24">
        <f ca="1"/>
      </c>
      <c r="CW24">
        <f ca="1"/>
      </c>
      <c r="CX24">
        <f ca="1"/>
      </c>
      <c r="CY24">
        <f ca="1"/>
      </c>
      <c r="CZ24">
        <f ca="1"/>
      </c>
      <c r="DA24">
        <f ca="1"/>
      </c>
      <c r="DB24">
        <f ca="1"/>
      </c>
      <c r="DC24">
        <f ca="1"/>
      </c>
      <c r="DD24">
        <f ca="1"/>
      </c>
      <c r="DE24">
        <f ca="1"/>
      </c>
      <c r="DG24">
        <f ca="1"/>
      </c>
      <c r="DH24">
        <f ca="1"/>
      </c>
      <c r="DI24">
        <f ca="1"/>
      </c>
      <c r="DJ24">
        <f ca="1"/>
      </c>
      <c r="DK24">
        <f ca="1"/>
      </c>
      <c r="DL24">
        <f ca="1"/>
      </c>
      <c r="DM24">
        <f ca="1"/>
      </c>
      <c r="DN24">
        <f ca="1"/>
      </c>
      <c r="DO24">
        <f ca="1"/>
      </c>
      <c r="DP24">
        <f ca="1"/>
      </c>
      <c r="DQ24">
        <f ca="1"/>
      </c>
      <c r="DR24">
        <f ca="1"/>
      </c>
      <c r="DS24">
        <f ca="1"/>
      </c>
      <c r="DT24">
        <f ca="1"/>
      </c>
      <c r="DU24">
        <f ca="1"/>
      </c>
      <c r="DV24">
        <f ca="1"/>
      </c>
      <c r="DW24">
        <f ca="1"/>
      </c>
      <c r="DX24">
        <f ca="1"/>
      </c>
      <c r="DY24">
        <f ca="1"/>
      </c>
      <c r="DZ24">
        <f ca="1"/>
      </c>
      <c r="EA24">
        <f ca="1"/>
      </c>
      <c r="EB24">
        <f ca="1"/>
      </c>
      <c r="EC24">
        <f ca="1"/>
      </c>
      <c r="ED24">
        <f ca="1"/>
      </c>
      <c r="EE24">
        <f ca="1"/>
      </c>
      <c r="EF24">
        <f ca="1"/>
      </c>
      <c r="EG24">
        <f ca="1"/>
      </c>
      <c r="EH24">
        <f ca="1"/>
      </c>
      <c r="EI24">
        <f ca="1"/>
      </c>
      <c r="EJ24">
        <f ca="1"/>
      </c>
      <c r="EK24">
        <f ca="1"/>
      </c>
      <c r="EL24">
        <f ca="1"/>
      </c>
      <c r="EM24">
        <f ca="1"/>
      </c>
      <c r="EN24">
        <f ca="1"/>
      </c>
      <c r="EO24">
        <f ca="1"/>
      </c>
      <c r="EP24">
        <f ca="1"/>
      </c>
      <c r="EQ24">
        <f ca="1"/>
      </c>
      <c r="ER24">
        <f ca="1"/>
      </c>
      <c r="ES24">
        <f ca="1"/>
      </c>
      <c r="ET24">
        <f ca="1"/>
      </c>
      <c r="EU24">
        <f ca="1"/>
      </c>
      <c r="EV24">
        <f ca="1"/>
      </c>
      <c r="EW24">
        <f ca="1"/>
      </c>
      <c r="EX24">
        <f ca="1"/>
      </c>
      <c r="EY24">
        <f ca="1"/>
      </c>
      <c r="EZ24">
        <f ca="1"/>
      </c>
      <c r="FA24">
        <f ca="1"/>
      </c>
      <c r="FC24">
        <f ca="1"/>
      </c>
      <c r="FD24">
        <f ca="1"/>
      </c>
      <c r="FE24">
        <f ca="1"/>
      </c>
      <c r="FF24">
        <f ca="1"/>
      </c>
      <c r="FG24">
        <f ca="1"/>
      </c>
      <c r="FH24">
        <f ca="1"/>
      </c>
      <c r="FI24">
        <f ca="1"/>
      </c>
      <c r="FJ24">
        <f ca="1"/>
      </c>
      <c r="FK24">
        <f ca="1"/>
      </c>
      <c r="FL24">
        <f ca="1"/>
      </c>
      <c r="FM24">
        <f ca="1"/>
      </c>
      <c r="FN24">
        <f ca="1"/>
      </c>
      <c r="FO24">
        <f ca="1"/>
      </c>
      <c r="FP24">
        <f ca="1"/>
      </c>
      <c r="FQ24">
        <f ca="1"/>
      </c>
      <c r="FR24">
        <f ca="1"/>
      </c>
      <c r="FS24">
        <f ca="1"/>
      </c>
      <c r="FT24">
        <f ca="1"/>
      </c>
      <c r="FU24">
        <f ca="1"/>
      </c>
      <c r="FV24">
        <f ca="1"/>
      </c>
      <c r="FW24">
        <f ca="1"/>
      </c>
      <c r="FX24">
        <f ca="1"/>
      </c>
      <c r="FY24">
        <f ca="1"/>
      </c>
      <c r="FZ24">
        <f ca="1"/>
      </c>
      <c r="GA24">
        <f ca="1"/>
      </c>
      <c r="GB24">
        <f ca="1"/>
      </c>
      <c r="GC24">
        <f ca="1"/>
      </c>
      <c r="GD24">
        <f ca="1"/>
      </c>
      <c r="GE24">
        <f ca="1"/>
      </c>
      <c r="GF24">
        <f ca="1"/>
      </c>
      <c r="GG24">
        <f ca="1"/>
      </c>
      <c r="GH24">
        <f ca="1"/>
      </c>
      <c r="GI24">
        <f ca="1"/>
      </c>
      <c r="GJ24">
        <f ca="1"/>
      </c>
      <c r="GK24">
        <f ca="1"/>
      </c>
      <c r="GL24">
        <f ca="1"/>
      </c>
      <c r="GM24">
        <f ca="1"/>
      </c>
      <c r="GN24">
        <f ca="1"/>
      </c>
      <c r="GO24">
        <f ca="1"/>
      </c>
      <c r="GP24">
        <f ca="1"/>
      </c>
      <c r="GQ24">
        <f ca="1"/>
      </c>
      <c r="GR24">
        <f ca="1"/>
      </c>
      <c r="GS24">
        <f ca="1"/>
      </c>
      <c r="GT24">
        <f ca="1"/>
      </c>
      <c r="GU24">
        <f ca="1"/>
      </c>
      <c r="GV24">
        <f ca="1"/>
      </c>
      <c r="GW24">
        <f ca="1"/>
      </c>
      <c r="HI24" s="7">
        <f ca="1"/>
      </c>
      <c r="HJ24">
        <f ca="1"/>
      </c>
      <c r="HK24">
        <f ca="1"/>
      </c>
      <c r="HL24">
        <f ca="1"/>
      </c>
      <c r="HM24">
        <f ca="1"/>
      </c>
      <c r="HP24">
        <f ca="1"/>
      </c>
    </row>
    <row r="25" spans="1:224" x14ac:dyDescent="0.55000000000000004">
      <c r="A25" t="s">
        <v>291</v>
      </c>
      <c r="B25" s="13" cm="1">
        <f t="array" aca="1" ref="B25" ca="1">_xlfn.XLOOKUP($A25,_xlfn.ANCHORARRAY($HO$4),_xlfn.ANCHORARRAY($HP$4),"")</f>
      </c>
      <c r="C25" s="13" cm="1">
        <f t="array" aca="1" ref="C25" ca="1">_xlfn.LET(_xlpm.h,FWM_HC,_xlpm.c,_xlfn.XMATCH($A25,_xlfn.TAKE(_xlpm.h,1)),INDEX(_xlpm.h,ROWS(_xlpm.h),_xlpm.c))</f>
      </c>
      <c r="D25" s="44" cm="1">
        <f t="array" aca="1" ref="D25" ca="1">_xlfn.LET(_xlpm.h,FWM_HC,_xlpm.c,_xlfn.XMATCH($A25,_xlfn.TAKE(_xlpm.h,1)),(B25-INDEX(_xlpm.h,ROWS(_xlpm.h)-4,_xlpm.c))*100)</f>
      </c>
      <c r="E25" s="44" cm="1">
        <f t="array" aca="1" ref="E25" ca="1">_xlfn.LET(_xlpm.h,FWM_HC,_xlpm.c,_xlfn.XMATCH($A25,_xlfn.TAKE(_xlpm.h,1)),(B25-INDEX(_xlpm.h,ROWS(_xlpm.h)-20,_xlpm.c))*100)</f>
      </c>
      <c r="F25" s="44" cm="1">
        <f t="array" aca="1" ref="F25" ca="1">_xlfn.LET(_xlpm.h,FWM_HC,_xlpm.c,_xlfn.XMATCH($A25,_xlfn.TAKE(_xlpm.h,1)),(B25-_xlfn.XLOOKUP(FWM_Cmp,_xlfn.DROP(INDEX(_xlpm.h,,1),1),_xlfn.DROP(INDEX(_xlpm.h,,_xlpm.c),1),"",-1))*100)</f>
      </c>
      <c r="G25" s="44">
        <f ca="1">IF(ISNUMBER(B24),(B25-B24)*100,"")</f>
      </c>
      <c r="H25" s="45">
        <f ca="1">_xlfn.LET(_xlpm.h,FWM_HC,_xlpm.d,_xlfn.DROP(INDEX(_xlpm.h,,_xlfn.XMATCH($A25&amp;" dF",_xlfn.TAKE(_xlpm.h,1))),1),_xlpm.t,_xlfn.TAKE(_xlpm.d,-H$10),$L25/SQRT(SUMSQ(_xlpm.t)/ROWS(_xlpm.t)))</f>
      </c>
      <c r="I25" s="45">
        <f ca="1">_xlfn.LET(_xlpm.h,FWM_HC,_xlpm.d,_xlfn.DROP(INDEX(_xlpm.h,,_xlfn.XMATCH($A25&amp;" dF",_xlfn.TAKE(_xlpm.h,1))),1),_xlpm.t,_xlfn.TAKE(_xlpm.d,-I$10),$L25/SQRT(SUMSQ(_xlpm.t)/ROWS(_xlpm.t)))</f>
      </c>
      <c r="J25" s="45">
        <f ca="1">_xlfn.LET(_xlpm.h,FWM_HC,_xlpm.d,_xlfn.DROP(INDEX(_xlpm.h,,_xlfn.XMATCH($A25&amp;" dF",_xlfn.TAKE(_xlpm.h,1))),1),_xlpm.t,_xlfn.TAKE(_xlpm.d,-J$10),$L25/SQRT(SUMSQ(_xlpm.t)/ROWS(_xlpm.t)))</f>
      </c>
      <c r="L25" s="44" cm="1">
        <f t="array" aca="1" ref="L25:AE25" ca="1">_xlfn.LET(_xlpm.h,FWM_HC,_xlpm.c,_xlfn.XMATCH($A25,_xlfn.TAKE(_xlpm.h,1)),_xlpm.v,_xlfn.VSTACK(_xlfn.TAKE(_xlfn.DROP(INDEX(_xlpm.h,,_xlpm.c),1),-20),$B25),_xlpm.d,(_xlfn.DROP(_xlpm.v,1)-_xlfn.DROP(_xlpm.v,-1))*100,INDEX(_xlpm.d,_xlfn.SEQUENCE(1,20,20,-1)))</f>
      </c>
      <c r="M25" s="44">
        <f ca="1"/>
      </c>
      <c r="N25" s="44">
        <f ca="1"/>
      </c>
      <c r="O25" s="44">
        <f ca="1"/>
      </c>
      <c r="P25" s="44">
        <f ca="1"/>
      </c>
      <c r="Q25" s="44">
        <f ca="1"/>
      </c>
      <c r="R25" s="44">
        <f ca="1"/>
      </c>
      <c r="S25" s="44">
        <f ca="1"/>
      </c>
      <c r="T25" s="44">
        <f ca="1"/>
      </c>
      <c r="U25" s="44">
        <f ca="1"/>
      </c>
      <c r="V25" s="44">
        <f ca="1"/>
      </c>
      <c r="W25" s="44">
        <f ca="1"/>
      </c>
      <c r="X25" s="44">
        <f ca="1"/>
      </c>
      <c r="Y25" s="44">
        <f ca="1"/>
      </c>
      <c r="Z25" s="44">
        <f ca="1"/>
      </c>
      <c r="AA25" s="44">
        <f ca="1"/>
      </c>
      <c r="AB25" s="44">
        <f ca="1"/>
      </c>
      <c r="AC25" s="44">
        <f ca="1"/>
      </c>
      <c r="AD25" s="44">
        <f ca="1"/>
      </c>
      <c r="AE25" s="44">
        <f ca="1"/>
      </c>
      <c r="AW25">
        <f ca="1"/>
      </c>
      <c r="AX25">
        <f ca="1"/>
      </c>
      <c r="AY25">
        <f ca="1"/>
      </c>
      <c r="AZ25">
        <f ca="1"/>
      </c>
      <c r="BB25">
        <f ca="1"/>
      </c>
      <c r="BC25">
        <f ca="1"/>
      </c>
      <c r="BD25">
        <f ca="1"/>
      </c>
      <c r="BE25">
        <f ca="1"/>
      </c>
      <c r="BF25">
        <f ca="1"/>
      </c>
      <c r="BH25" t="s">
        <v>20</v>
      </c>
      <c r="BI25">
        <v>1</v>
      </c>
      <c r="BK25">
        <f ca="1"/>
      </c>
      <c r="BL25">
        <f ca="1"/>
      </c>
      <c r="BM25">
        <f ca="1"/>
      </c>
      <c r="BN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  <c r="BV25">
        <f ca="1"/>
      </c>
      <c r="BW25">
        <f ca="1"/>
      </c>
      <c r="BX25">
        <f ca="1"/>
      </c>
      <c r="BY25">
        <f ca="1"/>
      </c>
      <c r="BZ25">
        <f ca="1"/>
      </c>
      <c r="CA25">
        <f ca="1"/>
      </c>
      <c r="CB25">
        <f ca="1"/>
      </c>
      <c r="CC25">
        <f ca="1"/>
      </c>
      <c r="CD25">
        <f ca="1"/>
      </c>
      <c r="CE25">
        <f ca="1"/>
      </c>
      <c r="CF25">
        <f ca="1"/>
      </c>
      <c r="CG25">
        <f ca="1"/>
      </c>
      <c r="CH25">
        <f ca="1"/>
      </c>
      <c r="CI25">
        <f ca="1"/>
      </c>
      <c r="CJ25">
        <f ca="1"/>
      </c>
      <c r="CK25">
        <f ca="1"/>
      </c>
      <c r="CL25">
        <f ca="1"/>
      </c>
      <c r="CM25">
        <f ca="1"/>
      </c>
      <c r="CN25">
        <f ca="1"/>
      </c>
      <c r="CO25">
        <f ca="1"/>
      </c>
      <c r="CP25">
        <f ca="1"/>
      </c>
      <c r="CQ25">
        <f ca="1"/>
      </c>
      <c r="CR25">
        <f ca="1"/>
      </c>
      <c r="CS25">
        <f ca="1"/>
      </c>
      <c r="CT25">
        <f ca="1"/>
      </c>
      <c r="CU25">
        <f ca="1"/>
      </c>
      <c r="CV25">
        <f ca="1"/>
      </c>
      <c r="CW25">
        <f ca="1"/>
      </c>
      <c r="CX25">
        <f ca="1"/>
      </c>
      <c r="CY25">
        <f ca="1"/>
      </c>
      <c r="CZ25">
        <f ca="1"/>
      </c>
      <c r="DA25">
        <f ca="1"/>
      </c>
      <c r="DB25">
        <f ca="1"/>
      </c>
      <c r="DC25">
        <f ca="1"/>
      </c>
      <c r="DD25">
        <f ca="1"/>
      </c>
      <c r="DE25">
        <f ca="1"/>
      </c>
      <c r="DG25">
        <f ca="1"/>
      </c>
      <c r="DH25">
        <f ca="1"/>
      </c>
      <c r="DI25">
        <f ca="1"/>
      </c>
      <c r="DJ25">
        <f ca="1"/>
      </c>
      <c r="DK25">
        <f ca="1"/>
      </c>
      <c r="DL25">
        <f ca="1"/>
      </c>
      <c r="DM25">
        <f ca="1"/>
      </c>
      <c r="DN25">
        <f ca="1"/>
      </c>
      <c r="DO25">
        <f ca="1"/>
      </c>
      <c r="DP25">
        <f ca="1"/>
      </c>
      <c r="DQ25">
        <f ca="1"/>
      </c>
      <c r="DR25">
        <f ca="1"/>
      </c>
      <c r="DS25">
        <f ca="1"/>
      </c>
      <c r="DT25">
        <f ca="1"/>
      </c>
      <c r="DU25">
        <f ca="1"/>
      </c>
      <c r="DV25">
        <f ca="1"/>
      </c>
      <c r="DW25">
        <f ca="1"/>
      </c>
      <c r="DX25">
        <f ca="1"/>
      </c>
      <c r="DY25">
        <f ca="1"/>
      </c>
      <c r="DZ25">
        <f ca="1"/>
      </c>
      <c r="EA25">
        <f ca="1"/>
      </c>
      <c r="EB25">
        <f ca="1"/>
      </c>
      <c r="EC25">
        <f ca="1"/>
      </c>
      <c r="ED25">
        <f ca="1"/>
      </c>
      <c r="EE25">
        <f ca="1"/>
      </c>
      <c r="EF25">
        <f ca="1"/>
      </c>
      <c r="EG25">
        <f ca="1"/>
      </c>
      <c r="EH25">
        <f ca="1"/>
      </c>
      <c r="EI25">
        <f ca="1"/>
      </c>
      <c r="EJ25">
        <f ca="1"/>
      </c>
      <c r="EK25">
        <f ca="1"/>
      </c>
      <c r="EL25">
        <f ca="1"/>
      </c>
      <c r="EM25">
        <f ca="1"/>
      </c>
      <c r="EN25">
        <f ca="1"/>
      </c>
      <c r="EO25">
        <f ca="1"/>
      </c>
      <c r="EP25">
        <f ca="1"/>
      </c>
      <c r="EQ25">
        <f ca="1"/>
      </c>
      <c r="ER25">
        <f ca="1"/>
      </c>
      <c r="ES25">
        <f ca="1"/>
      </c>
      <c r="ET25">
        <f ca="1"/>
      </c>
      <c r="EU25">
        <f ca="1"/>
      </c>
      <c r="EV25">
        <f ca="1"/>
      </c>
      <c r="EW25">
        <f ca="1"/>
      </c>
      <c r="EX25">
        <f ca="1"/>
      </c>
      <c r="EY25">
        <f ca="1"/>
      </c>
      <c r="EZ25">
        <f ca="1"/>
      </c>
      <c r="FA25">
        <f ca="1"/>
      </c>
      <c r="FC25">
        <f ca="1"/>
      </c>
      <c r="FD25">
        <f ca="1"/>
      </c>
      <c r="FE25">
        <f ca="1"/>
      </c>
      <c r="FF25">
        <f ca="1"/>
      </c>
      <c r="FG25">
        <f ca="1"/>
      </c>
      <c r="FH25">
        <f ca="1"/>
      </c>
      <c r="FI25">
        <f ca="1"/>
      </c>
      <c r="FJ25">
        <f ca="1"/>
      </c>
      <c r="FK25">
        <f ca="1"/>
      </c>
      <c r="FL25">
        <f ca="1"/>
      </c>
      <c r="FM25">
        <f ca="1"/>
      </c>
      <c r="FN25">
        <f ca="1"/>
      </c>
      <c r="FO25">
        <f ca="1"/>
      </c>
      <c r="FP25">
        <f ca="1"/>
      </c>
      <c r="FQ25">
        <f ca="1"/>
      </c>
      <c r="FR25">
        <f ca="1"/>
      </c>
      <c r="FS25">
        <f ca="1"/>
      </c>
      <c r="FT25">
        <f ca="1"/>
      </c>
      <c r="FU25">
        <f ca="1"/>
      </c>
      <c r="FV25">
        <f ca="1"/>
      </c>
      <c r="FW25">
        <f ca="1"/>
      </c>
      <c r="FX25">
        <f ca="1"/>
      </c>
      <c r="FY25">
        <f ca="1"/>
      </c>
      <c r="FZ25">
        <f ca="1"/>
      </c>
      <c r="GA25">
        <f ca="1"/>
      </c>
      <c r="GB25">
        <f ca="1"/>
      </c>
      <c r="GC25">
        <f ca="1"/>
      </c>
      <c r="GD25">
        <f ca="1"/>
      </c>
      <c r="GE25">
        <f ca="1"/>
      </c>
      <c r="GF25">
        <f ca="1"/>
      </c>
      <c r="GG25">
        <f ca="1"/>
      </c>
      <c r="GH25">
        <f ca="1"/>
      </c>
      <c r="GI25">
        <f ca="1"/>
      </c>
      <c r="GJ25">
        <f ca="1"/>
      </c>
      <c r="GK25">
        <f ca="1"/>
      </c>
      <c r="GL25">
        <f ca="1"/>
      </c>
      <c r="GM25">
        <f ca="1"/>
      </c>
      <c r="GN25">
        <f ca="1"/>
      </c>
      <c r="GO25">
        <f ca="1"/>
      </c>
      <c r="GP25">
        <f ca="1"/>
      </c>
      <c r="GQ25">
        <f ca="1"/>
      </c>
      <c r="GR25">
        <f ca="1"/>
      </c>
      <c r="GS25">
        <f ca="1"/>
      </c>
      <c r="GT25">
        <f ca="1"/>
      </c>
      <c r="GU25">
        <f ca="1"/>
      </c>
      <c r="GV25">
        <f ca="1"/>
      </c>
      <c r="GW25">
        <f ca="1"/>
      </c>
      <c r="HI25" s="7">
        <f ca="1"/>
      </c>
      <c r="HJ25">
        <f ca="1"/>
      </c>
      <c r="HK25">
        <f ca="1"/>
      </c>
      <c r="HL25">
        <f ca="1"/>
      </c>
      <c r="HM25">
        <f ca="1"/>
      </c>
      <c r="HP25">
        <f ca="1"/>
      </c>
    </row>
    <row r="26" spans="1:224" x14ac:dyDescent="0.55000000000000004">
      <c r="A26" t="s">
        <v>292</v>
      </c>
      <c r="B26" s="13" cm="1">
        <f t="array" aca="1" ref="B26" ca="1">_xlfn.XLOOKUP($A26,_xlfn.ANCHORARRAY($HO$4),_xlfn.ANCHORARRAY($HP$4),"")</f>
      </c>
      <c r="C26" s="13" cm="1">
        <f t="array" aca="1" ref="C26" ca="1">_xlfn.LET(_xlpm.h,FWM_HC,_xlpm.c,_xlfn.XMATCH($A26,_xlfn.TAKE(_xlpm.h,1)),INDEX(_xlpm.h,ROWS(_xlpm.h),_xlpm.c))</f>
      </c>
      <c r="D26" s="44" cm="1">
        <f t="array" aca="1" ref="D26" ca="1">_xlfn.LET(_xlpm.h,FWM_HC,_xlpm.c,_xlfn.XMATCH($A26,_xlfn.TAKE(_xlpm.h,1)),(B26-INDEX(_xlpm.h,ROWS(_xlpm.h)-4,_xlpm.c))*100)</f>
      </c>
      <c r="E26" s="44" cm="1">
        <f t="array" aca="1" ref="E26" ca="1">_xlfn.LET(_xlpm.h,FWM_HC,_xlpm.c,_xlfn.XMATCH($A26,_xlfn.TAKE(_xlpm.h,1)),(B26-INDEX(_xlpm.h,ROWS(_xlpm.h)-20,_xlpm.c))*100)</f>
      </c>
      <c r="F26" s="44" cm="1">
        <f t="array" aca="1" ref="F26" ca="1">_xlfn.LET(_xlpm.h,FWM_HC,_xlpm.c,_xlfn.XMATCH($A26,_xlfn.TAKE(_xlpm.h,1)),(B26-_xlfn.XLOOKUP(FWM_Cmp,_xlfn.DROP(INDEX(_xlpm.h,,1),1),_xlfn.DROP(INDEX(_xlpm.h,,_xlpm.c),1),"",-1))*100)</f>
      </c>
      <c r="G26" s="44">
        <f ca="1">IF(ISNUMBER(B25),(B26-B25)*100,"")</f>
      </c>
      <c r="H26" s="45">
        <f ca="1">_xlfn.LET(_xlpm.h,FWM_HC,_xlpm.d,_xlfn.DROP(INDEX(_xlpm.h,,_xlfn.XMATCH($A26&amp;" dF",_xlfn.TAKE(_xlpm.h,1))),1),_xlpm.t,_xlfn.TAKE(_xlpm.d,-H$10),$L26/SQRT(SUMSQ(_xlpm.t)/ROWS(_xlpm.t)))</f>
      </c>
      <c r="I26" s="45">
        <f ca="1">_xlfn.LET(_xlpm.h,FWM_HC,_xlpm.d,_xlfn.DROP(INDEX(_xlpm.h,,_xlfn.XMATCH($A26&amp;" dF",_xlfn.TAKE(_xlpm.h,1))),1),_xlpm.t,_xlfn.TAKE(_xlpm.d,-I$10),$L26/SQRT(SUMSQ(_xlpm.t)/ROWS(_xlpm.t)))</f>
      </c>
      <c r="J26" s="45">
        <f ca="1">_xlfn.LET(_xlpm.h,FWM_HC,_xlpm.d,_xlfn.DROP(INDEX(_xlpm.h,,_xlfn.XMATCH($A26&amp;" dF",_xlfn.TAKE(_xlpm.h,1))),1),_xlpm.t,_xlfn.TAKE(_xlpm.d,-J$10),$L26/SQRT(SUMSQ(_xlpm.t)/ROWS(_xlpm.t)))</f>
      </c>
      <c r="L26" s="44" cm="1">
        <f t="array" aca="1" ref="L26:AE26" ca="1">_xlfn.LET(_xlpm.h,FWM_HC,_xlpm.c,_xlfn.XMATCH($A26,_xlfn.TAKE(_xlpm.h,1)),_xlpm.v,_xlfn.VSTACK(_xlfn.TAKE(_xlfn.DROP(INDEX(_xlpm.h,,_xlpm.c),1),-20),$B26),_xlpm.d,(_xlfn.DROP(_xlpm.v,1)-_xlfn.DROP(_xlpm.v,-1))*100,INDEX(_xlpm.d,_xlfn.SEQUENCE(1,20,20,-1)))</f>
      </c>
      <c r="M26" s="44">
        <f ca="1"/>
      </c>
      <c r="N26" s="44">
        <f ca="1"/>
      </c>
      <c r="O26" s="44">
        <f ca="1"/>
      </c>
      <c r="P26" s="44">
        <f ca="1"/>
      </c>
      <c r="Q26" s="44">
        <f ca="1"/>
      </c>
      <c r="R26" s="44">
        <f ca="1"/>
      </c>
      <c r="S26" s="44">
        <f ca="1"/>
      </c>
      <c r="T26" s="44">
        <f ca="1"/>
      </c>
      <c r="U26" s="44">
        <f ca="1"/>
      </c>
      <c r="V26" s="44">
        <f ca="1"/>
      </c>
      <c r="W26" s="44">
        <f ca="1"/>
      </c>
      <c r="X26" s="44">
        <f ca="1"/>
      </c>
      <c r="Y26" s="44">
        <f ca="1"/>
      </c>
      <c r="Z26" s="44">
        <f ca="1"/>
      </c>
      <c r="AA26" s="44">
        <f ca="1"/>
      </c>
      <c r="AB26" s="44">
        <f ca="1"/>
      </c>
      <c r="AC26" s="44">
        <f ca="1"/>
      </c>
      <c r="AD26" s="44">
        <f ca="1"/>
      </c>
      <c r="AE26" s="44">
        <f ca="1"/>
      </c>
      <c r="AW26">
        <f ca="1"/>
      </c>
      <c r="AX26">
        <f ca="1"/>
      </c>
      <c r="AY26">
        <f ca="1"/>
      </c>
      <c r="AZ26">
        <f ca="1"/>
      </c>
      <c r="BB26">
        <f ca="1"/>
      </c>
      <c r="BC26">
        <f ca="1"/>
      </c>
      <c r="BD26">
        <f ca="1"/>
      </c>
      <c r="BE26">
        <f ca="1"/>
      </c>
      <c r="BF26">
        <f ca="1"/>
      </c>
      <c r="BH26" t="s">
        <v>21</v>
      </c>
      <c r="BI26">
        <v>1</v>
      </c>
      <c r="BK26">
        <f ca="1"/>
      </c>
      <c r="BL26">
        <f ca="1"/>
      </c>
      <c r="BM26">
        <f ca="1"/>
      </c>
      <c r="BN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  <c r="BV26">
        <f ca="1"/>
      </c>
      <c r="BW26">
        <f ca="1"/>
      </c>
      <c r="BX26">
        <f ca="1"/>
      </c>
      <c r="BY26">
        <f ca="1"/>
      </c>
      <c r="BZ26">
        <f ca="1"/>
      </c>
      <c r="CA26">
        <f ca="1"/>
      </c>
      <c r="CB26">
        <f ca="1"/>
      </c>
      <c r="CC26">
        <f ca="1"/>
      </c>
      <c r="CD26">
        <f ca="1"/>
      </c>
      <c r="CE26">
        <f ca="1"/>
      </c>
      <c r="CF26">
        <f ca="1"/>
      </c>
      <c r="CG26">
        <f ca="1"/>
      </c>
      <c r="CH26">
        <f ca="1"/>
      </c>
      <c r="CI26">
        <f ca="1"/>
      </c>
      <c r="CJ26">
        <f ca="1"/>
      </c>
      <c r="CK26">
        <f ca="1"/>
      </c>
      <c r="CL26">
        <f ca="1"/>
      </c>
      <c r="CM26">
        <f ca="1"/>
      </c>
      <c r="CN26">
        <f ca="1"/>
      </c>
      <c r="CO26">
        <f ca="1"/>
      </c>
      <c r="CP26">
        <f ca="1"/>
      </c>
      <c r="CQ26">
        <f ca="1"/>
      </c>
      <c r="CR26">
        <f ca="1"/>
      </c>
      <c r="CS26">
        <f ca="1"/>
      </c>
      <c r="CT26">
        <f ca="1"/>
      </c>
      <c r="CU26">
        <f ca="1"/>
      </c>
      <c r="CV26">
        <f ca="1"/>
      </c>
      <c r="CW26">
        <f ca="1"/>
      </c>
      <c r="CX26">
        <f ca="1"/>
      </c>
      <c r="CY26">
        <f ca="1"/>
      </c>
      <c r="CZ26">
        <f ca="1"/>
      </c>
      <c r="DA26">
        <f ca="1"/>
      </c>
      <c r="DB26">
        <f ca="1"/>
      </c>
      <c r="DC26">
        <f ca="1"/>
      </c>
      <c r="DD26">
        <f ca="1"/>
      </c>
      <c r="DE26">
        <f ca="1"/>
      </c>
      <c r="DG26">
        <f ca="1"/>
      </c>
      <c r="DH26">
        <f ca="1"/>
      </c>
      <c r="DI26">
        <f ca="1"/>
      </c>
      <c r="DJ26">
        <f ca="1"/>
      </c>
      <c r="DK26">
        <f ca="1"/>
      </c>
      <c r="DL26">
        <f ca="1"/>
      </c>
      <c r="DM26">
        <f ca="1"/>
      </c>
      <c r="DN26">
        <f ca="1"/>
      </c>
      <c r="DO26">
        <f ca="1"/>
      </c>
      <c r="DP26">
        <f ca="1"/>
      </c>
      <c r="DQ26">
        <f ca="1"/>
      </c>
      <c r="DR26">
        <f ca="1"/>
      </c>
      <c r="DS26">
        <f ca="1"/>
      </c>
      <c r="DT26">
        <f ca="1"/>
      </c>
      <c r="DU26">
        <f ca="1"/>
      </c>
      <c r="DV26">
        <f ca="1"/>
      </c>
      <c r="DW26">
        <f ca="1"/>
      </c>
      <c r="DX26">
        <f ca="1"/>
      </c>
      <c r="DY26">
        <f ca="1"/>
      </c>
      <c r="DZ26">
        <f ca="1"/>
      </c>
      <c r="EA26">
        <f ca="1"/>
      </c>
      <c r="EB26">
        <f ca="1"/>
      </c>
      <c r="EC26">
        <f ca="1"/>
      </c>
      <c r="ED26">
        <f ca="1"/>
      </c>
      <c r="EE26">
        <f ca="1"/>
      </c>
      <c r="EF26">
        <f ca="1"/>
      </c>
      <c r="EG26">
        <f ca="1"/>
      </c>
      <c r="EH26">
        <f ca="1"/>
      </c>
      <c r="EI26">
        <f ca="1"/>
      </c>
      <c r="EJ26">
        <f ca="1"/>
      </c>
      <c r="EK26">
        <f ca="1"/>
      </c>
      <c r="EL26">
        <f ca="1"/>
      </c>
      <c r="EM26">
        <f ca="1"/>
      </c>
      <c r="EN26">
        <f ca="1"/>
      </c>
      <c r="EO26">
        <f ca="1"/>
      </c>
      <c r="EP26">
        <f ca="1"/>
      </c>
      <c r="EQ26">
        <f ca="1"/>
      </c>
      <c r="ER26">
        <f ca="1"/>
      </c>
      <c r="ES26">
        <f ca="1"/>
      </c>
      <c r="ET26">
        <f ca="1"/>
      </c>
      <c r="EU26">
        <f ca="1"/>
      </c>
      <c r="EV26">
        <f ca="1"/>
      </c>
      <c r="EW26">
        <f ca="1"/>
      </c>
      <c r="EX26">
        <f ca="1"/>
      </c>
      <c r="EY26">
        <f ca="1"/>
      </c>
      <c r="EZ26">
        <f ca="1"/>
      </c>
      <c r="FA26">
        <f ca="1"/>
      </c>
      <c r="FC26">
        <f ca="1"/>
      </c>
      <c r="FD26">
        <f ca="1"/>
      </c>
      <c r="FE26">
        <f ca="1"/>
      </c>
      <c r="FF26">
        <f ca="1"/>
      </c>
      <c r="FG26">
        <f ca="1"/>
      </c>
      <c r="FH26">
        <f ca="1"/>
      </c>
      <c r="FI26">
        <f ca="1"/>
      </c>
      <c r="FJ26">
        <f ca="1"/>
      </c>
      <c r="FK26">
        <f ca="1"/>
      </c>
      <c r="FL26">
        <f ca="1"/>
      </c>
      <c r="FM26">
        <f ca="1"/>
      </c>
      <c r="FN26">
        <f ca="1"/>
      </c>
      <c r="FO26">
        <f ca="1"/>
      </c>
      <c r="FP26">
        <f ca="1"/>
      </c>
      <c r="FQ26">
        <f ca="1"/>
      </c>
      <c r="FR26">
        <f ca="1"/>
      </c>
      <c r="FS26">
        <f ca="1"/>
      </c>
      <c r="FT26">
        <f ca="1"/>
      </c>
      <c r="FU26">
        <f ca="1"/>
      </c>
      <c r="FV26">
        <f ca="1"/>
      </c>
      <c r="FW26">
        <f ca="1"/>
      </c>
      <c r="FX26">
        <f ca="1"/>
      </c>
      <c r="FY26">
        <f ca="1"/>
      </c>
      <c r="FZ26">
        <f ca="1"/>
      </c>
      <c r="GA26">
        <f ca="1"/>
      </c>
      <c r="GB26">
        <f ca="1"/>
      </c>
      <c r="GC26">
        <f ca="1"/>
      </c>
      <c r="GD26">
        <f ca="1"/>
      </c>
      <c r="GE26">
        <f ca="1"/>
      </c>
      <c r="GF26">
        <f ca="1"/>
      </c>
      <c r="GG26">
        <f ca="1"/>
      </c>
      <c r="GH26">
        <f ca="1"/>
      </c>
      <c r="GI26">
        <f ca="1"/>
      </c>
      <c r="GJ26">
        <f ca="1"/>
      </c>
      <c r="GK26">
        <f ca="1"/>
      </c>
      <c r="GL26">
        <f ca="1"/>
      </c>
      <c r="GM26">
        <f ca="1"/>
      </c>
      <c r="GN26">
        <f ca="1"/>
      </c>
      <c r="GO26">
        <f ca="1"/>
      </c>
      <c r="GP26">
        <f ca="1"/>
      </c>
      <c r="GQ26">
        <f ca="1"/>
      </c>
      <c r="GR26">
        <f ca="1"/>
      </c>
      <c r="GS26">
        <f ca="1"/>
      </c>
      <c r="GT26">
        <f ca="1"/>
      </c>
      <c r="GU26">
        <f ca="1"/>
      </c>
      <c r="GV26">
        <f ca="1"/>
      </c>
      <c r="GW26">
        <f ca="1"/>
      </c>
      <c r="HI26" s="7">
        <f ca="1"/>
      </c>
      <c r="HJ26">
        <f ca="1"/>
      </c>
      <c r="HK26">
        <f ca="1"/>
      </c>
      <c r="HL26">
        <f ca="1"/>
      </c>
      <c r="HM26">
        <f ca="1"/>
      </c>
      <c r="HP26">
        <f ca="1"/>
      </c>
    </row>
    <row r="27" spans="1:224" x14ac:dyDescent="0.55000000000000004">
      <c r="A27" t="s">
        <v>293</v>
      </c>
      <c r="B27" s="13" cm="1">
        <f t="array" aca="1" ref="B27" ca="1">_xlfn.XLOOKUP($A27,_xlfn.ANCHORARRAY($HO$4),_xlfn.ANCHORARRAY($HP$4),"")</f>
      </c>
      <c r="C27" s="13" cm="1">
        <f t="array" aca="1" ref="C27" ca="1">_xlfn.LET(_xlpm.h,FWM_HC,_xlpm.c,_xlfn.XMATCH($A27,_xlfn.TAKE(_xlpm.h,1)),INDEX(_xlpm.h,ROWS(_xlpm.h),_xlpm.c))</f>
      </c>
      <c r="D27" s="44" cm="1">
        <f t="array" aca="1" ref="D27" ca="1">_xlfn.LET(_xlpm.h,FWM_HC,_xlpm.c,_xlfn.XMATCH($A27,_xlfn.TAKE(_xlpm.h,1)),(B27-INDEX(_xlpm.h,ROWS(_xlpm.h)-4,_xlpm.c))*100)</f>
      </c>
      <c r="E27" s="44" cm="1">
        <f t="array" aca="1" ref="E27" ca="1">_xlfn.LET(_xlpm.h,FWM_HC,_xlpm.c,_xlfn.XMATCH($A27,_xlfn.TAKE(_xlpm.h,1)),(B27-INDEX(_xlpm.h,ROWS(_xlpm.h)-20,_xlpm.c))*100)</f>
      </c>
      <c r="F27" s="44" cm="1">
        <f t="array" aca="1" ref="F27" ca="1">_xlfn.LET(_xlpm.h,FWM_HC,_xlpm.c,_xlfn.XMATCH($A27,_xlfn.TAKE(_xlpm.h,1)),(B27-_xlfn.XLOOKUP(FWM_Cmp,_xlfn.DROP(INDEX(_xlpm.h,,1),1),_xlfn.DROP(INDEX(_xlpm.h,,_xlpm.c),1),"",-1))*100)</f>
      </c>
      <c r="G27" s="44">
        <f ca="1">IF(ISNUMBER(B26),(B27-B26)*100,"")</f>
      </c>
      <c r="H27" s="45">
        <f ca="1">_xlfn.LET(_xlpm.h,FWM_HC,_xlpm.d,_xlfn.DROP(INDEX(_xlpm.h,,_xlfn.XMATCH($A27&amp;" dF",_xlfn.TAKE(_xlpm.h,1))),1),_xlpm.t,_xlfn.TAKE(_xlpm.d,-H$10),$L27/SQRT(SUMSQ(_xlpm.t)/ROWS(_xlpm.t)))</f>
      </c>
      <c r="I27" s="45">
        <f ca="1">_xlfn.LET(_xlpm.h,FWM_HC,_xlpm.d,_xlfn.DROP(INDEX(_xlpm.h,,_xlfn.XMATCH($A27&amp;" dF",_xlfn.TAKE(_xlpm.h,1))),1),_xlpm.t,_xlfn.TAKE(_xlpm.d,-I$10),$L27/SQRT(SUMSQ(_xlpm.t)/ROWS(_xlpm.t)))</f>
      </c>
      <c r="J27" s="45">
        <f ca="1">_xlfn.LET(_xlpm.h,FWM_HC,_xlpm.d,_xlfn.DROP(INDEX(_xlpm.h,,_xlfn.XMATCH($A27&amp;" dF",_xlfn.TAKE(_xlpm.h,1))),1),_xlpm.t,_xlfn.TAKE(_xlpm.d,-J$10),$L27/SQRT(SUMSQ(_xlpm.t)/ROWS(_xlpm.t)))</f>
      </c>
      <c r="L27" s="44" cm="1">
        <f t="array" aca="1" ref="L27:AE27" ca="1">_xlfn.LET(_xlpm.h,FWM_HC,_xlpm.c,_xlfn.XMATCH($A27,_xlfn.TAKE(_xlpm.h,1)),_xlpm.v,_xlfn.VSTACK(_xlfn.TAKE(_xlfn.DROP(INDEX(_xlpm.h,,_xlpm.c),1),-20),$B27),_xlpm.d,(_xlfn.DROP(_xlpm.v,1)-_xlfn.DROP(_xlpm.v,-1))*100,INDEX(_xlpm.d,_xlfn.SEQUENCE(1,20,20,-1)))</f>
      </c>
      <c r="M27" s="44">
        <f ca="1"/>
      </c>
      <c r="N27" s="44">
        <f ca="1"/>
      </c>
      <c r="O27" s="44">
        <f ca="1"/>
      </c>
      <c r="P27" s="44">
        <f ca="1"/>
      </c>
      <c r="Q27" s="44">
        <f ca="1"/>
      </c>
      <c r="R27" s="44">
        <f ca="1"/>
      </c>
      <c r="S27" s="44">
        <f ca="1"/>
      </c>
      <c r="T27" s="44">
        <f ca="1"/>
      </c>
      <c r="U27" s="44">
        <f ca="1"/>
      </c>
      <c r="V27" s="44">
        <f ca="1"/>
      </c>
      <c r="W27" s="44">
        <f ca="1"/>
      </c>
      <c r="X27" s="44">
        <f ca="1"/>
      </c>
      <c r="Y27" s="44">
        <f ca="1"/>
      </c>
      <c r="Z27" s="44">
        <f ca="1"/>
      </c>
      <c r="AA27" s="44">
        <f ca="1"/>
      </c>
      <c r="AB27" s="44">
        <f ca="1"/>
      </c>
      <c r="AC27" s="44">
        <f ca="1"/>
      </c>
      <c r="AD27" s="44">
        <f ca="1"/>
      </c>
      <c r="AE27" s="44">
        <f ca="1"/>
      </c>
      <c r="AW27">
        <f ca="1"/>
      </c>
      <c r="AX27">
        <f ca="1"/>
      </c>
      <c r="AY27">
        <f ca="1"/>
      </c>
      <c r="AZ27">
        <f ca="1"/>
      </c>
      <c r="BB27">
        <f ca="1"/>
      </c>
      <c r="BC27">
        <f ca="1"/>
      </c>
      <c r="BD27">
        <f ca="1"/>
      </c>
      <c r="BE27">
        <f ca="1"/>
      </c>
      <c r="BF27">
        <f ca="1"/>
      </c>
      <c r="BH27" t="s">
        <v>22</v>
      </c>
      <c r="BI27">
        <v>1</v>
      </c>
      <c r="BK27">
        <f ca="1"/>
      </c>
      <c r="BL27">
        <f ca="1"/>
      </c>
      <c r="BM27">
        <f ca="1"/>
      </c>
      <c r="BN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  <c r="BV27">
        <f ca="1"/>
      </c>
      <c r="BW27">
        <f ca="1"/>
      </c>
      <c r="BX27">
        <f ca="1"/>
      </c>
      <c r="BY27">
        <f ca="1"/>
      </c>
      <c r="BZ27">
        <f ca="1"/>
      </c>
      <c r="CA27">
        <f ca="1"/>
      </c>
      <c r="CB27">
        <f ca="1"/>
      </c>
      <c r="CC27">
        <f ca="1"/>
      </c>
      <c r="CD27">
        <f ca="1"/>
      </c>
      <c r="CE27">
        <f ca="1"/>
      </c>
      <c r="CF27">
        <f ca="1"/>
      </c>
      <c r="CG27">
        <f ca="1"/>
      </c>
      <c r="CH27">
        <f ca="1"/>
      </c>
      <c r="CI27">
        <f ca="1"/>
      </c>
      <c r="CJ27">
        <f ca="1"/>
      </c>
      <c r="CK27">
        <f ca="1"/>
      </c>
      <c r="CL27">
        <f ca="1"/>
      </c>
      <c r="CM27">
        <f ca="1"/>
      </c>
      <c r="CN27">
        <f ca="1"/>
      </c>
      <c r="CO27">
        <f ca="1"/>
      </c>
      <c r="CP27">
        <f ca="1"/>
      </c>
      <c r="CQ27">
        <f ca="1"/>
      </c>
      <c r="CR27">
        <f ca="1"/>
      </c>
      <c r="CS27">
        <f ca="1"/>
      </c>
      <c r="CT27">
        <f ca="1"/>
      </c>
      <c r="CU27">
        <f ca="1"/>
      </c>
      <c r="CV27">
        <f ca="1"/>
      </c>
      <c r="CW27">
        <f ca="1"/>
      </c>
      <c r="CX27">
        <f ca="1"/>
      </c>
      <c r="CY27">
        <f ca="1"/>
      </c>
      <c r="CZ27">
        <f ca="1"/>
      </c>
      <c r="DA27">
        <f ca="1"/>
      </c>
      <c r="DB27">
        <f ca="1"/>
      </c>
      <c r="DC27">
        <f ca="1"/>
      </c>
      <c r="DD27">
        <f ca="1"/>
      </c>
      <c r="DE27">
        <f ca="1"/>
      </c>
      <c r="DG27">
        <f ca="1"/>
      </c>
      <c r="DH27">
        <f ca="1"/>
      </c>
      <c r="DI27">
        <f ca="1"/>
      </c>
      <c r="DJ27">
        <f ca="1"/>
      </c>
      <c r="DK27">
        <f ca="1"/>
      </c>
      <c r="DL27">
        <f ca="1"/>
      </c>
      <c r="DM27">
        <f ca="1"/>
      </c>
      <c r="DN27">
        <f ca="1"/>
      </c>
      <c r="DO27">
        <f ca="1"/>
      </c>
      <c r="DP27">
        <f ca="1"/>
      </c>
      <c r="DQ27">
        <f ca="1"/>
      </c>
      <c r="DR27">
        <f ca="1"/>
      </c>
      <c r="DS27">
        <f ca="1"/>
      </c>
      <c r="DT27">
        <f ca="1"/>
      </c>
      <c r="DU27">
        <f ca="1"/>
      </c>
      <c r="DV27">
        <f ca="1"/>
      </c>
      <c r="DW27">
        <f ca="1"/>
      </c>
      <c r="DX27">
        <f ca="1"/>
      </c>
      <c r="DY27">
        <f ca="1"/>
      </c>
      <c r="DZ27">
        <f ca="1"/>
      </c>
      <c r="EA27">
        <f ca="1"/>
      </c>
      <c r="EB27">
        <f ca="1"/>
      </c>
      <c r="EC27">
        <f ca="1"/>
      </c>
      <c r="ED27">
        <f ca="1"/>
      </c>
      <c r="EE27">
        <f ca="1"/>
      </c>
      <c r="EF27">
        <f ca="1"/>
      </c>
      <c r="EG27">
        <f ca="1"/>
      </c>
      <c r="EH27">
        <f ca="1"/>
      </c>
      <c r="EI27">
        <f ca="1"/>
      </c>
      <c r="EJ27">
        <f ca="1"/>
      </c>
      <c r="EK27">
        <f ca="1"/>
      </c>
      <c r="EL27">
        <f ca="1"/>
      </c>
      <c r="EM27">
        <f ca="1"/>
      </c>
      <c r="EN27">
        <f ca="1"/>
      </c>
      <c r="EO27">
        <f ca="1"/>
      </c>
      <c r="EP27">
        <f ca="1"/>
      </c>
      <c r="EQ27">
        <f ca="1"/>
      </c>
      <c r="ER27">
        <f ca="1"/>
      </c>
      <c r="ES27">
        <f ca="1"/>
      </c>
      <c r="ET27">
        <f ca="1"/>
      </c>
      <c r="EU27">
        <f ca="1"/>
      </c>
      <c r="EV27">
        <f ca="1"/>
      </c>
      <c r="EW27">
        <f ca="1"/>
      </c>
      <c r="EX27">
        <f ca="1"/>
      </c>
      <c r="EY27">
        <f ca="1"/>
      </c>
      <c r="EZ27">
        <f ca="1"/>
      </c>
      <c r="FA27">
        <f ca="1"/>
      </c>
      <c r="FC27">
        <f ca="1"/>
      </c>
      <c r="FD27">
        <f ca="1"/>
      </c>
      <c r="FE27">
        <f ca="1"/>
      </c>
      <c r="FF27">
        <f ca="1"/>
      </c>
      <c r="FG27">
        <f ca="1"/>
      </c>
      <c r="FH27">
        <f ca="1"/>
      </c>
      <c r="FI27">
        <f ca="1"/>
      </c>
      <c r="FJ27">
        <f ca="1"/>
      </c>
      <c r="FK27">
        <f ca="1"/>
      </c>
      <c r="FL27">
        <f ca="1"/>
      </c>
      <c r="FM27">
        <f ca="1"/>
      </c>
      <c r="FN27">
        <f ca="1"/>
      </c>
      <c r="FO27">
        <f ca="1"/>
      </c>
      <c r="FP27">
        <f ca="1"/>
      </c>
      <c r="FQ27">
        <f ca="1"/>
      </c>
      <c r="FR27">
        <f ca="1"/>
      </c>
      <c r="FS27">
        <f ca="1"/>
      </c>
      <c r="FT27">
        <f ca="1"/>
      </c>
      <c r="FU27">
        <f ca="1"/>
      </c>
      <c r="FV27">
        <f ca="1"/>
      </c>
      <c r="FW27">
        <f ca="1"/>
      </c>
      <c r="FX27">
        <f ca="1"/>
      </c>
      <c r="FY27">
        <f ca="1"/>
      </c>
      <c r="FZ27">
        <f ca="1"/>
      </c>
      <c r="GA27">
        <f ca="1"/>
      </c>
      <c r="GB27">
        <f ca="1"/>
      </c>
      <c r="GC27">
        <f ca="1"/>
      </c>
      <c r="GD27">
        <f ca="1"/>
      </c>
      <c r="GE27">
        <f ca="1"/>
      </c>
      <c r="GF27">
        <f ca="1"/>
      </c>
      <c r="GG27">
        <f ca="1"/>
      </c>
      <c r="GH27">
        <f ca="1"/>
      </c>
      <c r="GI27">
        <f ca="1"/>
      </c>
      <c r="GJ27">
        <f ca="1"/>
      </c>
      <c r="GK27">
        <f ca="1"/>
      </c>
      <c r="GL27">
        <f ca="1"/>
      </c>
      <c r="GM27">
        <f ca="1"/>
      </c>
      <c r="GN27">
        <f ca="1"/>
      </c>
      <c r="GO27">
        <f ca="1"/>
      </c>
      <c r="GP27">
        <f ca="1"/>
      </c>
      <c r="GQ27">
        <f ca="1"/>
      </c>
      <c r="GR27">
        <f ca="1"/>
      </c>
      <c r="GS27">
        <f ca="1"/>
      </c>
      <c r="GT27">
        <f ca="1"/>
      </c>
      <c r="GU27">
        <f ca="1"/>
      </c>
      <c r="GV27">
        <f ca="1"/>
      </c>
      <c r="GW27">
        <f ca="1"/>
      </c>
      <c r="HI27" s="7">
        <f ca="1"/>
      </c>
      <c r="HJ27">
        <f ca="1"/>
      </c>
      <c r="HK27">
        <f ca="1"/>
      </c>
      <c r="HL27">
        <f ca="1"/>
      </c>
      <c r="HM27">
        <f ca="1"/>
      </c>
    </row>
    <row r="28" spans="1:224" x14ac:dyDescent="0.55000000000000004">
      <c r="B28" s="13"/>
      <c r="C28" s="13"/>
      <c r="D28" s="44"/>
      <c r="E28" s="44"/>
      <c r="F28" s="44"/>
      <c r="G28" s="44"/>
      <c r="H28" s="45"/>
      <c r="I28" s="45"/>
      <c r="J28" s="45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W28">
        <f ca="1"/>
      </c>
      <c r="AX28">
        <f ca="1"/>
      </c>
      <c r="AY28">
        <f ca="1"/>
      </c>
      <c r="AZ28">
        <f ca="1"/>
      </c>
      <c r="BB28">
        <f ca="1"/>
      </c>
      <c r="BC28">
        <f ca="1"/>
      </c>
      <c r="BD28">
        <f ca="1"/>
      </c>
      <c r="BE28">
        <f ca="1"/>
      </c>
      <c r="BF28">
        <f ca="1"/>
      </c>
      <c r="BH28" t="s">
        <v>23</v>
      </c>
      <c r="BI28">
        <v>1</v>
      </c>
      <c r="BK28">
        <f ca="1"/>
      </c>
      <c r="BL28">
        <f ca="1"/>
      </c>
      <c r="BM28">
        <f ca="1"/>
      </c>
      <c r="BN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  <c r="BV28">
        <f ca="1"/>
      </c>
      <c r="BW28">
        <f ca="1"/>
      </c>
      <c r="BX28">
        <f ca="1"/>
      </c>
      <c r="BY28">
        <f ca="1"/>
      </c>
      <c r="BZ28">
        <f ca="1"/>
      </c>
      <c r="CA28">
        <f ca="1"/>
      </c>
      <c r="CB28">
        <f ca="1"/>
      </c>
      <c r="CC28">
        <f ca="1"/>
      </c>
      <c r="CD28">
        <f ca="1"/>
      </c>
      <c r="CE28">
        <f ca="1"/>
      </c>
      <c r="CF28">
        <f ca="1"/>
      </c>
      <c r="CG28">
        <f ca="1"/>
      </c>
      <c r="CH28">
        <f ca="1"/>
      </c>
      <c r="CI28">
        <f ca="1"/>
      </c>
      <c r="CJ28">
        <f ca="1"/>
      </c>
      <c r="CK28">
        <f ca="1"/>
      </c>
      <c r="CL28">
        <f ca="1"/>
      </c>
      <c r="CM28">
        <f ca="1"/>
      </c>
      <c r="CN28">
        <f ca="1"/>
      </c>
      <c r="CO28">
        <f ca="1"/>
      </c>
      <c r="CP28">
        <f ca="1"/>
      </c>
      <c r="CQ28">
        <f ca="1"/>
      </c>
      <c r="CR28">
        <f ca="1"/>
      </c>
      <c r="CS28">
        <f ca="1"/>
      </c>
      <c r="CT28">
        <f ca="1"/>
      </c>
      <c r="CU28">
        <f ca="1"/>
      </c>
      <c r="CV28">
        <f ca="1"/>
      </c>
      <c r="CW28">
        <f ca="1"/>
      </c>
      <c r="CX28">
        <f ca="1"/>
      </c>
      <c r="CY28">
        <f ca="1"/>
      </c>
      <c r="CZ28">
        <f ca="1"/>
      </c>
      <c r="DA28">
        <f ca="1"/>
      </c>
      <c r="DB28">
        <f ca="1"/>
      </c>
      <c r="DC28">
        <f ca="1"/>
      </c>
      <c r="DD28">
        <f ca="1"/>
      </c>
      <c r="DE28">
        <f ca="1"/>
      </c>
      <c r="DG28">
        <f ca="1"/>
      </c>
      <c r="DH28">
        <f ca="1"/>
      </c>
      <c r="DI28">
        <f ca="1"/>
      </c>
      <c r="DJ28">
        <f ca="1"/>
      </c>
      <c r="DK28">
        <f ca="1"/>
      </c>
      <c r="DL28">
        <f ca="1"/>
      </c>
      <c r="DM28">
        <f ca="1"/>
      </c>
      <c r="DN28">
        <f ca="1"/>
      </c>
      <c r="DO28">
        <f ca="1"/>
      </c>
      <c r="DP28">
        <f ca="1"/>
      </c>
      <c r="DQ28">
        <f ca="1"/>
      </c>
      <c r="DR28">
        <f ca="1"/>
      </c>
      <c r="DS28">
        <f ca="1"/>
      </c>
      <c r="DT28">
        <f ca="1"/>
      </c>
      <c r="DU28">
        <f ca="1"/>
      </c>
      <c r="DV28">
        <f ca="1"/>
      </c>
      <c r="DW28">
        <f ca="1"/>
      </c>
      <c r="DX28">
        <f ca="1"/>
      </c>
      <c r="DY28">
        <f ca="1"/>
      </c>
      <c r="DZ28">
        <f ca="1"/>
      </c>
      <c r="EA28">
        <f ca="1"/>
      </c>
      <c r="EB28">
        <f ca="1"/>
      </c>
      <c r="EC28">
        <f ca="1"/>
      </c>
      <c r="ED28">
        <f ca="1"/>
      </c>
      <c r="EE28">
        <f ca="1"/>
      </c>
      <c r="EF28">
        <f ca="1"/>
      </c>
      <c r="EG28">
        <f ca="1"/>
      </c>
      <c r="EH28">
        <f ca="1"/>
      </c>
      <c r="EI28">
        <f ca="1"/>
      </c>
      <c r="EJ28">
        <f ca="1"/>
      </c>
      <c r="EK28">
        <f ca="1"/>
      </c>
      <c r="EL28">
        <f ca="1"/>
      </c>
      <c r="EM28">
        <f ca="1"/>
      </c>
      <c r="EN28">
        <f ca="1"/>
      </c>
      <c r="EO28">
        <f ca="1"/>
      </c>
      <c r="EP28">
        <f ca="1"/>
      </c>
      <c r="EQ28">
        <f ca="1"/>
      </c>
      <c r="ER28">
        <f ca="1"/>
      </c>
      <c r="ES28">
        <f ca="1"/>
      </c>
      <c r="ET28">
        <f ca="1"/>
      </c>
      <c r="EU28">
        <f ca="1"/>
      </c>
      <c r="EV28">
        <f ca="1"/>
      </c>
      <c r="EW28">
        <f ca="1"/>
      </c>
      <c r="EX28">
        <f ca="1"/>
      </c>
      <c r="EY28">
        <f ca="1"/>
      </c>
      <c r="EZ28">
        <f ca="1"/>
      </c>
      <c r="FA28">
        <f ca="1"/>
      </c>
      <c r="FC28">
        <f ca="1"/>
      </c>
      <c r="FD28">
        <f ca="1"/>
      </c>
      <c r="FE28">
        <f ca="1"/>
      </c>
      <c r="FF28">
        <f ca="1"/>
      </c>
      <c r="FG28">
        <f ca="1"/>
      </c>
      <c r="FH28">
        <f ca="1"/>
      </c>
      <c r="FI28">
        <f ca="1"/>
      </c>
      <c r="FJ28">
        <f ca="1"/>
      </c>
      <c r="FK28">
        <f ca="1"/>
      </c>
      <c r="FL28">
        <f ca="1"/>
      </c>
      <c r="FM28">
        <f ca="1"/>
      </c>
      <c r="FN28">
        <f ca="1"/>
      </c>
      <c r="FO28">
        <f ca="1"/>
      </c>
      <c r="FP28">
        <f ca="1"/>
      </c>
      <c r="FQ28">
        <f ca="1"/>
      </c>
      <c r="FR28">
        <f ca="1"/>
      </c>
      <c r="FS28">
        <f ca="1"/>
      </c>
      <c r="FT28">
        <f ca="1"/>
      </c>
      <c r="FU28">
        <f ca="1"/>
      </c>
      <c r="FV28">
        <f ca="1"/>
      </c>
      <c r="FW28">
        <f ca="1"/>
      </c>
      <c r="FX28">
        <f ca="1"/>
      </c>
      <c r="FY28">
        <f ca="1"/>
      </c>
      <c r="FZ28">
        <f ca="1"/>
      </c>
      <c r="GA28">
        <f ca="1"/>
      </c>
      <c r="GB28">
        <f ca="1"/>
      </c>
      <c r="GC28">
        <f ca="1"/>
      </c>
      <c r="GD28">
        <f ca="1"/>
      </c>
      <c r="GE28">
        <f ca="1"/>
      </c>
      <c r="GF28">
        <f ca="1"/>
      </c>
      <c r="GG28">
        <f ca="1"/>
      </c>
      <c r="GH28">
        <f ca="1"/>
      </c>
      <c r="GI28">
        <f ca="1"/>
      </c>
      <c r="GJ28">
        <f ca="1"/>
      </c>
      <c r="GK28">
        <f ca="1"/>
      </c>
      <c r="GL28">
        <f ca="1"/>
      </c>
      <c r="GM28">
        <f ca="1"/>
      </c>
      <c r="GN28">
        <f ca="1"/>
      </c>
      <c r="GO28">
        <f ca="1"/>
      </c>
      <c r="GP28">
        <f ca="1"/>
      </c>
      <c r="GQ28">
        <f ca="1"/>
      </c>
      <c r="GR28">
        <f ca="1"/>
      </c>
      <c r="GS28">
        <f ca="1"/>
      </c>
      <c r="GT28">
        <f ca="1"/>
      </c>
      <c r="GU28">
        <f ca="1"/>
      </c>
      <c r="GV28">
        <f ca="1"/>
      </c>
      <c r="GW28">
        <f ca="1"/>
      </c>
      <c r="HI28" s="7">
        <f ca="1"/>
      </c>
      <c r="HJ28">
        <f ca="1"/>
      </c>
      <c r="HK28">
        <f ca="1"/>
      </c>
      <c r="HL28">
        <f ca="1"/>
      </c>
      <c r="HM28">
        <f ca="1"/>
      </c>
    </row>
    <row r="29" spans="1:224" x14ac:dyDescent="0.55000000000000004">
      <c r="A29" t="s">
        <v>294</v>
      </c>
      <c r="B29" s="13" cm="1">
        <f t="array" aca="1" ref="B29" ca="1">_xlfn.XLOOKUP($A29,_xlfn.ANCHORARRAY($HO$4),_xlfn.ANCHORARRAY($HP$4),"")</f>
      </c>
      <c r="C29" s="13" cm="1">
        <f t="array" aca="1" ref="C29" ca="1">_xlfn.LET(_xlpm.h,FWM_HC,_xlpm.c,_xlfn.XMATCH($A29,_xlfn.TAKE(_xlpm.h,1)),INDEX(_xlpm.h,ROWS(_xlpm.h),_xlpm.c))</f>
      </c>
      <c r="D29" s="44" cm="1">
        <f t="array" aca="1" ref="D29" ca="1">_xlfn.LET(_xlpm.h,FWM_HC,_xlpm.c,_xlfn.XMATCH($A29,_xlfn.TAKE(_xlpm.h,1)),(B29-INDEX(_xlpm.h,ROWS(_xlpm.h)-4,_xlpm.c))*100)</f>
      </c>
      <c r="E29" s="44" cm="1">
        <f t="array" aca="1" ref="E29" ca="1">_xlfn.LET(_xlpm.h,FWM_HC,_xlpm.c,_xlfn.XMATCH($A29,_xlfn.TAKE(_xlpm.h,1)),(B29-INDEX(_xlpm.h,ROWS(_xlpm.h)-20,_xlpm.c))*100)</f>
      </c>
      <c r="F29" s="44" cm="1">
        <f t="array" aca="1" ref="F29" ca="1">_xlfn.LET(_xlpm.h,FWM_HC,_xlpm.c,_xlfn.XMATCH($A29,_xlfn.TAKE(_xlpm.h,1)),(B29-_xlfn.XLOOKUP(FWM_Cmp,_xlfn.DROP(INDEX(_xlpm.h,,1),1),_xlfn.DROP(INDEX(_xlpm.h,,_xlpm.c),1),"",-1))*100)</f>
      </c>
      <c r="G29" s="44">
        <f ca="1">IF(ISNUMBER(B28),(B29-B28)*100,"")</f>
      </c>
      <c r="H29" s="45">
        <f ca="1">_xlfn.LET(_xlpm.h,FWM_HC,_xlpm.d,_xlfn.DROP(INDEX(_xlpm.h,,_xlfn.XMATCH($A29&amp;" dF",_xlfn.TAKE(_xlpm.h,1))),1),_xlpm.t,_xlfn.TAKE(_xlpm.d,-H$10),$L29/SQRT(SUMSQ(_xlpm.t)/ROWS(_xlpm.t)))</f>
      </c>
      <c r="I29" s="45">
        <f ca="1">_xlfn.LET(_xlpm.h,FWM_HC,_xlpm.d,_xlfn.DROP(INDEX(_xlpm.h,,_xlfn.XMATCH($A29&amp;" dF",_xlfn.TAKE(_xlpm.h,1))),1),_xlpm.t,_xlfn.TAKE(_xlpm.d,-I$10),$L29/SQRT(SUMSQ(_xlpm.t)/ROWS(_xlpm.t)))</f>
      </c>
      <c r="J29" s="45">
        <f ca="1">_xlfn.LET(_xlpm.h,FWM_HC,_xlpm.d,_xlfn.DROP(INDEX(_xlpm.h,,_xlfn.XMATCH($A29&amp;" dF",_xlfn.TAKE(_xlpm.h,1))),1),_xlpm.t,_xlfn.TAKE(_xlpm.d,-J$10),$L29/SQRT(SUMSQ(_xlpm.t)/ROWS(_xlpm.t)))</f>
      </c>
      <c r="L29" s="44" cm="1">
        <f t="array" aca="1" ref="L29:AE29" ca="1">_xlfn.LET(_xlpm.h,FWM_HC,_xlpm.c,_xlfn.XMATCH($A29,_xlfn.TAKE(_xlpm.h,1)),_xlpm.v,_xlfn.VSTACK(_xlfn.TAKE(_xlfn.DROP(INDEX(_xlpm.h,,_xlpm.c),1),-20),$B29),_xlpm.d,(_xlfn.DROP(_xlpm.v,1)-_xlfn.DROP(_xlpm.v,-1))*100,INDEX(_xlpm.d,_xlfn.SEQUENCE(1,20,20,-1)))</f>
      </c>
      <c r="M29" s="44">
        <f ca="1"/>
      </c>
      <c r="N29" s="44">
        <f ca="1"/>
      </c>
      <c r="O29" s="44">
        <f ca="1"/>
      </c>
      <c r="P29" s="44">
        <f ca="1"/>
      </c>
      <c r="Q29" s="44">
        <f ca="1"/>
      </c>
      <c r="R29" s="44">
        <f ca="1"/>
      </c>
      <c r="S29" s="44">
        <f ca="1"/>
      </c>
      <c r="T29" s="44">
        <f ca="1"/>
      </c>
      <c r="U29" s="44">
        <f ca="1"/>
      </c>
      <c r="V29" s="44">
        <f ca="1"/>
      </c>
      <c r="W29" s="44">
        <f ca="1"/>
      </c>
      <c r="X29" s="44">
        <f ca="1"/>
      </c>
      <c r="Y29" s="44">
        <f ca="1"/>
      </c>
      <c r="Z29" s="44">
        <f ca="1"/>
      </c>
      <c r="AA29" s="44">
        <f ca="1"/>
      </c>
      <c r="AB29" s="44">
        <f ca="1"/>
      </c>
      <c r="AC29" s="44">
        <f ca="1"/>
      </c>
      <c r="AD29" s="44">
        <f ca="1"/>
      </c>
      <c r="AE29" s="44">
        <f ca="1"/>
      </c>
      <c r="AW29">
        <f ca="1"/>
      </c>
      <c r="AX29">
        <f ca="1"/>
      </c>
      <c r="AY29">
        <f ca="1"/>
      </c>
      <c r="AZ29">
        <f ca="1"/>
      </c>
      <c r="BB29">
        <f ca="1"/>
      </c>
      <c r="BC29">
        <f ca="1"/>
      </c>
      <c r="BD29">
        <f ca="1"/>
      </c>
      <c r="BE29">
        <f ca="1"/>
      </c>
      <c r="BF29">
        <f ca="1"/>
      </c>
      <c r="BH29" t="s">
        <v>24</v>
      </c>
      <c r="BI29">
        <v>1</v>
      </c>
      <c r="BK29">
        <f ca="1"/>
      </c>
      <c r="BL29">
        <f ca="1"/>
      </c>
      <c r="BM29">
        <f ca="1"/>
      </c>
      <c r="BN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  <c r="BV29">
        <f ca="1"/>
      </c>
      <c r="BW29">
        <f ca="1"/>
      </c>
      <c r="BX29">
        <f ca="1"/>
      </c>
      <c r="BY29">
        <f ca="1"/>
      </c>
      <c r="BZ29">
        <f ca="1"/>
      </c>
      <c r="CA29">
        <f ca="1"/>
      </c>
      <c r="CB29">
        <f ca="1"/>
      </c>
      <c r="CC29">
        <f ca="1"/>
      </c>
      <c r="CD29">
        <f ca="1"/>
      </c>
      <c r="CE29">
        <f ca="1"/>
      </c>
      <c r="CF29">
        <f ca="1"/>
      </c>
      <c r="CG29">
        <f ca="1"/>
      </c>
      <c r="CH29">
        <f ca="1"/>
      </c>
      <c r="CI29">
        <f ca="1"/>
      </c>
      <c r="CJ29">
        <f ca="1"/>
      </c>
      <c r="CK29">
        <f ca="1"/>
      </c>
      <c r="CL29">
        <f ca="1"/>
      </c>
      <c r="CM29">
        <f ca="1"/>
      </c>
      <c r="CN29">
        <f ca="1"/>
      </c>
      <c r="CO29">
        <f ca="1"/>
      </c>
      <c r="CP29">
        <f ca="1"/>
      </c>
      <c r="CQ29">
        <f ca="1"/>
      </c>
      <c r="CR29">
        <f ca="1"/>
      </c>
      <c r="CS29">
        <f ca="1"/>
      </c>
      <c r="CT29">
        <f ca="1"/>
      </c>
      <c r="CU29">
        <f ca="1"/>
      </c>
      <c r="CV29">
        <f ca="1"/>
      </c>
      <c r="CW29">
        <f ca="1"/>
      </c>
      <c r="CX29">
        <f ca="1"/>
      </c>
      <c r="CY29">
        <f ca="1"/>
      </c>
      <c r="CZ29">
        <f ca="1"/>
      </c>
      <c r="DA29">
        <f ca="1"/>
      </c>
      <c r="DB29">
        <f ca="1"/>
      </c>
      <c r="DC29">
        <f ca="1"/>
      </c>
      <c r="DD29">
        <f ca="1"/>
      </c>
      <c r="DE29">
        <f ca="1"/>
      </c>
      <c r="DG29">
        <f ca="1"/>
      </c>
      <c r="DH29">
        <f ca="1"/>
      </c>
      <c r="DI29">
        <f ca="1"/>
      </c>
      <c r="DJ29">
        <f ca="1"/>
      </c>
      <c r="DK29">
        <f ca="1"/>
      </c>
      <c r="DL29">
        <f ca="1"/>
      </c>
      <c r="DM29">
        <f ca="1"/>
      </c>
      <c r="DN29">
        <f ca="1"/>
      </c>
      <c r="DO29">
        <f ca="1"/>
      </c>
      <c r="DP29">
        <f ca="1"/>
      </c>
      <c r="DQ29">
        <f ca="1"/>
      </c>
      <c r="DR29">
        <f ca="1"/>
      </c>
      <c r="DS29">
        <f ca="1"/>
      </c>
      <c r="DT29">
        <f ca="1"/>
      </c>
      <c r="DU29">
        <f ca="1"/>
      </c>
      <c r="DV29">
        <f ca="1"/>
      </c>
      <c r="DW29">
        <f ca="1"/>
      </c>
      <c r="DX29">
        <f ca="1"/>
      </c>
      <c r="DY29">
        <f ca="1"/>
      </c>
      <c r="DZ29">
        <f ca="1"/>
      </c>
      <c r="EA29">
        <f ca="1"/>
      </c>
      <c r="EB29">
        <f ca="1"/>
      </c>
      <c r="EC29">
        <f ca="1"/>
      </c>
      <c r="ED29">
        <f ca="1"/>
      </c>
      <c r="EE29">
        <f ca="1"/>
      </c>
      <c r="EF29">
        <f ca="1"/>
      </c>
      <c r="EG29">
        <f ca="1"/>
      </c>
      <c r="EH29">
        <f ca="1"/>
      </c>
      <c r="EI29">
        <f ca="1"/>
      </c>
      <c r="EJ29">
        <f ca="1"/>
      </c>
      <c r="EK29">
        <f ca="1"/>
      </c>
      <c r="EL29">
        <f ca="1"/>
      </c>
      <c r="EM29">
        <f ca="1"/>
      </c>
      <c r="EN29">
        <f ca="1"/>
      </c>
      <c r="EO29">
        <f ca="1"/>
      </c>
      <c r="EP29">
        <f ca="1"/>
      </c>
      <c r="EQ29">
        <f ca="1"/>
      </c>
      <c r="ER29">
        <f ca="1"/>
      </c>
      <c r="ES29">
        <f ca="1"/>
      </c>
      <c r="ET29">
        <f ca="1"/>
      </c>
      <c r="EU29">
        <f ca="1"/>
      </c>
      <c r="EV29">
        <f ca="1"/>
      </c>
      <c r="EW29">
        <f ca="1"/>
      </c>
      <c r="EX29">
        <f ca="1"/>
      </c>
      <c r="EY29">
        <f ca="1"/>
      </c>
      <c r="EZ29">
        <f ca="1"/>
      </c>
      <c r="FA29">
        <f ca="1"/>
      </c>
      <c r="FC29">
        <f ca="1"/>
      </c>
      <c r="FD29">
        <f ca="1"/>
      </c>
      <c r="FE29">
        <f ca="1"/>
      </c>
      <c r="FF29">
        <f ca="1"/>
      </c>
      <c r="FG29">
        <f ca="1"/>
      </c>
      <c r="FH29">
        <f ca="1"/>
      </c>
      <c r="FI29">
        <f ca="1"/>
      </c>
      <c r="FJ29">
        <f ca="1"/>
      </c>
      <c r="FK29">
        <f ca="1"/>
      </c>
      <c r="FL29">
        <f ca="1"/>
      </c>
      <c r="FM29">
        <f ca="1"/>
      </c>
      <c r="FN29">
        <f ca="1"/>
      </c>
      <c r="FO29">
        <f ca="1"/>
      </c>
      <c r="FP29">
        <f ca="1"/>
      </c>
      <c r="FQ29">
        <f ca="1"/>
      </c>
      <c r="FR29">
        <f ca="1"/>
      </c>
      <c r="FS29">
        <f ca="1"/>
      </c>
      <c r="FT29">
        <f ca="1"/>
      </c>
      <c r="FU29">
        <f ca="1"/>
      </c>
      <c r="FV29">
        <f ca="1"/>
      </c>
      <c r="FW29">
        <f ca="1"/>
      </c>
      <c r="FX29">
        <f ca="1"/>
      </c>
      <c r="FY29">
        <f ca="1"/>
      </c>
      <c r="FZ29">
        <f ca="1"/>
      </c>
      <c r="GA29">
        <f ca="1"/>
      </c>
      <c r="GB29">
        <f ca="1"/>
      </c>
      <c r="GC29">
        <f ca="1"/>
      </c>
      <c r="GD29">
        <f ca="1"/>
      </c>
      <c r="GE29">
        <f ca="1"/>
      </c>
      <c r="GF29">
        <f ca="1"/>
      </c>
      <c r="GG29">
        <f ca="1"/>
      </c>
      <c r="GH29">
        <f ca="1"/>
      </c>
      <c r="GI29">
        <f ca="1"/>
      </c>
      <c r="GJ29">
        <f ca="1"/>
      </c>
      <c r="GK29">
        <f ca="1"/>
      </c>
      <c r="GL29">
        <f ca="1"/>
      </c>
      <c r="GM29">
        <f ca="1"/>
      </c>
      <c r="GN29">
        <f ca="1"/>
      </c>
      <c r="GO29">
        <f ca="1"/>
      </c>
      <c r="GP29">
        <f ca="1"/>
      </c>
      <c r="GQ29">
        <f ca="1"/>
      </c>
      <c r="GR29">
        <f ca="1"/>
      </c>
      <c r="GS29">
        <f ca="1"/>
      </c>
      <c r="GT29">
        <f ca="1"/>
      </c>
      <c r="GU29">
        <f ca="1"/>
      </c>
      <c r="GV29">
        <f ca="1"/>
      </c>
      <c r="GW29">
        <f ca="1"/>
      </c>
      <c r="HI29" s="7">
        <f ca="1"/>
      </c>
      <c r="HJ29">
        <f ca="1"/>
      </c>
      <c r="HK29">
        <f ca="1"/>
      </c>
      <c r="HL29">
        <f ca="1"/>
      </c>
      <c r="HM29">
        <f ca="1"/>
      </c>
    </row>
    <row r="30" spans="1:224" x14ac:dyDescent="0.55000000000000004">
      <c r="A30" t="s">
        <v>295</v>
      </c>
      <c r="B30" s="13" cm="1">
        <f t="array" aca="1" ref="B30" ca="1">_xlfn.XLOOKUP($A30,_xlfn.ANCHORARRAY($HO$4),_xlfn.ANCHORARRAY($HP$4),"")</f>
      </c>
      <c r="C30" s="13" cm="1">
        <f t="array" aca="1" ref="C30" ca="1">_xlfn.LET(_xlpm.h,FWM_HC,_xlpm.c,_xlfn.XMATCH($A30,_xlfn.TAKE(_xlpm.h,1)),INDEX(_xlpm.h,ROWS(_xlpm.h),_xlpm.c))</f>
      </c>
      <c r="D30" s="44" cm="1">
        <f t="array" aca="1" ref="D30" ca="1">_xlfn.LET(_xlpm.h,FWM_HC,_xlpm.c,_xlfn.XMATCH($A30,_xlfn.TAKE(_xlpm.h,1)),(B30-INDEX(_xlpm.h,ROWS(_xlpm.h)-4,_xlpm.c))*100)</f>
      </c>
      <c r="E30" s="44" cm="1">
        <f t="array" aca="1" ref="E30" ca="1">_xlfn.LET(_xlpm.h,FWM_HC,_xlpm.c,_xlfn.XMATCH($A30,_xlfn.TAKE(_xlpm.h,1)),(B30-INDEX(_xlpm.h,ROWS(_xlpm.h)-20,_xlpm.c))*100)</f>
      </c>
      <c r="F30" s="44" cm="1">
        <f t="array" aca="1" ref="F30" ca="1">_xlfn.LET(_xlpm.h,FWM_HC,_xlpm.c,_xlfn.XMATCH($A30,_xlfn.TAKE(_xlpm.h,1)),(B30-_xlfn.XLOOKUP(FWM_Cmp,_xlfn.DROP(INDEX(_xlpm.h,,1),1),_xlfn.DROP(INDEX(_xlpm.h,,_xlpm.c),1),"",-1))*100)</f>
      </c>
      <c r="G30" s="44">
        <f ca="1">IF(ISNUMBER(B29),(B30-B29)*100,"")</f>
      </c>
      <c r="H30" s="45">
        <f ca="1">_xlfn.LET(_xlpm.h,FWM_HC,_xlpm.d,_xlfn.DROP(INDEX(_xlpm.h,,_xlfn.XMATCH($A30&amp;" dF",_xlfn.TAKE(_xlpm.h,1))),1),_xlpm.t,_xlfn.TAKE(_xlpm.d,-H$10),$L30/SQRT(SUMSQ(_xlpm.t)/ROWS(_xlpm.t)))</f>
      </c>
      <c r="I30" s="45">
        <f ca="1">_xlfn.LET(_xlpm.h,FWM_HC,_xlpm.d,_xlfn.DROP(INDEX(_xlpm.h,,_xlfn.XMATCH($A30&amp;" dF",_xlfn.TAKE(_xlpm.h,1))),1),_xlpm.t,_xlfn.TAKE(_xlpm.d,-I$10),$L30/SQRT(SUMSQ(_xlpm.t)/ROWS(_xlpm.t)))</f>
      </c>
      <c r="J30" s="45">
        <f ca="1">_xlfn.LET(_xlpm.h,FWM_HC,_xlpm.d,_xlfn.DROP(INDEX(_xlpm.h,,_xlfn.XMATCH($A30&amp;" dF",_xlfn.TAKE(_xlpm.h,1))),1),_xlpm.t,_xlfn.TAKE(_xlpm.d,-J$10),$L30/SQRT(SUMSQ(_xlpm.t)/ROWS(_xlpm.t)))</f>
      </c>
      <c r="L30" s="44" cm="1">
        <f t="array" aca="1" ref="L30:AE30" ca="1">_xlfn.LET(_xlpm.h,FWM_HC,_xlpm.c,_xlfn.XMATCH($A30,_xlfn.TAKE(_xlpm.h,1)),_xlpm.v,_xlfn.VSTACK(_xlfn.TAKE(_xlfn.DROP(INDEX(_xlpm.h,,_xlpm.c),1),-20),$B30),_xlpm.d,(_xlfn.DROP(_xlpm.v,1)-_xlfn.DROP(_xlpm.v,-1))*100,INDEX(_xlpm.d,_xlfn.SEQUENCE(1,20,20,-1)))</f>
      </c>
      <c r="M30" s="44">
        <f ca="1"/>
      </c>
      <c r="N30" s="44">
        <f ca="1"/>
      </c>
      <c r="O30" s="44">
        <f ca="1"/>
      </c>
      <c r="P30" s="44">
        <f ca="1"/>
      </c>
      <c r="Q30" s="44">
        <f ca="1"/>
      </c>
      <c r="R30" s="44">
        <f ca="1"/>
      </c>
      <c r="S30" s="44">
        <f ca="1"/>
      </c>
      <c r="T30" s="44">
        <f ca="1"/>
      </c>
      <c r="U30" s="44">
        <f ca="1"/>
      </c>
      <c r="V30" s="44">
        <f ca="1"/>
      </c>
      <c r="W30" s="44">
        <f ca="1"/>
      </c>
      <c r="X30" s="44">
        <f ca="1"/>
      </c>
      <c r="Y30" s="44">
        <f ca="1"/>
      </c>
      <c r="Z30" s="44">
        <f ca="1"/>
      </c>
      <c r="AA30" s="44">
        <f ca="1"/>
      </c>
      <c r="AB30" s="44">
        <f ca="1"/>
      </c>
      <c r="AC30" s="44">
        <f ca="1"/>
      </c>
      <c r="AD30" s="44">
        <f ca="1"/>
      </c>
      <c r="AE30" s="44">
        <f ca="1"/>
      </c>
      <c r="AW30">
        <f ca="1"/>
      </c>
      <c r="AX30">
        <f ca="1"/>
      </c>
      <c r="AY30">
        <f ca="1"/>
      </c>
      <c r="AZ30">
        <f ca="1"/>
      </c>
      <c r="BB30">
        <f ca="1"/>
      </c>
      <c r="BC30">
        <f ca="1"/>
      </c>
      <c r="BD30">
        <f ca="1"/>
      </c>
      <c r="BE30">
        <f ca="1"/>
      </c>
      <c r="BF30">
        <f ca="1"/>
      </c>
      <c r="BH30" t="s">
        <v>25</v>
      </c>
      <c r="BI30">
        <v>1</v>
      </c>
      <c r="BK30">
        <f ca="1"/>
      </c>
      <c r="BL30">
        <f ca="1"/>
      </c>
      <c r="BM30">
        <f ca="1"/>
      </c>
      <c r="BN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  <c r="BV30">
        <f ca="1"/>
      </c>
      <c r="BW30">
        <f ca="1"/>
      </c>
      <c r="BX30">
        <f ca="1"/>
      </c>
      <c r="BY30">
        <f ca="1"/>
      </c>
      <c r="BZ30">
        <f ca="1"/>
      </c>
      <c r="CA30">
        <f ca="1"/>
      </c>
      <c r="CB30">
        <f ca="1"/>
      </c>
      <c r="CC30">
        <f ca="1"/>
      </c>
      <c r="CD30">
        <f ca="1"/>
      </c>
      <c r="CE30">
        <f ca="1"/>
      </c>
      <c r="CF30">
        <f ca="1"/>
      </c>
      <c r="CG30">
        <f ca="1"/>
      </c>
      <c r="CH30">
        <f ca="1"/>
      </c>
      <c r="CI30">
        <f ca="1"/>
      </c>
      <c r="CJ30">
        <f ca="1"/>
      </c>
      <c r="CK30">
        <f ca="1"/>
      </c>
      <c r="CL30">
        <f ca="1"/>
      </c>
      <c r="CM30">
        <f ca="1"/>
      </c>
      <c r="CN30">
        <f ca="1"/>
      </c>
      <c r="CO30">
        <f ca="1"/>
      </c>
      <c r="CP30">
        <f ca="1"/>
      </c>
      <c r="CQ30">
        <f ca="1"/>
      </c>
      <c r="CR30">
        <f ca="1"/>
      </c>
      <c r="CS30">
        <f ca="1"/>
      </c>
      <c r="CT30">
        <f ca="1"/>
      </c>
      <c r="CU30">
        <f ca="1"/>
      </c>
      <c r="CV30">
        <f ca="1"/>
      </c>
      <c r="CW30">
        <f ca="1"/>
      </c>
      <c r="CX30">
        <f ca="1"/>
      </c>
      <c r="CY30">
        <f ca="1"/>
      </c>
      <c r="CZ30">
        <f ca="1"/>
      </c>
      <c r="DA30">
        <f ca="1"/>
      </c>
      <c r="DB30">
        <f ca="1"/>
      </c>
      <c r="DC30">
        <f ca="1"/>
      </c>
      <c r="DD30">
        <f ca="1"/>
      </c>
      <c r="DE30">
        <f ca="1"/>
      </c>
      <c r="DG30">
        <f ca="1"/>
      </c>
      <c r="DH30">
        <f ca="1"/>
      </c>
      <c r="DI30">
        <f ca="1"/>
      </c>
      <c r="DJ30">
        <f ca="1"/>
      </c>
      <c r="DK30">
        <f ca="1"/>
      </c>
      <c r="DL30">
        <f ca="1"/>
      </c>
      <c r="DM30">
        <f ca="1"/>
      </c>
      <c r="DN30">
        <f ca="1"/>
      </c>
      <c r="DO30">
        <f ca="1"/>
      </c>
      <c r="DP30">
        <f ca="1"/>
      </c>
      <c r="DQ30">
        <f ca="1"/>
      </c>
      <c r="DR30">
        <f ca="1"/>
      </c>
      <c r="DS30">
        <f ca="1"/>
      </c>
      <c r="DT30">
        <f ca="1"/>
      </c>
      <c r="DU30">
        <f ca="1"/>
      </c>
      <c r="DV30">
        <f ca="1"/>
      </c>
      <c r="DW30">
        <f ca="1"/>
      </c>
      <c r="DX30">
        <f ca="1"/>
      </c>
      <c r="DY30">
        <f ca="1"/>
      </c>
      <c r="DZ30">
        <f ca="1"/>
      </c>
      <c r="EA30">
        <f ca="1"/>
      </c>
      <c r="EB30">
        <f ca="1"/>
      </c>
      <c r="EC30">
        <f ca="1"/>
      </c>
      <c r="ED30">
        <f ca="1"/>
      </c>
      <c r="EE30">
        <f ca="1"/>
      </c>
      <c r="EF30">
        <f ca="1"/>
      </c>
      <c r="EG30">
        <f ca="1"/>
      </c>
      <c r="EH30">
        <f ca="1"/>
      </c>
      <c r="EI30">
        <f ca="1"/>
      </c>
      <c r="EJ30">
        <f ca="1"/>
      </c>
      <c r="EK30">
        <f ca="1"/>
      </c>
      <c r="EL30">
        <f ca="1"/>
      </c>
      <c r="EM30">
        <f ca="1"/>
      </c>
      <c r="EN30">
        <f ca="1"/>
      </c>
      <c r="EO30">
        <f ca="1"/>
      </c>
      <c r="EP30">
        <f ca="1"/>
      </c>
      <c r="EQ30">
        <f ca="1"/>
      </c>
      <c r="ER30">
        <f ca="1"/>
      </c>
      <c r="ES30">
        <f ca="1"/>
      </c>
      <c r="ET30">
        <f ca="1"/>
      </c>
      <c r="EU30">
        <f ca="1"/>
      </c>
      <c r="EV30">
        <f ca="1"/>
      </c>
      <c r="EW30">
        <f ca="1"/>
      </c>
      <c r="EX30">
        <f ca="1"/>
      </c>
      <c r="EY30">
        <f ca="1"/>
      </c>
      <c r="EZ30">
        <f ca="1"/>
      </c>
      <c r="FA30">
        <f ca="1"/>
      </c>
      <c r="FC30">
        <f ca="1"/>
      </c>
      <c r="FD30">
        <f ca="1"/>
      </c>
      <c r="FE30">
        <f ca="1"/>
      </c>
      <c r="FF30">
        <f ca="1"/>
      </c>
      <c r="FG30">
        <f ca="1"/>
      </c>
      <c r="FH30">
        <f ca="1"/>
      </c>
      <c r="FI30">
        <f ca="1"/>
      </c>
      <c r="FJ30">
        <f ca="1"/>
      </c>
      <c r="FK30">
        <f ca="1"/>
      </c>
      <c r="FL30">
        <f ca="1"/>
      </c>
      <c r="FM30">
        <f ca="1"/>
      </c>
      <c r="FN30">
        <f ca="1"/>
      </c>
      <c r="FO30">
        <f ca="1"/>
      </c>
      <c r="FP30">
        <f ca="1"/>
      </c>
      <c r="FQ30">
        <f ca="1"/>
      </c>
      <c r="FR30">
        <f ca="1"/>
      </c>
      <c r="FS30">
        <f ca="1"/>
      </c>
      <c r="FT30">
        <f ca="1"/>
      </c>
      <c r="FU30">
        <f ca="1"/>
      </c>
      <c r="FV30">
        <f ca="1"/>
      </c>
      <c r="FW30">
        <f ca="1"/>
      </c>
      <c r="FX30">
        <f ca="1"/>
      </c>
      <c r="FY30">
        <f ca="1"/>
      </c>
      <c r="FZ30">
        <f ca="1"/>
      </c>
      <c r="GA30">
        <f ca="1"/>
      </c>
      <c r="GB30">
        <f ca="1"/>
      </c>
      <c r="GC30">
        <f ca="1"/>
      </c>
      <c r="GD30">
        <f ca="1"/>
      </c>
      <c r="GE30">
        <f ca="1"/>
      </c>
      <c r="GF30">
        <f ca="1"/>
      </c>
      <c r="GG30">
        <f ca="1"/>
      </c>
      <c r="GH30">
        <f ca="1"/>
      </c>
      <c r="GI30">
        <f ca="1"/>
      </c>
      <c r="GJ30">
        <f ca="1"/>
      </c>
      <c r="GK30">
        <f ca="1"/>
      </c>
      <c r="GL30">
        <f ca="1"/>
      </c>
      <c r="GM30">
        <f ca="1"/>
      </c>
      <c r="GN30">
        <f ca="1"/>
      </c>
      <c r="GO30">
        <f ca="1"/>
      </c>
      <c r="GP30">
        <f ca="1"/>
      </c>
      <c r="GQ30">
        <f ca="1"/>
      </c>
      <c r="GR30">
        <f ca="1"/>
      </c>
      <c r="GS30">
        <f ca="1"/>
      </c>
      <c r="GT30">
        <f ca="1"/>
      </c>
      <c r="GU30">
        <f ca="1"/>
      </c>
      <c r="GV30">
        <f ca="1"/>
      </c>
      <c r="GW30">
        <f ca="1"/>
      </c>
      <c r="HI30" s="7">
        <f ca="1"/>
      </c>
      <c r="HJ30">
        <f ca="1"/>
      </c>
      <c r="HK30">
        <f ca="1"/>
      </c>
      <c r="HL30">
        <f ca="1"/>
      </c>
      <c r="HM30">
        <f ca="1"/>
      </c>
    </row>
    <row r="31" spans="1:224" x14ac:dyDescent="0.55000000000000004">
      <c r="A31" t="s">
        <v>296</v>
      </c>
      <c r="B31" s="13" cm="1">
        <f t="array" aca="1" ref="B31" ca="1">_xlfn.XLOOKUP($A31,_xlfn.ANCHORARRAY($HO$4),_xlfn.ANCHORARRAY($HP$4),"")</f>
      </c>
      <c r="C31" s="13" cm="1">
        <f t="array" aca="1" ref="C31" ca="1">_xlfn.LET(_xlpm.h,FWM_HC,_xlpm.c,_xlfn.XMATCH($A31,_xlfn.TAKE(_xlpm.h,1)),INDEX(_xlpm.h,ROWS(_xlpm.h),_xlpm.c))</f>
      </c>
      <c r="D31" s="44" cm="1">
        <f t="array" aca="1" ref="D31" ca="1">_xlfn.LET(_xlpm.h,FWM_HC,_xlpm.c,_xlfn.XMATCH($A31,_xlfn.TAKE(_xlpm.h,1)),(B31-INDEX(_xlpm.h,ROWS(_xlpm.h)-4,_xlpm.c))*100)</f>
      </c>
      <c r="E31" s="44" cm="1">
        <f t="array" aca="1" ref="E31" ca="1">_xlfn.LET(_xlpm.h,FWM_HC,_xlpm.c,_xlfn.XMATCH($A31,_xlfn.TAKE(_xlpm.h,1)),(B31-INDEX(_xlpm.h,ROWS(_xlpm.h)-20,_xlpm.c))*100)</f>
      </c>
      <c r="F31" s="44" cm="1">
        <f t="array" aca="1" ref="F31" ca="1">_xlfn.LET(_xlpm.h,FWM_HC,_xlpm.c,_xlfn.XMATCH($A31,_xlfn.TAKE(_xlpm.h,1)),(B31-_xlfn.XLOOKUP(FWM_Cmp,_xlfn.DROP(INDEX(_xlpm.h,,1),1),_xlfn.DROP(INDEX(_xlpm.h,,_xlpm.c),1),"",-1))*100)</f>
      </c>
      <c r="G31" s="44">
        <f ca="1">IF(ISNUMBER(B30),(B31-B30)*100,"")</f>
      </c>
      <c r="H31" s="45">
        <f ca="1">_xlfn.LET(_xlpm.h,FWM_HC,_xlpm.d,_xlfn.DROP(INDEX(_xlpm.h,,_xlfn.XMATCH($A31&amp;" dF",_xlfn.TAKE(_xlpm.h,1))),1),_xlpm.t,_xlfn.TAKE(_xlpm.d,-H$10),$L31/SQRT(SUMSQ(_xlpm.t)/ROWS(_xlpm.t)))</f>
      </c>
      <c r="I31" s="45">
        <f ca="1">_xlfn.LET(_xlpm.h,FWM_HC,_xlpm.d,_xlfn.DROP(INDEX(_xlpm.h,,_xlfn.XMATCH($A31&amp;" dF",_xlfn.TAKE(_xlpm.h,1))),1),_xlpm.t,_xlfn.TAKE(_xlpm.d,-I$10),$L31/SQRT(SUMSQ(_xlpm.t)/ROWS(_xlpm.t)))</f>
      </c>
      <c r="J31" s="45">
        <f ca="1">_xlfn.LET(_xlpm.h,FWM_HC,_xlpm.d,_xlfn.DROP(INDEX(_xlpm.h,,_xlfn.XMATCH($A31&amp;" dF",_xlfn.TAKE(_xlpm.h,1))),1),_xlpm.t,_xlfn.TAKE(_xlpm.d,-J$10),$L31/SQRT(SUMSQ(_xlpm.t)/ROWS(_xlpm.t)))</f>
      </c>
      <c r="L31" s="44" cm="1">
        <f t="array" aca="1" ref="L31:AE31" ca="1">_xlfn.LET(_xlpm.h,FWM_HC,_xlpm.c,_xlfn.XMATCH($A31,_xlfn.TAKE(_xlpm.h,1)),_xlpm.v,_xlfn.VSTACK(_xlfn.TAKE(_xlfn.DROP(INDEX(_xlpm.h,,_xlpm.c),1),-20),$B31),_xlpm.d,(_xlfn.DROP(_xlpm.v,1)-_xlfn.DROP(_xlpm.v,-1))*100,INDEX(_xlpm.d,_xlfn.SEQUENCE(1,20,20,-1)))</f>
      </c>
      <c r="M31" s="44">
        <f ca="1"/>
      </c>
      <c r="N31" s="44">
        <f ca="1"/>
      </c>
      <c r="O31" s="44">
        <f ca="1"/>
      </c>
      <c r="P31" s="44">
        <f ca="1"/>
      </c>
      <c r="Q31" s="44">
        <f ca="1"/>
      </c>
      <c r="R31" s="44">
        <f ca="1"/>
      </c>
      <c r="S31" s="44">
        <f ca="1"/>
      </c>
      <c r="T31" s="44">
        <f ca="1"/>
      </c>
      <c r="U31" s="44">
        <f ca="1"/>
      </c>
      <c r="V31" s="44">
        <f ca="1"/>
      </c>
      <c r="W31" s="44">
        <f ca="1"/>
      </c>
      <c r="X31" s="44">
        <f ca="1"/>
      </c>
      <c r="Y31" s="44">
        <f ca="1"/>
      </c>
      <c r="Z31" s="44">
        <f ca="1"/>
      </c>
      <c r="AA31" s="44">
        <f ca="1"/>
      </c>
      <c r="AB31" s="44">
        <f ca="1"/>
      </c>
      <c r="AC31" s="44">
        <f ca="1"/>
      </c>
      <c r="AD31" s="44">
        <f ca="1"/>
      </c>
      <c r="AE31" s="44">
        <f ca="1"/>
      </c>
      <c r="AW31">
        <f ca="1"/>
      </c>
      <c r="AX31">
        <f ca="1"/>
      </c>
      <c r="AY31">
        <f ca="1"/>
      </c>
      <c r="AZ31">
        <f ca="1"/>
      </c>
      <c r="BB31">
        <f ca="1"/>
      </c>
      <c r="BC31">
        <f ca="1"/>
      </c>
      <c r="BD31">
        <f ca="1"/>
      </c>
      <c r="BE31">
        <f ca="1"/>
      </c>
      <c r="BF31">
        <f ca="1"/>
      </c>
      <c r="BH31" t="s">
        <v>26</v>
      </c>
      <c r="BI31">
        <v>1</v>
      </c>
      <c r="BK31">
        <f ca="1"/>
      </c>
      <c r="BL31">
        <f ca="1"/>
      </c>
      <c r="BM31">
        <f ca="1"/>
      </c>
      <c r="BN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  <c r="BV31">
        <f ca="1"/>
      </c>
      <c r="BW31">
        <f ca="1"/>
      </c>
      <c r="BX31">
        <f ca="1"/>
      </c>
      <c r="BY31">
        <f ca="1"/>
      </c>
      <c r="BZ31">
        <f ca="1"/>
      </c>
      <c r="CA31">
        <f ca="1"/>
      </c>
      <c r="CB31">
        <f ca="1"/>
      </c>
      <c r="CC31">
        <f ca="1"/>
      </c>
      <c r="CD31">
        <f ca="1"/>
      </c>
      <c r="CE31">
        <f ca="1"/>
      </c>
      <c r="CF31">
        <f ca="1"/>
      </c>
      <c r="CG31">
        <f ca="1"/>
      </c>
      <c r="CH31">
        <f ca="1"/>
      </c>
      <c r="CI31">
        <f ca="1"/>
      </c>
      <c r="CJ31">
        <f ca="1"/>
      </c>
      <c r="CK31">
        <f ca="1"/>
      </c>
      <c r="CL31">
        <f ca="1"/>
      </c>
      <c r="CM31">
        <f ca="1"/>
      </c>
      <c r="CN31">
        <f ca="1"/>
      </c>
      <c r="CO31">
        <f ca="1"/>
      </c>
      <c r="CP31">
        <f ca="1"/>
      </c>
      <c r="CQ31">
        <f ca="1"/>
      </c>
      <c r="CR31">
        <f ca="1"/>
      </c>
      <c r="CS31">
        <f ca="1"/>
      </c>
      <c r="CT31">
        <f ca="1"/>
      </c>
      <c r="CU31">
        <f ca="1"/>
      </c>
      <c r="CV31">
        <f ca="1"/>
      </c>
      <c r="CW31">
        <f ca="1"/>
      </c>
      <c r="CX31">
        <f ca="1"/>
      </c>
      <c r="CY31">
        <f ca="1"/>
      </c>
      <c r="CZ31">
        <f ca="1"/>
      </c>
      <c r="DA31">
        <f ca="1"/>
      </c>
      <c r="DB31">
        <f ca="1"/>
      </c>
      <c r="DC31">
        <f ca="1"/>
      </c>
      <c r="DD31">
        <f ca="1"/>
      </c>
      <c r="DE31">
        <f ca="1"/>
      </c>
      <c r="DG31">
        <f ca="1"/>
      </c>
      <c r="DH31">
        <f ca="1"/>
      </c>
      <c r="DI31">
        <f ca="1"/>
      </c>
      <c r="DJ31">
        <f ca="1"/>
      </c>
      <c r="DK31">
        <f ca="1"/>
      </c>
      <c r="DL31">
        <f ca="1"/>
      </c>
      <c r="DM31">
        <f ca="1"/>
      </c>
      <c r="DN31">
        <f ca="1"/>
      </c>
      <c r="DO31">
        <f ca="1"/>
      </c>
      <c r="DP31">
        <f ca="1"/>
      </c>
      <c r="DQ31">
        <f ca="1"/>
      </c>
      <c r="DR31">
        <f ca="1"/>
      </c>
      <c r="DS31">
        <f ca="1"/>
      </c>
      <c r="DT31">
        <f ca="1"/>
      </c>
      <c r="DU31">
        <f ca="1"/>
      </c>
      <c r="DV31">
        <f ca="1"/>
      </c>
      <c r="DW31">
        <f ca="1"/>
      </c>
      <c r="DX31">
        <f ca="1"/>
      </c>
      <c r="DY31">
        <f ca="1"/>
      </c>
      <c r="DZ31">
        <f ca="1"/>
      </c>
      <c r="EA31">
        <f ca="1"/>
      </c>
      <c r="EB31">
        <f ca="1"/>
      </c>
      <c r="EC31">
        <f ca="1"/>
      </c>
      <c r="ED31">
        <f ca="1"/>
      </c>
      <c r="EE31">
        <f ca="1"/>
      </c>
      <c r="EF31">
        <f ca="1"/>
      </c>
      <c r="EG31">
        <f ca="1"/>
      </c>
      <c r="EH31">
        <f ca="1"/>
      </c>
      <c r="EI31">
        <f ca="1"/>
      </c>
      <c r="EJ31">
        <f ca="1"/>
      </c>
      <c r="EK31">
        <f ca="1"/>
      </c>
      <c r="EL31">
        <f ca="1"/>
      </c>
      <c r="EM31">
        <f ca="1"/>
      </c>
      <c r="EN31">
        <f ca="1"/>
      </c>
      <c r="EO31">
        <f ca="1"/>
      </c>
      <c r="EP31">
        <f ca="1"/>
      </c>
      <c r="EQ31">
        <f ca="1"/>
      </c>
      <c r="ER31">
        <f ca="1"/>
      </c>
      <c r="ES31">
        <f ca="1"/>
      </c>
      <c r="ET31">
        <f ca="1"/>
      </c>
      <c r="EU31">
        <f ca="1"/>
      </c>
      <c r="EV31">
        <f ca="1"/>
      </c>
      <c r="EW31">
        <f ca="1"/>
      </c>
      <c r="EX31">
        <f ca="1"/>
      </c>
      <c r="EY31">
        <f ca="1"/>
      </c>
      <c r="EZ31">
        <f ca="1"/>
      </c>
      <c r="FA31">
        <f ca="1"/>
      </c>
      <c r="FC31">
        <f ca="1"/>
      </c>
      <c r="FD31">
        <f ca="1"/>
      </c>
      <c r="FE31">
        <f ca="1"/>
      </c>
      <c r="FF31">
        <f ca="1"/>
      </c>
      <c r="FG31">
        <f ca="1"/>
      </c>
      <c r="FH31">
        <f ca="1"/>
      </c>
      <c r="FI31">
        <f ca="1"/>
      </c>
      <c r="FJ31">
        <f ca="1"/>
      </c>
      <c r="FK31">
        <f ca="1"/>
      </c>
      <c r="FL31">
        <f ca="1"/>
      </c>
      <c r="FM31">
        <f ca="1"/>
      </c>
      <c r="FN31">
        <f ca="1"/>
      </c>
      <c r="FO31">
        <f ca="1"/>
      </c>
      <c r="FP31">
        <f ca="1"/>
      </c>
      <c r="FQ31">
        <f ca="1"/>
      </c>
      <c r="FR31">
        <f ca="1"/>
      </c>
      <c r="FS31">
        <f ca="1"/>
      </c>
      <c r="FT31">
        <f ca="1"/>
      </c>
      <c r="FU31">
        <f ca="1"/>
      </c>
      <c r="FV31">
        <f ca="1"/>
      </c>
      <c r="FW31">
        <f ca="1"/>
      </c>
      <c r="FX31">
        <f ca="1"/>
      </c>
      <c r="FY31">
        <f ca="1"/>
      </c>
      <c r="FZ31">
        <f ca="1"/>
      </c>
      <c r="GA31">
        <f ca="1"/>
      </c>
      <c r="GB31">
        <f ca="1"/>
      </c>
      <c r="GC31">
        <f ca="1"/>
      </c>
      <c r="GD31">
        <f ca="1"/>
      </c>
      <c r="GE31">
        <f ca="1"/>
      </c>
      <c r="GF31">
        <f ca="1"/>
      </c>
      <c r="GG31">
        <f ca="1"/>
      </c>
      <c r="GH31">
        <f ca="1"/>
      </c>
      <c r="GI31">
        <f ca="1"/>
      </c>
      <c r="GJ31">
        <f ca="1"/>
      </c>
      <c r="GK31">
        <f ca="1"/>
      </c>
      <c r="GL31">
        <f ca="1"/>
      </c>
      <c r="GM31">
        <f ca="1"/>
      </c>
      <c r="GN31">
        <f ca="1"/>
      </c>
      <c r="GO31">
        <f ca="1"/>
      </c>
      <c r="GP31">
        <f ca="1"/>
      </c>
      <c r="GQ31">
        <f ca="1"/>
      </c>
      <c r="GR31">
        <f ca="1"/>
      </c>
      <c r="GS31">
        <f ca="1"/>
      </c>
      <c r="GT31">
        <f ca="1"/>
      </c>
      <c r="GU31">
        <f ca="1"/>
      </c>
      <c r="GV31">
        <f ca="1"/>
      </c>
      <c r="GW31">
        <f ca="1"/>
      </c>
      <c r="HI31" s="7">
        <f ca="1"/>
      </c>
      <c r="HJ31">
        <f ca="1"/>
      </c>
      <c r="HK31">
        <f ca="1"/>
      </c>
      <c r="HL31">
        <f ca="1"/>
      </c>
      <c r="HM31">
        <f ca="1"/>
      </c>
    </row>
    <row r="32" spans="1:224" x14ac:dyDescent="0.55000000000000004">
      <c r="A32" t="s">
        <v>297</v>
      </c>
      <c r="B32" s="13" cm="1">
        <f t="array" aca="1" ref="B32" ca="1">_xlfn.XLOOKUP($A32,_xlfn.ANCHORARRAY($HO$4),_xlfn.ANCHORARRAY($HP$4),"")</f>
      </c>
      <c r="C32" s="13" cm="1">
        <f t="array" aca="1" ref="C32" ca="1">_xlfn.LET(_xlpm.h,FWM_HC,_xlpm.c,_xlfn.XMATCH($A32,_xlfn.TAKE(_xlpm.h,1)),INDEX(_xlpm.h,ROWS(_xlpm.h),_xlpm.c))</f>
      </c>
      <c r="D32" s="44" cm="1">
        <f t="array" aca="1" ref="D32" ca="1">_xlfn.LET(_xlpm.h,FWM_HC,_xlpm.c,_xlfn.XMATCH($A32,_xlfn.TAKE(_xlpm.h,1)),(B32-INDEX(_xlpm.h,ROWS(_xlpm.h)-4,_xlpm.c))*100)</f>
      </c>
      <c r="E32" s="44" cm="1">
        <f t="array" aca="1" ref="E32" ca="1">_xlfn.LET(_xlpm.h,FWM_HC,_xlpm.c,_xlfn.XMATCH($A32,_xlfn.TAKE(_xlpm.h,1)),(B32-INDEX(_xlpm.h,ROWS(_xlpm.h)-20,_xlpm.c))*100)</f>
      </c>
      <c r="F32" s="44" cm="1">
        <f t="array" aca="1" ref="F32" ca="1">_xlfn.LET(_xlpm.h,FWM_HC,_xlpm.c,_xlfn.XMATCH($A32,_xlfn.TAKE(_xlpm.h,1)),(B32-_xlfn.XLOOKUP(FWM_Cmp,_xlfn.DROP(INDEX(_xlpm.h,,1),1),_xlfn.DROP(INDEX(_xlpm.h,,_xlpm.c),1),"",-1))*100)</f>
      </c>
      <c r="G32" s="44">
        <f ca="1">IF(ISNUMBER(B31),(B32-B31)*100,"")</f>
      </c>
      <c r="H32" s="45">
        <f ca="1">_xlfn.LET(_xlpm.h,FWM_HC,_xlpm.d,_xlfn.DROP(INDEX(_xlpm.h,,_xlfn.XMATCH($A32&amp;" dF",_xlfn.TAKE(_xlpm.h,1))),1),_xlpm.t,_xlfn.TAKE(_xlpm.d,-H$10),$L32/SQRT(SUMSQ(_xlpm.t)/ROWS(_xlpm.t)))</f>
      </c>
      <c r="I32" s="45">
        <f ca="1">_xlfn.LET(_xlpm.h,FWM_HC,_xlpm.d,_xlfn.DROP(INDEX(_xlpm.h,,_xlfn.XMATCH($A32&amp;" dF",_xlfn.TAKE(_xlpm.h,1))),1),_xlpm.t,_xlfn.TAKE(_xlpm.d,-I$10),$L32/SQRT(SUMSQ(_xlpm.t)/ROWS(_xlpm.t)))</f>
      </c>
      <c r="J32" s="45">
        <f ca="1">_xlfn.LET(_xlpm.h,FWM_HC,_xlpm.d,_xlfn.DROP(INDEX(_xlpm.h,,_xlfn.XMATCH($A32&amp;" dF",_xlfn.TAKE(_xlpm.h,1))),1),_xlpm.t,_xlfn.TAKE(_xlpm.d,-J$10),$L32/SQRT(SUMSQ(_xlpm.t)/ROWS(_xlpm.t)))</f>
      </c>
      <c r="L32" s="44" cm="1">
        <f t="array" aca="1" ref="L32:AE32" ca="1">_xlfn.LET(_xlpm.h,FWM_HC,_xlpm.c,_xlfn.XMATCH($A32,_xlfn.TAKE(_xlpm.h,1)),_xlpm.v,_xlfn.VSTACK(_xlfn.TAKE(_xlfn.DROP(INDEX(_xlpm.h,,_xlpm.c),1),-20),$B32),_xlpm.d,(_xlfn.DROP(_xlpm.v,1)-_xlfn.DROP(_xlpm.v,-1))*100,INDEX(_xlpm.d,_xlfn.SEQUENCE(1,20,20,-1)))</f>
      </c>
      <c r="M32" s="44">
        <f ca="1"/>
      </c>
      <c r="N32" s="44">
        <f ca="1"/>
      </c>
      <c r="O32" s="44">
        <f ca="1"/>
      </c>
      <c r="P32" s="44">
        <f ca="1"/>
      </c>
      <c r="Q32" s="44">
        <f ca="1"/>
      </c>
      <c r="R32" s="44">
        <f ca="1"/>
      </c>
      <c r="S32" s="44">
        <f ca="1"/>
      </c>
      <c r="T32" s="44">
        <f ca="1"/>
      </c>
      <c r="U32" s="44">
        <f ca="1"/>
      </c>
      <c r="V32" s="44">
        <f ca="1"/>
      </c>
      <c r="W32" s="44">
        <f ca="1"/>
      </c>
      <c r="X32" s="44">
        <f ca="1"/>
      </c>
      <c r="Y32" s="44">
        <f ca="1"/>
      </c>
      <c r="Z32" s="44">
        <f ca="1"/>
      </c>
      <c r="AA32" s="44">
        <f ca="1"/>
      </c>
      <c r="AB32" s="44">
        <f ca="1"/>
      </c>
      <c r="AC32" s="44">
        <f ca="1"/>
      </c>
      <c r="AD32" s="44">
        <f ca="1"/>
      </c>
      <c r="AE32" s="44">
        <f ca="1"/>
      </c>
      <c r="AW32">
        <f ca="1"/>
      </c>
      <c r="AX32">
        <f ca="1"/>
      </c>
      <c r="AY32">
        <f ca="1"/>
      </c>
      <c r="AZ32">
        <f ca="1"/>
      </c>
      <c r="BB32">
        <f ca="1"/>
      </c>
      <c r="BC32">
        <f ca="1"/>
      </c>
      <c r="BD32">
        <f ca="1"/>
      </c>
      <c r="BE32">
        <f ca="1"/>
      </c>
      <c r="BF32">
        <f ca="1"/>
      </c>
      <c r="BH32" t="s">
        <v>27</v>
      </c>
      <c r="BI32">
        <v>1</v>
      </c>
      <c r="BK32">
        <f ca="1"/>
      </c>
      <c r="BL32">
        <f ca="1"/>
      </c>
      <c r="BM32">
        <f ca="1"/>
      </c>
      <c r="BN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  <c r="BV32">
        <f ca="1"/>
      </c>
      <c r="BW32">
        <f ca="1"/>
      </c>
      <c r="BX32">
        <f ca="1"/>
      </c>
      <c r="BY32">
        <f ca="1"/>
      </c>
      <c r="BZ32">
        <f ca="1"/>
      </c>
      <c r="CA32">
        <f ca="1"/>
      </c>
      <c r="CB32">
        <f ca="1"/>
      </c>
      <c r="CC32">
        <f ca="1"/>
      </c>
      <c r="CD32">
        <f ca="1"/>
      </c>
      <c r="CE32">
        <f ca="1"/>
      </c>
      <c r="CF32">
        <f ca="1"/>
      </c>
      <c r="CG32">
        <f ca="1"/>
      </c>
      <c r="CH32">
        <f ca="1"/>
      </c>
      <c r="CI32">
        <f ca="1"/>
      </c>
      <c r="CJ32">
        <f ca="1"/>
      </c>
      <c r="CK32">
        <f ca="1"/>
      </c>
      <c r="CL32">
        <f ca="1"/>
      </c>
      <c r="CM32">
        <f ca="1"/>
      </c>
      <c r="CN32">
        <f ca="1"/>
      </c>
      <c r="CO32">
        <f ca="1"/>
      </c>
      <c r="CP32">
        <f ca="1"/>
      </c>
      <c r="CQ32">
        <f ca="1"/>
      </c>
      <c r="CR32">
        <f ca="1"/>
      </c>
      <c r="CS32">
        <f ca="1"/>
      </c>
      <c r="CT32">
        <f ca="1"/>
      </c>
      <c r="CU32">
        <f ca="1"/>
      </c>
      <c r="CV32">
        <f ca="1"/>
      </c>
      <c r="CW32">
        <f ca="1"/>
      </c>
      <c r="CX32">
        <f ca="1"/>
      </c>
      <c r="CY32">
        <f ca="1"/>
      </c>
      <c r="CZ32">
        <f ca="1"/>
      </c>
      <c r="DA32">
        <f ca="1"/>
      </c>
      <c r="DB32">
        <f ca="1"/>
      </c>
      <c r="DC32">
        <f ca="1"/>
      </c>
      <c r="DD32">
        <f ca="1"/>
      </c>
      <c r="DE32">
        <f ca="1"/>
      </c>
      <c r="DG32">
        <f ca="1"/>
      </c>
      <c r="DH32">
        <f ca="1"/>
      </c>
      <c r="DI32">
        <f ca="1"/>
      </c>
      <c r="DJ32">
        <f ca="1"/>
      </c>
      <c r="DK32">
        <f ca="1"/>
      </c>
      <c r="DL32">
        <f ca="1"/>
      </c>
      <c r="DM32">
        <f ca="1"/>
      </c>
      <c r="DN32">
        <f ca="1"/>
      </c>
      <c r="DO32">
        <f ca="1"/>
      </c>
      <c r="DP32">
        <f ca="1"/>
      </c>
      <c r="DQ32">
        <f ca="1"/>
      </c>
      <c r="DR32">
        <f ca="1"/>
      </c>
      <c r="DS32">
        <f ca="1"/>
      </c>
      <c r="DT32">
        <f ca="1"/>
      </c>
      <c r="DU32">
        <f ca="1"/>
      </c>
      <c r="DV32">
        <f ca="1"/>
      </c>
      <c r="DW32">
        <f ca="1"/>
      </c>
      <c r="DX32">
        <f ca="1"/>
      </c>
      <c r="DY32">
        <f ca="1"/>
      </c>
      <c r="DZ32">
        <f ca="1"/>
      </c>
      <c r="EA32">
        <f ca="1"/>
      </c>
      <c r="EB32">
        <f ca="1"/>
      </c>
      <c r="EC32">
        <f ca="1"/>
      </c>
      <c r="ED32">
        <f ca="1"/>
      </c>
      <c r="EE32">
        <f ca="1"/>
      </c>
      <c r="EF32">
        <f ca="1"/>
      </c>
      <c r="EG32">
        <f ca="1"/>
      </c>
      <c r="EH32">
        <f ca="1"/>
      </c>
      <c r="EI32">
        <f ca="1"/>
      </c>
      <c r="EJ32">
        <f ca="1"/>
      </c>
      <c r="EK32">
        <f ca="1"/>
      </c>
      <c r="EL32">
        <f ca="1"/>
      </c>
      <c r="EM32">
        <f ca="1"/>
      </c>
      <c r="EN32">
        <f ca="1"/>
      </c>
      <c r="EO32">
        <f ca="1"/>
      </c>
      <c r="EP32">
        <f ca="1"/>
      </c>
      <c r="EQ32">
        <f ca="1"/>
      </c>
      <c r="ER32">
        <f ca="1"/>
      </c>
      <c r="ES32">
        <f ca="1"/>
      </c>
      <c r="ET32">
        <f ca="1"/>
      </c>
      <c r="EU32">
        <f ca="1"/>
      </c>
      <c r="EV32">
        <f ca="1"/>
      </c>
      <c r="EW32">
        <f ca="1"/>
      </c>
      <c r="EX32">
        <f ca="1"/>
      </c>
      <c r="EY32">
        <f ca="1"/>
      </c>
      <c r="EZ32">
        <f ca="1"/>
      </c>
      <c r="FA32">
        <f ca="1"/>
      </c>
      <c r="FC32">
        <f ca="1"/>
      </c>
      <c r="FD32">
        <f ca="1"/>
      </c>
      <c r="FE32">
        <f ca="1"/>
      </c>
      <c r="FF32">
        <f ca="1"/>
      </c>
      <c r="FG32">
        <f ca="1"/>
      </c>
      <c r="FH32">
        <f ca="1"/>
      </c>
      <c r="FI32">
        <f ca="1"/>
      </c>
      <c r="FJ32">
        <f ca="1"/>
      </c>
      <c r="FK32">
        <f ca="1"/>
      </c>
      <c r="FL32">
        <f ca="1"/>
      </c>
      <c r="FM32">
        <f ca="1"/>
      </c>
      <c r="FN32">
        <f ca="1"/>
      </c>
      <c r="FO32">
        <f ca="1"/>
      </c>
      <c r="FP32">
        <f ca="1"/>
      </c>
      <c r="FQ32">
        <f ca="1"/>
      </c>
      <c r="FR32">
        <f ca="1"/>
      </c>
      <c r="FS32">
        <f ca="1"/>
      </c>
      <c r="FT32">
        <f ca="1"/>
      </c>
      <c r="FU32">
        <f ca="1"/>
      </c>
      <c r="FV32">
        <f ca="1"/>
      </c>
      <c r="FW32">
        <f ca="1"/>
      </c>
      <c r="FX32">
        <f ca="1"/>
      </c>
      <c r="FY32">
        <f ca="1"/>
      </c>
      <c r="FZ32">
        <f ca="1"/>
      </c>
      <c r="GA32">
        <f ca="1"/>
      </c>
      <c r="GB32">
        <f ca="1"/>
      </c>
      <c r="GC32">
        <f ca="1"/>
      </c>
      <c r="GD32">
        <f ca="1"/>
      </c>
      <c r="GE32">
        <f ca="1"/>
      </c>
      <c r="GF32">
        <f ca="1"/>
      </c>
      <c r="GG32">
        <f ca="1"/>
      </c>
      <c r="GH32">
        <f ca="1"/>
      </c>
      <c r="GI32">
        <f ca="1"/>
      </c>
      <c r="GJ32">
        <f ca="1"/>
      </c>
      <c r="GK32">
        <f ca="1"/>
      </c>
      <c r="GL32">
        <f ca="1"/>
      </c>
      <c r="GM32">
        <f ca="1"/>
      </c>
      <c r="GN32">
        <f ca="1"/>
      </c>
      <c r="GO32">
        <f ca="1"/>
      </c>
      <c r="GP32">
        <f ca="1"/>
      </c>
      <c r="GQ32">
        <f ca="1"/>
      </c>
      <c r="GR32">
        <f ca="1"/>
      </c>
      <c r="GS32">
        <f ca="1"/>
      </c>
      <c r="GT32">
        <f ca="1"/>
      </c>
      <c r="GU32">
        <f ca="1"/>
      </c>
      <c r="GV32">
        <f ca="1"/>
      </c>
      <c r="GW32">
        <f ca="1"/>
      </c>
      <c r="HI32" s="7">
        <f ca="1"/>
      </c>
      <c r="HJ32">
        <f ca="1"/>
      </c>
      <c r="HK32">
        <f ca="1"/>
      </c>
      <c r="HL32">
        <f ca="1"/>
      </c>
      <c r="HM32">
        <f ca="1"/>
      </c>
    </row>
    <row r="33" spans="1:221" x14ac:dyDescent="0.55000000000000004">
      <c r="A33" t="s">
        <v>298</v>
      </c>
      <c r="B33" s="13" cm="1">
        <f t="array" aca="1" ref="B33" ca="1">_xlfn.XLOOKUP($A33,_xlfn.ANCHORARRAY($HO$4),_xlfn.ANCHORARRAY($HP$4),"")</f>
      </c>
      <c r="C33" s="13" cm="1">
        <f t="array" aca="1" ref="C33" ca="1">_xlfn.LET(_xlpm.h,FWM_HC,_xlpm.c,_xlfn.XMATCH($A33,_xlfn.TAKE(_xlpm.h,1)),INDEX(_xlpm.h,ROWS(_xlpm.h),_xlpm.c))</f>
      </c>
      <c r="D33" s="44" cm="1">
        <f t="array" aca="1" ref="D33" ca="1">_xlfn.LET(_xlpm.h,FWM_HC,_xlpm.c,_xlfn.XMATCH($A33,_xlfn.TAKE(_xlpm.h,1)),(B33-INDEX(_xlpm.h,ROWS(_xlpm.h)-4,_xlpm.c))*100)</f>
      </c>
      <c r="E33" s="44" cm="1">
        <f t="array" aca="1" ref="E33" ca="1">_xlfn.LET(_xlpm.h,FWM_HC,_xlpm.c,_xlfn.XMATCH($A33,_xlfn.TAKE(_xlpm.h,1)),(B33-INDEX(_xlpm.h,ROWS(_xlpm.h)-20,_xlpm.c))*100)</f>
      </c>
      <c r="F33" s="44" cm="1">
        <f t="array" aca="1" ref="F33" ca="1">_xlfn.LET(_xlpm.h,FWM_HC,_xlpm.c,_xlfn.XMATCH($A33,_xlfn.TAKE(_xlpm.h,1)),(B33-_xlfn.XLOOKUP(FWM_Cmp,_xlfn.DROP(INDEX(_xlpm.h,,1),1),_xlfn.DROP(INDEX(_xlpm.h,,_xlpm.c),1),"",-1))*100)</f>
      </c>
      <c r="G33" s="44">
        <f ca="1">IF(ISNUMBER(B32),(B33-B32)*100,"")</f>
      </c>
      <c r="H33" s="45">
        <f ca="1">_xlfn.LET(_xlpm.h,FWM_HC,_xlpm.d,_xlfn.DROP(INDEX(_xlpm.h,,_xlfn.XMATCH($A33&amp;" dF",_xlfn.TAKE(_xlpm.h,1))),1),_xlpm.t,_xlfn.TAKE(_xlpm.d,-H$10),$L33/SQRT(SUMSQ(_xlpm.t)/ROWS(_xlpm.t)))</f>
      </c>
      <c r="I33" s="45">
        <f ca="1">_xlfn.LET(_xlpm.h,FWM_HC,_xlpm.d,_xlfn.DROP(INDEX(_xlpm.h,,_xlfn.XMATCH($A33&amp;" dF",_xlfn.TAKE(_xlpm.h,1))),1),_xlpm.t,_xlfn.TAKE(_xlpm.d,-I$10),$L33/SQRT(SUMSQ(_xlpm.t)/ROWS(_xlpm.t)))</f>
      </c>
      <c r="J33" s="45">
        <f ca="1">_xlfn.LET(_xlpm.h,FWM_HC,_xlpm.d,_xlfn.DROP(INDEX(_xlpm.h,,_xlfn.XMATCH($A33&amp;" dF",_xlfn.TAKE(_xlpm.h,1))),1),_xlpm.t,_xlfn.TAKE(_xlpm.d,-J$10),$L33/SQRT(SUMSQ(_xlpm.t)/ROWS(_xlpm.t)))</f>
      </c>
      <c r="L33" s="44" cm="1">
        <f t="array" aca="1" ref="L33:AE33" ca="1">_xlfn.LET(_xlpm.h,FWM_HC,_xlpm.c,_xlfn.XMATCH($A33,_xlfn.TAKE(_xlpm.h,1)),_xlpm.v,_xlfn.VSTACK(_xlfn.TAKE(_xlfn.DROP(INDEX(_xlpm.h,,_xlpm.c),1),-20),$B33),_xlpm.d,(_xlfn.DROP(_xlpm.v,1)-_xlfn.DROP(_xlpm.v,-1))*100,INDEX(_xlpm.d,_xlfn.SEQUENCE(1,20,20,-1)))</f>
      </c>
      <c r="M33" s="44">
        <f ca="1"/>
      </c>
      <c r="N33" s="44">
        <f ca="1"/>
      </c>
      <c r="O33" s="44">
        <f ca="1"/>
      </c>
      <c r="P33" s="44">
        <f ca="1"/>
      </c>
      <c r="Q33" s="44">
        <f ca="1"/>
      </c>
      <c r="R33" s="44">
        <f ca="1"/>
      </c>
      <c r="S33" s="44">
        <f ca="1"/>
      </c>
      <c r="T33" s="44">
        <f ca="1"/>
      </c>
      <c r="U33" s="44">
        <f ca="1"/>
      </c>
      <c r="V33" s="44">
        <f ca="1"/>
      </c>
      <c r="W33" s="44">
        <f ca="1"/>
      </c>
      <c r="X33" s="44">
        <f ca="1"/>
      </c>
      <c r="Y33" s="44">
        <f ca="1"/>
      </c>
      <c r="Z33" s="44">
        <f ca="1"/>
      </c>
      <c r="AA33" s="44">
        <f ca="1"/>
      </c>
      <c r="AB33" s="44">
        <f ca="1"/>
      </c>
      <c r="AC33" s="44">
        <f ca="1"/>
      </c>
      <c r="AD33" s="44">
        <f ca="1"/>
      </c>
      <c r="AE33" s="44">
        <f ca="1"/>
      </c>
      <c r="AW33">
        <f ca="1"/>
      </c>
      <c r="AX33">
        <f ca="1"/>
      </c>
      <c r="AY33">
        <f ca="1"/>
      </c>
      <c r="AZ33">
        <f ca="1"/>
      </c>
      <c r="BB33">
        <f ca="1"/>
      </c>
      <c r="BC33">
        <f ca="1"/>
      </c>
      <c r="BD33">
        <f ca="1"/>
      </c>
      <c r="BE33">
        <f ca="1"/>
      </c>
      <c r="BF33">
        <f ca="1"/>
      </c>
      <c r="BH33" t="s">
        <v>28</v>
      </c>
      <c r="BI33">
        <v>1</v>
      </c>
      <c r="BK33">
        <f ca="1"/>
      </c>
      <c r="BL33">
        <f ca="1"/>
      </c>
      <c r="BM33">
        <f ca="1"/>
      </c>
      <c r="BN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  <c r="BV33">
        <f ca="1"/>
      </c>
      <c r="BW33">
        <f ca="1"/>
      </c>
      <c r="BX33">
        <f ca="1"/>
      </c>
      <c r="BY33">
        <f ca="1"/>
      </c>
      <c r="BZ33">
        <f ca="1"/>
      </c>
      <c r="CA33">
        <f ca="1"/>
      </c>
      <c r="CB33">
        <f ca="1"/>
      </c>
      <c r="CC33">
        <f ca="1"/>
      </c>
      <c r="CD33">
        <f ca="1"/>
      </c>
      <c r="CE33">
        <f ca="1"/>
      </c>
      <c r="CF33">
        <f ca="1"/>
      </c>
      <c r="CG33">
        <f ca="1"/>
      </c>
      <c r="CH33">
        <f ca="1"/>
      </c>
      <c r="CI33">
        <f ca="1"/>
      </c>
      <c r="CJ33">
        <f ca="1"/>
      </c>
      <c r="CK33">
        <f ca="1"/>
      </c>
      <c r="CL33">
        <f ca="1"/>
      </c>
      <c r="CM33">
        <f ca="1"/>
      </c>
      <c r="CN33">
        <f ca="1"/>
      </c>
      <c r="CO33">
        <f ca="1"/>
      </c>
      <c r="CP33">
        <f ca="1"/>
      </c>
      <c r="CQ33">
        <f ca="1"/>
      </c>
      <c r="CR33">
        <f ca="1"/>
      </c>
      <c r="CS33">
        <f ca="1"/>
      </c>
      <c r="CT33">
        <f ca="1"/>
      </c>
      <c r="CU33">
        <f ca="1"/>
      </c>
      <c r="CV33">
        <f ca="1"/>
      </c>
      <c r="CW33">
        <f ca="1"/>
      </c>
      <c r="CX33">
        <f ca="1"/>
      </c>
      <c r="CY33">
        <f ca="1"/>
      </c>
      <c r="CZ33">
        <f ca="1"/>
      </c>
      <c r="DA33">
        <f ca="1"/>
      </c>
      <c r="DB33">
        <f ca="1"/>
      </c>
      <c r="DC33">
        <f ca="1"/>
      </c>
      <c r="DD33">
        <f ca="1"/>
      </c>
      <c r="DE33">
        <f ca="1"/>
      </c>
      <c r="DG33">
        <f ca="1"/>
      </c>
      <c r="DH33">
        <f ca="1"/>
      </c>
      <c r="DI33">
        <f ca="1"/>
      </c>
      <c r="DJ33">
        <f ca="1"/>
      </c>
      <c r="DK33">
        <f ca="1"/>
      </c>
      <c r="DL33">
        <f ca="1"/>
      </c>
      <c r="DM33">
        <f ca="1"/>
      </c>
      <c r="DN33">
        <f ca="1"/>
      </c>
      <c r="DO33">
        <f ca="1"/>
      </c>
      <c r="DP33">
        <f ca="1"/>
      </c>
      <c r="DQ33">
        <f ca="1"/>
      </c>
      <c r="DR33">
        <f ca="1"/>
      </c>
      <c r="DS33">
        <f ca="1"/>
      </c>
      <c r="DT33">
        <f ca="1"/>
      </c>
      <c r="DU33">
        <f ca="1"/>
      </c>
      <c r="DV33">
        <f ca="1"/>
      </c>
      <c r="DW33">
        <f ca="1"/>
      </c>
      <c r="DX33">
        <f ca="1"/>
      </c>
      <c r="DY33">
        <f ca="1"/>
      </c>
      <c r="DZ33">
        <f ca="1"/>
      </c>
      <c r="EA33">
        <f ca="1"/>
      </c>
      <c r="EB33">
        <f ca="1"/>
      </c>
      <c r="EC33">
        <f ca="1"/>
      </c>
      <c r="ED33">
        <f ca="1"/>
      </c>
      <c r="EE33">
        <f ca="1"/>
      </c>
      <c r="EF33">
        <f ca="1"/>
      </c>
      <c r="EG33">
        <f ca="1"/>
      </c>
      <c r="EH33">
        <f ca="1"/>
      </c>
      <c r="EI33">
        <f ca="1"/>
      </c>
      <c r="EJ33">
        <f ca="1"/>
      </c>
      <c r="EK33">
        <f ca="1"/>
      </c>
      <c r="EL33">
        <f ca="1"/>
      </c>
      <c r="EM33">
        <f ca="1"/>
      </c>
      <c r="EN33">
        <f ca="1"/>
      </c>
      <c r="EO33">
        <f ca="1"/>
      </c>
      <c r="EP33">
        <f ca="1"/>
      </c>
      <c r="EQ33">
        <f ca="1"/>
      </c>
      <c r="ER33">
        <f ca="1"/>
      </c>
      <c r="ES33">
        <f ca="1"/>
      </c>
      <c r="ET33">
        <f ca="1"/>
      </c>
      <c r="EU33">
        <f ca="1"/>
      </c>
      <c r="EV33">
        <f ca="1"/>
      </c>
      <c r="EW33">
        <f ca="1"/>
      </c>
      <c r="EX33">
        <f ca="1"/>
      </c>
      <c r="EY33">
        <f ca="1"/>
      </c>
      <c r="EZ33">
        <f ca="1"/>
      </c>
      <c r="FA33">
        <f ca="1"/>
      </c>
      <c r="FC33">
        <f ca="1"/>
      </c>
      <c r="FD33">
        <f ca="1"/>
      </c>
      <c r="FE33">
        <f ca="1"/>
      </c>
      <c r="FF33">
        <f ca="1"/>
      </c>
      <c r="FG33">
        <f ca="1"/>
      </c>
      <c r="FH33">
        <f ca="1"/>
      </c>
      <c r="FI33">
        <f ca="1"/>
      </c>
      <c r="FJ33">
        <f ca="1"/>
      </c>
      <c r="FK33">
        <f ca="1"/>
      </c>
      <c r="FL33">
        <f ca="1"/>
      </c>
      <c r="FM33">
        <f ca="1"/>
      </c>
      <c r="FN33">
        <f ca="1"/>
      </c>
      <c r="FO33">
        <f ca="1"/>
      </c>
      <c r="FP33">
        <f ca="1"/>
      </c>
      <c r="FQ33">
        <f ca="1"/>
      </c>
      <c r="FR33">
        <f ca="1"/>
      </c>
      <c r="FS33">
        <f ca="1"/>
      </c>
      <c r="FT33">
        <f ca="1"/>
      </c>
      <c r="FU33">
        <f ca="1"/>
      </c>
      <c r="FV33">
        <f ca="1"/>
      </c>
      <c r="FW33">
        <f ca="1"/>
      </c>
      <c r="FX33">
        <f ca="1"/>
      </c>
      <c r="FY33">
        <f ca="1"/>
      </c>
      <c r="FZ33">
        <f ca="1"/>
      </c>
      <c r="GA33">
        <f ca="1"/>
      </c>
      <c r="GB33">
        <f ca="1"/>
      </c>
      <c r="GC33">
        <f ca="1"/>
      </c>
      <c r="GD33">
        <f ca="1"/>
      </c>
      <c r="GE33">
        <f ca="1"/>
      </c>
      <c r="GF33">
        <f ca="1"/>
      </c>
      <c r="GG33">
        <f ca="1"/>
      </c>
      <c r="GH33">
        <f ca="1"/>
      </c>
      <c r="GI33">
        <f ca="1"/>
      </c>
      <c r="GJ33">
        <f ca="1"/>
      </c>
      <c r="GK33">
        <f ca="1"/>
      </c>
      <c r="GL33">
        <f ca="1"/>
      </c>
      <c r="GM33">
        <f ca="1"/>
      </c>
      <c r="GN33">
        <f ca="1"/>
      </c>
      <c r="GO33">
        <f ca="1"/>
      </c>
      <c r="GP33">
        <f ca="1"/>
      </c>
      <c r="GQ33">
        <f ca="1"/>
      </c>
      <c r="GR33">
        <f ca="1"/>
      </c>
      <c r="GS33">
        <f ca="1"/>
      </c>
      <c r="GT33">
        <f ca="1"/>
      </c>
      <c r="GU33">
        <f ca="1"/>
      </c>
      <c r="GV33">
        <f ca="1"/>
      </c>
      <c r="GW33">
        <f ca="1"/>
      </c>
      <c r="HI33" s="7">
        <f ca="1"/>
      </c>
      <c r="HJ33">
        <f ca="1"/>
      </c>
      <c r="HK33">
        <f ca="1"/>
      </c>
      <c r="HL33">
        <f ca="1"/>
      </c>
      <c r="HM33">
        <f ca="1"/>
      </c>
    </row>
    <row r="34" spans="1:221" x14ac:dyDescent="0.55000000000000004">
      <c r="A34" t="s">
        <v>299</v>
      </c>
      <c r="B34" s="13" cm="1">
        <f t="array" aca="1" ref="B34" ca="1">_xlfn.XLOOKUP($A34,_xlfn.ANCHORARRAY($HO$4),_xlfn.ANCHORARRAY($HP$4),"")</f>
      </c>
      <c r="C34" s="13" cm="1">
        <f t="array" aca="1" ref="C34" ca="1">_xlfn.LET(_xlpm.h,FWM_HC,_xlpm.c,_xlfn.XMATCH($A34,_xlfn.TAKE(_xlpm.h,1)),INDEX(_xlpm.h,ROWS(_xlpm.h),_xlpm.c))</f>
      </c>
      <c r="D34" s="44" cm="1">
        <f t="array" aca="1" ref="D34" ca="1">_xlfn.LET(_xlpm.h,FWM_HC,_xlpm.c,_xlfn.XMATCH($A34,_xlfn.TAKE(_xlpm.h,1)),(B34-INDEX(_xlpm.h,ROWS(_xlpm.h)-4,_xlpm.c))*100)</f>
      </c>
      <c r="E34" s="44" cm="1">
        <f t="array" aca="1" ref="E34" ca="1">_xlfn.LET(_xlpm.h,FWM_HC,_xlpm.c,_xlfn.XMATCH($A34,_xlfn.TAKE(_xlpm.h,1)),(B34-INDEX(_xlpm.h,ROWS(_xlpm.h)-20,_xlpm.c))*100)</f>
      </c>
      <c r="F34" s="44" cm="1">
        <f t="array" aca="1" ref="F34" ca="1">_xlfn.LET(_xlpm.h,FWM_HC,_xlpm.c,_xlfn.XMATCH($A34,_xlfn.TAKE(_xlpm.h,1)),(B34-_xlfn.XLOOKUP(FWM_Cmp,_xlfn.DROP(INDEX(_xlpm.h,,1),1),_xlfn.DROP(INDEX(_xlpm.h,,_xlpm.c),1),"",-1))*100)</f>
      </c>
      <c r="G34" s="44">
        <f ca="1">IF(ISNUMBER(B33),(B34-B33)*100,"")</f>
      </c>
      <c r="H34" s="45">
        <f ca="1">_xlfn.LET(_xlpm.h,FWM_HC,_xlpm.d,_xlfn.DROP(INDEX(_xlpm.h,,_xlfn.XMATCH($A34&amp;" dF",_xlfn.TAKE(_xlpm.h,1))),1),_xlpm.t,_xlfn.TAKE(_xlpm.d,-H$10),$L34/SQRT(SUMSQ(_xlpm.t)/ROWS(_xlpm.t)))</f>
      </c>
      <c r="I34" s="45">
        <f ca="1">_xlfn.LET(_xlpm.h,FWM_HC,_xlpm.d,_xlfn.DROP(INDEX(_xlpm.h,,_xlfn.XMATCH($A34&amp;" dF",_xlfn.TAKE(_xlpm.h,1))),1),_xlpm.t,_xlfn.TAKE(_xlpm.d,-I$10),$L34/SQRT(SUMSQ(_xlpm.t)/ROWS(_xlpm.t)))</f>
      </c>
      <c r="J34" s="45">
        <f ca="1">_xlfn.LET(_xlpm.h,FWM_HC,_xlpm.d,_xlfn.DROP(INDEX(_xlpm.h,,_xlfn.XMATCH($A34&amp;" dF",_xlfn.TAKE(_xlpm.h,1))),1),_xlpm.t,_xlfn.TAKE(_xlpm.d,-J$10),$L34/SQRT(SUMSQ(_xlpm.t)/ROWS(_xlpm.t)))</f>
      </c>
      <c r="L34" s="44" cm="1">
        <f t="array" aca="1" ref="L34:AE34" ca="1">_xlfn.LET(_xlpm.h,FWM_HC,_xlpm.c,_xlfn.XMATCH($A34,_xlfn.TAKE(_xlpm.h,1)),_xlpm.v,_xlfn.VSTACK(_xlfn.TAKE(_xlfn.DROP(INDEX(_xlpm.h,,_xlpm.c),1),-20),$B34),_xlpm.d,(_xlfn.DROP(_xlpm.v,1)-_xlfn.DROP(_xlpm.v,-1))*100,INDEX(_xlpm.d,_xlfn.SEQUENCE(1,20,20,-1)))</f>
      </c>
      <c r="M34" s="44">
        <f ca="1"/>
      </c>
      <c r="N34" s="44">
        <f ca="1"/>
      </c>
      <c r="O34" s="44">
        <f ca="1"/>
      </c>
      <c r="P34" s="44">
        <f ca="1"/>
      </c>
      <c r="Q34" s="44">
        <f ca="1"/>
      </c>
      <c r="R34" s="44">
        <f ca="1"/>
      </c>
      <c r="S34" s="44">
        <f ca="1"/>
      </c>
      <c r="T34" s="44">
        <f ca="1"/>
      </c>
      <c r="U34" s="44">
        <f ca="1"/>
      </c>
      <c r="V34" s="44">
        <f ca="1"/>
      </c>
      <c r="W34" s="44">
        <f ca="1"/>
      </c>
      <c r="X34" s="44">
        <f ca="1"/>
      </c>
      <c r="Y34" s="44">
        <f ca="1"/>
      </c>
      <c r="Z34" s="44">
        <f ca="1"/>
      </c>
      <c r="AA34" s="44">
        <f ca="1"/>
      </c>
      <c r="AB34" s="44">
        <f ca="1"/>
      </c>
      <c r="AC34" s="44">
        <f ca="1"/>
      </c>
      <c r="AD34" s="44">
        <f ca="1"/>
      </c>
      <c r="AE34" s="44">
        <f ca="1"/>
      </c>
      <c r="AW34">
        <f ca="1"/>
      </c>
      <c r="AX34">
        <f ca="1"/>
      </c>
      <c r="AY34">
        <f ca="1"/>
      </c>
      <c r="AZ34">
        <f ca="1"/>
      </c>
      <c r="BB34">
        <f ca="1"/>
      </c>
      <c r="BC34">
        <f ca="1"/>
      </c>
      <c r="BD34">
        <f ca="1"/>
      </c>
      <c r="BE34">
        <f ca="1"/>
      </c>
      <c r="BF34">
        <f ca="1"/>
      </c>
      <c r="BH34" t="s">
        <v>29</v>
      </c>
      <c r="BI34">
        <v>1</v>
      </c>
      <c r="BK34">
        <f ca="1"/>
      </c>
      <c r="BL34">
        <f ca="1"/>
      </c>
      <c r="BM34">
        <f ca="1"/>
      </c>
      <c r="BN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  <c r="BV34">
        <f ca="1"/>
      </c>
      <c r="BW34">
        <f ca="1"/>
      </c>
      <c r="BX34">
        <f ca="1"/>
      </c>
      <c r="BY34">
        <f ca="1"/>
      </c>
      <c r="BZ34">
        <f ca="1"/>
      </c>
      <c r="CA34">
        <f ca="1"/>
      </c>
      <c r="CB34">
        <f ca="1"/>
      </c>
      <c r="CC34">
        <f ca="1"/>
      </c>
      <c r="CD34">
        <f ca="1"/>
      </c>
      <c r="CE34">
        <f ca="1"/>
      </c>
      <c r="CF34">
        <f ca="1"/>
      </c>
      <c r="CG34">
        <f ca="1"/>
      </c>
      <c r="CH34">
        <f ca="1"/>
      </c>
      <c r="CI34">
        <f ca="1"/>
      </c>
      <c r="CJ34">
        <f ca="1"/>
      </c>
      <c r="CK34">
        <f ca="1"/>
      </c>
      <c r="CL34">
        <f ca="1"/>
      </c>
      <c r="CM34">
        <f ca="1"/>
      </c>
      <c r="CN34">
        <f ca="1"/>
      </c>
      <c r="CO34">
        <f ca="1"/>
      </c>
      <c r="CP34">
        <f ca="1"/>
      </c>
      <c r="CQ34">
        <f ca="1"/>
      </c>
      <c r="CR34">
        <f ca="1"/>
      </c>
      <c r="CS34">
        <f ca="1"/>
      </c>
      <c r="CT34">
        <f ca="1"/>
      </c>
      <c r="CU34">
        <f ca="1"/>
      </c>
      <c r="CV34">
        <f ca="1"/>
      </c>
      <c r="CW34">
        <f ca="1"/>
      </c>
      <c r="CX34">
        <f ca="1"/>
      </c>
      <c r="CY34">
        <f ca="1"/>
      </c>
      <c r="CZ34">
        <f ca="1"/>
      </c>
      <c r="DA34">
        <f ca="1"/>
      </c>
      <c r="DB34">
        <f ca="1"/>
      </c>
      <c r="DC34">
        <f ca="1"/>
      </c>
      <c r="DD34">
        <f ca="1"/>
      </c>
      <c r="DE34">
        <f ca="1"/>
      </c>
      <c r="DG34">
        <f ca="1"/>
      </c>
      <c r="DH34">
        <f ca="1"/>
      </c>
      <c r="DI34">
        <f ca="1"/>
      </c>
      <c r="DJ34">
        <f ca="1"/>
      </c>
      <c r="DK34">
        <f ca="1"/>
      </c>
      <c r="DL34">
        <f ca="1"/>
      </c>
      <c r="DM34">
        <f ca="1"/>
      </c>
      <c r="DN34">
        <f ca="1"/>
      </c>
      <c r="DO34">
        <f ca="1"/>
      </c>
      <c r="DP34">
        <f ca="1"/>
      </c>
      <c r="DQ34">
        <f ca="1"/>
      </c>
      <c r="DR34">
        <f ca="1"/>
      </c>
      <c r="DS34">
        <f ca="1"/>
      </c>
      <c r="DT34">
        <f ca="1"/>
      </c>
      <c r="DU34">
        <f ca="1"/>
      </c>
      <c r="DV34">
        <f ca="1"/>
      </c>
      <c r="DW34">
        <f ca="1"/>
      </c>
      <c r="DX34">
        <f ca="1"/>
      </c>
      <c r="DY34">
        <f ca="1"/>
      </c>
      <c r="DZ34">
        <f ca="1"/>
      </c>
      <c r="EA34">
        <f ca="1"/>
      </c>
      <c r="EB34">
        <f ca="1"/>
      </c>
      <c r="EC34">
        <f ca="1"/>
      </c>
      <c r="ED34">
        <f ca="1"/>
      </c>
      <c r="EE34">
        <f ca="1"/>
      </c>
      <c r="EF34">
        <f ca="1"/>
      </c>
      <c r="EG34">
        <f ca="1"/>
      </c>
      <c r="EH34">
        <f ca="1"/>
      </c>
      <c r="EI34">
        <f ca="1"/>
      </c>
      <c r="EJ34">
        <f ca="1"/>
      </c>
      <c r="EK34">
        <f ca="1"/>
      </c>
      <c r="EL34">
        <f ca="1"/>
      </c>
      <c r="EM34">
        <f ca="1"/>
      </c>
      <c r="EN34">
        <f ca="1"/>
      </c>
      <c r="EO34">
        <f ca="1"/>
      </c>
      <c r="EP34">
        <f ca="1"/>
      </c>
      <c r="EQ34">
        <f ca="1"/>
      </c>
      <c r="ER34">
        <f ca="1"/>
      </c>
      <c r="ES34">
        <f ca="1"/>
      </c>
      <c r="ET34">
        <f ca="1"/>
      </c>
      <c r="EU34">
        <f ca="1"/>
      </c>
      <c r="EV34">
        <f ca="1"/>
      </c>
      <c r="EW34">
        <f ca="1"/>
      </c>
      <c r="EX34">
        <f ca="1"/>
      </c>
      <c r="EY34">
        <f ca="1"/>
      </c>
      <c r="EZ34">
        <f ca="1"/>
      </c>
      <c r="FA34">
        <f ca="1"/>
      </c>
      <c r="FC34">
        <f ca="1"/>
      </c>
      <c r="FD34">
        <f ca="1"/>
      </c>
      <c r="FE34">
        <f ca="1"/>
      </c>
      <c r="FF34">
        <f ca="1"/>
      </c>
      <c r="FG34">
        <f ca="1"/>
      </c>
      <c r="FH34">
        <f ca="1"/>
      </c>
      <c r="FI34">
        <f ca="1"/>
      </c>
      <c r="FJ34">
        <f ca="1"/>
      </c>
      <c r="FK34">
        <f ca="1"/>
      </c>
      <c r="FL34">
        <f ca="1"/>
      </c>
      <c r="FM34">
        <f ca="1"/>
      </c>
      <c r="FN34">
        <f ca="1"/>
      </c>
      <c r="FO34">
        <f ca="1"/>
      </c>
      <c r="FP34">
        <f ca="1"/>
      </c>
      <c r="FQ34">
        <f ca="1"/>
      </c>
      <c r="FR34">
        <f ca="1"/>
      </c>
      <c r="FS34">
        <f ca="1"/>
      </c>
      <c r="FT34">
        <f ca="1"/>
      </c>
      <c r="FU34">
        <f ca="1"/>
      </c>
      <c r="FV34">
        <f ca="1"/>
      </c>
      <c r="FW34">
        <f ca="1"/>
      </c>
      <c r="FX34">
        <f ca="1"/>
      </c>
      <c r="FY34">
        <f ca="1"/>
      </c>
      <c r="FZ34">
        <f ca="1"/>
      </c>
      <c r="GA34">
        <f ca="1"/>
      </c>
      <c r="GB34">
        <f ca="1"/>
      </c>
      <c r="GC34">
        <f ca="1"/>
      </c>
      <c r="GD34">
        <f ca="1"/>
      </c>
      <c r="GE34">
        <f ca="1"/>
      </c>
      <c r="GF34">
        <f ca="1"/>
      </c>
      <c r="GG34">
        <f ca="1"/>
      </c>
      <c r="GH34">
        <f ca="1"/>
      </c>
      <c r="GI34">
        <f ca="1"/>
      </c>
      <c r="GJ34">
        <f ca="1"/>
      </c>
      <c r="GK34">
        <f ca="1"/>
      </c>
      <c r="GL34">
        <f ca="1"/>
      </c>
      <c r="GM34">
        <f ca="1"/>
      </c>
      <c r="GN34">
        <f ca="1"/>
      </c>
      <c r="GO34">
        <f ca="1"/>
      </c>
      <c r="GP34">
        <f ca="1"/>
      </c>
      <c r="GQ34">
        <f ca="1"/>
      </c>
      <c r="GR34">
        <f ca="1"/>
      </c>
      <c r="GS34">
        <f ca="1"/>
      </c>
      <c r="GT34">
        <f ca="1"/>
      </c>
      <c r="GU34">
        <f ca="1"/>
      </c>
      <c r="GV34">
        <f ca="1"/>
      </c>
      <c r="GW34">
        <f ca="1"/>
      </c>
      <c r="HI34" s="7">
        <f ca="1"/>
      </c>
      <c r="HJ34">
        <f ca="1"/>
      </c>
      <c r="HK34">
        <f ca="1"/>
      </c>
      <c r="HL34">
        <f ca="1"/>
      </c>
      <c r="HM34">
        <f ca="1"/>
      </c>
    </row>
    <row r="35" spans="1:221" x14ac:dyDescent="0.55000000000000004">
      <c r="A35" t="s">
        <v>300</v>
      </c>
      <c r="B35" s="13" cm="1">
        <f t="array" aca="1" ref="B35" ca="1">_xlfn.XLOOKUP($A35,_xlfn.ANCHORARRAY($HO$4),_xlfn.ANCHORARRAY($HP$4),"")</f>
      </c>
      <c r="C35" s="13" cm="1">
        <f t="array" aca="1" ref="C35" ca="1">_xlfn.LET(_xlpm.h,FWM_HC,_xlpm.c,_xlfn.XMATCH($A35,_xlfn.TAKE(_xlpm.h,1)),INDEX(_xlpm.h,ROWS(_xlpm.h),_xlpm.c))</f>
      </c>
      <c r="D35" s="44" cm="1">
        <f t="array" aca="1" ref="D35" ca="1">_xlfn.LET(_xlpm.h,FWM_HC,_xlpm.c,_xlfn.XMATCH($A35,_xlfn.TAKE(_xlpm.h,1)),(B35-INDEX(_xlpm.h,ROWS(_xlpm.h)-4,_xlpm.c))*100)</f>
      </c>
      <c r="E35" s="44" cm="1">
        <f t="array" aca="1" ref="E35" ca="1">_xlfn.LET(_xlpm.h,FWM_HC,_xlpm.c,_xlfn.XMATCH($A35,_xlfn.TAKE(_xlpm.h,1)),(B35-INDEX(_xlpm.h,ROWS(_xlpm.h)-20,_xlpm.c))*100)</f>
      </c>
      <c r="F35" s="44" cm="1">
        <f t="array" aca="1" ref="F35" ca="1">_xlfn.LET(_xlpm.h,FWM_HC,_xlpm.c,_xlfn.XMATCH($A35,_xlfn.TAKE(_xlpm.h,1)),(B35-_xlfn.XLOOKUP(FWM_Cmp,_xlfn.DROP(INDEX(_xlpm.h,,1),1),_xlfn.DROP(INDEX(_xlpm.h,,_xlpm.c),1),"",-1))*100)</f>
      </c>
      <c r="G35" s="44">
        <f ca="1">IF(ISNUMBER(B34),(B35-B34)*100,"")</f>
      </c>
      <c r="H35" s="45">
        <f ca="1">_xlfn.LET(_xlpm.h,FWM_HC,_xlpm.d,_xlfn.DROP(INDEX(_xlpm.h,,_xlfn.XMATCH($A35&amp;" dF",_xlfn.TAKE(_xlpm.h,1))),1),_xlpm.t,_xlfn.TAKE(_xlpm.d,-H$10),$L35/SQRT(SUMSQ(_xlpm.t)/ROWS(_xlpm.t)))</f>
      </c>
      <c r="I35" s="45">
        <f ca="1">_xlfn.LET(_xlpm.h,FWM_HC,_xlpm.d,_xlfn.DROP(INDEX(_xlpm.h,,_xlfn.XMATCH($A35&amp;" dF",_xlfn.TAKE(_xlpm.h,1))),1),_xlpm.t,_xlfn.TAKE(_xlpm.d,-I$10),$L35/SQRT(SUMSQ(_xlpm.t)/ROWS(_xlpm.t)))</f>
      </c>
      <c r="J35" s="45">
        <f ca="1">_xlfn.LET(_xlpm.h,FWM_HC,_xlpm.d,_xlfn.DROP(INDEX(_xlpm.h,,_xlfn.XMATCH($A35&amp;" dF",_xlfn.TAKE(_xlpm.h,1))),1),_xlpm.t,_xlfn.TAKE(_xlpm.d,-J$10),$L35/SQRT(SUMSQ(_xlpm.t)/ROWS(_xlpm.t)))</f>
      </c>
      <c r="L35" s="44" cm="1">
        <f t="array" aca="1" ref="L35:AE35" ca="1">_xlfn.LET(_xlpm.h,FWM_HC,_xlpm.c,_xlfn.XMATCH($A35,_xlfn.TAKE(_xlpm.h,1)),_xlpm.v,_xlfn.VSTACK(_xlfn.TAKE(_xlfn.DROP(INDEX(_xlpm.h,,_xlpm.c),1),-20),$B35),_xlpm.d,(_xlfn.DROP(_xlpm.v,1)-_xlfn.DROP(_xlpm.v,-1))*100,INDEX(_xlpm.d,_xlfn.SEQUENCE(1,20,20,-1)))</f>
      </c>
      <c r="M35" s="44">
        <f ca="1"/>
      </c>
      <c r="N35" s="44">
        <f ca="1"/>
      </c>
      <c r="O35" s="44">
        <f ca="1"/>
      </c>
      <c r="P35" s="44">
        <f ca="1"/>
      </c>
      <c r="Q35" s="44">
        <f ca="1"/>
      </c>
      <c r="R35" s="44">
        <f ca="1"/>
      </c>
      <c r="S35" s="44">
        <f ca="1"/>
      </c>
      <c r="T35" s="44">
        <f ca="1"/>
      </c>
      <c r="U35" s="44">
        <f ca="1"/>
      </c>
      <c r="V35" s="44">
        <f ca="1"/>
      </c>
      <c r="W35" s="44">
        <f ca="1"/>
      </c>
      <c r="X35" s="44">
        <f ca="1"/>
      </c>
      <c r="Y35" s="44">
        <f ca="1"/>
      </c>
      <c r="Z35" s="44">
        <f ca="1"/>
      </c>
      <c r="AA35" s="44">
        <f ca="1"/>
      </c>
      <c r="AB35" s="44">
        <f ca="1"/>
      </c>
      <c r="AC35" s="44">
        <f ca="1"/>
      </c>
      <c r="AD35" s="44">
        <f ca="1"/>
      </c>
      <c r="AE35" s="44">
        <f ca="1"/>
      </c>
      <c r="AW35">
        <f ca="1"/>
      </c>
      <c r="AX35">
        <f ca="1"/>
      </c>
      <c r="AY35">
        <f ca="1"/>
      </c>
      <c r="AZ35">
        <f ca="1"/>
      </c>
      <c r="BB35">
        <f ca="1"/>
      </c>
      <c r="BC35">
        <f ca="1"/>
      </c>
      <c r="BD35">
        <f ca="1"/>
      </c>
      <c r="BE35">
        <f ca="1"/>
      </c>
      <c r="BF35">
        <f ca="1"/>
      </c>
      <c r="BH35" t="s">
        <v>30</v>
      </c>
      <c r="BI35">
        <v>1</v>
      </c>
      <c r="BK35">
        <f ca="1"/>
      </c>
      <c r="BL35">
        <f ca="1"/>
      </c>
      <c r="BM35">
        <f ca="1"/>
      </c>
      <c r="BN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  <c r="BV35">
        <f ca="1"/>
      </c>
      <c r="BW35">
        <f ca="1"/>
      </c>
      <c r="BX35">
        <f ca="1"/>
      </c>
      <c r="BY35">
        <f ca="1"/>
      </c>
      <c r="BZ35">
        <f ca="1"/>
      </c>
      <c r="CA35">
        <f ca="1"/>
      </c>
      <c r="CB35">
        <f ca="1"/>
      </c>
      <c r="CC35">
        <f ca="1"/>
      </c>
      <c r="CD35">
        <f ca="1"/>
      </c>
      <c r="CE35">
        <f ca="1"/>
      </c>
      <c r="CF35">
        <f ca="1"/>
      </c>
      <c r="CG35">
        <f ca="1"/>
      </c>
      <c r="CH35">
        <f ca="1"/>
      </c>
      <c r="CI35">
        <f ca="1"/>
      </c>
      <c r="CJ35">
        <f ca="1"/>
      </c>
      <c r="CK35">
        <f ca="1"/>
      </c>
      <c r="CL35">
        <f ca="1"/>
      </c>
      <c r="CM35">
        <f ca="1"/>
      </c>
      <c r="CN35">
        <f ca="1"/>
      </c>
      <c r="CO35">
        <f ca="1"/>
      </c>
      <c r="CP35">
        <f ca="1"/>
      </c>
      <c r="CQ35">
        <f ca="1"/>
      </c>
      <c r="CR35">
        <f ca="1"/>
      </c>
      <c r="CS35">
        <f ca="1"/>
      </c>
      <c r="CT35">
        <f ca="1"/>
      </c>
      <c r="CU35">
        <f ca="1"/>
      </c>
      <c r="CV35">
        <f ca="1"/>
      </c>
      <c r="CW35">
        <f ca="1"/>
      </c>
      <c r="CX35">
        <f ca="1"/>
      </c>
      <c r="CY35">
        <f ca="1"/>
      </c>
      <c r="CZ35">
        <f ca="1"/>
      </c>
      <c r="DA35">
        <f ca="1"/>
      </c>
      <c r="DB35">
        <f ca="1"/>
      </c>
      <c r="DC35">
        <f ca="1"/>
      </c>
      <c r="DD35">
        <f ca="1"/>
      </c>
      <c r="DE35">
        <f ca="1"/>
      </c>
      <c r="DG35">
        <f ca="1"/>
      </c>
      <c r="DH35">
        <f ca="1"/>
      </c>
      <c r="DI35">
        <f ca="1"/>
      </c>
      <c r="DJ35">
        <f ca="1"/>
      </c>
      <c r="DK35">
        <f ca="1"/>
      </c>
      <c r="DL35">
        <f ca="1"/>
      </c>
      <c r="DM35">
        <f ca="1"/>
      </c>
      <c r="DN35">
        <f ca="1"/>
      </c>
      <c r="DO35">
        <f ca="1"/>
      </c>
      <c r="DP35">
        <f ca="1"/>
      </c>
      <c r="DQ35">
        <f ca="1"/>
      </c>
      <c r="DR35">
        <f ca="1"/>
      </c>
      <c r="DS35">
        <f ca="1"/>
      </c>
      <c r="DT35">
        <f ca="1"/>
      </c>
      <c r="DU35">
        <f ca="1"/>
      </c>
      <c r="DV35">
        <f ca="1"/>
      </c>
      <c r="DW35">
        <f ca="1"/>
      </c>
      <c r="DX35">
        <f ca="1"/>
      </c>
      <c r="DY35">
        <f ca="1"/>
      </c>
      <c r="DZ35">
        <f ca="1"/>
      </c>
      <c r="EA35">
        <f ca="1"/>
      </c>
      <c r="EB35">
        <f ca="1"/>
      </c>
      <c r="EC35">
        <f ca="1"/>
      </c>
      <c r="ED35">
        <f ca="1"/>
      </c>
      <c r="EE35">
        <f ca="1"/>
      </c>
      <c r="EF35">
        <f ca="1"/>
      </c>
      <c r="EG35">
        <f ca="1"/>
      </c>
      <c r="EH35">
        <f ca="1"/>
      </c>
      <c r="EI35">
        <f ca="1"/>
      </c>
      <c r="EJ35">
        <f ca="1"/>
      </c>
      <c r="EK35">
        <f ca="1"/>
      </c>
      <c r="EL35">
        <f ca="1"/>
      </c>
      <c r="EM35">
        <f ca="1"/>
      </c>
      <c r="EN35">
        <f ca="1"/>
      </c>
      <c r="EO35">
        <f ca="1"/>
      </c>
      <c r="EP35">
        <f ca="1"/>
      </c>
      <c r="EQ35">
        <f ca="1"/>
      </c>
      <c r="ER35">
        <f ca="1"/>
      </c>
      <c r="ES35">
        <f ca="1"/>
      </c>
      <c r="ET35">
        <f ca="1"/>
      </c>
      <c r="EU35">
        <f ca="1"/>
      </c>
      <c r="EV35">
        <f ca="1"/>
      </c>
      <c r="EW35">
        <f ca="1"/>
      </c>
      <c r="EX35">
        <f ca="1"/>
      </c>
      <c r="EY35">
        <f ca="1"/>
      </c>
      <c r="EZ35">
        <f ca="1"/>
      </c>
      <c r="FA35">
        <f ca="1"/>
      </c>
      <c r="FC35">
        <f ca="1"/>
      </c>
      <c r="FD35">
        <f ca="1"/>
      </c>
      <c r="FE35">
        <f ca="1"/>
      </c>
      <c r="FF35">
        <f ca="1"/>
      </c>
      <c r="FG35">
        <f ca="1"/>
      </c>
      <c r="FH35">
        <f ca="1"/>
      </c>
      <c r="FI35">
        <f ca="1"/>
      </c>
      <c r="FJ35">
        <f ca="1"/>
      </c>
      <c r="FK35">
        <f ca="1"/>
      </c>
      <c r="FL35">
        <f ca="1"/>
      </c>
      <c r="FM35">
        <f ca="1"/>
      </c>
      <c r="FN35">
        <f ca="1"/>
      </c>
      <c r="FO35">
        <f ca="1"/>
      </c>
      <c r="FP35">
        <f ca="1"/>
      </c>
      <c r="FQ35">
        <f ca="1"/>
      </c>
      <c r="FR35">
        <f ca="1"/>
      </c>
      <c r="FS35">
        <f ca="1"/>
      </c>
      <c r="FT35">
        <f ca="1"/>
      </c>
      <c r="FU35">
        <f ca="1"/>
      </c>
      <c r="FV35">
        <f ca="1"/>
      </c>
      <c r="FW35">
        <f ca="1"/>
      </c>
      <c r="FX35">
        <f ca="1"/>
      </c>
      <c r="FY35">
        <f ca="1"/>
      </c>
      <c r="FZ35">
        <f ca="1"/>
      </c>
      <c r="GA35">
        <f ca="1"/>
      </c>
      <c r="GB35">
        <f ca="1"/>
      </c>
      <c r="GC35">
        <f ca="1"/>
      </c>
      <c r="GD35">
        <f ca="1"/>
      </c>
      <c r="GE35">
        <f ca="1"/>
      </c>
      <c r="GF35">
        <f ca="1"/>
      </c>
      <c r="GG35">
        <f ca="1"/>
      </c>
      <c r="GH35">
        <f ca="1"/>
      </c>
      <c r="GI35">
        <f ca="1"/>
      </c>
      <c r="GJ35">
        <f ca="1"/>
      </c>
      <c r="GK35">
        <f ca="1"/>
      </c>
      <c r="GL35">
        <f ca="1"/>
      </c>
      <c r="GM35">
        <f ca="1"/>
      </c>
      <c r="GN35">
        <f ca="1"/>
      </c>
      <c r="GO35">
        <f ca="1"/>
      </c>
      <c r="GP35">
        <f ca="1"/>
      </c>
      <c r="GQ35">
        <f ca="1"/>
      </c>
      <c r="GR35">
        <f ca="1"/>
      </c>
      <c r="GS35">
        <f ca="1"/>
      </c>
      <c r="GT35">
        <f ca="1"/>
      </c>
      <c r="GU35">
        <f ca="1"/>
      </c>
      <c r="GV35">
        <f ca="1"/>
      </c>
      <c r="GW35">
        <f ca="1"/>
      </c>
      <c r="HI35" s="7">
        <f ca="1"/>
      </c>
      <c r="HJ35">
        <f ca="1"/>
      </c>
      <c r="HK35">
        <f ca="1"/>
      </c>
      <c r="HL35">
        <f ca="1"/>
      </c>
      <c r="HM35">
        <f ca="1"/>
      </c>
    </row>
    <row r="36" spans="1:221" x14ac:dyDescent="0.55000000000000004">
      <c r="A36" t="s">
        <v>457</v>
      </c>
      <c r="AW36">
        <f ca="1"/>
      </c>
      <c r="AX36">
        <f ca="1"/>
      </c>
      <c r="AY36">
        <f ca="1"/>
      </c>
      <c r="AZ36">
        <f ca="1"/>
      </c>
      <c r="BB36">
        <f ca="1"/>
      </c>
      <c r="BC36">
        <f ca="1"/>
      </c>
      <c r="BD36">
        <f ca="1"/>
      </c>
      <c r="BE36">
        <f ca="1"/>
      </c>
      <c r="BF36">
        <f ca="1"/>
      </c>
      <c r="BH36" t="s">
        <v>31</v>
      </c>
      <c r="BI36">
        <v>1</v>
      </c>
      <c r="BK36">
        <f ca="1"/>
      </c>
      <c r="BL36">
        <f ca="1"/>
      </c>
      <c r="BM36">
        <f ca="1"/>
      </c>
      <c r="BN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  <c r="BV36">
        <f ca="1"/>
      </c>
      <c r="BW36">
        <f ca="1"/>
      </c>
      <c r="BX36">
        <f ca="1"/>
      </c>
      <c r="BY36">
        <f ca="1"/>
      </c>
      <c r="BZ36">
        <f ca="1"/>
      </c>
      <c r="CA36">
        <f ca="1"/>
      </c>
      <c r="CB36">
        <f ca="1"/>
      </c>
      <c r="CC36">
        <f ca="1"/>
      </c>
      <c r="CD36">
        <f ca="1"/>
      </c>
      <c r="CE36">
        <f ca="1"/>
      </c>
      <c r="CF36">
        <f ca="1"/>
      </c>
      <c r="CG36">
        <f ca="1"/>
      </c>
      <c r="CH36">
        <f ca="1"/>
      </c>
      <c r="CI36">
        <f ca="1"/>
      </c>
      <c r="CJ36">
        <f ca="1"/>
      </c>
      <c r="CK36">
        <f ca="1"/>
      </c>
      <c r="CL36">
        <f ca="1"/>
      </c>
      <c r="CM36">
        <f ca="1"/>
      </c>
      <c r="CN36">
        <f ca="1"/>
      </c>
      <c r="CO36">
        <f ca="1"/>
      </c>
      <c r="CP36">
        <f ca="1"/>
      </c>
      <c r="CQ36">
        <f ca="1"/>
      </c>
      <c r="CR36">
        <f ca="1"/>
      </c>
      <c r="CS36">
        <f ca="1"/>
      </c>
      <c r="CT36">
        <f ca="1"/>
      </c>
      <c r="CU36">
        <f ca="1"/>
      </c>
      <c r="CV36">
        <f ca="1"/>
      </c>
      <c r="CW36">
        <f ca="1"/>
      </c>
      <c r="CX36">
        <f ca="1"/>
      </c>
      <c r="CY36">
        <f ca="1"/>
      </c>
      <c r="CZ36">
        <f ca="1"/>
      </c>
      <c r="DA36">
        <f ca="1"/>
      </c>
      <c r="DB36">
        <f ca="1"/>
      </c>
      <c r="DC36">
        <f ca="1"/>
      </c>
      <c r="DD36">
        <f ca="1"/>
      </c>
      <c r="DE36">
        <f ca="1"/>
      </c>
      <c r="DG36">
        <f ca="1"/>
      </c>
      <c r="DH36">
        <f ca="1"/>
      </c>
      <c r="DI36">
        <f ca="1"/>
      </c>
      <c r="DJ36">
        <f ca="1"/>
      </c>
      <c r="DK36">
        <f ca="1"/>
      </c>
      <c r="DL36">
        <f ca="1"/>
      </c>
      <c r="DM36">
        <f ca="1"/>
      </c>
      <c r="DN36">
        <f ca="1"/>
      </c>
      <c r="DO36">
        <f ca="1"/>
      </c>
      <c r="DP36">
        <f ca="1"/>
      </c>
      <c r="DQ36">
        <f ca="1"/>
      </c>
      <c r="DR36">
        <f ca="1"/>
      </c>
      <c r="DS36">
        <f ca="1"/>
      </c>
      <c r="DT36">
        <f ca="1"/>
      </c>
      <c r="DU36">
        <f ca="1"/>
      </c>
      <c r="DV36">
        <f ca="1"/>
      </c>
      <c r="DW36">
        <f ca="1"/>
      </c>
      <c r="DX36">
        <f ca="1"/>
      </c>
      <c r="DY36">
        <f ca="1"/>
      </c>
      <c r="DZ36">
        <f ca="1"/>
      </c>
      <c r="EA36">
        <f ca="1"/>
      </c>
      <c r="EB36">
        <f ca="1"/>
      </c>
      <c r="EC36">
        <f ca="1"/>
      </c>
      <c r="ED36">
        <f ca="1"/>
      </c>
      <c r="EE36">
        <f ca="1"/>
      </c>
      <c r="EF36">
        <f ca="1"/>
      </c>
      <c r="EG36">
        <f ca="1"/>
      </c>
      <c r="EH36">
        <f ca="1"/>
      </c>
      <c r="EI36">
        <f ca="1"/>
      </c>
      <c r="EJ36">
        <f ca="1"/>
      </c>
      <c r="EK36">
        <f ca="1"/>
      </c>
      <c r="EL36">
        <f ca="1"/>
      </c>
      <c r="EM36">
        <f ca="1"/>
      </c>
      <c r="EN36">
        <f ca="1"/>
      </c>
      <c r="EO36">
        <f ca="1"/>
      </c>
      <c r="EP36">
        <f ca="1"/>
      </c>
      <c r="EQ36">
        <f ca="1"/>
      </c>
      <c r="ER36">
        <f ca="1"/>
      </c>
      <c r="ES36">
        <f ca="1"/>
      </c>
      <c r="ET36">
        <f ca="1"/>
      </c>
      <c r="EU36">
        <f ca="1"/>
      </c>
      <c r="EV36">
        <f ca="1"/>
      </c>
      <c r="EW36">
        <f ca="1"/>
      </c>
      <c r="EX36">
        <f ca="1"/>
      </c>
      <c r="EY36">
        <f ca="1"/>
      </c>
      <c r="EZ36">
        <f ca="1"/>
      </c>
      <c r="FA36">
        <f ca="1"/>
      </c>
      <c r="FC36">
        <f ca="1"/>
      </c>
      <c r="FD36">
        <f ca="1"/>
      </c>
      <c r="FE36">
        <f ca="1"/>
      </c>
      <c r="FF36">
        <f ca="1"/>
      </c>
      <c r="FG36">
        <f ca="1"/>
      </c>
      <c r="FH36">
        <f ca="1"/>
      </c>
      <c r="FI36">
        <f ca="1"/>
      </c>
      <c r="FJ36">
        <f ca="1"/>
      </c>
      <c r="FK36">
        <f ca="1"/>
      </c>
      <c r="FL36">
        <f ca="1"/>
      </c>
      <c r="FM36">
        <f ca="1"/>
      </c>
      <c r="FN36">
        <f ca="1"/>
      </c>
      <c r="FO36">
        <f ca="1"/>
      </c>
      <c r="FP36">
        <f ca="1"/>
      </c>
      <c r="FQ36">
        <f ca="1"/>
      </c>
      <c r="FR36">
        <f ca="1"/>
      </c>
      <c r="FS36">
        <f ca="1"/>
      </c>
      <c r="FT36">
        <f ca="1"/>
      </c>
      <c r="FU36">
        <f ca="1"/>
      </c>
      <c r="FV36">
        <f ca="1"/>
      </c>
      <c r="FW36">
        <f ca="1"/>
      </c>
      <c r="FX36">
        <f ca="1"/>
      </c>
      <c r="FY36">
        <f ca="1"/>
      </c>
      <c r="FZ36">
        <f ca="1"/>
      </c>
      <c r="GA36">
        <f ca="1"/>
      </c>
      <c r="GB36">
        <f ca="1"/>
      </c>
      <c r="GC36">
        <f ca="1"/>
      </c>
      <c r="GD36">
        <f ca="1"/>
      </c>
      <c r="GE36">
        <f ca="1"/>
      </c>
      <c r="GF36">
        <f ca="1"/>
      </c>
      <c r="GG36">
        <f ca="1"/>
      </c>
      <c r="GH36">
        <f ca="1"/>
      </c>
      <c r="GI36">
        <f ca="1"/>
      </c>
      <c r="GJ36">
        <f ca="1"/>
      </c>
      <c r="GK36">
        <f ca="1"/>
      </c>
      <c r="GL36">
        <f ca="1"/>
      </c>
      <c r="GM36">
        <f ca="1"/>
      </c>
      <c r="GN36">
        <f ca="1"/>
      </c>
      <c r="GO36">
        <f ca="1"/>
      </c>
      <c r="GP36">
        <f ca="1"/>
      </c>
      <c r="GQ36">
        <f ca="1"/>
      </c>
      <c r="GR36">
        <f ca="1"/>
      </c>
      <c r="GS36">
        <f ca="1"/>
      </c>
      <c r="GT36">
        <f ca="1"/>
      </c>
      <c r="GU36">
        <f ca="1"/>
      </c>
      <c r="GV36">
        <f ca="1"/>
      </c>
      <c r="GW36">
        <f ca="1"/>
      </c>
      <c r="HI36" s="7">
        <f ca="1"/>
      </c>
      <c r="HJ36">
        <f ca="1"/>
      </c>
      <c r="HK36">
        <f ca="1"/>
      </c>
      <c r="HL36">
        <f ca="1"/>
      </c>
      <c r="HM36">
        <f ca="1"/>
      </c>
    </row>
    <row r="37" spans="1:221" x14ac:dyDescent="0.55000000000000004">
      <c r="A37" s="4" t="s">
        <v>301</v>
      </c>
      <c r="AW37">
        <f ca="1"/>
      </c>
      <c r="AX37">
        <f ca="1"/>
      </c>
      <c r="AY37">
        <f ca="1"/>
      </c>
      <c r="AZ37">
        <f ca="1"/>
      </c>
      <c r="BB37">
        <f ca="1"/>
      </c>
      <c r="BC37">
        <f ca="1"/>
      </c>
      <c r="BD37">
        <f ca="1"/>
      </c>
      <c r="BE37">
        <f ca="1"/>
      </c>
      <c r="BF37">
        <f ca="1"/>
      </c>
      <c r="BH37" t="s">
        <v>32</v>
      </c>
      <c r="BI37">
        <v>1</v>
      </c>
      <c r="BK37">
        <f ca="1"/>
      </c>
      <c r="BL37">
        <f ca="1"/>
      </c>
      <c r="BM37">
        <f ca="1"/>
      </c>
      <c r="BN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  <c r="BV37">
        <f ca="1"/>
      </c>
      <c r="BW37">
        <f ca="1"/>
      </c>
      <c r="BX37">
        <f ca="1"/>
      </c>
      <c r="BY37">
        <f ca="1"/>
      </c>
      <c r="BZ37">
        <f ca="1"/>
      </c>
      <c r="CA37">
        <f ca="1"/>
      </c>
      <c r="CB37">
        <f ca="1"/>
      </c>
      <c r="CC37">
        <f ca="1"/>
      </c>
      <c r="CD37">
        <f ca="1"/>
      </c>
      <c r="CE37">
        <f ca="1"/>
      </c>
      <c r="CF37">
        <f ca="1"/>
      </c>
      <c r="CG37">
        <f ca="1"/>
      </c>
      <c r="CH37">
        <f ca="1"/>
      </c>
      <c r="CI37">
        <f ca="1"/>
      </c>
      <c r="CJ37">
        <f ca="1"/>
      </c>
      <c r="CK37">
        <f ca="1"/>
      </c>
      <c r="CL37">
        <f ca="1"/>
      </c>
      <c r="CM37">
        <f ca="1"/>
      </c>
      <c r="CN37">
        <f ca="1"/>
      </c>
      <c r="CO37">
        <f ca="1"/>
      </c>
      <c r="CP37">
        <f ca="1"/>
      </c>
      <c r="CQ37">
        <f ca="1"/>
      </c>
      <c r="CR37">
        <f ca="1"/>
      </c>
      <c r="CS37">
        <f ca="1"/>
      </c>
      <c r="CT37">
        <f ca="1"/>
      </c>
      <c r="CU37">
        <f ca="1"/>
      </c>
      <c r="CV37">
        <f ca="1"/>
      </c>
      <c r="CW37">
        <f ca="1"/>
      </c>
      <c r="CX37">
        <f ca="1"/>
      </c>
      <c r="CY37">
        <f ca="1"/>
      </c>
      <c r="CZ37">
        <f ca="1"/>
      </c>
      <c r="DA37">
        <f ca="1"/>
      </c>
      <c r="DB37">
        <f ca="1"/>
      </c>
      <c r="DC37">
        <f ca="1"/>
      </c>
      <c r="DD37">
        <f ca="1"/>
      </c>
      <c r="DE37">
        <f ca="1"/>
      </c>
      <c r="DG37">
        <f ca="1"/>
      </c>
      <c r="DH37">
        <f ca="1"/>
      </c>
      <c r="DI37">
        <f ca="1"/>
      </c>
      <c r="DJ37">
        <f ca="1"/>
      </c>
      <c r="DK37">
        <f ca="1"/>
      </c>
      <c r="DL37">
        <f ca="1"/>
      </c>
      <c r="DM37">
        <f ca="1"/>
      </c>
      <c r="DN37">
        <f ca="1"/>
      </c>
      <c r="DO37">
        <f ca="1"/>
      </c>
      <c r="DP37">
        <f ca="1"/>
      </c>
      <c r="DQ37">
        <f ca="1"/>
      </c>
      <c r="DR37">
        <f ca="1"/>
      </c>
      <c r="DS37">
        <f ca="1"/>
      </c>
      <c r="DT37">
        <f ca="1"/>
      </c>
      <c r="DU37">
        <f ca="1"/>
      </c>
      <c r="DV37">
        <f ca="1"/>
      </c>
      <c r="DW37">
        <f ca="1"/>
      </c>
      <c r="DX37">
        <f ca="1"/>
      </c>
      <c r="DY37">
        <f ca="1"/>
      </c>
      <c r="DZ37">
        <f ca="1"/>
      </c>
      <c r="EA37">
        <f ca="1"/>
      </c>
      <c r="EB37">
        <f ca="1"/>
      </c>
      <c r="EC37">
        <f ca="1"/>
      </c>
      <c r="ED37">
        <f ca="1"/>
      </c>
      <c r="EE37">
        <f ca="1"/>
      </c>
      <c r="EF37">
        <f ca="1"/>
      </c>
      <c r="EG37">
        <f ca="1"/>
      </c>
      <c r="EH37">
        <f ca="1"/>
      </c>
      <c r="EI37">
        <f ca="1"/>
      </c>
      <c r="EJ37">
        <f ca="1"/>
      </c>
      <c r="EK37">
        <f ca="1"/>
      </c>
      <c r="EL37">
        <f ca="1"/>
      </c>
      <c r="EM37">
        <f ca="1"/>
      </c>
      <c r="EN37">
        <f ca="1"/>
      </c>
      <c r="EO37">
        <f ca="1"/>
      </c>
      <c r="EP37">
        <f ca="1"/>
      </c>
      <c r="EQ37">
        <f ca="1"/>
      </c>
      <c r="ER37">
        <f ca="1"/>
      </c>
      <c r="ES37">
        <f ca="1"/>
      </c>
      <c r="ET37">
        <f ca="1"/>
      </c>
      <c r="EU37">
        <f ca="1"/>
      </c>
      <c r="EV37">
        <f ca="1"/>
      </c>
      <c r="EW37">
        <f ca="1"/>
      </c>
      <c r="EX37">
        <f ca="1"/>
      </c>
      <c r="EY37">
        <f ca="1"/>
      </c>
      <c r="EZ37">
        <f ca="1"/>
      </c>
      <c r="FA37">
        <f ca="1"/>
      </c>
      <c r="FC37">
        <f ca="1"/>
      </c>
      <c r="FD37">
        <f ca="1"/>
      </c>
      <c r="FE37">
        <f ca="1"/>
      </c>
      <c r="FF37">
        <f ca="1"/>
      </c>
      <c r="FG37">
        <f ca="1"/>
      </c>
      <c r="FH37">
        <f ca="1"/>
      </c>
      <c r="FI37">
        <f ca="1"/>
      </c>
      <c r="FJ37">
        <f ca="1"/>
      </c>
      <c r="FK37">
        <f ca="1"/>
      </c>
      <c r="FL37">
        <f ca="1"/>
      </c>
      <c r="FM37">
        <f ca="1"/>
      </c>
      <c r="FN37">
        <f ca="1"/>
      </c>
      <c r="FO37">
        <f ca="1"/>
      </c>
      <c r="FP37">
        <f ca="1"/>
      </c>
      <c r="FQ37">
        <f ca="1"/>
      </c>
      <c r="FR37">
        <f ca="1"/>
      </c>
      <c r="FS37">
        <f ca="1"/>
      </c>
      <c r="FT37">
        <f ca="1"/>
      </c>
      <c r="FU37">
        <f ca="1"/>
      </c>
      <c r="FV37">
        <f ca="1"/>
      </c>
      <c r="FW37">
        <f ca="1"/>
      </c>
      <c r="FX37">
        <f ca="1"/>
      </c>
      <c r="FY37">
        <f ca="1"/>
      </c>
      <c r="FZ37">
        <f ca="1"/>
      </c>
      <c r="GA37">
        <f ca="1"/>
      </c>
      <c r="GB37">
        <f ca="1"/>
      </c>
      <c r="GC37">
        <f ca="1"/>
      </c>
      <c r="GD37">
        <f ca="1"/>
      </c>
      <c r="GE37">
        <f ca="1"/>
      </c>
      <c r="GF37">
        <f ca="1"/>
      </c>
      <c r="GG37">
        <f ca="1"/>
      </c>
      <c r="GH37">
        <f ca="1"/>
      </c>
      <c r="GI37">
        <f ca="1"/>
      </c>
      <c r="GJ37">
        <f ca="1"/>
      </c>
      <c r="GK37">
        <f ca="1"/>
      </c>
      <c r="GL37">
        <f ca="1"/>
      </c>
      <c r="GM37">
        <f ca="1"/>
      </c>
      <c r="GN37">
        <f ca="1"/>
      </c>
      <c r="GO37">
        <f ca="1"/>
      </c>
      <c r="GP37">
        <f ca="1"/>
      </c>
      <c r="GQ37">
        <f ca="1"/>
      </c>
      <c r="GR37">
        <f ca="1"/>
      </c>
      <c r="GS37">
        <f ca="1"/>
      </c>
      <c r="GT37">
        <f ca="1"/>
      </c>
      <c r="GU37">
        <f ca="1"/>
      </c>
      <c r="GV37">
        <f ca="1"/>
      </c>
      <c r="GW37">
        <f ca="1"/>
      </c>
      <c r="HI37" s="7">
        <f ca="1"/>
      </c>
      <c r="HJ37">
        <f ca="1"/>
      </c>
      <c r="HK37">
        <f ca="1"/>
      </c>
      <c r="HL37">
        <f ca="1"/>
      </c>
      <c r="HM37">
        <f ca="1"/>
      </c>
    </row>
    <row r="38" spans="1:221" x14ac:dyDescent="0.55000000000000004">
      <c r="A38" s="4" t="s">
        <v>302</v>
      </c>
      <c r="B38" s="4" t="s">
        <v>303</v>
      </c>
      <c r="C38" s="4" t="s">
        <v>146</v>
      </c>
      <c r="D38" s="4" t="s">
        <v>304</v>
      </c>
      <c r="E38" s="4" t="s">
        <v>305</v>
      </c>
      <c r="F38" s="4" t="s">
        <v>306</v>
      </c>
      <c r="G38" s="4" t="s">
        <v>307</v>
      </c>
      <c r="H38" s="4" t="s">
        <v>308</v>
      </c>
      <c r="I38" s="4" t="s">
        <v>309</v>
      </c>
      <c r="J38" s="4" t="s">
        <v>310</v>
      </c>
      <c r="K38" s="4" t="s">
        <v>273</v>
      </c>
      <c r="L38" s="4" t="s">
        <v>274</v>
      </c>
      <c r="M38" s="4" t="s">
        <v>275</v>
      </c>
      <c r="N38" s="4" t="s">
        <v>276</v>
      </c>
      <c r="O38" s="4" t="s">
        <v>277</v>
      </c>
      <c r="AW38">
        <f ca="1"/>
      </c>
      <c r="AX38">
        <f ca="1"/>
      </c>
      <c r="AY38">
        <f ca="1"/>
      </c>
      <c r="AZ38">
        <f ca="1"/>
      </c>
      <c r="BB38">
        <f ca="1"/>
      </c>
      <c r="BC38">
        <f ca="1"/>
      </c>
      <c r="BD38">
        <f ca="1"/>
      </c>
      <c r="BE38">
        <f ca="1"/>
      </c>
      <c r="BF38">
        <f ca="1"/>
      </c>
      <c r="BH38" t="s">
        <v>109</v>
      </c>
      <c r="BI38">
        <v>0</v>
      </c>
      <c r="BK38">
        <f ca="1"/>
      </c>
      <c r="BL38">
        <f ca="1"/>
      </c>
      <c r="BM38">
        <f ca="1"/>
      </c>
      <c r="BN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  <c r="BV38">
        <f ca="1"/>
      </c>
      <c r="BW38">
        <f ca="1"/>
      </c>
      <c r="BX38">
        <f ca="1"/>
      </c>
      <c r="BY38">
        <f ca="1"/>
      </c>
      <c r="BZ38">
        <f ca="1"/>
      </c>
      <c r="CA38">
        <f ca="1"/>
      </c>
      <c r="CB38">
        <f ca="1"/>
      </c>
      <c r="CC38">
        <f ca="1"/>
      </c>
      <c r="CD38">
        <f ca="1"/>
      </c>
      <c r="CE38">
        <f ca="1"/>
      </c>
      <c r="CF38">
        <f ca="1"/>
      </c>
      <c r="CG38">
        <f ca="1"/>
      </c>
      <c r="CH38">
        <f ca="1"/>
      </c>
      <c r="CI38">
        <f ca="1"/>
      </c>
      <c r="CJ38">
        <f ca="1"/>
      </c>
      <c r="CK38">
        <f ca="1"/>
      </c>
      <c r="CL38">
        <f ca="1"/>
      </c>
      <c r="CM38">
        <f ca="1"/>
      </c>
      <c r="CN38">
        <f ca="1"/>
      </c>
      <c r="CO38">
        <f ca="1"/>
      </c>
      <c r="CP38">
        <f ca="1"/>
      </c>
      <c r="CQ38">
        <f ca="1"/>
      </c>
      <c r="CR38">
        <f ca="1"/>
      </c>
      <c r="CS38">
        <f ca="1"/>
      </c>
      <c r="CT38">
        <f ca="1"/>
      </c>
      <c r="CU38">
        <f ca="1"/>
      </c>
      <c r="CV38">
        <f ca="1"/>
      </c>
      <c r="CW38">
        <f ca="1"/>
      </c>
      <c r="CX38">
        <f ca="1"/>
      </c>
      <c r="CY38">
        <f ca="1"/>
      </c>
      <c r="CZ38">
        <f ca="1"/>
      </c>
      <c r="DA38">
        <f ca="1"/>
      </c>
      <c r="DB38">
        <f ca="1"/>
      </c>
      <c r="DC38">
        <f ca="1"/>
      </c>
      <c r="DD38">
        <f ca="1"/>
      </c>
      <c r="DE38">
        <f ca="1"/>
      </c>
      <c r="DG38">
        <f ca="1"/>
      </c>
      <c r="DH38">
        <f ca="1"/>
      </c>
      <c r="DI38">
        <f ca="1"/>
      </c>
      <c r="DJ38">
        <f ca="1"/>
      </c>
      <c r="DK38">
        <f ca="1"/>
      </c>
      <c r="DL38">
        <f ca="1"/>
      </c>
      <c r="DM38">
        <f ca="1"/>
      </c>
      <c r="DN38">
        <f ca="1"/>
      </c>
      <c r="DO38">
        <f ca="1"/>
      </c>
      <c r="DP38">
        <f ca="1"/>
      </c>
      <c r="DQ38">
        <f ca="1"/>
      </c>
      <c r="DR38">
        <f ca="1"/>
      </c>
      <c r="DS38">
        <f ca="1"/>
      </c>
      <c r="DT38">
        <f ca="1"/>
      </c>
      <c r="DU38">
        <f ca="1"/>
      </c>
      <c r="DV38">
        <f ca="1"/>
      </c>
      <c r="DW38">
        <f ca="1"/>
      </c>
      <c r="DX38">
        <f ca="1"/>
      </c>
      <c r="DY38">
        <f ca="1"/>
      </c>
      <c r="DZ38">
        <f ca="1"/>
      </c>
      <c r="EA38">
        <f ca="1"/>
      </c>
      <c r="EB38">
        <f ca="1"/>
      </c>
      <c r="EC38">
        <f ca="1"/>
      </c>
      <c r="ED38">
        <f ca="1"/>
      </c>
      <c r="EE38">
        <f ca="1"/>
      </c>
      <c r="EF38">
        <f ca="1"/>
      </c>
      <c r="EG38">
        <f ca="1"/>
      </c>
      <c r="EH38">
        <f ca="1"/>
      </c>
      <c r="EI38">
        <f ca="1"/>
      </c>
      <c r="EJ38">
        <f ca="1"/>
      </c>
      <c r="EK38">
        <f ca="1"/>
      </c>
      <c r="EL38">
        <f ca="1"/>
      </c>
      <c r="EM38">
        <f ca="1"/>
      </c>
      <c r="EN38">
        <f ca="1"/>
      </c>
      <c r="EO38">
        <f ca="1"/>
      </c>
      <c r="EP38">
        <f ca="1"/>
      </c>
      <c r="EQ38">
        <f ca="1"/>
      </c>
      <c r="ER38">
        <f ca="1"/>
      </c>
      <c r="ES38">
        <f ca="1"/>
      </c>
      <c r="ET38">
        <f ca="1"/>
      </c>
      <c r="EU38">
        <f ca="1"/>
      </c>
      <c r="EV38">
        <f ca="1"/>
      </c>
      <c r="EW38">
        <f ca="1"/>
      </c>
      <c r="EX38">
        <f ca="1"/>
      </c>
      <c r="EY38">
        <f ca="1"/>
      </c>
      <c r="EZ38">
        <f ca="1"/>
      </c>
      <c r="FA38">
        <f ca="1"/>
      </c>
      <c r="FC38">
        <f ca="1"/>
      </c>
      <c r="FD38">
        <f ca="1"/>
      </c>
      <c r="FE38">
        <f ca="1"/>
      </c>
      <c r="FF38">
        <f ca="1"/>
      </c>
      <c r="FG38">
        <f ca="1"/>
      </c>
      <c r="FH38">
        <f ca="1"/>
      </c>
      <c r="FI38">
        <f ca="1"/>
      </c>
      <c r="FJ38">
        <f ca="1"/>
      </c>
      <c r="FK38">
        <f ca="1"/>
      </c>
      <c r="FL38">
        <f ca="1"/>
      </c>
      <c r="FM38">
        <f ca="1"/>
      </c>
      <c r="FN38">
        <f ca="1"/>
      </c>
      <c r="FO38">
        <f ca="1"/>
      </c>
      <c r="FP38">
        <f ca="1"/>
      </c>
      <c r="FQ38">
        <f ca="1"/>
      </c>
      <c r="FR38">
        <f ca="1"/>
      </c>
      <c r="FS38">
        <f ca="1"/>
      </c>
      <c r="FT38">
        <f ca="1"/>
      </c>
      <c r="FU38">
        <f ca="1"/>
      </c>
      <c r="FV38">
        <f ca="1"/>
      </c>
      <c r="FW38">
        <f ca="1"/>
      </c>
      <c r="FX38">
        <f ca="1"/>
      </c>
      <c r="FY38">
        <f ca="1"/>
      </c>
      <c r="FZ38">
        <f ca="1"/>
      </c>
      <c r="GA38">
        <f ca="1"/>
      </c>
      <c r="GB38">
        <f ca="1"/>
      </c>
      <c r="GC38">
        <f ca="1"/>
      </c>
      <c r="GD38">
        <f ca="1"/>
      </c>
      <c r="GE38">
        <f ca="1"/>
      </c>
      <c r="GF38">
        <f ca="1"/>
      </c>
      <c r="GG38">
        <f ca="1"/>
      </c>
      <c r="GH38">
        <f ca="1"/>
      </c>
      <c r="GI38">
        <f ca="1"/>
      </c>
      <c r="GJ38">
        <f ca="1"/>
      </c>
      <c r="GK38">
        <f ca="1"/>
      </c>
      <c r="GL38">
        <f ca="1"/>
      </c>
      <c r="GM38">
        <f ca="1"/>
      </c>
      <c r="GN38">
        <f ca="1"/>
      </c>
      <c r="GO38">
        <f ca="1"/>
      </c>
      <c r="GP38">
        <f ca="1"/>
      </c>
      <c r="GQ38">
        <f ca="1"/>
      </c>
      <c r="GR38">
        <f ca="1"/>
      </c>
      <c r="GS38">
        <f ca="1"/>
      </c>
      <c r="GT38">
        <f ca="1"/>
      </c>
      <c r="GU38">
        <f ca="1"/>
      </c>
      <c r="GV38">
        <f ca="1"/>
      </c>
      <c r="GW38">
        <f ca="1"/>
      </c>
      <c r="HI38" s="7">
        <f ca="1"/>
      </c>
      <c r="HJ38">
        <f ca="1"/>
      </c>
      <c r="HK38">
        <f ca="1"/>
      </c>
      <c r="HL38">
        <f ca="1"/>
      </c>
      <c r="HM38">
        <f ca="1"/>
      </c>
    </row>
    <row r="39" spans="1:221" x14ac:dyDescent="0.55000000000000004">
      <c r="A39" s="2" t="s">
        <v>143</v>
      </c>
      <c r="B39">
        <f t="shared" ref="B39:B48" si="0">IF(D39="","",D39&amp;IF(F39="","","/"&amp;F39)&amp;IF(H39="","","/"&amp;H39))</f>
      </c>
      <c r="C39" s="2" t="s">
        <v>311</v>
      </c>
      <c r="D39" s="2" t="s">
        <v>294</v>
      </c>
      <c r="E39" s="2">
        <v>1</v>
      </c>
      <c r="F39" s="2"/>
      <c r="G39" s="2"/>
      <c r="H39" s="2"/>
      <c r="I39" s="2"/>
      <c r="J39" s="14" cm="1">
        <f t="array" aca="1" ref="J39" ca="1">IF(D39="","",100*(N(E39)*FWM_LiveOf(D39)+N(G39)*FWM_LiveOf(F39)+N(I39)*FWM_LiveOf(H39)))</f>
      </c>
      <c r="K39" s="44" cm="1">
        <f t="array" aca="1" ref="K39" ca="1">IF(D39="","",_xlfn.LET(_xlpm.x,FWM_Row(1,""),J39-INDEX(_xlpm.x,ROWS(_xlpm.x))))</f>
      </c>
      <c r="L39" s="44" cm="1">
        <f t="array" aca="1" ref="L39" ca="1">IF(D39="","",_xlfn.LET(_xlpm.x,FWM_Row(1,""),J39-INDEX(_xlpm.x,ROWS(_xlpm.x)-20)))</f>
      </c>
      <c r="M39" s="11" cm="1">
        <f t="array" aca="1" ref="M39" ca="1">IF(D39="","",FWM_Sigma(FWM_Row(1," dF")))</f>
      </c>
      <c r="N39" s="45">
        <f t="shared" ref="N39:N48" ca="1" si="1">IF(D39="","",K39/M39)</f>
      </c>
      <c r="O39" s="45" cm="1">
        <f t="array" aca="1" ref="O39" ca="1">IF(D39="","",_xlfn.LET(_xlpm.x,FWM_Row(1,""),(J39-INDEX(_xlpm.x,ROWS(_xlpm.x)-4))/(M39*SQRT(5))))</f>
      </c>
      <c r="AW39">
        <f ca="1"/>
      </c>
      <c r="AX39">
        <f ca="1"/>
      </c>
      <c r="AY39">
        <f ca="1"/>
      </c>
      <c r="AZ39">
        <f ca="1"/>
      </c>
      <c r="BB39">
        <f ca="1"/>
      </c>
      <c r="BC39">
        <f ca="1"/>
      </c>
      <c r="BD39">
        <f ca="1"/>
      </c>
      <c r="BE39">
        <f ca="1"/>
      </c>
      <c r="BF39">
        <f ca="1"/>
      </c>
      <c r="BH39" t="s">
        <v>33</v>
      </c>
      <c r="BI39">
        <v>0</v>
      </c>
      <c r="BK39">
        <f ca="1"/>
      </c>
      <c r="BL39">
        <f ca="1"/>
      </c>
      <c r="BM39">
        <f ca="1"/>
      </c>
      <c r="BN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  <c r="BV39">
        <f ca="1"/>
      </c>
      <c r="BW39">
        <f ca="1"/>
      </c>
      <c r="BX39">
        <f ca="1"/>
      </c>
      <c r="BY39">
        <f ca="1"/>
      </c>
      <c r="BZ39">
        <f ca="1"/>
      </c>
      <c r="CA39">
        <f ca="1"/>
      </c>
      <c r="CB39">
        <f ca="1"/>
      </c>
      <c r="CC39">
        <f ca="1"/>
      </c>
      <c r="CD39">
        <f ca="1"/>
      </c>
      <c r="CE39">
        <f ca="1"/>
      </c>
      <c r="CF39">
        <f ca="1"/>
      </c>
      <c r="CG39">
        <f ca="1"/>
      </c>
      <c r="CH39">
        <f ca="1"/>
      </c>
      <c r="CI39">
        <f ca="1"/>
      </c>
      <c r="CJ39">
        <f ca="1"/>
      </c>
      <c r="CK39">
        <f ca="1"/>
      </c>
      <c r="CL39">
        <f ca="1"/>
      </c>
      <c r="CM39">
        <f ca="1"/>
      </c>
      <c r="CN39">
        <f ca="1"/>
      </c>
      <c r="CO39">
        <f ca="1"/>
      </c>
      <c r="CP39">
        <f ca="1"/>
      </c>
      <c r="CQ39">
        <f ca="1"/>
      </c>
      <c r="CR39">
        <f ca="1"/>
      </c>
      <c r="CS39">
        <f ca="1"/>
      </c>
      <c r="CT39">
        <f ca="1"/>
      </c>
      <c r="CU39">
        <f ca="1"/>
      </c>
      <c r="CV39">
        <f ca="1"/>
      </c>
      <c r="CW39">
        <f ca="1"/>
      </c>
      <c r="CX39">
        <f ca="1"/>
      </c>
      <c r="CY39">
        <f ca="1"/>
      </c>
      <c r="CZ39">
        <f ca="1"/>
      </c>
      <c r="DA39">
        <f ca="1"/>
      </c>
      <c r="DB39">
        <f ca="1"/>
      </c>
      <c r="DC39">
        <f ca="1"/>
      </c>
      <c r="DD39">
        <f ca="1"/>
      </c>
      <c r="DE39">
        <f ca="1"/>
      </c>
      <c r="DG39">
        <f ca="1"/>
      </c>
      <c r="DH39">
        <f ca="1"/>
      </c>
      <c r="DI39">
        <f ca="1"/>
      </c>
      <c r="DJ39">
        <f ca="1"/>
      </c>
      <c r="DK39">
        <f ca="1"/>
      </c>
      <c r="DL39">
        <f ca="1"/>
      </c>
      <c r="DM39">
        <f ca="1"/>
      </c>
      <c r="DN39">
        <f ca="1"/>
      </c>
      <c r="DO39">
        <f ca="1"/>
      </c>
      <c r="DP39">
        <f ca="1"/>
      </c>
      <c r="DQ39">
        <f ca="1"/>
      </c>
      <c r="DR39">
        <f ca="1"/>
      </c>
      <c r="DS39">
        <f ca="1"/>
      </c>
      <c r="DT39">
        <f ca="1"/>
      </c>
      <c r="DU39">
        <f ca="1"/>
      </c>
      <c r="DV39">
        <f ca="1"/>
      </c>
      <c r="DW39">
        <f ca="1"/>
      </c>
      <c r="DX39">
        <f ca="1"/>
      </c>
      <c r="DY39">
        <f ca="1"/>
      </c>
      <c r="DZ39">
        <f ca="1"/>
      </c>
      <c r="EA39">
        <f ca="1"/>
      </c>
      <c r="EB39">
        <f ca="1"/>
      </c>
      <c r="EC39">
        <f ca="1"/>
      </c>
      <c r="ED39">
        <f ca="1"/>
      </c>
      <c r="EE39">
        <f ca="1"/>
      </c>
      <c r="EF39">
        <f ca="1"/>
      </c>
      <c r="EG39">
        <f ca="1"/>
      </c>
      <c r="EH39">
        <f ca="1"/>
      </c>
      <c r="EI39">
        <f ca="1"/>
      </c>
      <c r="EJ39">
        <f ca="1"/>
      </c>
      <c r="EK39">
        <f ca="1"/>
      </c>
      <c r="EL39">
        <f ca="1"/>
      </c>
      <c r="EM39">
        <f ca="1"/>
      </c>
      <c r="EN39">
        <f ca="1"/>
      </c>
      <c r="EO39">
        <f ca="1"/>
      </c>
      <c r="EP39">
        <f ca="1"/>
      </c>
      <c r="EQ39">
        <f ca="1"/>
      </c>
      <c r="ER39">
        <f ca="1"/>
      </c>
      <c r="ES39">
        <f ca="1"/>
      </c>
      <c r="ET39">
        <f ca="1"/>
      </c>
      <c r="EU39">
        <f ca="1"/>
      </c>
      <c r="EV39">
        <f ca="1"/>
      </c>
      <c r="EW39">
        <f ca="1"/>
      </c>
      <c r="EX39">
        <f ca="1"/>
      </c>
      <c r="EY39">
        <f ca="1"/>
      </c>
      <c r="EZ39">
        <f ca="1"/>
      </c>
      <c r="FA39">
        <f ca="1"/>
      </c>
      <c r="FC39">
        <f ca="1"/>
      </c>
      <c r="FD39">
        <f ca="1"/>
      </c>
      <c r="FE39">
        <f ca="1"/>
      </c>
      <c r="FF39">
        <f ca="1"/>
      </c>
      <c r="FG39">
        <f ca="1"/>
      </c>
      <c r="FH39">
        <f ca="1"/>
      </c>
      <c r="FI39">
        <f ca="1"/>
      </c>
      <c r="FJ39">
        <f ca="1"/>
      </c>
      <c r="FK39">
        <f ca="1"/>
      </c>
      <c r="FL39">
        <f ca="1"/>
      </c>
      <c r="FM39">
        <f ca="1"/>
      </c>
      <c r="FN39">
        <f ca="1"/>
      </c>
      <c r="FO39">
        <f ca="1"/>
      </c>
      <c r="FP39">
        <f ca="1"/>
      </c>
      <c r="FQ39">
        <f ca="1"/>
      </c>
      <c r="FR39">
        <f ca="1"/>
      </c>
      <c r="FS39">
        <f ca="1"/>
      </c>
      <c r="FT39">
        <f ca="1"/>
      </c>
      <c r="FU39">
        <f ca="1"/>
      </c>
      <c r="FV39">
        <f ca="1"/>
      </c>
      <c r="FW39">
        <f ca="1"/>
      </c>
      <c r="FX39">
        <f ca="1"/>
      </c>
      <c r="FY39">
        <f ca="1"/>
      </c>
      <c r="FZ39">
        <f ca="1"/>
      </c>
      <c r="GA39">
        <f ca="1"/>
      </c>
      <c r="GB39">
        <f ca="1"/>
      </c>
      <c r="GC39">
        <f ca="1"/>
      </c>
      <c r="GD39">
        <f ca="1"/>
      </c>
      <c r="GE39">
        <f ca="1"/>
      </c>
      <c r="GF39">
        <f ca="1"/>
      </c>
      <c r="GG39">
        <f ca="1"/>
      </c>
      <c r="GH39">
        <f ca="1"/>
      </c>
      <c r="GI39">
        <f ca="1"/>
      </c>
      <c r="GJ39">
        <f ca="1"/>
      </c>
      <c r="GK39">
        <f ca="1"/>
      </c>
      <c r="GL39">
        <f ca="1"/>
      </c>
      <c r="GM39">
        <f ca="1"/>
      </c>
      <c r="GN39">
        <f ca="1"/>
      </c>
      <c r="GO39">
        <f ca="1"/>
      </c>
      <c r="GP39">
        <f ca="1"/>
      </c>
      <c r="GQ39">
        <f ca="1"/>
      </c>
      <c r="GR39">
        <f ca="1"/>
      </c>
      <c r="GS39">
        <f ca="1"/>
      </c>
      <c r="GT39">
        <f ca="1"/>
      </c>
      <c r="GU39">
        <f ca="1"/>
      </c>
      <c r="GV39">
        <f ca="1"/>
      </c>
      <c r="GW39">
        <f ca="1"/>
      </c>
      <c r="HI39" s="7">
        <f ca="1"/>
      </c>
      <c r="HJ39">
        <f ca="1"/>
      </c>
      <c r="HK39">
        <f ca="1"/>
      </c>
      <c r="HL39">
        <f ca="1"/>
      </c>
      <c r="HM39">
        <f ca="1"/>
      </c>
    </row>
    <row r="40" spans="1:221" x14ac:dyDescent="0.55000000000000004">
      <c r="A40" s="2" t="s">
        <v>143</v>
      </c>
      <c r="B40">
        <f t="shared" si="0"/>
      </c>
      <c r="C40" s="2" t="s">
        <v>312</v>
      </c>
      <c r="D40" s="2" t="s">
        <v>294</v>
      </c>
      <c r="E40" s="2">
        <v>1</v>
      </c>
      <c r="F40" s="2"/>
      <c r="G40" s="2"/>
      <c r="H40" s="2"/>
      <c r="I40" s="2"/>
      <c r="J40" s="14" cm="1">
        <f t="array" aca="1" ref="J40" ca="1">IF(D40="","",100*(N(E40)*FWM_LiveOf(D40)+N(G40)*FWM_LiveOf(F40)+N(I40)*FWM_LiveOf(H40)))</f>
      </c>
      <c r="K40" s="44" cm="1">
        <f t="array" aca="1" ref="K40" ca="1">IF(D40="","",_xlfn.LET(_xlpm.x,FWM_Row(2,""),J40-INDEX(_xlpm.x,ROWS(_xlpm.x))))</f>
      </c>
      <c r="L40" s="44" cm="1">
        <f t="array" aca="1" ref="L40" ca="1">IF(D40="","",_xlfn.LET(_xlpm.x,FWM_Row(2,""),J40-INDEX(_xlpm.x,ROWS(_xlpm.x)-20)))</f>
      </c>
      <c r="M40" s="11" cm="1">
        <f t="array" aca="1" ref="M40" ca="1">IF(D40="","",FWM_Sigma(FWM_Row(2," dF")))</f>
      </c>
      <c r="N40" s="45">
        <f t="shared" ca="1" si="1"/>
      </c>
      <c r="O40" s="45" cm="1">
        <f t="array" aca="1" ref="O40" ca="1">IF(D40="","",_xlfn.LET(_xlpm.x,FWM_Row(2,""),(J40-INDEX(_xlpm.x,ROWS(_xlpm.x)-4))/(M40*SQRT(5))))</f>
      </c>
      <c r="AW40">
        <f ca="1"/>
      </c>
      <c r="AX40">
        <f ca="1"/>
      </c>
      <c r="AY40">
        <f ca="1"/>
      </c>
      <c r="AZ40">
        <f ca="1"/>
      </c>
      <c r="BB40">
        <f ca="1"/>
      </c>
      <c r="BC40">
        <f ca="1"/>
      </c>
      <c r="BD40">
        <f ca="1"/>
      </c>
      <c r="BE40">
        <f ca="1"/>
      </c>
      <c r="BF40">
        <f ca="1"/>
      </c>
      <c r="BH40" t="s">
        <v>34</v>
      </c>
      <c r="BI40">
        <v>0</v>
      </c>
      <c r="BK40">
        <f ca="1"/>
      </c>
      <c r="BL40">
        <f ca="1"/>
      </c>
      <c r="BM40">
        <f ca="1"/>
      </c>
      <c r="BN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  <c r="BV40">
        <f ca="1"/>
      </c>
      <c r="BW40">
        <f ca="1"/>
      </c>
      <c r="BX40">
        <f ca="1"/>
      </c>
      <c r="BY40">
        <f ca="1"/>
      </c>
      <c r="BZ40">
        <f ca="1"/>
      </c>
      <c r="CA40">
        <f ca="1"/>
      </c>
      <c r="CB40">
        <f ca="1"/>
      </c>
      <c r="CC40">
        <f ca="1"/>
      </c>
      <c r="CD40">
        <f ca="1"/>
      </c>
      <c r="CE40">
        <f ca="1"/>
      </c>
      <c r="CF40">
        <f ca="1"/>
      </c>
      <c r="CG40">
        <f ca="1"/>
      </c>
      <c r="CH40">
        <f ca="1"/>
      </c>
      <c r="CI40">
        <f ca="1"/>
      </c>
      <c r="CJ40">
        <f ca="1"/>
      </c>
      <c r="CK40">
        <f ca="1"/>
      </c>
      <c r="CL40">
        <f ca="1"/>
      </c>
      <c r="CM40">
        <f ca="1"/>
      </c>
      <c r="CN40">
        <f ca="1"/>
      </c>
      <c r="CO40">
        <f ca="1"/>
      </c>
      <c r="CP40">
        <f ca="1"/>
      </c>
      <c r="CQ40">
        <f ca="1"/>
      </c>
      <c r="CR40">
        <f ca="1"/>
      </c>
      <c r="CS40">
        <f ca="1"/>
      </c>
      <c r="CT40">
        <f ca="1"/>
      </c>
      <c r="CU40">
        <f ca="1"/>
      </c>
      <c r="CV40">
        <f ca="1"/>
      </c>
      <c r="CW40">
        <f ca="1"/>
      </c>
      <c r="CX40">
        <f ca="1"/>
      </c>
      <c r="CY40">
        <f ca="1"/>
      </c>
      <c r="CZ40">
        <f ca="1"/>
      </c>
      <c r="DA40">
        <f ca="1"/>
      </c>
      <c r="DB40">
        <f ca="1"/>
      </c>
      <c r="DC40">
        <f ca="1"/>
      </c>
      <c r="DD40">
        <f ca="1"/>
      </c>
      <c r="DE40">
        <f ca="1"/>
      </c>
      <c r="DG40">
        <f ca="1"/>
      </c>
      <c r="DH40">
        <f ca="1"/>
      </c>
      <c r="DI40">
        <f ca="1"/>
      </c>
      <c r="DJ40">
        <f ca="1"/>
      </c>
      <c r="DK40">
        <f ca="1"/>
      </c>
      <c r="DL40">
        <f ca="1"/>
      </c>
      <c r="DM40">
        <f ca="1"/>
      </c>
      <c r="DN40">
        <f ca="1"/>
      </c>
      <c r="DO40">
        <f ca="1"/>
      </c>
      <c r="DP40">
        <f ca="1"/>
      </c>
      <c r="DQ40">
        <f ca="1"/>
      </c>
      <c r="DR40">
        <f ca="1"/>
      </c>
      <c r="DS40">
        <f ca="1"/>
      </c>
      <c r="DT40">
        <f ca="1"/>
      </c>
      <c r="DU40">
        <f ca="1"/>
      </c>
      <c r="DV40">
        <f ca="1"/>
      </c>
      <c r="DW40">
        <f ca="1"/>
      </c>
      <c r="DX40">
        <f ca="1"/>
      </c>
      <c r="DY40">
        <f ca="1"/>
      </c>
      <c r="DZ40">
        <f ca="1"/>
      </c>
      <c r="EA40">
        <f ca="1"/>
      </c>
      <c r="EB40">
        <f ca="1"/>
      </c>
      <c r="EC40">
        <f ca="1"/>
      </c>
      <c r="ED40">
        <f ca="1"/>
      </c>
      <c r="EE40">
        <f ca="1"/>
      </c>
      <c r="EF40">
        <f ca="1"/>
      </c>
      <c r="EG40">
        <f ca="1"/>
      </c>
      <c r="EH40">
        <f ca="1"/>
      </c>
      <c r="EI40">
        <f ca="1"/>
      </c>
      <c r="EJ40">
        <f ca="1"/>
      </c>
      <c r="EK40">
        <f ca="1"/>
      </c>
      <c r="EL40">
        <f ca="1"/>
      </c>
      <c r="EM40">
        <f ca="1"/>
      </c>
      <c r="EN40">
        <f ca="1"/>
      </c>
      <c r="EO40">
        <f ca="1"/>
      </c>
      <c r="EP40">
        <f ca="1"/>
      </c>
      <c r="EQ40">
        <f ca="1"/>
      </c>
      <c r="ER40">
        <f ca="1"/>
      </c>
      <c r="ES40">
        <f ca="1"/>
      </c>
      <c r="ET40">
        <f ca="1"/>
      </c>
      <c r="EU40">
        <f ca="1"/>
      </c>
      <c r="EV40">
        <f ca="1"/>
      </c>
      <c r="EW40">
        <f ca="1"/>
      </c>
      <c r="EX40">
        <f ca="1"/>
      </c>
      <c r="EY40">
        <f ca="1"/>
      </c>
      <c r="EZ40">
        <f ca="1"/>
      </c>
      <c r="FA40">
        <f ca="1"/>
      </c>
      <c r="FC40">
        <f ca="1"/>
      </c>
      <c r="FD40">
        <f ca="1"/>
      </c>
      <c r="FE40">
        <f ca="1"/>
      </c>
      <c r="FF40">
        <f ca="1"/>
      </c>
      <c r="FG40">
        <f ca="1"/>
      </c>
      <c r="FH40">
        <f ca="1"/>
      </c>
      <c r="FI40">
        <f ca="1"/>
      </c>
      <c r="FJ40">
        <f ca="1"/>
      </c>
      <c r="FK40">
        <f ca="1"/>
      </c>
      <c r="FL40">
        <f ca="1"/>
      </c>
      <c r="FM40">
        <f ca="1"/>
      </c>
      <c r="FN40">
        <f ca="1"/>
      </c>
      <c r="FO40">
        <f ca="1"/>
      </c>
      <c r="FP40">
        <f ca="1"/>
      </c>
      <c r="FQ40">
        <f ca="1"/>
      </c>
      <c r="FR40">
        <f ca="1"/>
      </c>
      <c r="FS40">
        <f ca="1"/>
      </c>
      <c r="FT40">
        <f ca="1"/>
      </c>
      <c r="FU40">
        <f ca="1"/>
      </c>
      <c r="FV40">
        <f ca="1"/>
      </c>
      <c r="FW40">
        <f ca="1"/>
      </c>
      <c r="FX40">
        <f ca="1"/>
      </c>
      <c r="FY40">
        <f ca="1"/>
      </c>
      <c r="FZ40">
        <f ca="1"/>
      </c>
      <c r="GA40">
        <f ca="1"/>
      </c>
      <c r="GB40">
        <f ca="1"/>
      </c>
      <c r="GC40">
        <f ca="1"/>
      </c>
      <c r="GD40">
        <f ca="1"/>
      </c>
      <c r="GE40">
        <f ca="1"/>
      </c>
      <c r="GF40">
        <f ca="1"/>
      </c>
      <c r="GG40">
        <f ca="1"/>
      </c>
      <c r="GH40">
        <f ca="1"/>
      </c>
      <c r="GI40">
        <f ca="1"/>
      </c>
      <c r="GJ40">
        <f ca="1"/>
      </c>
      <c r="GK40">
        <f ca="1"/>
      </c>
      <c r="GL40">
        <f ca="1"/>
      </c>
      <c r="GM40">
        <f ca="1"/>
      </c>
      <c r="GN40">
        <f ca="1"/>
      </c>
      <c r="GO40">
        <f ca="1"/>
      </c>
      <c r="GP40">
        <f ca="1"/>
      </c>
      <c r="GQ40">
        <f ca="1"/>
      </c>
      <c r="GR40">
        <f ca="1"/>
      </c>
      <c r="GS40">
        <f ca="1"/>
      </c>
      <c r="GT40">
        <f ca="1"/>
      </c>
      <c r="GU40">
        <f ca="1"/>
      </c>
      <c r="GV40">
        <f ca="1"/>
      </c>
      <c r="GW40">
        <f ca="1"/>
      </c>
      <c r="HI40" s="7">
        <f ca="1"/>
      </c>
      <c r="HJ40">
        <f ca="1"/>
      </c>
      <c r="HK40">
        <f ca="1"/>
      </c>
      <c r="HL40">
        <f ca="1"/>
      </c>
      <c r="HM40">
        <f ca="1"/>
      </c>
    </row>
    <row r="41" spans="1:221" x14ac:dyDescent="0.55000000000000004">
      <c r="A41" s="2" t="s">
        <v>143</v>
      </c>
      <c r="B41">
        <f t="shared" si="0"/>
      </c>
      <c r="C41" s="2" t="s">
        <v>311</v>
      </c>
      <c r="D41" s="2" t="s">
        <v>294</v>
      </c>
      <c r="E41" s="2">
        <v>-1</v>
      </c>
      <c r="F41" s="2" t="s">
        <v>295</v>
      </c>
      <c r="G41" s="2">
        <v>1</v>
      </c>
      <c r="H41" s="2"/>
      <c r="I41" s="2"/>
      <c r="J41" s="14" cm="1">
        <f t="array" aca="1" ref="J41" ca="1">IF(D41="","",100*(N(E41)*FWM_LiveOf(D41)+N(G41)*FWM_LiveOf(F41)+N(I41)*FWM_LiveOf(H41)))</f>
      </c>
      <c r="K41" s="44" cm="1">
        <f t="array" aca="1" ref="K41" ca="1">IF(D41="","",_xlfn.LET(_xlpm.x,FWM_Row(3,""),J41-INDEX(_xlpm.x,ROWS(_xlpm.x))))</f>
      </c>
      <c r="L41" s="44" cm="1">
        <f t="array" aca="1" ref="L41" ca="1">IF(D41="","",_xlfn.LET(_xlpm.x,FWM_Row(3,""),J41-INDEX(_xlpm.x,ROWS(_xlpm.x)-20)))</f>
      </c>
      <c r="M41" s="11" cm="1">
        <f t="array" aca="1" ref="M41" ca="1">IF(D41="","",FWM_Sigma(FWM_Row(3," dF")))</f>
      </c>
      <c r="N41" s="45">
        <f t="shared" ca="1" si="1"/>
      </c>
      <c r="O41" s="45" cm="1">
        <f t="array" aca="1" ref="O41" ca="1">IF(D41="","",_xlfn.LET(_xlpm.x,FWM_Row(3,""),(J41-INDEX(_xlpm.x,ROWS(_xlpm.x)-4))/(M41*SQRT(5))))</f>
      </c>
      <c r="AW41">
        <f ca="1"/>
      </c>
      <c r="AX41">
        <f ca="1"/>
      </c>
      <c r="AY41">
        <f ca="1"/>
      </c>
      <c r="AZ41">
        <f ca="1"/>
      </c>
      <c r="BB41">
        <f ca="1"/>
      </c>
      <c r="BC41">
        <f ca="1"/>
      </c>
      <c r="BD41">
        <f ca="1"/>
      </c>
      <c r="BE41">
        <f ca="1"/>
      </c>
      <c r="BF41">
        <f ca="1"/>
      </c>
      <c r="BH41" t="s">
        <v>35</v>
      </c>
      <c r="BI41">
        <v>0</v>
      </c>
      <c r="BK41">
        <f ca="1"/>
      </c>
      <c r="BL41">
        <f ca="1"/>
      </c>
      <c r="BM41">
        <f ca="1"/>
      </c>
      <c r="BN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  <c r="BV41">
        <f ca="1"/>
      </c>
      <c r="BW41">
        <f ca="1"/>
      </c>
      <c r="BX41">
        <f ca="1"/>
      </c>
      <c r="BY41">
        <f ca="1"/>
      </c>
      <c r="BZ41">
        <f ca="1"/>
      </c>
      <c r="CA41">
        <f ca="1"/>
      </c>
      <c r="CB41">
        <f ca="1"/>
      </c>
      <c r="CC41">
        <f ca="1"/>
      </c>
      <c r="CD41">
        <f ca="1"/>
      </c>
      <c r="CE41">
        <f ca="1"/>
      </c>
      <c r="CF41">
        <f ca="1"/>
      </c>
      <c r="CG41">
        <f ca="1"/>
      </c>
      <c r="CH41">
        <f ca="1"/>
      </c>
      <c r="CI41">
        <f ca="1"/>
      </c>
      <c r="CJ41">
        <f ca="1"/>
      </c>
      <c r="CK41">
        <f ca="1"/>
      </c>
      <c r="CL41">
        <f ca="1"/>
      </c>
      <c r="CM41">
        <f ca="1"/>
      </c>
      <c r="CN41">
        <f ca="1"/>
      </c>
      <c r="CO41">
        <f ca="1"/>
      </c>
      <c r="CP41">
        <f ca="1"/>
      </c>
      <c r="CQ41">
        <f ca="1"/>
      </c>
      <c r="CR41">
        <f ca="1"/>
      </c>
      <c r="CS41">
        <f ca="1"/>
      </c>
      <c r="CT41">
        <f ca="1"/>
      </c>
      <c r="CU41">
        <f ca="1"/>
      </c>
      <c r="CV41">
        <f ca="1"/>
      </c>
      <c r="CW41">
        <f ca="1"/>
      </c>
      <c r="CX41">
        <f ca="1"/>
      </c>
      <c r="CY41">
        <f ca="1"/>
      </c>
      <c r="CZ41">
        <f ca="1"/>
      </c>
      <c r="DA41">
        <f ca="1"/>
      </c>
      <c r="DB41">
        <f ca="1"/>
      </c>
      <c r="DC41">
        <f ca="1"/>
      </c>
      <c r="DD41">
        <f ca="1"/>
      </c>
      <c r="DE41">
        <f ca="1"/>
      </c>
      <c r="DG41">
        <f ca="1"/>
      </c>
      <c r="DH41">
        <f ca="1"/>
      </c>
      <c r="DI41">
        <f ca="1"/>
      </c>
      <c r="DJ41">
        <f ca="1"/>
      </c>
      <c r="DK41">
        <f ca="1"/>
      </c>
      <c r="DL41">
        <f ca="1"/>
      </c>
      <c r="DM41">
        <f ca="1"/>
      </c>
      <c r="DN41">
        <f ca="1"/>
      </c>
      <c r="DO41">
        <f ca="1"/>
      </c>
      <c r="DP41">
        <f ca="1"/>
      </c>
      <c r="DQ41">
        <f ca="1"/>
      </c>
      <c r="DR41">
        <f ca="1"/>
      </c>
      <c r="DS41">
        <f ca="1"/>
      </c>
      <c r="DT41">
        <f ca="1"/>
      </c>
      <c r="DU41">
        <f ca="1"/>
      </c>
      <c r="DV41">
        <f ca="1"/>
      </c>
      <c r="DW41">
        <f ca="1"/>
      </c>
      <c r="DX41">
        <f ca="1"/>
      </c>
      <c r="DY41">
        <f ca="1"/>
      </c>
      <c r="DZ41">
        <f ca="1"/>
      </c>
      <c r="EA41">
        <f ca="1"/>
      </c>
      <c r="EB41">
        <f ca="1"/>
      </c>
      <c r="EC41">
        <f ca="1"/>
      </c>
      <c r="ED41">
        <f ca="1"/>
      </c>
      <c r="EE41">
        <f ca="1"/>
      </c>
      <c r="EF41">
        <f ca="1"/>
      </c>
      <c r="EG41">
        <f ca="1"/>
      </c>
      <c r="EH41">
        <f ca="1"/>
      </c>
      <c r="EI41">
        <f ca="1"/>
      </c>
      <c r="EJ41">
        <f ca="1"/>
      </c>
      <c r="EK41">
        <f ca="1"/>
      </c>
      <c r="EL41">
        <f ca="1"/>
      </c>
      <c r="EM41">
        <f ca="1"/>
      </c>
      <c r="EN41">
        <f ca="1"/>
      </c>
      <c r="EO41">
        <f ca="1"/>
      </c>
      <c r="EP41">
        <f ca="1"/>
      </c>
      <c r="EQ41">
        <f ca="1"/>
      </c>
      <c r="ER41">
        <f ca="1"/>
      </c>
      <c r="ES41">
        <f ca="1"/>
      </c>
      <c r="ET41">
        <f ca="1"/>
      </c>
      <c r="EU41">
        <f ca="1"/>
      </c>
      <c r="EV41">
        <f ca="1"/>
      </c>
      <c r="EW41">
        <f ca="1"/>
      </c>
      <c r="EX41">
        <f ca="1"/>
      </c>
      <c r="EY41">
        <f ca="1"/>
      </c>
      <c r="EZ41">
        <f ca="1"/>
      </c>
      <c r="FA41">
        <f ca="1"/>
      </c>
      <c r="FC41">
        <f ca="1"/>
      </c>
      <c r="FD41">
        <f ca="1"/>
      </c>
      <c r="FE41">
        <f ca="1"/>
      </c>
      <c r="FF41">
        <f ca="1"/>
      </c>
      <c r="FG41">
        <f ca="1"/>
      </c>
      <c r="FH41">
        <f ca="1"/>
      </c>
      <c r="FI41">
        <f ca="1"/>
      </c>
      <c r="FJ41">
        <f ca="1"/>
      </c>
      <c r="FK41">
        <f ca="1"/>
      </c>
      <c r="FL41">
        <f ca="1"/>
      </c>
      <c r="FM41">
        <f ca="1"/>
      </c>
      <c r="FN41">
        <f ca="1"/>
      </c>
      <c r="FO41">
        <f ca="1"/>
      </c>
      <c r="FP41">
        <f ca="1"/>
      </c>
      <c r="FQ41">
        <f ca="1"/>
      </c>
      <c r="FR41">
        <f ca="1"/>
      </c>
      <c r="FS41">
        <f ca="1"/>
      </c>
      <c r="FT41">
        <f ca="1"/>
      </c>
      <c r="FU41">
        <f ca="1"/>
      </c>
      <c r="FV41">
        <f ca="1"/>
      </c>
      <c r="FW41">
        <f ca="1"/>
      </c>
      <c r="FX41">
        <f ca="1"/>
      </c>
      <c r="FY41">
        <f ca="1"/>
      </c>
      <c r="FZ41">
        <f ca="1"/>
      </c>
      <c r="GA41">
        <f ca="1"/>
      </c>
      <c r="GB41">
        <f ca="1"/>
      </c>
      <c r="GC41">
        <f ca="1"/>
      </c>
      <c r="GD41">
        <f ca="1"/>
      </c>
      <c r="GE41">
        <f ca="1"/>
      </c>
      <c r="GF41">
        <f ca="1"/>
      </c>
      <c r="GG41">
        <f ca="1"/>
      </c>
      <c r="GH41">
        <f ca="1"/>
      </c>
      <c r="GI41">
        <f ca="1"/>
      </c>
      <c r="GJ41">
        <f ca="1"/>
      </c>
      <c r="GK41">
        <f ca="1"/>
      </c>
      <c r="GL41">
        <f ca="1"/>
      </c>
      <c r="GM41">
        <f ca="1"/>
      </c>
      <c r="GN41">
        <f ca="1"/>
      </c>
      <c r="GO41">
        <f ca="1"/>
      </c>
      <c r="GP41">
        <f ca="1"/>
      </c>
      <c r="GQ41">
        <f ca="1"/>
      </c>
      <c r="GR41">
        <f ca="1"/>
      </c>
      <c r="GS41">
        <f ca="1"/>
      </c>
      <c r="GT41">
        <f ca="1"/>
      </c>
      <c r="GU41">
        <f ca="1"/>
      </c>
      <c r="GV41">
        <f ca="1"/>
      </c>
      <c r="GW41">
        <f ca="1"/>
      </c>
      <c r="HI41" s="7">
        <f ca="1"/>
      </c>
      <c r="HJ41">
        <f ca="1"/>
      </c>
      <c r="HK41">
        <f ca="1"/>
      </c>
      <c r="HL41">
        <f ca="1"/>
      </c>
      <c r="HM41">
        <f ca="1"/>
      </c>
    </row>
    <row r="42" spans="1:221" x14ac:dyDescent="0.55000000000000004">
      <c r="A42" s="2"/>
      <c r="B42">
        <f t="shared" si="0"/>
      </c>
      <c r="C42" s="2" t="s">
        <v>311</v>
      </c>
      <c r="D42" s="2" t="s">
        <v>282</v>
      </c>
      <c r="E42" s="2">
        <v>-1</v>
      </c>
      <c r="F42" s="2" t="s">
        <v>287</v>
      </c>
      <c r="G42" s="2">
        <v>2</v>
      </c>
      <c r="H42" s="2" t="s">
        <v>290</v>
      </c>
      <c r="I42" s="2">
        <v>-1</v>
      </c>
      <c r="J42" s="14" cm="1">
        <f t="array" aca="1" ref="J42" ca="1">IF(D42="","",100*(N(E42)*FWM_LiveOf(D42)+N(G42)*FWM_LiveOf(F42)+N(I42)*FWM_LiveOf(H42)))</f>
      </c>
      <c r="K42" s="44" cm="1">
        <f t="array" aca="1" ref="K42" ca="1">IF(D42="","",_xlfn.LET(_xlpm.x,FWM_Row(4,""),J42-INDEX(_xlpm.x,ROWS(_xlpm.x))))</f>
      </c>
      <c r="L42" s="44" cm="1">
        <f t="array" aca="1" ref="L42" ca="1">IF(D42="","",_xlfn.LET(_xlpm.x,FWM_Row(4,""),J42-INDEX(_xlpm.x,ROWS(_xlpm.x)-20)))</f>
      </c>
      <c r="M42" s="11" cm="1">
        <f t="array" aca="1" ref="M42" ca="1">IF(D42="","",FWM_Sigma(FWM_Row(4," dF")))</f>
      </c>
      <c r="N42" s="45">
        <f t="shared" ca="1" si="1"/>
      </c>
      <c r="O42" s="45" cm="1">
        <f t="array" aca="1" ref="O42" ca="1">IF(D42="","",_xlfn.LET(_xlpm.x,FWM_Row(4,""),(J42-INDEX(_xlpm.x,ROWS(_xlpm.x)-4))/(M42*SQRT(5))))</f>
      </c>
      <c r="AW42">
        <f ca="1"/>
      </c>
      <c r="AX42">
        <f ca="1"/>
      </c>
      <c r="AY42">
        <f ca="1"/>
      </c>
      <c r="AZ42">
        <f ca="1"/>
      </c>
      <c r="BB42">
        <f ca="1"/>
      </c>
      <c r="BC42">
        <f ca="1"/>
      </c>
      <c r="BD42">
        <f ca="1"/>
      </c>
      <c r="BE42">
        <f ca="1"/>
      </c>
      <c r="BF42">
        <f ca="1"/>
      </c>
      <c r="BH42" t="s">
        <v>36</v>
      </c>
      <c r="BI42">
        <v>0</v>
      </c>
      <c r="BK42">
        <f ca="1"/>
      </c>
      <c r="BL42">
        <f ca="1"/>
      </c>
      <c r="BM42">
        <f ca="1"/>
      </c>
      <c r="BN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  <c r="BV42">
        <f ca="1"/>
      </c>
      <c r="BW42">
        <f ca="1"/>
      </c>
      <c r="BX42">
        <f ca="1"/>
      </c>
      <c r="BY42">
        <f ca="1"/>
      </c>
      <c r="BZ42">
        <f ca="1"/>
      </c>
      <c r="CA42">
        <f ca="1"/>
      </c>
      <c r="CB42">
        <f ca="1"/>
      </c>
      <c r="CC42">
        <f ca="1"/>
      </c>
      <c r="CD42">
        <f ca="1"/>
      </c>
      <c r="CE42">
        <f ca="1"/>
      </c>
      <c r="CF42">
        <f ca="1"/>
      </c>
      <c r="CG42">
        <f ca="1"/>
      </c>
      <c r="CH42">
        <f ca="1"/>
      </c>
      <c r="CI42">
        <f ca="1"/>
      </c>
      <c r="CJ42">
        <f ca="1"/>
      </c>
      <c r="CK42">
        <f ca="1"/>
      </c>
      <c r="CL42">
        <f ca="1"/>
      </c>
      <c r="CM42">
        <f ca="1"/>
      </c>
      <c r="CN42">
        <f ca="1"/>
      </c>
      <c r="CO42">
        <f ca="1"/>
      </c>
      <c r="CP42">
        <f ca="1"/>
      </c>
      <c r="CQ42">
        <f ca="1"/>
      </c>
      <c r="CR42">
        <f ca="1"/>
      </c>
      <c r="CS42">
        <f ca="1"/>
      </c>
      <c r="CT42">
        <f ca="1"/>
      </c>
      <c r="CU42">
        <f ca="1"/>
      </c>
      <c r="CV42">
        <f ca="1"/>
      </c>
      <c r="CW42">
        <f ca="1"/>
      </c>
      <c r="CX42">
        <f ca="1"/>
      </c>
      <c r="CY42">
        <f ca="1"/>
      </c>
      <c r="CZ42">
        <f ca="1"/>
      </c>
      <c r="DA42">
        <f ca="1"/>
      </c>
      <c r="DB42">
        <f ca="1"/>
      </c>
      <c r="DC42">
        <f ca="1"/>
      </c>
      <c r="DD42">
        <f ca="1"/>
      </c>
      <c r="DE42">
        <f ca="1"/>
      </c>
      <c r="DG42">
        <f ca="1"/>
      </c>
      <c r="DH42">
        <f ca="1"/>
      </c>
      <c r="DI42">
        <f ca="1"/>
      </c>
      <c r="DJ42">
        <f ca="1"/>
      </c>
      <c r="DK42">
        <f ca="1"/>
      </c>
      <c r="DL42">
        <f ca="1"/>
      </c>
      <c r="DM42">
        <f ca="1"/>
      </c>
      <c r="DN42">
        <f ca="1"/>
      </c>
      <c r="DO42">
        <f ca="1"/>
      </c>
      <c r="DP42">
        <f ca="1"/>
      </c>
      <c r="DQ42">
        <f ca="1"/>
      </c>
      <c r="DR42">
        <f ca="1"/>
      </c>
      <c r="DS42">
        <f ca="1"/>
      </c>
      <c r="DT42">
        <f ca="1"/>
      </c>
      <c r="DU42">
        <f ca="1"/>
      </c>
      <c r="DV42">
        <f ca="1"/>
      </c>
      <c r="DW42">
        <f ca="1"/>
      </c>
      <c r="DX42">
        <f ca="1"/>
      </c>
      <c r="DY42">
        <f ca="1"/>
      </c>
      <c r="DZ42">
        <f ca="1"/>
      </c>
      <c r="EA42">
        <f ca="1"/>
      </c>
      <c r="EB42">
        <f ca="1"/>
      </c>
      <c r="EC42">
        <f ca="1"/>
      </c>
      <c r="ED42">
        <f ca="1"/>
      </c>
      <c r="EE42">
        <f ca="1"/>
      </c>
      <c r="EF42">
        <f ca="1"/>
      </c>
      <c r="EG42">
        <f ca="1"/>
      </c>
      <c r="EH42">
        <f ca="1"/>
      </c>
      <c r="EI42">
        <f ca="1"/>
      </c>
      <c r="EJ42">
        <f ca="1"/>
      </c>
      <c r="EK42">
        <f ca="1"/>
      </c>
      <c r="EL42">
        <f ca="1"/>
      </c>
      <c r="EM42">
        <f ca="1"/>
      </c>
      <c r="EN42">
        <f ca="1"/>
      </c>
      <c r="EO42">
        <f ca="1"/>
      </c>
      <c r="EP42">
        <f ca="1"/>
      </c>
      <c r="EQ42">
        <f ca="1"/>
      </c>
      <c r="ER42">
        <f ca="1"/>
      </c>
      <c r="ES42">
        <f ca="1"/>
      </c>
      <c r="ET42">
        <f ca="1"/>
      </c>
      <c r="EU42">
        <f ca="1"/>
      </c>
      <c r="EV42">
        <f ca="1"/>
      </c>
      <c r="EW42">
        <f ca="1"/>
      </c>
      <c r="EX42">
        <f ca="1"/>
      </c>
      <c r="EY42">
        <f ca="1"/>
      </c>
      <c r="EZ42">
        <f ca="1"/>
      </c>
      <c r="FA42">
        <f ca="1"/>
      </c>
      <c r="FC42">
        <f ca="1"/>
      </c>
      <c r="FD42">
        <f ca="1"/>
      </c>
      <c r="FE42">
        <f ca="1"/>
      </c>
      <c r="FF42">
        <f ca="1"/>
      </c>
      <c r="FG42">
        <f ca="1"/>
      </c>
      <c r="FH42">
        <f ca="1"/>
      </c>
      <c r="FI42">
        <f ca="1"/>
      </c>
      <c r="FJ42">
        <f ca="1"/>
      </c>
      <c r="FK42">
        <f ca="1"/>
      </c>
      <c r="FL42">
        <f ca="1"/>
      </c>
      <c r="FM42">
        <f ca="1"/>
      </c>
      <c r="FN42">
        <f ca="1"/>
      </c>
      <c r="FO42">
        <f ca="1"/>
      </c>
      <c r="FP42">
        <f ca="1"/>
      </c>
      <c r="FQ42">
        <f ca="1"/>
      </c>
      <c r="FR42">
        <f ca="1"/>
      </c>
      <c r="FS42">
        <f ca="1"/>
      </c>
      <c r="FT42">
        <f ca="1"/>
      </c>
      <c r="FU42">
        <f ca="1"/>
      </c>
      <c r="FV42">
        <f ca="1"/>
      </c>
      <c r="FW42">
        <f ca="1"/>
      </c>
      <c r="FX42">
        <f ca="1"/>
      </c>
      <c r="FY42">
        <f ca="1"/>
      </c>
      <c r="FZ42">
        <f ca="1"/>
      </c>
      <c r="GA42">
        <f ca="1"/>
      </c>
      <c r="GB42">
        <f ca="1"/>
      </c>
      <c r="GC42">
        <f ca="1"/>
      </c>
      <c r="GD42">
        <f ca="1"/>
      </c>
      <c r="GE42">
        <f ca="1"/>
      </c>
      <c r="GF42">
        <f ca="1"/>
      </c>
      <c r="GG42">
        <f ca="1"/>
      </c>
      <c r="GH42">
        <f ca="1"/>
      </c>
      <c r="GI42">
        <f ca="1"/>
      </c>
      <c r="GJ42">
        <f ca="1"/>
      </c>
      <c r="GK42">
        <f ca="1"/>
      </c>
      <c r="GL42">
        <f ca="1"/>
      </c>
      <c r="GM42">
        <f ca="1"/>
      </c>
      <c r="GN42">
        <f ca="1"/>
      </c>
      <c r="GO42">
        <f ca="1"/>
      </c>
      <c r="GP42">
        <f ca="1"/>
      </c>
      <c r="GQ42">
        <f ca="1"/>
      </c>
      <c r="GR42">
        <f ca="1"/>
      </c>
      <c r="GS42">
        <f ca="1"/>
      </c>
      <c r="GT42">
        <f ca="1"/>
      </c>
      <c r="GU42">
        <f ca="1"/>
      </c>
      <c r="GV42">
        <f ca="1"/>
      </c>
      <c r="GW42">
        <f ca="1"/>
      </c>
      <c r="HI42" s="7">
        <f ca="1"/>
      </c>
      <c r="HJ42">
        <f ca="1"/>
      </c>
      <c r="HK42">
        <f ca="1"/>
      </c>
      <c r="HL42">
        <f ca="1"/>
      </c>
      <c r="HM42">
        <f ca="1"/>
      </c>
    </row>
    <row r="43" spans="1:221" x14ac:dyDescent="0.55000000000000004">
      <c r="A43" s="2"/>
      <c r="B43">
        <f t="shared" si="0"/>
      </c>
      <c r="C43" s="2" t="s">
        <v>311</v>
      </c>
      <c r="D43" s="2" t="s">
        <v>278</v>
      </c>
      <c r="E43" s="2">
        <v>-1</v>
      </c>
      <c r="F43" s="2" t="s">
        <v>279</v>
      </c>
      <c r="G43" s="2">
        <v>1</v>
      </c>
      <c r="H43" s="2"/>
      <c r="I43" s="2"/>
      <c r="J43" s="14" cm="1">
        <f t="array" aca="1" ref="J43" ca="1">IF(D43="","",100*(N(E43)*FWM_LiveOf(D43)+N(G43)*FWM_LiveOf(F43)+N(I43)*FWM_LiveOf(H43)))</f>
      </c>
      <c r="K43" s="44" cm="1">
        <f t="array" aca="1" ref="K43" ca="1">IF(D43="","",_xlfn.LET(_xlpm.x,FWM_Row(5,""),J43-INDEX(_xlpm.x,ROWS(_xlpm.x))))</f>
      </c>
      <c r="L43" s="44" cm="1">
        <f t="array" aca="1" ref="L43" ca="1">IF(D43="","",_xlfn.LET(_xlpm.x,FWM_Row(5,""),J43-INDEX(_xlpm.x,ROWS(_xlpm.x)-20)))</f>
      </c>
      <c r="M43" s="11" cm="1">
        <f t="array" aca="1" ref="M43" ca="1">IF(D43="","",FWM_Sigma(FWM_Row(5," dF")))</f>
      </c>
      <c r="N43" s="45">
        <f t="shared" ca="1" si="1"/>
      </c>
      <c r="O43" s="45" cm="1">
        <f t="array" aca="1" ref="O43" ca="1">IF(D43="","",_xlfn.LET(_xlpm.x,FWM_Row(5,""),(J43-INDEX(_xlpm.x,ROWS(_xlpm.x)-4))/(M43*SQRT(5))))</f>
      </c>
      <c r="AW43">
        <f ca="1"/>
      </c>
      <c r="AX43">
        <f ca="1"/>
      </c>
      <c r="AY43">
        <f ca="1"/>
      </c>
      <c r="AZ43">
        <f ca="1"/>
      </c>
      <c r="BB43">
        <f ca="1"/>
      </c>
      <c r="BC43">
        <f ca="1"/>
      </c>
      <c r="BD43">
        <f ca="1"/>
      </c>
      <c r="BE43">
        <f ca="1"/>
      </c>
      <c r="BF43">
        <f ca="1"/>
      </c>
      <c r="BH43" t="s">
        <v>37</v>
      </c>
      <c r="BI43">
        <v>0</v>
      </c>
      <c r="BK43">
        <f ca="1"/>
      </c>
      <c r="BL43">
        <f ca="1"/>
      </c>
      <c r="BM43">
        <f ca="1"/>
      </c>
      <c r="BN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  <c r="BV43">
        <f ca="1"/>
      </c>
      <c r="BW43">
        <f ca="1"/>
      </c>
      <c r="BX43">
        <f ca="1"/>
      </c>
      <c r="BY43">
        <f ca="1"/>
      </c>
      <c r="BZ43">
        <f ca="1"/>
      </c>
      <c r="CA43">
        <f ca="1"/>
      </c>
      <c r="CB43">
        <f ca="1"/>
      </c>
      <c r="CC43">
        <f ca="1"/>
      </c>
      <c r="CD43">
        <f ca="1"/>
      </c>
      <c r="CE43">
        <f ca="1"/>
      </c>
      <c r="CF43">
        <f ca="1"/>
      </c>
      <c r="CG43">
        <f ca="1"/>
      </c>
      <c r="CH43">
        <f ca="1"/>
      </c>
      <c r="CI43">
        <f ca="1"/>
      </c>
      <c r="CJ43">
        <f ca="1"/>
      </c>
      <c r="CK43">
        <f ca="1"/>
      </c>
      <c r="CL43">
        <f ca="1"/>
      </c>
      <c r="CM43">
        <f ca="1"/>
      </c>
      <c r="CN43">
        <f ca="1"/>
      </c>
      <c r="CO43">
        <f ca="1"/>
      </c>
      <c r="CP43">
        <f ca="1"/>
      </c>
      <c r="CQ43">
        <f ca="1"/>
      </c>
      <c r="CR43">
        <f ca="1"/>
      </c>
      <c r="CS43">
        <f ca="1"/>
      </c>
      <c r="CT43">
        <f ca="1"/>
      </c>
      <c r="CU43">
        <f ca="1"/>
      </c>
      <c r="CV43">
        <f ca="1"/>
      </c>
      <c r="CW43">
        <f ca="1"/>
      </c>
      <c r="CX43">
        <f ca="1"/>
      </c>
      <c r="CY43">
        <f ca="1"/>
      </c>
      <c r="CZ43">
        <f ca="1"/>
      </c>
      <c r="DA43">
        <f ca="1"/>
      </c>
      <c r="DB43">
        <f ca="1"/>
      </c>
      <c r="DC43">
        <f ca="1"/>
      </c>
      <c r="DD43">
        <f ca="1"/>
      </c>
      <c r="DE43">
        <f ca="1"/>
      </c>
      <c r="DG43">
        <f ca="1"/>
      </c>
      <c r="DH43">
        <f ca="1"/>
      </c>
      <c r="DI43">
        <f ca="1"/>
      </c>
      <c r="DJ43">
        <f ca="1"/>
      </c>
      <c r="DK43">
        <f ca="1"/>
      </c>
      <c r="DL43">
        <f ca="1"/>
      </c>
      <c r="DM43">
        <f ca="1"/>
      </c>
      <c r="DN43">
        <f ca="1"/>
      </c>
      <c r="DO43">
        <f ca="1"/>
      </c>
      <c r="DP43">
        <f ca="1"/>
      </c>
      <c r="DQ43">
        <f ca="1"/>
      </c>
      <c r="DR43">
        <f ca="1"/>
      </c>
      <c r="DS43">
        <f ca="1"/>
      </c>
      <c r="DT43">
        <f ca="1"/>
      </c>
      <c r="DU43">
        <f ca="1"/>
      </c>
      <c r="DV43">
        <f ca="1"/>
      </c>
      <c r="DW43">
        <f ca="1"/>
      </c>
      <c r="DX43">
        <f ca="1"/>
      </c>
      <c r="DY43">
        <f ca="1"/>
      </c>
      <c r="DZ43">
        <f ca="1"/>
      </c>
      <c r="EA43">
        <f ca="1"/>
      </c>
      <c r="EB43">
        <f ca="1"/>
      </c>
      <c r="EC43">
        <f ca="1"/>
      </c>
      <c r="ED43">
        <f ca="1"/>
      </c>
      <c r="EE43">
        <f ca="1"/>
      </c>
      <c r="EF43">
        <f ca="1"/>
      </c>
      <c r="EG43">
        <f ca="1"/>
      </c>
      <c r="EH43">
        <f ca="1"/>
      </c>
      <c r="EI43">
        <f ca="1"/>
      </c>
      <c r="EJ43">
        <f ca="1"/>
      </c>
      <c r="EK43">
        <f ca="1"/>
      </c>
      <c r="EL43">
        <f ca="1"/>
      </c>
      <c r="EM43">
        <f ca="1"/>
      </c>
      <c r="EN43">
        <f ca="1"/>
      </c>
      <c r="EO43">
        <f ca="1"/>
      </c>
      <c r="EP43">
        <f ca="1"/>
      </c>
      <c r="EQ43">
        <f ca="1"/>
      </c>
      <c r="ER43">
        <f ca="1"/>
      </c>
      <c r="ES43">
        <f ca="1"/>
      </c>
      <c r="ET43">
        <f ca="1"/>
      </c>
      <c r="EU43">
        <f ca="1"/>
      </c>
      <c r="EV43">
        <f ca="1"/>
      </c>
      <c r="EW43">
        <f ca="1"/>
      </c>
      <c r="EX43">
        <f ca="1"/>
      </c>
      <c r="EY43">
        <f ca="1"/>
      </c>
      <c r="EZ43">
        <f ca="1"/>
      </c>
      <c r="FA43">
        <f ca="1"/>
      </c>
      <c r="FC43">
        <f ca="1"/>
      </c>
      <c r="FD43">
        <f ca="1"/>
      </c>
      <c r="FE43">
        <f ca="1"/>
      </c>
      <c r="FF43">
        <f ca="1"/>
      </c>
      <c r="FG43">
        <f ca="1"/>
      </c>
      <c r="FH43">
        <f ca="1"/>
      </c>
      <c r="FI43">
        <f ca="1"/>
      </c>
      <c r="FJ43">
        <f ca="1"/>
      </c>
      <c r="FK43">
        <f ca="1"/>
      </c>
      <c r="FL43">
        <f ca="1"/>
      </c>
      <c r="FM43">
        <f ca="1"/>
      </c>
      <c r="FN43">
        <f ca="1"/>
      </c>
      <c r="FO43">
        <f ca="1"/>
      </c>
      <c r="FP43">
        <f ca="1"/>
      </c>
      <c r="FQ43">
        <f ca="1"/>
      </c>
      <c r="FR43">
        <f ca="1"/>
      </c>
      <c r="FS43">
        <f ca="1"/>
      </c>
      <c r="FT43">
        <f ca="1"/>
      </c>
      <c r="FU43">
        <f ca="1"/>
      </c>
      <c r="FV43">
        <f ca="1"/>
      </c>
      <c r="FW43">
        <f ca="1"/>
      </c>
      <c r="FX43">
        <f ca="1"/>
      </c>
      <c r="FY43">
        <f ca="1"/>
      </c>
      <c r="FZ43">
        <f ca="1"/>
      </c>
      <c r="GA43">
        <f ca="1"/>
      </c>
      <c r="GB43">
        <f ca="1"/>
      </c>
      <c r="GC43">
        <f ca="1"/>
      </c>
      <c r="GD43">
        <f ca="1"/>
      </c>
      <c r="GE43">
        <f ca="1"/>
      </c>
      <c r="GF43">
        <f ca="1"/>
      </c>
      <c r="GG43">
        <f ca="1"/>
      </c>
      <c r="GH43">
        <f ca="1"/>
      </c>
      <c r="GI43">
        <f ca="1"/>
      </c>
      <c r="GJ43">
        <f ca="1"/>
      </c>
      <c r="GK43">
        <f ca="1"/>
      </c>
      <c r="GL43">
        <f ca="1"/>
      </c>
      <c r="GM43">
        <f ca="1"/>
      </c>
      <c r="GN43">
        <f ca="1"/>
      </c>
      <c r="GO43">
        <f ca="1"/>
      </c>
      <c r="GP43">
        <f ca="1"/>
      </c>
      <c r="GQ43">
        <f ca="1"/>
      </c>
      <c r="GR43">
        <f ca="1"/>
      </c>
      <c r="GS43">
        <f ca="1"/>
      </c>
      <c r="GT43">
        <f ca="1"/>
      </c>
      <c r="GU43">
        <f ca="1"/>
      </c>
      <c r="GV43">
        <f ca="1"/>
      </c>
      <c r="GW43">
        <f ca="1"/>
      </c>
      <c r="HI43" s="7">
        <f ca="1"/>
      </c>
      <c r="HJ43">
        <f ca="1"/>
      </c>
      <c r="HK43">
        <f ca="1"/>
      </c>
      <c r="HL43">
        <f ca="1"/>
      </c>
      <c r="HM43">
        <f ca="1"/>
      </c>
    </row>
    <row r="44" spans="1:221" x14ac:dyDescent="0.55000000000000004">
      <c r="A44" s="2"/>
      <c r="B44">
        <f t="shared" si="0"/>
      </c>
      <c r="C44" s="2" t="s">
        <v>311</v>
      </c>
      <c r="D44" s="2" t="s">
        <v>287</v>
      </c>
      <c r="E44" s="2">
        <v>-1</v>
      </c>
      <c r="F44" s="2" t="s">
        <v>292</v>
      </c>
      <c r="G44" s="2">
        <v>1</v>
      </c>
      <c r="H44" s="2"/>
      <c r="I44" s="2"/>
      <c r="J44" s="14" cm="1">
        <f t="array" aca="1" ref="J44" ca="1">IF(D44="","",100*(N(E44)*FWM_LiveOf(D44)+N(G44)*FWM_LiveOf(F44)+N(I44)*FWM_LiveOf(H44)))</f>
      </c>
      <c r="K44" s="44" cm="1">
        <f t="array" aca="1" ref="K44" ca="1">IF(D44="","",_xlfn.LET(_xlpm.x,FWM_Row(6,""),J44-INDEX(_xlpm.x,ROWS(_xlpm.x))))</f>
      </c>
      <c r="L44" s="44" cm="1">
        <f t="array" aca="1" ref="L44" ca="1">IF(D44="","",_xlfn.LET(_xlpm.x,FWM_Row(6,""),J44-INDEX(_xlpm.x,ROWS(_xlpm.x)-20)))</f>
      </c>
      <c r="M44" s="11" cm="1">
        <f t="array" aca="1" ref="M44" ca="1">IF(D44="","",FWM_Sigma(FWM_Row(6," dF")))</f>
      </c>
      <c r="N44" s="45">
        <f t="shared" ca="1" si="1"/>
      </c>
      <c r="O44" s="45" cm="1">
        <f t="array" aca="1" ref="O44" ca="1">IF(D44="","",_xlfn.LET(_xlpm.x,FWM_Row(6,""),(J44-INDEX(_xlpm.x,ROWS(_xlpm.x)-4))/(M44*SQRT(5))))</f>
      </c>
      <c r="AW44">
        <f ca="1"/>
      </c>
      <c r="AX44">
        <f ca="1"/>
      </c>
      <c r="AY44">
        <f ca="1"/>
      </c>
      <c r="AZ44">
        <f ca="1"/>
      </c>
      <c r="BB44">
        <f ca="1"/>
      </c>
      <c r="BC44">
        <f ca="1"/>
      </c>
      <c r="BD44">
        <f ca="1"/>
      </c>
      <c r="BE44">
        <f ca="1"/>
      </c>
      <c r="BF44">
        <f ca="1"/>
      </c>
      <c r="BH44" t="s">
        <v>38</v>
      </c>
      <c r="BI44">
        <v>0</v>
      </c>
      <c r="BK44">
        <f ca="1"/>
      </c>
      <c r="BL44">
        <f ca="1"/>
      </c>
      <c r="BM44">
        <f ca="1"/>
      </c>
      <c r="BN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  <c r="BV44">
        <f ca="1"/>
      </c>
      <c r="BW44">
        <f ca="1"/>
      </c>
      <c r="BX44">
        <f ca="1"/>
      </c>
      <c r="BY44">
        <f ca="1"/>
      </c>
      <c r="BZ44">
        <f ca="1"/>
      </c>
      <c r="CA44">
        <f ca="1"/>
      </c>
      <c r="CB44">
        <f ca="1"/>
      </c>
      <c r="CC44">
        <f ca="1"/>
      </c>
      <c r="CD44">
        <f ca="1"/>
      </c>
      <c r="CE44">
        <f ca="1"/>
      </c>
      <c r="CF44">
        <f ca="1"/>
      </c>
      <c r="CG44">
        <f ca="1"/>
      </c>
      <c r="CH44">
        <f ca="1"/>
      </c>
      <c r="CI44">
        <f ca="1"/>
      </c>
      <c r="CJ44">
        <f ca="1"/>
      </c>
      <c r="CK44">
        <f ca="1"/>
      </c>
      <c r="CL44">
        <f ca="1"/>
      </c>
      <c r="CM44">
        <f ca="1"/>
      </c>
      <c r="CN44">
        <f ca="1"/>
      </c>
      <c r="CO44">
        <f ca="1"/>
      </c>
      <c r="CP44">
        <f ca="1"/>
      </c>
      <c r="CQ44">
        <f ca="1"/>
      </c>
      <c r="CR44">
        <f ca="1"/>
      </c>
      <c r="CS44">
        <f ca="1"/>
      </c>
      <c r="CT44">
        <f ca="1"/>
      </c>
      <c r="CU44">
        <f ca="1"/>
      </c>
      <c r="CV44">
        <f ca="1"/>
      </c>
      <c r="CW44">
        <f ca="1"/>
      </c>
      <c r="CX44">
        <f ca="1"/>
      </c>
      <c r="CY44">
        <f ca="1"/>
      </c>
      <c r="CZ44">
        <f ca="1"/>
      </c>
      <c r="DA44">
        <f ca="1"/>
      </c>
      <c r="DB44">
        <f ca="1"/>
      </c>
      <c r="DC44">
        <f ca="1"/>
      </c>
      <c r="DD44">
        <f ca="1"/>
      </c>
      <c r="DE44">
        <f ca="1"/>
      </c>
      <c r="DG44">
        <f ca="1"/>
      </c>
      <c r="DH44">
        <f ca="1"/>
      </c>
      <c r="DI44">
        <f ca="1"/>
      </c>
      <c r="DJ44">
        <f ca="1"/>
      </c>
      <c r="DK44">
        <f ca="1"/>
      </c>
      <c r="DL44">
        <f ca="1"/>
      </c>
      <c r="DM44">
        <f ca="1"/>
      </c>
      <c r="DN44">
        <f ca="1"/>
      </c>
      <c r="DO44">
        <f ca="1"/>
      </c>
      <c r="DP44">
        <f ca="1"/>
      </c>
      <c r="DQ44">
        <f ca="1"/>
      </c>
      <c r="DR44">
        <f ca="1"/>
      </c>
      <c r="DS44">
        <f ca="1"/>
      </c>
      <c r="DT44">
        <f ca="1"/>
      </c>
      <c r="DU44">
        <f ca="1"/>
      </c>
      <c r="DV44">
        <f ca="1"/>
      </c>
      <c r="DW44">
        <f ca="1"/>
      </c>
      <c r="DX44">
        <f ca="1"/>
      </c>
      <c r="DY44">
        <f ca="1"/>
      </c>
      <c r="DZ44">
        <f ca="1"/>
      </c>
      <c r="EA44">
        <f ca="1"/>
      </c>
      <c r="EB44">
        <f ca="1"/>
      </c>
      <c r="EC44">
        <f ca="1"/>
      </c>
      <c r="ED44">
        <f ca="1"/>
      </c>
      <c r="EE44">
        <f ca="1"/>
      </c>
      <c r="EF44">
        <f ca="1"/>
      </c>
      <c r="EG44">
        <f ca="1"/>
      </c>
      <c r="EH44">
        <f ca="1"/>
      </c>
      <c r="EI44">
        <f ca="1"/>
      </c>
      <c r="EJ44">
        <f ca="1"/>
      </c>
      <c r="EK44">
        <f ca="1"/>
      </c>
      <c r="EL44">
        <f ca="1"/>
      </c>
      <c r="EM44">
        <f ca="1"/>
      </c>
      <c r="EN44">
        <f ca="1"/>
      </c>
      <c r="EO44">
        <f ca="1"/>
      </c>
      <c r="EP44">
        <f ca="1"/>
      </c>
      <c r="EQ44">
        <f ca="1"/>
      </c>
      <c r="ER44">
        <f ca="1"/>
      </c>
      <c r="ES44">
        <f ca="1"/>
      </c>
      <c r="ET44">
        <f ca="1"/>
      </c>
      <c r="EU44">
        <f ca="1"/>
      </c>
      <c r="EV44">
        <f ca="1"/>
      </c>
      <c r="EW44">
        <f ca="1"/>
      </c>
      <c r="EX44">
        <f ca="1"/>
      </c>
      <c r="EY44">
        <f ca="1"/>
      </c>
      <c r="EZ44">
        <f ca="1"/>
      </c>
      <c r="FA44">
        <f ca="1"/>
      </c>
      <c r="FC44">
        <f ca="1"/>
      </c>
      <c r="FD44">
        <f ca="1"/>
      </c>
      <c r="FE44">
        <f ca="1"/>
      </c>
      <c r="FF44">
        <f ca="1"/>
      </c>
      <c r="FG44">
        <f ca="1"/>
      </c>
      <c r="FH44">
        <f ca="1"/>
      </c>
      <c r="FI44">
        <f ca="1"/>
      </c>
      <c r="FJ44">
        <f ca="1"/>
      </c>
      <c r="FK44">
        <f ca="1"/>
      </c>
      <c r="FL44">
        <f ca="1"/>
      </c>
      <c r="FM44">
        <f ca="1"/>
      </c>
      <c r="FN44">
        <f ca="1"/>
      </c>
      <c r="FO44">
        <f ca="1"/>
      </c>
      <c r="FP44">
        <f ca="1"/>
      </c>
      <c r="FQ44">
        <f ca="1"/>
      </c>
      <c r="FR44">
        <f ca="1"/>
      </c>
      <c r="FS44">
        <f ca="1"/>
      </c>
      <c r="FT44">
        <f ca="1"/>
      </c>
      <c r="FU44">
        <f ca="1"/>
      </c>
      <c r="FV44">
        <f ca="1"/>
      </c>
      <c r="FW44">
        <f ca="1"/>
      </c>
      <c r="FX44">
        <f ca="1"/>
      </c>
      <c r="FY44">
        <f ca="1"/>
      </c>
      <c r="FZ44">
        <f ca="1"/>
      </c>
      <c r="GA44">
        <f ca="1"/>
      </c>
      <c r="GB44">
        <f ca="1"/>
      </c>
      <c r="GC44">
        <f ca="1"/>
      </c>
      <c r="GD44">
        <f ca="1"/>
      </c>
      <c r="GE44">
        <f ca="1"/>
      </c>
      <c r="GF44">
        <f ca="1"/>
      </c>
      <c r="GG44">
        <f ca="1"/>
      </c>
      <c r="GH44">
        <f ca="1"/>
      </c>
      <c r="GI44">
        <f ca="1"/>
      </c>
      <c r="GJ44">
        <f ca="1"/>
      </c>
      <c r="GK44">
        <f ca="1"/>
      </c>
      <c r="GL44">
        <f ca="1"/>
      </c>
      <c r="GM44">
        <f ca="1"/>
      </c>
      <c r="GN44">
        <f ca="1"/>
      </c>
      <c r="GO44">
        <f ca="1"/>
      </c>
      <c r="GP44">
        <f ca="1"/>
      </c>
      <c r="GQ44">
        <f ca="1"/>
      </c>
      <c r="GR44">
        <f ca="1"/>
      </c>
      <c r="GS44">
        <f ca="1"/>
      </c>
      <c r="GT44">
        <f ca="1"/>
      </c>
      <c r="GU44">
        <f ca="1"/>
      </c>
      <c r="GV44">
        <f ca="1"/>
      </c>
      <c r="GW44">
        <f ca="1"/>
      </c>
      <c r="HI44" s="7">
        <f ca="1"/>
      </c>
      <c r="HJ44">
        <f ca="1"/>
      </c>
      <c r="HK44">
        <f ca="1"/>
      </c>
      <c r="HL44">
        <f ca="1"/>
      </c>
      <c r="HM44">
        <f ca="1"/>
      </c>
    </row>
    <row r="45" spans="1:221" x14ac:dyDescent="0.55000000000000004">
      <c r="A45" s="2"/>
      <c r="B45">
        <f t="shared" si="0"/>
      </c>
      <c r="C45" s="2" t="s">
        <v>311</v>
      </c>
      <c r="D45" s="2"/>
      <c r="E45" s="2"/>
      <c r="F45" s="2"/>
      <c r="G45" s="2"/>
      <c r="H45" s="2"/>
      <c r="I45" s="2"/>
      <c r="J45" s="14" cm="1">
        <f t="array" ref="J45">IF(D45="","",100*(N(E45)*FWM_LiveOf(D45)+N(G45)*FWM_LiveOf(F45)+N(I45)*FWM_LiveOf(H45)))</f>
      </c>
      <c r="K45" s="44" cm="1">
        <f t="array" aca="1" ref="K45" ca="1">IF(D45="","",_xlfn.LET(_xlpm.x,FWM_Row(7,""),J45-INDEX(_xlpm.x,ROWS(_xlpm.x))))</f>
      </c>
      <c r="L45" s="44" cm="1">
        <f t="array" aca="1" ref="L45" ca="1">IF(D45="","",_xlfn.LET(_xlpm.x,FWM_Row(7,""),J45-INDEX(_xlpm.x,ROWS(_xlpm.x)-20)))</f>
      </c>
      <c r="M45" s="11" cm="1">
        <f t="array" aca="1" ref="M45" ca="1">IF(D45="","",FWM_Sigma(FWM_Row(7," dF")))</f>
      </c>
      <c r="N45" s="45">
        <f t="shared" ca="1" si="1"/>
      </c>
      <c r="O45" s="45" cm="1">
        <f t="array" aca="1" ref="O45" ca="1">IF(D45="","",_xlfn.LET(_xlpm.x,FWM_Row(7,""),(J45-INDEX(_xlpm.x,ROWS(_xlpm.x)-4))/(M45*SQRT(5))))</f>
      </c>
      <c r="AW45">
        <f ca="1"/>
      </c>
      <c r="AX45">
        <f ca="1"/>
      </c>
      <c r="AY45">
        <f ca="1"/>
      </c>
      <c r="AZ45">
        <f ca="1"/>
      </c>
      <c r="BB45">
        <f ca="1"/>
      </c>
      <c r="BC45">
        <f ca="1"/>
      </c>
      <c r="BD45">
        <f ca="1"/>
      </c>
      <c r="BE45">
        <f ca="1"/>
      </c>
      <c r="BF45">
        <f ca="1"/>
      </c>
      <c r="BH45" t="s">
        <v>39</v>
      </c>
      <c r="BI45">
        <v>0</v>
      </c>
      <c r="BK45">
        <f ca="1"/>
      </c>
      <c r="BL45">
        <f ca="1"/>
      </c>
      <c r="BM45">
        <f ca="1"/>
      </c>
      <c r="BN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  <c r="BV45">
        <f ca="1"/>
      </c>
      <c r="BW45">
        <f ca="1"/>
      </c>
      <c r="BX45">
        <f ca="1"/>
      </c>
      <c r="BY45">
        <f ca="1"/>
      </c>
      <c r="BZ45">
        <f ca="1"/>
      </c>
      <c r="CA45">
        <f ca="1"/>
      </c>
      <c r="CB45">
        <f ca="1"/>
      </c>
      <c r="CC45">
        <f ca="1"/>
      </c>
      <c r="CD45">
        <f ca="1"/>
      </c>
      <c r="CE45">
        <f ca="1"/>
      </c>
      <c r="CF45">
        <f ca="1"/>
      </c>
      <c r="CG45">
        <f ca="1"/>
      </c>
      <c r="CH45">
        <f ca="1"/>
      </c>
      <c r="CI45">
        <f ca="1"/>
      </c>
      <c r="CJ45">
        <f ca="1"/>
      </c>
      <c r="CK45">
        <f ca="1"/>
      </c>
      <c r="CL45">
        <f ca="1"/>
      </c>
      <c r="CM45">
        <f ca="1"/>
      </c>
      <c r="CN45">
        <f ca="1"/>
      </c>
      <c r="CO45">
        <f ca="1"/>
      </c>
      <c r="CP45">
        <f ca="1"/>
      </c>
      <c r="CQ45">
        <f ca="1"/>
      </c>
      <c r="CR45">
        <f ca="1"/>
      </c>
      <c r="CS45">
        <f ca="1"/>
      </c>
      <c r="CT45">
        <f ca="1"/>
      </c>
      <c r="CU45">
        <f ca="1"/>
      </c>
      <c r="CV45">
        <f ca="1"/>
      </c>
      <c r="CW45">
        <f ca="1"/>
      </c>
      <c r="CX45">
        <f ca="1"/>
      </c>
      <c r="CY45">
        <f ca="1"/>
      </c>
      <c r="CZ45">
        <f ca="1"/>
      </c>
      <c r="DA45">
        <f ca="1"/>
      </c>
      <c r="DB45">
        <f ca="1"/>
      </c>
      <c r="DC45">
        <f ca="1"/>
      </c>
      <c r="DD45">
        <f ca="1"/>
      </c>
      <c r="DE45">
        <f ca="1"/>
      </c>
      <c r="DG45">
        <f ca="1"/>
      </c>
      <c r="DH45">
        <f ca="1"/>
      </c>
      <c r="DI45">
        <f ca="1"/>
      </c>
      <c r="DJ45">
        <f ca="1"/>
      </c>
      <c r="DK45">
        <f ca="1"/>
      </c>
      <c r="DL45">
        <f ca="1"/>
      </c>
      <c r="DM45">
        <f ca="1"/>
      </c>
      <c r="DN45">
        <f ca="1"/>
      </c>
      <c r="DO45">
        <f ca="1"/>
      </c>
      <c r="DP45">
        <f ca="1"/>
      </c>
      <c r="DQ45">
        <f ca="1"/>
      </c>
      <c r="DR45">
        <f ca="1"/>
      </c>
      <c r="DS45">
        <f ca="1"/>
      </c>
      <c r="DT45">
        <f ca="1"/>
      </c>
      <c r="DU45">
        <f ca="1"/>
      </c>
      <c r="DV45">
        <f ca="1"/>
      </c>
      <c r="DW45">
        <f ca="1"/>
      </c>
      <c r="DX45">
        <f ca="1"/>
      </c>
      <c r="DY45">
        <f ca="1"/>
      </c>
      <c r="DZ45">
        <f ca="1"/>
      </c>
      <c r="EA45">
        <f ca="1"/>
      </c>
      <c r="EB45">
        <f ca="1"/>
      </c>
      <c r="EC45">
        <f ca="1"/>
      </c>
      <c r="ED45">
        <f ca="1"/>
      </c>
      <c r="EE45">
        <f ca="1"/>
      </c>
      <c r="EF45">
        <f ca="1"/>
      </c>
      <c r="EG45">
        <f ca="1"/>
      </c>
      <c r="EH45">
        <f ca="1"/>
      </c>
      <c r="EI45">
        <f ca="1"/>
      </c>
      <c r="EJ45">
        <f ca="1"/>
      </c>
      <c r="EK45">
        <f ca="1"/>
      </c>
      <c r="EL45">
        <f ca="1"/>
      </c>
      <c r="EM45">
        <f ca="1"/>
      </c>
      <c r="EN45">
        <f ca="1"/>
      </c>
      <c r="EO45">
        <f ca="1"/>
      </c>
      <c r="EP45">
        <f ca="1"/>
      </c>
      <c r="EQ45">
        <f ca="1"/>
      </c>
      <c r="ER45">
        <f ca="1"/>
      </c>
      <c r="ES45">
        <f ca="1"/>
      </c>
      <c r="ET45">
        <f ca="1"/>
      </c>
      <c r="EU45">
        <f ca="1"/>
      </c>
      <c r="EV45">
        <f ca="1"/>
      </c>
      <c r="EW45">
        <f ca="1"/>
      </c>
      <c r="EX45">
        <f ca="1"/>
      </c>
      <c r="EY45">
        <f ca="1"/>
      </c>
      <c r="EZ45">
        <f ca="1"/>
      </c>
      <c r="FA45">
        <f ca="1"/>
      </c>
      <c r="FC45">
        <f ca="1"/>
      </c>
      <c r="FD45">
        <f ca="1"/>
      </c>
      <c r="FE45">
        <f ca="1"/>
      </c>
      <c r="FF45">
        <f ca="1"/>
      </c>
      <c r="FG45">
        <f ca="1"/>
      </c>
      <c r="FH45">
        <f ca="1"/>
      </c>
      <c r="FI45">
        <f ca="1"/>
      </c>
      <c r="FJ45">
        <f ca="1"/>
      </c>
      <c r="FK45">
        <f ca="1"/>
      </c>
      <c r="FL45">
        <f ca="1"/>
      </c>
      <c r="FM45">
        <f ca="1"/>
      </c>
      <c r="FN45">
        <f ca="1"/>
      </c>
      <c r="FO45">
        <f ca="1"/>
      </c>
      <c r="FP45">
        <f ca="1"/>
      </c>
      <c r="FQ45">
        <f ca="1"/>
      </c>
      <c r="FR45">
        <f ca="1"/>
      </c>
      <c r="FS45">
        <f ca="1"/>
      </c>
      <c r="FT45">
        <f ca="1"/>
      </c>
      <c r="FU45">
        <f ca="1"/>
      </c>
      <c r="FV45">
        <f ca="1"/>
      </c>
      <c r="FW45">
        <f ca="1"/>
      </c>
      <c r="FX45">
        <f ca="1"/>
      </c>
      <c r="FY45">
        <f ca="1"/>
      </c>
      <c r="FZ45">
        <f ca="1"/>
      </c>
      <c r="GA45">
        <f ca="1"/>
      </c>
      <c r="GB45">
        <f ca="1"/>
      </c>
      <c r="GC45">
        <f ca="1"/>
      </c>
      <c r="GD45">
        <f ca="1"/>
      </c>
      <c r="GE45">
        <f ca="1"/>
      </c>
      <c r="GF45">
        <f ca="1"/>
      </c>
      <c r="GG45">
        <f ca="1"/>
      </c>
      <c r="GH45">
        <f ca="1"/>
      </c>
      <c r="GI45">
        <f ca="1"/>
      </c>
      <c r="GJ45">
        <f ca="1"/>
      </c>
      <c r="GK45">
        <f ca="1"/>
      </c>
      <c r="GL45">
        <f ca="1"/>
      </c>
      <c r="GM45">
        <f ca="1"/>
      </c>
      <c r="GN45">
        <f ca="1"/>
      </c>
      <c r="GO45">
        <f ca="1"/>
      </c>
      <c r="GP45">
        <f ca="1"/>
      </c>
      <c r="GQ45">
        <f ca="1"/>
      </c>
      <c r="GR45">
        <f ca="1"/>
      </c>
      <c r="GS45">
        <f ca="1"/>
      </c>
      <c r="GT45">
        <f ca="1"/>
      </c>
      <c r="GU45">
        <f ca="1"/>
      </c>
      <c r="GV45">
        <f ca="1"/>
      </c>
      <c r="GW45">
        <f ca="1"/>
      </c>
      <c r="HI45" s="7">
        <f ca="1"/>
      </c>
      <c r="HJ45">
        <f ca="1"/>
      </c>
      <c r="HK45">
        <f ca="1"/>
      </c>
      <c r="HL45">
        <f ca="1"/>
      </c>
      <c r="HM45">
        <f ca="1"/>
      </c>
    </row>
    <row r="46" spans="1:221" x14ac:dyDescent="0.55000000000000004">
      <c r="A46" s="2"/>
      <c r="B46">
        <f t="shared" si="0"/>
      </c>
      <c r="C46" s="2" t="s">
        <v>311</v>
      </c>
      <c r="D46" s="2"/>
      <c r="E46" s="2"/>
      <c r="F46" s="2"/>
      <c r="G46" s="2"/>
      <c r="H46" s="2"/>
      <c r="I46" s="2"/>
      <c r="J46" s="14" cm="1">
        <f t="array" ref="J46">IF(D46="","",100*(N(E46)*FWM_LiveOf(D46)+N(G46)*FWM_LiveOf(F46)+N(I46)*FWM_LiveOf(H46)))</f>
      </c>
      <c r="K46" s="44" cm="1">
        <f t="array" aca="1" ref="K46" ca="1">IF(D46="","",_xlfn.LET(_xlpm.x,FWM_Row(8,""),J46-INDEX(_xlpm.x,ROWS(_xlpm.x))))</f>
      </c>
      <c r="L46" s="44" cm="1">
        <f t="array" aca="1" ref="L46" ca="1">IF(D46="","",_xlfn.LET(_xlpm.x,FWM_Row(8,""),J46-INDEX(_xlpm.x,ROWS(_xlpm.x)-20)))</f>
      </c>
      <c r="M46" s="11" cm="1">
        <f t="array" aca="1" ref="M46" ca="1">IF(D46="","",FWM_Sigma(FWM_Row(8," dF")))</f>
      </c>
      <c r="N46" s="45">
        <f t="shared" ca="1" si="1"/>
      </c>
      <c r="O46" s="45" cm="1">
        <f t="array" aca="1" ref="O46" ca="1">IF(D46="","",_xlfn.LET(_xlpm.x,FWM_Row(8,""),(J46-INDEX(_xlpm.x,ROWS(_xlpm.x)-4))/(M46*SQRT(5))))</f>
      </c>
      <c r="AW46">
        <f ca="1"/>
      </c>
      <c r="AX46">
        <f ca="1"/>
      </c>
      <c r="AY46">
        <f ca="1"/>
      </c>
      <c r="AZ46">
        <f ca="1"/>
      </c>
      <c r="BB46">
        <f ca="1"/>
      </c>
      <c r="BC46">
        <f ca="1"/>
      </c>
      <c r="BD46">
        <f ca="1"/>
      </c>
      <c r="BE46">
        <f ca="1"/>
      </c>
      <c r="BF46">
        <f ca="1"/>
      </c>
      <c r="BH46" t="s">
        <v>40</v>
      </c>
      <c r="BI46">
        <v>0</v>
      </c>
      <c r="BK46">
        <f ca="1"/>
      </c>
      <c r="BL46">
        <f ca="1"/>
      </c>
      <c r="BM46">
        <f ca="1"/>
      </c>
      <c r="BN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  <c r="BV46">
        <f ca="1"/>
      </c>
      <c r="BW46">
        <f ca="1"/>
      </c>
      <c r="BX46">
        <f ca="1"/>
      </c>
      <c r="BY46">
        <f ca="1"/>
      </c>
      <c r="BZ46">
        <f ca="1"/>
      </c>
      <c r="CA46">
        <f ca="1"/>
      </c>
      <c r="CB46">
        <f ca="1"/>
      </c>
      <c r="CC46">
        <f ca="1"/>
      </c>
      <c r="CD46">
        <f ca="1"/>
      </c>
      <c r="CE46">
        <f ca="1"/>
      </c>
      <c r="CF46">
        <f ca="1"/>
      </c>
      <c r="CG46">
        <f ca="1"/>
      </c>
      <c r="CH46">
        <f ca="1"/>
      </c>
      <c r="CI46">
        <f ca="1"/>
      </c>
      <c r="CJ46">
        <f ca="1"/>
      </c>
      <c r="CK46">
        <f ca="1"/>
      </c>
      <c r="CL46">
        <f ca="1"/>
      </c>
      <c r="CM46">
        <f ca="1"/>
      </c>
      <c r="CN46">
        <f ca="1"/>
      </c>
      <c r="CO46">
        <f ca="1"/>
      </c>
      <c r="CP46">
        <f ca="1"/>
      </c>
      <c r="CQ46">
        <f ca="1"/>
      </c>
      <c r="CR46">
        <f ca="1"/>
      </c>
      <c r="CS46">
        <f ca="1"/>
      </c>
      <c r="CT46">
        <f ca="1"/>
      </c>
      <c r="CU46">
        <f ca="1"/>
      </c>
      <c r="CV46">
        <f ca="1"/>
      </c>
      <c r="CW46">
        <f ca="1"/>
      </c>
      <c r="CX46">
        <f ca="1"/>
      </c>
      <c r="CY46">
        <f ca="1"/>
      </c>
      <c r="CZ46">
        <f ca="1"/>
      </c>
      <c r="DA46">
        <f ca="1"/>
      </c>
      <c r="DB46">
        <f ca="1"/>
      </c>
      <c r="DC46">
        <f ca="1"/>
      </c>
      <c r="DD46">
        <f ca="1"/>
      </c>
      <c r="DE46">
        <f ca="1"/>
      </c>
      <c r="DG46">
        <f ca="1"/>
      </c>
      <c r="DH46">
        <f ca="1"/>
      </c>
      <c r="DI46">
        <f ca="1"/>
      </c>
      <c r="DJ46">
        <f ca="1"/>
      </c>
      <c r="DK46">
        <f ca="1"/>
      </c>
      <c r="DL46">
        <f ca="1"/>
      </c>
      <c r="DM46">
        <f ca="1"/>
      </c>
      <c r="DN46">
        <f ca="1"/>
      </c>
      <c r="DO46">
        <f ca="1"/>
      </c>
      <c r="DP46">
        <f ca="1"/>
      </c>
      <c r="DQ46">
        <f ca="1"/>
      </c>
      <c r="DR46">
        <f ca="1"/>
      </c>
      <c r="DS46">
        <f ca="1"/>
      </c>
      <c r="DT46">
        <f ca="1"/>
      </c>
      <c r="DU46">
        <f ca="1"/>
      </c>
      <c r="DV46">
        <f ca="1"/>
      </c>
      <c r="DW46">
        <f ca="1"/>
      </c>
      <c r="DX46">
        <f ca="1"/>
      </c>
      <c r="DY46">
        <f ca="1"/>
      </c>
      <c r="DZ46">
        <f ca="1"/>
      </c>
      <c r="EA46">
        <f ca="1"/>
      </c>
      <c r="EB46">
        <f ca="1"/>
      </c>
      <c r="EC46">
        <f ca="1"/>
      </c>
      <c r="ED46">
        <f ca="1"/>
      </c>
      <c r="EE46">
        <f ca="1"/>
      </c>
      <c r="EF46">
        <f ca="1"/>
      </c>
      <c r="EG46">
        <f ca="1"/>
      </c>
      <c r="EH46">
        <f ca="1"/>
      </c>
      <c r="EI46">
        <f ca="1"/>
      </c>
      <c r="EJ46">
        <f ca="1"/>
      </c>
      <c r="EK46">
        <f ca="1"/>
      </c>
      <c r="EL46">
        <f ca="1"/>
      </c>
      <c r="EM46">
        <f ca="1"/>
      </c>
      <c r="EN46">
        <f ca="1"/>
      </c>
      <c r="EO46">
        <f ca="1"/>
      </c>
      <c r="EP46">
        <f ca="1"/>
      </c>
      <c r="EQ46">
        <f ca="1"/>
      </c>
      <c r="ER46">
        <f ca="1"/>
      </c>
      <c r="ES46">
        <f ca="1"/>
      </c>
      <c r="ET46">
        <f ca="1"/>
      </c>
      <c r="EU46">
        <f ca="1"/>
      </c>
      <c r="EV46">
        <f ca="1"/>
      </c>
      <c r="EW46">
        <f ca="1"/>
      </c>
      <c r="EX46">
        <f ca="1"/>
      </c>
      <c r="EY46">
        <f ca="1"/>
      </c>
      <c r="EZ46">
        <f ca="1"/>
      </c>
      <c r="FA46">
        <f ca="1"/>
      </c>
      <c r="FC46">
        <f ca="1"/>
      </c>
      <c r="FD46">
        <f ca="1"/>
      </c>
      <c r="FE46">
        <f ca="1"/>
      </c>
      <c r="FF46">
        <f ca="1"/>
      </c>
      <c r="FG46">
        <f ca="1"/>
      </c>
      <c r="FH46">
        <f ca="1"/>
      </c>
      <c r="FI46">
        <f ca="1"/>
      </c>
      <c r="FJ46">
        <f ca="1"/>
      </c>
      <c r="FK46">
        <f ca="1"/>
      </c>
      <c r="FL46">
        <f ca="1"/>
      </c>
      <c r="FM46">
        <f ca="1"/>
      </c>
      <c r="FN46">
        <f ca="1"/>
      </c>
      <c r="FO46">
        <f ca="1"/>
      </c>
      <c r="FP46">
        <f ca="1"/>
      </c>
      <c r="FQ46">
        <f ca="1"/>
      </c>
      <c r="FR46">
        <f ca="1"/>
      </c>
      <c r="FS46">
        <f ca="1"/>
      </c>
      <c r="FT46">
        <f ca="1"/>
      </c>
      <c r="FU46">
        <f ca="1"/>
      </c>
      <c r="FV46">
        <f ca="1"/>
      </c>
      <c r="FW46">
        <f ca="1"/>
      </c>
      <c r="FX46">
        <f ca="1"/>
      </c>
      <c r="FY46">
        <f ca="1"/>
      </c>
      <c r="FZ46">
        <f ca="1"/>
      </c>
      <c r="GA46">
        <f ca="1"/>
      </c>
      <c r="GB46">
        <f ca="1"/>
      </c>
      <c r="GC46">
        <f ca="1"/>
      </c>
      <c r="GD46">
        <f ca="1"/>
      </c>
      <c r="GE46">
        <f ca="1"/>
      </c>
      <c r="GF46">
        <f ca="1"/>
      </c>
      <c r="GG46">
        <f ca="1"/>
      </c>
      <c r="GH46">
        <f ca="1"/>
      </c>
      <c r="GI46">
        <f ca="1"/>
      </c>
      <c r="GJ46">
        <f ca="1"/>
      </c>
      <c r="GK46">
        <f ca="1"/>
      </c>
      <c r="GL46">
        <f ca="1"/>
      </c>
      <c r="GM46">
        <f ca="1"/>
      </c>
      <c r="GN46">
        <f ca="1"/>
      </c>
      <c r="GO46">
        <f ca="1"/>
      </c>
      <c r="GP46">
        <f ca="1"/>
      </c>
      <c r="GQ46">
        <f ca="1"/>
      </c>
      <c r="GR46">
        <f ca="1"/>
      </c>
      <c r="GS46">
        <f ca="1"/>
      </c>
      <c r="GT46">
        <f ca="1"/>
      </c>
      <c r="GU46">
        <f ca="1"/>
      </c>
      <c r="GV46">
        <f ca="1"/>
      </c>
      <c r="GW46">
        <f ca="1"/>
      </c>
      <c r="HI46" s="7">
        <f ca="1"/>
      </c>
      <c r="HJ46">
        <f ca="1"/>
      </c>
      <c r="HK46">
        <f ca="1"/>
      </c>
      <c r="HL46">
        <f ca="1"/>
      </c>
      <c r="HM46">
        <f ca="1"/>
      </c>
    </row>
    <row r="47" spans="1:221" x14ac:dyDescent="0.55000000000000004">
      <c r="A47" s="2"/>
      <c r="B47">
        <f t="shared" si="0"/>
      </c>
      <c r="C47" s="2" t="s">
        <v>311</v>
      </c>
      <c r="D47" s="2"/>
      <c r="E47" s="2"/>
      <c r="F47" s="2"/>
      <c r="G47" s="2"/>
      <c r="H47" s="2"/>
      <c r="I47" s="2"/>
      <c r="J47" s="14" cm="1">
        <f t="array" ref="J47">IF(D47="","",100*(N(E47)*FWM_LiveOf(D47)+N(G47)*FWM_LiveOf(F47)+N(I47)*FWM_LiveOf(H47)))</f>
      </c>
      <c r="K47" s="44" cm="1">
        <f t="array" aca="1" ref="K47" ca="1">IF(D47="","",_xlfn.LET(_xlpm.x,FWM_Row(9,""),J47-INDEX(_xlpm.x,ROWS(_xlpm.x))))</f>
      </c>
      <c r="L47" s="44" cm="1">
        <f t="array" aca="1" ref="L47" ca="1">IF(D47="","",_xlfn.LET(_xlpm.x,FWM_Row(9,""),J47-INDEX(_xlpm.x,ROWS(_xlpm.x)-20)))</f>
      </c>
      <c r="M47" s="11" cm="1">
        <f t="array" aca="1" ref="M47" ca="1">IF(D47="","",FWM_Sigma(FWM_Row(9," dF")))</f>
      </c>
      <c r="N47" s="45">
        <f t="shared" ca="1" si="1"/>
      </c>
      <c r="O47" s="45" cm="1">
        <f t="array" aca="1" ref="O47" ca="1">IF(D47="","",_xlfn.LET(_xlpm.x,FWM_Row(9,""),(J47-INDEX(_xlpm.x,ROWS(_xlpm.x)-4))/(M47*SQRT(5))))</f>
      </c>
      <c r="BH47" t="s">
        <v>110</v>
      </c>
      <c r="BI47">
        <v>0</v>
      </c>
      <c r="BK47">
        <f ca="1"/>
      </c>
      <c r="BL47">
        <f ca="1"/>
      </c>
      <c r="BM47">
        <f ca="1"/>
      </c>
      <c r="BN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  <c r="BV47">
        <f ca="1"/>
      </c>
      <c r="BW47">
        <f ca="1"/>
      </c>
      <c r="BX47">
        <f ca="1"/>
      </c>
      <c r="BY47">
        <f ca="1"/>
      </c>
      <c r="BZ47">
        <f ca="1"/>
      </c>
      <c r="CA47">
        <f ca="1"/>
      </c>
      <c r="CB47">
        <f ca="1"/>
      </c>
      <c r="CC47">
        <f ca="1"/>
      </c>
      <c r="CD47">
        <f ca="1"/>
      </c>
      <c r="CE47">
        <f ca="1"/>
      </c>
      <c r="CF47">
        <f ca="1"/>
      </c>
      <c r="CG47">
        <f ca="1"/>
      </c>
      <c r="CH47">
        <f ca="1"/>
      </c>
      <c r="CI47">
        <f ca="1"/>
      </c>
      <c r="CJ47">
        <f ca="1"/>
      </c>
      <c r="CK47">
        <f ca="1"/>
      </c>
      <c r="CL47">
        <f ca="1"/>
      </c>
      <c r="CM47">
        <f ca="1"/>
      </c>
      <c r="CN47">
        <f ca="1"/>
      </c>
      <c r="CO47">
        <f ca="1"/>
      </c>
      <c r="CP47">
        <f ca="1"/>
      </c>
      <c r="CQ47">
        <f ca="1"/>
      </c>
      <c r="CR47">
        <f ca="1"/>
      </c>
      <c r="CS47">
        <f ca="1"/>
      </c>
      <c r="CT47">
        <f ca="1"/>
      </c>
      <c r="CU47">
        <f ca="1"/>
      </c>
      <c r="CV47">
        <f ca="1"/>
      </c>
      <c r="CW47">
        <f ca="1"/>
      </c>
      <c r="CX47">
        <f ca="1"/>
      </c>
      <c r="CY47">
        <f ca="1"/>
      </c>
      <c r="CZ47">
        <f ca="1"/>
      </c>
      <c r="DA47">
        <f ca="1"/>
      </c>
      <c r="DB47">
        <f ca="1"/>
      </c>
      <c r="DC47">
        <f ca="1"/>
      </c>
      <c r="DD47">
        <f ca="1"/>
      </c>
      <c r="DE47">
        <f ca="1"/>
      </c>
      <c r="DG47">
        <f ca="1"/>
      </c>
      <c r="DH47">
        <f ca="1"/>
      </c>
      <c r="DI47">
        <f ca="1"/>
      </c>
      <c r="DJ47">
        <f ca="1"/>
      </c>
      <c r="DK47">
        <f ca="1"/>
      </c>
      <c r="DL47">
        <f ca="1"/>
      </c>
      <c r="DM47">
        <f ca="1"/>
      </c>
      <c r="DN47">
        <f ca="1"/>
      </c>
      <c r="DO47">
        <f ca="1"/>
      </c>
      <c r="DP47">
        <f ca="1"/>
      </c>
      <c r="DQ47">
        <f ca="1"/>
      </c>
      <c r="DR47">
        <f ca="1"/>
      </c>
      <c r="DS47">
        <f ca="1"/>
      </c>
      <c r="DT47">
        <f ca="1"/>
      </c>
      <c r="DU47">
        <f ca="1"/>
      </c>
      <c r="DV47">
        <f ca="1"/>
      </c>
      <c r="DW47">
        <f ca="1"/>
      </c>
      <c r="DX47">
        <f ca="1"/>
      </c>
      <c r="DY47">
        <f ca="1"/>
      </c>
      <c r="DZ47">
        <f ca="1"/>
      </c>
      <c r="EA47">
        <f ca="1"/>
      </c>
      <c r="EB47">
        <f ca="1"/>
      </c>
      <c r="EC47">
        <f ca="1"/>
      </c>
      <c r="ED47">
        <f ca="1"/>
      </c>
      <c r="EE47">
        <f ca="1"/>
      </c>
      <c r="EF47">
        <f ca="1"/>
      </c>
      <c r="EG47">
        <f ca="1"/>
      </c>
      <c r="EH47">
        <f ca="1"/>
      </c>
      <c r="EI47">
        <f ca="1"/>
      </c>
      <c r="EJ47">
        <f ca="1"/>
      </c>
      <c r="EK47">
        <f ca="1"/>
      </c>
      <c r="EL47">
        <f ca="1"/>
      </c>
      <c r="EM47">
        <f ca="1"/>
      </c>
      <c r="EN47">
        <f ca="1"/>
      </c>
      <c r="EO47">
        <f ca="1"/>
      </c>
      <c r="EP47">
        <f ca="1"/>
      </c>
      <c r="EQ47">
        <f ca="1"/>
      </c>
      <c r="ER47">
        <f ca="1"/>
      </c>
      <c r="ES47">
        <f ca="1"/>
      </c>
      <c r="ET47">
        <f ca="1"/>
      </c>
      <c r="EU47">
        <f ca="1"/>
      </c>
      <c r="EV47">
        <f ca="1"/>
      </c>
      <c r="EW47">
        <f ca="1"/>
      </c>
      <c r="EX47">
        <f ca="1"/>
      </c>
      <c r="EY47">
        <f ca="1"/>
      </c>
      <c r="EZ47">
        <f ca="1"/>
      </c>
      <c r="FA47">
        <f ca="1"/>
      </c>
      <c r="FC47">
        <f ca="1"/>
      </c>
      <c r="FD47">
        <f ca="1"/>
      </c>
      <c r="FE47">
        <f ca="1"/>
      </c>
      <c r="FF47">
        <f ca="1"/>
      </c>
      <c r="FG47">
        <f ca="1"/>
      </c>
      <c r="FH47">
        <f ca="1"/>
      </c>
      <c r="FI47">
        <f ca="1"/>
      </c>
      <c r="FJ47">
        <f ca="1"/>
      </c>
      <c r="FK47">
        <f ca="1"/>
      </c>
      <c r="FL47">
        <f ca="1"/>
      </c>
      <c r="FM47">
        <f ca="1"/>
      </c>
      <c r="FN47">
        <f ca="1"/>
      </c>
      <c r="FO47">
        <f ca="1"/>
      </c>
      <c r="FP47">
        <f ca="1"/>
      </c>
      <c r="FQ47">
        <f ca="1"/>
      </c>
      <c r="FR47">
        <f ca="1"/>
      </c>
      <c r="FS47">
        <f ca="1"/>
      </c>
      <c r="FT47">
        <f ca="1"/>
      </c>
      <c r="FU47">
        <f ca="1"/>
      </c>
      <c r="FV47">
        <f ca="1"/>
      </c>
      <c r="FW47">
        <f ca="1"/>
      </c>
      <c r="FX47">
        <f ca="1"/>
      </c>
      <c r="FY47">
        <f ca="1"/>
      </c>
      <c r="FZ47">
        <f ca="1"/>
      </c>
      <c r="GA47">
        <f ca="1"/>
      </c>
      <c r="GB47">
        <f ca="1"/>
      </c>
      <c r="GC47">
        <f ca="1"/>
      </c>
      <c r="GD47">
        <f ca="1"/>
      </c>
      <c r="GE47">
        <f ca="1"/>
      </c>
      <c r="GF47">
        <f ca="1"/>
      </c>
      <c r="GG47">
        <f ca="1"/>
      </c>
      <c r="GH47">
        <f ca="1"/>
      </c>
      <c r="GI47">
        <f ca="1"/>
      </c>
      <c r="GJ47">
        <f ca="1"/>
      </c>
      <c r="GK47">
        <f ca="1"/>
      </c>
      <c r="GL47">
        <f ca="1"/>
      </c>
      <c r="GM47">
        <f ca="1"/>
      </c>
      <c r="GN47">
        <f ca="1"/>
      </c>
      <c r="GO47">
        <f ca="1"/>
      </c>
      <c r="GP47">
        <f ca="1"/>
      </c>
      <c r="GQ47">
        <f ca="1"/>
      </c>
      <c r="GR47">
        <f ca="1"/>
      </c>
      <c r="GS47">
        <f ca="1"/>
      </c>
      <c r="GT47">
        <f ca="1"/>
      </c>
      <c r="GU47">
        <f ca="1"/>
      </c>
      <c r="GV47">
        <f ca="1"/>
      </c>
      <c r="GW47">
        <f ca="1"/>
      </c>
      <c r="HI47" s="7">
        <f ca="1"/>
      </c>
      <c r="HJ47">
        <f ca="1"/>
      </c>
      <c r="HK47">
        <f ca="1"/>
      </c>
      <c r="HL47">
        <f ca="1"/>
      </c>
      <c r="HM47">
        <f ca="1"/>
      </c>
    </row>
    <row r="48" spans="1:221" x14ac:dyDescent="0.55000000000000004">
      <c r="A48" s="2"/>
      <c r="B48">
        <f t="shared" si="0"/>
      </c>
      <c r="C48" s="2" t="s">
        <v>311</v>
      </c>
      <c r="D48" s="2"/>
      <c r="E48" s="2"/>
      <c r="F48" s="2"/>
      <c r="G48" s="2"/>
      <c r="H48" s="2"/>
      <c r="I48" s="2"/>
      <c r="J48" s="14" cm="1">
        <f t="array" ref="J48">IF(D48="","",100*(N(E48)*FWM_LiveOf(D48)+N(G48)*FWM_LiveOf(F48)+N(I48)*FWM_LiveOf(H48)))</f>
      </c>
      <c r="K48" s="44" cm="1">
        <f t="array" aca="1" ref="K48" ca="1">IF(D48="","",_xlfn.LET(_xlpm.x,FWM_Row(10,""),J48-INDEX(_xlpm.x,ROWS(_xlpm.x))))</f>
      </c>
      <c r="L48" s="44" cm="1">
        <f t="array" aca="1" ref="L48" ca="1">IF(D48="","",_xlfn.LET(_xlpm.x,FWM_Row(10,""),J48-INDEX(_xlpm.x,ROWS(_xlpm.x)-20)))</f>
      </c>
      <c r="M48" s="11" cm="1">
        <f t="array" aca="1" ref="M48" ca="1">IF(D48="","",FWM_Sigma(FWM_Row(10," dF")))</f>
      </c>
      <c r="N48" s="45">
        <f t="shared" ca="1" si="1"/>
      </c>
      <c r="O48" s="45" cm="1">
        <f t="array" aca="1" ref="O48" ca="1">IF(D48="","",_xlfn.LET(_xlpm.x,FWM_Row(10,""),(J48-INDEX(_xlpm.x,ROWS(_xlpm.x)-4))/(M48*SQRT(5))))</f>
      </c>
      <c r="BK48">
        <f ca="1"/>
      </c>
      <c r="BL48">
        <f ca="1"/>
      </c>
      <c r="BM48">
        <f ca="1"/>
      </c>
      <c r="BN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  <c r="BV48">
        <f ca="1"/>
      </c>
      <c r="BW48">
        <f ca="1"/>
      </c>
      <c r="BX48">
        <f ca="1"/>
      </c>
      <c r="BY48">
        <f ca="1"/>
      </c>
      <c r="BZ48">
        <f ca="1"/>
      </c>
      <c r="CA48">
        <f ca="1"/>
      </c>
      <c r="CB48">
        <f ca="1"/>
      </c>
      <c r="CC48">
        <f ca="1"/>
      </c>
      <c r="CD48">
        <f ca="1"/>
      </c>
      <c r="CE48">
        <f ca="1"/>
      </c>
      <c r="CF48">
        <f ca="1"/>
      </c>
      <c r="CG48">
        <f ca="1"/>
      </c>
      <c r="CH48">
        <f ca="1"/>
      </c>
      <c r="CI48">
        <f ca="1"/>
      </c>
      <c r="CJ48">
        <f ca="1"/>
      </c>
      <c r="CK48">
        <f ca="1"/>
      </c>
      <c r="CL48">
        <f ca="1"/>
      </c>
      <c r="CM48">
        <f ca="1"/>
      </c>
      <c r="CN48">
        <f ca="1"/>
      </c>
      <c r="CO48">
        <f ca="1"/>
      </c>
      <c r="CP48">
        <f ca="1"/>
      </c>
      <c r="CQ48">
        <f ca="1"/>
      </c>
      <c r="CR48">
        <f ca="1"/>
      </c>
      <c r="CS48">
        <f ca="1"/>
      </c>
      <c r="CT48">
        <f ca="1"/>
      </c>
      <c r="CU48">
        <f ca="1"/>
      </c>
      <c r="CV48">
        <f ca="1"/>
      </c>
      <c r="CW48">
        <f ca="1"/>
      </c>
      <c r="CX48">
        <f ca="1"/>
      </c>
      <c r="CY48">
        <f ca="1"/>
      </c>
      <c r="CZ48">
        <f ca="1"/>
      </c>
      <c r="DA48">
        <f ca="1"/>
      </c>
      <c r="DB48">
        <f ca="1"/>
      </c>
      <c r="DC48">
        <f ca="1"/>
      </c>
      <c r="DD48">
        <f ca="1"/>
      </c>
      <c r="DE48">
        <f ca="1"/>
      </c>
      <c r="DG48">
        <f ca="1"/>
      </c>
      <c r="DH48">
        <f ca="1"/>
      </c>
      <c r="DI48">
        <f ca="1"/>
      </c>
      <c r="DJ48">
        <f ca="1"/>
      </c>
      <c r="DK48">
        <f ca="1"/>
      </c>
      <c r="DL48">
        <f ca="1"/>
      </c>
      <c r="DM48">
        <f ca="1"/>
      </c>
      <c r="DN48">
        <f ca="1"/>
      </c>
      <c r="DO48">
        <f ca="1"/>
      </c>
      <c r="DP48">
        <f ca="1"/>
      </c>
      <c r="DQ48">
        <f ca="1"/>
      </c>
      <c r="DR48">
        <f ca="1"/>
      </c>
      <c r="DS48">
        <f ca="1"/>
      </c>
      <c r="DT48">
        <f ca="1"/>
      </c>
      <c r="DU48">
        <f ca="1"/>
      </c>
      <c r="DV48">
        <f ca="1"/>
      </c>
      <c r="DW48">
        <f ca="1"/>
      </c>
      <c r="DX48">
        <f ca="1"/>
      </c>
      <c r="DY48">
        <f ca="1"/>
      </c>
      <c r="DZ48">
        <f ca="1"/>
      </c>
      <c r="EA48">
        <f ca="1"/>
      </c>
      <c r="EB48">
        <f ca="1"/>
      </c>
      <c r="EC48">
        <f ca="1"/>
      </c>
      <c r="ED48">
        <f ca="1"/>
      </c>
      <c r="EE48">
        <f ca="1"/>
      </c>
      <c r="EF48">
        <f ca="1"/>
      </c>
      <c r="EG48">
        <f ca="1"/>
      </c>
      <c r="EH48">
        <f ca="1"/>
      </c>
      <c r="EI48">
        <f ca="1"/>
      </c>
      <c r="EJ48">
        <f ca="1"/>
      </c>
      <c r="EK48">
        <f ca="1"/>
      </c>
      <c r="EL48">
        <f ca="1"/>
      </c>
      <c r="EM48">
        <f ca="1"/>
      </c>
      <c r="EN48">
        <f ca="1"/>
      </c>
      <c r="EO48">
        <f ca="1"/>
      </c>
      <c r="EP48">
        <f ca="1"/>
      </c>
      <c r="EQ48">
        <f ca="1"/>
      </c>
      <c r="ER48">
        <f ca="1"/>
      </c>
      <c r="ES48">
        <f ca="1"/>
      </c>
      <c r="ET48">
        <f ca="1"/>
      </c>
      <c r="EU48">
        <f ca="1"/>
      </c>
      <c r="EV48">
        <f ca="1"/>
      </c>
      <c r="EW48">
        <f ca="1"/>
      </c>
      <c r="EX48">
        <f ca="1"/>
      </c>
      <c r="EY48">
        <f ca="1"/>
      </c>
      <c r="EZ48">
        <f ca="1"/>
      </c>
      <c r="FA48">
        <f ca="1"/>
      </c>
      <c r="FC48">
        <f ca="1"/>
      </c>
      <c r="FD48">
        <f ca="1"/>
      </c>
      <c r="FE48">
        <f ca="1"/>
      </c>
      <c r="FF48">
        <f ca="1"/>
      </c>
      <c r="FG48">
        <f ca="1"/>
      </c>
      <c r="FH48">
        <f ca="1"/>
      </c>
      <c r="FI48">
        <f ca="1"/>
      </c>
      <c r="FJ48">
        <f ca="1"/>
      </c>
      <c r="FK48">
        <f ca="1"/>
      </c>
      <c r="FL48">
        <f ca="1"/>
      </c>
      <c r="FM48">
        <f ca="1"/>
      </c>
      <c r="FN48">
        <f ca="1"/>
      </c>
      <c r="FO48">
        <f ca="1"/>
      </c>
      <c r="FP48">
        <f ca="1"/>
      </c>
      <c r="FQ48">
        <f ca="1"/>
      </c>
      <c r="FR48">
        <f ca="1"/>
      </c>
      <c r="FS48">
        <f ca="1"/>
      </c>
      <c r="FT48">
        <f ca="1"/>
      </c>
      <c r="FU48">
        <f ca="1"/>
      </c>
      <c r="FV48">
        <f ca="1"/>
      </c>
      <c r="FW48">
        <f ca="1"/>
      </c>
      <c r="FX48">
        <f ca="1"/>
      </c>
      <c r="FY48">
        <f ca="1"/>
      </c>
      <c r="FZ48">
        <f ca="1"/>
      </c>
      <c r="GA48">
        <f ca="1"/>
      </c>
      <c r="GB48">
        <f ca="1"/>
      </c>
      <c r="GC48">
        <f ca="1"/>
      </c>
      <c r="GD48">
        <f ca="1"/>
      </c>
      <c r="GE48">
        <f ca="1"/>
      </c>
      <c r="GF48">
        <f ca="1"/>
      </c>
      <c r="GG48">
        <f ca="1"/>
      </c>
      <c r="GH48">
        <f ca="1"/>
      </c>
      <c r="GI48">
        <f ca="1"/>
      </c>
      <c r="GJ48">
        <f ca="1"/>
      </c>
      <c r="GK48">
        <f ca="1"/>
      </c>
      <c r="GL48">
        <f ca="1"/>
      </c>
      <c r="GM48">
        <f ca="1"/>
      </c>
      <c r="GN48">
        <f ca="1"/>
      </c>
      <c r="GO48">
        <f ca="1"/>
      </c>
      <c r="GP48">
        <f ca="1"/>
      </c>
      <c r="GQ48">
        <f ca="1"/>
      </c>
      <c r="GR48">
        <f ca="1"/>
      </c>
      <c r="GS48">
        <f ca="1"/>
      </c>
      <c r="GT48">
        <f ca="1"/>
      </c>
      <c r="GU48">
        <f ca="1"/>
      </c>
      <c r="GV48">
        <f ca="1"/>
      </c>
      <c r="GW48">
        <f ca="1"/>
      </c>
      <c r="HI48" s="7">
        <f ca="1"/>
      </c>
      <c r="HJ48">
        <f ca="1"/>
      </c>
      <c r="HK48">
        <f ca="1"/>
      </c>
      <c r="HL48">
        <f ca="1"/>
      </c>
      <c r="HM48">
        <f ca="1"/>
      </c>
    </row>
    <row r="49" spans="1:221" x14ac:dyDescent="0.55000000000000004">
      <c r="A49" t="s">
        <v>313</v>
      </c>
      <c r="BK49">
        <f ca="1"/>
      </c>
      <c r="BL49">
        <f ca="1"/>
      </c>
      <c r="BM49">
        <f ca="1"/>
      </c>
      <c r="BN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  <c r="BV49">
        <f ca="1"/>
      </c>
      <c r="BW49">
        <f ca="1"/>
      </c>
      <c r="BX49">
        <f ca="1"/>
      </c>
      <c r="BY49">
        <f ca="1"/>
      </c>
      <c r="BZ49">
        <f ca="1"/>
      </c>
      <c r="CA49">
        <f ca="1"/>
      </c>
      <c r="CB49">
        <f ca="1"/>
      </c>
      <c r="CC49">
        <f ca="1"/>
      </c>
      <c r="CD49">
        <f ca="1"/>
      </c>
      <c r="CE49">
        <f ca="1"/>
      </c>
      <c r="CF49">
        <f ca="1"/>
      </c>
      <c r="CG49">
        <f ca="1"/>
      </c>
      <c r="CH49">
        <f ca="1"/>
      </c>
      <c r="CI49">
        <f ca="1"/>
      </c>
      <c r="CJ49">
        <f ca="1"/>
      </c>
      <c r="CK49">
        <f ca="1"/>
      </c>
      <c r="CL49">
        <f ca="1"/>
      </c>
      <c r="CM49">
        <f ca="1"/>
      </c>
      <c r="CN49">
        <f ca="1"/>
      </c>
      <c r="CO49">
        <f ca="1"/>
      </c>
      <c r="CP49">
        <f ca="1"/>
      </c>
      <c r="CQ49">
        <f ca="1"/>
      </c>
      <c r="CR49">
        <f ca="1"/>
      </c>
      <c r="CS49">
        <f ca="1"/>
      </c>
      <c r="CT49">
        <f ca="1"/>
      </c>
      <c r="CU49">
        <f ca="1"/>
      </c>
      <c r="CV49">
        <f ca="1"/>
      </c>
      <c r="CW49">
        <f ca="1"/>
      </c>
      <c r="CX49">
        <f ca="1"/>
      </c>
      <c r="CY49">
        <f ca="1"/>
      </c>
      <c r="CZ49">
        <f ca="1"/>
      </c>
      <c r="DA49">
        <f ca="1"/>
      </c>
      <c r="DB49">
        <f ca="1"/>
      </c>
      <c r="DC49">
        <f ca="1"/>
      </c>
      <c r="DD49">
        <f ca="1"/>
      </c>
      <c r="DE49">
        <f ca="1"/>
      </c>
      <c r="DG49">
        <f ca="1"/>
      </c>
      <c r="DH49">
        <f ca="1"/>
      </c>
      <c r="DI49">
        <f ca="1"/>
      </c>
      <c r="DJ49">
        <f ca="1"/>
      </c>
      <c r="DK49">
        <f ca="1"/>
      </c>
      <c r="DL49">
        <f ca="1"/>
      </c>
      <c r="DM49">
        <f ca="1"/>
      </c>
      <c r="DN49">
        <f ca="1"/>
      </c>
      <c r="DO49">
        <f ca="1"/>
      </c>
      <c r="DP49">
        <f ca="1"/>
      </c>
      <c r="DQ49">
        <f ca="1"/>
      </c>
      <c r="DR49">
        <f ca="1"/>
      </c>
      <c r="DS49">
        <f ca="1"/>
      </c>
      <c r="DT49">
        <f ca="1"/>
      </c>
      <c r="DU49">
        <f ca="1"/>
      </c>
      <c r="DV49">
        <f ca="1"/>
      </c>
      <c r="DW49">
        <f ca="1"/>
      </c>
      <c r="DX49">
        <f ca="1"/>
      </c>
      <c r="DY49">
        <f ca="1"/>
      </c>
      <c r="DZ49">
        <f ca="1"/>
      </c>
      <c r="EA49">
        <f ca="1"/>
      </c>
      <c r="EB49">
        <f ca="1"/>
      </c>
      <c r="EC49">
        <f ca="1"/>
      </c>
      <c r="ED49">
        <f ca="1"/>
      </c>
      <c r="EE49">
        <f ca="1"/>
      </c>
      <c r="EF49">
        <f ca="1"/>
      </c>
      <c r="EG49">
        <f ca="1"/>
      </c>
      <c r="EH49">
        <f ca="1"/>
      </c>
      <c r="EI49">
        <f ca="1"/>
      </c>
      <c r="EJ49">
        <f ca="1"/>
      </c>
      <c r="EK49">
        <f ca="1"/>
      </c>
      <c r="EL49">
        <f ca="1"/>
      </c>
      <c r="EM49">
        <f ca="1"/>
      </c>
      <c r="EN49">
        <f ca="1"/>
      </c>
      <c r="EO49">
        <f ca="1"/>
      </c>
      <c r="EP49">
        <f ca="1"/>
      </c>
      <c r="EQ49">
        <f ca="1"/>
      </c>
      <c r="ER49">
        <f ca="1"/>
      </c>
      <c r="ES49">
        <f ca="1"/>
      </c>
      <c r="ET49">
        <f ca="1"/>
      </c>
      <c r="EU49">
        <f ca="1"/>
      </c>
      <c r="EV49">
        <f ca="1"/>
      </c>
      <c r="EW49">
        <f ca="1"/>
      </c>
      <c r="EX49">
        <f ca="1"/>
      </c>
      <c r="EY49">
        <f ca="1"/>
      </c>
      <c r="EZ49">
        <f ca="1"/>
      </c>
      <c r="FA49">
        <f ca="1"/>
      </c>
      <c r="FC49">
        <f ca="1"/>
      </c>
      <c r="FD49">
        <f ca="1"/>
      </c>
      <c r="FE49">
        <f ca="1"/>
      </c>
      <c r="FF49">
        <f ca="1"/>
      </c>
      <c r="FG49">
        <f ca="1"/>
      </c>
      <c r="FH49">
        <f ca="1"/>
      </c>
      <c r="FI49">
        <f ca="1"/>
      </c>
      <c r="FJ49">
        <f ca="1"/>
      </c>
      <c r="FK49">
        <f ca="1"/>
      </c>
      <c r="FL49">
        <f ca="1"/>
      </c>
      <c r="FM49">
        <f ca="1"/>
      </c>
      <c r="FN49">
        <f ca="1"/>
      </c>
      <c r="FO49">
        <f ca="1"/>
      </c>
      <c r="FP49">
        <f ca="1"/>
      </c>
      <c r="FQ49">
        <f ca="1"/>
      </c>
      <c r="FR49">
        <f ca="1"/>
      </c>
      <c r="FS49">
        <f ca="1"/>
      </c>
      <c r="FT49">
        <f ca="1"/>
      </c>
      <c r="FU49">
        <f ca="1"/>
      </c>
      <c r="FV49">
        <f ca="1"/>
      </c>
      <c r="FW49">
        <f ca="1"/>
      </c>
      <c r="FX49">
        <f ca="1"/>
      </c>
      <c r="FY49">
        <f ca="1"/>
      </c>
      <c r="FZ49">
        <f ca="1"/>
      </c>
      <c r="GA49">
        <f ca="1"/>
      </c>
      <c r="GB49">
        <f ca="1"/>
      </c>
      <c r="GC49">
        <f ca="1"/>
      </c>
      <c r="GD49">
        <f ca="1"/>
      </c>
      <c r="GE49">
        <f ca="1"/>
      </c>
      <c r="GF49">
        <f ca="1"/>
      </c>
      <c r="GG49">
        <f ca="1"/>
      </c>
      <c r="GH49">
        <f ca="1"/>
      </c>
      <c r="GI49">
        <f ca="1"/>
      </c>
      <c r="GJ49">
        <f ca="1"/>
      </c>
      <c r="GK49">
        <f ca="1"/>
      </c>
      <c r="GL49">
        <f ca="1"/>
      </c>
      <c r="GM49">
        <f ca="1"/>
      </c>
      <c r="GN49">
        <f ca="1"/>
      </c>
      <c r="GO49">
        <f ca="1"/>
      </c>
      <c r="GP49">
        <f ca="1"/>
      </c>
      <c r="GQ49">
        <f ca="1"/>
      </c>
      <c r="GR49">
        <f ca="1"/>
      </c>
      <c r="GS49">
        <f ca="1"/>
      </c>
      <c r="GT49">
        <f ca="1"/>
      </c>
      <c r="GU49">
        <f ca="1"/>
      </c>
      <c r="GV49">
        <f ca="1"/>
      </c>
      <c r="GW49">
        <f ca="1"/>
      </c>
      <c r="HI49" s="7">
        <f ca="1"/>
      </c>
      <c r="HJ49">
        <f ca="1"/>
      </c>
      <c r="HK49">
        <f ca="1"/>
      </c>
      <c r="HL49">
        <f ca="1"/>
      </c>
      <c r="HM49">
        <f ca="1"/>
      </c>
    </row>
    <row r="50" spans="1:221" x14ac:dyDescent="0.55000000000000004">
      <c r="BK50">
        <f ca="1"/>
      </c>
      <c r="BL50">
        <f ca="1"/>
      </c>
      <c r="BM50">
        <f ca="1"/>
      </c>
      <c r="BN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  <c r="BV50">
        <f ca="1"/>
      </c>
      <c r="BW50">
        <f ca="1"/>
      </c>
      <c r="BX50">
        <f ca="1"/>
      </c>
      <c r="BY50">
        <f ca="1"/>
      </c>
      <c r="BZ50">
        <f ca="1"/>
      </c>
      <c r="CA50">
        <f ca="1"/>
      </c>
      <c r="CB50">
        <f ca="1"/>
      </c>
      <c r="CC50">
        <f ca="1"/>
      </c>
      <c r="CD50">
        <f ca="1"/>
      </c>
      <c r="CE50">
        <f ca="1"/>
      </c>
      <c r="CF50">
        <f ca="1"/>
      </c>
      <c r="CG50">
        <f ca="1"/>
      </c>
      <c r="CH50">
        <f ca="1"/>
      </c>
      <c r="CI50">
        <f ca="1"/>
      </c>
      <c r="CJ50">
        <f ca="1"/>
      </c>
      <c r="CK50">
        <f ca="1"/>
      </c>
      <c r="CL50">
        <f ca="1"/>
      </c>
      <c r="CM50">
        <f ca="1"/>
      </c>
      <c r="CN50">
        <f ca="1"/>
      </c>
      <c r="CO50">
        <f ca="1"/>
      </c>
      <c r="CP50">
        <f ca="1"/>
      </c>
      <c r="CQ50">
        <f ca="1"/>
      </c>
      <c r="CR50">
        <f ca="1"/>
      </c>
      <c r="CS50">
        <f ca="1"/>
      </c>
      <c r="CT50">
        <f ca="1"/>
      </c>
      <c r="CU50">
        <f ca="1"/>
      </c>
      <c r="CV50">
        <f ca="1"/>
      </c>
      <c r="CW50">
        <f ca="1"/>
      </c>
      <c r="CX50">
        <f ca="1"/>
      </c>
      <c r="CY50">
        <f ca="1"/>
      </c>
      <c r="CZ50">
        <f ca="1"/>
      </c>
      <c r="DA50">
        <f ca="1"/>
      </c>
      <c r="DB50">
        <f ca="1"/>
      </c>
      <c r="DC50">
        <f ca="1"/>
      </c>
      <c r="DD50">
        <f ca="1"/>
      </c>
      <c r="DE50">
        <f ca="1"/>
      </c>
      <c r="DG50">
        <f ca="1"/>
      </c>
      <c r="DH50">
        <f ca="1"/>
      </c>
      <c r="DI50">
        <f ca="1"/>
      </c>
      <c r="DJ50">
        <f ca="1"/>
      </c>
      <c r="DK50">
        <f ca="1"/>
      </c>
      <c r="DL50">
        <f ca="1"/>
      </c>
      <c r="DM50">
        <f ca="1"/>
      </c>
      <c r="DN50">
        <f ca="1"/>
      </c>
      <c r="DO50">
        <f ca="1"/>
      </c>
      <c r="DP50">
        <f ca="1"/>
      </c>
      <c r="DQ50">
        <f ca="1"/>
      </c>
      <c r="DR50">
        <f ca="1"/>
      </c>
      <c r="DS50">
        <f ca="1"/>
      </c>
      <c r="DT50">
        <f ca="1"/>
      </c>
      <c r="DU50">
        <f ca="1"/>
      </c>
      <c r="DV50">
        <f ca="1"/>
      </c>
      <c r="DW50">
        <f ca="1"/>
      </c>
      <c r="DX50">
        <f ca="1"/>
      </c>
      <c r="DY50">
        <f ca="1"/>
      </c>
      <c r="DZ50">
        <f ca="1"/>
      </c>
      <c r="EA50">
        <f ca="1"/>
      </c>
      <c r="EB50">
        <f ca="1"/>
      </c>
      <c r="EC50">
        <f ca="1"/>
      </c>
      <c r="ED50">
        <f ca="1"/>
      </c>
      <c r="EE50">
        <f ca="1"/>
      </c>
      <c r="EF50">
        <f ca="1"/>
      </c>
      <c r="EG50">
        <f ca="1"/>
      </c>
      <c r="EH50">
        <f ca="1"/>
      </c>
      <c r="EI50">
        <f ca="1"/>
      </c>
      <c r="EJ50">
        <f ca="1"/>
      </c>
      <c r="EK50">
        <f ca="1"/>
      </c>
      <c r="EL50">
        <f ca="1"/>
      </c>
      <c r="EM50">
        <f ca="1"/>
      </c>
      <c r="EN50">
        <f ca="1"/>
      </c>
      <c r="EO50">
        <f ca="1"/>
      </c>
      <c r="EP50">
        <f ca="1"/>
      </c>
      <c r="EQ50">
        <f ca="1"/>
      </c>
      <c r="ER50">
        <f ca="1"/>
      </c>
      <c r="ES50">
        <f ca="1"/>
      </c>
      <c r="ET50">
        <f ca="1"/>
      </c>
      <c r="EU50">
        <f ca="1"/>
      </c>
      <c r="EV50">
        <f ca="1"/>
      </c>
      <c r="EW50">
        <f ca="1"/>
      </c>
      <c r="EX50">
        <f ca="1"/>
      </c>
      <c r="EY50">
        <f ca="1"/>
      </c>
      <c r="EZ50">
        <f ca="1"/>
      </c>
      <c r="FA50">
        <f ca="1"/>
      </c>
      <c r="FC50">
        <f ca="1"/>
      </c>
      <c r="FD50">
        <f ca="1"/>
      </c>
      <c r="FE50">
        <f ca="1"/>
      </c>
      <c r="FF50">
        <f ca="1"/>
      </c>
      <c r="FG50">
        <f ca="1"/>
      </c>
      <c r="FH50">
        <f ca="1"/>
      </c>
      <c r="FI50">
        <f ca="1"/>
      </c>
      <c r="FJ50">
        <f ca="1"/>
      </c>
      <c r="FK50">
        <f ca="1"/>
      </c>
      <c r="FL50">
        <f ca="1"/>
      </c>
      <c r="FM50">
        <f ca="1"/>
      </c>
      <c r="FN50">
        <f ca="1"/>
      </c>
      <c r="FO50">
        <f ca="1"/>
      </c>
      <c r="FP50">
        <f ca="1"/>
      </c>
      <c r="FQ50">
        <f ca="1"/>
      </c>
      <c r="FR50">
        <f ca="1"/>
      </c>
      <c r="FS50">
        <f ca="1"/>
      </c>
      <c r="FT50">
        <f ca="1"/>
      </c>
      <c r="FU50">
        <f ca="1"/>
      </c>
      <c r="FV50">
        <f ca="1"/>
      </c>
      <c r="FW50">
        <f ca="1"/>
      </c>
      <c r="FX50">
        <f ca="1"/>
      </c>
      <c r="FY50">
        <f ca="1"/>
      </c>
      <c r="FZ50">
        <f ca="1"/>
      </c>
      <c r="GA50">
        <f ca="1"/>
      </c>
      <c r="GB50">
        <f ca="1"/>
      </c>
      <c r="GC50">
        <f ca="1"/>
      </c>
      <c r="GD50">
        <f ca="1"/>
      </c>
      <c r="GE50">
        <f ca="1"/>
      </c>
      <c r="GF50">
        <f ca="1"/>
      </c>
      <c r="GG50">
        <f ca="1"/>
      </c>
      <c r="GH50">
        <f ca="1"/>
      </c>
      <c r="GI50">
        <f ca="1"/>
      </c>
      <c r="GJ50">
        <f ca="1"/>
      </c>
      <c r="GK50">
        <f ca="1"/>
      </c>
      <c r="GL50">
        <f ca="1"/>
      </c>
      <c r="GM50">
        <f ca="1"/>
      </c>
      <c r="GN50">
        <f ca="1"/>
      </c>
      <c r="GO50">
        <f ca="1"/>
      </c>
      <c r="GP50">
        <f ca="1"/>
      </c>
      <c r="GQ50">
        <f ca="1"/>
      </c>
      <c r="GR50">
        <f ca="1"/>
      </c>
      <c r="GS50">
        <f ca="1"/>
      </c>
      <c r="GT50">
        <f ca="1"/>
      </c>
      <c r="GU50">
        <f ca="1"/>
      </c>
      <c r="GV50">
        <f ca="1"/>
      </c>
      <c r="GW50">
        <f ca="1"/>
      </c>
      <c r="HI50" s="7">
        <f ca="1"/>
      </c>
      <c r="HJ50">
        <f ca="1"/>
      </c>
      <c r="HK50">
        <f ca="1"/>
      </c>
      <c r="HL50">
        <f ca="1"/>
      </c>
      <c r="HM50">
        <f ca="1"/>
      </c>
    </row>
    <row r="51" spans="1:221" x14ac:dyDescent="0.55000000000000004">
      <c r="BK51">
        <f ca="1"/>
      </c>
      <c r="BL51">
        <f ca="1"/>
      </c>
      <c r="BM51">
        <f ca="1"/>
      </c>
      <c r="BN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  <c r="BV51">
        <f ca="1"/>
      </c>
      <c r="BW51">
        <f ca="1"/>
      </c>
      <c r="BX51">
        <f ca="1"/>
      </c>
      <c r="BY51">
        <f ca="1"/>
      </c>
      <c r="BZ51">
        <f ca="1"/>
      </c>
      <c r="CA51">
        <f ca="1"/>
      </c>
      <c r="CB51">
        <f ca="1"/>
      </c>
      <c r="CC51">
        <f ca="1"/>
      </c>
      <c r="CD51">
        <f ca="1"/>
      </c>
      <c r="CE51">
        <f ca="1"/>
      </c>
      <c r="CF51">
        <f ca="1"/>
      </c>
      <c r="CG51">
        <f ca="1"/>
      </c>
      <c r="CH51">
        <f ca="1"/>
      </c>
      <c r="CI51">
        <f ca="1"/>
      </c>
      <c r="CJ51">
        <f ca="1"/>
      </c>
      <c r="CK51">
        <f ca="1"/>
      </c>
      <c r="CL51">
        <f ca="1"/>
      </c>
      <c r="CM51">
        <f ca="1"/>
      </c>
      <c r="CN51">
        <f ca="1"/>
      </c>
      <c r="CO51">
        <f ca="1"/>
      </c>
      <c r="CP51">
        <f ca="1"/>
      </c>
      <c r="CQ51">
        <f ca="1"/>
      </c>
      <c r="CR51">
        <f ca="1"/>
      </c>
      <c r="CS51">
        <f ca="1"/>
      </c>
      <c r="CT51">
        <f ca="1"/>
      </c>
      <c r="CU51">
        <f ca="1"/>
      </c>
      <c r="CV51">
        <f ca="1"/>
      </c>
      <c r="CW51">
        <f ca="1"/>
      </c>
      <c r="CX51">
        <f ca="1"/>
      </c>
      <c r="CY51">
        <f ca="1"/>
      </c>
      <c r="CZ51">
        <f ca="1"/>
      </c>
      <c r="DA51">
        <f ca="1"/>
      </c>
      <c r="DB51">
        <f ca="1"/>
      </c>
      <c r="DC51">
        <f ca="1"/>
      </c>
      <c r="DD51">
        <f ca="1"/>
      </c>
      <c r="DE51">
        <f ca="1"/>
      </c>
      <c r="DG51">
        <f ca="1"/>
      </c>
      <c r="DH51">
        <f ca="1"/>
      </c>
      <c r="DI51">
        <f ca="1"/>
      </c>
      <c r="DJ51">
        <f ca="1"/>
      </c>
      <c r="DK51">
        <f ca="1"/>
      </c>
      <c r="DL51">
        <f ca="1"/>
      </c>
      <c r="DM51">
        <f ca="1"/>
      </c>
      <c r="DN51">
        <f ca="1"/>
      </c>
      <c r="DO51">
        <f ca="1"/>
      </c>
      <c r="DP51">
        <f ca="1"/>
      </c>
      <c r="DQ51">
        <f ca="1"/>
      </c>
      <c r="DR51">
        <f ca="1"/>
      </c>
      <c r="DS51">
        <f ca="1"/>
      </c>
      <c r="DT51">
        <f ca="1"/>
      </c>
      <c r="DU51">
        <f ca="1"/>
      </c>
      <c r="DV51">
        <f ca="1"/>
      </c>
      <c r="DW51">
        <f ca="1"/>
      </c>
      <c r="DX51">
        <f ca="1"/>
      </c>
      <c r="DY51">
        <f ca="1"/>
      </c>
      <c r="DZ51">
        <f ca="1"/>
      </c>
      <c r="EA51">
        <f ca="1"/>
      </c>
      <c r="EB51">
        <f ca="1"/>
      </c>
      <c r="EC51">
        <f ca="1"/>
      </c>
      <c r="ED51">
        <f ca="1"/>
      </c>
      <c r="EE51">
        <f ca="1"/>
      </c>
      <c r="EF51">
        <f ca="1"/>
      </c>
      <c r="EG51">
        <f ca="1"/>
      </c>
      <c r="EH51">
        <f ca="1"/>
      </c>
      <c r="EI51">
        <f ca="1"/>
      </c>
      <c r="EJ51">
        <f ca="1"/>
      </c>
      <c r="EK51">
        <f ca="1"/>
      </c>
      <c r="EL51">
        <f ca="1"/>
      </c>
      <c r="EM51">
        <f ca="1"/>
      </c>
      <c r="EN51">
        <f ca="1"/>
      </c>
      <c r="EO51">
        <f ca="1"/>
      </c>
      <c r="EP51">
        <f ca="1"/>
      </c>
      <c r="EQ51">
        <f ca="1"/>
      </c>
      <c r="ER51">
        <f ca="1"/>
      </c>
      <c r="ES51">
        <f ca="1"/>
      </c>
      <c r="ET51">
        <f ca="1"/>
      </c>
      <c r="EU51">
        <f ca="1"/>
      </c>
      <c r="EV51">
        <f ca="1"/>
      </c>
      <c r="EW51">
        <f ca="1"/>
      </c>
      <c r="EX51">
        <f ca="1"/>
      </c>
      <c r="EY51">
        <f ca="1"/>
      </c>
      <c r="EZ51">
        <f ca="1"/>
      </c>
      <c r="FA51">
        <f ca="1"/>
      </c>
      <c r="FC51">
        <f ca="1"/>
      </c>
      <c r="FD51">
        <f ca="1"/>
      </c>
      <c r="FE51">
        <f ca="1"/>
      </c>
      <c r="FF51">
        <f ca="1"/>
      </c>
      <c r="FG51">
        <f ca="1"/>
      </c>
      <c r="FH51">
        <f ca="1"/>
      </c>
      <c r="FI51">
        <f ca="1"/>
      </c>
      <c r="FJ51">
        <f ca="1"/>
      </c>
      <c r="FK51">
        <f ca="1"/>
      </c>
      <c r="FL51">
        <f ca="1"/>
      </c>
      <c r="FM51">
        <f ca="1"/>
      </c>
      <c r="FN51">
        <f ca="1"/>
      </c>
      <c r="FO51">
        <f ca="1"/>
      </c>
      <c r="FP51">
        <f ca="1"/>
      </c>
      <c r="FQ51">
        <f ca="1"/>
      </c>
      <c r="FR51">
        <f ca="1"/>
      </c>
      <c r="FS51">
        <f ca="1"/>
      </c>
      <c r="FT51">
        <f ca="1"/>
      </c>
      <c r="FU51">
        <f ca="1"/>
      </c>
      <c r="FV51">
        <f ca="1"/>
      </c>
      <c r="FW51">
        <f ca="1"/>
      </c>
      <c r="FX51">
        <f ca="1"/>
      </c>
      <c r="FY51">
        <f ca="1"/>
      </c>
      <c r="FZ51">
        <f ca="1"/>
      </c>
      <c r="GA51">
        <f ca="1"/>
      </c>
      <c r="GB51">
        <f ca="1"/>
      </c>
      <c r="GC51">
        <f ca="1"/>
      </c>
      <c r="GD51">
        <f ca="1"/>
      </c>
      <c r="GE51">
        <f ca="1"/>
      </c>
      <c r="GF51">
        <f ca="1"/>
      </c>
      <c r="GG51">
        <f ca="1"/>
      </c>
      <c r="GH51">
        <f ca="1"/>
      </c>
      <c r="GI51">
        <f ca="1"/>
      </c>
      <c r="GJ51">
        <f ca="1"/>
      </c>
      <c r="GK51">
        <f ca="1"/>
      </c>
      <c r="GL51">
        <f ca="1"/>
      </c>
      <c r="GM51">
        <f ca="1"/>
      </c>
      <c r="GN51">
        <f ca="1"/>
      </c>
      <c r="GO51">
        <f ca="1"/>
      </c>
      <c r="GP51">
        <f ca="1"/>
      </c>
      <c r="GQ51">
        <f ca="1"/>
      </c>
      <c r="GR51">
        <f ca="1"/>
      </c>
      <c r="GS51">
        <f ca="1"/>
      </c>
      <c r="GT51">
        <f ca="1"/>
      </c>
      <c r="GU51">
        <f ca="1"/>
      </c>
      <c r="GV51">
        <f ca="1"/>
      </c>
      <c r="GW51">
        <f ca="1"/>
      </c>
      <c r="HI51" s="7">
        <f ca="1"/>
      </c>
      <c r="HJ51">
        <f ca="1"/>
      </c>
      <c r="HK51">
        <f ca="1"/>
      </c>
      <c r="HL51">
        <f ca="1"/>
      </c>
      <c r="HM51">
        <f ca="1"/>
      </c>
    </row>
    <row r="52" spans="1:221" x14ac:dyDescent="0.55000000000000004">
      <c r="BK52">
        <f ca="1"/>
      </c>
      <c r="BL52">
        <f ca="1"/>
      </c>
      <c r="BM52">
        <f ca="1"/>
      </c>
      <c r="BN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  <c r="BV52">
        <f ca="1"/>
      </c>
      <c r="BW52">
        <f ca="1"/>
      </c>
      <c r="BX52">
        <f ca="1"/>
      </c>
      <c r="BY52">
        <f ca="1"/>
      </c>
      <c r="BZ52">
        <f ca="1"/>
      </c>
      <c r="CA52">
        <f ca="1"/>
      </c>
      <c r="CB52">
        <f ca="1"/>
      </c>
      <c r="CC52">
        <f ca="1"/>
      </c>
      <c r="CD52">
        <f ca="1"/>
      </c>
      <c r="CE52">
        <f ca="1"/>
      </c>
      <c r="CF52">
        <f ca="1"/>
      </c>
      <c r="CG52">
        <f ca="1"/>
      </c>
      <c r="CH52">
        <f ca="1"/>
      </c>
      <c r="CI52">
        <f ca="1"/>
      </c>
      <c r="CJ52">
        <f ca="1"/>
      </c>
      <c r="CK52">
        <f ca="1"/>
      </c>
      <c r="CL52">
        <f ca="1"/>
      </c>
      <c r="CM52">
        <f ca="1"/>
      </c>
      <c r="CN52">
        <f ca="1"/>
      </c>
      <c r="CO52">
        <f ca="1"/>
      </c>
      <c r="CP52">
        <f ca="1"/>
      </c>
      <c r="CQ52">
        <f ca="1"/>
      </c>
      <c r="CR52">
        <f ca="1"/>
      </c>
      <c r="CS52">
        <f ca="1"/>
      </c>
      <c r="CT52">
        <f ca="1"/>
      </c>
      <c r="CU52">
        <f ca="1"/>
      </c>
      <c r="CV52">
        <f ca="1"/>
      </c>
      <c r="CW52">
        <f ca="1"/>
      </c>
      <c r="CX52">
        <f ca="1"/>
      </c>
      <c r="CY52">
        <f ca="1"/>
      </c>
      <c r="CZ52">
        <f ca="1"/>
      </c>
      <c r="DA52">
        <f ca="1"/>
      </c>
      <c r="DB52">
        <f ca="1"/>
      </c>
      <c r="DC52">
        <f ca="1"/>
      </c>
      <c r="DD52">
        <f ca="1"/>
      </c>
      <c r="DE52">
        <f ca="1"/>
      </c>
      <c r="DG52">
        <f ca="1"/>
      </c>
      <c r="DH52">
        <f ca="1"/>
      </c>
      <c r="DI52">
        <f ca="1"/>
      </c>
      <c r="DJ52">
        <f ca="1"/>
      </c>
      <c r="DK52">
        <f ca="1"/>
      </c>
      <c r="DL52">
        <f ca="1"/>
      </c>
      <c r="DM52">
        <f ca="1"/>
      </c>
      <c r="DN52">
        <f ca="1"/>
      </c>
      <c r="DO52">
        <f ca="1"/>
      </c>
      <c r="DP52">
        <f ca="1"/>
      </c>
      <c r="DQ52">
        <f ca="1"/>
      </c>
      <c r="DR52">
        <f ca="1"/>
      </c>
      <c r="DS52">
        <f ca="1"/>
      </c>
      <c r="DT52">
        <f ca="1"/>
      </c>
      <c r="DU52">
        <f ca="1"/>
      </c>
      <c r="DV52">
        <f ca="1"/>
      </c>
      <c r="DW52">
        <f ca="1"/>
      </c>
      <c r="DX52">
        <f ca="1"/>
      </c>
      <c r="DY52">
        <f ca="1"/>
      </c>
      <c r="DZ52">
        <f ca="1"/>
      </c>
      <c r="EA52">
        <f ca="1"/>
      </c>
      <c r="EB52">
        <f ca="1"/>
      </c>
      <c r="EC52">
        <f ca="1"/>
      </c>
      <c r="ED52">
        <f ca="1"/>
      </c>
      <c r="EE52">
        <f ca="1"/>
      </c>
      <c r="EF52">
        <f ca="1"/>
      </c>
      <c r="EG52">
        <f ca="1"/>
      </c>
      <c r="EH52">
        <f ca="1"/>
      </c>
      <c r="EI52">
        <f ca="1"/>
      </c>
      <c r="EJ52">
        <f ca="1"/>
      </c>
      <c r="EK52">
        <f ca="1"/>
      </c>
      <c r="EL52">
        <f ca="1"/>
      </c>
      <c r="EM52">
        <f ca="1"/>
      </c>
      <c r="EN52">
        <f ca="1"/>
      </c>
      <c r="EO52">
        <f ca="1"/>
      </c>
      <c r="EP52">
        <f ca="1"/>
      </c>
      <c r="EQ52">
        <f ca="1"/>
      </c>
      <c r="ER52">
        <f ca="1"/>
      </c>
      <c r="ES52">
        <f ca="1"/>
      </c>
      <c r="ET52">
        <f ca="1"/>
      </c>
      <c r="EU52">
        <f ca="1"/>
      </c>
      <c r="EV52">
        <f ca="1"/>
      </c>
      <c r="EW52">
        <f ca="1"/>
      </c>
      <c r="EX52">
        <f ca="1"/>
      </c>
      <c r="EY52">
        <f ca="1"/>
      </c>
      <c r="EZ52">
        <f ca="1"/>
      </c>
      <c r="FA52">
        <f ca="1"/>
      </c>
      <c r="FC52">
        <f ca="1"/>
      </c>
      <c r="FD52">
        <f ca="1"/>
      </c>
      <c r="FE52">
        <f ca="1"/>
      </c>
      <c r="FF52">
        <f ca="1"/>
      </c>
      <c r="FG52">
        <f ca="1"/>
      </c>
      <c r="FH52">
        <f ca="1"/>
      </c>
      <c r="FI52">
        <f ca="1"/>
      </c>
      <c r="FJ52">
        <f ca="1"/>
      </c>
      <c r="FK52">
        <f ca="1"/>
      </c>
      <c r="FL52">
        <f ca="1"/>
      </c>
      <c r="FM52">
        <f ca="1"/>
      </c>
      <c r="FN52">
        <f ca="1"/>
      </c>
      <c r="FO52">
        <f ca="1"/>
      </c>
      <c r="FP52">
        <f ca="1"/>
      </c>
      <c r="FQ52">
        <f ca="1"/>
      </c>
      <c r="FR52">
        <f ca="1"/>
      </c>
      <c r="FS52">
        <f ca="1"/>
      </c>
      <c r="FT52">
        <f ca="1"/>
      </c>
      <c r="FU52">
        <f ca="1"/>
      </c>
      <c r="FV52">
        <f ca="1"/>
      </c>
      <c r="FW52">
        <f ca="1"/>
      </c>
      <c r="FX52">
        <f ca="1"/>
      </c>
      <c r="FY52">
        <f ca="1"/>
      </c>
      <c r="FZ52">
        <f ca="1"/>
      </c>
      <c r="GA52">
        <f ca="1"/>
      </c>
      <c r="GB52">
        <f ca="1"/>
      </c>
      <c r="GC52">
        <f ca="1"/>
      </c>
      <c r="GD52">
        <f ca="1"/>
      </c>
      <c r="GE52">
        <f ca="1"/>
      </c>
      <c r="GF52">
        <f ca="1"/>
      </c>
      <c r="GG52">
        <f ca="1"/>
      </c>
      <c r="GH52">
        <f ca="1"/>
      </c>
      <c r="GI52">
        <f ca="1"/>
      </c>
      <c r="GJ52">
        <f ca="1"/>
      </c>
      <c r="GK52">
        <f ca="1"/>
      </c>
      <c r="GL52">
        <f ca="1"/>
      </c>
      <c r="GM52">
        <f ca="1"/>
      </c>
      <c r="GN52">
        <f ca="1"/>
      </c>
      <c r="GO52">
        <f ca="1"/>
      </c>
      <c r="GP52">
        <f ca="1"/>
      </c>
      <c r="GQ52">
        <f ca="1"/>
      </c>
      <c r="GR52">
        <f ca="1"/>
      </c>
      <c r="GS52">
        <f ca="1"/>
      </c>
      <c r="GT52">
        <f ca="1"/>
      </c>
      <c r="GU52">
        <f ca="1"/>
      </c>
      <c r="GV52">
        <f ca="1"/>
      </c>
      <c r="GW52">
        <f ca="1"/>
      </c>
      <c r="HI52" s="7">
        <f ca="1"/>
      </c>
      <c r="HJ52">
        <f ca="1"/>
      </c>
      <c r="HK52">
        <f ca="1"/>
      </c>
      <c r="HL52">
        <f ca="1"/>
      </c>
      <c r="HM52">
        <f ca="1"/>
      </c>
    </row>
    <row r="53" spans="1:221" x14ac:dyDescent="0.55000000000000004">
      <c r="BK53">
        <f ca="1"/>
      </c>
      <c r="BL53">
        <f ca="1"/>
      </c>
      <c r="BM53">
        <f ca="1"/>
      </c>
      <c r="BN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  <c r="BV53">
        <f ca="1"/>
      </c>
      <c r="BW53">
        <f ca="1"/>
      </c>
      <c r="BX53">
        <f ca="1"/>
      </c>
      <c r="BY53">
        <f ca="1"/>
      </c>
      <c r="BZ53">
        <f ca="1"/>
      </c>
      <c r="CA53">
        <f ca="1"/>
      </c>
      <c r="CB53">
        <f ca="1"/>
      </c>
      <c r="CC53">
        <f ca="1"/>
      </c>
      <c r="CD53">
        <f ca="1"/>
      </c>
      <c r="CE53">
        <f ca="1"/>
      </c>
      <c r="CF53">
        <f ca="1"/>
      </c>
      <c r="CG53">
        <f ca="1"/>
      </c>
      <c r="CH53">
        <f ca="1"/>
      </c>
      <c r="CI53">
        <f ca="1"/>
      </c>
      <c r="CJ53">
        <f ca="1"/>
      </c>
      <c r="CK53">
        <f ca="1"/>
      </c>
      <c r="CL53">
        <f ca="1"/>
      </c>
      <c r="CM53">
        <f ca="1"/>
      </c>
      <c r="CN53">
        <f ca="1"/>
      </c>
      <c r="CO53">
        <f ca="1"/>
      </c>
      <c r="CP53">
        <f ca="1"/>
      </c>
      <c r="CQ53">
        <f ca="1"/>
      </c>
      <c r="CR53">
        <f ca="1"/>
      </c>
      <c r="CS53">
        <f ca="1"/>
      </c>
      <c r="CT53">
        <f ca="1"/>
      </c>
      <c r="CU53">
        <f ca="1"/>
      </c>
      <c r="CV53">
        <f ca="1"/>
      </c>
      <c r="CW53">
        <f ca="1"/>
      </c>
      <c r="CX53">
        <f ca="1"/>
      </c>
      <c r="CY53">
        <f ca="1"/>
      </c>
      <c r="CZ53">
        <f ca="1"/>
      </c>
      <c r="DA53">
        <f ca="1"/>
      </c>
      <c r="DB53">
        <f ca="1"/>
      </c>
      <c r="DC53">
        <f ca="1"/>
      </c>
      <c r="DD53">
        <f ca="1"/>
      </c>
      <c r="DE53">
        <f ca="1"/>
      </c>
      <c r="DG53">
        <f ca="1"/>
      </c>
      <c r="DH53">
        <f ca="1"/>
      </c>
      <c r="DI53">
        <f ca="1"/>
      </c>
      <c r="DJ53">
        <f ca="1"/>
      </c>
      <c r="DK53">
        <f ca="1"/>
      </c>
      <c r="DL53">
        <f ca="1"/>
      </c>
      <c r="DM53">
        <f ca="1"/>
      </c>
      <c r="DN53">
        <f ca="1"/>
      </c>
      <c r="DO53">
        <f ca="1"/>
      </c>
      <c r="DP53">
        <f ca="1"/>
      </c>
      <c r="DQ53">
        <f ca="1"/>
      </c>
      <c r="DR53">
        <f ca="1"/>
      </c>
      <c r="DS53">
        <f ca="1"/>
      </c>
      <c r="DT53">
        <f ca="1"/>
      </c>
      <c r="DU53">
        <f ca="1"/>
      </c>
      <c r="DV53">
        <f ca="1"/>
      </c>
      <c r="DW53">
        <f ca="1"/>
      </c>
      <c r="DX53">
        <f ca="1"/>
      </c>
      <c r="DY53">
        <f ca="1"/>
      </c>
      <c r="DZ53">
        <f ca="1"/>
      </c>
      <c r="EA53">
        <f ca="1"/>
      </c>
      <c r="EB53">
        <f ca="1"/>
      </c>
      <c r="EC53">
        <f ca="1"/>
      </c>
      <c r="ED53">
        <f ca="1"/>
      </c>
      <c r="EE53">
        <f ca="1"/>
      </c>
      <c r="EF53">
        <f ca="1"/>
      </c>
      <c r="EG53">
        <f ca="1"/>
      </c>
      <c r="EH53">
        <f ca="1"/>
      </c>
      <c r="EI53">
        <f ca="1"/>
      </c>
      <c r="EJ53">
        <f ca="1"/>
      </c>
      <c r="EK53">
        <f ca="1"/>
      </c>
      <c r="EL53">
        <f ca="1"/>
      </c>
      <c r="EM53">
        <f ca="1"/>
      </c>
      <c r="EN53">
        <f ca="1"/>
      </c>
      <c r="EO53">
        <f ca="1"/>
      </c>
      <c r="EP53">
        <f ca="1"/>
      </c>
      <c r="EQ53">
        <f ca="1"/>
      </c>
      <c r="ER53">
        <f ca="1"/>
      </c>
      <c r="ES53">
        <f ca="1"/>
      </c>
      <c r="ET53">
        <f ca="1"/>
      </c>
      <c r="EU53">
        <f ca="1"/>
      </c>
      <c r="EV53">
        <f ca="1"/>
      </c>
      <c r="EW53">
        <f ca="1"/>
      </c>
      <c r="EX53">
        <f ca="1"/>
      </c>
      <c r="EY53">
        <f ca="1"/>
      </c>
      <c r="EZ53">
        <f ca="1"/>
      </c>
      <c r="FA53">
        <f ca="1"/>
      </c>
      <c r="FC53">
        <f ca="1"/>
      </c>
      <c r="FD53">
        <f ca="1"/>
      </c>
      <c r="FE53">
        <f ca="1"/>
      </c>
      <c r="FF53">
        <f ca="1"/>
      </c>
      <c r="FG53">
        <f ca="1"/>
      </c>
      <c r="FH53">
        <f ca="1"/>
      </c>
      <c r="FI53">
        <f ca="1"/>
      </c>
      <c r="FJ53">
        <f ca="1"/>
      </c>
      <c r="FK53">
        <f ca="1"/>
      </c>
      <c r="FL53">
        <f ca="1"/>
      </c>
      <c r="FM53">
        <f ca="1"/>
      </c>
      <c r="FN53">
        <f ca="1"/>
      </c>
      <c r="FO53">
        <f ca="1"/>
      </c>
      <c r="FP53">
        <f ca="1"/>
      </c>
      <c r="FQ53">
        <f ca="1"/>
      </c>
      <c r="FR53">
        <f ca="1"/>
      </c>
      <c r="FS53">
        <f ca="1"/>
      </c>
      <c r="FT53">
        <f ca="1"/>
      </c>
      <c r="FU53">
        <f ca="1"/>
      </c>
      <c r="FV53">
        <f ca="1"/>
      </c>
      <c r="FW53">
        <f ca="1"/>
      </c>
      <c r="FX53">
        <f ca="1"/>
      </c>
      <c r="FY53">
        <f ca="1"/>
      </c>
      <c r="FZ53">
        <f ca="1"/>
      </c>
      <c r="GA53">
        <f ca="1"/>
      </c>
      <c r="GB53">
        <f ca="1"/>
      </c>
      <c r="GC53">
        <f ca="1"/>
      </c>
      <c r="GD53">
        <f ca="1"/>
      </c>
      <c r="GE53">
        <f ca="1"/>
      </c>
      <c r="GF53">
        <f ca="1"/>
      </c>
      <c r="GG53">
        <f ca="1"/>
      </c>
      <c r="GH53">
        <f ca="1"/>
      </c>
      <c r="GI53">
        <f ca="1"/>
      </c>
      <c r="GJ53">
        <f ca="1"/>
      </c>
      <c r="GK53">
        <f ca="1"/>
      </c>
      <c r="GL53">
        <f ca="1"/>
      </c>
      <c r="GM53">
        <f ca="1"/>
      </c>
      <c r="GN53">
        <f ca="1"/>
      </c>
      <c r="GO53">
        <f ca="1"/>
      </c>
      <c r="GP53">
        <f ca="1"/>
      </c>
      <c r="GQ53">
        <f ca="1"/>
      </c>
      <c r="GR53">
        <f ca="1"/>
      </c>
      <c r="GS53">
        <f ca="1"/>
      </c>
      <c r="GT53">
        <f ca="1"/>
      </c>
      <c r="GU53">
        <f ca="1"/>
      </c>
      <c r="GV53">
        <f ca="1"/>
      </c>
      <c r="GW53">
        <f ca="1"/>
      </c>
      <c r="HI53" s="7">
        <f ca="1"/>
      </c>
      <c r="HJ53">
        <f ca="1"/>
      </c>
      <c r="HK53">
        <f ca="1"/>
      </c>
      <c r="HL53">
        <f ca="1"/>
      </c>
      <c r="HM53">
        <f ca="1"/>
      </c>
    </row>
    <row r="54" spans="1:221" x14ac:dyDescent="0.55000000000000004">
      <c r="BK54">
        <f ca="1"/>
      </c>
      <c r="BL54">
        <f ca="1"/>
      </c>
      <c r="BM54">
        <f ca="1"/>
      </c>
      <c r="BN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  <c r="BV54">
        <f ca="1"/>
      </c>
      <c r="BW54">
        <f ca="1"/>
      </c>
      <c r="BX54">
        <f ca="1"/>
      </c>
      <c r="BY54">
        <f ca="1"/>
      </c>
      <c r="BZ54">
        <f ca="1"/>
      </c>
      <c r="CA54">
        <f ca="1"/>
      </c>
      <c r="CB54">
        <f ca="1"/>
      </c>
      <c r="CC54">
        <f ca="1"/>
      </c>
      <c r="CD54">
        <f ca="1"/>
      </c>
      <c r="CE54">
        <f ca="1"/>
      </c>
      <c r="CF54">
        <f ca="1"/>
      </c>
      <c r="CG54">
        <f ca="1"/>
      </c>
      <c r="CH54">
        <f ca="1"/>
      </c>
      <c r="CI54">
        <f ca="1"/>
      </c>
      <c r="CJ54">
        <f ca="1"/>
      </c>
      <c r="CK54">
        <f ca="1"/>
      </c>
      <c r="CL54">
        <f ca="1"/>
      </c>
      <c r="CM54">
        <f ca="1"/>
      </c>
      <c r="CN54">
        <f ca="1"/>
      </c>
      <c r="CO54">
        <f ca="1"/>
      </c>
      <c r="CP54">
        <f ca="1"/>
      </c>
      <c r="CQ54">
        <f ca="1"/>
      </c>
      <c r="CR54">
        <f ca="1"/>
      </c>
      <c r="CS54">
        <f ca="1"/>
      </c>
      <c r="CT54">
        <f ca="1"/>
      </c>
      <c r="CU54">
        <f ca="1"/>
      </c>
      <c r="CV54">
        <f ca="1"/>
      </c>
      <c r="CW54">
        <f ca="1"/>
      </c>
      <c r="CX54">
        <f ca="1"/>
      </c>
      <c r="CY54">
        <f ca="1"/>
      </c>
      <c r="CZ54">
        <f ca="1"/>
      </c>
      <c r="DA54">
        <f ca="1"/>
      </c>
      <c r="DB54">
        <f ca="1"/>
      </c>
      <c r="DC54">
        <f ca="1"/>
      </c>
      <c r="DD54">
        <f ca="1"/>
      </c>
      <c r="DE54">
        <f ca="1"/>
      </c>
      <c r="DG54">
        <f ca="1"/>
      </c>
      <c r="DH54">
        <f ca="1"/>
      </c>
      <c r="DI54">
        <f ca="1"/>
      </c>
      <c r="DJ54">
        <f ca="1"/>
      </c>
      <c r="DK54">
        <f ca="1"/>
      </c>
      <c r="DL54">
        <f ca="1"/>
      </c>
      <c r="DM54">
        <f ca="1"/>
      </c>
      <c r="DN54">
        <f ca="1"/>
      </c>
      <c r="DO54">
        <f ca="1"/>
      </c>
      <c r="DP54">
        <f ca="1"/>
      </c>
      <c r="DQ54">
        <f ca="1"/>
      </c>
      <c r="DR54">
        <f ca="1"/>
      </c>
      <c r="DS54">
        <f ca="1"/>
      </c>
      <c r="DT54">
        <f ca="1"/>
      </c>
      <c r="DU54">
        <f ca="1"/>
      </c>
      <c r="DV54">
        <f ca="1"/>
      </c>
      <c r="DW54">
        <f ca="1"/>
      </c>
      <c r="DX54">
        <f ca="1"/>
      </c>
      <c r="DY54">
        <f ca="1"/>
      </c>
      <c r="DZ54">
        <f ca="1"/>
      </c>
      <c r="EA54">
        <f ca="1"/>
      </c>
      <c r="EB54">
        <f ca="1"/>
      </c>
      <c r="EC54">
        <f ca="1"/>
      </c>
      <c r="ED54">
        <f ca="1"/>
      </c>
      <c r="EE54">
        <f ca="1"/>
      </c>
      <c r="EF54">
        <f ca="1"/>
      </c>
      <c r="EG54">
        <f ca="1"/>
      </c>
      <c r="EH54">
        <f ca="1"/>
      </c>
      <c r="EI54">
        <f ca="1"/>
      </c>
      <c r="EJ54">
        <f ca="1"/>
      </c>
      <c r="EK54">
        <f ca="1"/>
      </c>
      <c r="EL54">
        <f ca="1"/>
      </c>
      <c r="EM54">
        <f ca="1"/>
      </c>
      <c r="EN54">
        <f ca="1"/>
      </c>
      <c r="EO54">
        <f ca="1"/>
      </c>
      <c r="EP54">
        <f ca="1"/>
      </c>
      <c r="EQ54">
        <f ca="1"/>
      </c>
      <c r="ER54">
        <f ca="1"/>
      </c>
      <c r="ES54">
        <f ca="1"/>
      </c>
      <c r="ET54">
        <f ca="1"/>
      </c>
      <c r="EU54">
        <f ca="1"/>
      </c>
      <c r="EV54">
        <f ca="1"/>
      </c>
      <c r="EW54">
        <f ca="1"/>
      </c>
      <c r="EX54">
        <f ca="1"/>
      </c>
      <c r="EY54">
        <f ca="1"/>
      </c>
      <c r="EZ54">
        <f ca="1"/>
      </c>
      <c r="FA54">
        <f ca="1"/>
      </c>
      <c r="FC54">
        <f ca="1"/>
      </c>
      <c r="FD54">
        <f ca="1"/>
      </c>
      <c r="FE54">
        <f ca="1"/>
      </c>
      <c r="FF54">
        <f ca="1"/>
      </c>
      <c r="FG54">
        <f ca="1"/>
      </c>
      <c r="FH54">
        <f ca="1"/>
      </c>
      <c r="FI54">
        <f ca="1"/>
      </c>
      <c r="FJ54">
        <f ca="1"/>
      </c>
      <c r="FK54">
        <f ca="1"/>
      </c>
      <c r="FL54">
        <f ca="1"/>
      </c>
      <c r="FM54">
        <f ca="1"/>
      </c>
      <c r="FN54">
        <f ca="1"/>
      </c>
      <c r="FO54">
        <f ca="1"/>
      </c>
      <c r="FP54">
        <f ca="1"/>
      </c>
      <c r="FQ54">
        <f ca="1"/>
      </c>
      <c r="FR54">
        <f ca="1"/>
      </c>
      <c r="FS54">
        <f ca="1"/>
      </c>
      <c r="FT54">
        <f ca="1"/>
      </c>
      <c r="FU54">
        <f ca="1"/>
      </c>
      <c r="FV54">
        <f ca="1"/>
      </c>
      <c r="FW54">
        <f ca="1"/>
      </c>
      <c r="FX54">
        <f ca="1"/>
      </c>
      <c r="FY54">
        <f ca="1"/>
      </c>
      <c r="FZ54">
        <f ca="1"/>
      </c>
      <c r="GA54">
        <f ca="1"/>
      </c>
      <c r="GB54">
        <f ca="1"/>
      </c>
      <c r="GC54">
        <f ca="1"/>
      </c>
      <c r="GD54">
        <f ca="1"/>
      </c>
      <c r="GE54">
        <f ca="1"/>
      </c>
      <c r="GF54">
        <f ca="1"/>
      </c>
      <c r="GG54">
        <f ca="1"/>
      </c>
      <c r="GH54">
        <f ca="1"/>
      </c>
      <c r="GI54">
        <f ca="1"/>
      </c>
      <c r="GJ54">
        <f ca="1"/>
      </c>
      <c r="GK54">
        <f ca="1"/>
      </c>
      <c r="GL54">
        <f ca="1"/>
      </c>
      <c r="GM54">
        <f ca="1"/>
      </c>
      <c r="GN54">
        <f ca="1"/>
      </c>
      <c r="GO54">
        <f ca="1"/>
      </c>
      <c r="GP54">
        <f ca="1"/>
      </c>
      <c r="GQ54">
        <f ca="1"/>
      </c>
      <c r="GR54">
        <f ca="1"/>
      </c>
      <c r="GS54">
        <f ca="1"/>
      </c>
      <c r="GT54">
        <f ca="1"/>
      </c>
      <c r="GU54">
        <f ca="1"/>
      </c>
      <c r="GV54">
        <f ca="1"/>
      </c>
      <c r="GW54">
        <f ca="1"/>
      </c>
      <c r="HI54" s="7">
        <f ca="1"/>
      </c>
      <c r="HJ54">
        <f ca="1"/>
      </c>
      <c r="HK54">
        <f ca="1"/>
      </c>
      <c r="HL54">
        <f ca="1"/>
      </c>
      <c r="HM54">
        <f ca="1"/>
      </c>
    </row>
    <row r="55" spans="1:221" x14ac:dyDescent="0.55000000000000004">
      <c r="BK55">
        <f ca="1"/>
      </c>
      <c r="BL55">
        <f ca="1"/>
      </c>
      <c r="BM55">
        <f ca="1"/>
      </c>
      <c r="BN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  <c r="BV55">
        <f ca="1"/>
      </c>
      <c r="BW55">
        <f ca="1"/>
      </c>
      <c r="BX55">
        <f ca="1"/>
      </c>
      <c r="BY55">
        <f ca="1"/>
      </c>
      <c r="BZ55">
        <f ca="1"/>
      </c>
      <c r="CA55">
        <f ca="1"/>
      </c>
      <c r="CB55">
        <f ca="1"/>
      </c>
      <c r="CC55">
        <f ca="1"/>
      </c>
      <c r="CD55">
        <f ca="1"/>
      </c>
      <c r="CE55">
        <f ca="1"/>
      </c>
      <c r="CF55">
        <f ca="1"/>
      </c>
      <c r="CG55">
        <f ca="1"/>
      </c>
      <c r="CH55">
        <f ca="1"/>
      </c>
      <c r="CI55">
        <f ca="1"/>
      </c>
      <c r="CJ55">
        <f ca="1"/>
      </c>
      <c r="CK55">
        <f ca="1"/>
      </c>
      <c r="CL55">
        <f ca="1"/>
      </c>
      <c r="CM55">
        <f ca="1"/>
      </c>
      <c r="CN55">
        <f ca="1"/>
      </c>
      <c r="CO55">
        <f ca="1"/>
      </c>
      <c r="CP55">
        <f ca="1"/>
      </c>
      <c r="CQ55">
        <f ca="1"/>
      </c>
      <c r="CR55">
        <f ca="1"/>
      </c>
      <c r="CS55">
        <f ca="1"/>
      </c>
      <c r="CT55">
        <f ca="1"/>
      </c>
      <c r="CU55">
        <f ca="1"/>
      </c>
      <c r="CV55">
        <f ca="1"/>
      </c>
      <c r="CW55">
        <f ca="1"/>
      </c>
      <c r="CX55">
        <f ca="1"/>
      </c>
      <c r="CY55">
        <f ca="1"/>
      </c>
      <c r="CZ55">
        <f ca="1"/>
      </c>
      <c r="DA55">
        <f ca="1"/>
      </c>
      <c r="DB55">
        <f ca="1"/>
      </c>
      <c r="DC55">
        <f ca="1"/>
      </c>
      <c r="DD55">
        <f ca="1"/>
      </c>
      <c r="DE55">
        <f ca="1"/>
      </c>
      <c r="DG55">
        <f ca="1"/>
      </c>
      <c r="DH55">
        <f ca="1"/>
      </c>
      <c r="DI55">
        <f ca="1"/>
      </c>
      <c r="DJ55">
        <f ca="1"/>
      </c>
      <c r="DK55">
        <f ca="1"/>
      </c>
      <c r="DL55">
        <f ca="1"/>
      </c>
      <c r="DM55">
        <f ca="1"/>
      </c>
      <c r="DN55">
        <f ca="1"/>
      </c>
      <c r="DO55">
        <f ca="1"/>
      </c>
      <c r="DP55">
        <f ca="1"/>
      </c>
      <c r="DQ55">
        <f ca="1"/>
      </c>
      <c r="DR55">
        <f ca="1"/>
      </c>
      <c r="DS55">
        <f ca="1"/>
      </c>
      <c r="DT55">
        <f ca="1"/>
      </c>
      <c r="DU55">
        <f ca="1"/>
      </c>
      <c r="DV55">
        <f ca="1"/>
      </c>
      <c r="DW55">
        <f ca="1"/>
      </c>
      <c r="DX55">
        <f ca="1"/>
      </c>
      <c r="DY55">
        <f ca="1"/>
      </c>
      <c r="DZ55">
        <f ca="1"/>
      </c>
      <c r="EA55">
        <f ca="1"/>
      </c>
      <c r="EB55">
        <f ca="1"/>
      </c>
      <c r="EC55">
        <f ca="1"/>
      </c>
      <c r="ED55">
        <f ca="1"/>
      </c>
      <c r="EE55">
        <f ca="1"/>
      </c>
      <c r="EF55">
        <f ca="1"/>
      </c>
      <c r="EG55">
        <f ca="1"/>
      </c>
      <c r="EH55">
        <f ca="1"/>
      </c>
      <c r="EI55">
        <f ca="1"/>
      </c>
      <c r="EJ55">
        <f ca="1"/>
      </c>
      <c r="EK55">
        <f ca="1"/>
      </c>
      <c r="EL55">
        <f ca="1"/>
      </c>
      <c r="EM55">
        <f ca="1"/>
      </c>
      <c r="EN55">
        <f ca="1"/>
      </c>
      <c r="EO55">
        <f ca="1"/>
      </c>
      <c r="EP55">
        <f ca="1"/>
      </c>
      <c r="EQ55">
        <f ca="1"/>
      </c>
      <c r="ER55">
        <f ca="1"/>
      </c>
      <c r="ES55">
        <f ca="1"/>
      </c>
      <c r="ET55">
        <f ca="1"/>
      </c>
      <c r="EU55">
        <f ca="1"/>
      </c>
      <c r="EV55">
        <f ca="1"/>
      </c>
      <c r="EW55">
        <f ca="1"/>
      </c>
      <c r="EX55">
        <f ca="1"/>
      </c>
      <c r="EY55">
        <f ca="1"/>
      </c>
      <c r="EZ55">
        <f ca="1"/>
      </c>
      <c r="FA55">
        <f ca="1"/>
      </c>
      <c r="FC55">
        <f ca="1"/>
      </c>
      <c r="FD55">
        <f ca="1"/>
      </c>
      <c r="FE55">
        <f ca="1"/>
      </c>
      <c r="FF55">
        <f ca="1"/>
      </c>
      <c r="FG55">
        <f ca="1"/>
      </c>
      <c r="FH55">
        <f ca="1"/>
      </c>
      <c r="FI55">
        <f ca="1"/>
      </c>
      <c r="FJ55">
        <f ca="1"/>
      </c>
      <c r="FK55">
        <f ca="1"/>
      </c>
      <c r="FL55">
        <f ca="1"/>
      </c>
      <c r="FM55">
        <f ca="1"/>
      </c>
      <c r="FN55">
        <f ca="1"/>
      </c>
      <c r="FO55">
        <f ca="1"/>
      </c>
      <c r="FP55">
        <f ca="1"/>
      </c>
      <c r="FQ55">
        <f ca="1"/>
      </c>
      <c r="FR55">
        <f ca="1"/>
      </c>
      <c r="FS55">
        <f ca="1"/>
      </c>
      <c r="FT55">
        <f ca="1"/>
      </c>
      <c r="FU55">
        <f ca="1"/>
      </c>
      <c r="FV55">
        <f ca="1"/>
      </c>
      <c r="FW55">
        <f ca="1"/>
      </c>
      <c r="FX55">
        <f ca="1"/>
      </c>
      <c r="FY55">
        <f ca="1"/>
      </c>
      <c r="FZ55">
        <f ca="1"/>
      </c>
      <c r="GA55">
        <f ca="1"/>
      </c>
      <c r="GB55">
        <f ca="1"/>
      </c>
      <c r="GC55">
        <f ca="1"/>
      </c>
      <c r="GD55">
        <f ca="1"/>
      </c>
      <c r="GE55">
        <f ca="1"/>
      </c>
      <c r="GF55">
        <f ca="1"/>
      </c>
      <c r="GG55">
        <f ca="1"/>
      </c>
      <c r="GH55">
        <f ca="1"/>
      </c>
      <c r="GI55">
        <f ca="1"/>
      </c>
      <c r="GJ55">
        <f ca="1"/>
      </c>
      <c r="GK55">
        <f ca="1"/>
      </c>
      <c r="GL55">
        <f ca="1"/>
      </c>
      <c r="GM55">
        <f ca="1"/>
      </c>
      <c r="GN55">
        <f ca="1"/>
      </c>
      <c r="GO55">
        <f ca="1"/>
      </c>
      <c r="GP55">
        <f ca="1"/>
      </c>
      <c r="GQ55">
        <f ca="1"/>
      </c>
      <c r="GR55">
        <f ca="1"/>
      </c>
      <c r="GS55">
        <f ca="1"/>
      </c>
      <c r="GT55">
        <f ca="1"/>
      </c>
      <c r="GU55">
        <f ca="1"/>
      </c>
      <c r="GV55">
        <f ca="1"/>
      </c>
      <c r="GW55">
        <f ca="1"/>
      </c>
      <c r="HI55" s="7">
        <f ca="1"/>
      </c>
      <c r="HJ55">
        <f ca="1"/>
      </c>
      <c r="HK55">
        <f ca="1"/>
      </c>
      <c r="HL55">
        <f ca="1"/>
      </c>
      <c r="HM55">
        <f ca="1"/>
      </c>
    </row>
    <row r="56" spans="1:221" x14ac:dyDescent="0.55000000000000004">
      <c r="BK56">
        <f ca="1"/>
      </c>
      <c r="BL56">
        <f ca="1"/>
      </c>
      <c r="BM56">
        <f ca="1"/>
      </c>
      <c r="BN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  <c r="BV56">
        <f ca="1"/>
      </c>
      <c r="BW56">
        <f ca="1"/>
      </c>
      <c r="BX56">
        <f ca="1"/>
      </c>
      <c r="BY56">
        <f ca="1"/>
      </c>
      <c r="BZ56">
        <f ca="1"/>
      </c>
      <c r="CA56">
        <f ca="1"/>
      </c>
      <c r="CB56">
        <f ca="1"/>
      </c>
      <c r="CC56">
        <f ca="1"/>
      </c>
      <c r="CD56">
        <f ca="1"/>
      </c>
      <c r="CE56">
        <f ca="1"/>
      </c>
      <c r="CF56">
        <f ca="1"/>
      </c>
      <c r="CG56">
        <f ca="1"/>
      </c>
      <c r="CH56">
        <f ca="1"/>
      </c>
      <c r="CI56">
        <f ca="1"/>
      </c>
      <c r="CJ56">
        <f ca="1"/>
      </c>
      <c r="CK56">
        <f ca="1"/>
      </c>
      <c r="CL56">
        <f ca="1"/>
      </c>
      <c r="CM56">
        <f ca="1"/>
      </c>
      <c r="CN56">
        <f ca="1"/>
      </c>
      <c r="CO56">
        <f ca="1"/>
      </c>
      <c r="CP56">
        <f ca="1"/>
      </c>
      <c r="CQ56">
        <f ca="1"/>
      </c>
      <c r="CR56">
        <f ca="1"/>
      </c>
      <c r="CS56">
        <f ca="1"/>
      </c>
      <c r="CT56">
        <f ca="1"/>
      </c>
      <c r="CU56">
        <f ca="1"/>
      </c>
      <c r="CV56">
        <f ca="1"/>
      </c>
      <c r="CW56">
        <f ca="1"/>
      </c>
      <c r="CX56">
        <f ca="1"/>
      </c>
      <c r="CY56">
        <f ca="1"/>
      </c>
      <c r="CZ56">
        <f ca="1"/>
      </c>
      <c r="DA56">
        <f ca="1"/>
      </c>
      <c r="DB56">
        <f ca="1"/>
      </c>
      <c r="DC56">
        <f ca="1"/>
      </c>
      <c r="DD56">
        <f ca="1"/>
      </c>
      <c r="DE56">
        <f ca="1"/>
      </c>
      <c r="DG56">
        <f ca="1"/>
      </c>
      <c r="DH56">
        <f ca="1"/>
      </c>
      <c r="DI56">
        <f ca="1"/>
      </c>
      <c r="DJ56">
        <f ca="1"/>
      </c>
      <c r="DK56">
        <f ca="1"/>
      </c>
      <c r="DL56">
        <f ca="1"/>
      </c>
      <c r="DM56">
        <f ca="1"/>
      </c>
      <c r="DN56">
        <f ca="1"/>
      </c>
      <c r="DO56">
        <f ca="1"/>
      </c>
      <c r="DP56">
        <f ca="1"/>
      </c>
      <c r="DQ56">
        <f ca="1"/>
      </c>
      <c r="DR56">
        <f ca="1"/>
      </c>
      <c r="DS56">
        <f ca="1"/>
      </c>
      <c r="DT56">
        <f ca="1"/>
      </c>
      <c r="DU56">
        <f ca="1"/>
      </c>
      <c r="DV56">
        <f ca="1"/>
      </c>
      <c r="DW56">
        <f ca="1"/>
      </c>
      <c r="DX56">
        <f ca="1"/>
      </c>
      <c r="DY56">
        <f ca="1"/>
      </c>
      <c r="DZ56">
        <f ca="1"/>
      </c>
      <c r="EA56">
        <f ca="1"/>
      </c>
      <c r="EB56">
        <f ca="1"/>
      </c>
      <c r="EC56">
        <f ca="1"/>
      </c>
      <c r="ED56">
        <f ca="1"/>
      </c>
      <c r="EE56">
        <f ca="1"/>
      </c>
      <c r="EF56">
        <f ca="1"/>
      </c>
      <c r="EG56">
        <f ca="1"/>
      </c>
      <c r="EH56">
        <f ca="1"/>
      </c>
      <c r="EI56">
        <f ca="1"/>
      </c>
      <c r="EJ56">
        <f ca="1"/>
      </c>
      <c r="EK56">
        <f ca="1"/>
      </c>
      <c r="EL56">
        <f ca="1"/>
      </c>
      <c r="EM56">
        <f ca="1"/>
      </c>
      <c r="EN56">
        <f ca="1"/>
      </c>
      <c r="EO56">
        <f ca="1"/>
      </c>
      <c r="EP56">
        <f ca="1"/>
      </c>
      <c r="EQ56">
        <f ca="1"/>
      </c>
      <c r="ER56">
        <f ca="1"/>
      </c>
      <c r="ES56">
        <f ca="1"/>
      </c>
      <c r="ET56">
        <f ca="1"/>
      </c>
      <c r="EU56">
        <f ca="1"/>
      </c>
      <c r="EV56">
        <f ca="1"/>
      </c>
      <c r="EW56">
        <f ca="1"/>
      </c>
      <c r="EX56">
        <f ca="1"/>
      </c>
      <c r="EY56">
        <f ca="1"/>
      </c>
      <c r="EZ56">
        <f ca="1"/>
      </c>
      <c r="FA56">
        <f ca="1"/>
      </c>
      <c r="FC56">
        <f ca="1"/>
      </c>
      <c r="FD56">
        <f ca="1"/>
      </c>
      <c r="FE56">
        <f ca="1"/>
      </c>
      <c r="FF56">
        <f ca="1"/>
      </c>
      <c r="FG56">
        <f ca="1"/>
      </c>
      <c r="FH56">
        <f ca="1"/>
      </c>
      <c r="FI56">
        <f ca="1"/>
      </c>
      <c r="FJ56">
        <f ca="1"/>
      </c>
      <c r="FK56">
        <f ca="1"/>
      </c>
      <c r="FL56">
        <f ca="1"/>
      </c>
      <c r="FM56">
        <f ca="1"/>
      </c>
      <c r="FN56">
        <f ca="1"/>
      </c>
      <c r="FO56">
        <f ca="1"/>
      </c>
      <c r="FP56">
        <f ca="1"/>
      </c>
      <c r="FQ56">
        <f ca="1"/>
      </c>
      <c r="FR56">
        <f ca="1"/>
      </c>
      <c r="FS56">
        <f ca="1"/>
      </c>
      <c r="FT56">
        <f ca="1"/>
      </c>
      <c r="FU56">
        <f ca="1"/>
      </c>
      <c r="FV56">
        <f ca="1"/>
      </c>
      <c r="FW56">
        <f ca="1"/>
      </c>
      <c r="FX56">
        <f ca="1"/>
      </c>
      <c r="FY56">
        <f ca="1"/>
      </c>
      <c r="FZ56">
        <f ca="1"/>
      </c>
      <c r="GA56">
        <f ca="1"/>
      </c>
      <c r="GB56">
        <f ca="1"/>
      </c>
      <c r="GC56">
        <f ca="1"/>
      </c>
      <c r="GD56">
        <f ca="1"/>
      </c>
      <c r="GE56">
        <f ca="1"/>
      </c>
      <c r="GF56">
        <f ca="1"/>
      </c>
      <c r="GG56">
        <f ca="1"/>
      </c>
      <c r="GH56">
        <f ca="1"/>
      </c>
      <c r="GI56">
        <f ca="1"/>
      </c>
      <c r="GJ56">
        <f ca="1"/>
      </c>
      <c r="GK56">
        <f ca="1"/>
      </c>
      <c r="GL56">
        <f ca="1"/>
      </c>
      <c r="GM56">
        <f ca="1"/>
      </c>
      <c r="GN56">
        <f ca="1"/>
      </c>
      <c r="GO56">
        <f ca="1"/>
      </c>
      <c r="GP56">
        <f ca="1"/>
      </c>
      <c r="GQ56">
        <f ca="1"/>
      </c>
      <c r="GR56">
        <f ca="1"/>
      </c>
      <c r="GS56">
        <f ca="1"/>
      </c>
      <c r="GT56">
        <f ca="1"/>
      </c>
      <c r="GU56">
        <f ca="1"/>
      </c>
      <c r="GV56">
        <f ca="1"/>
      </c>
      <c r="GW56">
        <f ca="1"/>
      </c>
      <c r="HI56" s="7">
        <f ca="1"/>
      </c>
      <c r="HJ56">
        <f ca="1"/>
      </c>
      <c r="HK56">
        <f ca="1"/>
      </c>
      <c r="HL56">
        <f ca="1"/>
      </c>
      <c r="HM56">
        <f ca="1"/>
      </c>
    </row>
    <row r="57" spans="1:221" x14ac:dyDescent="0.55000000000000004">
      <c r="BK57">
        <f ca="1"/>
      </c>
      <c r="BL57">
        <f ca="1"/>
      </c>
      <c r="BM57">
        <f ca="1"/>
      </c>
      <c r="BN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  <c r="BV57">
        <f ca="1"/>
      </c>
      <c r="BW57">
        <f ca="1"/>
      </c>
      <c r="BX57">
        <f ca="1"/>
      </c>
      <c r="BY57">
        <f ca="1"/>
      </c>
      <c r="BZ57">
        <f ca="1"/>
      </c>
      <c r="CA57">
        <f ca="1"/>
      </c>
      <c r="CB57">
        <f ca="1"/>
      </c>
      <c r="CC57">
        <f ca="1"/>
      </c>
      <c r="CD57">
        <f ca="1"/>
      </c>
      <c r="CE57">
        <f ca="1"/>
      </c>
      <c r="CF57">
        <f ca="1"/>
      </c>
      <c r="CG57">
        <f ca="1"/>
      </c>
      <c r="CH57">
        <f ca="1"/>
      </c>
      <c r="CI57">
        <f ca="1"/>
      </c>
      <c r="CJ57">
        <f ca="1"/>
      </c>
      <c r="CK57">
        <f ca="1"/>
      </c>
      <c r="CL57">
        <f ca="1"/>
      </c>
      <c r="CM57">
        <f ca="1"/>
      </c>
      <c r="CN57">
        <f ca="1"/>
      </c>
      <c r="CO57">
        <f ca="1"/>
      </c>
      <c r="CP57">
        <f ca="1"/>
      </c>
      <c r="CQ57">
        <f ca="1"/>
      </c>
      <c r="CR57">
        <f ca="1"/>
      </c>
      <c r="CS57">
        <f ca="1"/>
      </c>
      <c r="CT57">
        <f ca="1"/>
      </c>
      <c r="CU57">
        <f ca="1"/>
      </c>
      <c r="CV57">
        <f ca="1"/>
      </c>
      <c r="CW57">
        <f ca="1"/>
      </c>
      <c r="CX57">
        <f ca="1"/>
      </c>
      <c r="CY57">
        <f ca="1"/>
      </c>
      <c r="CZ57">
        <f ca="1"/>
      </c>
      <c r="DA57">
        <f ca="1"/>
      </c>
      <c r="DB57">
        <f ca="1"/>
      </c>
      <c r="DC57">
        <f ca="1"/>
      </c>
      <c r="DD57">
        <f ca="1"/>
      </c>
      <c r="DE57">
        <f ca="1"/>
      </c>
      <c r="DG57">
        <f ca="1"/>
      </c>
      <c r="DH57">
        <f ca="1"/>
      </c>
      <c r="DI57">
        <f ca="1"/>
      </c>
      <c r="DJ57">
        <f ca="1"/>
      </c>
      <c r="DK57">
        <f ca="1"/>
      </c>
      <c r="DL57">
        <f ca="1"/>
      </c>
      <c r="DM57">
        <f ca="1"/>
      </c>
      <c r="DN57">
        <f ca="1"/>
      </c>
      <c r="DO57">
        <f ca="1"/>
      </c>
      <c r="DP57">
        <f ca="1"/>
      </c>
      <c r="DQ57">
        <f ca="1"/>
      </c>
      <c r="DR57">
        <f ca="1"/>
      </c>
      <c r="DS57">
        <f ca="1"/>
      </c>
      <c r="DT57">
        <f ca="1"/>
      </c>
      <c r="DU57">
        <f ca="1"/>
      </c>
      <c r="DV57">
        <f ca="1"/>
      </c>
      <c r="DW57">
        <f ca="1"/>
      </c>
      <c r="DX57">
        <f ca="1"/>
      </c>
      <c r="DY57">
        <f ca="1"/>
      </c>
      <c r="DZ57">
        <f ca="1"/>
      </c>
      <c r="EA57">
        <f ca="1"/>
      </c>
      <c r="EB57">
        <f ca="1"/>
      </c>
      <c r="EC57">
        <f ca="1"/>
      </c>
      <c r="ED57">
        <f ca="1"/>
      </c>
      <c r="EE57">
        <f ca="1"/>
      </c>
      <c r="EF57">
        <f ca="1"/>
      </c>
      <c r="EG57">
        <f ca="1"/>
      </c>
      <c r="EH57">
        <f ca="1"/>
      </c>
      <c r="EI57">
        <f ca="1"/>
      </c>
      <c r="EJ57">
        <f ca="1"/>
      </c>
      <c r="EK57">
        <f ca="1"/>
      </c>
      <c r="EL57">
        <f ca="1"/>
      </c>
      <c r="EM57">
        <f ca="1"/>
      </c>
      <c r="EN57">
        <f ca="1"/>
      </c>
      <c r="EO57">
        <f ca="1"/>
      </c>
      <c r="EP57">
        <f ca="1"/>
      </c>
      <c r="EQ57">
        <f ca="1"/>
      </c>
      <c r="ER57">
        <f ca="1"/>
      </c>
      <c r="ES57">
        <f ca="1"/>
      </c>
      <c r="ET57">
        <f ca="1"/>
      </c>
      <c r="EU57">
        <f ca="1"/>
      </c>
      <c r="EV57">
        <f ca="1"/>
      </c>
      <c r="EW57">
        <f ca="1"/>
      </c>
      <c r="EX57">
        <f ca="1"/>
      </c>
      <c r="EY57">
        <f ca="1"/>
      </c>
      <c r="EZ57">
        <f ca="1"/>
      </c>
      <c r="FA57">
        <f ca="1"/>
      </c>
      <c r="FC57">
        <f ca="1"/>
      </c>
      <c r="FD57">
        <f ca="1"/>
      </c>
      <c r="FE57">
        <f ca="1"/>
      </c>
      <c r="FF57">
        <f ca="1"/>
      </c>
      <c r="FG57">
        <f ca="1"/>
      </c>
      <c r="FH57">
        <f ca="1"/>
      </c>
      <c r="FI57">
        <f ca="1"/>
      </c>
      <c r="FJ57">
        <f ca="1"/>
      </c>
      <c r="FK57">
        <f ca="1"/>
      </c>
      <c r="FL57">
        <f ca="1"/>
      </c>
      <c r="FM57">
        <f ca="1"/>
      </c>
      <c r="FN57">
        <f ca="1"/>
      </c>
      <c r="FO57">
        <f ca="1"/>
      </c>
      <c r="FP57">
        <f ca="1"/>
      </c>
      <c r="FQ57">
        <f ca="1"/>
      </c>
      <c r="FR57">
        <f ca="1"/>
      </c>
      <c r="FS57">
        <f ca="1"/>
      </c>
      <c r="FT57">
        <f ca="1"/>
      </c>
      <c r="FU57">
        <f ca="1"/>
      </c>
      <c r="FV57">
        <f ca="1"/>
      </c>
      <c r="FW57">
        <f ca="1"/>
      </c>
      <c r="FX57">
        <f ca="1"/>
      </c>
      <c r="FY57">
        <f ca="1"/>
      </c>
      <c r="FZ57">
        <f ca="1"/>
      </c>
      <c r="GA57">
        <f ca="1"/>
      </c>
      <c r="GB57">
        <f ca="1"/>
      </c>
      <c r="GC57">
        <f ca="1"/>
      </c>
      <c r="GD57">
        <f ca="1"/>
      </c>
      <c r="GE57">
        <f ca="1"/>
      </c>
      <c r="GF57">
        <f ca="1"/>
      </c>
      <c r="GG57">
        <f ca="1"/>
      </c>
      <c r="GH57">
        <f ca="1"/>
      </c>
      <c r="GI57">
        <f ca="1"/>
      </c>
      <c r="GJ57">
        <f ca="1"/>
      </c>
      <c r="GK57">
        <f ca="1"/>
      </c>
      <c r="GL57">
        <f ca="1"/>
      </c>
      <c r="GM57">
        <f ca="1"/>
      </c>
      <c r="GN57">
        <f ca="1"/>
      </c>
      <c r="GO57">
        <f ca="1"/>
      </c>
      <c r="GP57">
        <f ca="1"/>
      </c>
      <c r="GQ57">
        <f ca="1"/>
      </c>
      <c r="GR57">
        <f ca="1"/>
      </c>
      <c r="GS57">
        <f ca="1"/>
      </c>
      <c r="GT57">
        <f ca="1"/>
      </c>
      <c r="GU57">
        <f ca="1"/>
      </c>
      <c r="GV57">
        <f ca="1"/>
      </c>
      <c r="GW57">
        <f ca="1"/>
      </c>
      <c r="HI57" s="7">
        <f ca="1"/>
      </c>
      <c r="HJ57">
        <f ca="1"/>
      </c>
      <c r="HK57">
        <f ca="1"/>
      </c>
      <c r="HL57">
        <f ca="1"/>
      </c>
      <c r="HM57">
        <f ca="1"/>
      </c>
    </row>
    <row r="58" spans="1:221" x14ac:dyDescent="0.55000000000000004">
      <c r="BK58">
        <f ca="1"/>
      </c>
      <c r="BL58">
        <f ca="1"/>
      </c>
      <c r="BM58">
        <f ca="1"/>
      </c>
      <c r="BN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  <c r="BV58">
        <f ca="1"/>
      </c>
      <c r="BW58">
        <f ca="1"/>
      </c>
      <c r="BX58">
        <f ca="1"/>
      </c>
      <c r="BY58">
        <f ca="1"/>
      </c>
      <c r="BZ58">
        <f ca="1"/>
      </c>
      <c r="CA58">
        <f ca="1"/>
      </c>
      <c r="CB58">
        <f ca="1"/>
      </c>
      <c r="CC58">
        <f ca="1"/>
      </c>
      <c r="CD58">
        <f ca="1"/>
      </c>
      <c r="CE58">
        <f ca="1"/>
      </c>
      <c r="CF58">
        <f ca="1"/>
      </c>
      <c r="CG58">
        <f ca="1"/>
      </c>
      <c r="CH58">
        <f ca="1"/>
      </c>
      <c r="CI58">
        <f ca="1"/>
      </c>
      <c r="CJ58">
        <f ca="1"/>
      </c>
      <c r="CK58">
        <f ca="1"/>
      </c>
      <c r="CL58">
        <f ca="1"/>
      </c>
      <c r="CM58">
        <f ca="1"/>
      </c>
      <c r="CN58">
        <f ca="1"/>
      </c>
      <c r="CO58">
        <f ca="1"/>
      </c>
      <c r="CP58">
        <f ca="1"/>
      </c>
      <c r="CQ58">
        <f ca="1"/>
      </c>
      <c r="CR58">
        <f ca="1"/>
      </c>
      <c r="CS58">
        <f ca="1"/>
      </c>
      <c r="CT58">
        <f ca="1"/>
      </c>
      <c r="CU58">
        <f ca="1"/>
      </c>
      <c r="CV58">
        <f ca="1"/>
      </c>
      <c r="CW58">
        <f ca="1"/>
      </c>
      <c r="CX58">
        <f ca="1"/>
      </c>
      <c r="CY58">
        <f ca="1"/>
      </c>
      <c r="CZ58">
        <f ca="1"/>
      </c>
      <c r="DA58">
        <f ca="1"/>
      </c>
      <c r="DB58">
        <f ca="1"/>
      </c>
      <c r="DC58">
        <f ca="1"/>
      </c>
      <c r="DD58">
        <f ca="1"/>
      </c>
      <c r="DE58">
        <f ca="1"/>
      </c>
      <c r="DG58">
        <f ca="1"/>
      </c>
      <c r="DH58">
        <f ca="1"/>
      </c>
      <c r="DI58">
        <f ca="1"/>
      </c>
      <c r="DJ58">
        <f ca="1"/>
      </c>
      <c r="DK58">
        <f ca="1"/>
      </c>
      <c r="DL58">
        <f ca="1"/>
      </c>
      <c r="DM58">
        <f ca="1"/>
      </c>
      <c r="DN58">
        <f ca="1"/>
      </c>
      <c r="DO58">
        <f ca="1"/>
      </c>
      <c r="DP58">
        <f ca="1"/>
      </c>
      <c r="DQ58">
        <f ca="1"/>
      </c>
      <c r="DR58">
        <f ca="1"/>
      </c>
      <c r="DS58">
        <f ca="1"/>
      </c>
      <c r="DT58">
        <f ca="1"/>
      </c>
      <c r="DU58">
        <f ca="1"/>
      </c>
      <c r="DV58">
        <f ca="1"/>
      </c>
      <c r="DW58">
        <f ca="1"/>
      </c>
      <c r="DX58">
        <f ca="1"/>
      </c>
      <c r="DY58">
        <f ca="1"/>
      </c>
      <c r="DZ58">
        <f ca="1"/>
      </c>
      <c r="EA58">
        <f ca="1"/>
      </c>
      <c r="EB58">
        <f ca="1"/>
      </c>
      <c r="EC58">
        <f ca="1"/>
      </c>
      <c r="ED58">
        <f ca="1"/>
      </c>
      <c r="EE58">
        <f ca="1"/>
      </c>
      <c r="EF58">
        <f ca="1"/>
      </c>
      <c r="EG58">
        <f ca="1"/>
      </c>
      <c r="EH58">
        <f ca="1"/>
      </c>
      <c r="EI58">
        <f ca="1"/>
      </c>
      <c r="EJ58">
        <f ca="1"/>
      </c>
      <c r="EK58">
        <f ca="1"/>
      </c>
      <c r="EL58">
        <f ca="1"/>
      </c>
      <c r="EM58">
        <f ca="1"/>
      </c>
      <c r="EN58">
        <f ca="1"/>
      </c>
      <c r="EO58">
        <f ca="1"/>
      </c>
      <c r="EP58">
        <f ca="1"/>
      </c>
      <c r="EQ58">
        <f ca="1"/>
      </c>
      <c r="ER58">
        <f ca="1"/>
      </c>
      <c r="ES58">
        <f ca="1"/>
      </c>
      <c r="ET58">
        <f ca="1"/>
      </c>
      <c r="EU58">
        <f ca="1"/>
      </c>
      <c r="EV58">
        <f ca="1"/>
      </c>
      <c r="EW58">
        <f ca="1"/>
      </c>
      <c r="EX58">
        <f ca="1"/>
      </c>
      <c r="EY58">
        <f ca="1"/>
      </c>
      <c r="EZ58">
        <f ca="1"/>
      </c>
      <c r="FA58">
        <f ca="1"/>
      </c>
      <c r="FC58">
        <f ca="1"/>
      </c>
      <c r="FD58">
        <f ca="1"/>
      </c>
      <c r="FE58">
        <f ca="1"/>
      </c>
      <c r="FF58">
        <f ca="1"/>
      </c>
      <c r="FG58">
        <f ca="1"/>
      </c>
      <c r="FH58">
        <f ca="1"/>
      </c>
      <c r="FI58">
        <f ca="1"/>
      </c>
      <c r="FJ58">
        <f ca="1"/>
      </c>
      <c r="FK58">
        <f ca="1"/>
      </c>
      <c r="FL58">
        <f ca="1"/>
      </c>
      <c r="FM58">
        <f ca="1"/>
      </c>
      <c r="FN58">
        <f ca="1"/>
      </c>
      <c r="FO58">
        <f ca="1"/>
      </c>
      <c r="FP58">
        <f ca="1"/>
      </c>
      <c r="FQ58">
        <f ca="1"/>
      </c>
      <c r="FR58">
        <f ca="1"/>
      </c>
      <c r="FS58">
        <f ca="1"/>
      </c>
      <c r="FT58">
        <f ca="1"/>
      </c>
      <c r="FU58">
        <f ca="1"/>
      </c>
      <c r="FV58">
        <f ca="1"/>
      </c>
      <c r="FW58">
        <f ca="1"/>
      </c>
      <c r="FX58">
        <f ca="1"/>
      </c>
      <c r="FY58">
        <f ca="1"/>
      </c>
      <c r="FZ58">
        <f ca="1"/>
      </c>
      <c r="GA58">
        <f ca="1"/>
      </c>
      <c r="GB58">
        <f ca="1"/>
      </c>
      <c r="GC58">
        <f ca="1"/>
      </c>
      <c r="GD58">
        <f ca="1"/>
      </c>
      <c r="GE58">
        <f ca="1"/>
      </c>
      <c r="GF58">
        <f ca="1"/>
      </c>
      <c r="GG58">
        <f ca="1"/>
      </c>
      <c r="GH58">
        <f ca="1"/>
      </c>
      <c r="GI58">
        <f ca="1"/>
      </c>
      <c r="GJ58">
        <f ca="1"/>
      </c>
      <c r="GK58">
        <f ca="1"/>
      </c>
      <c r="GL58">
        <f ca="1"/>
      </c>
      <c r="GM58">
        <f ca="1"/>
      </c>
      <c r="GN58">
        <f ca="1"/>
      </c>
      <c r="GO58">
        <f ca="1"/>
      </c>
      <c r="GP58">
        <f ca="1"/>
      </c>
      <c r="GQ58">
        <f ca="1"/>
      </c>
      <c r="GR58">
        <f ca="1"/>
      </c>
      <c r="GS58">
        <f ca="1"/>
      </c>
      <c r="GT58">
        <f ca="1"/>
      </c>
      <c r="GU58">
        <f ca="1"/>
      </c>
      <c r="GV58">
        <f ca="1"/>
      </c>
      <c r="GW58">
        <f ca="1"/>
      </c>
      <c r="HI58" s="7">
        <f ca="1"/>
      </c>
      <c r="HJ58">
        <f ca="1"/>
      </c>
      <c r="HK58">
        <f ca="1"/>
      </c>
      <c r="HL58">
        <f ca="1"/>
      </c>
      <c r="HM58">
        <f ca="1"/>
      </c>
    </row>
    <row r="59" spans="1:221" x14ac:dyDescent="0.55000000000000004">
      <c r="BK59">
        <f ca="1"/>
      </c>
      <c r="BL59">
        <f ca="1"/>
      </c>
      <c r="BM59">
        <f ca="1"/>
      </c>
      <c r="BN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  <c r="BV59">
        <f ca="1"/>
      </c>
      <c r="BW59">
        <f ca="1"/>
      </c>
      <c r="BX59">
        <f ca="1"/>
      </c>
      <c r="BY59">
        <f ca="1"/>
      </c>
      <c r="BZ59">
        <f ca="1"/>
      </c>
      <c r="CA59">
        <f ca="1"/>
      </c>
      <c r="CB59">
        <f ca="1"/>
      </c>
      <c r="CC59">
        <f ca="1"/>
      </c>
      <c r="CD59">
        <f ca="1"/>
      </c>
      <c r="CE59">
        <f ca="1"/>
      </c>
      <c r="CF59">
        <f ca="1"/>
      </c>
      <c r="CG59">
        <f ca="1"/>
      </c>
      <c r="CH59">
        <f ca="1"/>
      </c>
      <c r="CI59">
        <f ca="1"/>
      </c>
      <c r="CJ59">
        <f ca="1"/>
      </c>
      <c r="CK59">
        <f ca="1"/>
      </c>
      <c r="CL59">
        <f ca="1"/>
      </c>
      <c r="CM59">
        <f ca="1"/>
      </c>
      <c r="CN59">
        <f ca="1"/>
      </c>
      <c r="CO59">
        <f ca="1"/>
      </c>
      <c r="CP59">
        <f ca="1"/>
      </c>
      <c r="CQ59">
        <f ca="1"/>
      </c>
      <c r="CR59">
        <f ca="1"/>
      </c>
      <c r="CS59">
        <f ca="1"/>
      </c>
      <c r="CT59">
        <f ca="1"/>
      </c>
      <c r="CU59">
        <f ca="1"/>
      </c>
      <c r="CV59">
        <f ca="1"/>
      </c>
      <c r="CW59">
        <f ca="1"/>
      </c>
      <c r="CX59">
        <f ca="1"/>
      </c>
      <c r="CY59">
        <f ca="1"/>
      </c>
      <c r="CZ59">
        <f ca="1"/>
      </c>
      <c r="DA59">
        <f ca="1"/>
      </c>
      <c r="DB59">
        <f ca="1"/>
      </c>
      <c r="DC59">
        <f ca="1"/>
      </c>
      <c r="DD59">
        <f ca="1"/>
      </c>
      <c r="DE59">
        <f ca="1"/>
      </c>
      <c r="DG59">
        <f ca="1"/>
      </c>
      <c r="DH59">
        <f ca="1"/>
      </c>
      <c r="DI59">
        <f ca="1"/>
      </c>
      <c r="DJ59">
        <f ca="1"/>
      </c>
      <c r="DK59">
        <f ca="1"/>
      </c>
      <c r="DL59">
        <f ca="1"/>
      </c>
      <c r="DM59">
        <f ca="1"/>
      </c>
      <c r="DN59">
        <f ca="1"/>
      </c>
      <c r="DO59">
        <f ca="1"/>
      </c>
      <c r="DP59">
        <f ca="1"/>
      </c>
      <c r="DQ59">
        <f ca="1"/>
      </c>
      <c r="DR59">
        <f ca="1"/>
      </c>
      <c r="DS59">
        <f ca="1"/>
      </c>
      <c r="DT59">
        <f ca="1"/>
      </c>
      <c r="DU59">
        <f ca="1"/>
      </c>
      <c r="DV59">
        <f ca="1"/>
      </c>
      <c r="DW59">
        <f ca="1"/>
      </c>
      <c r="DX59">
        <f ca="1"/>
      </c>
      <c r="DY59">
        <f ca="1"/>
      </c>
      <c r="DZ59">
        <f ca="1"/>
      </c>
      <c r="EA59">
        <f ca="1"/>
      </c>
      <c r="EB59">
        <f ca="1"/>
      </c>
      <c r="EC59">
        <f ca="1"/>
      </c>
      <c r="ED59">
        <f ca="1"/>
      </c>
      <c r="EE59">
        <f ca="1"/>
      </c>
      <c r="EF59">
        <f ca="1"/>
      </c>
      <c r="EG59">
        <f ca="1"/>
      </c>
      <c r="EH59">
        <f ca="1"/>
      </c>
      <c r="EI59">
        <f ca="1"/>
      </c>
      <c r="EJ59">
        <f ca="1"/>
      </c>
      <c r="EK59">
        <f ca="1"/>
      </c>
      <c r="EL59">
        <f ca="1"/>
      </c>
      <c r="EM59">
        <f ca="1"/>
      </c>
      <c r="EN59">
        <f ca="1"/>
      </c>
      <c r="EO59">
        <f ca="1"/>
      </c>
      <c r="EP59">
        <f ca="1"/>
      </c>
      <c r="EQ59">
        <f ca="1"/>
      </c>
      <c r="ER59">
        <f ca="1"/>
      </c>
      <c r="ES59">
        <f ca="1"/>
      </c>
      <c r="ET59">
        <f ca="1"/>
      </c>
      <c r="EU59">
        <f ca="1"/>
      </c>
      <c r="EV59">
        <f ca="1"/>
      </c>
      <c r="EW59">
        <f ca="1"/>
      </c>
      <c r="EX59">
        <f ca="1"/>
      </c>
      <c r="EY59">
        <f ca="1"/>
      </c>
      <c r="EZ59">
        <f ca="1"/>
      </c>
      <c r="FA59">
        <f ca="1"/>
      </c>
      <c r="FC59">
        <f ca="1"/>
      </c>
      <c r="FD59">
        <f ca="1"/>
      </c>
      <c r="FE59">
        <f ca="1"/>
      </c>
      <c r="FF59">
        <f ca="1"/>
      </c>
      <c r="FG59">
        <f ca="1"/>
      </c>
      <c r="FH59">
        <f ca="1"/>
      </c>
      <c r="FI59">
        <f ca="1"/>
      </c>
      <c r="FJ59">
        <f ca="1"/>
      </c>
      <c r="FK59">
        <f ca="1"/>
      </c>
      <c r="FL59">
        <f ca="1"/>
      </c>
      <c r="FM59">
        <f ca="1"/>
      </c>
      <c r="FN59">
        <f ca="1"/>
      </c>
      <c r="FO59">
        <f ca="1"/>
      </c>
      <c r="FP59">
        <f ca="1"/>
      </c>
      <c r="FQ59">
        <f ca="1"/>
      </c>
      <c r="FR59">
        <f ca="1"/>
      </c>
      <c r="FS59">
        <f ca="1"/>
      </c>
      <c r="FT59">
        <f ca="1"/>
      </c>
      <c r="FU59">
        <f ca="1"/>
      </c>
      <c r="FV59">
        <f ca="1"/>
      </c>
      <c r="FW59">
        <f ca="1"/>
      </c>
      <c r="FX59">
        <f ca="1"/>
      </c>
      <c r="FY59">
        <f ca="1"/>
      </c>
      <c r="FZ59">
        <f ca="1"/>
      </c>
      <c r="GA59">
        <f ca="1"/>
      </c>
      <c r="GB59">
        <f ca="1"/>
      </c>
      <c r="GC59">
        <f ca="1"/>
      </c>
      <c r="GD59">
        <f ca="1"/>
      </c>
      <c r="GE59">
        <f ca="1"/>
      </c>
      <c r="GF59">
        <f ca="1"/>
      </c>
      <c r="GG59">
        <f ca="1"/>
      </c>
      <c r="GH59">
        <f ca="1"/>
      </c>
      <c r="GI59">
        <f ca="1"/>
      </c>
      <c r="GJ59">
        <f ca="1"/>
      </c>
      <c r="GK59">
        <f ca="1"/>
      </c>
      <c r="GL59">
        <f ca="1"/>
      </c>
      <c r="GM59">
        <f ca="1"/>
      </c>
      <c r="GN59">
        <f ca="1"/>
      </c>
      <c r="GO59">
        <f ca="1"/>
      </c>
      <c r="GP59">
        <f ca="1"/>
      </c>
      <c r="GQ59">
        <f ca="1"/>
      </c>
      <c r="GR59">
        <f ca="1"/>
      </c>
      <c r="GS59">
        <f ca="1"/>
      </c>
      <c r="GT59">
        <f ca="1"/>
      </c>
      <c r="GU59">
        <f ca="1"/>
      </c>
      <c r="GV59">
        <f ca="1"/>
      </c>
      <c r="GW59">
        <f ca="1"/>
      </c>
      <c r="HI59" s="7">
        <f ca="1"/>
      </c>
      <c r="HJ59">
        <f ca="1"/>
      </c>
      <c r="HK59">
        <f ca="1"/>
      </c>
      <c r="HL59">
        <f ca="1"/>
      </c>
      <c r="HM59">
        <f ca="1"/>
      </c>
    </row>
    <row r="60" spans="1:221" x14ac:dyDescent="0.55000000000000004">
      <c r="BK60">
        <f ca="1"/>
      </c>
      <c r="BL60">
        <f ca="1"/>
      </c>
      <c r="BM60">
        <f ca="1"/>
      </c>
      <c r="BN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  <c r="BV60">
        <f ca="1"/>
      </c>
      <c r="BW60">
        <f ca="1"/>
      </c>
      <c r="BX60">
        <f ca="1"/>
      </c>
      <c r="BY60">
        <f ca="1"/>
      </c>
      <c r="BZ60">
        <f ca="1"/>
      </c>
      <c r="CA60">
        <f ca="1"/>
      </c>
      <c r="CB60">
        <f ca="1"/>
      </c>
      <c r="CC60">
        <f ca="1"/>
      </c>
      <c r="CD60">
        <f ca="1"/>
      </c>
      <c r="CE60">
        <f ca="1"/>
      </c>
      <c r="CF60">
        <f ca="1"/>
      </c>
      <c r="CG60">
        <f ca="1"/>
      </c>
      <c r="CH60">
        <f ca="1"/>
      </c>
      <c r="CI60">
        <f ca="1"/>
      </c>
      <c r="CJ60">
        <f ca="1"/>
      </c>
      <c r="CK60">
        <f ca="1"/>
      </c>
      <c r="CL60">
        <f ca="1"/>
      </c>
      <c r="CM60">
        <f ca="1"/>
      </c>
      <c r="CN60">
        <f ca="1"/>
      </c>
      <c r="CO60">
        <f ca="1"/>
      </c>
      <c r="CP60">
        <f ca="1"/>
      </c>
      <c r="CQ60">
        <f ca="1"/>
      </c>
      <c r="CR60">
        <f ca="1"/>
      </c>
      <c r="CS60">
        <f ca="1"/>
      </c>
      <c r="CT60">
        <f ca="1"/>
      </c>
      <c r="CU60">
        <f ca="1"/>
      </c>
      <c r="CV60">
        <f ca="1"/>
      </c>
      <c r="CW60">
        <f ca="1"/>
      </c>
      <c r="CX60">
        <f ca="1"/>
      </c>
      <c r="CY60">
        <f ca="1"/>
      </c>
      <c r="CZ60">
        <f ca="1"/>
      </c>
      <c r="DA60">
        <f ca="1"/>
      </c>
      <c r="DB60">
        <f ca="1"/>
      </c>
      <c r="DC60">
        <f ca="1"/>
      </c>
      <c r="DD60">
        <f ca="1"/>
      </c>
      <c r="DE60">
        <f ca="1"/>
      </c>
      <c r="DG60">
        <f ca="1"/>
      </c>
      <c r="DH60">
        <f ca="1"/>
      </c>
      <c r="DI60">
        <f ca="1"/>
      </c>
      <c r="DJ60">
        <f ca="1"/>
      </c>
      <c r="DK60">
        <f ca="1"/>
      </c>
      <c r="DL60">
        <f ca="1"/>
      </c>
      <c r="DM60">
        <f ca="1"/>
      </c>
      <c r="DN60">
        <f ca="1"/>
      </c>
      <c r="DO60">
        <f ca="1"/>
      </c>
      <c r="DP60">
        <f ca="1"/>
      </c>
      <c r="DQ60">
        <f ca="1"/>
      </c>
      <c r="DR60">
        <f ca="1"/>
      </c>
      <c r="DS60">
        <f ca="1"/>
      </c>
      <c r="DT60">
        <f ca="1"/>
      </c>
      <c r="DU60">
        <f ca="1"/>
      </c>
      <c r="DV60">
        <f ca="1"/>
      </c>
      <c r="DW60">
        <f ca="1"/>
      </c>
      <c r="DX60">
        <f ca="1"/>
      </c>
      <c r="DY60">
        <f ca="1"/>
      </c>
      <c r="DZ60">
        <f ca="1"/>
      </c>
      <c r="EA60">
        <f ca="1"/>
      </c>
      <c r="EB60">
        <f ca="1"/>
      </c>
      <c r="EC60">
        <f ca="1"/>
      </c>
      <c r="ED60">
        <f ca="1"/>
      </c>
      <c r="EE60">
        <f ca="1"/>
      </c>
      <c r="EF60">
        <f ca="1"/>
      </c>
      <c r="EG60">
        <f ca="1"/>
      </c>
      <c r="EH60">
        <f ca="1"/>
      </c>
      <c r="EI60">
        <f ca="1"/>
      </c>
      <c r="EJ60">
        <f ca="1"/>
      </c>
      <c r="EK60">
        <f ca="1"/>
      </c>
      <c r="EL60">
        <f ca="1"/>
      </c>
      <c r="EM60">
        <f ca="1"/>
      </c>
      <c r="EN60">
        <f ca="1"/>
      </c>
      <c r="EO60">
        <f ca="1"/>
      </c>
      <c r="EP60">
        <f ca="1"/>
      </c>
      <c r="EQ60">
        <f ca="1"/>
      </c>
      <c r="ER60">
        <f ca="1"/>
      </c>
      <c r="ES60">
        <f ca="1"/>
      </c>
      <c r="ET60">
        <f ca="1"/>
      </c>
      <c r="EU60">
        <f ca="1"/>
      </c>
      <c r="EV60">
        <f ca="1"/>
      </c>
      <c r="EW60">
        <f ca="1"/>
      </c>
      <c r="EX60">
        <f ca="1"/>
      </c>
      <c r="EY60">
        <f ca="1"/>
      </c>
      <c r="EZ60">
        <f ca="1"/>
      </c>
      <c r="FA60">
        <f ca="1"/>
      </c>
      <c r="FC60">
        <f ca="1"/>
      </c>
      <c r="FD60">
        <f ca="1"/>
      </c>
      <c r="FE60">
        <f ca="1"/>
      </c>
      <c r="FF60">
        <f ca="1"/>
      </c>
      <c r="FG60">
        <f ca="1"/>
      </c>
      <c r="FH60">
        <f ca="1"/>
      </c>
      <c r="FI60">
        <f ca="1"/>
      </c>
      <c r="FJ60">
        <f ca="1"/>
      </c>
      <c r="FK60">
        <f ca="1"/>
      </c>
      <c r="FL60">
        <f ca="1"/>
      </c>
      <c r="FM60">
        <f ca="1"/>
      </c>
      <c r="FN60">
        <f ca="1"/>
      </c>
      <c r="FO60">
        <f ca="1"/>
      </c>
      <c r="FP60">
        <f ca="1"/>
      </c>
      <c r="FQ60">
        <f ca="1"/>
      </c>
      <c r="FR60">
        <f ca="1"/>
      </c>
      <c r="FS60">
        <f ca="1"/>
      </c>
      <c r="FT60">
        <f ca="1"/>
      </c>
      <c r="FU60">
        <f ca="1"/>
      </c>
      <c r="FV60">
        <f ca="1"/>
      </c>
      <c r="FW60">
        <f ca="1"/>
      </c>
      <c r="FX60">
        <f ca="1"/>
      </c>
      <c r="FY60">
        <f ca="1"/>
      </c>
      <c r="FZ60">
        <f ca="1"/>
      </c>
      <c r="GA60">
        <f ca="1"/>
      </c>
      <c r="GB60">
        <f ca="1"/>
      </c>
      <c r="GC60">
        <f ca="1"/>
      </c>
      <c r="GD60">
        <f ca="1"/>
      </c>
      <c r="GE60">
        <f ca="1"/>
      </c>
      <c r="GF60">
        <f ca="1"/>
      </c>
      <c r="GG60">
        <f ca="1"/>
      </c>
      <c r="GH60">
        <f ca="1"/>
      </c>
      <c r="GI60">
        <f ca="1"/>
      </c>
      <c r="GJ60">
        <f ca="1"/>
      </c>
      <c r="GK60">
        <f ca="1"/>
      </c>
      <c r="GL60">
        <f ca="1"/>
      </c>
      <c r="GM60">
        <f ca="1"/>
      </c>
      <c r="GN60">
        <f ca="1"/>
      </c>
      <c r="GO60">
        <f ca="1"/>
      </c>
      <c r="GP60">
        <f ca="1"/>
      </c>
      <c r="GQ60">
        <f ca="1"/>
      </c>
      <c r="GR60">
        <f ca="1"/>
      </c>
      <c r="GS60">
        <f ca="1"/>
      </c>
      <c r="GT60">
        <f ca="1"/>
      </c>
      <c r="GU60">
        <f ca="1"/>
      </c>
      <c r="GV60">
        <f ca="1"/>
      </c>
      <c r="GW60">
        <f ca="1"/>
      </c>
      <c r="HI60" s="7">
        <f ca="1"/>
      </c>
      <c r="HJ60">
        <f ca="1"/>
      </c>
      <c r="HK60">
        <f ca="1"/>
      </c>
      <c r="HL60">
        <f ca="1"/>
      </c>
      <c r="HM60">
        <f ca="1"/>
      </c>
    </row>
    <row r="61" spans="1:221" x14ac:dyDescent="0.55000000000000004">
      <c r="BK61">
        <f ca="1"/>
      </c>
      <c r="BL61">
        <f ca="1"/>
      </c>
      <c r="BM61">
        <f ca="1"/>
      </c>
      <c r="BN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  <c r="BV61">
        <f ca="1"/>
      </c>
      <c r="BW61">
        <f ca="1"/>
      </c>
      <c r="BX61">
        <f ca="1"/>
      </c>
      <c r="BY61">
        <f ca="1"/>
      </c>
      <c r="BZ61">
        <f ca="1"/>
      </c>
      <c r="CA61">
        <f ca="1"/>
      </c>
      <c r="CB61">
        <f ca="1"/>
      </c>
      <c r="CC61">
        <f ca="1"/>
      </c>
      <c r="CD61">
        <f ca="1"/>
      </c>
      <c r="CE61">
        <f ca="1"/>
      </c>
      <c r="CF61">
        <f ca="1"/>
      </c>
      <c r="CG61">
        <f ca="1"/>
      </c>
      <c r="CH61">
        <f ca="1"/>
      </c>
      <c r="CI61">
        <f ca="1"/>
      </c>
      <c r="CJ61">
        <f ca="1"/>
      </c>
      <c r="CK61">
        <f ca="1"/>
      </c>
      <c r="CL61">
        <f ca="1"/>
      </c>
      <c r="CM61">
        <f ca="1"/>
      </c>
      <c r="CN61">
        <f ca="1"/>
      </c>
      <c r="CO61">
        <f ca="1"/>
      </c>
      <c r="CP61">
        <f ca="1"/>
      </c>
      <c r="CQ61">
        <f ca="1"/>
      </c>
      <c r="CR61">
        <f ca="1"/>
      </c>
      <c r="CS61">
        <f ca="1"/>
      </c>
      <c r="CT61">
        <f ca="1"/>
      </c>
      <c r="CU61">
        <f ca="1"/>
      </c>
      <c r="CV61">
        <f ca="1"/>
      </c>
      <c r="CW61">
        <f ca="1"/>
      </c>
      <c r="CX61">
        <f ca="1"/>
      </c>
      <c r="CY61">
        <f ca="1"/>
      </c>
      <c r="CZ61">
        <f ca="1"/>
      </c>
      <c r="DA61">
        <f ca="1"/>
      </c>
      <c r="DB61">
        <f ca="1"/>
      </c>
      <c r="DC61">
        <f ca="1"/>
      </c>
      <c r="DD61">
        <f ca="1"/>
      </c>
      <c r="DE61">
        <f ca="1"/>
      </c>
      <c r="DG61">
        <f ca="1"/>
      </c>
      <c r="DH61">
        <f ca="1"/>
      </c>
      <c r="DI61">
        <f ca="1"/>
      </c>
      <c r="DJ61">
        <f ca="1"/>
      </c>
      <c r="DK61">
        <f ca="1"/>
      </c>
      <c r="DL61">
        <f ca="1"/>
      </c>
      <c r="DM61">
        <f ca="1"/>
      </c>
      <c r="DN61">
        <f ca="1"/>
      </c>
      <c r="DO61">
        <f ca="1"/>
      </c>
      <c r="DP61">
        <f ca="1"/>
      </c>
      <c r="DQ61">
        <f ca="1"/>
      </c>
      <c r="DR61">
        <f ca="1"/>
      </c>
      <c r="DS61">
        <f ca="1"/>
      </c>
      <c r="DT61">
        <f ca="1"/>
      </c>
      <c r="DU61">
        <f ca="1"/>
      </c>
      <c r="DV61">
        <f ca="1"/>
      </c>
      <c r="DW61">
        <f ca="1"/>
      </c>
      <c r="DX61">
        <f ca="1"/>
      </c>
      <c r="DY61">
        <f ca="1"/>
      </c>
      <c r="DZ61">
        <f ca="1"/>
      </c>
      <c r="EA61">
        <f ca="1"/>
      </c>
      <c r="EB61">
        <f ca="1"/>
      </c>
      <c r="EC61">
        <f ca="1"/>
      </c>
      <c r="ED61">
        <f ca="1"/>
      </c>
      <c r="EE61">
        <f ca="1"/>
      </c>
      <c r="EF61">
        <f ca="1"/>
      </c>
      <c r="EG61">
        <f ca="1"/>
      </c>
      <c r="EH61">
        <f ca="1"/>
      </c>
      <c r="EI61">
        <f ca="1"/>
      </c>
      <c r="EJ61">
        <f ca="1"/>
      </c>
      <c r="EK61">
        <f ca="1"/>
      </c>
      <c r="EL61">
        <f ca="1"/>
      </c>
      <c r="EM61">
        <f ca="1"/>
      </c>
      <c r="EN61">
        <f ca="1"/>
      </c>
      <c r="EO61">
        <f ca="1"/>
      </c>
      <c r="EP61">
        <f ca="1"/>
      </c>
      <c r="EQ61">
        <f ca="1"/>
      </c>
      <c r="ER61">
        <f ca="1"/>
      </c>
      <c r="ES61">
        <f ca="1"/>
      </c>
      <c r="ET61">
        <f ca="1"/>
      </c>
      <c r="EU61">
        <f ca="1"/>
      </c>
      <c r="EV61">
        <f ca="1"/>
      </c>
      <c r="EW61">
        <f ca="1"/>
      </c>
      <c r="EX61">
        <f ca="1"/>
      </c>
      <c r="EY61">
        <f ca="1"/>
      </c>
      <c r="EZ61">
        <f ca="1"/>
      </c>
      <c r="FA61">
        <f ca="1"/>
      </c>
      <c r="FC61">
        <f ca="1"/>
      </c>
      <c r="FD61">
        <f ca="1"/>
      </c>
      <c r="FE61">
        <f ca="1"/>
      </c>
      <c r="FF61">
        <f ca="1"/>
      </c>
      <c r="FG61">
        <f ca="1"/>
      </c>
      <c r="FH61">
        <f ca="1"/>
      </c>
      <c r="FI61">
        <f ca="1"/>
      </c>
      <c r="FJ61">
        <f ca="1"/>
      </c>
      <c r="FK61">
        <f ca="1"/>
      </c>
      <c r="FL61">
        <f ca="1"/>
      </c>
      <c r="FM61">
        <f ca="1"/>
      </c>
      <c r="FN61">
        <f ca="1"/>
      </c>
      <c r="FO61">
        <f ca="1"/>
      </c>
      <c r="FP61">
        <f ca="1"/>
      </c>
      <c r="FQ61">
        <f ca="1"/>
      </c>
      <c r="FR61">
        <f ca="1"/>
      </c>
      <c r="FS61">
        <f ca="1"/>
      </c>
      <c r="FT61">
        <f ca="1"/>
      </c>
      <c r="FU61">
        <f ca="1"/>
      </c>
      <c r="FV61">
        <f ca="1"/>
      </c>
      <c r="FW61">
        <f ca="1"/>
      </c>
      <c r="FX61">
        <f ca="1"/>
      </c>
      <c r="FY61">
        <f ca="1"/>
      </c>
      <c r="FZ61">
        <f ca="1"/>
      </c>
      <c r="GA61">
        <f ca="1"/>
      </c>
      <c r="GB61">
        <f ca="1"/>
      </c>
      <c r="GC61">
        <f ca="1"/>
      </c>
      <c r="GD61">
        <f ca="1"/>
      </c>
      <c r="GE61">
        <f ca="1"/>
      </c>
      <c r="GF61">
        <f ca="1"/>
      </c>
      <c r="GG61">
        <f ca="1"/>
      </c>
      <c r="GH61">
        <f ca="1"/>
      </c>
      <c r="GI61">
        <f ca="1"/>
      </c>
      <c r="GJ61">
        <f ca="1"/>
      </c>
      <c r="GK61">
        <f ca="1"/>
      </c>
      <c r="GL61">
        <f ca="1"/>
      </c>
      <c r="GM61">
        <f ca="1"/>
      </c>
      <c r="GN61">
        <f ca="1"/>
      </c>
      <c r="GO61">
        <f ca="1"/>
      </c>
      <c r="GP61">
        <f ca="1"/>
      </c>
      <c r="GQ61">
        <f ca="1"/>
      </c>
      <c r="GR61">
        <f ca="1"/>
      </c>
      <c r="GS61">
        <f ca="1"/>
      </c>
      <c r="GT61">
        <f ca="1"/>
      </c>
      <c r="GU61">
        <f ca="1"/>
      </c>
      <c r="GV61">
        <f ca="1"/>
      </c>
      <c r="GW61">
        <f ca="1"/>
      </c>
      <c r="HI61" s="7">
        <f ca="1"/>
      </c>
      <c r="HJ61">
        <f ca="1"/>
      </c>
      <c r="HK61">
        <f ca="1"/>
      </c>
      <c r="HL61">
        <f ca="1"/>
      </c>
      <c r="HM61">
        <f ca="1"/>
      </c>
    </row>
    <row r="62" spans="1:221" x14ac:dyDescent="0.55000000000000004">
      <c r="BK62">
        <f ca="1"/>
      </c>
      <c r="BL62">
        <f ca="1"/>
      </c>
      <c r="BM62">
        <f ca="1"/>
      </c>
      <c r="BN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  <c r="BV62">
        <f ca="1"/>
      </c>
      <c r="BW62">
        <f ca="1"/>
      </c>
      <c r="BX62">
        <f ca="1"/>
      </c>
      <c r="BY62">
        <f ca="1"/>
      </c>
      <c r="BZ62">
        <f ca="1"/>
      </c>
      <c r="CA62">
        <f ca="1"/>
      </c>
      <c r="CB62">
        <f ca="1"/>
      </c>
      <c r="CC62">
        <f ca="1"/>
      </c>
      <c r="CD62">
        <f ca="1"/>
      </c>
      <c r="CE62">
        <f ca="1"/>
      </c>
      <c r="CF62">
        <f ca="1"/>
      </c>
      <c r="CG62">
        <f ca="1"/>
      </c>
      <c r="CH62">
        <f ca="1"/>
      </c>
      <c r="CI62">
        <f ca="1"/>
      </c>
      <c r="CJ62">
        <f ca="1"/>
      </c>
      <c r="CK62">
        <f ca="1"/>
      </c>
      <c r="CL62">
        <f ca="1"/>
      </c>
      <c r="CM62">
        <f ca="1"/>
      </c>
      <c r="CN62">
        <f ca="1"/>
      </c>
      <c r="CO62">
        <f ca="1"/>
      </c>
      <c r="CP62">
        <f ca="1"/>
      </c>
      <c r="CQ62">
        <f ca="1"/>
      </c>
      <c r="CR62">
        <f ca="1"/>
      </c>
      <c r="CS62">
        <f ca="1"/>
      </c>
      <c r="CT62">
        <f ca="1"/>
      </c>
      <c r="CU62">
        <f ca="1"/>
      </c>
      <c r="CV62">
        <f ca="1"/>
      </c>
      <c r="CW62">
        <f ca="1"/>
      </c>
      <c r="CX62">
        <f ca="1"/>
      </c>
      <c r="CY62">
        <f ca="1"/>
      </c>
      <c r="CZ62">
        <f ca="1"/>
      </c>
      <c r="DA62">
        <f ca="1"/>
      </c>
      <c r="DB62">
        <f ca="1"/>
      </c>
      <c r="DC62">
        <f ca="1"/>
      </c>
      <c r="DD62">
        <f ca="1"/>
      </c>
      <c r="DE62">
        <f ca="1"/>
      </c>
      <c r="DG62">
        <f ca="1"/>
      </c>
      <c r="DH62">
        <f ca="1"/>
      </c>
      <c r="DI62">
        <f ca="1"/>
      </c>
      <c r="DJ62">
        <f ca="1"/>
      </c>
      <c r="DK62">
        <f ca="1"/>
      </c>
      <c r="DL62">
        <f ca="1"/>
      </c>
      <c r="DM62">
        <f ca="1"/>
      </c>
      <c r="DN62">
        <f ca="1"/>
      </c>
      <c r="DO62">
        <f ca="1"/>
      </c>
      <c r="DP62">
        <f ca="1"/>
      </c>
      <c r="DQ62">
        <f ca="1"/>
      </c>
      <c r="DR62">
        <f ca="1"/>
      </c>
      <c r="DS62">
        <f ca="1"/>
      </c>
      <c r="DT62">
        <f ca="1"/>
      </c>
      <c r="DU62">
        <f ca="1"/>
      </c>
      <c r="DV62">
        <f ca="1"/>
      </c>
      <c r="DW62">
        <f ca="1"/>
      </c>
      <c r="DX62">
        <f ca="1"/>
      </c>
      <c r="DY62">
        <f ca="1"/>
      </c>
      <c r="DZ62">
        <f ca="1"/>
      </c>
      <c r="EA62">
        <f ca="1"/>
      </c>
      <c r="EB62">
        <f ca="1"/>
      </c>
      <c r="EC62">
        <f ca="1"/>
      </c>
      <c r="ED62">
        <f ca="1"/>
      </c>
      <c r="EE62">
        <f ca="1"/>
      </c>
      <c r="EF62">
        <f ca="1"/>
      </c>
      <c r="EG62">
        <f ca="1"/>
      </c>
      <c r="EH62">
        <f ca="1"/>
      </c>
      <c r="EI62">
        <f ca="1"/>
      </c>
      <c r="EJ62">
        <f ca="1"/>
      </c>
      <c r="EK62">
        <f ca="1"/>
      </c>
      <c r="EL62">
        <f ca="1"/>
      </c>
      <c r="EM62">
        <f ca="1"/>
      </c>
      <c r="EN62">
        <f ca="1"/>
      </c>
      <c r="EO62">
        <f ca="1"/>
      </c>
      <c r="EP62">
        <f ca="1"/>
      </c>
      <c r="EQ62">
        <f ca="1"/>
      </c>
      <c r="ER62">
        <f ca="1"/>
      </c>
      <c r="ES62">
        <f ca="1"/>
      </c>
      <c r="ET62">
        <f ca="1"/>
      </c>
      <c r="EU62">
        <f ca="1"/>
      </c>
      <c r="EV62">
        <f ca="1"/>
      </c>
      <c r="EW62">
        <f ca="1"/>
      </c>
      <c r="EX62">
        <f ca="1"/>
      </c>
      <c r="EY62">
        <f ca="1"/>
      </c>
      <c r="EZ62">
        <f ca="1"/>
      </c>
      <c r="FA62">
        <f ca="1"/>
      </c>
      <c r="FC62">
        <f ca="1"/>
      </c>
      <c r="FD62">
        <f ca="1"/>
      </c>
      <c r="FE62">
        <f ca="1"/>
      </c>
      <c r="FF62">
        <f ca="1"/>
      </c>
      <c r="FG62">
        <f ca="1"/>
      </c>
      <c r="FH62">
        <f ca="1"/>
      </c>
      <c r="FI62">
        <f ca="1"/>
      </c>
      <c r="FJ62">
        <f ca="1"/>
      </c>
      <c r="FK62">
        <f ca="1"/>
      </c>
      <c r="FL62">
        <f ca="1"/>
      </c>
      <c r="FM62">
        <f ca="1"/>
      </c>
      <c r="FN62">
        <f ca="1"/>
      </c>
      <c r="FO62">
        <f ca="1"/>
      </c>
      <c r="FP62">
        <f ca="1"/>
      </c>
      <c r="FQ62">
        <f ca="1"/>
      </c>
      <c r="FR62">
        <f ca="1"/>
      </c>
      <c r="FS62">
        <f ca="1"/>
      </c>
      <c r="FT62">
        <f ca="1"/>
      </c>
      <c r="FU62">
        <f ca="1"/>
      </c>
      <c r="FV62">
        <f ca="1"/>
      </c>
      <c r="FW62">
        <f ca="1"/>
      </c>
      <c r="FX62">
        <f ca="1"/>
      </c>
      <c r="FY62">
        <f ca="1"/>
      </c>
      <c r="FZ62">
        <f ca="1"/>
      </c>
      <c r="GA62">
        <f ca="1"/>
      </c>
      <c r="GB62">
        <f ca="1"/>
      </c>
      <c r="GC62">
        <f ca="1"/>
      </c>
      <c r="GD62">
        <f ca="1"/>
      </c>
      <c r="GE62">
        <f ca="1"/>
      </c>
      <c r="GF62">
        <f ca="1"/>
      </c>
      <c r="GG62">
        <f ca="1"/>
      </c>
      <c r="GH62">
        <f ca="1"/>
      </c>
      <c r="GI62">
        <f ca="1"/>
      </c>
      <c r="GJ62">
        <f ca="1"/>
      </c>
      <c r="GK62">
        <f ca="1"/>
      </c>
      <c r="GL62">
        <f ca="1"/>
      </c>
      <c r="GM62">
        <f ca="1"/>
      </c>
      <c r="GN62">
        <f ca="1"/>
      </c>
      <c r="GO62">
        <f ca="1"/>
      </c>
      <c r="GP62">
        <f ca="1"/>
      </c>
      <c r="GQ62">
        <f ca="1"/>
      </c>
      <c r="GR62">
        <f ca="1"/>
      </c>
      <c r="GS62">
        <f ca="1"/>
      </c>
      <c r="GT62">
        <f ca="1"/>
      </c>
      <c r="GU62">
        <f ca="1"/>
      </c>
      <c r="GV62">
        <f ca="1"/>
      </c>
      <c r="GW62">
        <f ca="1"/>
      </c>
      <c r="HI62" s="7">
        <f ca="1"/>
      </c>
      <c r="HJ62">
        <f ca="1"/>
      </c>
      <c r="HK62">
        <f ca="1"/>
      </c>
      <c r="HL62">
        <f ca="1"/>
      </c>
      <c r="HM62">
        <f ca="1"/>
      </c>
    </row>
    <row r="63" spans="1:221" x14ac:dyDescent="0.55000000000000004">
      <c r="BK63">
        <f ca="1"/>
      </c>
      <c r="BL63">
        <f ca="1"/>
      </c>
      <c r="BM63">
        <f ca="1"/>
      </c>
      <c r="BN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  <c r="BV63">
        <f ca="1"/>
      </c>
      <c r="BW63">
        <f ca="1"/>
      </c>
      <c r="BX63">
        <f ca="1"/>
      </c>
      <c r="BY63">
        <f ca="1"/>
      </c>
      <c r="BZ63">
        <f ca="1"/>
      </c>
      <c r="CA63">
        <f ca="1"/>
      </c>
      <c r="CB63">
        <f ca="1"/>
      </c>
      <c r="CC63">
        <f ca="1"/>
      </c>
      <c r="CD63">
        <f ca="1"/>
      </c>
      <c r="CE63">
        <f ca="1"/>
      </c>
      <c r="CF63">
        <f ca="1"/>
      </c>
      <c r="CG63">
        <f ca="1"/>
      </c>
      <c r="CH63">
        <f ca="1"/>
      </c>
      <c r="CI63">
        <f ca="1"/>
      </c>
      <c r="CJ63">
        <f ca="1"/>
      </c>
      <c r="CK63">
        <f ca="1"/>
      </c>
      <c r="CL63">
        <f ca="1"/>
      </c>
      <c r="CM63">
        <f ca="1"/>
      </c>
      <c r="CN63">
        <f ca="1"/>
      </c>
      <c r="CO63">
        <f ca="1"/>
      </c>
      <c r="CP63">
        <f ca="1"/>
      </c>
      <c r="CQ63">
        <f ca="1"/>
      </c>
      <c r="CR63">
        <f ca="1"/>
      </c>
      <c r="CS63">
        <f ca="1"/>
      </c>
      <c r="CT63">
        <f ca="1"/>
      </c>
      <c r="CU63">
        <f ca="1"/>
      </c>
      <c r="CV63">
        <f ca="1"/>
      </c>
      <c r="CW63">
        <f ca="1"/>
      </c>
      <c r="CX63">
        <f ca="1"/>
      </c>
      <c r="CY63">
        <f ca="1"/>
      </c>
      <c r="CZ63">
        <f ca="1"/>
      </c>
      <c r="DA63">
        <f ca="1"/>
      </c>
      <c r="DB63">
        <f ca="1"/>
      </c>
      <c r="DC63">
        <f ca="1"/>
      </c>
      <c r="DD63">
        <f ca="1"/>
      </c>
      <c r="DE63">
        <f ca="1"/>
      </c>
      <c r="DG63">
        <f ca="1"/>
      </c>
      <c r="DH63">
        <f ca="1"/>
      </c>
      <c r="DI63">
        <f ca="1"/>
      </c>
      <c r="DJ63">
        <f ca="1"/>
      </c>
      <c r="DK63">
        <f ca="1"/>
      </c>
      <c r="DL63">
        <f ca="1"/>
      </c>
      <c r="DM63">
        <f ca="1"/>
      </c>
      <c r="DN63">
        <f ca="1"/>
      </c>
      <c r="DO63">
        <f ca="1"/>
      </c>
      <c r="DP63">
        <f ca="1"/>
      </c>
      <c r="DQ63">
        <f ca="1"/>
      </c>
      <c r="DR63">
        <f ca="1"/>
      </c>
      <c r="DS63">
        <f ca="1"/>
      </c>
      <c r="DT63">
        <f ca="1"/>
      </c>
      <c r="DU63">
        <f ca="1"/>
      </c>
      <c r="DV63">
        <f ca="1"/>
      </c>
      <c r="DW63">
        <f ca="1"/>
      </c>
      <c r="DX63">
        <f ca="1"/>
      </c>
      <c r="DY63">
        <f ca="1"/>
      </c>
      <c r="DZ63">
        <f ca="1"/>
      </c>
      <c r="EA63">
        <f ca="1"/>
      </c>
      <c r="EB63">
        <f ca="1"/>
      </c>
      <c r="EC63">
        <f ca="1"/>
      </c>
      <c r="ED63">
        <f ca="1"/>
      </c>
      <c r="EE63">
        <f ca="1"/>
      </c>
      <c r="EF63">
        <f ca="1"/>
      </c>
      <c r="EG63">
        <f ca="1"/>
      </c>
      <c r="EH63">
        <f ca="1"/>
      </c>
      <c r="EI63">
        <f ca="1"/>
      </c>
      <c r="EJ63">
        <f ca="1"/>
      </c>
      <c r="EK63">
        <f ca="1"/>
      </c>
      <c r="EL63">
        <f ca="1"/>
      </c>
      <c r="EM63">
        <f ca="1"/>
      </c>
      <c r="EN63">
        <f ca="1"/>
      </c>
      <c r="EO63">
        <f ca="1"/>
      </c>
      <c r="EP63">
        <f ca="1"/>
      </c>
      <c r="EQ63">
        <f ca="1"/>
      </c>
      <c r="ER63">
        <f ca="1"/>
      </c>
      <c r="ES63">
        <f ca="1"/>
      </c>
      <c r="ET63">
        <f ca="1"/>
      </c>
      <c r="EU63">
        <f ca="1"/>
      </c>
      <c r="EV63">
        <f ca="1"/>
      </c>
      <c r="EW63">
        <f ca="1"/>
      </c>
      <c r="EX63">
        <f ca="1"/>
      </c>
      <c r="EY63">
        <f ca="1"/>
      </c>
      <c r="EZ63">
        <f ca="1"/>
      </c>
      <c r="FA63">
        <f ca="1"/>
      </c>
      <c r="FC63">
        <f ca="1"/>
      </c>
      <c r="FD63">
        <f ca="1"/>
      </c>
      <c r="FE63">
        <f ca="1"/>
      </c>
      <c r="FF63">
        <f ca="1"/>
      </c>
      <c r="FG63">
        <f ca="1"/>
      </c>
      <c r="FH63">
        <f ca="1"/>
      </c>
      <c r="FI63">
        <f ca="1"/>
      </c>
      <c r="FJ63">
        <f ca="1"/>
      </c>
      <c r="FK63">
        <f ca="1"/>
      </c>
      <c r="FL63">
        <f ca="1"/>
      </c>
      <c r="FM63">
        <f ca="1"/>
      </c>
      <c r="FN63">
        <f ca="1"/>
      </c>
      <c r="FO63">
        <f ca="1"/>
      </c>
      <c r="FP63">
        <f ca="1"/>
      </c>
      <c r="FQ63">
        <f ca="1"/>
      </c>
      <c r="FR63">
        <f ca="1"/>
      </c>
      <c r="FS63">
        <f ca="1"/>
      </c>
      <c r="FT63">
        <f ca="1"/>
      </c>
      <c r="FU63">
        <f ca="1"/>
      </c>
      <c r="FV63">
        <f ca="1"/>
      </c>
      <c r="FW63">
        <f ca="1"/>
      </c>
      <c r="FX63">
        <f ca="1"/>
      </c>
      <c r="FY63">
        <f ca="1"/>
      </c>
      <c r="FZ63">
        <f ca="1"/>
      </c>
      <c r="GA63">
        <f ca="1"/>
      </c>
      <c r="GB63">
        <f ca="1"/>
      </c>
      <c r="GC63">
        <f ca="1"/>
      </c>
      <c r="GD63">
        <f ca="1"/>
      </c>
      <c r="GE63">
        <f ca="1"/>
      </c>
      <c r="GF63">
        <f ca="1"/>
      </c>
      <c r="GG63">
        <f ca="1"/>
      </c>
      <c r="GH63">
        <f ca="1"/>
      </c>
      <c r="GI63">
        <f ca="1"/>
      </c>
      <c r="GJ63">
        <f ca="1"/>
      </c>
      <c r="GK63">
        <f ca="1"/>
      </c>
      <c r="GL63">
        <f ca="1"/>
      </c>
      <c r="GM63">
        <f ca="1"/>
      </c>
      <c r="GN63">
        <f ca="1"/>
      </c>
      <c r="GO63">
        <f ca="1"/>
      </c>
      <c r="GP63">
        <f ca="1"/>
      </c>
      <c r="GQ63">
        <f ca="1"/>
      </c>
      <c r="GR63">
        <f ca="1"/>
      </c>
      <c r="GS63">
        <f ca="1"/>
      </c>
      <c r="GT63">
        <f ca="1"/>
      </c>
      <c r="GU63">
        <f ca="1"/>
      </c>
      <c r="GV63">
        <f ca="1"/>
      </c>
      <c r="GW63">
        <f ca="1"/>
      </c>
      <c r="HI63" s="7">
        <f ca="1"/>
      </c>
      <c r="HJ63">
        <f ca="1"/>
      </c>
      <c r="HK63">
        <f ca="1"/>
      </c>
      <c r="HL63">
        <f ca="1"/>
      </c>
      <c r="HM63">
        <f ca="1"/>
      </c>
    </row>
    <row r="64" spans="1:221" x14ac:dyDescent="0.55000000000000004">
      <c r="BK64">
        <f ca="1"/>
      </c>
      <c r="BL64">
        <f ca="1"/>
      </c>
      <c r="BM64">
        <f ca="1"/>
      </c>
      <c r="BN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  <c r="BV64">
        <f ca="1"/>
      </c>
      <c r="BW64">
        <f ca="1"/>
      </c>
      <c r="BX64">
        <f ca="1"/>
      </c>
      <c r="BY64">
        <f ca="1"/>
      </c>
      <c r="BZ64">
        <f ca="1"/>
      </c>
      <c r="CA64">
        <f ca="1"/>
      </c>
      <c r="CB64">
        <f ca="1"/>
      </c>
      <c r="CC64">
        <f ca="1"/>
      </c>
      <c r="CD64">
        <f ca="1"/>
      </c>
      <c r="CE64">
        <f ca="1"/>
      </c>
      <c r="CF64">
        <f ca="1"/>
      </c>
      <c r="CG64">
        <f ca="1"/>
      </c>
      <c r="CH64">
        <f ca="1"/>
      </c>
      <c r="CI64">
        <f ca="1"/>
      </c>
      <c r="CJ64">
        <f ca="1"/>
      </c>
      <c r="CK64">
        <f ca="1"/>
      </c>
      <c r="CL64">
        <f ca="1"/>
      </c>
      <c r="CM64">
        <f ca="1"/>
      </c>
      <c r="CN64">
        <f ca="1"/>
      </c>
      <c r="CO64">
        <f ca="1"/>
      </c>
      <c r="CP64">
        <f ca="1"/>
      </c>
      <c r="CQ64">
        <f ca="1"/>
      </c>
      <c r="CR64">
        <f ca="1"/>
      </c>
      <c r="CS64">
        <f ca="1"/>
      </c>
      <c r="CT64">
        <f ca="1"/>
      </c>
      <c r="CU64">
        <f ca="1"/>
      </c>
      <c r="CV64">
        <f ca="1"/>
      </c>
      <c r="CW64">
        <f ca="1"/>
      </c>
      <c r="CX64">
        <f ca="1"/>
      </c>
      <c r="CY64">
        <f ca="1"/>
      </c>
      <c r="CZ64">
        <f ca="1"/>
      </c>
      <c r="DA64">
        <f ca="1"/>
      </c>
      <c r="DB64">
        <f ca="1"/>
      </c>
      <c r="DC64">
        <f ca="1"/>
      </c>
      <c r="DD64">
        <f ca="1"/>
      </c>
      <c r="DE64">
        <f ca="1"/>
      </c>
      <c r="DG64">
        <f ca="1"/>
      </c>
      <c r="DH64">
        <f ca="1"/>
      </c>
      <c r="DI64">
        <f ca="1"/>
      </c>
      <c r="DJ64">
        <f ca="1"/>
      </c>
      <c r="DK64">
        <f ca="1"/>
      </c>
      <c r="DL64">
        <f ca="1"/>
      </c>
      <c r="DM64">
        <f ca="1"/>
      </c>
      <c r="DN64">
        <f ca="1"/>
      </c>
      <c r="DO64">
        <f ca="1"/>
      </c>
      <c r="DP64">
        <f ca="1"/>
      </c>
      <c r="DQ64">
        <f ca="1"/>
      </c>
      <c r="DR64">
        <f ca="1"/>
      </c>
      <c r="DS64">
        <f ca="1"/>
      </c>
      <c r="DT64">
        <f ca="1"/>
      </c>
      <c r="DU64">
        <f ca="1"/>
      </c>
      <c r="DV64">
        <f ca="1"/>
      </c>
      <c r="DW64">
        <f ca="1"/>
      </c>
      <c r="DX64">
        <f ca="1"/>
      </c>
      <c r="DY64">
        <f ca="1"/>
      </c>
      <c r="DZ64">
        <f ca="1"/>
      </c>
      <c r="EA64">
        <f ca="1"/>
      </c>
      <c r="EB64">
        <f ca="1"/>
      </c>
      <c r="EC64">
        <f ca="1"/>
      </c>
      <c r="ED64">
        <f ca="1"/>
      </c>
      <c r="EE64">
        <f ca="1"/>
      </c>
      <c r="EF64">
        <f ca="1"/>
      </c>
      <c r="EG64">
        <f ca="1"/>
      </c>
      <c r="EH64">
        <f ca="1"/>
      </c>
      <c r="EI64">
        <f ca="1"/>
      </c>
      <c r="EJ64">
        <f ca="1"/>
      </c>
      <c r="EK64">
        <f ca="1"/>
      </c>
      <c r="EL64">
        <f ca="1"/>
      </c>
      <c r="EM64">
        <f ca="1"/>
      </c>
      <c r="EN64">
        <f ca="1"/>
      </c>
      <c r="EO64">
        <f ca="1"/>
      </c>
      <c r="EP64">
        <f ca="1"/>
      </c>
      <c r="EQ64">
        <f ca="1"/>
      </c>
      <c r="ER64">
        <f ca="1"/>
      </c>
      <c r="ES64">
        <f ca="1"/>
      </c>
      <c r="ET64">
        <f ca="1"/>
      </c>
      <c r="EU64">
        <f ca="1"/>
      </c>
      <c r="EV64">
        <f ca="1"/>
      </c>
      <c r="EW64">
        <f ca="1"/>
      </c>
      <c r="EX64">
        <f ca="1"/>
      </c>
      <c r="EY64">
        <f ca="1"/>
      </c>
      <c r="EZ64">
        <f ca="1"/>
      </c>
      <c r="FA64">
        <f ca="1"/>
      </c>
      <c r="FC64">
        <f ca="1"/>
      </c>
      <c r="FD64">
        <f ca="1"/>
      </c>
      <c r="FE64">
        <f ca="1"/>
      </c>
      <c r="FF64">
        <f ca="1"/>
      </c>
      <c r="FG64">
        <f ca="1"/>
      </c>
      <c r="FH64">
        <f ca="1"/>
      </c>
      <c r="FI64">
        <f ca="1"/>
      </c>
      <c r="FJ64">
        <f ca="1"/>
      </c>
      <c r="FK64">
        <f ca="1"/>
      </c>
      <c r="FL64">
        <f ca="1"/>
      </c>
      <c r="FM64">
        <f ca="1"/>
      </c>
      <c r="FN64">
        <f ca="1"/>
      </c>
      <c r="FO64">
        <f ca="1"/>
      </c>
      <c r="FP64">
        <f ca="1"/>
      </c>
      <c r="FQ64">
        <f ca="1"/>
      </c>
      <c r="FR64">
        <f ca="1"/>
      </c>
      <c r="FS64">
        <f ca="1"/>
      </c>
      <c r="FT64">
        <f ca="1"/>
      </c>
      <c r="FU64">
        <f ca="1"/>
      </c>
      <c r="FV64">
        <f ca="1"/>
      </c>
      <c r="FW64">
        <f ca="1"/>
      </c>
      <c r="FX64">
        <f ca="1"/>
      </c>
      <c r="FY64">
        <f ca="1"/>
      </c>
      <c r="FZ64">
        <f ca="1"/>
      </c>
      <c r="GA64">
        <f ca="1"/>
      </c>
      <c r="GB64">
        <f ca="1"/>
      </c>
      <c r="GC64">
        <f ca="1"/>
      </c>
      <c r="GD64">
        <f ca="1"/>
      </c>
      <c r="GE64">
        <f ca="1"/>
      </c>
      <c r="GF64">
        <f ca="1"/>
      </c>
      <c r="GG64">
        <f ca="1"/>
      </c>
      <c r="GH64">
        <f ca="1"/>
      </c>
      <c r="GI64">
        <f ca="1"/>
      </c>
      <c r="GJ64">
        <f ca="1"/>
      </c>
      <c r="GK64">
        <f ca="1"/>
      </c>
      <c r="GL64">
        <f ca="1"/>
      </c>
      <c r="GM64">
        <f ca="1"/>
      </c>
      <c r="GN64">
        <f ca="1"/>
      </c>
      <c r="GO64">
        <f ca="1"/>
      </c>
      <c r="GP64">
        <f ca="1"/>
      </c>
      <c r="GQ64">
        <f ca="1"/>
      </c>
      <c r="GR64">
        <f ca="1"/>
      </c>
      <c r="GS64">
        <f ca="1"/>
      </c>
      <c r="GT64">
        <f ca="1"/>
      </c>
      <c r="GU64">
        <f ca="1"/>
      </c>
      <c r="GV64">
        <f ca="1"/>
      </c>
      <c r="GW64">
        <f ca="1"/>
      </c>
      <c r="HI64" s="7">
        <f ca="1"/>
      </c>
      <c r="HJ64">
        <f ca="1"/>
      </c>
      <c r="HK64">
        <f ca="1"/>
      </c>
      <c r="HL64">
        <f ca="1"/>
      </c>
      <c r="HM64">
        <f ca="1"/>
      </c>
    </row>
    <row r="65" spans="63:221" x14ac:dyDescent="0.55000000000000004">
      <c r="BK65">
        <f ca="1"/>
      </c>
      <c r="BL65">
        <f ca="1"/>
      </c>
      <c r="BM65">
        <f ca="1"/>
      </c>
      <c r="BN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  <c r="BV65">
        <f ca="1"/>
      </c>
      <c r="BW65">
        <f ca="1"/>
      </c>
      <c r="BX65">
        <f ca="1"/>
      </c>
      <c r="BY65">
        <f ca="1"/>
      </c>
      <c r="BZ65">
        <f ca="1"/>
      </c>
      <c r="CA65">
        <f ca="1"/>
      </c>
      <c r="CB65">
        <f ca="1"/>
      </c>
      <c r="CC65">
        <f ca="1"/>
      </c>
      <c r="CD65">
        <f ca="1"/>
      </c>
      <c r="CE65">
        <f ca="1"/>
      </c>
      <c r="CF65">
        <f ca="1"/>
      </c>
      <c r="CG65">
        <f ca="1"/>
      </c>
      <c r="CH65">
        <f ca="1"/>
      </c>
      <c r="CI65">
        <f ca="1"/>
      </c>
      <c r="CJ65">
        <f ca="1"/>
      </c>
      <c r="CK65">
        <f ca="1"/>
      </c>
      <c r="CL65">
        <f ca="1"/>
      </c>
      <c r="CM65">
        <f ca="1"/>
      </c>
      <c r="CN65">
        <f ca="1"/>
      </c>
      <c r="CO65">
        <f ca="1"/>
      </c>
      <c r="CP65">
        <f ca="1"/>
      </c>
      <c r="CQ65">
        <f ca="1"/>
      </c>
      <c r="CR65">
        <f ca="1"/>
      </c>
      <c r="CS65">
        <f ca="1"/>
      </c>
      <c r="CT65">
        <f ca="1"/>
      </c>
      <c r="CU65">
        <f ca="1"/>
      </c>
      <c r="CV65">
        <f ca="1"/>
      </c>
      <c r="CW65">
        <f ca="1"/>
      </c>
      <c r="CX65">
        <f ca="1"/>
      </c>
      <c r="CY65">
        <f ca="1"/>
      </c>
      <c r="CZ65">
        <f ca="1"/>
      </c>
      <c r="DA65">
        <f ca="1"/>
      </c>
      <c r="DB65">
        <f ca="1"/>
      </c>
      <c r="DC65">
        <f ca="1"/>
      </c>
      <c r="DD65">
        <f ca="1"/>
      </c>
      <c r="DE65">
        <f ca="1"/>
      </c>
      <c r="DG65">
        <f ca="1"/>
      </c>
      <c r="DH65">
        <f ca="1"/>
      </c>
      <c r="DI65">
        <f ca="1"/>
      </c>
      <c r="DJ65">
        <f ca="1"/>
      </c>
      <c r="DK65">
        <f ca="1"/>
      </c>
      <c r="DL65">
        <f ca="1"/>
      </c>
      <c r="DM65">
        <f ca="1"/>
      </c>
      <c r="DN65">
        <f ca="1"/>
      </c>
      <c r="DO65">
        <f ca="1"/>
      </c>
      <c r="DP65">
        <f ca="1"/>
      </c>
      <c r="DQ65">
        <f ca="1"/>
      </c>
      <c r="DR65">
        <f ca="1"/>
      </c>
      <c r="DS65">
        <f ca="1"/>
      </c>
      <c r="DT65">
        <f ca="1"/>
      </c>
      <c r="DU65">
        <f ca="1"/>
      </c>
      <c r="DV65">
        <f ca="1"/>
      </c>
      <c r="DW65">
        <f ca="1"/>
      </c>
      <c r="DX65">
        <f ca="1"/>
      </c>
      <c r="DY65">
        <f ca="1"/>
      </c>
      <c r="DZ65">
        <f ca="1"/>
      </c>
      <c r="EA65">
        <f ca="1"/>
      </c>
      <c r="EB65">
        <f ca="1"/>
      </c>
      <c r="EC65">
        <f ca="1"/>
      </c>
      <c r="ED65">
        <f ca="1"/>
      </c>
      <c r="EE65">
        <f ca="1"/>
      </c>
      <c r="EF65">
        <f ca="1"/>
      </c>
      <c r="EG65">
        <f ca="1"/>
      </c>
      <c r="EH65">
        <f ca="1"/>
      </c>
      <c r="EI65">
        <f ca="1"/>
      </c>
      <c r="EJ65">
        <f ca="1"/>
      </c>
      <c r="EK65">
        <f ca="1"/>
      </c>
      <c r="EL65">
        <f ca="1"/>
      </c>
      <c r="EM65">
        <f ca="1"/>
      </c>
      <c r="EN65">
        <f ca="1"/>
      </c>
      <c r="EO65">
        <f ca="1"/>
      </c>
      <c r="EP65">
        <f ca="1"/>
      </c>
      <c r="EQ65">
        <f ca="1"/>
      </c>
      <c r="ER65">
        <f ca="1"/>
      </c>
      <c r="ES65">
        <f ca="1"/>
      </c>
      <c r="ET65">
        <f ca="1"/>
      </c>
      <c r="EU65">
        <f ca="1"/>
      </c>
      <c r="EV65">
        <f ca="1"/>
      </c>
      <c r="EW65">
        <f ca="1"/>
      </c>
      <c r="EX65">
        <f ca="1"/>
      </c>
      <c r="EY65">
        <f ca="1"/>
      </c>
      <c r="EZ65">
        <f ca="1"/>
      </c>
      <c r="FA65">
        <f ca="1"/>
      </c>
      <c r="FC65">
        <f ca="1"/>
      </c>
      <c r="FD65">
        <f ca="1"/>
      </c>
      <c r="FE65">
        <f ca="1"/>
      </c>
      <c r="FF65">
        <f ca="1"/>
      </c>
      <c r="FG65">
        <f ca="1"/>
      </c>
      <c r="FH65">
        <f ca="1"/>
      </c>
      <c r="FI65">
        <f ca="1"/>
      </c>
      <c r="FJ65">
        <f ca="1"/>
      </c>
      <c r="FK65">
        <f ca="1"/>
      </c>
      <c r="FL65">
        <f ca="1"/>
      </c>
      <c r="FM65">
        <f ca="1"/>
      </c>
      <c r="FN65">
        <f ca="1"/>
      </c>
      <c r="FO65">
        <f ca="1"/>
      </c>
      <c r="FP65">
        <f ca="1"/>
      </c>
      <c r="FQ65">
        <f ca="1"/>
      </c>
      <c r="FR65">
        <f ca="1"/>
      </c>
      <c r="FS65">
        <f ca="1"/>
      </c>
      <c r="FT65">
        <f ca="1"/>
      </c>
      <c r="FU65">
        <f ca="1"/>
      </c>
      <c r="FV65">
        <f ca="1"/>
      </c>
      <c r="FW65">
        <f ca="1"/>
      </c>
      <c r="FX65">
        <f ca="1"/>
      </c>
      <c r="FY65">
        <f ca="1"/>
      </c>
      <c r="FZ65">
        <f ca="1"/>
      </c>
      <c r="GA65">
        <f ca="1"/>
      </c>
      <c r="GB65">
        <f ca="1"/>
      </c>
      <c r="GC65">
        <f ca="1"/>
      </c>
      <c r="GD65">
        <f ca="1"/>
      </c>
      <c r="GE65">
        <f ca="1"/>
      </c>
      <c r="GF65">
        <f ca="1"/>
      </c>
      <c r="GG65">
        <f ca="1"/>
      </c>
      <c r="GH65">
        <f ca="1"/>
      </c>
      <c r="GI65">
        <f ca="1"/>
      </c>
      <c r="GJ65">
        <f ca="1"/>
      </c>
      <c r="GK65">
        <f ca="1"/>
      </c>
      <c r="GL65">
        <f ca="1"/>
      </c>
      <c r="GM65">
        <f ca="1"/>
      </c>
      <c r="GN65">
        <f ca="1"/>
      </c>
      <c r="GO65">
        <f ca="1"/>
      </c>
      <c r="GP65">
        <f ca="1"/>
      </c>
      <c r="GQ65">
        <f ca="1"/>
      </c>
      <c r="GR65">
        <f ca="1"/>
      </c>
      <c r="GS65">
        <f ca="1"/>
      </c>
      <c r="GT65">
        <f ca="1"/>
      </c>
      <c r="GU65">
        <f ca="1"/>
      </c>
      <c r="GV65">
        <f ca="1"/>
      </c>
      <c r="GW65">
        <f ca="1"/>
      </c>
      <c r="HI65" s="7">
        <f ca="1"/>
      </c>
      <c r="HJ65">
        <f ca="1"/>
      </c>
      <c r="HK65">
        <f ca="1"/>
      </c>
      <c r="HL65">
        <f ca="1"/>
      </c>
      <c r="HM65">
        <f ca="1"/>
      </c>
    </row>
    <row r="66" spans="63:221" x14ac:dyDescent="0.55000000000000004">
      <c r="BK66">
        <f ca="1"/>
      </c>
      <c r="BL66">
        <f ca="1"/>
      </c>
      <c r="BM66">
        <f ca="1"/>
      </c>
      <c r="BN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  <c r="BV66">
        <f ca="1"/>
      </c>
      <c r="BW66">
        <f ca="1"/>
      </c>
      <c r="BX66">
        <f ca="1"/>
      </c>
      <c r="BY66">
        <f ca="1"/>
      </c>
      <c r="BZ66">
        <f ca="1"/>
      </c>
      <c r="CA66">
        <f ca="1"/>
      </c>
      <c r="CB66">
        <f ca="1"/>
      </c>
      <c r="CC66">
        <f ca="1"/>
      </c>
      <c r="CD66">
        <f ca="1"/>
      </c>
      <c r="CE66">
        <f ca="1"/>
      </c>
      <c r="CF66">
        <f ca="1"/>
      </c>
      <c r="CG66">
        <f ca="1"/>
      </c>
      <c r="CH66">
        <f ca="1"/>
      </c>
      <c r="CI66">
        <f ca="1"/>
      </c>
      <c r="CJ66">
        <f ca="1"/>
      </c>
      <c r="CK66">
        <f ca="1"/>
      </c>
      <c r="CL66">
        <f ca="1"/>
      </c>
      <c r="CM66">
        <f ca="1"/>
      </c>
      <c r="CN66">
        <f ca="1"/>
      </c>
      <c r="CO66">
        <f ca="1"/>
      </c>
      <c r="CP66">
        <f ca="1"/>
      </c>
      <c r="CQ66">
        <f ca="1"/>
      </c>
      <c r="CR66">
        <f ca="1"/>
      </c>
      <c r="CS66">
        <f ca="1"/>
      </c>
      <c r="CT66">
        <f ca="1"/>
      </c>
      <c r="CU66">
        <f ca="1"/>
      </c>
      <c r="CV66">
        <f ca="1"/>
      </c>
      <c r="CW66">
        <f ca="1"/>
      </c>
      <c r="CX66">
        <f ca="1"/>
      </c>
      <c r="CY66">
        <f ca="1"/>
      </c>
      <c r="CZ66">
        <f ca="1"/>
      </c>
      <c r="DA66">
        <f ca="1"/>
      </c>
      <c r="DB66">
        <f ca="1"/>
      </c>
      <c r="DC66">
        <f ca="1"/>
      </c>
      <c r="DD66">
        <f ca="1"/>
      </c>
      <c r="DE66">
        <f ca="1"/>
      </c>
      <c r="DG66">
        <f ca="1"/>
      </c>
      <c r="DH66">
        <f ca="1"/>
      </c>
      <c r="DI66">
        <f ca="1"/>
      </c>
      <c r="DJ66">
        <f ca="1"/>
      </c>
      <c r="DK66">
        <f ca="1"/>
      </c>
      <c r="DL66">
        <f ca="1"/>
      </c>
      <c r="DM66">
        <f ca="1"/>
      </c>
      <c r="DN66">
        <f ca="1"/>
      </c>
      <c r="DO66">
        <f ca="1"/>
      </c>
      <c r="DP66">
        <f ca="1"/>
      </c>
      <c r="DQ66">
        <f ca="1"/>
      </c>
      <c r="DR66">
        <f ca="1"/>
      </c>
      <c r="DS66">
        <f ca="1"/>
      </c>
      <c r="DT66">
        <f ca="1"/>
      </c>
      <c r="DU66">
        <f ca="1"/>
      </c>
      <c r="DV66">
        <f ca="1"/>
      </c>
      <c r="DW66">
        <f ca="1"/>
      </c>
      <c r="DX66">
        <f ca="1"/>
      </c>
      <c r="DY66">
        <f ca="1"/>
      </c>
      <c r="DZ66">
        <f ca="1"/>
      </c>
      <c r="EA66">
        <f ca="1"/>
      </c>
      <c r="EB66">
        <f ca="1"/>
      </c>
      <c r="EC66">
        <f ca="1"/>
      </c>
      <c r="ED66">
        <f ca="1"/>
      </c>
      <c r="EE66">
        <f ca="1"/>
      </c>
      <c r="EF66">
        <f ca="1"/>
      </c>
      <c r="EG66">
        <f ca="1"/>
      </c>
      <c r="EH66">
        <f ca="1"/>
      </c>
      <c r="EI66">
        <f ca="1"/>
      </c>
      <c r="EJ66">
        <f ca="1"/>
      </c>
      <c r="EK66">
        <f ca="1"/>
      </c>
      <c r="EL66">
        <f ca="1"/>
      </c>
      <c r="EM66">
        <f ca="1"/>
      </c>
      <c r="EN66">
        <f ca="1"/>
      </c>
      <c r="EO66">
        <f ca="1"/>
      </c>
      <c r="EP66">
        <f ca="1"/>
      </c>
      <c r="EQ66">
        <f ca="1"/>
      </c>
      <c r="ER66">
        <f ca="1"/>
      </c>
      <c r="ES66">
        <f ca="1"/>
      </c>
      <c r="ET66">
        <f ca="1"/>
      </c>
      <c r="EU66">
        <f ca="1"/>
      </c>
      <c r="EV66">
        <f ca="1"/>
      </c>
      <c r="EW66">
        <f ca="1"/>
      </c>
      <c r="EX66">
        <f ca="1"/>
      </c>
      <c r="EY66">
        <f ca="1"/>
      </c>
      <c r="EZ66">
        <f ca="1"/>
      </c>
      <c r="FA66">
        <f ca="1"/>
      </c>
      <c r="FC66">
        <f ca="1"/>
      </c>
      <c r="FD66">
        <f ca="1"/>
      </c>
      <c r="FE66">
        <f ca="1"/>
      </c>
      <c r="FF66">
        <f ca="1"/>
      </c>
      <c r="FG66">
        <f ca="1"/>
      </c>
      <c r="FH66">
        <f ca="1"/>
      </c>
      <c r="FI66">
        <f ca="1"/>
      </c>
      <c r="FJ66">
        <f ca="1"/>
      </c>
      <c r="FK66">
        <f ca="1"/>
      </c>
      <c r="FL66">
        <f ca="1"/>
      </c>
      <c r="FM66">
        <f ca="1"/>
      </c>
      <c r="FN66">
        <f ca="1"/>
      </c>
      <c r="FO66">
        <f ca="1"/>
      </c>
      <c r="FP66">
        <f ca="1"/>
      </c>
      <c r="FQ66">
        <f ca="1"/>
      </c>
      <c r="FR66">
        <f ca="1"/>
      </c>
      <c r="FS66">
        <f ca="1"/>
      </c>
      <c r="FT66">
        <f ca="1"/>
      </c>
      <c r="FU66">
        <f ca="1"/>
      </c>
      <c r="FV66">
        <f ca="1"/>
      </c>
      <c r="FW66">
        <f ca="1"/>
      </c>
      <c r="FX66">
        <f ca="1"/>
      </c>
      <c r="FY66">
        <f ca="1"/>
      </c>
      <c r="FZ66">
        <f ca="1"/>
      </c>
      <c r="GA66">
        <f ca="1"/>
      </c>
      <c r="GB66">
        <f ca="1"/>
      </c>
      <c r="GC66">
        <f ca="1"/>
      </c>
      <c r="GD66">
        <f ca="1"/>
      </c>
      <c r="GE66">
        <f ca="1"/>
      </c>
      <c r="GF66">
        <f ca="1"/>
      </c>
      <c r="GG66">
        <f ca="1"/>
      </c>
      <c r="GH66">
        <f ca="1"/>
      </c>
      <c r="GI66">
        <f ca="1"/>
      </c>
      <c r="GJ66">
        <f ca="1"/>
      </c>
      <c r="GK66">
        <f ca="1"/>
      </c>
      <c r="GL66">
        <f ca="1"/>
      </c>
      <c r="GM66">
        <f ca="1"/>
      </c>
      <c r="GN66">
        <f ca="1"/>
      </c>
      <c r="GO66">
        <f ca="1"/>
      </c>
      <c r="GP66">
        <f ca="1"/>
      </c>
      <c r="GQ66">
        <f ca="1"/>
      </c>
      <c r="GR66">
        <f ca="1"/>
      </c>
      <c r="GS66">
        <f ca="1"/>
      </c>
      <c r="GT66">
        <f ca="1"/>
      </c>
      <c r="GU66">
        <f ca="1"/>
      </c>
      <c r="GV66">
        <f ca="1"/>
      </c>
      <c r="GW66">
        <f ca="1"/>
      </c>
      <c r="HI66" s="7">
        <f ca="1"/>
      </c>
      <c r="HJ66">
        <f ca="1"/>
      </c>
      <c r="HK66">
        <f ca="1"/>
      </c>
      <c r="HL66">
        <f ca="1"/>
      </c>
      <c r="HM66">
        <f ca="1"/>
      </c>
    </row>
    <row r="67" spans="63:221" x14ac:dyDescent="0.55000000000000004">
      <c r="BK67">
        <f ca="1"/>
      </c>
      <c r="BL67">
        <f ca="1"/>
      </c>
      <c r="BM67">
        <f ca="1"/>
      </c>
      <c r="BN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  <c r="BV67">
        <f ca="1"/>
      </c>
      <c r="BW67">
        <f ca="1"/>
      </c>
      <c r="BX67">
        <f ca="1"/>
      </c>
      <c r="BY67">
        <f ca="1"/>
      </c>
      <c r="BZ67">
        <f ca="1"/>
      </c>
      <c r="CA67">
        <f ca="1"/>
      </c>
      <c r="CB67">
        <f ca="1"/>
      </c>
      <c r="CC67">
        <f ca="1"/>
      </c>
      <c r="CD67">
        <f ca="1"/>
      </c>
      <c r="CE67">
        <f ca="1"/>
      </c>
      <c r="CF67">
        <f ca="1"/>
      </c>
      <c r="CG67">
        <f ca="1"/>
      </c>
      <c r="CH67">
        <f ca="1"/>
      </c>
      <c r="CI67">
        <f ca="1"/>
      </c>
      <c r="CJ67">
        <f ca="1"/>
      </c>
      <c r="CK67">
        <f ca="1"/>
      </c>
      <c r="CL67">
        <f ca="1"/>
      </c>
      <c r="CM67">
        <f ca="1"/>
      </c>
      <c r="CN67">
        <f ca="1"/>
      </c>
      <c r="CO67">
        <f ca="1"/>
      </c>
      <c r="CP67">
        <f ca="1"/>
      </c>
      <c r="CQ67">
        <f ca="1"/>
      </c>
      <c r="CR67">
        <f ca="1"/>
      </c>
      <c r="CS67">
        <f ca="1"/>
      </c>
      <c r="CT67">
        <f ca="1"/>
      </c>
      <c r="CU67">
        <f ca="1"/>
      </c>
      <c r="CV67">
        <f ca="1"/>
      </c>
      <c r="CW67">
        <f ca="1"/>
      </c>
      <c r="CX67">
        <f ca="1"/>
      </c>
      <c r="CY67">
        <f ca="1"/>
      </c>
      <c r="CZ67">
        <f ca="1"/>
      </c>
      <c r="DA67">
        <f ca="1"/>
      </c>
      <c r="DB67">
        <f ca="1"/>
      </c>
      <c r="DC67">
        <f ca="1"/>
      </c>
      <c r="DD67">
        <f ca="1"/>
      </c>
      <c r="DE67">
        <f ca="1"/>
      </c>
      <c r="DG67">
        <f ca="1"/>
      </c>
      <c r="DH67">
        <f ca="1"/>
      </c>
      <c r="DI67">
        <f ca="1"/>
      </c>
      <c r="DJ67">
        <f ca="1"/>
      </c>
      <c r="DK67">
        <f ca="1"/>
      </c>
      <c r="DL67">
        <f ca="1"/>
      </c>
      <c r="DM67">
        <f ca="1"/>
      </c>
      <c r="DN67">
        <f ca="1"/>
      </c>
      <c r="DO67">
        <f ca="1"/>
      </c>
      <c r="DP67">
        <f ca="1"/>
      </c>
      <c r="DQ67">
        <f ca="1"/>
      </c>
      <c r="DR67">
        <f ca="1"/>
      </c>
      <c r="DS67">
        <f ca="1"/>
      </c>
      <c r="DT67">
        <f ca="1"/>
      </c>
      <c r="DU67">
        <f ca="1"/>
      </c>
      <c r="DV67">
        <f ca="1"/>
      </c>
      <c r="DW67">
        <f ca="1"/>
      </c>
      <c r="DX67">
        <f ca="1"/>
      </c>
      <c r="DY67">
        <f ca="1"/>
      </c>
      <c r="DZ67">
        <f ca="1"/>
      </c>
      <c r="EA67">
        <f ca="1"/>
      </c>
      <c r="EB67">
        <f ca="1"/>
      </c>
      <c r="EC67">
        <f ca="1"/>
      </c>
      <c r="ED67">
        <f ca="1"/>
      </c>
      <c r="EE67">
        <f ca="1"/>
      </c>
      <c r="EF67">
        <f ca="1"/>
      </c>
      <c r="EG67">
        <f ca="1"/>
      </c>
      <c r="EH67">
        <f ca="1"/>
      </c>
      <c r="EI67">
        <f ca="1"/>
      </c>
      <c r="EJ67">
        <f ca="1"/>
      </c>
      <c r="EK67">
        <f ca="1"/>
      </c>
      <c r="EL67">
        <f ca="1"/>
      </c>
      <c r="EM67">
        <f ca="1"/>
      </c>
      <c r="EN67">
        <f ca="1"/>
      </c>
      <c r="EO67">
        <f ca="1"/>
      </c>
      <c r="EP67">
        <f ca="1"/>
      </c>
      <c r="EQ67">
        <f ca="1"/>
      </c>
      <c r="ER67">
        <f ca="1"/>
      </c>
      <c r="ES67">
        <f ca="1"/>
      </c>
      <c r="ET67">
        <f ca="1"/>
      </c>
      <c r="EU67">
        <f ca="1"/>
      </c>
      <c r="EV67">
        <f ca="1"/>
      </c>
      <c r="EW67">
        <f ca="1"/>
      </c>
      <c r="EX67">
        <f ca="1"/>
      </c>
      <c r="EY67">
        <f ca="1"/>
      </c>
      <c r="EZ67">
        <f ca="1"/>
      </c>
      <c r="FA67">
        <f ca="1"/>
      </c>
      <c r="FC67">
        <f ca="1"/>
      </c>
      <c r="FD67">
        <f ca="1"/>
      </c>
      <c r="FE67">
        <f ca="1"/>
      </c>
      <c r="FF67">
        <f ca="1"/>
      </c>
      <c r="FG67">
        <f ca="1"/>
      </c>
      <c r="FH67">
        <f ca="1"/>
      </c>
      <c r="FI67">
        <f ca="1"/>
      </c>
      <c r="FJ67">
        <f ca="1"/>
      </c>
      <c r="FK67">
        <f ca="1"/>
      </c>
      <c r="FL67">
        <f ca="1"/>
      </c>
      <c r="FM67">
        <f ca="1"/>
      </c>
      <c r="FN67">
        <f ca="1"/>
      </c>
      <c r="FO67">
        <f ca="1"/>
      </c>
      <c r="FP67">
        <f ca="1"/>
      </c>
      <c r="FQ67">
        <f ca="1"/>
      </c>
      <c r="FR67">
        <f ca="1"/>
      </c>
      <c r="FS67">
        <f ca="1"/>
      </c>
      <c r="FT67">
        <f ca="1"/>
      </c>
      <c r="FU67">
        <f ca="1"/>
      </c>
      <c r="FV67">
        <f ca="1"/>
      </c>
      <c r="FW67">
        <f ca="1"/>
      </c>
      <c r="FX67">
        <f ca="1"/>
      </c>
      <c r="FY67">
        <f ca="1"/>
      </c>
      <c r="FZ67">
        <f ca="1"/>
      </c>
      <c r="GA67">
        <f ca="1"/>
      </c>
      <c r="GB67">
        <f ca="1"/>
      </c>
      <c r="GC67">
        <f ca="1"/>
      </c>
      <c r="GD67">
        <f ca="1"/>
      </c>
      <c r="GE67">
        <f ca="1"/>
      </c>
      <c r="GF67">
        <f ca="1"/>
      </c>
      <c r="GG67">
        <f ca="1"/>
      </c>
      <c r="GH67">
        <f ca="1"/>
      </c>
      <c r="GI67">
        <f ca="1"/>
      </c>
      <c r="GJ67">
        <f ca="1"/>
      </c>
      <c r="GK67">
        <f ca="1"/>
      </c>
      <c r="GL67">
        <f ca="1"/>
      </c>
      <c r="GM67">
        <f ca="1"/>
      </c>
      <c r="GN67">
        <f ca="1"/>
      </c>
      <c r="GO67">
        <f ca="1"/>
      </c>
      <c r="GP67">
        <f ca="1"/>
      </c>
      <c r="GQ67">
        <f ca="1"/>
      </c>
      <c r="GR67">
        <f ca="1"/>
      </c>
      <c r="GS67">
        <f ca="1"/>
      </c>
      <c r="GT67">
        <f ca="1"/>
      </c>
      <c r="GU67">
        <f ca="1"/>
      </c>
      <c r="GV67">
        <f ca="1"/>
      </c>
      <c r="GW67">
        <f ca="1"/>
      </c>
      <c r="HI67" s="7">
        <f ca="1"/>
      </c>
      <c r="HJ67">
        <f ca="1"/>
      </c>
      <c r="HK67">
        <f ca="1"/>
      </c>
      <c r="HL67">
        <f ca="1"/>
      </c>
      <c r="HM67">
        <f ca="1"/>
      </c>
    </row>
    <row r="68" spans="63:221" x14ac:dyDescent="0.55000000000000004">
      <c r="BK68">
        <f ca="1"/>
      </c>
      <c r="BL68">
        <f ca="1"/>
      </c>
      <c r="BM68">
        <f ca="1"/>
      </c>
      <c r="BN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  <c r="BV68">
        <f ca="1"/>
      </c>
      <c r="BW68">
        <f ca="1"/>
      </c>
      <c r="BX68">
        <f ca="1"/>
      </c>
      <c r="BY68">
        <f ca="1"/>
      </c>
      <c r="BZ68">
        <f ca="1"/>
      </c>
      <c r="CA68">
        <f ca="1"/>
      </c>
      <c r="CB68">
        <f ca="1"/>
      </c>
      <c r="CC68">
        <f ca="1"/>
      </c>
      <c r="CD68">
        <f ca="1"/>
      </c>
      <c r="CE68">
        <f ca="1"/>
      </c>
      <c r="CF68">
        <f ca="1"/>
      </c>
      <c r="CG68">
        <f ca="1"/>
      </c>
      <c r="CH68">
        <f ca="1"/>
      </c>
      <c r="CI68">
        <f ca="1"/>
      </c>
      <c r="CJ68">
        <f ca="1"/>
      </c>
      <c r="CK68">
        <f ca="1"/>
      </c>
      <c r="CL68">
        <f ca="1"/>
      </c>
      <c r="CM68">
        <f ca="1"/>
      </c>
      <c r="CN68">
        <f ca="1"/>
      </c>
      <c r="CO68">
        <f ca="1"/>
      </c>
      <c r="CP68">
        <f ca="1"/>
      </c>
      <c r="CQ68">
        <f ca="1"/>
      </c>
      <c r="CR68">
        <f ca="1"/>
      </c>
      <c r="CS68">
        <f ca="1"/>
      </c>
      <c r="CT68">
        <f ca="1"/>
      </c>
      <c r="CU68">
        <f ca="1"/>
      </c>
      <c r="CV68">
        <f ca="1"/>
      </c>
      <c r="CW68">
        <f ca="1"/>
      </c>
      <c r="CX68">
        <f ca="1"/>
      </c>
      <c r="CY68">
        <f ca="1"/>
      </c>
      <c r="CZ68">
        <f ca="1"/>
      </c>
      <c r="DA68">
        <f ca="1"/>
      </c>
      <c r="DB68">
        <f ca="1"/>
      </c>
      <c r="DC68">
        <f ca="1"/>
      </c>
      <c r="DD68">
        <f ca="1"/>
      </c>
      <c r="DE68">
        <f ca="1"/>
      </c>
      <c r="DG68">
        <f ca="1"/>
      </c>
      <c r="DH68">
        <f ca="1"/>
      </c>
      <c r="DI68">
        <f ca="1"/>
      </c>
      <c r="DJ68">
        <f ca="1"/>
      </c>
      <c r="DK68">
        <f ca="1"/>
      </c>
      <c r="DL68">
        <f ca="1"/>
      </c>
      <c r="DM68">
        <f ca="1"/>
      </c>
      <c r="DN68">
        <f ca="1"/>
      </c>
      <c r="DO68">
        <f ca="1"/>
      </c>
      <c r="DP68">
        <f ca="1"/>
      </c>
      <c r="DQ68">
        <f ca="1"/>
      </c>
      <c r="DR68">
        <f ca="1"/>
      </c>
      <c r="DS68">
        <f ca="1"/>
      </c>
      <c r="DT68">
        <f ca="1"/>
      </c>
      <c r="DU68">
        <f ca="1"/>
      </c>
      <c r="DV68">
        <f ca="1"/>
      </c>
      <c r="DW68">
        <f ca="1"/>
      </c>
      <c r="DX68">
        <f ca="1"/>
      </c>
      <c r="DY68">
        <f ca="1"/>
      </c>
      <c r="DZ68">
        <f ca="1"/>
      </c>
      <c r="EA68">
        <f ca="1"/>
      </c>
      <c r="EB68">
        <f ca="1"/>
      </c>
      <c r="EC68">
        <f ca="1"/>
      </c>
      <c r="ED68">
        <f ca="1"/>
      </c>
      <c r="EE68">
        <f ca="1"/>
      </c>
      <c r="EF68">
        <f ca="1"/>
      </c>
      <c r="EG68">
        <f ca="1"/>
      </c>
      <c r="EH68">
        <f ca="1"/>
      </c>
      <c r="EI68">
        <f ca="1"/>
      </c>
      <c r="EJ68">
        <f ca="1"/>
      </c>
      <c r="EK68">
        <f ca="1"/>
      </c>
      <c r="EL68">
        <f ca="1"/>
      </c>
      <c r="EM68">
        <f ca="1"/>
      </c>
      <c r="EN68">
        <f ca="1"/>
      </c>
      <c r="EO68">
        <f ca="1"/>
      </c>
      <c r="EP68">
        <f ca="1"/>
      </c>
      <c r="EQ68">
        <f ca="1"/>
      </c>
      <c r="ER68">
        <f ca="1"/>
      </c>
      <c r="ES68">
        <f ca="1"/>
      </c>
      <c r="ET68">
        <f ca="1"/>
      </c>
      <c r="EU68">
        <f ca="1"/>
      </c>
      <c r="EV68">
        <f ca="1"/>
      </c>
      <c r="EW68">
        <f ca="1"/>
      </c>
      <c r="EX68">
        <f ca="1"/>
      </c>
      <c r="EY68">
        <f ca="1"/>
      </c>
      <c r="EZ68">
        <f ca="1"/>
      </c>
      <c r="FA68">
        <f ca="1"/>
      </c>
      <c r="FC68">
        <f ca="1"/>
      </c>
      <c r="FD68">
        <f ca="1"/>
      </c>
      <c r="FE68">
        <f ca="1"/>
      </c>
      <c r="FF68">
        <f ca="1"/>
      </c>
      <c r="FG68">
        <f ca="1"/>
      </c>
      <c r="FH68">
        <f ca="1"/>
      </c>
      <c r="FI68">
        <f ca="1"/>
      </c>
      <c r="FJ68">
        <f ca="1"/>
      </c>
      <c r="FK68">
        <f ca="1"/>
      </c>
      <c r="FL68">
        <f ca="1"/>
      </c>
      <c r="FM68">
        <f ca="1"/>
      </c>
      <c r="FN68">
        <f ca="1"/>
      </c>
      <c r="FO68">
        <f ca="1"/>
      </c>
      <c r="FP68">
        <f ca="1"/>
      </c>
      <c r="FQ68">
        <f ca="1"/>
      </c>
      <c r="FR68">
        <f ca="1"/>
      </c>
      <c r="FS68">
        <f ca="1"/>
      </c>
      <c r="FT68">
        <f ca="1"/>
      </c>
      <c r="FU68">
        <f ca="1"/>
      </c>
      <c r="FV68">
        <f ca="1"/>
      </c>
      <c r="FW68">
        <f ca="1"/>
      </c>
      <c r="FX68">
        <f ca="1"/>
      </c>
      <c r="FY68">
        <f ca="1"/>
      </c>
      <c r="FZ68">
        <f ca="1"/>
      </c>
      <c r="GA68">
        <f ca="1"/>
      </c>
      <c r="GB68">
        <f ca="1"/>
      </c>
      <c r="GC68">
        <f ca="1"/>
      </c>
      <c r="GD68">
        <f ca="1"/>
      </c>
      <c r="GE68">
        <f ca="1"/>
      </c>
      <c r="GF68">
        <f ca="1"/>
      </c>
      <c r="GG68">
        <f ca="1"/>
      </c>
      <c r="GH68">
        <f ca="1"/>
      </c>
      <c r="GI68">
        <f ca="1"/>
      </c>
      <c r="GJ68">
        <f ca="1"/>
      </c>
      <c r="GK68">
        <f ca="1"/>
      </c>
      <c r="GL68">
        <f ca="1"/>
      </c>
      <c r="GM68">
        <f ca="1"/>
      </c>
      <c r="GN68">
        <f ca="1"/>
      </c>
      <c r="GO68">
        <f ca="1"/>
      </c>
      <c r="GP68">
        <f ca="1"/>
      </c>
      <c r="GQ68">
        <f ca="1"/>
      </c>
      <c r="GR68">
        <f ca="1"/>
      </c>
      <c r="GS68">
        <f ca="1"/>
      </c>
      <c r="GT68">
        <f ca="1"/>
      </c>
      <c r="GU68">
        <f ca="1"/>
      </c>
      <c r="GV68">
        <f ca="1"/>
      </c>
      <c r="GW68">
        <f ca="1"/>
      </c>
      <c r="HI68" s="7">
        <f ca="1"/>
      </c>
      <c r="HJ68">
        <f ca="1"/>
      </c>
      <c r="HK68">
        <f ca="1"/>
      </c>
      <c r="HL68">
        <f ca="1"/>
      </c>
      <c r="HM68">
        <f ca="1"/>
      </c>
    </row>
    <row r="69" spans="63:221" x14ac:dyDescent="0.55000000000000004">
      <c r="BK69">
        <f ca="1"/>
      </c>
      <c r="BL69">
        <f ca="1"/>
      </c>
      <c r="BM69">
        <f ca="1"/>
      </c>
      <c r="BN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  <c r="BV69">
        <f ca="1"/>
      </c>
      <c r="BW69">
        <f ca="1"/>
      </c>
      <c r="BX69">
        <f ca="1"/>
      </c>
      <c r="BY69">
        <f ca="1"/>
      </c>
      <c r="BZ69">
        <f ca="1"/>
      </c>
      <c r="CA69">
        <f ca="1"/>
      </c>
      <c r="CB69">
        <f ca="1"/>
      </c>
      <c r="CC69">
        <f ca="1"/>
      </c>
      <c r="CD69">
        <f ca="1"/>
      </c>
      <c r="CE69">
        <f ca="1"/>
      </c>
      <c r="CF69">
        <f ca="1"/>
      </c>
      <c r="CG69">
        <f ca="1"/>
      </c>
      <c r="CH69">
        <f ca="1"/>
      </c>
      <c r="CI69">
        <f ca="1"/>
      </c>
      <c r="CJ69">
        <f ca="1"/>
      </c>
      <c r="CK69">
        <f ca="1"/>
      </c>
      <c r="CL69">
        <f ca="1"/>
      </c>
      <c r="CM69">
        <f ca="1"/>
      </c>
      <c r="CN69">
        <f ca="1"/>
      </c>
      <c r="CO69">
        <f ca="1"/>
      </c>
      <c r="CP69">
        <f ca="1"/>
      </c>
      <c r="CQ69">
        <f ca="1"/>
      </c>
      <c r="CR69">
        <f ca="1"/>
      </c>
      <c r="CS69">
        <f ca="1"/>
      </c>
      <c r="CT69">
        <f ca="1"/>
      </c>
      <c r="CU69">
        <f ca="1"/>
      </c>
      <c r="CV69">
        <f ca="1"/>
      </c>
      <c r="CW69">
        <f ca="1"/>
      </c>
      <c r="CX69">
        <f ca="1"/>
      </c>
      <c r="CY69">
        <f ca="1"/>
      </c>
      <c r="CZ69">
        <f ca="1"/>
      </c>
      <c r="DA69">
        <f ca="1"/>
      </c>
      <c r="DB69">
        <f ca="1"/>
      </c>
      <c r="DC69">
        <f ca="1"/>
      </c>
      <c r="DD69">
        <f ca="1"/>
      </c>
      <c r="DE69">
        <f ca="1"/>
      </c>
      <c r="DG69">
        <f ca="1"/>
      </c>
      <c r="DH69">
        <f ca="1"/>
      </c>
      <c r="DI69">
        <f ca="1"/>
      </c>
      <c r="DJ69">
        <f ca="1"/>
      </c>
      <c r="DK69">
        <f ca="1"/>
      </c>
      <c r="DL69">
        <f ca="1"/>
      </c>
      <c r="DM69">
        <f ca="1"/>
      </c>
      <c r="DN69">
        <f ca="1"/>
      </c>
      <c r="DO69">
        <f ca="1"/>
      </c>
      <c r="DP69">
        <f ca="1"/>
      </c>
      <c r="DQ69">
        <f ca="1"/>
      </c>
      <c r="DR69">
        <f ca="1"/>
      </c>
      <c r="DS69">
        <f ca="1"/>
      </c>
      <c r="DT69">
        <f ca="1"/>
      </c>
      <c r="DU69">
        <f ca="1"/>
      </c>
      <c r="DV69">
        <f ca="1"/>
      </c>
      <c r="DW69">
        <f ca="1"/>
      </c>
      <c r="DX69">
        <f ca="1"/>
      </c>
      <c r="DY69">
        <f ca="1"/>
      </c>
      <c r="DZ69">
        <f ca="1"/>
      </c>
      <c r="EA69">
        <f ca="1"/>
      </c>
      <c r="EB69">
        <f ca="1"/>
      </c>
      <c r="EC69">
        <f ca="1"/>
      </c>
      <c r="ED69">
        <f ca="1"/>
      </c>
      <c r="EE69">
        <f ca="1"/>
      </c>
      <c r="EF69">
        <f ca="1"/>
      </c>
      <c r="EG69">
        <f ca="1"/>
      </c>
      <c r="EH69">
        <f ca="1"/>
      </c>
      <c r="EI69">
        <f ca="1"/>
      </c>
      <c r="EJ69">
        <f ca="1"/>
      </c>
      <c r="EK69">
        <f ca="1"/>
      </c>
      <c r="EL69">
        <f ca="1"/>
      </c>
      <c r="EM69">
        <f ca="1"/>
      </c>
      <c r="EN69">
        <f ca="1"/>
      </c>
      <c r="EO69">
        <f ca="1"/>
      </c>
      <c r="EP69">
        <f ca="1"/>
      </c>
      <c r="EQ69">
        <f ca="1"/>
      </c>
      <c r="ER69">
        <f ca="1"/>
      </c>
      <c r="ES69">
        <f ca="1"/>
      </c>
      <c r="ET69">
        <f ca="1"/>
      </c>
      <c r="EU69">
        <f ca="1"/>
      </c>
      <c r="EV69">
        <f ca="1"/>
      </c>
      <c r="EW69">
        <f ca="1"/>
      </c>
      <c r="EX69">
        <f ca="1"/>
      </c>
      <c r="EY69">
        <f ca="1"/>
      </c>
      <c r="EZ69">
        <f ca="1"/>
      </c>
      <c r="FA69">
        <f ca="1"/>
      </c>
      <c r="FC69">
        <f ca="1"/>
      </c>
      <c r="FD69">
        <f ca="1"/>
      </c>
      <c r="FE69">
        <f ca="1"/>
      </c>
      <c r="FF69">
        <f ca="1"/>
      </c>
      <c r="FG69">
        <f ca="1"/>
      </c>
      <c r="FH69">
        <f ca="1"/>
      </c>
      <c r="FI69">
        <f ca="1"/>
      </c>
      <c r="FJ69">
        <f ca="1"/>
      </c>
      <c r="FK69">
        <f ca="1"/>
      </c>
      <c r="FL69">
        <f ca="1"/>
      </c>
      <c r="FM69">
        <f ca="1"/>
      </c>
      <c r="FN69">
        <f ca="1"/>
      </c>
      <c r="FO69">
        <f ca="1"/>
      </c>
      <c r="FP69">
        <f ca="1"/>
      </c>
      <c r="FQ69">
        <f ca="1"/>
      </c>
      <c r="FR69">
        <f ca="1"/>
      </c>
      <c r="FS69">
        <f ca="1"/>
      </c>
      <c r="FT69">
        <f ca="1"/>
      </c>
      <c r="FU69">
        <f ca="1"/>
      </c>
      <c r="FV69">
        <f ca="1"/>
      </c>
      <c r="FW69">
        <f ca="1"/>
      </c>
      <c r="FX69">
        <f ca="1"/>
      </c>
      <c r="FY69">
        <f ca="1"/>
      </c>
      <c r="FZ69">
        <f ca="1"/>
      </c>
      <c r="GA69">
        <f ca="1"/>
      </c>
      <c r="GB69">
        <f ca="1"/>
      </c>
      <c r="GC69">
        <f ca="1"/>
      </c>
      <c r="GD69">
        <f ca="1"/>
      </c>
      <c r="GE69">
        <f ca="1"/>
      </c>
      <c r="GF69">
        <f ca="1"/>
      </c>
      <c r="GG69">
        <f ca="1"/>
      </c>
      <c r="GH69">
        <f ca="1"/>
      </c>
      <c r="GI69">
        <f ca="1"/>
      </c>
      <c r="GJ69">
        <f ca="1"/>
      </c>
      <c r="GK69">
        <f ca="1"/>
      </c>
      <c r="GL69">
        <f ca="1"/>
      </c>
      <c r="GM69">
        <f ca="1"/>
      </c>
      <c r="GN69">
        <f ca="1"/>
      </c>
      <c r="GO69">
        <f ca="1"/>
      </c>
      <c r="GP69">
        <f ca="1"/>
      </c>
      <c r="GQ69">
        <f ca="1"/>
      </c>
      <c r="GR69">
        <f ca="1"/>
      </c>
      <c r="GS69">
        <f ca="1"/>
      </c>
      <c r="GT69">
        <f ca="1"/>
      </c>
      <c r="GU69">
        <f ca="1"/>
      </c>
      <c r="GV69">
        <f ca="1"/>
      </c>
      <c r="GW69">
        <f ca="1"/>
      </c>
      <c r="HI69" s="7">
        <f ca="1"/>
      </c>
      <c r="HJ69">
        <f ca="1"/>
      </c>
      <c r="HK69">
        <f ca="1"/>
      </c>
      <c r="HL69">
        <f ca="1"/>
      </c>
      <c r="HM69">
        <f ca="1"/>
      </c>
    </row>
    <row r="70" spans="63:221" x14ac:dyDescent="0.55000000000000004">
      <c r="BK70">
        <f ca="1"/>
      </c>
      <c r="BL70">
        <f ca="1"/>
      </c>
      <c r="BM70">
        <f ca="1"/>
      </c>
      <c r="BN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  <c r="BV70">
        <f ca="1"/>
      </c>
      <c r="BW70">
        <f ca="1"/>
      </c>
      <c r="BX70">
        <f ca="1"/>
      </c>
      <c r="BY70">
        <f ca="1"/>
      </c>
      <c r="BZ70">
        <f ca="1"/>
      </c>
      <c r="CA70">
        <f ca="1"/>
      </c>
      <c r="CB70">
        <f ca="1"/>
      </c>
      <c r="CC70">
        <f ca="1"/>
      </c>
      <c r="CD70">
        <f ca="1"/>
      </c>
      <c r="CE70">
        <f ca="1"/>
      </c>
      <c r="CF70">
        <f ca="1"/>
      </c>
      <c r="CG70">
        <f ca="1"/>
      </c>
      <c r="CH70">
        <f ca="1"/>
      </c>
      <c r="CI70">
        <f ca="1"/>
      </c>
      <c r="CJ70">
        <f ca="1"/>
      </c>
      <c r="CK70">
        <f ca="1"/>
      </c>
      <c r="CL70">
        <f ca="1"/>
      </c>
      <c r="CM70">
        <f ca="1"/>
      </c>
      <c r="CN70">
        <f ca="1"/>
      </c>
      <c r="CO70">
        <f ca="1"/>
      </c>
      <c r="CP70">
        <f ca="1"/>
      </c>
      <c r="CQ70">
        <f ca="1"/>
      </c>
      <c r="CR70">
        <f ca="1"/>
      </c>
      <c r="CS70">
        <f ca="1"/>
      </c>
      <c r="CT70">
        <f ca="1"/>
      </c>
      <c r="CU70">
        <f ca="1"/>
      </c>
      <c r="CV70">
        <f ca="1"/>
      </c>
      <c r="CW70">
        <f ca="1"/>
      </c>
      <c r="CX70">
        <f ca="1"/>
      </c>
      <c r="CY70">
        <f ca="1"/>
      </c>
      <c r="CZ70">
        <f ca="1"/>
      </c>
      <c r="DA70">
        <f ca="1"/>
      </c>
      <c r="DB70">
        <f ca="1"/>
      </c>
      <c r="DC70">
        <f ca="1"/>
      </c>
      <c r="DD70">
        <f ca="1"/>
      </c>
      <c r="DE70">
        <f ca="1"/>
      </c>
      <c r="DG70">
        <f ca="1"/>
      </c>
      <c r="DH70">
        <f ca="1"/>
      </c>
      <c r="DI70">
        <f ca="1"/>
      </c>
      <c r="DJ70">
        <f ca="1"/>
      </c>
      <c r="DK70">
        <f ca="1"/>
      </c>
      <c r="DL70">
        <f ca="1"/>
      </c>
      <c r="DM70">
        <f ca="1"/>
      </c>
      <c r="DN70">
        <f ca="1"/>
      </c>
      <c r="DO70">
        <f ca="1"/>
      </c>
      <c r="DP70">
        <f ca="1"/>
      </c>
      <c r="DQ70">
        <f ca="1"/>
      </c>
      <c r="DR70">
        <f ca="1"/>
      </c>
      <c r="DS70">
        <f ca="1"/>
      </c>
      <c r="DT70">
        <f ca="1"/>
      </c>
      <c r="DU70">
        <f ca="1"/>
      </c>
      <c r="DV70">
        <f ca="1"/>
      </c>
      <c r="DW70">
        <f ca="1"/>
      </c>
      <c r="DX70">
        <f ca="1"/>
      </c>
      <c r="DY70">
        <f ca="1"/>
      </c>
      <c r="DZ70">
        <f ca="1"/>
      </c>
      <c r="EA70">
        <f ca="1"/>
      </c>
      <c r="EB70">
        <f ca="1"/>
      </c>
      <c r="EC70">
        <f ca="1"/>
      </c>
      <c r="ED70">
        <f ca="1"/>
      </c>
      <c r="EE70">
        <f ca="1"/>
      </c>
      <c r="EF70">
        <f ca="1"/>
      </c>
      <c r="EG70">
        <f ca="1"/>
      </c>
      <c r="EH70">
        <f ca="1"/>
      </c>
      <c r="EI70">
        <f ca="1"/>
      </c>
      <c r="EJ70">
        <f ca="1"/>
      </c>
      <c r="EK70">
        <f ca="1"/>
      </c>
      <c r="EL70">
        <f ca="1"/>
      </c>
      <c r="EM70">
        <f ca="1"/>
      </c>
      <c r="EN70">
        <f ca="1"/>
      </c>
      <c r="EO70">
        <f ca="1"/>
      </c>
      <c r="EP70">
        <f ca="1"/>
      </c>
      <c r="EQ70">
        <f ca="1"/>
      </c>
      <c r="ER70">
        <f ca="1"/>
      </c>
      <c r="ES70">
        <f ca="1"/>
      </c>
      <c r="ET70">
        <f ca="1"/>
      </c>
      <c r="EU70">
        <f ca="1"/>
      </c>
      <c r="EV70">
        <f ca="1"/>
      </c>
      <c r="EW70">
        <f ca="1"/>
      </c>
      <c r="EX70">
        <f ca="1"/>
      </c>
      <c r="EY70">
        <f ca="1"/>
      </c>
      <c r="EZ70">
        <f ca="1"/>
      </c>
      <c r="FA70">
        <f ca="1"/>
      </c>
      <c r="FC70">
        <f ca="1"/>
      </c>
      <c r="FD70">
        <f ca="1"/>
      </c>
      <c r="FE70">
        <f ca="1"/>
      </c>
      <c r="FF70">
        <f ca="1"/>
      </c>
      <c r="FG70">
        <f ca="1"/>
      </c>
      <c r="FH70">
        <f ca="1"/>
      </c>
      <c r="FI70">
        <f ca="1"/>
      </c>
      <c r="FJ70">
        <f ca="1"/>
      </c>
      <c r="FK70">
        <f ca="1"/>
      </c>
      <c r="FL70">
        <f ca="1"/>
      </c>
      <c r="FM70">
        <f ca="1"/>
      </c>
      <c r="FN70">
        <f ca="1"/>
      </c>
      <c r="FO70">
        <f ca="1"/>
      </c>
      <c r="FP70">
        <f ca="1"/>
      </c>
      <c r="FQ70">
        <f ca="1"/>
      </c>
      <c r="FR70">
        <f ca="1"/>
      </c>
      <c r="FS70">
        <f ca="1"/>
      </c>
      <c r="FT70">
        <f ca="1"/>
      </c>
      <c r="FU70">
        <f ca="1"/>
      </c>
      <c r="FV70">
        <f ca="1"/>
      </c>
      <c r="FW70">
        <f ca="1"/>
      </c>
      <c r="FX70">
        <f ca="1"/>
      </c>
      <c r="FY70">
        <f ca="1"/>
      </c>
      <c r="FZ70">
        <f ca="1"/>
      </c>
      <c r="GA70">
        <f ca="1"/>
      </c>
      <c r="GB70">
        <f ca="1"/>
      </c>
      <c r="GC70">
        <f ca="1"/>
      </c>
      <c r="GD70">
        <f ca="1"/>
      </c>
      <c r="GE70">
        <f ca="1"/>
      </c>
      <c r="GF70">
        <f ca="1"/>
      </c>
      <c r="GG70">
        <f ca="1"/>
      </c>
      <c r="GH70">
        <f ca="1"/>
      </c>
      <c r="GI70">
        <f ca="1"/>
      </c>
      <c r="GJ70">
        <f ca="1"/>
      </c>
      <c r="GK70">
        <f ca="1"/>
      </c>
      <c r="GL70">
        <f ca="1"/>
      </c>
      <c r="GM70">
        <f ca="1"/>
      </c>
      <c r="GN70">
        <f ca="1"/>
      </c>
      <c r="GO70">
        <f ca="1"/>
      </c>
      <c r="GP70">
        <f ca="1"/>
      </c>
      <c r="GQ70">
        <f ca="1"/>
      </c>
      <c r="GR70">
        <f ca="1"/>
      </c>
      <c r="GS70">
        <f ca="1"/>
      </c>
      <c r="GT70">
        <f ca="1"/>
      </c>
      <c r="GU70">
        <f ca="1"/>
      </c>
      <c r="GV70">
        <f ca="1"/>
      </c>
      <c r="GW70">
        <f ca="1"/>
      </c>
      <c r="HI70" s="7">
        <f ca="1"/>
      </c>
      <c r="HJ70">
        <f ca="1"/>
      </c>
      <c r="HK70">
        <f ca="1"/>
      </c>
      <c r="HL70">
        <f ca="1"/>
      </c>
      <c r="HM70">
        <f ca="1"/>
      </c>
    </row>
    <row r="71" spans="63:221" x14ac:dyDescent="0.55000000000000004">
      <c r="BK71">
        <f ca="1"/>
      </c>
      <c r="BL71">
        <f ca="1"/>
      </c>
      <c r="BM71">
        <f ca="1"/>
      </c>
      <c r="BN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  <c r="BV71">
        <f ca="1"/>
      </c>
      <c r="BW71">
        <f ca="1"/>
      </c>
      <c r="BX71">
        <f ca="1"/>
      </c>
      <c r="BY71">
        <f ca="1"/>
      </c>
      <c r="BZ71">
        <f ca="1"/>
      </c>
      <c r="CA71">
        <f ca="1"/>
      </c>
      <c r="CB71">
        <f ca="1"/>
      </c>
      <c r="CC71">
        <f ca="1"/>
      </c>
      <c r="CD71">
        <f ca="1"/>
      </c>
      <c r="CE71">
        <f ca="1"/>
      </c>
      <c r="CF71">
        <f ca="1"/>
      </c>
      <c r="CG71">
        <f ca="1"/>
      </c>
      <c r="CH71">
        <f ca="1"/>
      </c>
      <c r="CI71">
        <f ca="1"/>
      </c>
      <c r="CJ71">
        <f ca="1"/>
      </c>
      <c r="CK71">
        <f ca="1"/>
      </c>
      <c r="CL71">
        <f ca="1"/>
      </c>
      <c r="CM71">
        <f ca="1"/>
      </c>
      <c r="CN71">
        <f ca="1"/>
      </c>
      <c r="CO71">
        <f ca="1"/>
      </c>
      <c r="CP71">
        <f ca="1"/>
      </c>
      <c r="CQ71">
        <f ca="1"/>
      </c>
      <c r="CR71">
        <f ca="1"/>
      </c>
      <c r="CS71">
        <f ca="1"/>
      </c>
      <c r="CT71">
        <f ca="1"/>
      </c>
      <c r="CU71">
        <f ca="1"/>
      </c>
      <c r="CV71">
        <f ca="1"/>
      </c>
      <c r="CW71">
        <f ca="1"/>
      </c>
      <c r="CX71">
        <f ca="1"/>
      </c>
      <c r="CY71">
        <f ca="1"/>
      </c>
      <c r="CZ71">
        <f ca="1"/>
      </c>
      <c r="DA71">
        <f ca="1"/>
      </c>
      <c r="DB71">
        <f ca="1"/>
      </c>
      <c r="DC71">
        <f ca="1"/>
      </c>
      <c r="DD71">
        <f ca="1"/>
      </c>
      <c r="DE71">
        <f ca="1"/>
      </c>
      <c r="DG71">
        <f ca="1"/>
      </c>
      <c r="DH71">
        <f ca="1"/>
      </c>
      <c r="DI71">
        <f ca="1"/>
      </c>
      <c r="DJ71">
        <f ca="1"/>
      </c>
      <c r="DK71">
        <f ca="1"/>
      </c>
      <c r="DL71">
        <f ca="1"/>
      </c>
      <c r="DM71">
        <f ca="1"/>
      </c>
      <c r="DN71">
        <f ca="1"/>
      </c>
      <c r="DO71">
        <f ca="1"/>
      </c>
      <c r="DP71">
        <f ca="1"/>
      </c>
      <c r="DQ71">
        <f ca="1"/>
      </c>
      <c r="DR71">
        <f ca="1"/>
      </c>
      <c r="DS71">
        <f ca="1"/>
      </c>
      <c r="DT71">
        <f ca="1"/>
      </c>
      <c r="DU71">
        <f ca="1"/>
      </c>
      <c r="DV71">
        <f ca="1"/>
      </c>
      <c r="DW71">
        <f ca="1"/>
      </c>
      <c r="DX71">
        <f ca="1"/>
      </c>
      <c r="DY71">
        <f ca="1"/>
      </c>
      <c r="DZ71">
        <f ca="1"/>
      </c>
      <c r="EA71">
        <f ca="1"/>
      </c>
      <c r="EB71">
        <f ca="1"/>
      </c>
      <c r="EC71">
        <f ca="1"/>
      </c>
      <c r="ED71">
        <f ca="1"/>
      </c>
      <c r="EE71">
        <f ca="1"/>
      </c>
      <c r="EF71">
        <f ca="1"/>
      </c>
      <c r="EG71">
        <f ca="1"/>
      </c>
      <c r="EH71">
        <f ca="1"/>
      </c>
      <c r="EI71">
        <f ca="1"/>
      </c>
      <c r="EJ71">
        <f ca="1"/>
      </c>
      <c r="EK71">
        <f ca="1"/>
      </c>
      <c r="EL71">
        <f ca="1"/>
      </c>
      <c r="EM71">
        <f ca="1"/>
      </c>
      <c r="EN71">
        <f ca="1"/>
      </c>
      <c r="EO71">
        <f ca="1"/>
      </c>
      <c r="EP71">
        <f ca="1"/>
      </c>
      <c r="EQ71">
        <f ca="1"/>
      </c>
      <c r="ER71">
        <f ca="1"/>
      </c>
      <c r="ES71">
        <f ca="1"/>
      </c>
      <c r="ET71">
        <f ca="1"/>
      </c>
      <c r="EU71">
        <f ca="1"/>
      </c>
      <c r="EV71">
        <f ca="1"/>
      </c>
      <c r="EW71">
        <f ca="1"/>
      </c>
      <c r="EX71">
        <f ca="1"/>
      </c>
      <c r="EY71">
        <f ca="1"/>
      </c>
      <c r="EZ71">
        <f ca="1"/>
      </c>
      <c r="FA71">
        <f ca="1"/>
      </c>
      <c r="FC71">
        <f ca="1"/>
      </c>
      <c r="FD71">
        <f ca="1"/>
      </c>
      <c r="FE71">
        <f ca="1"/>
      </c>
      <c r="FF71">
        <f ca="1"/>
      </c>
      <c r="FG71">
        <f ca="1"/>
      </c>
      <c r="FH71">
        <f ca="1"/>
      </c>
      <c r="FI71">
        <f ca="1"/>
      </c>
      <c r="FJ71">
        <f ca="1"/>
      </c>
      <c r="FK71">
        <f ca="1"/>
      </c>
      <c r="FL71">
        <f ca="1"/>
      </c>
      <c r="FM71">
        <f ca="1"/>
      </c>
      <c r="FN71">
        <f ca="1"/>
      </c>
      <c r="FO71">
        <f ca="1"/>
      </c>
      <c r="FP71">
        <f ca="1"/>
      </c>
      <c r="FQ71">
        <f ca="1"/>
      </c>
      <c r="FR71">
        <f ca="1"/>
      </c>
      <c r="FS71">
        <f ca="1"/>
      </c>
      <c r="FT71">
        <f ca="1"/>
      </c>
      <c r="FU71">
        <f ca="1"/>
      </c>
      <c r="FV71">
        <f ca="1"/>
      </c>
      <c r="FW71">
        <f ca="1"/>
      </c>
      <c r="FX71">
        <f ca="1"/>
      </c>
      <c r="FY71">
        <f ca="1"/>
      </c>
      <c r="FZ71">
        <f ca="1"/>
      </c>
      <c r="GA71">
        <f ca="1"/>
      </c>
      <c r="GB71">
        <f ca="1"/>
      </c>
      <c r="GC71">
        <f ca="1"/>
      </c>
      <c r="GD71">
        <f ca="1"/>
      </c>
      <c r="GE71">
        <f ca="1"/>
      </c>
      <c r="GF71">
        <f ca="1"/>
      </c>
      <c r="GG71">
        <f ca="1"/>
      </c>
      <c r="GH71">
        <f ca="1"/>
      </c>
      <c r="GI71">
        <f ca="1"/>
      </c>
      <c r="GJ71">
        <f ca="1"/>
      </c>
      <c r="GK71">
        <f ca="1"/>
      </c>
      <c r="GL71">
        <f ca="1"/>
      </c>
      <c r="GM71">
        <f ca="1"/>
      </c>
      <c r="GN71">
        <f ca="1"/>
      </c>
      <c r="GO71">
        <f ca="1"/>
      </c>
      <c r="GP71">
        <f ca="1"/>
      </c>
      <c r="GQ71">
        <f ca="1"/>
      </c>
      <c r="GR71">
        <f ca="1"/>
      </c>
      <c r="GS71">
        <f ca="1"/>
      </c>
      <c r="GT71">
        <f ca="1"/>
      </c>
      <c r="GU71">
        <f ca="1"/>
      </c>
      <c r="GV71">
        <f ca="1"/>
      </c>
      <c r="GW71">
        <f ca="1"/>
      </c>
      <c r="HI71" s="7">
        <f ca="1"/>
      </c>
      <c r="HJ71">
        <f ca="1"/>
      </c>
      <c r="HK71">
        <f ca="1"/>
      </c>
      <c r="HL71">
        <f ca="1"/>
      </c>
      <c r="HM71">
        <f ca="1"/>
      </c>
    </row>
    <row r="72" spans="63:221" x14ac:dyDescent="0.55000000000000004">
      <c r="BK72">
        <f ca="1"/>
      </c>
      <c r="BL72">
        <f ca="1"/>
      </c>
      <c r="BM72">
        <f ca="1"/>
      </c>
      <c r="BN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  <c r="BV72">
        <f ca="1"/>
      </c>
      <c r="BW72">
        <f ca="1"/>
      </c>
      <c r="BX72">
        <f ca="1"/>
      </c>
      <c r="BY72">
        <f ca="1"/>
      </c>
      <c r="BZ72">
        <f ca="1"/>
      </c>
      <c r="CA72">
        <f ca="1"/>
      </c>
      <c r="CB72">
        <f ca="1"/>
      </c>
      <c r="CC72">
        <f ca="1"/>
      </c>
      <c r="CD72">
        <f ca="1"/>
      </c>
      <c r="CE72">
        <f ca="1"/>
      </c>
      <c r="CF72">
        <f ca="1"/>
      </c>
      <c r="CG72">
        <f ca="1"/>
      </c>
      <c r="CH72">
        <f ca="1"/>
      </c>
      <c r="CI72">
        <f ca="1"/>
      </c>
      <c r="CJ72">
        <f ca="1"/>
      </c>
      <c r="CK72">
        <f ca="1"/>
      </c>
      <c r="CL72">
        <f ca="1"/>
      </c>
      <c r="CM72">
        <f ca="1"/>
      </c>
      <c r="CN72">
        <f ca="1"/>
      </c>
      <c r="CO72">
        <f ca="1"/>
      </c>
      <c r="CP72">
        <f ca="1"/>
      </c>
      <c r="CQ72">
        <f ca="1"/>
      </c>
      <c r="CR72">
        <f ca="1"/>
      </c>
      <c r="CS72">
        <f ca="1"/>
      </c>
      <c r="CT72">
        <f ca="1"/>
      </c>
      <c r="CU72">
        <f ca="1"/>
      </c>
      <c r="CV72">
        <f ca="1"/>
      </c>
      <c r="CW72">
        <f ca="1"/>
      </c>
      <c r="CX72">
        <f ca="1"/>
      </c>
      <c r="CY72">
        <f ca="1"/>
      </c>
      <c r="CZ72">
        <f ca="1"/>
      </c>
      <c r="DA72">
        <f ca="1"/>
      </c>
      <c r="DB72">
        <f ca="1"/>
      </c>
      <c r="DC72">
        <f ca="1"/>
      </c>
      <c r="DD72">
        <f ca="1"/>
      </c>
      <c r="DE72">
        <f ca="1"/>
      </c>
      <c r="DG72">
        <f ca="1"/>
      </c>
      <c r="DH72">
        <f ca="1"/>
      </c>
      <c r="DI72">
        <f ca="1"/>
      </c>
      <c r="DJ72">
        <f ca="1"/>
      </c>
      <c r="DK72">
        <f ca="1"/>
      </c>
      <c r="DL72">
        <f ca="1"/>
      </c>
      <c r="DM72">
        <f ca="1"/>
      </c>
      <c r="DN72">
        <f ca="1"/>
      </c>
      <c r="DO72">
        <f ca="1"/>
      </c>
      <c r="DP72">
        <f ca="1"/>
      </c>
      <c r="DQ72">
        <f ca="1"/>
      </c>
      <c r="DR72">
        <f ca="1"/>
      </c>
      <c r="DS72">
        <f ca="1"/>
      </c>
      <c r="DT72">
        <f ca="1"/>
      </c>
      <c r="DU72">
        <f ca="1"/>
      </c>
      <c r="DV72">
        <f ca="1"/>
      </c>
      <c r="DW72">
        <f ca="1"/>
      </c>
      <c r="DX72">
        <f ca="1"/>
      </c>
      <c r="DY72">
        <f ca="1"/>
      </c>
      <c r="DZ72">
        <f ca="1"/>
      </c>
      <c r="EA72">
        <f ca="1"/>
      </c>
      <c r="EB72">
        <f ca="1"/>
      </c>
      <c r="EC72">
        <f ca="1"/>
      </c>
      <c r="ED72">
        <f ca="1"/>
      </c>
      <c r="EE72">
        <f ca="1"/>
      </c>
      <c r="EF72">
        <f ca="1"/>
      </c>
      <c r="EG72">
        <f ca="1"/>
      </c>
      <c r="EH72">
        <f ca="1"/>
      </c>
      <c r="EI72">
        <f ca="1"/>
      </c>
      <c r="EJ72">
        <f ca="1"/>
      </c>
      <c r="EK72">
        <f ca="1"/>
      </c>
      <c r="EL72">
        <f ca="1"/>
      </c>
      <c r="EM72">
        <f ca="1"/>
      </c>
      <c r="EN72">
        <f ca="1"/>
      </c>
      <c r="EO72">
        <f ca="1"/>
      </c>
      <c r="EP72">
        <f ca="1"/>
      </c>
      <c r="EQ72">
        <f ca="1"/>
      </c>
      <c r="ER72">
        <f ca="1"/>
      </c>
      <c r="ES72">
        <f ca="1"/>
      </c>
      <c r="ET72">
        <f ca="1"/>
      </c>
      <c r="EU72">
        <f ca="1"/>
      </c>
      <c r="EV72">
        <f ca="1"/>
      </c>
      <c r="EW72">
        <f ca="1"/>
      </c>
      <c r="EX72">
        <f ca="1"/>
      </c>
      <c r="EY72">
        <f ca="1"/>
      </c>
      <c r="EZ72">
        <f ca="1"/>
      </c>
      <c r="FA72">
        <f ca="1"/>
      </c>
      <c r="FC72">
        <f ca="1"/>
      </c>
      <c r="FD72">
        <f ca="1"/>
      </c>
      <c r="FE72">
        <f ca="1"/>
      </c>
      <c r="FF72">
        <f ca="1"/>
      </c>
      <c r="FG72">
        <f ca="1"/>
      </c>
      <c r="FH72">
        <f ca="1"/>
      </c>
      <c r="FI72">
        <f ca="1"/>
      </c>
      <c r="FJ72">
        <f ca="1"/>
      </c>
      <c r="FK72">
        <f ca="1"/>
      </c>
      <c r="FL72">
        <f ca="1"/>
      </c>
      <c r="FM72">
        <f ca="1"/>
      </c>
      <c r="FN72">
        <f ca="1"/>
      </c>
      <c r="FO72">
        <f ca="1"/>
      </c>
      <c r="FP72">
        <f ca="1"/>
      </c>
      <c r="FQ72">
        <f ca="1"/>
      </c>
      <c r="FR72">
        <f ca="1"/>
      </c>
      <c r="FS72">
        <f ca="1"/>
      </c>
      <c r="FT72">
        <f ca="1"/>
      </c>
      <c r="FU72">
        <f ca="1"/>
      </c>
      <c r="FV72">
        <f ca="1"/>
      </c>
      <c r="FW72">
        <f ca="1"/>
      </c>
      <c r="FX72">
        <f ca="1"/>
      </c>
      <c r="FY72">
        <f ca="1"/>
      </c>
      <c r="FZ72">
        <f ca="1"/>
      </c>
      <c r="GA72">
        <f ca="1"/>
      </c>
      <c r="GB72">
        <f ca="1"/>
      </c>
      <c r="GC72">
        <f ca="1"/>
      </c>
      <c r="GD72">
        <f ca="1"/>
      </c>
      <c r="GE72">
        <f ca="1"/>
      </c>
      <c r="GF72">
        <f ca="1"/>
      </c>
      <c r="GG72">
        <f ca="1"/>
      </c>
      <c r="GH72">
        <f ca="1"/>
      </c>
      <c r="GI72">
        <f ca="1"/>
      </c>
      <c r="GJ72">
        <f ca="1"/>
      </c>
      <c r="GK72">
        <f ca="1"/>
      </c>
      <c r="GL72">
        <f ca="1"/>
      </c>
      <c r="GM72">
        <f ca="1"/>
      </c>
      <c r="GN72">
        <f ca="1"/>
      </c>
      <c r="GO72">
        <f ca="1"/>
      </c>
      <c r="GP72">
        <f ca="1"/>
      </c>
      <c r="GQ72">
        <f ca="1"/>
      </c>
      <c r="GR72">
        <f ca="1"/>
      </c>
      <c r="GS72">
        <f ca="1"/>
      </c>
      <c r="GT72">
        <f ca="1"/>
      </c>
      <c r="GU72">
        <f ca="1"/>
      </c>
      <c r="GV72">
        <f ca="1"/>
      </c>
      <c r="GW72">
        <f ca="1"/>
      </c>
      <c r="HI72" s="7">
        <f ca="1"/>
      </c>
      <c r="HJ72">
        <f ca="1"/>
      </c>
      <c r="HK72">
        <f ca="1"/>
      </c>
      <c r="HL72">
        <f ca="1"/>
      </c>
      <c r="HM72">
        <f ca="1"/>
      </c>
    </row>
    <row r="73" spans="63:221" x14ac:dyDescent="0.55000000000000004">
      <c r="BK73">
        <f ca="1"/>
      </c>
      <c r="BL73">
        <f ca="1"/>
      </c>
      <c r="BM73">
        <f ca="1"/>
      </c>
      <c r="BN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  <c r="BV73">
        <f ca="1"/>
      </c>
      <c r="BW73">
        <f ca="1"/>
      </c>
      <c r="BX73">
        <f ca="1"/>
      </c>
      <c r="BY73">
        <f ca="1"/>
      </c>
      <c r="BZ73">
        <f ca="1"/>
      </c>
      <c r="CA73">
        <f ca="1"/>
      </c>
      <c r="CB73">
        <f ca="1"/>
      </c>
      <c r="CC73">
        <f ca="1"/>
      </c>
      <c r="CD73">
        <f ca="1"/>
      </c>
      <c r="CE73">
        <f ca="1"/>
      </c>
      <c r="CF73">
        <f ca="1"/>
      </c>
      <c r="CG73">
        <f ca="1"/>
      </c>
      <c r="CH73">
        <f ca="1"/>
      </c>
      <c r="CI73">
        <f ca="1"/>
      </c>
      <c r="CJ73">
        <f ca="1"/>
      </c>
      <c r="CK73">
        <f ca="1"/>
      </c>
      <c r="CL73">
        <f ca="1"/>
      </c>
      <c r="CM73">
        <f ca="1"/>
      </c>
      <c r="CN73">
        <f ca="1"/>
      </c>
      <c r="CO73">
        <f ca="1"/>
      </c>
      <c r="CP73">
        <f ca="1"/>
      </c>
      <c r="CQ73">
        <f ca="1"/>
      </c>
      <c r="CR73">
        <f ca="1"/>
      </c>
      <c r="CS73">
        <f ca="1"/>
      </c>
      <c r="CT73">
        <f ca="1"/>
      </c>
      <c r="CU73">
        <f ca="1"/>
      </c>
      <c r="CV73">
        <f ca="1"/>
      </c>
      <c r="CW73">
        <f ca="1"/>
      </c>
      <c r="CX73">
        <f ca="1"/>
      </c>
      <c r="CY73">
        <f ca="1"/>
      </c>
      <c r="CZ73">
        <f ca="1"/>
      </c>
      <c r="DA73">
        <f ca="1"/>
      </c>
      <c r="DB73">
        <f ca="1"/>
      </c>
      <c r="DC73">
        <f ca="1"/>
      </c>
      <c r="DD73">
        <f ca="1"/>
      </c>
      <c r="DE73">
        <f ca="1"/>
      </c>
      <c r="DG73">
        <f ca="1"/>
      </c>
      <c r="DH73">
        <f ca="1"/>
      </c>
      <c r="DI73">
        <f ca="1"/>
      </c>
      <c r="DJ73">
        <f ca="1"/>
      </c>
      <c r="DK73">
        <f ca="1"/>
      </c>
      <c r="DL73">
        <f ca="1"/>
      </c>
      <c r="DM73">
        <f ca="1"/>
      </c>
      <c r="DN73">
        <f ca="1"/>
      </c>
      <c r="DO73">
        <f ca="1"/>
      </c>
      <c r="DP73">
        <f ca="1"/>
      </c>
      <c r="DQ73">
        <f ca="1"/>
      </c>
      <c r="DR73">
        <f ca="1"/>
      </c>
      <c r="DS73">
        <f ca="1"/>
      </c>
      <c r="DT73">
        <f ca="1"/>
      </c>
      <c r="DU73">
        <f ca="1"/>
      </c>
      <c r="DV73">
        <f ca="1"/>
      </c>
      <c r="DW73">
        <f ca="1"/>
      </c>
      <c r="DX73">
        <f ca="1"/>
      </c>
      <c r="DY73">
        <f ca="1"/>
      </c>
      <c r="DZ73">
        <f ca="1"/>
      </c>
      <c r="EA73">
        <f ca="1"/>
      </c>
      <c r="EB73">
        <f ca="1"/>
      </c>
      <c r="EC73">
        <f ca="1"/>
      </c>
      <c r="ED73">
        <f ca="1"/>
      </c>
      <c r="EE73">
        <f ca="1"/>
      </c>
      <c r="EF73">
        <f ca="1"/>
      </c>
      <c r="EG73">
        <f ca="1"/>
      </c>
      <c r="EH73">
        <f ca="1"/>
      </c>
      <c r="EI73">
        <f ca="1"/>
      </c>
      <c r="EJ73">
        <f ca="1"/>
      </c>
      <c r="EK73">
        <f ca="1"/>
      </c>
      <c r="EL73">
        <f ca="1"/>
      </c>
      <c r="EM73">
        <f ca="1"/>
      </c>
      <c r="EN73">
        <f ca="1"/>
      </c>
      <c r="EO73">
        <f ca="1"/>
      </c>
      <c r="EP73">
        <f ca="1"/>
      </c>
      <c r="EQ73">
        <f ca="1"/>
      </c>
      <c r="ER73">
        <f ca="1"/>
      </c>
      <c r="ES73">
        <f ca="1"/>
      </c>
      <c r="ET73">
        <f ca="1"/>
      </c>
      <c r="EU73">
        <f ca="1"/>
      </c>
      <c r="EV73">
        <f ca="1"/>
      </c>
      <c r="EW73">
        <f ca="1"/>
      </c>
      <c r="EX73">
        <f ca="1"/>
      </c>
      <c r="EY73">
        <f ca="1"/>
      </c>
      <c r="EZ73">
        <f ca="1"/>
      </c>
      <c r="FA73">
        <f ca="1"/>
      </c>
      <c r="FC73">
        <f ca="1"/>
      </c>
      <c r="FD73">
        <f ca="1"/>
      </c>
      <c r="FE73">
        <f ca="1"/>
      </c>
      <c r="FF73">
        <f ca="1"/>
      </c>
      <c r="FG73">
        <f ca="1"/>
      </c>
      <c r="FH73">
        <f ca="1"/>
      </c>
      <c r="FI73">
        <f ca="1"/>
      </c>
      <c r="FJ73">
        <f ca="1"/>
      </c>
      <c r="FK73">
        <f ca="1"/>
      </c>
      <c r="FL73">
        <f ca="1"/>
      </c>
      <c r="FM73">
        <f ca="1"/>
      </c>
      <c r="FN73">
        <f ca="1"/>
      </c>
      <c r="FO73">
        <f ca="1"/>
      </c>
      <c r="FP73">
        <f ca="1"/>
      </c>
      <c r="FQ73">
        <f ca="1"/>
      </c>
      <c r="FR73">
        <f ca="1"/>
      </c>
      <c r="FS73">
        <f ca="1"/>
      </c>
      <c r="FT73">
        <f ca="1"/>
      </c>
      <c r="FU73">
        <f ca="1"/>
      </c>
      <c r="FV73">
        <f ca="1"/>
      </c>
      <c r="FW73">
        <f ca="1"/>
      </c>
      <c r="FX73">
        <f ca="1"/>
      </c>
      <c r="FY73">
        <f ca="1"/>
      </c>
      <c r="FZ73">
        <f ca="1"/>
      </c>
      <c r="GA73">
        <f ca="1"/>
      </c>
      <c r="GB73">
        <f ca="1"/>
      </c>
      <c r="GC73">
        <f ca="1"/>
      </c>
      <c r="GD73">
        <f ca="1"/>
      </c>
      <c r="GE73">
        <f ca="1"/>
      </c>
      <c r="GF73">
        <f ca="1"/>
      </c>
      <c r="GG73">
        <f ca="1"/>
      </c>
      <c r="GH73">
        <f ca="1"/>
      </c>
      <c r="GI73">
        <f ca="1"/>
      </c>
      <c r="GJ73">
        <f ca="1"/>
      </c>
      <c r="GK73">
        <f ca="1"/>
      </c>
      <c r="GL73">
        <f ca="1"/>
      </c>
      <c r="GM73">
        <f ca="1"/>
      </c>
      <c r="GN73">
        <f ca="1"/>
      </c>
      <c r="GO73">
        <f ca="1"/>
      </c>
      <c r="GP73">
        <f ca="1"/>
      </c>
      <c r="GQ73">
        <f ca="1"/>
      </c>
      <c r="GR73">
        <f ca="1"/>
      </c>
      <c r="GS73">
        <f ca="1"/>
      </c>
      <c r="GT73">
        <f ca="1"/>
      </c>
      <c r="GU73">
        <f ca="1"/>
      </c>
      <c r="GV73">
        <f ca="1"/>
      </c>
      <c r="GW73">
        <f ca="1"/>
      </c>
      <c r="HI73" s="7">
        <f ca="1"/>
      </c>
      <c r="HJ73">
        <f ca="1"/>
      </c>
      <c r="HK73">
        <f ca="1"/>
      </c>
      <c r="HL73">
        <f ca="1"/>
      </c>
      <c r="HM73">
        <f ca="1"/>
      </c>
    </row>
    <row r="74" spans="63:221" x14ac:dyDescent="0.55000000000000004">
      <c r="BK74">
        <f ca="1"/>
      </c>
      <c r="BL74">
        <f ca="1"/>
      </c>
      <c r="BM74">
        <f ca="1"/>
      </c>
      <c r="BN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  <c r="BV74">
        <f ca="1"/>
      </c>
      <c r="BW74">
        <f ca="1"/>
      </c>
      <c r="BX74">
        <f ca="1"/>
      </c>
      <c r="BY74">
        <f ca="1"/>
      </c>
      <c r="BZ74">
        <f ca="1"/>
      </c>
      <c r="CA74">
        <f ca="1"/>
      </c>
      <c r="CB74">
        <f ca="1"/>
      </c>
      <c r="CC74">
        <f ca="1"/>
      </c>
      <c r="CD74">
        <f ca="1"/>
      </c>
      <c r="CE74">
        <f ca="1"/>
      </c>
      <c r="CF74">
        <f ca="1"/>
      </c>
      <c r="CG74">
        <f ca="1"/>
      </c>
      <c r="CH74">
        <f ca="1"/>
      </c>
      <c r="CI74">
        <f ca="1"/>
      </c>
      <c r="CJ74">
        <f ca="1"/>
      </c>
      <c r="CK74">
        <f ca="1"/>
      </c>
      <c r="CL74">
        <f ca="1"/>
      </c>
      <c r="CM74">
        <f ca="1"/>
      </c>
      <c r="CN74">
        <f ca="1"/>
      </c>
      <c r="CO74">
        <f ca="1"/>
      </c>
      <c r="CP74">
        <f ca="1"/>
      </c>
      <c r="CQ74">
        <f ca="1"/>
      </c>
      <c r="CR74">
        <f ca="1"/>
      </c>
      <c r="CS74">
        <f ca="1"/>
      </c>
      <c r="CT74">
        <f ca="1"/>
      </c>
      <c r="CU74">
        <f ca="1"/>
      </c>
      <c r="CV74">
        <f ca="1"/>
      </c>
      <c r="CW74">
        <f ca="1"/>
      </c>
      <c r="CX74">
        <f ca="1"/>
      </c>
      <c r="CY74">
        <f ca="1"/>
      </c>
      <c r="CZ74">
        <f ca="1"/>
      </c>
      <c r="DA74">
        <f ca="1"/>
      </c>
      <c r="DB74">
        <f ca="1"/>
      </c>
      <c r="DC74">
        <f ca="1"/>
      </c>
      <c r="DD74">
        <f ca="1"/>
      </c>
      <c r="DE74">
        <f ca="1"/>
      </c>
      <c r="DG74">
        <f ca="1"/>
      </c>
      <c r="DH74">
        <f ca="1"/>
      </c>
      <c r="DI74">
        <f ca="1"/>
      </c>
      <c r="DJ74">
        <f ca="1"/>
      </c>
      <c r="DK74">
        <f ca="1"/>
      </c>
      <c r="DL74">
        <f ca="1"/>
      </c>
      <c r="DM74">
        <f ca="1"/>
      </c>
      <c r="DN74">
        <f ca="1"/>
      </c>
      <c r="DO74">
        <f ca="1"/>
      </c>
      <c r="DP74">
        <f ca="1"/>
      </c>
      <c r="DQ74">
        <f ca="1"/>
      </c>
      <c r="DR74">
        <f ca="1"/>
      </c>
      <c r="DS74">
        <f ca="1"/>
      </c>
      <c r="DT74">
        <f ca="1"/>
      </c>
      <c r="DU74">
        <f ca="1"/>
      </c>
      <c r="DV74">
        <f ca="1"/>
      </c>
      <c r="DW74">
        <f ca="1"/>
      </c>
      <c r="DX74">
        <f ca="1"/>
      </c>
      <c r="DY74">
        <f ca="1"/>
      </c>
      <c r="DZ74">
        <f ca="1"/>
      </c>
      <c r="EA74">
        <f ca="1"/>
      </c>
      <c r="EB74">
        <f ca="1"/>
      </c>
      <c r="EC74">
        <f ca="1"/>
      </c>
      <c r="ED74">
        <f ca="1"/>
      </c>
      <c r="EE74">
        <f ca="1"/>
      </c>
      <c r="EF74">
        <f ca="1"/>
      </c>
      <c r="EG74">
        <f ca="1"/>
      </c>
      <c r="EH74">
        <f ca="1"/>
      </c>
      <c r="EI74">
        <f ca="1"/>
      </c>
      <c r="EJ74">
        <f ca="1"/>
      </c>
      <c r="EK74">
        <f ca="1"/>
      </c>
      <c r="EL74">
        <f ca="1"/>
      </c>
      <c r="EM74">
        <f ca="1"/>
      </c>
      <c r="EN74">
        <f ca="1"/>
      </c>
      <c r="EO74">
        <f ca="1"/>
      </c>
      <c r="EP74">
        <f ca="1"/>
      </c>
      <c r="EQ74">
        <f ca="1"/>
      </c>
      <c r="ER74">
        <f ca="1"/>
      </c>
      <c r="ES74">
        <f ca="1"/>
      </c>
      <c r="ET74">
        <f ca="1"/>
      </c>
      <c r="EU74">
        <f ca="1"/>
      </c>
      <c r="EV74">
        <f ca="1"/>
      </c>
      <c r="EW74">
        <f ca="1"/>
      </c>
      <c r="EX74">
        <f ca="1"/>
      </c>
      <c r="EY74">
        <f ca="1"/>
      </c>
      <c r="EZ74">
        <f ca="1"/>
      </c>
      <c r="FA74">
        <f ca="1"/>
      </c>
      <c r="FC74">
        <f ca="1"/>
      </c>
      <c r="FD74">
        <f ca="1"/>
      </c>
      <c r="FE74">
        <f ca="1"/>
      </c>
      <c r="FF74">
        <f ca="1"/>
      </c>
      <c r="FG74">
        <f ca="1"/>
      </c>
      <c r="FH74">
        <f ca="1"/>
      </c>
      <c r="FI74">
        <f ca="1"/>
      </c>
      <c r="FJ74">
        <f ca="1"/>
      </c>
      <c r="FK74">
        <f ca="1"/>
      </c>
      <c r="FL74">
        <f ca="1"/>
      </c>
      <c r="FM74">
        <f ca="1"/>
      </c>
      <c r="FN74">
        <f ca="1"/>
      </c>
      <c r="FO74">
        <f ca="1"/>
      </c>
      <c r="FP74">
        <f ca="1"/>
      </c>
      <c r="FQ74">
        <f ca="1"/>
      </c>
      <c r="FR74">
        <f ca="1"/>
      </c>
      <c r="FS74">
        <f ca="1"/>
      </c>
      <c r="FT74">
        <f ca="1"/>
      </c>
      <c r="FU74">
        <f ca="1"/>
      </c>
      <c r="FV74">
        <f ca="1"/>
      </c>
      <c r="FW74">
        <f ca="1"/>
      </c>
      <c r="FX74">
        <f ca="1"/>
      </c>
      <c r="FY74">
        <f ca="1"/>
      </c>
      <c r="FZ74">
        <f ca="1"/>
      </c>
      <c r="GA74">
        <f ca="1"/>
      </c>
      <c r="GB74">
        <f ca="1"/>
      </c>
      <c r="GC74">
        <f ca="1"/>
      </c>
      <c r="GD74">
        <f ca="1"/>
      </c>
      <c r="GE74">
        <f ca="1"/>
      </c>
      <c r="GF74">
        <f ca="1"/>
      </c>
      <c r="GG74">
        <f ca="1"/>
      </c>
      <c r="GH74">
        <f ca="1"/>
      </c>
      <c r="GI74">
        <f ca="1"/>
      </c>
      <c r="GJ74">
        <f ca="1"/>
      </c>
      <c r="GK74">
        <f ca="1"/>
      </c>
      <c r="GL74">
        <f ca="1"/>
      </c>
      <c r="GM74">
        <f ca="1"/>
      </c>
      <c r="GN74">
        <f ca="1"/>
      </c>
      <c r="GO74">
        <f ca="1"/>
      </c>
      <c r="GP74">
        <f ca="1"/>
      </c>
      <c r="GQ74">
        <f ca="1"/>
      </c>
      <c r="GR74">
        <f ca="1"/>
      </c>
      <c r="GS74">
        <f ca="1"/>
      </c>
      <c r="GT74">
        <f ca="1"/>
      </c>
      <c r="GU74">
        <f ca="1"/>
      </c>
      <c r="GV74">
        <f ca="1"/>
      </c>
      <c r="GW74">
        <f ca="1"/>
      </c>
      <c r="HI74" s="7">
        <f ca="1"/>
      </c>
      <c r="HJ74">
        <f ca="1"/>
      </c>
      <c r="HK74">
        <f ca="1"/>
      </c>
      <c r="HL74">
        <f ca="1"/>
      </c>
      <c r="HM74">
        <f ca="1"/>
      </c>
    </row>
    <row r="75" spans="63:221" x14ac:dyDescent="0.55000000000000004">
      <c r="BK75">
        <f ca="1"/>
      </c>
      <c r="BL75">
        <f ca="1"/>
      </c>
      <c r="BM75">
        <f ca="1"/>
      </c>
      <c r="BN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  <c r="BV75">
        <f ca="1"/>
      </c>
      <c r="BW75">
        <f ca="1"/>
      </c>
      <c r="BX75">
        <f ca="1"/>
      </c>
      <c r="BY75">
        <f ca="1"/>
      </c>
      <c r="BZ75">
        <f ca="1"/>
      </c>
      <c r="CA75">
        <f ca="1"/>
      </c>
      <c r="CB75">
        <f ca="1"/>
      </c>
      <c r="CC75">
        <f ca="1"/>
      </c>
      <c r="CD75">
        <f ca="1"/>
      </c>
      <c r="CE75">
        <f ca="1"/>
      </c>
      <c r="CF75">
        <f ca="1"/>
      </c>
      <c r="CG75">
        <f ca="1"/>
      </c>
      <c r="CH75">
        <f ca="1"/>
      </c>
      <c r="CI75">
        <f ca="1"/>
      </c>
      <c r="CJ75">
        <f ca="1"/>
      </c>
      <c r="CK75">
        <f ca="1"/>
      </c>
      <c r="CL75">
        <f ca="1"/>
      </c>
      <c r="CM75">
        <f ca="1"/>
      </c>
      <c r="CN75">
        <f ca="1"/>
      </c>
      <c r="CO75">
        <f ca="1"/>
      </c>
      <c r="CP75">
        <f ca="1"/>
      </c>
      <c r="CQ75">
        <f ca="1"/>
      </c>
      <c r="CR75">
        <f ca="1"/>
      </c>
      <c r="CS75">
        <f ca="1"/>
      </c>
      <c r="CT75">
        <f ca="1"/>
      </c>
      <c r="CU75">
        <f ca="1"/>
      </c>
      <c r="CV75">
        <f ca="1"/>
      </c>
      <c r="CW75">
        <f ca="1"/>
      </c>
      <c r="CX75">
        <f ca="1"/>
      </c>
      <c r="CY75">
        <f ca="1"/>
      </c>
      <c r="CZ75">
        <f ca="1"/>
      </c>
      <c r="DA75">
        <f ca="1"/>
      </c>
      <c r="DB75">
        <f ca="1"/>
      </c>
      <c r="DC75">
        <f ca="1"/>
      </c>
      <c r="DD75">
        <f ca="1"/>
      </c>
      <c r="DE75">
        <f ca="1"/>
      </c>
      <c r="DG75">
        <f ca="1"/>
      </c>
      <c r="DH75">
        <f ca="1"/>
      </c>
      <c r="DI75">
        <f ca="1"/>
      </c>
      <c r="DJ75">
        <f ca="1"/>
      </c>
      <c r="DK75">
        <f ca="1"/>
      </c>
      <c r="DL75">
        <f ca="1"/>
      </c>
      <c r="DM75">
        <f ca="1"/>
      </c>
      <c r="DN75">
        <f ca="1"/>
      </c>
      <c r="DO75">
        <f ca="1"/>
      </c>
      <c r="DP75">
        <f ca="1"/>
      </c>
      <c r="DQ75">
        <f ca="1"/>
      </c>
      <c r="DR75">
        <f ca="1"/>
      </c>
      <c r="DS75">
        <f ca="1"/>
      </c>
      <c r="DT75">
        <f ca="1"/>
      </c>
      <c r="DU75">
        <f ca="1"/>
      </c>
      <c r="DV75">
        <f ca="1"/>
      </c>
      <c r="DW75">
        <f ca="1"/>
      </c>
      <c r="DX75">
        <f ca="1"/>
      </c>
      <c r="DY75">
        <f ca="1"/>
      </c>
      <c r="DZ75">
        <f ca="1"/>
      </c>
      <c r="EA75">
        <f ca="1"/>
      </c>
      <c r="EB75">
        <f ca="1"/>
      </c>
      <c r="EC75">
        <f ca="1"/>
      </c>
      <c r="ED75">
        <f ca="1"/>
      </c>
      <c r="EE75">
        <f ca="1"/>
      </c>
      <c r="EF75">
        <f ca="1"/>
      </c>
      <c r="EG75">
        <f ca="1"/>
      </c>
      <c r="EH75">
        <f ca="1"/>
      </c>
      <c r="EI75">
        <f ca="1"/>
      </c>
      <c r="EJ75">
        <f ca="1"/>
      </c>
      <c r="EK75">
        <f ca="1"/>
      </c>
      <c r="EL75">
        <f ca="1"/>
      </c>
      <c r="EM75">
        <f ca="1"/>
      </c>
      <c r="EN75">
        <f ca="1"/>
      </c>
      <c r="EO75">
        <f ca="1"/>
      </c>
      <c r="EP75">
        <f ca="1"/>
      </c>
      <c r="EQ75">
        <f ca="1"/>
      </c>
      <c r="ER75">
        <f ca="1"/>
      </c>
      <c r="ES75">
        <f ca="1"/>
      </c>
      <c r="ET75">
        <f ca="1"/>
      </c>
      <c r="EU75">
        <f ca="1"/>
      </c>
      <c r="EV75">
        <f ca="1"/>
      </c>
      <c r="EW75">
        <f ca="1"/>
      </c>
      <c r="EX75">
        <f ca="1"/>
      </c>
      <c r="EY75">
        <f ca="1"/>
      </c>
      <c r="EZ75">
        <f ca="1"/>
      </c>
      <c r="FA75">
        <f ca="1"/>
      </c>
      <c r="FC75">
        <f ca="1"/>
      </c>
      <c r="FD75">
        <f ca="1"/>
      </c>
      <c r="FE75">
        <f ca="1"/>
      </c>
      <c r="FF75">
        <f ca="1"/>
      </c>
      <c r="FG75">
        <f ca="1"/>
      </c>
      <c r="FH75">
        <f ca="1"/>
      </c>
      <c r="FI75">
        <f ca="1"/>
      </c>
      <c r="FJ75">
        <f ca="1"/>
      </c>
      <c r="FK75">
        <f ca="1"/>
      </c>
      <c r="FL75">
        <f ca="1"/>
      </c>
      <c r="FM75">
        <f ca="1"/>
      </c>
      <c r="FN75">
        <f ca="1"/>
      </c>
      <c r="FO75">
        <f ca="1"/>
      </c>
      <c r="FP75">
        <f ca="1"/>
      </c>
      <c r="FQ75">
        <f ca="1"/>
      </c>
      <c r="FR75">
        <f ca="1"/>
      </c>
      <c r="FS75">
        <f ca="1"/>
      </c>
      <c r="FT75">
        <f ca="1"/>
      </c>
      <c r="FU75">
        <f ca="1"/>
      </c>
      <c r="FV75">
        <f ca="1"/>
      </c>
      <c r="FW75">
        <f ca="1"/>
      </c>
      <c r="FX75">
        <f ca="1"/>
      </c>
      <c r="FY75">
        <f ca="1"/>
      </c>
      <c r="FZ75">
        <f ca="1"/>
      </c>
      <c r="GA75">
        <f ca="1"/>
      </c>
      <c r="GB75">
        <f ca="1"/>
      </c>
      <c r="GC75">
        <f ca="1"/>
      </c>
      <c r="GD75">
        <f ca="1"/>
      </c>
      <c r="GE75">
        <f ca="1"/>
      </c>
      <c r="GF75">
        <f ca="1"/>
      </c>
      <c r="GG75">
        <f ca="1"/>
      </c>
      <c r="GH75">
        <f ca="1"/>
      </c>
      <c r="GI75">
        <f ca="1"/>
      </c>
      <c r="GJ75">
        <f ca="1"/>
      </c>
      <c r="GK75">
        <f ca="1"/>
      </c>
      <c r="GL75">
        <f ca="1"/>
      </c>
      <c r="GM75">
        <f ca="1"/>
      </c>
      <c r="GN75">
        <f ca="1"/>
      </c>
      <c r="GO75">
        <f ca="1"/>
      </c>
      <c r="GP75">
        <f ca="1"/>
      </c>
      <c r="GQ75">
        <f ca="1"/>
      </c>
      <c r="GR75">
        <f ca="1"/>
      </c>
      <c r="GS75">
        <f ca="1"/>
      </c>
      <c r="GT75">
        <f ca="1"/>
      </c>
      <c r="GU75">
        <f ca="1"/>
      </c>
      <c r="GV75">
        <f ca="1"/>
      </c>
      <c r="GW75">
        <f ca="1"/>
      </c>
      <c r="HI75" s="7">
        <f ca="1"/>
      </c>
      <c r="HJ75">
        <f ca="1"/>
      </c>
      <c r="HK75">
        <f ca="1"/>
      </c>
      <c r="HL75">
        <f ca="1"/>
      </c>
      <c r="HM75">
        <f ca="1"/>
      </c>
    </row>
    <row r="76" spans="63:221" x14ac:dyDescent="0.55000000000000004">
      <c r="BK76">
        <f ca="1"/>
      </c>
      <c r="BL76">
        <f ca="1"/>
      </c>
      <c r="BM76">
        <f ca="1"/>
      </c>
      <c r="BN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  <c r="BV76">
        <f ca="1"/>
      </c>
      <c r="BW76">
        <f ca="1"/>
      </c>
      <c r="BX76">
        <f ca="1"/>
      </c>
      <c r="BY76">
        <f ca="1"/>
      </c>
      <c r="BZ76">
        <f ca="1"/>
      </c>
      <c r="CA76">
        <f ca="1"/>
      </c>
      <c r="CB76">
        <f ca="1"/>
      </c>
      <c r="CC76">
        <f ca="1"/>
      </c>
      <c r="CD76">
        <f ca="1"/>
      </c>
      <c r="CE76">
        <f ca="1"/>
      </c>
      <c r="CF76">
        <f ca="1"/>
      </c>
      <c r="CG76">
        <f ca="1"/>
      </c>
      <c r="CH76">
        <f ca="1"/>
      </c>
      <c r="CI76">
        <f ca="1"/>
      </c>
      <c r="CJ76">
        <f ca="1"/>
      </c>
      <c r="CK76">
        <f ca="1"/>
      </c>
      <c r="CL76">
        <f ca="1"/>
      </c>
      <c r="CM76">
        <f ca="1"/>
      </c>
      <c r="CN76">
        <f ca="1"/>
      </c>
      <c r="CO76">
        <f ca="1"/>
      </c>
      <c r="CP76">
        <f ca="1"/>
      </c>
      <c r="CQ76">
        <f ca="1"/>
      </c>
      <c r="CR76">
        <f ca="1"/>
      </c>
      <c r="CS76">
        <f ca="1"/>
      </c>
      <c r="CT76">
        <f ca="1"/>
      </c>
      <c r="CU76">
        <f ca="1"/>
      </c>
      <c r="CV76">
        <f ca="1"/>
      </c>
      <c r="CW76">
        <f ca="1"/>
      </c>
      <c r="CX76">
        <f ca="1"/>
      </c>
      <c r="CY76">
        <f ca="1"/>
      </c>
      <c r="CZ76">
        <f ca="1"/>
      </c>
      <c r="DA76">
        <f ca="1"/>
      </c>
      <c r="DB76">
        <f ca="1"/>
      </c>
      <c r="DC76">
        <f ca="1"/>
      </c>
      <c r="DD76">
        <f ca="1"/>
      </c>
      <c r="DE76">
        <f ca="1"/>
      </c>
      <c r="DG76">
        <f ca="1"/>
      </c>
      <c r="DH76">
        <f ca="1"/>
      </c>
      <c r="DI76">
        <f ca="1"/>
      </c>
      <c r="DJ76">
        <f ca="1"/>
      </c>
      <c r="DK76">
        <f ca="1"/>
      </c>
      <c r="DL76">
        <f ca="1"/>
      </c>
      <c r="DM76">
        <f ca="1"/>
      </c>
      <c r="DN76">
        <f ca="1"/>
      </c>
      <c r="DO76">
        <f ca="1"/>
      </c>
      <c r="DP76">
        <f ca="1"/>
      </c>
      <c r="DQ76">
        <f ca="1"/>
      </c>
      <c r="DR76">
        <f ca="1"/>
      </c>
      <c r="DS76">
        <f ca="1"/>
      </c>
      <c r="DT76">
        <f ca="1"/>
      </c>
      <c r="DU76">
        <f ca="1"/>
      </c>
      <c r="DV76">
        <f ca="1"/>
      </c>
      <c r="DW76">
        <f ca="1"/>
      </c>
      <c r="DX76">
        <f ca="1"/>
      </c>
      <c r="DY76">
        <f ca="1"/>
      </c>
      <c r="DZ76">
        <f ca="1"/>
      </c>
      <c r="EA76">
        <f ca="1"/>
      </c>
      <c r="EB76">
        <f ca="1"/>
      </c>
      <c r="EC76">
        <f ca="1"/>
      </c>
      <c r="ED76">
        <f ca="1"/>
      </c>
      <c r="EE76">
        <f ca="1"/>
      </c>
      <c r="EF76">
        <f ca="1"/>
      </c>
      <c r="EG76">
        <f ca="1"/>
      </c>
      <c r="EH76">
        <f ca="1"/>
      </c>
      <c r="EI76">
        <f ca="1"/>
      </c>
      <c r="EJ76">
        <f ca="1"/>
      </c>
      <c r="EK76">
        <f ca="1"/>
      </c>
      <c r="EL76">
        <f ca="1"/>
      </c>
      <c r="EM76">
        <f ca="1"/>
      </c>
      <c r="EN76">
        <f ca="1"/>
      </c>
      <c r="EO76">
        <f ca="1"/>
      </c>
      <c r="EP76">
        <f ca="1"/>
      </c>
      <c r="EQ76">
        <f ca="1"/>
      </c>
      <c r="ER76">
        <f ca="1"/>
      </c>
      <c r="ES76">
        <f ca="1"/>
      </c>
      <c r="ET76">
        <f ca="1"/>
      </c>
      <c r="EU76">
        <f ca="1"/>
      </c>
      <c r="EV76">
        <f ca="1"/>
      </c>
      <c r="EW76">
        <f ca="1"/>
      </c>
      <c r="EX76">
        <f ca="1"/>
      </c>
      <c r="EY76">
        <f ca="1"/>
      </c>
      <c r="EZ76">
        <f ca="1"/>
      </c>
      <c r="FA76">
        <f ca="1"/>
      </c>
      <c r="FC76">
        <f ca="1"/>
      </c>
      <c r="FD76">
        <f ca="1"/>
      </c>
      <c r="FE76">
        <f ca="1"/>
      </c>
      <c r="FF76">
        <f ca="1"/>
      </c>
      <c r="FG76">
        <f ca="1"/>
      </c>
      <c r="FH76">
        <f ca="1"/>
      </c>
      <c r="FI76">
        <f ca="1"/>
      </c>
      <c r="FJ76">
        <f ca="1"/>
      </c>
      <c r="FK76">
        <f ca="1"/>
      </c>
      <c r="FL76">
        <f ca="1"/>
      </c>
      <c r="FM76">
        <f ca="1"/>
      </c>
      <c r="FN76">
        <f ca="1"/>
      </c>
      <c r="FO76">
        <f ca="1"/>
      </c>
      <c r="FP76">
        <f ca="1"/>
      </c>
      <c r="FQ76">
        <f ca="1"/>
      </c>
      <c r="FR76">
        <f ca="1"/>
      </c>
      <c r="FS76">
        <f ca="1"/>
      </c>
      <c r="FT76">
        <f ca="1"/>
      </c>
      <c r="FU76">
        <f ca="1"/>
      </c>
      <c r="FV76">
        <f ca="1"/>
      </c>
      <c r="FW76">
        <f ca="1"/>
      </c>
      <c r="FX76">
        <f ca="1"/>
      </c>
      <c r="FY76">
        <f ca="1"/>
      </c>
      <c r="FZ76">
        <f ca="1"/>
      </c>
      <c r="GA76">
        <f ca="1"/>
      </c>
      <c r="GB76">
        <f ca="1"/>
      </c>
      <c r="GC76">
        <f ca="1"/>
      </c>
      <c r="GD76">
        <f ca="1"/>
      </c>
      <c r="GE76">
        <f ca="1"/>
      </c>
      <c r="GF76">
        <f ca="1"/>
      </c>
      <c r="GG76">
        <f ca="1"/>
      </c>
      <c r="GH76">
        <f ca="1"/>
      </c>
      <c r="GI76">
        <f ca="1"/>
      </c>
      <c r="GJ76">
        <f ca="1"/>
      </c>
      <c r="GK76">
        <f ca="1"/>
      </c>
      <c r="GL76">
        <f ca="1"/>
      </c>
      <c r="GM76">
        <f ca="1"/>
      </c>
      <c r="GN76">
        <f ca="1"/>
      </c>
      <c r="GO76">
        <f ca="1"/>
      </c>
      <c r="GP76">
        <f ca="1"/>
      </c>
      <c r="GQ76">
        <f ca="1"/>
      </c>
      <c r="GR76">
        <f ca="1"/>
      </c>
      <c r="GS76">
        <f ca="1"/>
      </c>
      <c r="GT76">
        <f ca="1"/>
      </c>
      <c r="GU76">
        <f ca="1"/>
      </c>
      <c r="GV76">
        <f ca="1"/>
      </c>
      <c r="GW76">
        <f ca="1"/>
      </c>
      <c r="HI76" s="7">
        <f ca="1"/>
      </c>
      <c r="HJ76">
        <f ca="1"/>
      </c>
      <c r="HK76">
        <f ca="1"/>
      </c>
      <c r="HL76">
        <f ca="1"/>
      </c>
      <c r="HM76">
        <f ca="1"/>
      </c>
    </row>
    <row r="77" spans="63:221" x14ac:dyDescent="0.55000000000000004">
      <c r="BK77">
        <f ca="1"/>
      </c>
      <c r="BL77">
        <f ca="1"/>
      </c>
      <c r="BM77">
        <f ca="1"/>
      </c>
      <c r="BN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  <c r="BV77">
        <f ca="1"/>
      </c>
      <c r="BW77">
        <f ca="1"/>
      </c>
      <c r="BX77">
        <f ca="1"/>
      </c>
      <c r="BY77">
        <f ca="1"/>
      </c>
      <c r="BZ77">
        <f ca="1"/>
      </c>
      <c r="CA77">
        <f ca="1"/>
      </c>
      <c r="CB77">
        <f ca="1"/>
      </c>
      <c r="CC77">
        <f ca="1"/>
      </c>
      <c r="CD77">
        <f ca="1"/>
      </c>
      <c r="CE77">
        <f ca="1"/>
      </c>
      <c r="CF77">
        <f ca="1"/>
      </c>
      <c r="CG77">
        <f ca="1"/>
      </c>
      <c r="CH77">
        <f ca="1"/>
      </c>
      <c r="CI77">
        <f ca="1"/>
      </c>
      <c r="CJ77">
        <f ca="1"/>
      </c>
      <c r="CK77">
        <f ca="1"/>
      </c>
      <c r="CL77">
        <f ca="1"/>
      </c>
      <c r="CM77">
        <f ca="1"/>
      </c>
      <c r="CN77">
        <f ca="1"/>
      </c>
      <c r="CO77">
        <f ca="1"/>
      </c>
      <c r="CP77">
        <f ca="1"/>
      </c>
      <c r="CQ77">
        <f ca="1"/>
      </c>
      <c r="CR77">
        <f ca="1"/>
      </c>
      <c r="CS77">
        <f ca="1"/>
      </c>
      <c r="CT77">
        <f ca="1"/>
      </c>
      <c r="CU77">
        <f ca="1"/>
      </c>
      <c r="CV77">
        <f ca="1"/>
      </c>
      <c r="CW77">
        <f ca="1"/>
      </c>
      <c r="CX77">
        <f ca="1"/>
      </c>
      <c r="CY77">
        <f ca="1"/>
      </c>
      <c r="CZ77">
        <f ca="1"/>
      </c>
      <c r="DA77">
        <f ca="1"/>
      </c>
      <c r="DB77">
        <f ca="1"/>
      </c>
      <c r="DC77">
        <f ca="1"/>
      </c>
      <c r="DD77">
        <f ca="1"/>
      </c>
      <c r="DE77">
        <f ca="1"/>
      </c>
      <c r="DG77">
        <f ca="1"/>
      </c>
      <c r="DH77">
        <f ca="1"/>
      </c>
      <c r="DI77">
        <f ca="1"/>
      </c>
      <c r="DJ77">
        <f ca="1"/>
      </c>
      <c r="DK77">
        <f ca="1"/>
      </c>
      <c r="DL77">
        <f ca="1"/>
      </c>
      <c r="DM77">
        <f ca="1"/>
      </c>
      <c r="DN77">
        <f ca="1"/>
      </c>
      <c r="DO77">
        <f ca="1"/>
      </c>
      <c r="DP77">
        <f ca="1"/>
      </c>
      <c r="DQ77">
        <f ca="1"/>
      </c>
      <c r="DR77">
        <f ca="1"/>
      </c>
      <c r="DS77">
        <f ca="1"/>
      </c>
      <c r="DT77">
        <f ca="1"/>
      </c>
      <c r="DU77">
        <f ca="1"/>
      </c>
      <c r="DV77">
        <f ca="1"/>
      </c>
      <c r="DW77">
        <f ca="1"/>
      </c>
      <c r="DX77">
        <f ca="1"/>
      </c>
      <c r="DY77">
        <f ca="1"/>
      </c>
      <c r="DZ77">
        <f ca="1"/>
      </c>
      <c r="EA77">
        <f ca="1"/>
      </c>
      <c r="EB77">
        <f ca="1"/>
      </c>
      <c r="EC77">
        <f ca="1"/>
      </c>
      <c r="ED77">
        <f ca="1"/>
      </c>
      <c r="EE77">
        <f ca="1"/>
      </c>
      <c r="EF77">
        <f ca="1"/>
      </c>
      <c r="EG77">
        <f ca="1"/>
      </c>
      <c r="EH77">
        <f ca="1"/>
      </c>
      <c r="EI77">
        <f ca="1"/>
      </c>
      <c r="EJ77">
        <f ca="1"/>
      </c>
      <c r="EK77">
        <f ca="1"/>
      </c>
      <c r="EL77">
        <f ca="1"/>
      </c>
      <c r="EM77">
        <f ca="1"/>
      </c>
      <c r="EN77">
        <f ca="1"/>
      </c>
      <c r="EO77">
        <f ca="1"/>
      </c>
      <c r="EP77">
        <f ca="1"/>
      </c>
      <c r="EQ77">
        <f ca="1"/>
      </c>
      <c r="ER77">
        <f ca="1"/>
      </c>
      <c r="ES77">
        <f ca="1"/>
      </c>
      <c r="ET77">
        <f ca="1"/>
      </c>
      <c r="EU77">
        <f ca="1"/>
      </c>
      <c r="EV77">
        <f ca="1"/>
      </c>
      <c r="EW77">
        <f ca="1"/>
      </c>
      <c r="EX77">
        <f ca="1"/>
      </c>
      <c r="EY77">
        <f ca="1"/>
      </c>
      <c r="EZ77">
        <f ca="1"/>
      </c>
      <c r="FA77">
        <f ca="1"/>
      </c>
      <c r="FC77">
        <f ca="1"/>
      </c>
      <c r="FD77">
        <f ca="1"/>
      </c>
      <c r="FE77">
        <f ca="1"/>
      </c>
      <c r="FF77">
        <f ca="1"/>
      </c>
      <c r="FG77">
        <f ca="1"/>
      </c>
      <c r="FH77">
        <f ca="1"/>
      </c>
      <c r="FI77">
        <f ca="1"/>
      </c>
      <c r="FJ77">
        <f ca="1"/>
      </c>
      <c r="FK77">
        <f ca="1"/>
      </c>
      <c r="FL77">
        <f ca="1"/>
      </c>
      <c r="FM77">
        <f ca="1"/>
      </c>
      <c r="FN77">
        <f ca="1"/>
      </c>
      <c r="FO77">
        <f ca="1"/>
      </c>
      <c r="FP77">
        <f ca="1"/>
      </c>
      <c r="FQ77">
        <f ca="1"/>
      </c>
      <c r="FR77">
        <f ca="1"/>
      </c>
      <c r="FS77">
        <f ca="1"/>
      </c>
      <c r="FT77">
        <f ca="1"/>
      </c>
      <c r="FU77">
        <f ca="1"/>
      </c>
      <c r="FV77">
        <f ca="1"/>
      </c>
      <c r="FW77">
        <f ca="1"/>
      </c>
      <c r="FX77">
        <f ca="1"/>
      </c>
      <c r="FY77">
        <f ca="1"/>
      </c>
      <c r="FZ77">
        <f ca="1"/>
      </c>
      <c r="GA77">
        <f ca="1"/>
      </c>
      <c r="GB77">
        <f ca="1"/>
      </c>
      <c r="GC77">
        <f ca="1"/>
      </c>
      <c r="GD77">
        <f ca="1"/>
      </c>
      <c r="GE77">
        <f ca="1"/>
      </c>
      <c r="GF77">
        <f ca="1"/>
      </c>
      <c r="GG77">
        <f ca="1"/>
      </c>
      <c r="GH77">
        <f ca="1"/>
      </c>
      <c r="GI77">
        <f ca="1"/>
      </c>
      <c r="GJ77">
        <f ca="1"/>
      </c>
      <c r="GK77">
        <f ca="1"/>
      </c>
      <c r="GL77">
        <f ca="1"/>
      </c>
      <c r="GM77">
        <f ca="1"/>
      </c>
      <c r="GN77">
        <f ca="1"/>
      </c>
      <c r="GO77">
        <f ca="1"/>
      </c>
      <c r="GP77">
        <f ca="1"/>
      </c>
      <c r="GQ77">
        <f ca="1"/>
      </c>
      <c r="GR77">
        <f ca="1"/>
      </c>
      <c r="GS77">
        <f ca="1"/>
      </c>
      <c r="GT77">
        <f ca="1"/>
      </c>
      <c r="GU77">
        <f ca="1"/>
      </c>
      <c r="GV77">
        <f ca="1"/>
      </c>
      <c r="GW77">
        <f ca="1"/>
      </c>
      <c r="HI77" s="7">
        <f ca="1"/>
      </c>
      <c r="HJ77">
        <f ca="1"/>
      </c>
      <c r="HK77">
        <f ca="1"/>
      </c>
      <c r="HL77">
        <f ca="1"/>
      </c>
      <c r="HM77">
        <f ca="1"/>
      </c>
    </row>
    <row r="78" spans="63:221" x14ac:dyDescent="0.55000000000000004">
      <c r="BK78">
        <f ca="1"/>
      </c>
      <c r="BL78">
        <f ca="1"/>
      </c>
      <c r="BM78">
        <f ca="1"/>
      </c>
      <c r="BN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  <c r="BV78">
        <f ca="1"/>
      </c>
      <c r="BW78">
        <f ca="1"/>
      </c>
      <c r="BX78">
        <f ca="1"/>
      </c>
      <c r="BY78">
        <f ca="1"/>
      </c>
      <c r="BZ78">
        <f ca="1"/>
      </c>
      <c r="CA78">
        <f ca="1"/>
      </c>
      <c r="CB78">
        <f ca="1"/>
      </c>
      <c r="CC78">
        <f ca="1"/>
      </c>
      <c r="CD78">
        <f ca="1"/>
      </c>
      <c r="CE78">
        <f ca="1"/>
      </c>
      <c r="CF78">
        <f ca="1"/>
      </c>
      <c r="CG78">
        <f ca="1"/>
      </c>
      <c r="CH78">
        <f ca="1"/>
      </c>
      <c r="CI78">
        <f ca="1"/>
      </c>
      <c r="CJ78">
        <f ca="1"/>
      </c>
      <c r="CK78">
        <f ca="1"/>
      </c>
      <c r="CL78">
        <f ca="1"/>
      </c>
      <c r="CM78">
        <f ca="1"/>
      </c>
      <c r="CN78">
        <f ca="1"/>
      </c>
      <c r="CO78">
        <f ca="1"/>
      </c>
      <c r="CP78">
        <f ca="1"/>
      </c>
      <c r="CQ78">
        <f ca="1"/>
      </c>
      <c r="CR78">
        <f ca="1"/>
      </c>
      <c r="CS78">
        <f ca="1"/>
      </c>
      <c r="CT78">
        <f ca="1"/>
      </c>
      <c r="CU78">
        <f ca="1"/>
      </c>
      <c r="CV78">
        <f ca="1"/>
      </c>
      <c r="CW78">
        <f ca="1"/>
      </c>
      <c r="CX78">
        <f ca="1"/>
      </c>
      <c r="CY78">
        <f ca="1"/>
      </c>
      <c r="CZ78">
        <f ca="1"/>
      </c>
      <c r="DA78">
        <f ca="1"/>
      </c>
      <c r="DB78">
        <f ca="1"/>
      </c>
      <c r="DC78">
        <f ca="1"/>
      </c>
      <c r="DD78">
        <f ca="1"/>
      </c>
      <c r="DE78">
        <f ca="1"/>
      </c>
      <c r="DG78">
        <f ca="1"/>
      </c>
      <c r="DH78">
        <f ca="1"/>
      </c>
      <c r="DI78">
        <f ca="1"/>
      </c>
      <c r="DJ78">
        <f ca="1"/>
      </c>
      <c r="DK78">
        <f ca="1"/>
      </c>
      <c r="DL78">
        <f ca="1"/>
      </c>
      <c r="DM78">
        <f ca="1"/>
      </c>
      <c r="DN78">
        <f ca="1"/>
      </c>
      <c r="DO78">
        <f ca="1"/>
      </c>
      <c r="DP78">
        <f ca="1"/>
      </c>
      <c r="DQ78">
        <f ca="1"/>
      </c>
      <c r="DR78">
        <f ca="1"/>
      </c>
      <c r="DS78">
        <f ca="1"/>
      </c>
      <c r="DT78">
        <f ca="1"/>
      </c>
      <c r="DU78">
        <f ca="1"/>
      </c>
      <c r="DV78">
        <f ca="1"/>
      </c>
      <c r="DW78">
        <f ca="1"/>
      </c>
      <c r="DX78">
        <f ca="1"/>
      </c>
      <c r="DY78">
        <f ca="1"/>
      </c>
      <c r="DZ78">
        <f ca="1"/>
      </c>
      <c r="EA78">
        <f ca="1"/>
      </c>
      <c r="EB78">
        <f ca="1"/>
      </c>
      <c r="EC78">
        <f ca="1"/>
      </c>
      <c r="ED78">
        <f ca="1"/>
      </c>
      <c r="EE78">
        <f ca="1"/>
      </c>
      <c r="EF78">
        <f ca="1"/>
      </c>
      <c r="EG78">
        <f ca="1"/>
      </c>
      <c r="EH78">
        <f ca="1"/>
      </c>
      <c r="EI78">
        <f ca="1"/>
      </c>
      <c r="EJ78">
        <f ca="1"/>
      </c>
      <c r="EK78">
        <f ca="1"/>
      </c>
      <c r="EL78">
        <f ca="1"/>
      </c>
      <c r="EM78">
        <f ca="1"/>
      </c>
      <c r="EN78">
        <f ca="1"/>
      </c>
      <c r="EO78">
        <f ca="1"/>
      </c>
      <c r="EP78">
        <f ca="1"/>
      </c>
      <c r="EQ78">
        <f ca="1"/>
      </c>
      <c r="ER78">
        <f ca="1"/>
      </c>
      <c r="ES78">
        <f ca="1"/>
      </c>
      <c r="ET78">
        <f ca="1"/>
      </c>
      <c r="EU78">
        <f ca="1"/>
      </c>
      <c r="EV78">
        <f ca="1"/>
      </c>
      <c r="EW78">
        <f ca="1"/>
      </c>
      <c r="EX78">
        <f ca="1"/>
      </c>
      <c r="EY78">
        <f ca="1"/>
      </c>
      <c r="EZ78">
        <f ca="1"/>
      </c>
      <c r="FA78">
        <f ca="1"/>
      </c>
      <c r="FC78">
        <f ca="1"/>
      </c>
      <c r="FD78">
        <f ca="1"/>
      </c>
      <c r="FE78">
        <f ca="1"/>
      </c>
      <c r="FF78">
        <f ca="1"/>
      </c>
      <c r="FG78">
        <f ca="1"/>
      </c>
      <c r="FH78">
        <f ca="1"/>
      </c>
      <c r="FI78">
        <f ca="1"/>
      </c>
      <c r="FJ78">
        <f ca="1"/>
      </c>
      <c r="FK78">
        <f ca="1"/>
      </c>
      <c r="FL78">
        <f ca="1"/>
      </c>
      <c r="FM78">
        <f ca="1"/>
      </c>
      <c r="FN78">
        <f ca="1"/>
      </c>
      <c r="FO78">
        <f ca="1"/>
      </c>
      <c r="FP78">
        <f ca="1"/>
      </c>
      <c r="FQ78">
        <f ca="1"/>
      </c>
      <c r="FR78">
        <f ca="1"/>
      </c>
      <c r="FS78">
        <f ca="1"/>
      </c>
      <c r="FT78">
        <f ca="1"/>
      </c>
      <c r="FU78">
        <f ca="1"/>
      </c>
      <c r="FV78">
        <f ca="1"/>
      </c>
      <c r="FW78">
        <f ca="1"/>
      </c>
      <c r="FX78">
        <f ca="1"/>
      </c>
      <c r="FY78">
        <f ca="1"/>
      </c>
      <c r="FZ78">
        <f ca="1"/>
      </c>
      <c r="GA78">
        <f ca="1"/>
      </c>
      <c r="GB78">
        <f ca="1"/>
      </c>
      <c r="GC78">
        <f ca="1"/>
      </c>
      <c r="GD78">
        <f ca="1"/>
      </c>
      <c r="GE78">
        <f ca="1"/>
      </c>
      <c r="GF78">
        <f ca="1"/>
      </c>
      <c r="GG78">
        <f ca="1"/>
      </c>
      <c r="GH78">
        <f ca="1"/>
      </c>
      <c r="GI78">
        <f ca="1"/>
      </c>
      <c r="GJ78">
        <f ca="1"/>
      </c>
      <c r="GK78">
        <f ca="1"/>
      </c>
      <c r="GL78">
        <f ca="1"/>
      </c>
      <c r="GM78">
        <f ca="1"/>
      </c>
      <c r="GN78">
        <f ca="1"/>
      </c>
      <c r="GO78">
        <f ca="1"/>
      </c>
      <c r="GP78">
        <f ca="1"/>
      </c>
      <c r="GQ78">
        <f ca="1"/>
      </c>
      <c r="GR78">
        <f ca="1"/>
      </c>
      <c r="GS78">
        <f ca="1"/>
      </c>
      <c r="GT78">
        <f ca="1"/>
      </c>
      <c r="GU78">
        <f ca="1"/>
      </c>
      <c r="GV78">
        <f ca="1"/>
      </c>
      <c r="GW78">
        <f ca="1"/>
      </c>
      <c r="HI78" s="7">
        <f ca="1"/>
      </c>
      <c r="HJ78">
        <f ca="1"/>
      </c>
      <c r="HK78">
        <f ca="1"/>
      </c>
      <c r="HL78">
        <f ca="1"/>
      </c>
      <c r="HM78">
        <f ca="1"/>
      </c>
    </row>
    <row r="79" spans="63:221" x14ac:dyDescent="0.55000000000000004">
      <c r="BK79">
        <f ca="1"/>
      </c>
      <c r="BL79">
        <f ca="1"/>
      </c>
      <c r="BM79">
        <f ca="1"/>
      </c>
      <c r="BN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  <c r="BV79">
        <f ca="1"/>
      </c>
      <c r="BW79">
        <f ca="1"/>
      </c>
      <c r="BX79">
        <f ca="1"/>
      </c>
      <c r="BY79">
        <f ca="1"/>
      </c>
      <c r="BZ79">
        <f ca="1"/>
      </c>
      <c r="CA79">
        <f ca="1"/>
      </c>
      <c r="CB79">
        <f ca="1"/>
      </c>
      <c r="CC79">
        <f ca="1"/>
      </c>
      <c r="CD79">
        <f ca="1"/>
      </c>
      <c r="CE79">
        <f ca="1"/>
      </c>
      <c r="CF79">
        <f ca="1"/>
      </c>
      <c r="CG79">
        <f ca="1"/>
      </c>
      <c r="CH79">
        <f ca="1"/>
      </c>
      <c r="CI79">
        <f ca="1"/>
      </c>
      <c r="CJ79">
        <f ca="1"/>
      </c>
      <c r="CK79">
        <f ca="1"/>
      </c>
      <c r="CL79">
        <f ca="1"/>
      </c>
      <c r="CM79">
        <f ca="1"/>
      </c>
      <c r="CN79">
        <f ca="1"/>
      </c>
      <c r="CO79">
        <f ca="1"/>
      </c>
      <c r="CP79">
        <f ca="1"/>
      </c>
      <c r="CQ79">
        <f ca="1"/>
      </c>
      <c r="CR79">
        <f ca="1"/>
      </c>
      <c r="CS79">
        <f ca="1"/>
      </c>
      <c r="CT79">
        <f ca="1"/>
      </c>
      <c r="CU79">
        <f ca="1"/>
      </c>
      <c r="CV79">
        <f ca="1"/>
      </c>
      <c r="CW79">
        <f ca="1"/>
      </c>
      <c r="CX79">
        <f ca="1"/>
      </c>
      <c r="CY79">
        <f ca="1"/>
      </c>
      <c r="CZ79">
        <f ca="1"/>
      </c>
      <c r="DA79">
        <f ca="1"/>
      </c>
      <c r="DB79">
        <f ca="1"/>
      </c>
      <c r="DC79">
        <f ca="1"/>
      </c>
      <c r="DD79">
        <f ca="1"/>
      </c>
      <c r="DE79">
        <f ca="1"/>
      </c>
      <c r="DG79">
        <f ca="1"/>
      </c>
      <c r="DH79">
        <f ca="1"/>
      </c>
      <c r="DI79">
        <f ca="1"/>
      </c>
      <c r="DJ79">
        <f ca="1"/>
      </c>
      <c r="DK79">
        <f ca="1"/>
      </c>
      <c r="DL79">
        <f ca="1"/>
      </c>
      <c r="DM79">
        <f ca="1"/>
      </c>
      <c r="DN79">
        <f ca="1"/>
      </c>
      <c r="DO79">
        <f ca="1"/>
      </c>
      <c r="DP79">
        <f ca="1"/>
      </c>
      <c r="DQ79">
        <f ca="1"/>
      </c>
      <c r="DR79">
        <f ca="1"/>
      </c>
      <c r="DS79">
        <f ca="1"/>
      </c>
      <c r="DT79">
        <f ca="1"/>
      </c>
      <c r="DU79">
        <f ca="1"/>
      </c>
      <c r="DV79">
        <f ca="1"/>
      </c>
      <c r="DW79">
        <f ca="1"/>
      </c>
      <c r="DX79">
        <f ca="1"/>
      </c>
      <c r="DY79">
        <f ca="1"/>
      </c>
      <c r="DZ79">
        <f ca="1"/>
      </c>
      <c r="EA79">
        <f ca="1"/>
      </c>
      <c r="EB79">
        <f ca="1"/>
      </c>
      <c r="EC79">
        <f ca="1"/>
      </c>
      <c r="ED79">
        <f ca="1"/>
      </c>
      <c r="EE79">
        <f ca="1"/>
      </c>
      <c r="EF79">
        <f ca="1"/>
      </c>
      <c r="EG79">
        <f ca="1"/>
      </c>
      <c r="EH79">
        <f ca="1"/>
      </c>
      <c r="EI79">
        <f ca="1"/>
      </c>
      <c r="EJ79">
        <f ca="1"/>
      </c>
      <c r="EK79">
        <f ca="1"/>
      </c>
      <c r="EL79">
        <f ca="1"/>
      </c>
      <c r="EM79">
        <f ca="1"/>
      </c>
      <c r="EN79">
        <f ca="1"/>
      </c>
      <c r="EO79">
        <f ca="1"/>
      </c>
      <c r="EP79">
        <f ca="1"/>
      </c>
      <c r="EQ79">
        <f ca="1"/>
      </c>
      <c r="ER79">
        <f ca="1"/>
      </c>
      <c r="ES79">
        <f ca="1"/>
      </c>
      <c r="ET79">
        <f ca="1"/>
      </c>
      <c r="EU79">
        <f ca="1"/>
      </c>
      <c r="EV79">
        <f ca="1"/>
      </c>
      <c r="EW79">
        <f ca="1"/>
      </c>
      <c r="EX79">
        <f ca="1"/>
      </c>
      <c r="EY79">
        <f ca="1"/>
      </c>
      <c r="EZ79">
        <f ca="1"/>
      </c>
      <c r="FA79">
        <f ca="1"/>
      </c>
      <c r="FC79">
        <f ca="1"/>
      </c>
      <c r="FD79">
        <f ca="1"/>
      </c>
      <c r="FE79">
        <f ca="1"/>
      </c>
      <c r="FF79">
        <f ca="1"/>
      </c>
      <c r="FG79">
        <f ca="1"/>
      </c>
      <c r="FH79">
        <f ca="1"/>
      </c>
      <c r="FI79">
        <f ca="1"/>
      </c>
      <c r="FJ79">
        <f ca="1"/>
      </c>
      <c r="FK79">
        <f ca="1"/>
      </c>
      <c r="FL79">
        <f ca="1"/>
      </c>
      <c r="FM79">
        <f ca="1"/>
      </c>
      <c r="FN79">
        <f ca="1"/>
      </c>
      <c r="FO79">
        <f ca="1"/>
      </c>
      <c r="FP79">
        <f ca="1"/>
      </c>
      <c r="FQ79">
        <f ca="1"/>
      </c>
      <c r="FR79">
        <f ca="1"/>
      </c>
      <c r="FS79">
        <f ca="1"/>
      </c>
      <c r="FT79">
        <f ca="1"/>
      </c>
      <c r="FU79">
        <f ca="1"/>
      </c>
      <c r="FV79">
        <f ca="1"/>
      </c>
      <c r="FW79">
        <f ca="1"/>
      </c>
      <c r="FX79">
        <f ca="1"/>
      </c>
      <c r="FY79">
        <f ca="1"/>
      </c>
      <c r="FZ79">
        <f ca="1"/>
      </c>
      <c r="GA79">
        <f ca="1"/>
      </c>
      <c r="GB79">
        <f ca="1"/>
      </c>
      <c r="GC79">
        <f ca="1"/>
      </c>
      <c r="GD79">
        <f ca="1"/>
      </c>
      <c r="GE79">
        <f ca="1"/>
      </c>
      <c r="GF79">
        <f ca="1"/>
      </c>
      <c r="GG79">
        <f ca="1"/>
      </c>
      <c r="GH79">
        <f ca="1"/>
      </c>
      <c r="GI79">
        <f ca="1"/>
      </c>
      <c r="GJ79">
        <f ca="1"/>
      </c>
      <c r="GK79">
        <f ca="1"/>
      </c>
      <c r="GL79">
        <f ca="1"/>
      </c>
      <c r="GM79">
        <f ca="1"/>
      </c>
      <c r="GN79">
        <f ca="1"/>
      </c>
      <c r="GO79">
        <f ca="1"/>
      </c>
      <c r="GP79">
        <f ca="1"/>
      </c>
      <c r="GQ79">
        <f ca="1"/>
      </c>
      <c r="GR79">
        <f ca="1"/>
      </c>
      <c r="GS79">
        <f ca="1"/>
      </c>
      <c r="GT79">
        <f ca="1"/>
      </c>
      <c r="GU79">
        <f ca="1"/>
      </c>
      <c r="GV79">
        <f ca="1"/>
      </c>
      <c r="GW79">
        <f ca="1"/>
      </c>
      <c r="HI79" s="7">
        <f ca="1"/>
      </c>
      <c r="HJ79">
        <f ca="1"/>
      </c>
      <c r="HK79">
        <f ca="1"/>
      </c>
      <c r="HL79">
        <f ca="1"/>
      </c>
      <c r="HM79">
        <f ca="1"/>
      </c>
    </row>
    <row r="80" spans="63:221" x14ac:dyDescent="0.55000000000000004">
      <c r="BK80">
        <f ca="1"/>
      </c>
      <c r="BL80">
        <f ca="1"/>
      </c>
      <c r="BM80">
        <f ca="1"/>
      </c>
      <c r="BN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  <c r="BV80">
        <f ca="1"/>
      </c>
      <c r="BW80">
        <f ca="1"/>
      </c>
      <c r="BX80">
        <f ca="1"/>
      </c>
      <c r="BY80">
        <f ca="1"/>
      </c>
      <c r="BZ80">
        <f ca="1"/>
      </c>
      <c r="CA80">
        <f ca="1"/>
      </c>
      <c r="CB80">
        <f ca="1"/>
      </c>
      <c r="CC80">
        <f ca="1"/>
      </c>
      <c r="CD80">
        <f ca="1"/>
      </c>
      <c r="CE80">
        <f ca="1"/>
      </c>
      <c r="CF80">
        <f ca="1"/>
      </c>
      <c r="CG80">
        <f ca="1"/>
      </c>
      <c r="CH80">
        <f ca="1"/>
      </c>
      <c r="CI80">
        <f ca="1"/>
      </c>
      <c r="CJ80">
        <f ca="1"/>
      </c>
      <c r="CK80">
        <f ca="1"/>
      </c>
      <c r="CL80">
        <f ca="1"/>
      </c>
      <c r="CM80">
        <f ca="1"/>
      </c>
      <c r="CN80">
        <f ca="1"/>
      </c>
      <c r="CO80">
        <f ca="1"/>
      </c>
      <c r="CP80">
        <f ca="1"/>
      </c>
      <c r="CQ80">
        <f ca="1"/>
      </c>
      <c r="CR80">
        <f ca="1"/>
      </c>
      <c r="CS80">
        <f ca="1"/>
      </c>
      <c r="CT80">
        <f ca="1"/>
      </c>
      <c r="CU80">
        <f ca="1"/>
      </c>
      <c r="CV80">
        <f ca="1"/>
      </c>
      <c r="CW80">
        <f ca="1"/>
      </c>
      <c r="CX80">
        <f ca="1"/>
      </c>
      <c r="CY80">
        <f ca="1"/>
      </c>
      <c r="CZ80">
        <f ca="1"/>
      </c>
      <c r="DA80">
        <f ca="1"/>
      </c>
      <c r="DB80">
        <f ca="1"/>
      </c>
      <c r="DC80">
        <f ca="1"/>
      </c>
      <c r="DD80">
        <f ca="1"/>
      </c>
      <c r="DE80">
        <f ca="1"/>
      </c>
      <c r="DG80">
        <f ca="1"/>
      </c>
      <c r="DH80">
        <f ca="1"/>
      </c>
      <c r="DI80">
        <f ca="1"/>
      </c>
      <c r="DJ80">
        <f ca="1"/>
      </c>
      <c r="DK80">
        <f ca="1"/>
      </c>
      <c r="DL80">
        <f ca="1"/>
      </c>
      <c r="DM80">
        <f ca="1"/>
      </c>
      <c r="DN80">
        <f ca="1"/>
      </c>
      <c r="DO80">
        <f ca="1"/>
      </c>
      <c r="DP80">
        <f ca="1"/>
      </c>
      <c r="DQ80">
        <f ca="1"/>
      </c>
      <c r="DR80">
        <f ca="1"/>
      </c>
      <c r="DS80">
        <f ca="1"/>
      </c>
      <c r="DT80">
        <f ca="1"/>
      </c>
      <c r="DU80">
        <f ca="1"/>
      </c>
      <c r="DV80">
        <f ca="1"/>
      </c>
      <c r="DW80">
        <f ca="1"/>
      </c>
      <c r="DX80">
        <f ca="1"/>
      </c>
      <c r="DY80">
        <f ca="1"/>
      </c>
      <c r="DZ80">
        <f ca="1"/>
      </c>
      <c r="EA80">
        <f ca="1"/>
      </c>
      <c r="EB80">
        <f ca="1"/>
      </c>
      <c r="EC80">
        <f ca="1"/>
      </c>
      <c r="ED80">
        <f ca="1"/>
      </c>
      <c r="EE80">
        <f ca="1"/>
      </c>
      <c r="EF80">
        <f ca="1"/>
      </c>
      <c r="EG80">
        <f ca="1"/>
      </c>
      <c r="EH80">
        <f ca="1"/>
      </c>
      <c r="EI80">
        <f ca="1"/>
      </c>
      <c r="EJ80">
        <f ca="1"/>
      </c>
      <c r="EK80">
        <f ca="1"/>
      </c>
      <c r="EL80">
        <f ca="1"/>
      </c>
      <c r="EM80">
        <f ca="1"/>
      </c>
      <c r="EN80">
        <f ca="1"/>
      </c>
      <c r="EO80">
        <f ca="1"/>
      </c>
      <c r="EP80">
        <f ca="1"/>
      </c>
      <c r="EQ80">
        <f ca="1"/>
      </c>
      <c r="ER80">
        <f ca="1"/>
      </c>
      <c r="ES80">
        <f ca="1"/>
      </c>
      <c r="ET80">
        <f ca="1"/>
      </c>
      <c r="EU80">
        <f ca="1"/>
      </c>
      <c r="EV80">
        <f ca="1"/>
      </c>
      <c r="EW80">
        <f ca="1"/>
      </c>
      <c r="EX80">
        <f ca="1"/>
      </c>
      <c r="EY80">
        <f ca="1"/>
      </c>
      <c r="EZ80">
        <f ca="1"/>
      </c>
      <c r="FA80">
        <f ca="1"/>
      </c>
      <c r="FC80">
        <f ca="1"/>
      </c>
      <c r="FD80">
        <f ca="1"/>
      </c>
      <c r="FE80">
        <f ca="1"/>
      </c>
      <c r="FF80">
        <f ca="1"/>
      </c>
      <c r="FG80">
        <f ca="1"/>
      </c>
      <c r="FH80">
        <f ca="1"/>
      </c>
      <c r="FI80">
        <f ca="1"/>
      </c>
      <c r="FJ80">
        <f ca="1"/>
      </c>
      <c r="FK80">
        <f ca="1"/>
      </c>
      <c r="FL80">
        <f ca="1"/>
      </c>
      <c r="FM80">
        <f ca="1"/>
      </c>
      <c r="FN80">
        <f ca="1"/>
      </c>
      <c r="FO80">
        <f ca="1"/>
      </c>
      <c r="FP80">
        <f ca="1"/>
      </c>
      <c r="FQ80">
        <f ca="1"/>
      </c>
      <c r="FR80">
        <f ca="1"/>
      </c>
      <c r="FS80">
        <f ca="1"/>
      </c>
      <c r="FT80">
        <f ca="1"/>
      </c>
      <c r="FU80">
        <f ca="1"/>
      </c>
      <c r="FV80">
        <f ca="1"/>
      </c>
      <c r="FW80">
        <f ca="1"/>
      </c>
      <c r="FX80">
        <f ca="1"/>
      </c>
      <c r="FY80">
        <f ca="1"/>
      </c>
      <c r="FZ80">
        <f ca="1"/>
      </c>
      <c r="GA80">
        <f ca="1"/>
      </c>
      <c r="GB80">
        <f ca="1"/>
      </c>
      <c r="GC80">
        <f ca="1"/>
      </c>
      <c r="GD80">
        <f ca="1"/>
      </c>
      <c r="GE80">
        <f ca="1"/>
      </c>
      <c r="GF80">
        <f ca="1"/>
      </c>
      <c r="GG80">
        <f ca="1"/>
      </c>
      <c r="GH80">
        <f ca="1"/>
      </c>
      <c r="GI80">
        <f ca="1"/>
      </c>
      <c r="GJ80">
        <f ca="1"/>
      </c>
      <c r="GK80">
        <f ca="1"/>
      </c>
      <c r="GL80">
        <f ca="1"/>
      </c>
      <c r="GM80">
        <f ca="1"/>
      </c>
      <c r="GN80">
        <f ca="1"/>
      </c>
      <c r="GO80">
        <f ca="1"/>
      </c>
      <c r="GP80">
        <f ca="1"/>
      </c>
      <c r="GQ80">
        <f ca="1"/>
      </c>
      <c r="GR80">
        <f ca="1"/>
      </c>
      <c r="GS80">
        <f ca="1"/>
      </c>
      <c r="GT80">
        <f ca="1"/>
      </c>
      <c r="GU80">
        <f ca="1"/>
      </c>
      <c r="GV80">
        <f ca="1"/>
      </c>
      <c r="GW80">
        <f ca="1"/>
      </c>
      <c r="HI80" s="7">
        <f ca="1"/>
      </c>
      <c r="HJ80">
        <f ca="1"/>
      </c>
      <c r="HK80">
        <f ca="1"/>
      </c>
      <c r="HL80">
        <f ca="1"/>
      </c>
      <c r="HM80">
        <f ca="1"/>
      </c>
    </row>
    <row r="81" spans="63:221" x14ac:dyDescent="0.55000000000000004">
      <c r="BK81">
        <f ca="1"/>
      </c>
      <c r="BL81">
        <f ca="1"/>
      </c>
      <c r="BM81">
        <f ca="1"/>
      </c>
      <c r="BN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  <c r="BV81">
        <f ca="1"/>
      </c>
      <c r="BW81">
        <f ca="1"/>
      </c>
      <c r="BX81">
        <f ca="1"/>
      </c>
      <c r="BY81">
        <f ca="1"/>
      </c>
      <c r="BZ81">
        <f ca="1"/>
      </c>
      <c r="CA81">
        <f ca="1"/>
      </c>
      <c r="CB81">
        <f ca="1"/>
      </c>
      <c r="CC81">
        <f ca="1"/>
      </c>
      <c r="CD81">
        <f ca="1"/>
      </c>
      <c r="CE81">
        <f ca="1"/>
      </c>
      <c r="CF81">
        <f ca="1"/>
      </c>
      <c r="CG81">
        <f ca="1"/>
      </c>
      <c r="CH81">
        <f ca="1"/>
      </c>
      <c r="CI81">
        <f ca="1"/>
      </c>
      <c r="CJ81">
        <f ca="1"/>
      </c>
      <c r="CK81">
        <f ca="1"/>
      </c>
      <c r="CL81">
        <f ca="1"/>
      </c>
      <c r="CM81">
        <f ca="1"/>
      </c>
      <c r="CN81">
        <f ca="1"/>
      </c>
      <c r="CO81">
        <f ca="1"/>
      </c>
      <c r="CP81">
        <f ca="1"/>
      </c>
      <c r="CQ81">
        <f ca="1"/>
      </c>
      <c r="CR81">
        <f ca="1"/>
      </c>
      <c r="CS81">
        <f ca="1"/>
      </c>
      <c r="CT81">
        <f ca="1"/>
      </c>
      <c r="CU81">
        <f ca="1"/>
      </c>
      <c r="CV81">
        <f ca="1"/>
      </c>
      <c r="CW81">
        <f ca="1"/>
      </c>
      <c r="CX81">
        <f ca="1"/>
      </c>
      <c r="CY81">
        <f ca="1"/>
      </c>
      <c r="CZ81">
        <f ca="1"/>
      </c>
      <c r="DA81">
        <f ca="1"/>
      </c>
      <c r="DB81">
        <f ca="1"/>
      </c>
      <c r="DC81">
        <f ca="1"/>
      </c>
      <c r="DD81">
        <f ca="1"/>
      </c>
      <c r="DE81">
        <f ca="1"/>
      </c>
      <c r="DG81">
        <f ca="1"/>
      </c>
      <c r="DH81">
        <f ca="1"/>
      </c>
      <c r="DI81">
        <f ca="1"/>
      </c>
      <c r="DJ81">
        <f ca="1"/>
      </c>
      <c r="DK81">
        <f ca="1"/>
      </c>
      <c r="DL81">
        <f ca="1"/>
      </c>
      <c r="DM81">
        <f ca="1"/>
      </c>
      <c r="DN81">
        <f ca="1"/>
      </c>
      <c r="DO81">
        <f ca="1"/>
      </c>
      <c r="DP81">
        <f ca="1"/>
      </c>
      <c r="DQ81">
        <f ca="1"/>
      </c>
      <c r="DR81">
        <f ca="1"/>
      </c>
      <c r="DS81">
        <f ca="1"/>
      </c>
      <c r="DT81">
        <f ca="1"/>
      </c>
      <c r="DU81">
        <f ca="1"/>
      </c>
      <c r="DV81">
        <f ca="1"/>
      </c>
      <c r="DW81">
        <f ca="1"/>
      </c>
      <c r="DX81">
        <f ca="1"/>
      </c>
      <c r="DY81">
        <f ca="1"/>
      </c>
      <c r="DZ81">
        <f ca="1"/>
      </c>
      <c r="EA81">
        <f ca="1"/>
      </c>
      <c r="EB81">
        <f ca="1"/>
      </c>
      <c r="EC81">
        <f ca="1"/>
      </c>
      <c r="ED81">
        <f ca="1"/>
      </c>
      <c r="EE81">
        <f ca="1"/>
      </c>
      <c r="EF81">
        <f ca="1"/>
      </c>
      <c r="EG81">
        <f ca="1"/>
      </c>
      <c r="EH81">
        <f ca="1"/>
      </c>
      <c r="EI81">
        <f ca="1"/>
      </c>
      <c r="EJ81">
        <f ca="1"/>
      </c>
      <c r="EK81">
        <f ca="1"/>
      </c>
      <c r="EL81">
        <f ca="1"/>
      </c>
      <c r="EM81">
        <f ca="1"/>
      </c>
      <c r="EN81">
        <f ca="1"/>
      </c>
      <c r="EO81">
        <f ca="1"/>
      </c>
      <c r="EP81">
        <f ca="1"/>
      </c>
      <c r="EQ81">
        <f ca="1"/>
      </c>
      <c r="ER81">
        <f ca="1"/>
      </c>
      <c r="ES81">
        <f ca="1"/>
      </c>
      <c r="ET81">
        <f ca="1"/>
      </c>
      <c r="EU81">
        <f ca="1"/>
      </c>
      <c r="EV81">
        <f ca="1"/>
      </c>
      <c r="EW81">
        <f ca="1"/>
      </c>
      <c r="EX81">
        <f ca="1"/>
      </c>
      <c r="EY81">
        <f ca="1"/>
      </c>
      <c r="EZ81">
        <f ca="1"/>
      </c>
      <c r="FA81">
        <f ca="1"/>
      </c>
      <c r="FC81">
        <f ca="1"/>
      </c>
      <c r="FD81">
        <f ca="1"/>
      </c>
      <c r="FE81">
        <f ca="1"/>
      </c>
      <c r="FF81">
        <f ca="1"/>
      </c>
      <c r="FG81">
        <f ca="1"/>
      </c>
      <c r="FH81">
        <f ca="1"/>
      </c>
      <c r="FI81">
        <f ca="1"/>
      </c>
      <c r="FJ81">
        <f ca="1"/>
      </c>
      <c r="FK81">
        <f ca="1"/>
      </c>
      <c r="FL81">
        <f ca="1"/>
      </c>
      <c r="FM81">
        <f ca="1"/>
      </c>
      <c r="FN81">
        <f ca="1"/>
      </c>
      <c r="FO81">
        <f ca="1"/>
      </c>
      <c r="FP81">
        <f ca="1"/>
      </c>
      <c r="FQ81">
        <f ca="1"/>
      </c>
      <c r="FR81">
        <f ca="1"/>
      </c>
      <c r="FS81">
        <f ca="1"/>
      </c>
      <c r="FT81">
        <f ca="1"/>
      </c>
      <c r="FU81">
        <f ca="1"/>
      </c>
      <c r="FV81">
        <f ca="1"/>
      </c>
      <c r="FW81">
        <f ca="1"/>
      </c>
      <c r="FX81">
        <f ca="1"/>
      </c>
      <c r="FY81">
        <f ca="1"/>
      </c>
      <c r="FZ81">
        <f ca="1"/>
      </c>
      <c r="GA81">
        <f ca="1"/>
      </c>
      <c r="GB81">
        <f ca="1"/>
      </c>
      <c r="GC81">
        <f ca="1"/>
      </c>
      <c r="GD81">
        <f ca="1"/>
      </c>
      <c r="GE81">
        <f ca="1"/>
      </c>
      <c r="GF81">
        <f ca="1"/>
      </c>
      <c r="GG81">
        <f ca="1"/>
      </c>
      <c r="GH81">
        <f ca="1"/>
      </c>
      <c r="GI81">
        <f ca="1"/>
      </c>
      <c r="GJ81">
        <f ca="1"/>
      </c>
      <c r="GK81">
        <f ca="1"/>
      </c>
      <c r="GL81">
        <f ca="1"/>
      </c>
      <c r="GM81">
        <f ca="1"/>
      </c>
      <c r="GN81">
        <f ca="1"/>
      </c>
      <c r="GO81">
        <f ca="1"/>
      </c>
      <c r="GP81">
        <f ca="1"/>
      </c>
      <c r="GQ81">
        <f ca="1"/>
      </c>
      <c r="GR81">
        <f ca="1"/>
      </c>
      <c r="GS81">
        <f ca="1"/>
      </c>
      <c r="GT81">
        <f ca="1"/>
      </c>
      <c r="GU81">
        <f ca="1"/>
      </c>
      <c r="GV81">
        <f ca="1"/>
      </c>
      <c r="GW81">
        <f ca="1"/>
      </c>
      <c r="HI81" s="7">
        <f ca="1"/>
      </c>
      <c r="HJ81">
        <f ca="1"/>
      </c>
      <c r="HK81">
        <f ca="1"/>
      </c>
      <c r="HL81">
        <f ca="1"/>
      </c>
      <c r="HM81">
        <f ca="1"/>
      </c>
    </row>
    <row r="82" spans="63:221" x14ac:dyDescent="0.55000000000000004">
      <c r="BK82">
        <f ca="1"/>
      </c>
      <c r="BL82">
        <f ca="1"/>
      </c>
      <c r="BM82">
        <f ca="1"/>
      </c>
      <c r="BN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  <c r="BV82">
        <f ca="1"/>
      </c>
      <c r="BW82">
        <f ca="1"/>
      </c>
      <c r="BX82">
        <f ca="1"/>
      </c>
      <c r="BY82">
        <f ca="1"/>
      </c>
      <c r="BZ82">
        <f ca="1"/>
      </c>
      <c r="CA82">
        <f ca="1"/>
      </c>
      <c r="CB82">
        <f ca="1"/>
      </c>
      <c r="CC82">
        <f ca="1"/>
      </c>
      <c r="CD82">
        <f ca="1"/>
      </c>
      <c r="CE82">
        <f ca="1"/>
      </c>
      <c r="CF82">
        <f ca="1"/>
      </c>
      <c r="CG82">
        <f ca="1"/>
      </c>
      <c r="CH82">
        <f ca="1"/>
      </c>
      <c r="CI82">
        <f ca="1"/>
      </c>
      <c r="CJ82">
        <f ca="1"/>
      </c>
      <c r="CK82">
        <f ca="1"/>
      </c>
      <c r="CL82">
        <f ca="1"/>
      </c>
      <c r="CM82">
        <f ca="1"/>
      </c>
      <c r="CN82">
        <f ca="1"/>
      </c>
      <c r="CO82">
        <f ca="1"/>
      </c>
      <c r="CP82">
        <f ca="1"/>
      </c>
      <c r="CQ82">
        <f ca="1"/>
      </c>
      <c r="CR82">
        <f ca="1"/>
      </c>
      <c r="CS82">
        <f ca="1"/>
      </c>
      <c r="CT82">
        <f ca="1"/>
      </c>
      <c r="CU82">
        <f ca="1"/>
      </c>
      <c r="CV82">
        <f ca="1"/>
      </c>
      <c r="CW82">
        <f ca="1"/>
      </c>
      <c r="CX82">
        <f ca="1"/>
      </c>
      <c r="CY82">
        <f ca="1"/>
      </c>
      <c r="CZ82">
        <f ca="1"/>
      </c>
      <c r="DA82">
        <f ca="1"/>
      </c>
      <c r="DB82">
        <f ca="1"/>
      </c>
      <c r="DC82">
        <f ca="1"/>
      </c>
      <c r="DD82">
        <f ca="1"/>
      </c>
      <c r="DE82">
        <f ca="1"/>
      </c>
      <c r="DG82">
        <f ca="1"/>
      </c>
      <c r="DH82">
        <f ca="1"/>
      </c>
      <c r="DI82">
        <f ca="1"/>
      </c>
      <c r="DJ82">
        <f ca="1"/>
      </c>
      <c r="DK82">
        <f ca="1"/>
      </c>
      <c r="DL82">
        <f ca="1"/>
      </c>
      <c r="DM82">
        <f ca="1"/>
      </c>
      <c r="DN82">
        <f ca="1"/>
      </c>
      <c r="DO82">
        <f ca="1"/>
      </c>
      <c r="DP82">
        <f ca="1"/>
      </c>
      <c r="DQ82">
        <f ca="1"/>
      </c>
      <c r="DR82">
        <f ca="1"/>
      </c>
      <c r="DS82">
        <f ca="1"/>
      </c>
      <c r="DT82">
        <f ca="1"/>
      </c>
      <c r="DU82">
        <f ca="1"/>
      </c>
      <c r="DV82">
        <f ca="1"/>
      </c>
      <c r="DW82">
        <f ca="1"/>
      </c>
      <c r="DX82">
        <f ca="1"/>
      </c>
      <c r="DY82">
        <f ca="1"/>
      </c>
      <c r="DZ82">
        <f ca="1"/>
      </c>
      <c r="EA82">
        <f ca="1"/>
      </c>
      <c r="EB82">
        <f ca="1"/>
      </c>
      <c r="EC82">
        <f ca="1"/>
      </c>
      <c r="ED82">
        <f ca="1"/>
      </c>
      <c r="EE82">
        <f ca="1"/>
      </c>
      <c r="EF82">
        <f ca="1"/>
      </c>
      <c r="EG82">
        <f ca="1"/>
      </c>
      <c r="EH82">
        <f ca="1"/>
      </c>
      <c r="EI82">
        <f ca="1"/>
      </c>
      <c r="EJ82">
        <f ca="1"/>
      </c>
      <c r="EK82">
        <f ca="1"/>
      </c>
      <c r="EL82">
        <f ca="1"/>
      </c>
      <c r="EM82">
        <f ca="1"/>
      </c>
      <c r="EN82">
        <f ca="1"/>
      </c>
      <c r="EO82">
        <f ca="1"/>
      </c>
      <c r="EP82">
        <f ca="1"/>
      </c>
      <c r="EQ82">
        <f ca="1"/>
      </c>
      <c r="ER82">
        <f ca="1"/>
      </c>
      <c r="ES82">
        <f ca="1"/>
      </c>
      <c r="ET82">
        <f ca="1"/>
      </c>
      <c r="EU82">
        <f ca="1"/>
      </c>
      <c r="EV82">
        <f ca="1"/>
      </c>
      <c r="EW82">
        <f ca="1"/>
      </c>
      <c r="EX82">
        <f ca="1"/>
      </c>
      <c r="EY82">
        <f ca="1"/>
      </c>
      <c r="EZ82">
        <f ca="1"/>
      </c>
      <c r="FA82">
        <f ca="1"/>
      </c>
      <c r="FC82">
        <f ca="1"/>
      </c>
      <c r="FD82">
        <f ca="1"/>
      </c>
      <c r="FE82">
        <f ca="1"/>
      </c>
      <c r="FF82">
        <f ca="1"/>
      </c>
      <c r="FG82">
        <f ca="1"/>
      </c>
      <c r="FH82">
        <f ca="1"/>
      </c>
      <c r="FI82">
        <f ca="1"/>
      </c>
      <c r="FJ82">
        <f ca="1"/>
      </c>
      <c r="FK82">
        <f ca="1"/>
      </c>
      <c r="FL82">
        <f ca="1"/>
      </c>
      <c r="FM82">
        <f ca="1"/>
      </c>
      <c r="FN82">
        <f ca="1"/>
      </c>
      <c r="FO82">
        <f ca="1"/>
      </c>
      <c r="FP82">
        <f ca="1"/>
      </c>
      <c r="FQ82">
        <f ca="1"/>
      </c>
      <c r="FR82">
        <f ca="1"/>
      </c>
      <c r="FS82">
        <f ca="1"/>
      </c>
      <c r="FT82">
        <f ca="1"/>
      </c>
      <c r="FU82">
        <f ca="1"/>
      </c>
      <c r="FV82">
        <f ca="1"/>
      </c>
      <c r="FW82">
        <f ca="1"/>
      </c>
      <c r="FX82">
        <f ca="1"/>
      </c>
      <c r="FY82">
        <f ca="1"/>
      </c>
      <c r="FZ82">
        <f ca="1"/>
      </c>
      <c r="GA82">
        <f ca="1"/>
      </c>
      <c r="GB82">
        <f ca="1"/>
      </c>
      <c r="GC82">
        <f ca="1"/>
      </c>
      <c r="GD82">
        <f ca="1"/>
      </c>
      <c r="GE82">
        <f ca="1"/>
      </c>
      <c r="GF82">
        <f ca="1"/>
      </c>
      <c r="GG82">
        <f ca="1"/>
      </c>
      <c r="GH82">
        <f ca="1"/>
      </c>
      <c r="GI82">
        <f ca="1"/>
      </c>
      <c r="GJ82">
        <f ca="1"/>
      </c>
      <c r="GK82">
        <f ca="1"/>
      </c>
      <c r="GL82">
        <f ca="1"/>
      </c>
      <c r="GM82">
        <f ca="1"/>
      </c>
      <c r="GN82">
        <f ca="1"/>
      </c>
      <c r="GO82">
        <f ca="1"/>
      </c>
      <c r="GP82">
        <f ca="1"/>
      </c>
      <c r="GQ82">
        <f ca="1"/>
      </c>
      <c r="GR82">
        <f ca="1"/>
      </c>
      <c r="GS82">
        <f ca="1"/>
      </c>
      <c r="GT82">
        <f ca="1"/>
      </c>
      <c r="GU82">
        <f ca="1"/>
      </c>
      <c r="GV82">
        <f ca="1"/>
      </c>
      <c r="GW82">
        <f ca="1"/>
      </c>
      <c r="HI82" s="7">
        <f ca="1"/>
      </c>
      <c r="HJ82">
        <f ca="1"/>
      </c>
      <c r="HK82">
        <f ca="1"/>
      </c>
      <c r="HL82">
        <f ca="1"/>
      </c>
      <c r="HM82">
        <f ca="1"/>
      </c>
    </row>
    <row r="83" spans="63:221" x14ac:dyDescent="0.55000000000000004">
      <c r="BK83">
        <f ca="1"/>
      </c>
      <c r="BL83">
        <f ca="1"/>
      </c>
      <c r="BM83">
        <f ca="1"/>
      </c>
      <c r="BN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  <c r="BV83">
        <f ca="1"/>
      </c>
      <c r="BW83">
        <f ca="1"/>
      </c>
      <c r="BX83">
        <f ca="1"/>
      </c>
      <c r="BY83">
        <f ca="1"/>
      </c>
      <c r="BZ83">
        <f ca="1"/>
      </c>
      <c r="CA83">
        <f ca="1"/>
      </c>
      <c r="CB83">
        <f ca="1"/>
      </c>
      <c r="CC83">
        <f ca="1"/>
      </c>
      <c r="CD83">
        <f ca="1"/>
      </c>
      <c r="CE83">
        <f ca="1"/>
      </c>
      <c r="CF83">
        <f ca="1"/>
      </c>
      <c r="CG83">
        <f ca="1"/>
      </c>
      <c r="CH83">
        <f ca="1"/>
      </c>
      <c r="CI83">
        <f ca="1"/>
      </c>
      <c r="CJ83">
        <f ca="1"/>
      </c>
      <c r="CK83">
        <f ca="1"/>
      </c>
      <c r="CL83">
        <f ca="1"/>
      </c>
      <c r="CM83">
        <f ca="1"/>
      </c>
      <c r="CN83">
        <f ca="1"/>
      </c>
      <c r="CO83">
        <f ca="1"/>
      </c>
      <c r="CP83">
        <f ca="1"/>
      </c>
      <c r="CQ83">
        <f ca="1"/>
      </c>
      <c r="CR83">
        <f ca="1"/>
      </c>
      <c r="CS83">
        <f ca="1"/>
      </c>
      <c r="CT83">
        <f ca="1"/>
      </c>
      <c r="CU83">
        <f ca="1"/>
      </c>
      <c r="CV83">
        <f ca="1"/>
      </c>
      <c r="CW83">
        <f ca="1"/>
      </c>
      <c r="CX83">
        <f ca="1"/>
      </c>
      <c r="CY83">
        <f ca="1"/>
      </c>
      <c r="CZ83">
        <f ca="1"/>
      </c>
      <c r="DA83">
        <f ca="1"/>
      </c>
      <c r="DB83">
        <f ca="1"/>
      </c>
      <c r="DC83">
        <f ca="1"/>
      </c>
      <c r="DD83">
        <f ca="1"/>
      </c>
      <c r="DE83">
        <f ca="1"/>
      </c>
      <c r="DG83">
        <f ca="1"/>
      </c>
      <c r="DH83">
        <f ca="1"/>
      </c>
      <c r="DI83">
        <f ca="1"/>
      </c>
      <c r="DJ83">
        <f ca="1"/>
      </c>
      <c r="DK83">
        <f ca="1"/>
      </c>
      <c r="DL83">
        <f ca="1"/>
      </c>
      <c r="DM83">
        <f ca="1"/>
      </c>
      <c r="DN83">
        <f ca="1"/>
      </c>
      <c r="DO83">
        <f ca="1"/>
      </c>
      <c r="DP83">
        <f ca="1"/>
      </c>
      <c r="DQ83">
        <f ca="1"/>
      </c>
      <c r="DR83">
        <f ca="1"/>
      </c>
      <c r="DS83">
        <f ca="1"/>
      </c>
      <c r="DT83">
        <f ca="1"/>
      </c>
      <c r="DU83">
        <f ca="1"/>
      </c>
      <c r="DV83">
        <f ca="1"/>
      </c>
      <c r="DW83">
        <f ca="1"/>
      </c>
      <c r="DX83">
        <f ca="1"/>
      </c>
      <c r="DY83">
        <f ca="1"/>
      </c>
      <c r="DZ83">
        <f ca="1"/>
      </c>
      <c r="EA83">
        <f ca="1"/>
      </c>
      <c r="EB83">
        <f ca="1"/>
      </c>
      <c r="EC83">
        <f ca="1"/>
      </c>
      <c r="ED83">
        <f ca="1"/>
      </c>
      <c r="EE83">
        <f ca="1"/>
      </c>
      <c r="EF83">
        <f ca="1"/>
      </c>
      <c r="EG83">
        <f ca="1"/>
      </c>
      <c r="EH83">
        <f ca="1"/>
      </c>
      <c r="EI83">
        <f ca="1"/>
      </c>
      <c r="EJ83">
        <f ca="1"/>
      </c>
      <c r="EK83">
        <f ca="1"/>
      </c>
      <c r="EL83">
        <f ca="1"/>
      </c>
      <c r="EM83">
        <f ca="1"/>
      </c>
      <c r="EN83">
        <f ca="1"/>
      </c>
      <c r="EO83">
        <f ca="1"/>
      </c>
      <c r="EP83">
        <f ca="1"/>
      </c>
      <c r="EQ83">
        <f ca="1"/>
      </c>
      <c r="ER83">
        <f ca="1"/>
      </c>
      <c r="ES83">
        <f ca="1"/>
      </c>
      <c r="ET83">
        <f ca="1"/>
      </c>
      <c r="EU83">
        <f ca="1"/>
      </c>
      <c r="EV83">
        <f ca="1"/>
      </c>
      <c r="EW83">
        <f ca="1"/>
      </c>
      <c r="EX83">
        <f ca="1"/>
      </c>
      <c r="EY83">
        <f ca="1"/>
      </c>
      <c r="EZ83">
        <f ca="1"/>
      </c>
      <c r="FA83">
        <f ca="1"/>
      </c>
      <c r="FC83">
        <f ca="1"/>
      </c>
      <c r="FD83">
        <f ca="1"/>
      </c>
      <c r="FE83">
        <f ca="1"/>
      </c>
      <c r="FF83">
        <f ca="1"/>
      </c>
      <c r="FG83">
        <f ca="1"/>
      </c>
      <c r="FH83">
        <f ca="1"/>
      </c>
      <c r="FI83">
        <f ca="1"/>
      </c>
      <c r="FJ83">
        <f ca="1"/>
      </c>
      <c r="FK83">
        <f ca="1"/>
      </c>
      <c r="FL83">
        <f ca="1"/>
      </c>
      <c r="FM83">
        <f ca="1"/>
      </c>
      <c r="FN83">
        <f ca="1"/>
      </c>
      <c r="FO83">
        <f ca="1"/>
      </c>
      <c r="FP83">
        <f ca="1"/>
      </c>
      <c r="FQ83">
        <f ca="1"/>
      </c>
      <c r="FR83">
        <f ca="1"/>
      </c>
      <c r="FS83">
        <f ca="1"/>
      </c>
      <c r="FT83">
        <f ca="1"/>
      </c>
      <c r="FU83">
        <f ca="1"/>
      </c>
      <c r="FV83">
        <f ca="1"/>
      </c>
      <c r="FW83">
        <f ca="1"/>
      </c>
      <c r="FX83">
        <f ca="1"/>
      </c>
      <c r="FY83">
        <f ca="1"/>
      </c>
      <c r="FZ83">
        <f ca="1"/>
      </c>
      <c r="GA83">
        <f ca="1"/>
      </c>
      <c r="GB83">
        <f ca="1"/>
      </c>
      <c r="GC83">
        <f ca="1"/>
      </c>
      <c r="GD83">
        <f ca="1"/>
      </c>
      <c r="GE83">
        <f ca="1"/>
      </c>
      <c r="GF83">
        <f ca="1"/>
      </c>
      <c r="GG83">
        <f ca="1"/>
      </c>
      <c r="GH83">
        <f ca="1"/>
      </c>
      <c r="GI83">
        <f ca="1"/>
      </c>
      <c r="GJ83">
        <f ca="1"/>
      </c>
      <c r="GK83">
        <f ca="1"/>
      </c>
      <c r="GL83">
        <f ca="1"/>
      </c>
      <c r="GM83">
        <f ca="1"/>
      </c>
      <c r="GN83">
        <f ca="1"/>
      </c>
      <c r="GO83">
        <f ca="1"/>
      </c>
      <c r="GP83">
        <f ca="1"/>
      </c>
      <c r="GQ83">
        <f ca="1"/>
      </c>
      <c r="GR83">
        <f ca="1"/>
      </c>
      <c r="GS83">
        <f ca="1"/>
      </c>
      <c r="GT83">
        <f ca="1"/>
      </c>
      <c r="GU83">
        <f ca="1"/>
      </c>
      <c r="GV83">
        <f ca="1"/>
      </c>
      <c r="GW83">
        <f ca="1"/>
      </c>
      <c r="HI83" s="7">
        <f ca="1"/>
      </c>
      <c r="HJ83">
        <f ca="1"/>
      </c>
      <c r="HK83">
        <f ca="1"/>
      </c>
      <c r="HL83">
        <f ca="1"/>
      </c>
      <c r="HM83">
        <f ca="1"/>
      </c>
    </row>
    <row r="84" spans="63:221" x14ac:dyDescent="0.55000000000000004">
      <c r="BK84">
        <f ca="1"/>
      </c>
      <c r="BL84">
        <f ca="1"/>
      </c>
      <c r="BM84">
        <f ca="1"/>
      </c>
      <c r="BN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  <c r="BV84">
        <f ca="1"/>
      </c>
      <c r="BW84">
        <f ca="1"/>
      </c>
      <c r="BX84">
        <f ca="1"/>
      </c>
      <c r="BY84">
        <f ca="1"/>
      </c>
      <c r="BZ84">
        <f ca="1"/>
      </c>
      <c r="CA84">
        <f ca="1"/>
      </c>
      <c r="CB84">
        <f ca="1"/>
      </c>
      <c r="CC84">
        <f ca="1"/>
      </c>
      <c r="CD84">
        <f ca="1"/>
      </c>
      <c r="CE84">
        <f ca="1"/>
      </c>
      <c r="CF84">
        <f ca="1"/>
      </c>
      <c r="CG84">
        <f ca="1"/>
      </c>
      <c r="CH84">
        <f ca="1"/>
      </c>
      <c r="CI84">
        <f ca="1"/>
      </c>
      <c r="CJ84">
        <f ca="1"/>
      </c>
      <c r="CK84">
        <f ca="1"/>
      </c>
      <c r="CL84">
        <f ca="1"/>
      </c>
      <c r="CM84">
        <f ca="1"/>
      </c>
      <c r="CN84">
        <f ca="1"/>
      </c>
      <c r="CO84">
        <f ca="1"/>
      </c>
      <c r="CP84">
        <f ca="1"/>
      </c>
      <c r="CQ84">
        <f ca="1"/>
      </c>
      <c r="CR84">
        <f ca="1"/>
      </c>
      <c r="CS84">
        <f ca="1"/>
      </c>
      <c r="CT84">
        <f ca="1"/>
      </c>
      <c r="CU84">
        <f ca="1"/>
      </c>
      <c r="CV84">
        <f ca="1"/>
      </c>
      <c r="CW84">
        <f ca="1"/>
      </c>
      <c r="CX84">
        <f ca="1"/>
      </c>
      <c r="CY84">
        <f ca="1"/>
      </c>
      <c r="CZ84">
        <f ca="1"/>
      </c>
      <c r="DA84">
        <f ca="1"/>
      </c>
      <c r="DB84">
        <f ca="1"/>
      </c>
      <c r="DC84">
        <f ca="1"/>
      </c>
      <c r="DD84">
        <f ca="1"/>
      </c>
      <c r="DE84">
        <f ca="1"/>
      </c>
      <c r="DG84">
        <f ca="1"/>
      </c>
      <c r="DH84">
        <f ca="1"/>
      </c>
      <c r="DI84">
        <f ca="1"/>
      </c>
      <c r="DJ84">
        <f ca="1"/>
      </c>
      <c r="DK84">
        <f ca="1"/>
      </c>
      <c r="DL84">
        <f ca="1"/>
      </c>
      <c r="DM84">
        <f ca="1"/>
      </c>
      <c r="DN84">
        <f ca="1"/>
      </c>
      <c r="DO84">
        <f ca="1"/>
      </c>
      <c r="DP84">
        <f ca="1"/>
      </c>
      <c r="DQ84">
        <f ca="1"/>
      </c>
      <c r="DR84">
        <f ca="1"/>
      </c>
      <c r="DS84">
        <f ca="1"/>
      </c>
      <c r="DT84">
        <f ca="1"/>
      </c>
      <c r="DU84">
        <f ca="1"/>
      </c>
      <c r="DV84">
        <f ca="1"/>
      </c>
      <c r="DW84">
        <f ca="1"/>
      </c>
      <c r="DX84">
        <f ca="1"/>
      </c>
      <c r="DY84">
        <f ca="1"/>
      </c>
      <c r="DZ84">
        <f ca="1"/>
      </c>
      <c r="EA84">
        <f ca="1"/>
      </c>
      <c r="EB84">
        <f ca="1"/>
      </c>
      <c r="EC84">
        <f ca="1"/>
      </c>
      <c r="ED84">
        <f ca="1"/>
      </c>
      <c r="EE84">
        <f ca="1"/>
      </c>
      <c r="EF84">
        <f ca="1"/>
      </c>
      <c r="EG84">
        <f ca="1"/>
      </c>
      <c r="EH84">
        <f ca="1"/>
      </c>
      <c r="EI84">
        <f ca="1"/>
      </c>
      <c r="EJ84">
        <f ca="1"/>
      </c>
      <c r="EK84">
        <f ca="1"/>
      </c>
      <c r="EL84">
        <f ca="1"/>
      </c>
      <c r="EM84">
        <f ca="1"/>
      </c>
      <c r="EN84">
        <f ca="1"/>
      </c>
      <c r="EO84">
        <f ca="1"/>
      </c>
      <c r="EP84">
        <f ca="1"/>
      </c>
      <c r="EQ84">
        <f ca="1"/>
      </c>
      <c r="ER84">
        <f ca="1"/>
      </c>
      <c r="ES84">
        <f ca="1"/>
      </c>
      <c r="ET84">
        <f ca="1"/>
      </c>
      <c r="EU84">
        <f ca="1"/>
      </c>
      <c r="EV84">
        <f ca="1"/>
      </c>
      <c r="EW84">
        <f ca="1"/>
      </c>
      <c r="EX84">
        <f ca="1"/>
      </c>
      <c r="EY84">
        <f ca="1"/>
      </c>
      <c r="EZ84">
        <f ca="1"/>
      </c>
      <c r="FA84">
        <f ca="1"/>
      </c>
      <c r="FC84">
        <f ca="1"/>
      </c>
      <c r="FD84">
        <f ca="1"/>
      </c>
      <c r="FE84">
        <f ca="1"/>
      </c>
      <c r="FF84">
        <f ca="1"/>
      </c>
      <c r="FG84">
        <f ca="1"/>
      </c>
      <c r="FH84">
        <f ca="1"/>
      </c>
      <c r="FI84">
        <f ca="1"/>
      </c>
      <c r="FJ84">
        <f ca="1"/>
      </c>
      <c r="FK84">
        <f ca="1"/>
      </c>
      <c r="FL84">
        <f ca="1"/>
      </c>
      <c r="FM84">
        <f ca="1"/>
      </c>
      <c r="FN84">
        <f ca="1"/>
      </c>
      <c r="FO84">
        <f ca="1"/>
      </c>
      <c r="FP84">
        <f ca="1"/>
      </c>
      <c r="FQ84">
        <f ca="1"/>
      </c>
      <c r="FR84">
        <f ca="1"/>
      </c>
      <c r="FS84">
        <f ca="1"/>
      </c>
      <c r="FT84">
        <f ca="1"/>
      </c>
      <c r="FU84">
        <f ca="1"/>
      </c>
      <c r="FV84">
        <f ca="1"/>
      </c>
      <c r="FW84">
        <f ca="1"/>
      </c>
      <c r="FX84">
        <f ca="1"/>
      </c>
      <c r="FY84">
        <f ca="1"/>
      </c>
      <c r="FZ84">
        <f ca="1"/>
      </c>
      <c r="GA84">
        <f ca="1"/>
      </c>
      <c r="GB84">
        <f ca="1"/>
      </c>
      <c r="GC84">
        <f ca="1"/>
      </c>
      <c r="GD84">
        <f ca="1"/>
      </c>
      <c r="GE84">
        <f ca="1"/>
      </c>
      <c r="GF84">
        <f ca="1"/>
      </c>
      <c r="GG84">
        <f ca="1"/>
      </c>
      <c r="GH84">
        <f ca="1"/>
      </c>
      <c r="GI84">
        <f ca="1"/>
      </c>
      <c r="GJ84">
        <f ca="1"/>
      </c>
      <c r="GK84">
        <f ca="1"/>
      </c>
      <c r="GL84">
        <f ca="1"/>
      </c>
      <c r="GM84">
        <f ca="1"/>
      </c>
      <c r="GN84">
        <f ca="1"/>
      </c>
      <c r="GO84">
        <f ca="1"/>
      </c>
      <c r="GP84">
        <f ca="1"/>
      </c>
      <c r="GQ84">
        <f ca="1"/>
      </c>
      <c r="GR84">
        <f ca="1"/>
      </c>
      <c r="GS84">
        <f ca="1"/>
      </c>
      <c r="GT84">
        <f ca="1"/>
      </c>
      <c r="GU84">
        <f ca="1"/>
      </c>
      <c r="GV84">
        <f ca="1"/>
      </c>
      <c r="GW84">
        <f ca="1"/>
      </c>
      <c r="HI84" s="7">
        <f ca="1"/>
      </c>
      <c r="HJ84">
        <f ca="1"/>
      </c>
      <c r="HK84">
        <f ca="1"/>
      </c>
      <c r="HL84">
        <f ca="1"/>
      </c>
      <c r="HM84">
        <f ca="1"/>
      </c>
    </row>
    <row r="85" spans="63:221" x14ac:dyDescent="0.55000000000000004">
      <c r="BK85">
        <f ca="1"/>
      </c>
      <c r="BL85">
        <f ca="1"/>
      </c>
      <c r="BM85">
        <f ca="1"/>
      </c>
      <c r="BN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  <c r="BV85">
        <f ca="1"/>
      </c>
      <c r="BW85">
        <f ca="1"/>
      </c>
      <c r="BX85">
        <f ca="1"/>
      </c>
      <c r="BY85">
        <f ca="1"/>
      </c>
      <c r="BZ85">
        <f ca="1"/>
      </c>
      <c r="CA85">
        <f ca="1"/>
      </c>
      <c r="CB85">
        <f ca="1"/>
      </c>
      <c r="CC85">
        <f ca="1"/>
      </c>
      <c r="CD85">
        <f ca="1"/>
      </c>
      <c r="CE85">
        <f ca="1"/>
      </c>
      <c r="CF85">
        <f ca="1"/>
      </c>
      <c r="CG85">
        <f ca="1"/>
      </c>
      <c r="CH85">
        <f ca="1"/>
      </c>
      <c r="CI85">
        <f ca="1"/>
      </c>
      <c r="CJ85">
        <f ca="1"/>
      </c>
      <c r="CK85">
        <f ca="1"/>
      </c>
      <c r="CL85">
        <f ca="1"/>
      </c>
      <c r="CM85">
        <f ca="1"/>
      </c>
      <c r="CN85">
        <f ca="1"/>
      </c>
      <c r="CO85">
        <f ca="1"/>
      </c>
      <c r="CP85">
        <f ca="1"/>
      </c>
      <c r="CQ85">
        <f ca="1"/>
      </c>
      <c r="CR85">
        <f ca="1"/>
      </c>
      <c r="CS85">
        <f ca="1"/>
      </c>
      <c r="CT85">
        <f ca="1"/>
      </c>
      <c r="CU85">
        <f ca="1"/>
      </c>
      <c r="CV85">
        <f ca="1"/>
      </c>
      <c r="CW85">
        <f ca="1"/>
      </c>
      <c r="CX85">
        <f ca="1"/>
      </c>
      <c r="CY85">
        <f ca="1"/>
      </c>
      <c r="CZ85">
        <f ca="1"/>
      </c>
      <c r="DA85">
        <f ca="1"/>
      </c>
      <c r="DB85">
        <f ca="1"/>
      </c>
      <c r="DC85">
        <f ca="1"/>
      </c>
      <c r="DD85">
        <f ca="1"/>
      </c>
      <c r="DE85">
        <f ca="1"/>
      </c>
      <c r="DG85">
        <f ca="1"/>
      </c>
      <c r="DH85">
        <f ca="1"/>
      </c>
      <c r="DI85">
        <f ca="1"/>
      </c>
      <c r="DJ85">
        <f ca="1"/>
      </c>
      <c r="DK85">
        <f ca="1"/>
      </c>
      <c r="DL85">
        <f ca="1"/>
      </c>
      <c r="DM85">
        <f ca="1"/>
      </c>
      <c r="DN85">
        <f ca="1"/>
      </c>
      <c r="DO85">
        <f ca="1"/>
      </c>
      <c r="DP85">
        <f ca="1"/>
      </c>
      <c r="DQ85">
        <f ca="1"/>
      </c>
      <c r="DR85">
        <f ca="1"/>
      </c>
      <c r="DS85">
        <f ca="1"/>
      </c>
      <c r="DT85">
        <f ca="1"/>
      </c>
      <c r="DU85">
        <f ca="1"/>
      </c>
      <c r="DV85">
        <f ca="1"/>
      </c>
      <c r="DW85">
        <f ca="1"/>
      </c>
      <c r="DX85">
        <f ca="1"/>
      </c>
      <c r="DY85">
        <f ca="1"/>
      </c>
      <c r="DZ85">
        <f ca="1"/>
      </c>
      <c r="EA85">
        <f ca="1"/>
      </c>
      <c r="EB85">
        <f ca="1"/>
      </c>
      <c r="EC85">
        <f ca="1"/>
      </c>
      <c r="ED85">
        <f ca="1"/>
      </c>
      <c r="EE85">
        <f ca="1"/>
      </c>
      <c r="EF85">
        <f ca="1"/>
      </c>
      <c r="EG85">
        <f ca="1"/>
      </c>
      <c r="EH85">
        <f ca="1"/>
      </c>
      <c r="EI85">
        <f ca="1"/>
      </c>
      <c r="EJ85">
        <f ca="1"/>
      </c>
      <c r="EK85">
        <f ca="1"/>
      </c>
      <c r="EL85">
        <f ca="1"/>
      </c>
      <c r="EM85">
        <f ca="1"/>
      </c>
      <c r="EN85">
        <f ca="1"/>
      </c>
      <c r="EO85">
        <f ca="1"/>
      </c>
      <c r="EP85">
        <f ca="1"/>
      </c>
      <c r="EQ85">
        <f ca="1"/>
      </c>
      <c r="ER85">
        <f ca="1"/>
      </c>
      <c r="ES85">
        <f ca="1"/>
      </c>
      <c r="ET85">
        <f ca="1"/>
      </c>
      <c r="EU85">
        <f ca="1"/>
      </c>
      <c r="EV85">
        <f ca="1"/>
      </c>
      <c r="EW85">
        <f ca="1"/>
      </c>
      <c r="EX85">
        <f ca="1"/>
      </c>
      <c r="EY85">
        <f ca="1"/>
      </c>
      <c r="EZ85">
        <f ca="1"/>
      </c>
      <c r="FA85">
        <f ca="1"/>
      </c>
      <c r="FC85">
        <f ca="1"/>
      </c>
      <c r="FD85">
        <f ca="1"/>
      </c>
      <c r="FE85">
        <f ca="1"/>
      </c>
      <c r="FF85">
        <f ca="1"/>
      </c>
      <c r="FG85">
        <f ca="1"/>
      </c>
      <c r="FH85">
        <f ca="1"/>
      </c>
      <c r="FI85">
        <f ca="1"/>
      </c>
      <c r="FJ85">
        <f ca="1"/>
      </c>
      <c r="FK85">
        <f ca="1"/>
      </c>
      <c r="FL85">
        <f ca="1"/>
      </c>
      <c r="FM85">
        <f ca="1"/>
      </c>
      <c r="FN85">
        <f ca="1"/>
      </c>
      <c r="FO85">
        <f ca="1"/>
      </c>
      <c r="FP85">
        <f ca="1"/>
      </c>
      <c r="FQ85">
        <f ca="1"/>
      </c>
      <c r="FR85">
        <f ca="1"/>
      </c>
      <c r="FS85">
        <f ca="1"/>
      </c>
      <c r="FT85">
        <f ca="1"/>
      </c>
      <c r="FU85">
        <f ca="1"/>
      </c>
      <c r="FV85">
        <f ca="1"/>
      </c>
      <c r="FW85">
        <f ca="1"/>
      </c>
      <c r="FX85">
        <f ca="1"/>
      </c>
      <c r="FY85">
        <f ca="1"/>
      </c>
      <c r="FZ85">
        <f ca="1"/>
      </c>
      <c r="GA85">
        <f ca="1"/>
      </c>
      <c r="GB85">
        <f ca="1"/>
      </c>
      <c r="GC85">
        <f ca="1"/>
      </c>
      <c r="GD85">
        <f ca="1"/>
      </c>
      <c r="GE85">
        <f ca="1"/>
      </c>
      <c r="GF85">
        <f ca="1"/>
      </c>
      <c r="GG85">
        <f ca="1"/>
      </c>
      <c r="GH85">
        <f ca="1"/>
      </c>
      <c r="GI85">
        <f ca="1"/>
      </c>
      <c r="GJ85">
        <f ca="1"/>
      </c>
      <c r="GK85">
        <f ca="1"/>
      </c>
      <c r="GL85">
        <f ca="1"/>
      </c>
      <c r="GM85">
        <f ca="1"/>
      </c>
      <c r="GN85">
        <f ca="1"/>
      </c>
      <c r="GO85">
        <f ca="1"/>
      </c>
      <c r="GP85">
        <f ca="1"/>
      </c>
      <c r="GQ85">
        <f ca="1"/>
      </c>
      <c r="GR85">
        <f ca="1"/>
      </c>
      <c r="GS85">
        <f ca="1"/>
      </c>
      <c r="GT85">
        <f ca="1"/>
      </c>
      <c r="GU85">
        <f ca="1"/>
      </c>
      <c r="GV85">
        <f ca="1"/>
      </c>
      <c r="GW85">
        <f ca="1"/>
      </c>
      <c r="HI85" s="7">
        <f ca="1"/>
      </c>
      <c r="HJ85">
        <f ca="1"/>
      </c>
      <c r="HK85">
        <f ca="1"/>
      </c>
      <c r="HL85">
        <f ca="1"/>
      </c>
      <c r="HM85">
        <f ca="1"/>
      </c>
    </row>
    <row r="86" spans="63:221" x14ac:dyDescent="0.55000000000000004">
      <c r="BK86">
        <f ca="1"/>
      </c>
      <c r="BL86">
        <f ca="1"/>
      </c>
      <c r="BM86">
        <f ca="1"/>
      </c>
      <c r="BN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  <c r="BV86">
        <f ca="1"/>
      </c>
      <c r="BW86">
        <f ca="1"/>
      </c>
      <c r="BX86">
        <f ca="1"/>
      </c>
      <c r="BY86">
        <f ca="1"/>
      </c>
      <c r="BZ86">
        <f ca="1"/>
      </c>
      <c r="CA86">
        <f ca="1"/>
      </c>
      <c r="CB86">
        <f ca="1"/>
      </c>
      <c r="CC86">
        <f ca="1"/>
      </c>
      <c r="CD86">
        <f ca="1"/>
      </c>
      <c r="CE86">
        <f ca="1"/>
      </c>
      <c r="CF86">
        <f ca="1"/>
      </c>
      <c r="CG86">
        <f ca="1"/>
      </c>
      <c r="CH86">
        <f ca="1"/>
      </c>
      <c r="CI86">
        <f ca="1"/>
      </c>
      <c r="CJ86">
        <f ca="1"/>
      </c>
      <c r="CK86">
        <f ca="1"/>
      </c>
      <c r="CL86">
        <f ca="1"/>
      </c>
      <c r="CM86">
        <f ca="1"/>
      </c>
      <c r="CN86">
        <f ca="1"/>
      </c>
      <c r="CO86">
        <f ca="1"/>
      </c>
      <c r="CP86">
        <f ca="1"/>
      </c>
      <c r="CQ86">
        <f ca="1"/>
      </c>
      <c r="CR86">
        <f ca="1"/>
      </c>
      <c r="CS86">
        <f ca="1"/>
      </c>
      <c r="CT86">
        <f ca="1"/>
      </c>
      <c r="CU86">
        <f ca="1"/>
      </c>
      <c r="CV86">
        <f ca="1"/>
      </c>
      <c r="CW86">
        <f ca="1"/>
      </c>
      <c r="CX86">
        <f ca="1"/>
      </c>
      <c r="CY86">
        <f ca="1"/>
      </c>
      <c r="CZ86">
        <f ca="1"/>
      </c>
      <c r="DA86">
        <f ca="1"/>
      </c>
      <c r="DB86">
        <f ca="1"/>
      </c>
      <c r="DC86">
        <f ca="1"/>
      </c>
      <c r="DD86">
        <f ca="1"/>
      </c>
      <c r="DE86">
        <f ca="1"/>
      </c>
      <c r="DG86">
        <f ca="1"/>
      </c>
      <c r="DH86">
        <f ca="1"/>
      </c>
      <c r="DI86">
        <f ca="1"/>
      </c>
      <c r="DJ86">
        <f ca="1"/>
      </c>
      <c r="DK86">
        <f ca="1"/>
      </c>
      <c r="DL86">
        <f ca="1"/>
      </c>
      <c r="DM86">
        <f ca="1"/>
      </c>
      <c r="DN86">
        <f ca="1"/>
      </c>
      <c r="DO86">
        <f ca="1"/>
      </c>
      <c r="DP86">
        <f ca="1"/>
      </c>
      <c r="DQ86">
        <f ca="1"/>
      </c>
      <c r="DR86">
        <f ca="1"/>
      </c>
      <c r="DS86">
        <f ca="1"/>
      </c>
      <c r="DT86">
        <f ca="1"/>
      </c>
      <c r="DU86">
        <f ca="1"/>
      </c>
      <c r="DV86">
        <f ca="1"/>
      </c>
      <c r="DW86">
        <f ca="1"/>
      </c>
      <c r="DX86">
        <f ca="1"/>
      </c>
      <c r="DY86">
        <f ca="1"/>
      </c>
      <c r="DZ86">
        <f ca="1"/>
      </c>
      <c r="EA86">
        <f ca="1"/>
      </c>
      <c r="EB86">
        <f ca="1"/>
      </c>
      <c r="EC86">
        <f ca="1"/>
      </c>
      <c r="ED86">
        <f ca="1"/>
      </c>
      <c r="EE86">
        <f ca="1"/>
      </c>
      <c r="EF86">
        <f ca="1"/>
      </c>
      <c r="EG86">
        <f ca="1"/>
      </c>
      <c r="EH86">
        <f ca="1"/>
      </c>
      <c r="EI86">
        <f ca="1"/>
      </c>
      <c r="EJ86">
        <f ca="1"/>
      </c>
      <c r="EK86">
        <f ca="1"/>
      </c>
      <c r="EL86">
        <f ca="1"/>
      </c>
      <c r="EM86">
        <f ca="1"/>
      </c>
      <c r="EN86">
        <f ca="1"/>
      </c>
      <c r="EO86">
        <f ca="1"/>
      </c>
      <c r="EP86">
        <f ca="1"/>
      </c>
      <c r="EQ86">
        <f ca="1"/>
      </c>
      <c r="ER86">
        <f ca="1"/>
      </c>
      <c r="ES86">
        <f ca="1"/>
      </c>
      <c r="ET86">
        <f ca="1"/>
      </c>
      <c r="EU86">
        <f ca="1"/>
      </c>
      <c r="EV86">
        <f ca="1"/>
      </c>
      <c r="EW86">
        <f ca="1"/>
      </c>
      <c r="EX86">
        <f ca="1"/>
      </c>
      <c r="EY86">
        <f ca="1"/>
      </c>
      <c r="EZ86">
        <f ca="1"/>
      </c>
      <c r="FA86">
        <f ca="1"/>
      </c>
      <c r="FC86">
        <f ca="1"/>
      </c>
      <c r="FD86">
        <f ca="1"/>
      </c>
      <c r="FE86">
        <f ca="1"/>
      </c>
      <c r="FF86">
        <f ca="1"/>
      </c>
      <c r="FG86">
        <f ca="1"/>
      </c>
      <c r="FH86">
        <f ca="1"/>
      </c>
      <c r="FI86">
        <f ca="1"/>
      </c>
      <c r="FJ86">
        <f ca="1"/>
      </c>
      <c r="FK86">
        <f ca="1"/>
      </c>
      <c r="FL86">
        <f ca="1"/>
      </c>
      <c r="FM86">
        <f ca="1"/>
      </c>
      <c r="FN86">
        <f ca="1"/>
      </c>
      <c r="FO86">
        <f ca="1"/>
      </c>
      <c r="FP86">
        <f ca="1"/>
      </c>
      <c r="FQ86">
        <f ca="1"/>
      </c>
      <c r="FR86">
        <f ca="1"/>
      </c>
      <c r="FS86">
        <f ca="1"/>
      </c>
      <c r="FT86">
        <f ca="1"/>
      </c>
      <c r="FU86">
        <f ca="1"/>
      </c>
      <c r="FV86">
        <f ca="1"/>
      </c>
      <c r="FW86">
        <f ca="1"/>
      </c>
      <c r="FX86">
        <f ca="1"/>
      </c>
      <c r="FY86">
        <f ca="1"/>
      </c>
      <c r="FZ86">
        <f ca="1"/>
      </c>
      <c r="GA86">
        <f ca="1"/>
      </c>
      <c r="GB86">
        <f ca="1"/>
      </c>
      <c r="GC86">
        <f ca="1"/>
      </c>
      <c r="GD86">
        <f ca="1"/>
      </c>
      <c r="GE86">
        <f ca="1"/>
      </c>
      <c r="GF86">
        <f ca="1"/>
      </c>
      <c r="GG86">
        <f ca="1"/>
      </c>
      <c r="GH86">
        <f ca="1"/>
      </c>
      <c r="GI86">
        <f ca="1"/>
      </c>
      <c r="GJ86">
        <f ca="1"/>
      </c>
      <c r="GK86">
        <f ca="1"/>
      </c>
      <c r="GL86">
        <f ca="1"/>
      </c>
      <c r="GM86">
        <f ca="1"/>
      </c>
      <c r="GN86">
        <f ca="1"/>
      </c>
      <c r="GO86">
        <f ca="1"/>
      </c>
      <c r="GP86">
        <f ca="1"/>
      </c>
      <c r="GQ86">
        <f ca="1"/>
      </c>
      <c r="GR86">
        <f ca="1"/>
      </c>
      <c r="GS86">
        <f ca="1"/>
      </c>
      <c r="GT86">
        <f ca="1"/>
      </c>
      <c r="GU86">
        <f ca="1"/>
      </c>
      <c r="GV86">
        <f ca="1"/>
      </c>
      <c r="GW86">
        <f ca="1"/>
      </c>
      <c r="HI86" s="7">
        <f ca="1"/>
      </c>
      <c r="HJ86">
        <f ca="1"/>
      </c>
      <c r="HK86">
        <f ca="1"/>
      </c>
      <c r="HL86">
        <f ca="1"/>
      </c>
      <c r="HM86">
        <f ca="1"/>
      </c>
    </row>
    <row r="87" spans="63:221" x14ac:dyDescent="0.55000000000000004">
      <c r="BK87">
        <f ca="1"/>
      </c>
      <c r="BL87">
        <f ca="1"/>
      </c>
      <c r="BM87">
        <f ca="1"/>
      </c>
      <c r="BN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  <c r="BV87">
        <f ca="1"/>
      </c>
      <c r="BW87">
        <f ca="1"/>
      </c>
      <c r="BX87">
        <f ca="1"/>
      </c>
      <c r="BY87">
        <f ca="1"/>
      </c>
      <c r="BZ87">
        <f ca="1"/>
      </c>
      <c r="CA87">
        <f ca="1"/>
      </c>
      <c r="CB87">
        <f ca="1"/>
      </c>
      <c r="CC87">
        <f ca="1"/>
      </c>
      <c r="CD87">
        <f ca="1"/>
      </c>
      <c r="CE87">
        <f ca="1"/>
      </c>
      <c r="CF87">
        <f ca="1"/>
      </c>
      <c r="CG87">
        <f ca="1"/>
      </c>
      <c r="CH87">
        <f ca="1"/>
      </c>
      <c r="CI87">
        <f ca="1"/>
      </c>
      <c r="CJ87">
        <f ca="1"/>
      </c>
      <c r="CK87">
        <f ca="1"/>
      </c>
      <c r="CL87">
        <f ca="1"/>
      </c>
      <c r="CM87">
        <f ca="1"/>
      </c>
      <c r="CN87">
        <f ca="1"/>
      </c>
      <c r="CO87">
        <f ca="1"/>
      </c>
      <c r="CP87">
        <f ca="1"/>
      </c>
      <c r="CQ87">
        <f ca="1"/>
      </c>
      <c r="CR87">
        <f ca="1"/>
      </c>
      <c r="CS87">
        <f ca="1"/>
      </c>
      <c r="CT87">
        <f ca="1"/>
      </c>
      <c r="CU87">
        <f ca="1"/>
      </c>
      <c r="CV87">
        <f ca="1"/>
      </c>
      <c r="CW87">
        <f ca="1"/>
      </c>
      <c r="CX87">
        <f ca="1"/>
      </c>
      <c r="CY87">
        <f ca="1"/>
      </c>
      <c r="CZ87">
        <f ca="1"/>
      </c>
      <c r="DA87">
        <f ca="1"/>
      </c>
      <c r="DB87">
        <f ca="1"/>
      </c>
      <c r="DC87">
        <f ca="1"/>
      </c>
      <c r="DD87">
        <f ca="1"/>
      </c>
      <c r="DE87">
        <f ca="1"/>
      </c>
      <c r="DG87">
        <f ca="1"/>
      </c>
      <c r="DH87">
        <f ca="1"/>
      </c>
      <c r="DI87">
        <f ca="1"/>
      </c>
      <c r="DJ87">
        <f ca="1"/>
      </c>
      <c r="DK87">
        <f ca="1"/>
      </c>
      <c r="DL87">
        <f ca="1"/>
      </c>
      <c r="DM87">
        <f ca="1"/>
      </c>
      <c r="DN87">
        <f ca="1"/>
      </c>
      <c r="DO87">
        <f ca="1"/>
      </c>
      <c r="DP87">
        <f ca="1"/>
      </c>
      <c r="DQ87">
        <f ca="1"/>
      </c>
      <c r="DR87">
        <f ca="1"/>
      </c>
      <c r="DS87">
        <f ca="1"/>
      </c>
      <c r="DT87">
        <f ca="1"/>
      </c>
      <c r="DU87">
        <f ca="1"/>
      </c>
      <c r="DV87">
        <f ca="1"/>
      </c>
      <c r="DW87">
        <f ca="1"/>
      </c>
      <c r="DX87">
        <f ca="1"/>
      </c>
      <c r="DY87">
        <f ca="1"/>
      </c>
      <c r="DZ87">
        <f ca="1"/>
      </c>
      <c r="EA87">
        <f ca="1"/>
      </c>
      <c r="EB87">
        <f ca="1"/>
      </c>
      <c r="EC87">
        <f ca="1"/>
      </c>
      <c r="ED87">
        <f ca="1"/>
      </c>
      <c r="EE87">
        <f ca="1"/>
      </c>
      <c r="EF87">
        <f ca="1"/>
      </c>
      <c r="EG87">
        <f ca="1"/>
      </c>
      <c r="EH87">
        <f ca="1"/>
      </c>
      <c r="EI87">
        <f ca="1"/>
      </c>
      <c r="EJ87">
        <f ca="1"/>
      </c>
      <c r="EK87">
        <f ca="1"/>
      </c>
      <c r="EL87">
        <f ca="1"/>
      </c>
      <c r="EM87">
        <f ca="1"/>
      </c>
      <c r="EN87">
        <f ca="1"/>
      </c>
      <c r="EO87">
        <f ca="1"/>
      </c>
      <c r="EP87">
        <f ca="1"/>
      </c>
      <c r="EQ87">
        <f ca="1"/>
      </c>
      <c r="ER87">
        <f ca="1"/>
      </c>
      <c r="ES87">
        <f ca="1"/>
      </c>
      <c r="ET87">
        <f ca="1"/>
      </c>
      <c r="EU87">
        <f ca="1"/>
      </c>
      <c r="EV87">
        <f ca="1"/>
      </c>
      <c r="EW87">
        <f ca="1"/>
      </c>
      <c r="EX87">
        <f ca="1"/>
      </c>
      <c r="EY87">
        <f ca="1"/>
      </c>
      <c r="EZ87">
        <f ca="1"/>
      </c>
      <c r="FA87">
        <f ca="1"/>
      </c>
      <c r="FC87">
        <f ca="1"/>
      </c>
      <c r="FD87">
        <f ca="1"/>
      </c>
      <c r="FE87">
        <f ca="1"/>
      </c>
      <c r="FF87">
        <f ca="1"/>
      </c>
      <c r="FG87">
        <f ca="1"/>
      </c>
      <c r="FH87">
        <f ca="1"/>
      </c>
      <c r="FI87">
        <f ca="1"/>
      </c>
      <c r="FJ87">
        <f ca="1"/>
      </c>
      <c r="FK87">
        <f ca="1"/>
      </c>
      <c r="FL87">
        <f ca="1"/>
      </c>
      <c r="FM87">
        <f ca="1"/>
      </c>
      <c r="FN87">
        <f ca="1"/>
      </c>
      <c r="FO87">
        <f ca="1"/>
      </c>
      <c r="FP87">
        <f ca="1"/>
      </c>
      <c r="FQ87">
        <f ca="1"/>
      </c>
      <c r="FR87">
        <f ca="1"/>
      </c>
      <c r="FS87">
        <f ca="1"/>
      </c>
      <c r="FT87">
        <f ca="1"/>
      </c>
      <c r="FU87">
        <f ca="1"/>
      </c>
      <c r="FV87">
        <f ca="1"/>
      </c>
      <c r="FW87">
        <f ca="1"/>
      </c>
      <c r="FX87">
        <f ca="1"/>
      </c>
      <c r="FY87">
        <f ca="1"/>
      </c>
      <c r="FZ87">
        <f ca="1"/>
      </c>
      <c r="GA87">
        <f ca="1"/>
      </c>
      <c r="GB87">
        <f ca="1"/>
      </c>
      <c r="GC87">
        <f ca="1"/>
      </c>
      <c r="GD87">
        <f ca="1"/>
      </c>
      <c r="GE87">
        <f ca="1"/>
      </c>
      <c r="GF87">
        <f ca="1"/>
      </c>
      <c r="GG87">
        <f ca="1"/>
      </c>
      <c r="GH87">
        <f ca="1"/>
      </c>
      <c r="GI87">
        <f ca="1"/>
      </c>
      <c r="GJ87">
        <f ca="1"/>
      </c>
      <c r="GK87">
        <f ca="1"/>
      </c>
      <c r="GL87">
        <f ca="1"/>
      </c>
      <c r="GM87">
        <f ca="1"/>
      </c>
      <c r="GN87">
        <f ca="1"/>
      </c>
      <c r="GO87">
        <f ca="1"/>
      </c>
      <c r="GP87">
        <f ca="1"/>
      </c>
      <c r="GQ87">
        <f ca="1"/>
      </c>
      <c r="GR87">
        <f ca="1"/>
      </c>
      <c r="GS87">
        <f ca="1"/>
      </c>
      <c r="GT87">
        <f ca="1"/>
      </c>
      <c r="GU87">
        <f ca="1"/>
      </c>
      <c r="GV87">
        <f ca="1"/>
      </c>
      <c r="GW87">
        <f ca="1"/>
      </c>
      <c r="HI87" s="7">
        <f ca="1"/>
      </c>
      <c r="HJ87">
        <f ca="1"/>
      </c>
      <c r="HK87">
        <f ca="1"/>
      </c>
      <c r="HL87">
        <f ca="1"/>
      </c>
      <c r="HM87">
        <f ca="1"/>
      </c>
    </row>
    <row r="88" spans="63:221" x14ac:dyDescent="0.55000000000000004">
      <c r="BK88">
        <f ca="1"/>
      </c>
      <c r="BL88">
        <f ca="1"/>
      </c>
      <c r="BM88">
        <f ca="1"/>
      </c>
      <c r="BN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  <c r="BV88">
        <f ca="1"/>
      </c>
      <c r="BW88">
        <f ca="1"/>
      </c>
      <c r="BX88">
        <f ca="1"/>
      </c>
      <c r="BY88">
        <f ca="1"/>
      </c>
      <c r="BZ88">
        <f ca="1"/>
      </c>
      <c r="CA88">
        <f ca="1"/>
      </c>
      <c r="CB88">
        <f ca="1"/>
      </c>
      <c r="CC88">
        <f ca="1"/>
      </c>
      <c r="CD88">
        <f ca="1"/>
      </c>
      <c r="CE88">
        <f ca="1"/>
      </c>
      <c r="CF88">
        <f ca="1"/>
      </c>
      <c r="CG88">
        <f ca="1"/>
      </c>
      <c r="CH88">
        <f ca="1"/>
      </c>
      <c r="CI88">
        <f ca="1"/>
      </c>
      <c r="CJ88">
        <f ca="1"/>
      </c>
      <c r="CK88">
        <f ca="1"/>
      </c>
      <c r="CL88">
        <f ca="1"/>
      </c>
      <c r="CM88">
        <f ca="1"/>
      </c>
      <c r="CN88">
        <f ca="1"/>
      </c>
      <c r="CO88">
        <f ca="1"/>
      </c>
      <c r="CP88">
        <f ca="1"/>
      </c>
      <c r="CQ88">
        <f ca="1"/>
      </c>
      <c r="CR88">
        <f ca="1"/>
      </c>
      <c r="CS88">
        <f ca="1"/>
      </c>
      <c r="CT88">
        <f ca="1"/>
      </c>
      <c r="CU88">
        <f ca="1"/>
      </c>
      <c r="CV88">
        <f ca="1"/>
      </c>
      <c r="CW88">
        <f ca="1"/>
      </c>
      <c r="CX88">
        <f ca="1"/>
      </c>
      <c r="CY88">
        <f ca="1"/>
      </c>
      <c r="CZ88">
        <f ca="1"/>
      </c>
      <c r="DA88">
        <f ca="1"/>
      </c>
      <c r="DB88">
        <f ca="1"/>
      </c>
      <c r="DC88">
        <f ca="1"/>
      </c>
      <c r="DD88">
        <f ca="1"/>
      </c>
      <c r="DE88">
        <f ca="1"/>
      </c>
      <c r="DG88">
        <f ca="1"/>
      </c>
      <c r="DH88">
        <f ca="1"/>
      </c>
      <c r="DI88">
        <f ca="1"/>
      </c>
      <c r="DJ88">
        <f ca="1"/>
      </c>
      <c r="DK88">
        <f ca="1"/>
      </c>
      <c r="DL88">
        <f ca="1"/>
      </c>
      <c r="DM88">
        <f ca="1"/>
      </c>
      <c r="DN88">
        <f ca="1"/>
      </c>
      <c r="DO88">
        <f ca="1"/>
      </c>
      <c r="DP88">
        <f ca="1"/>
      </c>
      <c r="DQ88">
        <f ca="1"/>
      </c>
      <c r="DR88">
        <f ca="1"/>
      </c>
      <c r="DS88">
        <f ca="1"/>
      </c>
      <c r="DT88">
        <f ca="1"/>
      </c>
      <c r="DU88">
        <f ca="1"/>
      </c>
      <c r="DV88">
        <f ca="1"/>
      </c>
      <c r="DW88">
        <f ca="1"/>
      </c>
      <c r="DX88">
        <f ca="1"/>
      </c>
      <c r="DY88">
        <f ca="1"/>
      </c>
      <c r="DZ88">
        <f ca="1"/>
      </c>
      <c r="EA88">
        <f ca="1"/>
      </c>
      <c r="EB88">
        <f ca="1"/>
      </c>
      <c r="EC88">
        <f ca="1"/>
      </c>
      <c r="ED88">
        <f ca="1"/>
      </c>
      <c r="EE88">
        <f ca="1"/>
      </c>
      <c r="EF88">
        <f ca="1"/>
      </c>
      <c r="EG88">
        <f ca="1"/>
      </c>
      <c r="EH88">
        <f ca="1"/>
      </c>
      <c r="EI88">
        <f ca="1"/>
      </c>
      <c r="EJ88">
        <f ca="1"/>
      </c>
      <c r="EK88">
        <f ca="1"/>
      </c>
      <c r="EL88">
        <f ca="1"/>
      </c>
      <c r="EM88">
        <f ca="1"/>
      </c>
      <c r="EN88">
        <f ca="1"/>
      </c>
      <c r="EO88">
        <f ca="1"/>
      </c>
      <c r="EP88">
        <f ca="1"/>
      </c>
      <c r="EQ88">
        <f ca="1"/>
      </c>
      <c r="ER88">
        <f ca="1"/>
      </c>
      <c r="ES88">
        <f ca="1"/>
      </c>
      <c r="ET88">
        <f ca="1"/>
      </c>
      <c r="EU88">
        <f ca="1"/>
      </c>
      <c r="EV88">
        <f ca="1"/>
      </c>
      <c r="EW88">
        <f ca="1"/>
      </c>
      <c r="EX88">
        <f ca="1"/>
      </c>
      <c r="EY88">
        <f ca="1"/>
      </c>
      <c r="EZ88">
        <f ca="1"/>
      </c>
      <c r="FA88">
        <f ca="1"/>
      </c>
      <c r="FC88">
        <f ca="1"/>
      </c>
      <c r="FD88">
        <f ca="1"/>
      </c>
      <c r="FE88">
        <f ca="1"/>
      </c>
      <c r="FF88">
        <f ca="1"/>
      </c>
      <c r="FG88">
        <f ca="1"/>
      </c>
      <c r="FH88">
        <f ca="1"/>
      </c>
      <c r="FI88">
        <f ca="1"/>
      </c>
      <c r="FJ88">
        <f ca="1"/>
      </c>
      <c r="FK88">
        <f ca="1"/>
      </c>
      <c r="FL88">
        <f ca="1"/>
      </c>
      <c r="FM88">
        <f ca="1"/>
      </c>
      <c r="FN88">
        <f ca="1"/>
      </c>
      <c r="FO88">
        <f ca="1"/>
      </c>
      <c r="FP88">
        <f ca="1"/>
      </c>
      <c r="FQ88">
        <f ca="1"/>
      </c>
      <c r="FR88">
        <f ca="1"/>
      </c>
      <c r="FS88">
        <f ca="1"/>
      </c>
      <c r="FT88">
        <f ca="1"/>
      </c>
      <c r="FU88">
        <f ca="1"/>
      </c>
      <c r="FV88">
        <f ca="1"/>
      </c>
      <c r="FW88">
        <f ca="1"/>
      </c>
      <c r="FX88">
        <f ca="1"/>
      </c>
      <c r="FY88">
        <f ca="1"/>
      </c>
      <c r="FZ88">
        <f ca="1"/>
      </c>
      <c r="GA88">
        <f ca="1"/>
      </c>
      <c r="GB88">
        <f ca="1"/>
      </c>
      <c r="GC88">
        <f ca="1"/>
      </c>
      <c r="GD88">
        <f ca="1"/>
      </c>
      <c r="GE88">
        <f ca="1"/>
      </c>
      <c r="GF88">
        <f ca="1"/>
      </c>
      <c r="GG88">
        <f ca="1"/>
      </c>
      <c r="GH88">
        <f ca="1"/>
      </c>
      <c r="GI88">
        <f ca="1"/>
      </c>
      <c r="GJ88">
        <f ca="1"/>
      </c>
      <c r="GK88">
        <f ca="1"/>
      </c>
      <c r="GL88">
        <f ca="1"/>
      </c>
      <c r="GM88">
        <f ca="1"/>
      </c>
      <c r="GN88">
        <f ca="1"/>
      </c>
      <c r="GO88">
        <f ca="1"/>
      </c>
      <c r="GP88">
        <f ca="1"/>
      </c>
      <c r="GQ88">
        <f ca="1"/>
      </c>
      <c r="GR88">
        <f ca="1"/>
      </c>
      <c r="GS88">
        <f ca="1"/>
      </c>
      <c r="GT88">
        <f ca="1"/>
      </c>
      <c r="GU88">
        <f ca="1"/>
      </c>
      <c r="GV88">
        <f ca="1"/>
      </c>
      <c r="GW88">
        <f ca="1"/>
      </c>
      <c r="HI88" s="7">
        <f ca="1"/>
      </c>
      <c r="HJ88">
        <f ca="1"/>
      </c>
      <c r="HK88">
        <f ca="1"/>
      </c>
      <c r="HL88">
        <f ca="1"/>
      </c>
      <c r="HM88">
        <f ca="1"/>
      </c>
    </row>
    <row r="89" spans="63:221" x14ac:dyDescent="0.55000000000000004">
      <c r="BK89">
        <f ca="1"/>
      </c>
      <c r="BL89">
        <f ca="1"/>
      </c>
      <c r="BM89">
        <f ca="1"/>
      </c>
      <c r="BN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  <c r="BV89">
        <f ca="1"/>
      </c>
      <c r="BW89">
        <f ca="1"/>
      </c>
      <c r="BX89">
        <f ca="1"/>
      </c>
      <c r="BY89">
        <f ca="1"/>
      </c>
      <c r="BZ89">
        <f ca="1"/>
      </c>
      <c r="CA89">
        <f ca="1"/>
      </c>
      <c r="CB89">
        <f ca="1"/>
      </c>
      <c r="CC89">
        <f ca="1"/>
      </c>
      <c r="CD89">
        <f ca="1"/>
      </c>
      <c r="CE89">
        <f ca="1"/>
      </c>
      <c r="CF89">
        <f ca="1"/>
      </c>
      <c r="CG89">
        <f ca="1"/>
      </c>
      <c r="CH89">
        <f ca="1"/>
      </c>
      <c r="CI89">
        <f ca="1"/>
      </c>
      <c r="CJ89">
        <f ca="1"/>
      </c>
      <c r="CK89">
        <f ca="1"/>
      </c>
      <c r="CL89">
        <f ca="1"/>
      </c>
      <c r="CM89">
        <f ca="1"/>
      </c>
      <c r="CN89">
        <f ca="1"/>
      </c>
      <c r="CO89">
        <f ca="1"/>
      </c>
      <c r="CP89">
        <f ca="1"/>
      </c>
      <c r="CQ89">
        <f ca="1"/>
      </c>
      <c r="CR89">
        <f ca="1"/>
      </c>
      <c r="CS89">
        <f ca="1"/>
      </c>
      <c r="CT89">
        <f ca="1"/>
      </c>
      <c r="CU89">
        <f ca="1"/>
      </c>
      <c r="CV89">
        <f ca="1"/>
      </c>
      <c r="CW89">
        <f ca="1"/>
      </c>
      <c r="CX89">
        <f ca="1"/>
      </c>
      <c r="CY89">
        <f ca="1"/>
      </c>
      <c r="CZ89">
        <f ca="1"/>
      </c>
      <c r="DA89">
        <f ca="1"/>
      </c>
      <c r="DB89">
        <f ca="1"/>
      </c>
      <c r="DC89">
        <f ca="1"/>
      </c>
      <c r="DD89">
        <f ca="1"/>
      </c>
      <c r="DE89">
        <f ca="1"/>
      </c>
      <c r="DG89">
        <f ca="1"/>
      </c>
      <c r="DH89">
        <f ca="1"/>
      </c>
      <c r="DI89">
        <f ca="1"/>
      </c>
      <c r="DJ89">
        <f ca="1"/>
      </c>
      <c r="DK89">
        <f ca="1"/>
      </c>
      <c r="DL89">
        <f ca="1"/>
      </c>
      <c r="DM89">
        <f ca="1"/>
      </c>
      <c r="DN89">
        <f ca="1"/>
      </c>
      <c r="DO89">
        <f ca="1"/>
      </c>
      <c r="DP89">
        <f ca="1"/>
      </c>
      <c r="DQ89">
        <f ca="1"/>
      </c>
      <c r="DR89">
        <f ca="1"/>
      </c>
      <c r="DS89">
        <f ca="1"/>
      </c>
      <c r="DT89">
        <f ca="1"/>
      </c>
      <c r="DU89">
        <f ca="1"/>
      </c>
      <c r="DV89">
        <f ca="1"/>
      </c>
      <c r="DW89">
        <f ca="1"/>
      </c>
      <c r="DX89">
        <f ca="1"/>
      </c>
      <c r="DY89">
        <f ca="1"/>
      </c>
      <c r="DZ89">
        <f ca="1"/>
      </c>
      <c r="EA89">
        <f ca="1"/>
      </c>
      <c r="EB89">
        <f ca="1"/>
      </c>
      <c r="EC89">
        <f ca="1"/>
      </c>
      <c r="ED89">
        <f ca="1"/>
      </c>
      <c r="EE89">
        <f ca="1"/>
      </c>
      <c r="EF89">
        <f ca="1"/>
      </c>
      <c r="EG89">
        <f ca="1"/>
      </c>
      <c r="EH89">
        <f ca="1"/>
      </c>
      <c r="EI89">
        <f ca="1"/>
      </c>
      <c r="EJ89">
        <f ca="1"/>
      </c>
      <c r="EK89">
        <f ca="1"/>
      </c>
      <c r="EL89">
        <f ca="1"/>
      </c>
      <c r="EM89">
        <f ca="1"/>
      </c>
      <c r="EN89">
        <f ca="1"/>
      </c>
      <c r="EO89">
        <f ca="1"/>
      </c>
      <c r="EP89">
        <f ca="1"/>
      </c>
      <c r="EQ89">
        <f ca="1"/>
      </c>
      <c r="ER89">
        <f ca="1"/>
      </c>
      <c r="ES89">
        <f ca="1"/>
      </c>
      <c r="ET89">
        <f ca="1"/>
      </c>
      <c r="EU89">
        <f ca="1"/>
      </c>
      <c r="EV89">
        <f ca="1"/>
      </c>
      <c r="EW89">
        <f ca="1"/>
      </c>
      <c r="EX89">
        <f ca="1"/>
      </c>
      <c r="EY89">
        <f ca="1"/>
      </c>
      <c r="EZ89">
        <f ca="1"/>
      </c>
      <c r="FA89">
        <f ca="1"/>
      </c>
      <c r="FC89">
        <f ca="1"/>
      </c>
      <c r="FD89">
        <f ca="1"/>
      </c>
      <c r="FE89">
        <f ca="1"/>
      </c>
      <c r="FF89">
        <f ca="1"/>
      </c>
      <c r="FG89">
        <f ca="1"/>
      </c>
      <c r="FH89">
        <f ca="1"/>
      </c>
      <c r="FI89">
        <f ca="1"/>
      </c>
      <c r="FJ89">
        <f ca="1"/>
      </c>
      <c r="FK89">
        <f ca="1"/>
      </c>
      <c r="FL89">
        <f ca="1"/>
      </c>
      <c r="FM89">
        <f ca="1"/>
      </c>
      <c r="FN89">
        <f ca="1"/>
      </c>
      <c r="FO89">
        <f ca="1"/>
      </c>
      <c r="FP89">
        <f ca="1"/>
      </c>
      <c r="FQ89">
        <f ca="1"/>
      </c>
      <c r="FR89">
        <f ca="1"/>
      </c>
      <c r="FS89">
        <f ca="1"/>
      </c>
      <c r="FT89">
        <f ca="1"/>
      </c>
      <c r="FU89">
        <f ca="1"/>
      </c>
      <c r="FV89">
        <f ca="1"/>
      </c>
      <c r="FW89">
        <f ca="1"/>
      </c>
      <c r="FX89">
        <f ca="1"/>
      </c>
      <c r="FY89">
        <f ca="1"/>
      </c>
      <c r="FZ89">
        <f ca="1"/>
      </c>
      <c r="GA89">
        <f ca="1"/>
      </c>
      <c r="GB89">
        <f ca="1"/>
      </c>
      <c r="GC89">
        <f ca="1"/>
      </c>
      <c r="GD89">
        <f ca="1"/>
      </c>
      <c r="GE89">
        <f ca="1"/>
      </c>
      <c r="GF89">
        <f ca="1"/>
      </c>
      <c r="GG89">
        <f ca="1"/>
      </c>
      <c r="GH89">
        <f ca="1"/>
      </c>
      <c r="GI89">
        <f ca="1"/>
      </c>
      <c r="GJ89">
        <f ca="1"/>
      </c>
      <c r="GK89">
        <f ca="1"/>
      </c>
      <c r="GL89">
        <f ca="1"/>
      </c>
      <c r="GM89">
        <f ca="1"/>
      </c>
      <c r="GN89">
        <f ca="1"/>
      </c>
      <c r="GO89">
        <f ca="1"/>
      </c>
      <c r="GP89">
        <f ca="1"/>
      </c>
      <c r="GQ89">
        <f ca="1"/>
      </c>
      <c r="GR89">
        <f ca="1"/>
      </c>
      <c r="GS89">
        <f ca="1"/>
      </c>
      <c r="GT89">
        <f ca="1"/>
      </c>
      <c r="GU89">
        <f ca="1"/>
      </c>
      <c r="GV89">
        <f ca="1"/>
      </c>
      <c r="GW89">
        <f ca="1"/>
      </c>
      <c r="HI89" s="7">
        <f ca="1"/>
      </c>
      <c r="HJ89">
        <f ca="1"/>
      </c>
      <c r="HK89">
        <f ca="1"/>
      </c>
      <c r="HL89">
        <f ca="1"/>
      </c>
      <c r="HM89">
        <f ca="1"/>
      </c>
    </row>
    <row r="90" spans="63:221" x14ac:dyDescent="0.55000000000000004">
      <c r="BK90">
        <f ca="1"/>
      </c>
      <c r="BL90">
        <f ca="1"/>
      </c>
      <c r="BM90">
        <f ca="1"/>
      </c>
      <c r="BN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  <c r="BV90">
        <f ca="1"/>
      </c>
      <c r="BW90">
        <f ca="1"/>
      </c>
      <c r="BX90">
        <f ca="1"/>
      </c>
      <c r="BY90">
        <f ca="1"/>
      </c>
      <c r="BZ90">
        <f ca="1"/>
      </c>
      <c r="CA90">
        <f ca="1"/>
      </c>
      <c r="CB90">
        <f ca="1"/>
      </c>
      <c r="CC90">
        <f ca="1"/>
      </c>
      <c r="CD90">
        <f ca="1"/>
      </c>
      <c r="CE90">
        <f ca="1"/>
      </c>
      <c r="CF90">
        <f ca="1"/>
      </c>
      <c r="CG90">
        <f ca="1"/>
      </c>
      <c r="CH90">
        <f ca="1"/>
      </c>
      <c r="CI90">
        <f ca="1"/>
      </c>
      <c r="CJ90">
        <f ca="1"/>
      </c>
      <c r="CK90">
        <f ca="1"/>
      </c>
      <c r="CL90">
        <f ca="1"/>
      </c>
      <c r="CM90">
        <f ca="1"/>
      </c>
      <c r="CN90">
        <f ca="1"/>
      </c>
      <c r="CO90">
        <f ca="1"/>
      </c>
      <c r="CP90">
        <f ca="1"/>
      </c>
      <c r="CQ90">
        <f ca="1"/>
      </c>
      <c r="CR90">
        <f ca="1"/>
      </c>
      <c r="CS90">
        <f ca="1"/>
      </c>
      <c r="CT90">
        <f ca="1"/>
      </c>
      <c r="CU90">
        <f ca="1"/>
      </c>
      <c r="CV90">
        <f ca="1"/>
      </c>
      <c r="CW90">
        <f ca="1"/>
      </c>
      <c r="CX90">
        <f ca="1"/>
      </c>
      <c r="CY90">
        <f ca="1"/>
      </c>
      <c r="CZ90">
        <f ca="1"/>
      </c>
      <c r="DA90">
        <f ca="1"/>
      </c>
      <c r="DB90">
        <f ca="1"/>
      </c>
      <c r="DC90">
        <f ca="1"/>
      </c>
      <c r="DD90">
        <f ca="1"/>
      </c>
      <c r="DE90">
        <f ca="1"/>
      </c>
      <c r="DG90">
        <f ca="1"/>
      </c>
      <c r="DH90">
        <f ca="1"/>
      </c>
      <c r="DI90">
        <f ca="1"/>
      </c>
      <c r="DJ90">
        <f ca="1"/>
      </c>
      <c r="DK90">
        <f ca="1"/>
      </c>
      <c r="DL90">
        <f ca="1"/>
      </c>
      <c r="DM90">
        <f ca="1"/>
      </c>
      <c r="DN90">
        <f ca="1"/>
      </c>
      <c r="DO90">
        <f ca="1"/>
      </c>
      <c r="DP90">
        <f ca="1"/>
      </c>
      <c r="DQ90">
        <f ca="1"/>
      </c>
      <c r="DR90">
        <f ca="1"/>
      </c>
      <c r="DS90">
        <f ca="1"/>
      </c>
      <c r="DT90">
        <f ca="1"/>
      </c>
      <c r="DU90">
        <f ca="1"/>
      </c>
      <c r="DV90">
        <f ca="1"/>
      </c>
      <c r="DW90">
        <f ca="1"/>
      </c>
      <c r="DX90">
        <f ca="1"/>
      </c>
      <c r="DY90">
        <f ca="1"/>
      </c>
      <c r="DZ90">
        <f ca="1"/>
      </c>
      <c r="EA90">
        <f ca="1"/>
      </c>
      <c r="EB90">
        <f ca="1"/>
      </c>
      <c r="EC90">
        <f ca="1"/>
      </c>
      <c r="ED90">
        <f ca="1"/>
      </c>
      <c r="EE90">
        <f ca="1"/>
      </c>
      <c r="EF90">
        <f ca="1"/>
      </c>
      <c r="EG90">
        <f ca="1"/>
      </c>
      <c r="EH90">
        <f ca="1"/>
      </c>
      <c r="EI90">
        <f ca="1"/>
      </c>
      <c r="EJ90">
        <f ca="1"/>
      </c>
      <c r="EK90">
        <f ca="1"/>
      </c>
      <c r="EL90">
        <f ca="1"/>
      </c>
      <c r="EM90">
        <f ca="1"/>
      </c>
      <c r="EN90">
        <f ca="1"/>
      </c>
      <c r="EO90">
        <f ca="1"/>
      </c>
      <c r="EP90">
        <f ca="1"/>
      </c>
      <c r="EQ90">
        <f ca="1"/>
      </c>
      <c r="ER90">
        <f ca="1"/>
      </c>
      <c r="ES90">
        <f ca="1"/>
      </c>
      <c r="ET90">
        <f ca="1"/>
      </c>
      <c r="EU90">
        <f ca="1"/>
      </c>
      <c r="EV90">
        <f ca="1"/>
      </c>
      <c r="EW90">
        <f ca="1"/>
      </c>
      <c r="EX90">
        <f ca="1"/>
      </c>
      <c r="EY90">
        <f ca="1"/>
      </c>
      <c r="EZ90">
        <f ca="1"/>
      </c>
      <c r="FA90">
        <f ca="1"/>
      </c>
      <c r="FC90">
        <f ca="1"/>
      </c>
      <c r="FD90">
        <f ca="1"/>
      </c>
      <c r="FE90">
        <f ca="1"/>
      </c>
      <c r="FF90">
        <f ca="1"/>
      </c>
      <c r="FG90">
        <f ca="1"/>
      </c>
      <c r="FH90">
        <f ca="1"/>
      </c>
      <c r="FI90">
        <f ca="1"/>
      </c>
      <c r="FJ90">
        <f ca="1"/>
      </c>
      <c r="FK90">
        <f ca="1"/>
      </c>
      <c r="FL90">
        <f ca="1"/>
      </c>
      <c r="FM90">
        <f ca="1"/>
      </c>
      <c r="FN90">
        <f ca="1"/>
      </c>
      <c r="FO90">
        <f ca="1"/>
      </c>
      <c r="FP90">
        <f ca="1"/>
      </c>
      <c r="FQ90">
        <f ca="1"/>
      </c>
      <c r="FR90">
        <f ca="1"/>
      </c>
      <c r="FS90">
        <f ca="1"/>
      </c>
      <c r="FT90">
        <f ca="1"/>
      </c>
      <c r="FU90">
        <f ca="1"/>
      </c>
      <c r="FV90">
        <f ca="1"/>
      </c>
      <c r="FW90">
        <f ca="1"/>
      </c>
      <c r="FX90">
        <f ca="1"/>
      </c>
      <c r="FY90">
        <f ca="1"/>
      </c>
      <c r="FZ90">
        <f ca="1"/>
      </c>
      <c r="GA90">
        <f ca="1"/>
      </c>
      <c r="GB90">
        <f ca="1"/>
      </c>
      <c r="GC90">
        <f ca="1"/>
      </c>
      <c r="GD90">
        <f ca="1"/>
      </c>
      <c r="GE90">
        <f ca="1"/>
      </c>
      <c r="GF90">
        <f ca="1"/>
      </c>
      <c r="GG90">
        <f ca="1"/>
      </c>
      <c r="GH90">
        <f ca="1"/>
      </c>
      <c r="GI90">
        <f ca="1"/>
      </c>
      <c r="GJ90">
        <f ca="1"/>
      </c>
      <c r="GK90">
        <f ca="1"/>
      </c>
      <c r="GL90">
        <f ca="1"/>
      </c>
      <c r="GM90">
        <f ca="1"/>
      </c>
      <c r="GN90">
        <f ca="1"/>
      </c>
      <c r="GO90">
        <f ca="1"/>
      </c>
      <c r="GP90">
        <f ca="1"/>
      </c>
      <c r="GQ90">
        <f ca="1"/>
      </c>
      <c r="GR90">
        <f ca="1"/>
      </c>
      <c r="GS90">
        <f ca="1"/>
      </c>
      <c r="GT90">
        <f ca="1"/>
      </c>
      <c r="GU90">
        <f ca="1"/>
      </c>
      <c r="GV90">
        <f ca="1"/>
      </c>
      <c r="GW90">
        <f ca="1"/>
      </c>
      <c r="HI90" s="7">
        <f ca="1"/>
      </c>
      <c r="HJ90">
        <f ca="1"/>
      </c>
      <c r="HK90">
        <f ca="1"/>
      </c>
      <c r="HL90">
        <f ca="1"/>
      </c>
      <c r="HM90">
        <f ca="1"/>
      </c>
    </row>
    <row r="91" spans="63:221" x14ac:dyDescent="0.55000000000000004">
      <c r="BK91">
        <f ca="1"/>
      </c>
      <c r="BL91">
        <f ca="1"/>
      </c>
      <c r="BM91">
        <f ca="1"/>
      </c>
      <c r="BN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  <c r="BV91">
        <f ca="1"/>
      </c>
      <c r="BW91">
        <f ca="1"/>
      </c>
      <c r="BX91">
        <f ca="1"/>
      </c>
      <c r="BY91">
        <f ca="1"/>
      </c>
      <c r="BZ91">
        <f ca="1"/>
      </c>
      <c r="CA91">
        <f ca="1"/>
      </c>
      <c r="CB91">
        <f ca="1"/>
      </c>
      <c r="CC91">
        <f ca="1"/>
      </c>
      <c r="CD91">
        <f ca="1"/>
      </c>
      <c r="CE91">
        <f ca="1"/>
      </c>
      <c r="CF91">
        <f ca="1"/>
      </c>
      <c r="CG91">
        <f ca="1"/>
      </c>
      <c r="CH91">
        <f ca="1"/>
      </c>
      <c r="CI91">
        <f ca="1"/>
      </c>
      <c r="CJ91">
        <f ca="1"/>
      </c>
      <c r="CK91">
        <f ca="1"/>
      </c>
      <c r="CL91">
        <f ca="1"/>
      </c>
      <c r="CM91">
        <f ca="1"/>
      </c>
      <c r="CN91">
        <f ca="1"/>
      </c>
      <c r="CO91">
        <f ca="1"/>
      </c>
      <c r="CP91">
        <f ca="1"/>
      </c>
      <c r="CQ91">
        <f ca="1"/>
      </c>
      <c r="CR91">
        <f ca="1"/>
      </c>
      <c r="CS91">
        <f ca="1"/>
      </c>
      <c r="CT91">
        <f ca="1"/>
      </c>
      <c r="CU91">
        <f ca="1"/>
      </c>
      <c r="CV91">
        <f ca="1"/>
      </c>
      <c r="CW91">
        <f ca="1"/>
      </c>
      <c r="CX91">
        <f ca="1"/>
      </c>
      <c r="CY91">
        <f ca="1"/>
      </c>
      <c r="CZ91">
        <f ca="1"/>
      </c>
      <c r="DA91">
        <f ca="1"/>
      </c>
      <c r="DB91">
        <f ca="1"/>
      </c>
      <c r="DC91">
        <f ca="1"/>
      </c>
      <c r="DD91">
        <f ca="1"/>
      </c>
      <c r="DE91">
        <f ca="1"/>
      </c>
      <c r="DG91">
        <f ca="1"/>
      </c>
      <c r="DH91">
        <f ca="1"/>
      </c>
      <c r="DI91">
        <f ca="1"/>
      </c>
      <c r="DJ91">
        <f ca="1"/>
      </c>
      <c r="DK91">
        <f ca="1"/>
      </c>
      <c r="DL91">
        <f ca="1"/>
      </c>
      <c r="DM91">
        <f ca="1"/>
      </c>
      <c r="DN91">
        <f ca="1"/>
      </c>
      <c r="DO91">
        <f ca="1"/>
      </c>
      <c r="DP91">
        <f ca="1"/>
      </c>
      <c r="DQ91">
        <f ca="1"/>
      </c>
      <c r="DR91">
        <f ca="1"/>
      </c>
      <c r="DS91">
        <f ca="1"/>
      </c>
      <c r="DT91">
        <f ca="1"/>
      </c>
      <c r="DU91">
        <f ca="1"/>
      </c>
      <c r="DV91">
        <f ca="1"/>
      </c>
      <c r="DW91">
        <f ca="1"/>
      </c>
      <c r="DX91">
        <f ca="1"/>
      </c>
      <c r="DY91">
        <f ca="1"/>
      </c>
      <c r="DZ91">
        <f ca="1"/>
      </c>
      <c r="EA91">
        <f ca="1"/>
      </c>
      <c r="EB91">
        <f ca="1"/>
      </c>
      <c r="EC91">
        <f ca="1"/>
      </c>
      <c r="ED91">
        <f ca="1"/>
      </c>
      <c r="EE91">
        <f ca="1"/>
      </c>
      <c r="EF91">
        <f ca="1"/>
      </c>
      <c r="EG91">
        <f ca="1"/>
      </c>
      <c r="EH91">
        <f ca="1"/>
      </c>
      <c r="EI91">
        <f ca="1"/>
      </c>
      <c r="EJ91">
        <f ca="1"/>
      </c>
      <c r="EK91">
        <f ca="1"/>
      </c>
      <c r="EL91">
        <f ca="1"/>
      </c>
      <c r="EM91">
        <f ca="1"/>
      </c>
      <c r="EN91">
        <f ca="1"/>
      </c>
      <c r="EO91">
        <f ca="1"/>
      </c>
      <c r="EP91">
        <f ca="1"/>
      </c>
      <c r="EQ91">
        <f ca="1"/>
      </c>
      <c r="ER91">
        <f ca="1"/>
      </c>
      <c r="ES91">
        <f ca="1"/>
      </c>
      <c r="ET91">
        <f ca="1"/>
      </c>
      <c r="EU91">
        <f ca="1"/>
      </c>
      <c r="EV91">
        <f ca="1"/>
      </c>
      <c r="EW91">
        <f ca="1"/>
      </c>
      <c r="EX91">
        <f ca="1"/>
      </c>
      <c r="EY91">
        <f ca="1"/>
      </c>
      <c r="EZ91">
        <f ca="1"/>
      </c>
      <c r="FA91">
        <f ca="1"/>
      </c>
      <c r="FC91">
        <f ca="1"/>
      </c>
      <c r="FD91">
        <f ca="1"/>
      </c>
      <c r="FE91">
        <f ca="1"/>
      </c>
      <c r="FF91">
        <f ca="1"/>
      </c>
      <c r="FG91">
        <f ca="1"/>
      </c>
      <c r="FH91">
        <f ca="1"/>
      </c>
      <c r="FI91">
        <f ca="1"/>
      </c>
      <c r="FJ91">
        <f ca="1"/>
      </c>
      <c r="FK91">
        <f ca="1"/>
      </c>
      <c r="FL91">
        <f ca="1"/>
      </c>
      <c r="FM91">
        <f ca="1"/>
      </c>
      <c r="FN91">
        <f ca="1"/>
      </c>
      <c r="FO91">
        <f ca="1"/>
      </c>
      <c r="FP91">
        <f ca="1"/>
      </c>
      <c r="FQ91">
        <f ca="1"/>
      </c>
      <c r="FR91">
        <f ca="1"/>
      </c>
      <c r="FS91">
        <f ca="1"/>
      </c>
      <c r="FT91">
        <f ca="1"/>
      </c>
      <c r="FU91">
        <f ca="1"/>
      </c>
      <c r="FV91">
        <f ca="1"/>
      </c>
      <c r="FW91">
        <f ca="1"/>
      </c>
      <c r="FX91">
        <f ca="1"/>
      </c>
      <c r="FY91">
        <f ca="1"/>
      </c>
      <c r="FZ91">
        <f ca="1"/>
      </c>
      <c r="GA91">
        <f ca="1"/>
      </c>
      <c r="GB91">
        <f ca="1"/>
      </c>
      <c r="GC91">
        <f ca="1"/>
      </c>
      <c r="GD91">
        <f ca="1"/>
      </c>
      <c r="GE91">
        <f ca="1"/>
      </c>
      <c r="GF91">
        <f ca="1"/>
      </c>
      <c r="GG91">
        <f ca="1"/>
      </c>
      <c r="GH91">
        <f ca="1"/>
      </c>
      <c r="GI91">
        <f ca="1"/>
      </c>
      <c r="GJ91">
        <f ca="1"/>
      </c>
      <c r="GK91">
        <f ca="1"/>
      </c>
      <c r="GL91">
        <f ca="1"/>
      </c>
      <c r="GM91">
        <f ca="1"/>
      </c>
      <c r="GN91">
        <f ca="1"/>
      </c>
      <c r="GO91">
        <f ca="1"/>
      </c>
      <c r="GP91">
        <f ca="1"/>
      </c>
      <c r="GQ91">
        <f ca="1"/>
      </c>
      <c r="GR91">
        <f ca="1"/>
      </c>
      <c r="GS91">
        <f ca="1"/>
      </c>
      <c r="GT91">
        <f ca="1"/>
      </c>
      <c r="GU91">
        <f ca="1"/>
      </c>
      <c r="GV91">
        <f ca="1"/>
      </c>
      <c r="GW91">
        <f ca="1"/>
      </c>
      <c r="HI91" s="7">
        <f ca="1"/>
      </c>
      <c r="HJ91">
        <f ca="1"/>
      </c>
      <c r="HK91">
        <f ca="1"/>
      </c>
      <c r="HL91">
        <f ca="1"/>
      </c>
      <c r="HM91">
        <f ca="1"/>
      </c>
    </row>
    <row r="92" spans="63:221" x14ac:dyDescent="0.55000000000000004">
      <c r="BK92">
        <f ca="1"/>
      </c>
      <c r="BL92">
        <f ca="1"/>
      </c>
      <c r="BM92">
        <f ca="1"/>
      </c>
      <c r="BN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  <c r="BV92">
        <f ca="1"/>
      </c>
      <c r="BW92">
        <f ca="1"/>
      </c>
      <c r="BX92">
        <f ca="1"/>
      </c>
      <c r="BY92">
        <f ca="1"/>
      </c>
      <c r="BZ92">
        <f ca="1"/>
      </c>
      <c r="CA92">
        <f ca="1"/>
      </c>
      <c r="CB92">
        <f ca="1"/>
      </c>
      <c r="CC92">
        <f ca="1"/>
      </c>
      <c r="CD92">
        <f ca="1"/>
      </c>
      <c r="CE92">
        <f ca="1"/>
      </c>
      <c r="CF92">
        <f ca="1"/>
      </c>
      <c r="CG92">
        <f ca="1"/>
      </c>
      <c r="CH92">
        <f ca="1"/>
      </c>
      <c r="CI92">
        <f ca="1"/>
      </c>
      <c r="CJ92">
        <f ca="1"/>
      </c>
      <c r="CK92">
        <f ca="1"/>
      </c>
      <c r="CL92">
        <f ca="1"/>
      </c>
      <c r="CM92">
        <f ca="1"/>
      </c>
      <c r="CN92">
        <f ca="1"/>
      </c>
      <c r="CO92">
        <f ca="1"/>
      </c>
      <c r="CP92">
        <f ca="1"/>
      </c>
      <c r="CQ92">
        <f ca="1"/>
      </c>
      <c r="CR92">
        <f ca="1"/>
      </c>
      <c r="CS92">
        <f ca="1"/>
      </c>
      <c r="CT92">
        <f ca="1"/>
      </c>
      <c r="CU92">
        <f ca="1"/>
      </c>
      <c r="CV92">
        <f ca="1"/>
      </c>
      <c r="CW92">
        <f ca="1"/>
      </c>
      <c r="CX92">
        <f ca="1"/>
      </c>
      <c r="CY92">
        <f ca="1"/>
      </c>
      <c r="CZ92">
        <f ca="1"/>
      </c>
      <c r="DA92">
        <f ca="1"/>
      </c>
      <c r="DB92">
        <f ca="1"/>
      </c>
      <c r="DC92">
        <f ca="1"/>
      </c>
      <c r="DD92">
        <f ca="1"/>
      </c>
      <c r="DE92">
        <f ca="1"/>
      </c>
      <c r="DG92">
        <f ca="1"/>
      </c>
      <c r="DH92">
        <f ca="1"/>
      </c>
      <c r="DI92">
        <f ca="1"/>
      </c>
      <c r="DJ92">
        <f ca="1"/>
      </c>
      <c r="DK92">
        <f ca="1"/>
      </c>
      <c r="DL92">
        <f ca="1"/>
      </c>
      <c r="DM92">
        <f ca="1"/>
      </c>
      <c r="DN92">
        <f ca="1"/>
      </c>
      <c r="DO92">
        <f ca="1"/>
      </c>
      <c r="DP92">
        <f ca="1"/>
      </c>
      <c r="DQ92">
        <f ca="1"/>
      </c>
      <c r="DR92">
        <f ca="1"/>
      </c>
      <c r="DS92">
        <f ca="1"/>
      </c>
      <c r="DT92">
        <f ca="1"/>
      </c>
      <c r="DU92">
        <f ca="1"/>
      </c>
      <c r="DV92">
        <f ca="1"/>
      </c>
      <c r="DW92">
        <f ca="1"/>
      </c>
      <c r="DX92">
        <f ca="1"/>
      </c>
      <c r="DY92">
        <f ca="1"/>
      </c>
      <c r="DZ92">
        <f ca="1"/>
      </c>
      <c r="EA92">
        <f ca="1"/>
      </c>
      <c r="EB92">
        <f ca="1"/>
      </c>
      <c r="EC92">
        <f ca="1"/>
      </c>
      <c r="ED92">
        <f ca="1"/>
      </c>
      <c r="EE92">
        <f ca="1"/>
      </c>
      <c r="EF92">
        <f ca="1"/>
      </c>
      <c r="EG92">
        <f ca="1"/>
      </c>
      <c r="EH92">
        <f ca="1"/>
      </c>
      <c r="EI92">
        <f ca="1"/>
      </c>
      <c r="EJ92">
        <f ca="1"/>
      </c>
      <c r="EK92">
        <f ca="1"/>
      </c>
      <c r="EL92">
        <f ca="1"/>
      </c>
      <c r="EM92">
        <f ca="1"/>
      </c>
      <c r="EN92">
        <f ca="1"/>
      </c>
      <c r="EO92">
        <f ca="1"/>
      </c>
      <c r="EP92">
        <f ca="1"/>
      </c>
      <c r="EQ92">
        <f ca="1"/>
      </c>
      <c r="ER92">
        <f ca="1"/>
      </c>
      <c r="ES92">
        <f ca="1"/>
      </c>
      <c r="ET92">
        <f ca="1"/>
      </c>
      <c r="EU92">
        <f ca="1"/>
      </c>
      <c r="EV92">
        <f ca="1"/>
      </c>
      <c r="EW92">
        <f ca="1"/>
      </c>
      <c r="EX92">
        <f ca="1"/>
      </c>
      <c r="EY92">
        <f ca="1"/>
      </c>
      <c r="EZ92">
        <f ca="1"/>
      </c>
      <c r="FA92">
        <f ca="1"/>
      </c>
      <c r="FC92">
        <f ca="1"/>
      </c>
      <c r="FD92">
        <f ca="1"/>
      </c>
      <c r="FE92">
        <f ca="1"/>
      </c>
      <c r="FF92">
        <f ca="1"/>
      </c>
      <c r="FG92">
        <f ca="1"/>
      </c>
      <c r="FH92">
        <f ca="1"/>
      </c>
      <c r="FI92">
        <f ca="1"/>
      </c>
      <c r="FJ92">
        <f ca="1"/>
      </c>
      <c r="FK92">
        <f ca="1"/>
      </c>
      <c r="FL92">
        <f ca="1"/>
      </c>
      <c r="FM92">
        <f ca="1"/>
      </c>
      <c r="FN92">
        <f ca="1"/>
      </c>
      <c r="FO92">
        <f ca="1"/>
      </c>
      <c r="FP92">
        <f ca="1"/>
      </c>
      <c r="FQ92">
        <f ca="1"/>
      </c>
      <c r="FR92">
        <f ca="1"/>
      </c>
      <c r="FS92">
        <f ca="1"/>
      </c>
      <c r="FT92">
        <f ca="1"/>
      </c>
      <c r="FU92">
        <f ca="1"/>
      </c>
      <c r="FV92">
        <f ca="1"/>
      </c>
      <c r="FW92">
        <f ca="1"/>
      </c>
      <c r="FX92">
        <f ca="1"/>
      </c>
      <c r="FY92">
        <f ca="1"/>
      </c>
      <c r="FZ92">
        <f ca="1"/>
      </c>
      <c r="GA92">
        <f ca="1"/>
      </c>
      <c r="GB92">
        <f ca="1"/>
      </c>
      <c r="GC92">
        <f ca="1"/>
      </c>
      <c r="GD92">
        <f ca="1"/>
      </c>
      <c r="GE92">
        <f ca="1"/>
      </c>
      <c r="GF92">
        <f ca="1"/>
      </c>
      <c r="GG92">
        <f ca="1"/>
      </c>
      <c r="GH92">
        <f ca="1"/>
      </c>
      <c r="GI92">
        <f ca="1"/>
      </c>
      <c r="GJ92">
        <f ca="1"/>
      </c>
      <c r="GK92">
        <f ca="1"/>
      </c>
      <c r="GL92">
        <f ca="1"/>
      </c>
      <c r="GM92">
        <f ca="1"/>
      </c>
      <c r="GN92">
        <f ca="1"/>
      </c>
      <c r="GO92">
        <f ca="1"/>
      </c>
      <c r="GP92">
        <f ca="1"/>
      </c>
      <c r="GQ92">
        <f ca="1"/>
      </c>
      <c r="GR92">
        <f ca="1"/>
      </c>
      <c r="GS92">
        <f ca="1"/>
      </c>
      <c r="GT92">
        <f ca="1"/>
      </c>
      <c r="GU92">
        <f ca="1"/>
      </c>
      <c r="GV92">
        <f ca="1"/>
      </c>
      <c r="GW92">
        <f ca="1"/>
      </c>
      <c r="HI92" s="7">
        <f ca="1"/>
      </c>
      <c r="HJ92">
        <f ca="1"/>
      </c>
      <c r="HK92">
        <f ca="1"/>
      </c>
      <c r="HL92">
        <f ca="1"/>
      </c>
      <c r="HM92">
        <f ca="1"/>
      </c>
    </row>
    <row r="93" spans="63:221" x14ac:dyDescent="0.55000000000000004">
      <c r="BK93">
        <f ca="1"/>
      </c>
      <c r="BL93">
        <f ca="1"/>
      </c>
      <c r="BM93">
        <f ca="1"/>
      </c>
      <c r="BN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  <c r="BV93">
        <f ca="1"/>
      </c>
      <c r="BW93">
        <f ca="1"/>
      </c>
      <c r="BX93">
        <f ca="1"/>
      </c>
      <c r="BY93">
        <f ca="1"/>
      </c>
      <c r="BZ93">
        <f ca="1"/>
      </c>
      <c r="CA93">
        <f ca="1"/>
      </c>
      <c r="CB93">
        <f ca="1"/>
      </c>
      <c r="CC93">
        <f ca="1"/>
      </c>
      <c r="CD93">
        <f ca="1"/>
      </c>
      <c r="CE93">
        <f ca="1"/>
      </c>
      <c r="CF93">
        <f ca="1"/>
      </c>
      <c r="CG93">
        <f ca="1"/>
      </c>
      <c r="CH93">
        <f ca="1"/>
      </c>
      <c r="CI93">
        <f ca="1"/>
      </c>
      <c r="CJ93">
        <f ca="1"/>
      </c>
      <c r="CK93">
        <f ca="1"/>
      </c>
      <c r="CL93">
        <f ca="1"/>
      </c>
      <c r="CM93">
        <f ca="1"/>
      </c>
      <c r="CN93">
        <f ca="1"/>
      </c>
      <c r="CO93">
        <f ca="1"/>
      </c>
      <c r="CP93">
        <f ca="1"/>
      </c>
      <c r="CQ93">
        <f ca="1"/>
      </c>
      <c r="CR93">
        <f ca="1"/>
      </c>
      <c r="CS93">
        <f ca="1"/>
      </c>
      <c r="CT93">
        <f ca="1"/>
      </c>
      <c r="CU93">
        <f ca="1"/>
      </c>
      <c r="CV93">
        <f ca="1"/>
      </c>
      <c r="CW93">
        <f ca="1"/>
      </c>
      <c r="CX93">
        <f ca="1"/>
      </c>
      <c r="CY93">
        <f ca="1"/>
      </c>
      <c r="CZ93">
        <f ca="1"/>
      </c>
      <c r="DA93">
        <f ca="1"/>
      </c>
      <c r="DB93">
        <f ca="1"/>
      </c>
      <c r="DC93">
        <f ca="1"/>
      </c>
      <c r="DD93">
        <f ca="1"/>
      </c>
      <c r="DE93">
        <f ca="1"/>
      </c>
      <c r="DG93">
        <f ca="1"/>
      </c>
      <c r="DH93">
        <f ca="1"/>
      </c>
      <c r="DI93">
        <f ca="1"/>
      </c>
      <c r="DJ93">
        <f ca="1"/>
      </c>
      <c r="DK93">
        <f ca="1"/>
      </c>
      <c r="DL93">
        <f ca="1"/>
      </c>
      <c r="DM93">
        <f ca="1"/>
      </c>
      <c r="DN93">
        <f ca="1"/>
      </c>
      <c r="DO93">
        <f ca="1"/>
      </c>
      <c r="DP93">
        <f ca="1"/>
      </c>
      <c r="DQ93">
        <f ca="1"/>
      </c>
      <c r="DR93">
        <f ca="1"/>
      </c>
      <c r="DS93">
        <f ca="1"/>
      </c>
      <c r="DT93">
        <f ca="1"/>
      </c>
      <c r="DU93">
        <f ca="1"/>
      </c>
      <c r="DV93">
        <f ca="1"/>
      </c>
      <c r="DW93">
        <f ca="1"/>
      </c>
      <c r="DX93">
        <f ca="1"/>
      </c>
      <c r="DY93">
        <f ca="1"/>
      </c>
      <c r="DZ93">
        <f ca="1"/>
      </c>
      <c r="EA93">
        <f ca="1"/>
      </c>
      <c r="EB93">
        <f ca="1"/>
      </c>
      <c r="EC93">
        <f ca="1"/>
      </c>
      <c r="ED93">
        <f ca="1"/>
      </c>
      <c r="EE93">
        <f ca="1"/>
      </c>
      <c r="EF93">
        <f ca="1"/>
      </c>
      <c r="EG93">
        <f ca="1"/>
      </c>
      <c r="EH93">
        <f ca="1"/>
      </c>
      <c r="EI93">
        <f ca="1"/>
      </c>
      <c r="EJ93">
        <f ca="1"/>
      </c>
      <c r="EK93">
        <f ca="1"/>
      </c>
      <c r="EL93">
        <f ca="1"/>
      </c>
      <c r="EM93">
        <f ca="1"/>
      </c>
      <c r="EN93">
        <f ca="1"/>
      </c>
      <c r="EO93">
        <f ca="1"/>
      </c>
      <c r="EP93">
        <f ca="1"/>
      </c>
      <c r="EQ93">
        <f ca="1"/>
      </c>
      <c r="ER93">
        <f ca="1"/>
      </c>
      <c r="ES93">
        <f ca="1"/>
      </c>
      <c r="ET93">
        <f ca="1"/>
      </c>
      <c r="EU93">
        <f ca="1"/>
      </c>
      <c r="EV93">
        <f ca="1"/>
      </c>
      <c r="EW93">
        <f ca="1"/>
      </c>
      <c r="EX93">
        <f ca="1"/>
      </c>
      <c r="EY93">
        <f ca="1"/>
      </c>
      <c r="EZ93">
        <f ca="1"/>
      </c>
      <c r="FA93">
        <f ca="1"/>
      </c>
      <c r="FC93">
        <f ca="1"/>
      </c>
      <c r="FD93">
        <f ca="1"/>
      </c>
      <c r="FE93">
        <f ca="1"/>
      </c>
      <c r="FF93">
        <f ca="1"/>
      </c>
      <c r="FG93">
        <f ca="1"/>
      </c>
      <c r="FH93">
        <f ca="1"/>
      </c>
      <c r="FI93">
        <f ca="1"/>
      </c>
      <c r="FJ93">
        <f ca="1"/>
      </c>
      <c r="FK93">
        <f ca="1"/>
      </c>
      <c r="FL93">
        <f ca="1"/>
      </c>
      <c r="FM93">
        <f ca="1"/>
      </c>
      <c r="FN93">
        <f ca="1"/>
      </c>
      <c r="FO93">
        <f ca="1"/>
      </c>
      <c r="FP93">
        <f ca="1"/>
      </c>
      <c r="FQ93">
        <f ca="1"/>
      </c>
      <c r="FR93">
        <f ca="1"/>
      </c>
      <c r="FS93">
        <f ca="1"/>
      </c>
      <c r="FT93">
        <f ca="1"/>
      </c>
      <c r="FU93">
        <f ca="1"/>
      </c>
      <c r="FV93">
        <f ca="1"/>
      </c>
      <c r="FW93">
        <f ca="1"/>
      </c>
      <c r="FX93">
        <f ca="1"/>
      </c>
      <c r="FY93">
        <f ca="1"/>
      </c>
      <c r="FZ93">
        <f ca="1"/>
      </c>
      <c r="GA93">
        <f ca="1"/>
      </c>
      <c r="GB93">
        <f ca="1"/>
      </c>
      <c r="GC93">
        <f ca="1"/>
      </c>
      <c r="GD93">
        <f ca="1"/>
      </c>
      <c r="GE93">
        <f ca="1"/>
      </c>
      <c r="GF93">
        <f ca="1"/>
      </c>
      <c r="GG93">
        <f ca="1"/>
      </c>
      <c r="GH93">
        <f ca="1"/>
      </c>
      <c r="GI93">
        <f ca="1"/>
      </c>
      <c r="GJ93">
        <f ca="1"/>
      </c>
      <c r="GK93">
        <f ca="1"/>
      </c>
      <c r="GL93">
        <f ca="1"/>
      </c>
      <c r="GM93">
        <f ca="1"/>
      </c>
      <c r="GN93">
        <f ca="1"/>
      </c>
      <c r="GO93">
        <f ca="1"/>
      </c>
      <c r="GP93">
        <f ca="1"/>
      </c>
      <c r="GQ93">
        <f ca="1"/>
      </c>
      <c r="GR93">
        <f ca="1"/>
      </c>
      <c r="GS93">
        <f ca="1"/>
      </c>
      <c r="GT93">
        <f ca="1"/>
      </c>
      <c r="GU93">
        <f ca="1"/>
      </c>
      <c r="GV93">
        <f ca="1"/>
      </c>
      <c r="GW93">
        <f ca="1"/>
      </c>
      <c r="HI93" s="7">
        <f ca="1"/>
      </c>
      <c r="HJ93">
        <f ca="1"/>
      </c>
      <c r="HK93">
        <f ca="1"/>
      </c>
      <c r="HL93">
        <f ca="1"/>
      </c>
      <c r="HM93">
        <f ca="1"/>
      </c>
    </row>
    <row r="94" spans="63:221" x14ac:dyDescent="0.55000000000000004">
      <c r="BK94">
        <f ca="1"/>
      </c>
      <c r="BL94">
        <f ca="1"/>
      </c>
      <c r="BM94">
        <f ca="1"/>
      </c>
      <c r="BN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  <c r="BV94">
        <f ca="1"/>
      </c>
      <c r="BW94">
        <f ca="1"/>
      </c>
      <c r="BX94">
        <f ca="1"/>
      </c>
      <c r="BY94">
        <f ca="1"/>
      </c>
      <c r="BZ94">
        <f ca="1"/>
      </c>
      <c r="CA94">
        <f ca="1"/>
      </c>
      <c r="CB94">
        <f ca="1"/>
      </c>
      <c r="CC94">
        <f ca="1"/>
      </c>
      <c r="CD94">
        <f ca="1"/>
      </c>
      <c r="CE94">
        <f ca="1"/>
      </c>
      <c r="CF94">
        <f ca="1"/>
      </c>
      <c r="CG94">
        <f ca="1"/>
      </c>
      <c r="CH94">
        <f ca="1"/>
      </c>
      <c r="CI94">
        <f ca="1"/>
      </c>
      <c r="CJ94">
        <f ca="1"/>
      </c>
      <c r="CK94">
        <f ca="1"/>
      </c>
      <c r="CL94">
        <f ca="1"/>
      </c>
      <c r="CM94">
        <f ca="1"/>
      </c>
      <c r="CN94">
        <f ca="1"/>
      </c>
      <c r="CO94">
        <f ca="1"/>
      </c>
      <c r="CP94">
        <f ca="1"/>
      </c>
      <c r="CQ94">
        <f ca="1"/>
      </c>
      <c r="CR94">
        <f ca="1"/>
      </c>
      <c r="CS94">
        <f ca="1"/>
      </c>
      <c r="CT94">
        <f ca="1"/>
      </c>
      <c r="CU94">
        <f ca="1"/>
      </c>
      <c r="CV94">
        <f ca="1"/>
      </c>
      <c r="CW94">
        <f ca="1"/>
      </c>
      <c r="CX94">
        <f ca="1"/>
      </c>
      <c r="CY94">
        <f ca="1"/>
      </c>
      <c r="CZ94">
        <f ca="1"/>
      </c>
      <c r="DA94">
        <f ca="1"/>
      </c>
      <c r="DB94">
        <f ca="1"/>
      </c>
      <c r="DC94">
        <f ca="1"/>
      </c>
      <c r="DD94">
        <f ca="1"/>
      </c>
      <c r="DE94">
        <f ca="1"/>
      </c>
      <c r="DG94">
        <f ca="1"/>
      </c>
      <c r="DH94">
        <f ca="1"/>
      </c>
      <c r="DI94">
        <f ca="1"/>
      </c>
      <c r="DJ94">
        <f ca="1"/>
      </c>
      <c r="DK94">
        <f ca="1"/>
      </c>
      <c r="DL94">
        <f ca="1"/>
      </c>
      <c r="DM94">
        <f ca="1"/>
      </c>
      <c r="DN94">
        <f ca="1"/>
      </c>
      <c r="DO94">
        <f ca="1"/>
      </c>
      <c r="DP94">
        <f ca="1"/>
      </c>
      <c r="DQ94">
        <f ca="1"/>
      </c>
      <c r="DR94">
        <f ca="1"/>
      </c>
      <c r="DS94">
        <f ca="1"/>
      </c>
      <c r="DT94">
        <f ca="1"/>
      </c>
      <c r="DU94">
        <f ca="1"/>
      </c>
      <c r="DV94">
        <f ca="1"/>
      </c>
      <c r="DW94">
        <f ca="1"/>
      </c>
      <c r="DX94">
        <f ca="1"/>
      </c>
      <c r="DY94">
        <f ca="1"/>
      </c>
      <c r="DZ94">
        <f ca="1"/>
      </c>
      <c r="EA94">
        <f ca="1"/>
      </c>
      <c r="EB94">
        <f ca="1"/>
      </c>
      <c r="EC94">
        <f ca="1"/>
      </c>
      <c r="ED94">
        <f ca="1"/>
      </c>
      <c r="EE94">
        <f ca="1"/>
      </c>
      <c r="EF94">
        <f ca="1"/>
      </c>
      <c r="EG94">
        <f ca="1"/>
      </c>
      <c r="EH94">
        <f ca="1"/>
      </c>
      <c r="EI94">
        <f ca="1"/>
      </c>
      <c r="EJ94">
        <f ca="1"/>
      </c>
      <c r="EK94">
        <f ca="1"/>
      </c>
      <c r="EL94">
        <f ca="1"/>
      </c>
      <c r="EM94">
        <f ca="1"/>
      </c>
      <c r="EN94">
        <f ca="1"/>
      </c>
      <c r="EO94">
        <f ca="1"/>
      </c>
      <c r="EP94">
        <f ca="1"/>
      </c>
      <c r="EQ94">
        <f ca="1"/>
      </c>
      <c r="ER94">
        <f ca="1"/>
      </c>
      <c r="ES94">
        <f ca="1"/>
      </c>
      <c r="ET94">
        <f ca="1"/>
      </c>
      <c r="EU94">
        <f ca="1"/>
      </c>
      <c r="EV94">
        <f ca="1"/>
      </c>
      <c r="EW94">
        <f ca="1"/>
      </c>
      <c r="EX94">
        <f ca="1"/>
      </c>
      <c r="EY94">
        <f ca="1"/>
      </c>
      <c r="EZ94">
        <f ca="1"/>
      </c>
      <c r="FA94">
        <f ca="1"/>
      </c>
      <c r="FC94">
        <f ca="1"/>
      </c>
      <c r="FD94">
        <f ca="1"/>
      </c>
      <c r="FE94">
        <f ca="1"/>
      </c>
      <c r="FF94">
        <f ca="1"/>
      </c>
      <c r="FG94">
        <f ca="1"/>
      </c>
      <c r="FH94">
        <f ca="1"/>
      </c>
      <c r="FI94">
        <f ca="1"/>
      </c>
      <c r="FJ94">
        <f ca="1"/>
      </c>
      <c r="FK94">
        <f ca="1"/>
      </c>
      <c r="FL94">
        <f ca="1"/>
      </c>
      <c r="FM94">
        <f ca="1"/>
      </c>
      <c r="FN94">
        <f ca="1"/>
      </c>
      <c r="FO94">
        <f ca="1"/>
      </c>
      <c r="FP94">
        <f ca="1"/>
      </c>
      <c r="FQ94">
        <f ca="1"/>
      </c>
      <c r="FR94">
        <f ca="1"/>
      </c>
      <c r="FS94">
        <f ca="1"/>
      </c>
      <c r="FT94">
        <f ca="1"/>
      </c>
      <c r="FU94">
        <f ca="1"/>
      </c>
      <c r="FV94">
        <f ca="1"/>
      </c>
      <c r="FW94">
        <f ca="1"/>
      </c>
      <c r="FX94">
        <f ca="1"/>
      </c>
      <c r="FY94">
        <f ca="1"/>
      </c>
      <c r="FZ94">
        <f ca="1"/>
      </c>
      <c r="GA94">
        <f ca="1"/>
      </c>
      <c r="GB94">
        <f ca="1"/>
      </c>
      <c r="GC94">
        <f ca="1"/>
      </c>
      <c r="GD94">
        <f ca="1"/>
      </c>
      <c r="GE94">
        <f ca="1"/>
      </c>
      <c r="GF94">
        <f ca="1"/>
      </c>
      <c r="GG94">
        <f ca="1"/>
      </c>
      <c r="GH94">
        <f ca="1"/>
      </c>
      <c r="GI94">
        <f ca="1"/>
      </c>
      <c r="GJ94">
        <f ca="1"/>
      </c>
      <c r="GK94">
        <f ca="1"/>
      </c>
      <c r="GL94">
        <f ca="1"/>
      </c>
      <c r="GM94">
        <f ca="1"/>
      </c>
      <c r="GN94">
        <f ca="1"/>
      </c>
      <c r="GO94">
        <f ca="1"/>
      </c>
      <c r="GP94">
        <f ca="1"/>
      </c>
      <c r="GQ94">
        <f ca="1"/>
      </c>
      <c r="GR94">
        <f ca="1"/>
      </c>
      <c r="GS94">
        <f ca="1"/>
      </c>
      <c r="GT94">
        <f ca="1"/>
      </c>
      <c r="GU94">
        <f ca="1"/>
      </c>
      <c r="GV94">
        <f ca="1"/>
      </c>
      <c r="GW94">
        <f ca="1"/>
      </c>
      <c r="HI94" s="7">
        <f ca="1"/>
      </c>
      <c r="HJ94">
        <f ca="1"/>
      </c>
      <c r="HK94">
        <f ca="1"/>
      </c>
      <c r="HL94">
        <f ca="1"/>
      </c>
      <c r="HM94">
        <f ca="1"/>
      </c>
    </row>
    <row r="95" spans="63:221" x14ac:dyDescent="0.55000000000000004">
      <c r="BK95">
        <f ca="1"/>
      </c>
      <c r="BL95">
        <f ca="1"/>
      </c>
      <c r="BM95">
        <f ca="1"/>
      </c>
      <c r="BN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  <c r="BV95">
        <f ca="1"/>
      </c>
      <c r="BW95">
        <f ca="1"/>
      </c>
      <c r="BX95">
        <f ca="1"/>
      </c>
      <c r="BY95">
        <f ca="1"/>
      </c>
      <c r="BZ95">
        <f ca="1"/>
      </c>
      <c r="CA95">
        <f ca="1"/>
      </c>
      <c r="CB95">
        <f ca="1"/>
      </c>
      <c r="CC95">
        <f ca="1"/>
      </c>
      <c r="CD95">
        <f ca="1"/>
      </c>
      <c r="CE95">
        <f ca="1"/>
      </c>
      <c r="CF95">
        <f ca="1"/>
      </c>
      <c r="CG95">
        <f ca="1"/>
      </c>
      <c r="CH95">
        <f ca="1"/>
      </c>
      <c r="CI95">
        <f ca="1"/>
      </c>
      <c r="CJ95">
        <f ca="1"/>
      </c>
      <c r="CK95">
        <f ca="1"/>
      </c>
      <c r="CL95">
        <f ca="1"/>
      </c>
      <c r="CM95">
        <f ca="1"/>
      </c>
      <c r="CN95">
        <f ca="1"/>
      </c>
      <c r="CO95">
        <f ca="1"/>
      </c>
      <c r="CP95">
        <f ca="1"/>
      </c>
      <c r="CQ95">
        <f ca="1"/>
      </c>
      <c r="CR95">
        <f ca="1"/>
      </c>
      <c r="CS95">
        <f ca="1"/>
      </c>
      <c r="CT95">
        <f ca="1"/>
      </c>
      <c r="CU95">
        <f ca="1"/>
      </c>
      <c r="CV95">
        <f ca="1"/>
      </c>
      <c r="CW95">
        <f ca="1"/>
      </c>
      <c r="CX95">
        <f ca="1"/>
      </c>
      <c r="CY95">
        <f ca="1"/>
      </c>
      <c r="CZ95">
        <f ca="1"/>
      </c>
      <c r="DA95">
        <f ca="1"/>
      </c>
      <c r="DB95">
        <f ca="1"/>
      </c>
      <c r="DC95">
        <f ca="1"/>
      </c>
      <c r="DD95">
        <f ca="1"/>
      </c>
      <c r="DE95">
        <f ca="1"/>
      </c>
      <c r="DG95">
        <f ca="1"/>
      </c>
      <c r="DH95">
        <f ca="1"/>
      </c>
      <c r="DI95">
        <f ca="1"/>
      </c>
      <c r="DJ95">
        <f ca="1"/>
      </c>
      <c r="DK95">
        <f ca="1"/>
      </c>
      <c r="DL95">
        <f ca="1"/>
      </c>
      <c r="DM95">
        <f ca="1"/>
      </c>
      <c r="DN95">
        <f ca="1"/>
      </c>
      <c r="DO95">
        <f ca="1"/>
      </c>
      <c r="DP95">
        <f ca="1"/>
      </c>
      <c r="DQ95">
        <f ca="1"/>
      </c>
      <c r="DR95">
        <f ca="1"/>
      </c>
      <c r="DS95">
        <f ca="1"/>
      </c>
      <c r="DT95">
        <f ca="1"/>
      </c>
      <c r="DU95">
        <f ca="1"/>
      </c>
      <c r="DV95">
        <f ca="1"/>
      </c>
      <c r="DW95">
        <f ca="1"/>
      </c>
      <c r="DX95">
        <f ca="1"/>
      </c>
      <c r="DY95">
        <f ca="1"/>
      </c>
      <c r="DZ95">
        <f ca="1"/>
      </c>
      <c r="EA95">
        <f ca="1"/>
      </c>
      <c r="EB95">
        <f ca="1"/>
      </c>
      <c r="EC95">
        <f ca="1"/>
      </c>
      <c r="ED95">
        <f ca="1"/>
      </c>
      <c r="EE95">
        <f ca="1"/>
      </c>
      <c r="EF95">
        <f ca="1"/>
      </c>
      <c r="EG95">
        <f ca="1"/>
      </c>
      <c r="EH95">
        <f ca="1"/>
      </c>
      <c r="EI95">
        <f ca="1"/>
      </c>
      <c r="EJ95">
        <f ca="1"/>
      </c>
      <c r="EK95">
        <f ca="1"/>
      </c>
      <c r="EL95">
        <f ca="1"/>
      </c>
      <c r="EM95">
        <f ca="1"/>
      </c>
      <c r="EN95">
        <f ca="1"/>
      </c>
      <c r="EO95">
        <f ca="1"/>
      </c>
      <c r="EP95">
        <f ca="1"/>
      </c>
      <c r="EQ95">
        <f ca="1"/>
      </c>
      <c r="ER95">
        <f ca="1"/>
      </c>
      <c r="ES95">
        <f ca="1"/>
      </c>
      <c r="ET95">
        <f ca="1"/>
      </c>
      <c r="EU95">
        <f ca="1"/>
      </c>
      <c r="EV95">
        <f ca="1"/>
      </c>
      <c r="EW95">
        <f ca="1"/>
      </c>
      <c r="EX95">
        <f ca="1"/>
      </c>
      <c r="EY95">
        <f ca="1"/>
      </c>
      <c r="EZ95">
        <f ca="1"/>
      </c>
      <c r="FA95">
        <f ca="1"/>
      </c>
      <c r="FC95">
        <f ca="1"/>
      </c>
      <c r="FD95">
        <f ca="1"/>
      </c>
      <c r="FE95">
        <f ca="1"/>
      </c>
      <c r="FF95">
        <f ca="1"/>
      </c>
      <c r="FG95">
        <f ca="1"/>
      </c>
      <c r="FH95">
        <f ca="1"/>
      </c>
      <c r="FI95">
        <f ca="1"/>
      </c>
      <c r="FJ95">
        <f ca="1"/>
      </c>
      <c r="FK95">
        <f ca="1"/>
      </c>
      <c r="FL95">
        <f ca="1"/>
      </c>
      <c r="FM95">
        <f ca="1"/>
      </c>
      <c r="FN95">
        <f ca="1"/>
      </c>
      <c r="FO95">
        <f ca="1"/>
      </c>
      <c r="FP95">
        <f ca="1"/>
      </c>
      <c r="FQ95">
        <f ca="1"/>
      </c>
      <c r="FR95">
        <f ca="1"/>
      </c>
      <c r="FS95">
        <f ca="1"/>
      </c>
      <c r="FT95">
        <f ca="1"/>
      </c>
      <c r="FU95">
        <f ca="1"/>
      </c>
      <c r="FV95">
        <f ca="1"/>
      </c>
      <c r="FW95">
        <f ca="1"/>
      </c>
      <c r="FX95">
        <f ca="1"/>
      </c>
      <c r="FY95">
        <f ca="1"/>
      </c>
      <c r="FZ95">
        <f ca="1"/>
      </c>
      <c r="GA95">
        <f ca="1"/>
      </c>
      <c r="GB95">
        <f ca="1"/>
      </c>
      <c r="GC95">
        <f ca="1"/>
      </c>
      <c r="GD95">
        <f ca="1"/>
      </c>
      <c r="GE95">
        <f ca="1"/>
      </c>
      <c r="GF95">
        <f ca="1"/>
      </c>
      <c r="GG95">
        <f ca="1"/>
      </c>
      <c r="GH95">
        <f ca="1"/>
      </c>
      <c r="GI95">
        <f ca="1"/>
      </c>
      <c r="GJ95">
        <f ca="1"/>
      </c>
      <c r="GK95">
        <f ca="1"/>
      </c>
      <c r="GL95">
        <f ca="1"/>
      </c>
      <c r="GM95">
        <f ca="1"/>
      </c>
      <c r="GN95">
        <f ca="1"/>
      </c>
      <c r="GO95">
        <f ca="1"/>
      </c>
      <c r="GP95">
        <f ca="1"/>
      </c>
      <c r="GQ95">
        <f ca="1"/>
      </c>
      <c r="GR95">
        <f ca="1"/>
      </c>
      <c r="GS95">
        <f ca="1"/>
      </c>
      <c r="GT95">
        <f ca="1"/>
      </c>
      <c r="GU95">
        <f ca="1"/>
      </c>
      <c r="GV95">
        <f ca="1"/>
      </c>
      <c r="GW95">
        <f ca="1"/>
      </c>
      <c r="HI95" s="7">
        <f ca="1"/>
      </c>
      <c r="HJ95">
        <f ca="1"/>
      </c>
      <c r="HK95">
        <f ca="1"/>
      </c>
      <c r="HL95">
        <f ca="1"/>
      </c>
      <c r="HM95">
        <f ca="1"/>
      </c>
    </row>
    <row r="96" spans="63:221" x14ac:dyDescent="0.55000000000000004">
      <c r="BK96">
        <f ca="1"/>
      </c>
      <c r="BL96">
        <f ca="1"/>
      </c>
      <c r="BM96">
        <f ca="1"/>
      </c>
      <c r="BN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  <c r="BV96">
        <f ca="1"/>
      </c>
      <c r="BW96">
        <f ca="1"/>
      </c>
      <c r="BX96">
        <f ca="1"/>
      </c>
      <c r="BY96">
        <f ca="1"/>
      </c>
      <c r="BZ96">
        <f ca="1"/>
      </c>
      <c r="CA96">
        <f ca="1"/>
      </c>
      <c r="CB96">
        <f ca="1"/>
      </c>
      <c r="CC96">
        <f ca="1"/>
      </c>
      <c r="CD96">
        <f ca="1"/>
      </c>
      <c r="CE96">
        <f ca="1"/>
      </c>
      <c r="CF96">
        <f ca="1"/>
      </c>
      <c r="CG96">
        <f ca="1"/>
      </c>
      <c r="CH96">
        <f ca="1"/>
      </c>
      <c r="CI96">
        <f ca="1"/>
      </c>
      <c r="CJ96">
        <f ca="1"/>
      </c>
      <c r="CK96">
        <f ca="1"/>
      </c>
      <c r="CL96">
        <f ca="1"/>
      </c>
      <c r="CM96">
        <f ca="1"/>
      </c>
      <c r="CN96">
        <f ca="1"/>
      </c>
      <c r="CO96">
        <f ca="1"/>
      </c>
      <c r="CP96">
        <f ca="1"/>
      </c>
      <c r="CQ96">
        <f ca="1"/>
      </c>
      <c r="CR96">
        <f ca="1"/>
      </c>
      <c r="CS96">
        <f ca="1"/>
      </c>
      <c r="CT96">
        <f ca="1"/>
      </c>
      <c r="CU96">
        <f ca="1"/>
      </c>
      <c r="CV96">
        <f ca="1"/>
      </c>
      <c r="CW96">
        <f ca="1"/>
      </c>
      <c r="CX96">
        <f ca="1"/>
      </c>
      <c r="CY96">
        <f ca="1"/>
      </c>
      <c r="CZ96">
        <f ca="1"/>
      </c>
      <c r="DA96">
        <f ca="1"/>
      </c>
      <c r="DB96">
        <f ca="1"/>
      </c>
      <c r="DC96">
        <f ca="1"/>
      </c>
      <c r="DD96">
        <f ca="1"/>
      </c>
      <c r="DE96">
        <f ca="1"/>
      </c>
      <c r="DG96">
        <f ca="1"/>
      </c>
      <c r="DH96">
        <f ca="1"/>
      </c>
      <c r="DI96">
        <f ca="1"/>
      </c>
      <c r="DJ96">
        <f ca="1"/>
      </c>
      <c r="DK96">
        <f ca="1"/>
      </c>
      <c r="DL96">
        <f ca="1"/>
      </c>
      <c r="DM96">
        <f ca="1"/>
      </c>
      <c r="DN96">
        <f ca="1"/>
      </c>
      <c r="DO96">
        <f ca="1"/>
      </c>
      <c r="DP96">
        <f ca="1"/>
      </c>
      <c r="DQ96">
        <f ca="1"/>
      </c>
      <c r="DR96">
        <f ca="1"/>
      </c>
      <c r="DS96">
        <f ca="1"/>
      </c>
      <c r="DT96">
        <f ca="1"/>
      </c>
      <c r="DU96">
        <f ca="1"/>
      </c>
      <c r="DV96">
        <f ca="1"/>
      </c>
      <c r="DW96">
        <f ca="1"/>
      </c>
      <c r="DX96">
        <f ca="1"/>
      </c>
      <c r="DY96">
        <f ca="1"/>
      </c>
      <c r="DZ96">
        <f ca="1"/>
      </c>
      <c r="EA96">
        <f ca="1"/>
      </c>
      <c r="EB96">
        <f ca="1"/>
      </c>
      <c r="EC96">
        <f ca="1"/>
      </c>
      <c r="ED96">
        <f ca="1"/>
      </c>
      <c r="EE96">
        <f ca="1"/>
      </c>
      <c r="EF96">
        <f ca="1"/>
      </c>
      <c r="EG96">
        <f ca="1"/>
      </c>
      <c r="EH96">
        <f ca="1"/>
      </c>
      <c r="EI96">
        <f ca="1"/>
      </c>
      <c r="EJ96">
        <f ca="1"/>
      </c>
      <c r="EK96">
        <f ca="1"/>
      </c>
      <c r="EL96">
        <f ca="1"/>
      </c>
      <c r="EM96">
        <f ca="1"/>
      </c>
      <c r="EN96">
        <f ca="1"/>
      </c>
      <c r="EO96">
        <f ca="1"/>
      </c>
      <c r="EP96">
        <f ca="1"/>
      </c>
      <c r="EQ96">
        <f ca="1"/>
      </c>
      <c r="ER96">
        <f ca="1"/>
      </c>
      <c r="ES96">
        <f ca="1"/>
      </c>
      <c r="ET96">
        <f ca="1"/>
      </c>
      <c r="EU96">
        <f ca="1"/>
      </c>
      <c r="EV96">
        <f ca="1"/>
      </c>
      <c r="EW96">
        <f ca="1"/>
      </c>
      <c r="EX96">
        <f ca="1"/>
      </c>
      <c r="EY96">
        <f ca="1"/>
      </c>
      <c r="EZ96">
        <f ca="1"/>
      </c>
      <c r="FA96">
        <f ca="1"/>
      </c>
      <c r="FC96">
        <f ca="1"/>
      </c>
      <c r="FD96">
        <f ca="1"/>
      </c>
      <c r="FE96">
        <f ca="1"/>
      </c>
      <c r="FF96">
        <f ca="1"/>
      </c>
      <c r="FG96">
        <f ca="1"/>
      </c>
      <c r="FH96">
        <f ca="1"/>
      </c>
      <c r="FI96">
        <f ca="1"/>
      </c>
      <c r="FJ96">
        <f ca="1"/>
      </c>
      <c r="FK96">
        <f ca="1"/>
      </c>
      <c r="FL96">
        <f ca="1"/>
      </c>
      <c r="FM96">
        <f ca="1"/>
      </c>
      <c r="FN96">
        <f ca="1"/>
      </c>
      <c r="FO96">
        <f ca="1"/>
      </c>
      <c r="FP96">
        <f ca="1"/>
      </c>
      <c r="FQ96">
        <f ca="1"/>
      </c>
      <c r="FR96">
        <f ca="1"/>
      </c>
      <c r="FS96">
        <f ca="1"/>
      </c>
      <c r="FT96">
        <f ca="1"/>
      </c>
      <c r="FU96">
        <f ca="1"/>
      </c>
      <c r="FV96">
        <f ca="1"/>
      </c>
      <c r="FW96">
        <f ca="1"/>
      </c>
      <c r="FX96">
        <f ca="1"/>
      </c>
      <c r="FY96">
        <f ca="1"/>
      </c>
      <c r="FZ96">
        <f ca="1"/>
      </c>
      <c r="GA96">
        <f ca="1"/>
      </c>
      <c r="GB96">
        <f ca="1"/>
      </c>
      <c r="GC96">
        <f ca="1"/>
      </c>
      <c r="GD96">
        <f ca="1"/>
      </c>
      <c r="GE96">
        <f ca="1"/>
      </c>
      <c r="GF96">
        <f ca="1"/>
      </c>
      <c r="GG96">
        <f ca="1"/>
      </c>
      <c r="GH96">
        <f ca="1"/>
      </c>
      <c r="GI96">
        <f ca="1"/>
      </c>
      <c r="GJ96">
        <f ca="1"/>
      </c>
      <c r="GK96">
        <f ca="1"/>
      </c>
      <c r="GL96">
        <f ca="1"/>
      </c>
      <c r="GM96">
        <f ca="1"/>
      </c>
      <c r="GN96">
        <f ca="1"/>
      </c>
      <c r="GO96">
        <f ca="1"/>
      </c>
      <c r="GP96">
        <f ca="1"/>
      </c>
      <c r="GQ96">
        <f ca="1"/>
      </c>
      <c r="GR96">
        <f ca="1"/>
      </c>
      <c r="GS96">
        <f ca="1"/>
      </c>
      <c r="GT96">
        <f ca="1"/>
      </c>
      <c r="GU96">
        <f ca="1"/>
      </c>
      <c r="GV96">
        <f ca="1"/>
      </c>
      <c r="GW96">
        <f ca="1"/>
      </c>
      <c r="HI96" s="7">
        <f ca="1"/>
      </c>
      <c r="HJ96">
        <f ca="1"/>
      </c>
      <c r="HK96">
        <f ca="1"/>
      </c>
      <c r="HL96">
        <f ca="1"/>
      </c>
      <c r="HM96">
        <f ca="1"/>
      </c>
    </row>
    <row r="97" spans="63:221" x14ac:dyDescent="0.55000000000000004">
      <c r="BK97">
        <f ca="1"/>
      </c>
      <c r="BL97">
        <f ca="1"/>
      </c>
      <c r="BM97">
        <f ca="1"/>
      </c>
      <c r="BN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  <c r="BV97">
        <f ca="1"/>
      </c>
      <c r="BW97">
        <f ca="1"/>
      </c>
      <c r="BX97">
        <f ca="1"/>
      </c>
      <c r="BY97">
        <f ca="1"/>
      </c>
      <c r="BZ97">
        <f ca="1"/>
      </c>
      <c r="CA97">
        <f ca="1"/>
      </c>
      <c r="CB97">
        <f ca="1"/>
      </c>
      <c r="CC97">
        <f ca="1"/>
      </c>
      <c r="CD97">
        <f ca="1"/>
      </c>
      <c r="CE97">
        <f ca="1"/>
      </c>
      <c r="CF97">
        <f ca="1"/>
      </c>
      <c r="CG97">
        <f ca="1"/>
      </c>
      <c r="CH97">
        <f ca="1"/>
      </c>
      <c r="CI97">
        <f ca="1"/>
      </c>
      <c r="CJ97">
        <f ca="1"/>
      </c>
      <c r="CK97">
        <f ca="1"/>
      </c>
      <c r="CL97">
        <f ca="1"/>
      </c>
      <c r="CM97">
        <f ca="1"/>
      </c>
      <c r="CN97">
        <f ca="1"/>
      </c>
      <c r="CO97">
        <f ca="1"/>
      </c>
      <c r="CP97">
        <f ca="1"/>
      </c>
      <c r="CQ97">
        <f ca="1"/>
      </c>
      <c r="CR97">
        <f ca="1"/>
      </c>
      <c r="CS97">
        <f ca="1"/>
      </c>
      <c r="CT97">
        <f ca="1"/>
      </c>
      <c r="CU97">
        <f ca="1"/>
      </c>
      <c r="CV97">
        <f ca="1"/>
      </c>
      <c r="CW97">
        <f ca="1"/>
      </c>
      <c r="CX97">
        <f ca="1"/>
      </c>
      <c r="CY97">
        <f ca="1"/>
      </c>
      <c r="CZ97">
        <f ca="1"/>
      </c>
      <c r="DA97">
        <f ca="1"/>
      </c>
      <c r="DB97">
        <f ca="1"/>
      </c>
      <c r="DC97">
        <f ca="1"/>
      </c>
      <c r="DD97">
        <f ca="1"/>
      </c>
      <c r="DE97">
        <f ca="1"/>
      </c>
      <c r="DG97">
        <f ca="1"/>
      </c>
      <c r="DH97">
        <f ca="1"/>
      </c>
      <c r="DI97">
        <f ca="1"/>
      </c>
      <c r="DJ97">
        <f ca="1"/>
      </c>
      <c r="DK97">
        <f ca="1"/>
      </c>
      <c r="DL97">
        <f ca="1"/>
      </c>
      <c r="DM97">
        <f ca="1"/>
      </c>
      <c r="DN97">
        <f ca="1"/>
      </c>
      <c r="DO97">
        <f ca="1"/>
      </c>
      <c r="DP97">
        <f ca="1"/>
      </c>
      <c r="DQ97">
        <f ca="1"/>
      </c>
      <c r="DR97">
        <f ca="1"/>
      </c>
      <c r="DS97">
        <f ca="1"/>
      </c>
      <c r="DT97">
        <f ca="1"/>
      </c>
      <c r="DU97">
        <f ca="1"/>
      </c>
      <c r="DV97">
        <f ca="1"/>
      </c>
      <c r="DW97">
        <f ca="1"/>
      </c>
      <c r="DX97">
        <f ca="1"/>
      </c>
      <c r="DY97">
        <f ca="1"/>
      </c>
      <c r="DZ97">
        <f ca="1"/>
      </c>
      <c r="EA97">
        <f ca="1"/>
      </c>
      <c r="EB97">
        <f ca="1"/>
      </c>
      <c r="EC97">
        <f ca="1"/>
      </c>
      <c r="ED97">
        <f ca="1"/>
      </c>
      <c r="EE97">
        <f ca="1"/>
      </c>
      <c r="EF97">
        <f ca="1"/>
      </c>
      <c r="EG97">
        <f ca="1"/>
      </c>
      <c r="EH97">
        <f ca="1"/>
      </c>
      <c r="EI97">
        <f ca="1"/>
      </c>
      <c r="EJ97">
        <f ca="1"/>
      </c>
      <c r="EK97">
        <f ca="1"/>
      </c>
      <c r="EL97">
        <f ca="1"/>
      </c>
      <c r="EM97">
        <f ca="1"/>
      </c>
      <c r="EN97">
        <f ca="1"/>
      </c>
      <c r="EO97">
        <f ca="1"/>
      </c>
      <c r="EP97">
        <f ca="1"/>
      </c>
      <c r="EQ97">
        <f ca="1"/>
      </c>
      <c r="ER97">
        <f ca="1"/>
      </c>
      <c r="ES97">
        <f ca="1"/>
      </c>
      <c r="ET97">
        <f ca="1"/>
      </c>
      <c r="EU97">
        <f ca="1"/>
      </c>
      <c r="EV97">
        <f ca="1"/>
      </c>
      <c r="EW97">
        <f ca="1"/>
      </c>
      <c r="EX97">
        <f ca="1"/>
      </c>
      <c r="EY97">
        <f ca="1"/>
      </c>
      <c r="EZ97">
        <f ca="1"/>
      </c>
      <c r="FA97">
        <f ca="1"/>
      </c>
      <c r="FC97">
        <f ca="1"/>
      </c>
      <c r="FD97">
        <f ca="1"/>
      </c>
      <c r="FE97">
        <f ca="1"/>
      </c>
      <c r="FF97">
        <f ca="1"/>
      </c>
      <c r="FG97">
        <f ca="1"/>
      </c>
      <c r="FH97">
        <f ca="1"/>
      </c>
      <c r="FI97">
        <f ca="1"/>
      </c>
      <c r="FJ97">
        <f ca="1"/>
      </c>
      <c r="FK97">
        <f ca="1"/>
      </c>
      <c r="FL97">
        <f ca="1"/>
      </c>
      <c r="FM97">
        <f ca="1"/>
      </c>
      <c r="FN97">
        <f ca="1"/>
      </c>
      <c r="FO97">
        <f ca="1"/>
      </c>
      <c r="FP97">
        <f ca="1"/>
      </c>
      <c r="FQ97">
        <f ca="1"/>
      </c>
      <c r="FR97">
        <f ca="1"/>
      </c>
      <c r="FS97">
        <f ca="1"/>
      </c>
      <c r="FT97">
        <f ca="1"/>
      </c>
      <c r="FU97">
        <f ca="1"/>
      </c>
      <c r="FV97">
        <f ca="1"/>
      </c>
      <c r="FW97">
        <f ca="1"/>
      </c>
      <c r="FX97">
        <f ca="1"/>
      </c>
      <c r="FY97">
        <f ca="1"/>
      </c>
      <c r="FZ97">
        <f ca="1"/>
      </c>
      <c r="GA97">
        <f ca="1"/>
      </c>
      <c r="GB97">
        <f ca="1"/>
      </c>
      <c r="GC97">
        <f ca="1"/>
      </c>
      <c r="GD97">
        <f ca="1"/>
      </c>
      <c r="GE97">
        <f ca="1"/>
      </c>
      <c r="GF97">
        <f ca="1"/>
      </c>
      <c r="GG97">
        <f ca="1"/>
      </c>
      <c r="GH97">
        <f ca="1"/>
      </c>
      <c r="GI97">
        <f ca="1"/>
      </c>
      <c r="GJ97">
        <f ca="1"/>
      </c>
      <c r="GK97">
        <f ca="1"/>
      </c>
      <c r="GL97">
        <f ca="1"/>
      </c>
      <c r="GM97">
        <f ca="1"/>
      </c>
      <c r="GN97">
        <f ca="1"/>
      </c>
      <c r="GO97">
        <f ca="1"/>
      </c>
      <c r="GP97">
        <f ca="1"/>
      </c>
      <c r="GQ97">
        <f ca="1"/>
      </c>
      <c r="GR97">
        <f ca="1"/>
      </c>
      <c r="GS97">
        <f ca="1"/>
      </c>
      <c r="GT97">
        <f ca="1"/>
      </c>
      <c r="GU97">
        <f ca="1"/>
      </c>
      <c r="GV97">
        <f ca="1"/>
      </c>
      <c r="GW97">
        <f ca="1"/>
      </c>
      <c r="HI97" s="7">
        <f ca="1"/>
      </c>
      <c r="HJ97">
        <f ca="1"/>
      </c>
      <c r="HK97">
        <f ca="1"/>
      </c>
      <c r="HL97">
        <f ca="1"/>
      </c>
      <c r="HM97">
        <f ca="1"/>
      </c>
    </row>
    <row r="98" spans="63:221" x14ac:dyDescent="0.55000000000000004">
      <c r="BK98">
        <f ca="1"/>
      </c>
      <c r="BL98">
        <f ca="1"/>
      </c>
      <c r="BM98">
        <f ca="1"/>
      </c>
      <c r="BN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  <c r="BV98">
        <f ca="1"/>
      </c>
      <c r="BW98">
        <f ca="1"/>
      </c>
      <c r="BX98">
        <f ca="1"/>
      </c>
      <c r="BY98">
        <f ca="1"/>
      </c>
      <c r="BZ98">
        <f ca="1"/>
      </c>
      <c r="CA98">
        <f ca="1"/>
      </c>
      <c r="CB98">
        <f ca="1"/>
      </c>
      <c r="CC98">
        <f ca="1"/>
      </c>
      <c r="CD98">
        <f ca="1"/>
      </c>
      <c r="CE98">
        <f ca="1"/>
      </c>
      <c r="CF98">
        <f ca="1"/>
      </c>
      <c r="CG98">
        <f ca="1"/>
      </c>
      <c r="CH98">
        <f ca="1"/>
      </c>
      <c r="CI98">
        <f ca="1"/>
      </c>
      <c r="CJ98">
        <f ca="1"/>
      </c>
      <c r="CK98">
        <f ca="1"/>
      </c>
      <c r="CL98">
        <f ca="1"/>
      </c>
      <c r="CM98">
        <f ca="1"/>
      </c>
      <c r="CN98">
        <f ca="1"/>
      </c>
      <c r="CO98">
        <f ca="1"/>
      </c>
      <c r="CP98">
        <f ca="1"/>
      </c>
      <c r="CQ98">
        <f ca="1"/>
      </c>
      <c r="CR98">
        <f ca="1"/>
      </c>
      <c r="CS98">
        <f ca="1"/>
      </c>
      <c r="CT98">
        <f ca="1"/>
      </c>
      <c r="CU98">
        <f ca="1"/>
      </c>
      <c r="CV98">
        <f ca="1"/>
      </c>
      <c r="CW98">
        <f ca="1"/>
      </c>
      <c r="CX98">
        <f ca="1"/>
      </c>
      <c r="CY98">
        <f ca="1"/>
      </c>
      <c r="CZ98">
        <f ca="1"/>
      </c>
      <c r="DA98">
        <f ca="1"/>
      </c>
      <c r="DB98">
        <f ca="1"/>
      </c>
      <c r="DC98">
        <f ca="1"/>
      </c>
      <c r="DD98">
        <f ca="1"/>
      </c>
      <c r="DE98">
        <f ca="1"/>
      </c>
      <c r="DG98">
        <f ca="1"/>
      </c>
      <c r="DH98">
        <f ca="1"/>
      </c>
      <c r="DI98">
        <f ca="1"/>
      </c>
      <c r="DJ98">
        <f ca="1"/>
      </c>
      <c r="DK98">
        <f ca="1"/>
      </c>
      <c r="DL98">
        <f ca="1"/>
      </c>
      <c r="DM98">
        <f ca="1"/>
      </c>
      <c r="DN98">
        <f ca="1"/>
      </c>
      <c r="DO98">
        <f ca="1"/>
      </c>
      <c r="DP98">
        <f ca="1"/>
      </c>
      <c r="DQ98">
        <f ca="1"/>
      </c>
      <c r="DR98">
        <f ca="1"/>
      </c>
      <c r="DS98">
        <f ca="1"/>
      </c>
      <c r="DT98">
        <f ca="1"/>
      </c>
      <c r="DU98">
        <f ca="1"/>
      </c>
      <c r="DV98">
        <f ca="1"/>
      </c>
      <c r="DW98">
        <f ca="1"/>
      </c>
      <c r="DX98">
        <f ca="1"/>
      </c>
      <c r="DY98">
        <f ca="1"/>
      </c>
      <c r="DZ98">
        <f ca="1"/>
      </c>
      <c r="EA98">
        <f ca="1"/>
      </c>
      <c r="EB98">
        <f ca="1"/>
      </c>
      <c r="EC98">
        <f ca="1"/>
      </c>
      <c r="ED98">
        <f ca="1"/>
      </c>
      <c r="EE98">
        <f ca="1"/>
      </c>
      <c r="EF98">
        <f ca="1"/>
      </c>
      <c r="EG98">
        <f ca="1"/>
      </c>
      <c r="EH98">
        <f ca="1"/>
      </c>
      <c r="EI98">
        <f ca="1"/>
      </c>
      <c r="EJ98">
        <f ca="1"/>
      </c>
      <c r="EK98">
        <f ca="1"/>
      </c>
      <c r="EL98">
        <f ca="1"/>
      </c>
      <c r="EM98">
        <f ca="1"/>
      </c>
      <c r="EN98">
        <f ca="1"/>
      </c>
      <c r="EO98">
        <f ca="1"/>
      </c>
      <c r="EP98">
        <f ca="1"/>
      </c>
      <c r="EQ98">
        <f ca="1"/>
      </c>
      <c r="ER98">
        <f ca="1"/>
      </c>
      <c r="ES98">
        <f ca="1"/>
      </c>
      <c r="ET98">
        <f ca="1"/>
      </c>
      <c r="EU98">
        <f ca="1"/>
      </c>
      <c r="EV98">
        <f ca="1"/>
      </c>
      <c r="EW98">
        <f ca="1"/>
      </c>
      <c r="EX98">
        <f ca="1"/>
      </c>
      <c r="EY98">
        <f ca="1"/>
      </c>
      <c r="EZ98">
        <f ca="1"/>
      </c>
      <c r="FA98">
        <f ca="1"/>
      </c>
      <c r="FC98">
        <f ca="1"/>
      </c>
      <c r="FD98">
        <f ca="1"/>
      </c>
      <c r="FE98">
        <f ca="1"/>
      </c>
      <c r="FF98">
        <f ca="1"/>
      </c>
      <c r="FG98">
        <f ca="1"/>
      </c>
      <c r="FH98">
        <f ca="1"/>
      </c>
      <c r="FI98">
        <f ca="1"/>
      </c>
      <c r="FJ98">
        <f ca="1"/>
      </c>
      <c r="FK98">
        <f ca="1"/>
      </c>
      <c r="FL98">
        <f ca="1"/>
      </c>
      <c r="FM98">
        <f ca="1"/>
      </c>
      <c r="FN98">
        <f ca="1"/>
      </c>
      <c r="FO98">
        <f ca="1"/>
      </c>
      <c r="FP98">
        <f ca="1"/>
      </c>
      <c r="FQ98">
        <f ca="1"/>
      </c>
      <c r="FR98">
        <f ca="1"/>
      </c>
      <c r="FS98">
        <f ca="1"/>
      </c>
      <c r="FT98">
        <f ca="1"/>
      </c>
      <c r="FU98">
        <f ca="1"/>
      </c>
      <c r="FV98">
        <f ca="1"/>
      </c>
      <c r="FW98">
        <f ca="1"/>
      </c>
      <c r="FX98">
        <f ca="1"/>
      </c>
      <c r="FY98">
        <f ca="1"/>
      </c>
      <c r="FZ98">
        <f ca="1"/>
      </c>
      <c r="GA98">
        <f ca="1"/>
      </c>
      <c r="GB98">
        <f ca="1"/>
      </c>
      <c r="GC98">
        <f ca="1"/>
      </c>
      <c r="GD98">
        <f ca="1"/>
      </c>
      <c r="GE98">
        <f ca="1"/>
      </c>
      <c r="GF98">
        <f ca="1"/>
      </c>
      <c r="GG98">
        <f ca="1"/>
      </c>
      <c r="GH98">
        <f ca="1"/>
      </c>
      <c r="GI98">
        <f ca="1"/>
      </c>
      <c r="GJ98">
        <f ca="1"/>
      </c>
      <c r="GK98">
        <f ca="1"/>
      </c>
      <c r="GL98">
        <f ca="1"/>
      </c>
      <c r="GM98">
        <f ca="1"/>
      </c>
      <c r="GN98">
        <f ca="1"/>
      </c>
      <c r="GO98">
        <f ca="1"/>
      </c>
      <c r="GP98">
        <f ca="1"/>
      </c>
      <c r="GQ98">
        <f ca="1"/>
      </c>
      <c r="GR98">
        <f ca="1"/>
      </c>
      <c r="GS98">
        <f ca="1"/>
      </c>
      <c r="GT98">
        <f ca="1"/>
      </c>
      <c r="GU98">
        <f ca="1"/>
      </c>
      <c r="GV98">
        <f ca="1"/>
      </c>
      <c r="GW98">
        <f ca="1"/>
      </c>
      <c r="HI98" s="7">
        <f ca="1"/>
      </c>
      <c r="HJ98">
        <f ca="1"/>
      </c>
      <c r="HK98">
        <f ca="1"/>
      </c>
      <c r="HL98">
        <f ca="1"/>
      </c>
      <c r="HM98">
        <f ca="1"/>
      </c>
    </row>
    <row r="99" spans="63:221" x14ac:dyDescent="0.55000000000000004">
      <c r="BK99">
        <f ca="1"/>
      </c>
      <c r="BL99">
        <f ca="1"/>
      </c>
      <c r="BM99">
        <f ca="1"/>
      </c>
      <c r="BN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  <c r="BV99">
        <f ca="1"/>
      </c>
      <c r="BW99">
        <f ca="1"/>
      </c>
      <c r="BX99">
        <f ca="1"/>
      </c>
      <c r="BY99">
        <f ca="1"/>
      </c>
      <c r="BZ99">
        <f ca="1"/>
      </c>
      <c r="CA99">
        <f ca="1"/>
      </c>
      <c r="CB99">
        <f ca="1"/>
      </c>
      <c r="CC99">
        <f ca="1"/>
      </c>
      <c r="CD99">
        <f ca="1"/>
      </c>
      <c r="CE99">
        <f ca="1"/>
      </c>
      <c r="CF99">
        <f ca="1"/>
      </c>
      <c r="CG99">
        <f ca="1"/>
      </c>
      <c r="CH99">
        <f ca="1"/>
      </c>
      <c r="CI99">
        <f ca="1"/>
      </c>
      <c r="CJ99">
        <f ca="1"/>
      </c>
      <c r="CK99">
        <f ca="1"/>
      </c>
      <c r="CL99">
        <f ca="1"/>
      </c>
      <c r="CM99">
        <f ca="1"/>
      </c>
      <c r="CN99">
        <f ca="1"/>
      </c>
      <c r="CO99">
        <f ca="1"/>
      </c>
      <c r="CP99">
        <f ca="1"/>
      </c>
      <c r="CQ99">
        <f ca="1"/>
      </c>
      <c r="CR99">
        <f ca="1"/>
      </c>
      <c r="CS99">
        <f ca="1"/>
      </c>
      <c r="CT99">
        <f ca="1"/>
      </c>
      <c r="CU99">
        <f ca="1"/>
      </c>
      <c r="CV99">
        <f ca="1"/>
      </c>
      <c r="CW99">
        <f ca="1"/>
      </c>
      <c r="CX99">
        <f ca="1"/>
      </c>
      <c r="CY99">
        <f ca="1"/>
      </c>
      <c r="CZ99">
        <f ca="1"/>
      </c>
      <c r="DA99">
        <f ca="1"/>
      </c>
      <c r="DB99">
        <f ca="1"/>
      </c>
      <c r="DC99">
        <f ca="1"/>
      </c>
      <c r="DD99">
        <f ca="1"/>
      </c>
      <c r="DE99">
        <f ca="1"/>
      </c>
      <c r="DG99">
        <f ca="1"/>
      </c>
      <c r="DH99">
        <f ca="1"/>
      </c>
      <c r="DI99">
        <f ca="1"/>
      </c>
      <c r="DJ99">
        <f ca="1"/>
      </c>
      <c r="DK99">
        <f ca="1"/>
      </c>
      <c r="DL99">
        <f ca="1"/>
      </c>
      <c r="DM99">
        <f ca="1"/>
      </c>
      <c r="DN99">
        <f ca="1"/>
      </c>
      <c r="DO99">
        <f ca="1"/>
      </c>
      <c r="DP99">
        <f ca="1"/>
      </c>
      <c r="DQ99">
        <f ca="1"/>
      </c>
      <c r="DR99">
        <f ca="1"/>
      </c>
      <c r="DS99">
        <f ca="1"/>
      </c>
      <c r="DT99">
        <f ca="1"/>
      </c>
      <c r="DU99">
        <f ca="1"/>
      </c>
      <c r="DV99">
        <f ca="1"/>
      </c>
      <c r="DW99">
        <f ca="1"/>
      </c>
      <c r="DX99">
        <f ca="1"/>
      </c>
      <c r="DY99">
        <f ca="1"/>
      </c>
      <c r="DZ99">
        <f ca="1"/>
      </c>
      <c r="EA99">
        <f ca="1"/>
      </c>
      <c r="EB99">
        <f ca="1"/>
      </c>
      <c r="EC99">
        <f ca="1"/>
      </c>
      <c r="ED99">
        <f ca="1"/>
      </c>
      <c r="EE99">
        <f ca="1"/>
      </c>
      <c r="EF99">
        <f ca="1"/>
      </c>
      <c r="EG99">
        <f ca="1"/>
      </c>
      <c r="EH99">
        <f ca="1"/>
      </c>
      <c r="EI99">
        <f ca="1"/>
      </c>
      <c r="EJ99">
        <f ca="1"/>
      </c>
      <c r="EK99">
        <f ca="1"/>
      </c>
      <c r="EL99">
        <f ca="1"/>
      </c>
      <c r="EM99">
        <f ca="1"/>
      </c>
      <c r="EN99">
        <f ca="1"/>
      </c>
      <c r="EO99">
        <f ca="1"/>
      </c>
      <c r="EP99">
        <f ca="1"/>
      </c>
      <c r="EQ99">
        <f ca="1"/>
      </c>
      <c r="ER99">
        <f ca="1"/>
      </c>
      <c r="ES99">
        <f ca="1"/>
      </c>
      <c r="ET99">
        <f ca="1"/>
      </c>
      <c r="EU99">
        <f ca="1"/>
      </c>
      <c r="EV99">
        <f ca="1"/>
      </c>
      <c r="EW99">
        <f ca="1"/>
      </c>
      <c r="EX99">
        <f ca="1"/>
      </c>
      <c r="EY99">
        <f ca="1"/>
      </c>
      <c r="EZ99">
        <f ca="1"/>
      </c>
      <c r="FA99">
        <f ca="1"/>
      </c>
      <c r="FC99">
        <f ca="1"/>
      </c>
      <c r="FD99">
        <f ca="1"/>
      </c>
      <c r="FE99">
        <f ca="1"/>
      </c>
      <c r="FF99">
        <f ca="1"/>
      </c>
      <c r="FG99">
        <f ca="1"/>
      </c>
      <c r="FH99">
        <f ca="1"/>
      </c>
      <c r="FI99">
        <f ca="1"/>
      </c>
      <c r="FJ99">
        <f ca="1"/>
      </c>
      <c r="FK99">
        <f ca="1"/>
      </c>
      <c r="FL99">
        <f ca="1"/>
      </c>
      <c r="FM99">
        <f ca="1"/>
      </c>
      <c r="FN99">
        <f ca="1"/>
      </c>
      <c r="FO99">
        <f ca="1"/>
      </c>
      <c r="FP99">
        <f ca="1"/>
      </c>
      <c r="FQ99">
        <f ca="1"/>
      </c>
      <c r="FR99">
        <f ca="1"/>
      </c>
      <c r="FS99">
        <f ca="1"/>
      </c>
      <c r="FT99">
        <f ca="1"/>
      </c>
      <c r="FU99">
        <f ca="1"/>
      </c>
      <c r="FV99">
        <f ca="1"/>
      </c>
      <c r="FW99">
        <f ca="1"/>
      </c>
      <c r="FX99">
        <f ca="1"/>
      </c>
      <c r="FY99">
        <f ca="1"/>
      </c>
      <c r="FZ99">
        <f ca="1"/>
      </c>
      <c r="GA99">
        <f ca="1"/>
      </c>
      <c r="GB99">
        <f ca="1"/>
      </c>
      <c r="GC99">
        <f ca="1"/>
      </c>
      <c r="GD99">
        <f ca="1"/>
      </c>
      <c r="GE99">
        <f ca="1"/>
      </c>
      <c r="GF99">
        <f ca="1"/>
      </c>
      <c r="GG99">
        <f ca="1"/>
      </c>
      <c r="GH99">
        <f ca="1"/>
      </c>
      <c r="GI99">
        <f ca="1"/>
      </c>
      <c r="GJ99">
        <f ca="1"/>
      </c>
      <c r="GK99">
        <f ca="1"/>
      </c>
      <c r="GL99">
        <f ca="1"/>
      </c>
      <c r="GM99">
        <f ca="1"/>
      </c>
      <c r="GN99">
        <f ca="1"/>
      </c>
      <c r="GO99">
        <f ca="1"/>
      </c>
      <c r="GP99">
        <f ca="1"/>
      </c>
      <c r="GQ99">
        <f ca="1"/>
      </c>
      <c r="GR99">
        <f ca="1"/>
      </c>
      <c r="GS99">
        <f ca="1"/>
      </c>
      <c r="GT99">
        <f ca="1"/>
      </c>
      <c r="GU99">
        <f ca="1"/>
      </c>
      <c r="GV99">
        <f ca="1"/>
      </c>
      <c r="GW99">
        <f ca="1"/>
      </c>
      <c r="HI99" s="7">
        <f ca="1"/>
      </c>
      <c r="HJ99">
        <f ca="1"/>
      </c>
      <c r="HK99">
        <f ca="1"/>
      </c>
      <c r="HL99">
        <f ca="1"/>
      </c>
      <c r="HM99">
        <f ca="1"/>
      </c>
    </row>
    <row r="100" spans="63:221" x14ac:dyDescent="0.55000000000000004">
      <c r="BK100">
        <f ca="1"/>
      </c>
      <c r="BL100">
        <f ca="1"/>
      </c>
      <c r="BM100">
        <f ca="1"/>
      </c>
      <c r="BN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  <c r="BV100">
        <f ca="1"/>
      </c>
      <c r="BW100">
        <f ca="1"/>
      </c>
      <c r="BX100">
        <f ca="1"/>
      </c>
      <c r="BY100">
        <f ca="1"/>
      </c>
      <c r="BZ100">
        <f ca="1"/>
      </c>
      <c r="CA100">
        <f ca="1"/>
      </c>
      <c r="CB100">
        <f ca="1"/>
      </c>
      <c r="CC100">
        <f ca="1"/>
      </c>
      <c r="CD100">
        <f ca="1"/>
      </c>
      <c r="CE100">
        <f ca="1"/>
      </c>
      <c r="CF100">
        <f ca="1"/>
      </c>
      <c r="CG100">
        <f ca="1"/>
      </c>
      <c r="CH100">
        <f ca="1"/>
      </c>
      <c r="CI100">
        <f ca="1"/>
      </c>
      <c r="CJ100">
        <f ca="1"/>
      </c>
      <c r="CK100">
        <f ca="1"/>
      </c>
      <c r="CL100">
        <f ca="1"/>
      </c>
      <c r="CM100">
        <f ca="1"/>
      </c>
      <c r="CN100">
        <f ca="1"/>
      </c>
      <c r="CO100">
        <f ca="1"/>
      </c>
      <c r="CP100">
        <f ca="1"/>
      </c>
      <c r="CQ100">
        <f ca="1"/>
      </c>
      <c r="CR100">
        <f ca="1"/>
      </c>
      <c r="CS100">
        <f ca="1"/>
      </c>
      <c r="CT100">
        <f ca="1"/>
      </c>
      <c r="CU100">
        <f ca="1"/>
      </c>
      <c r="CV100">
        <f ca="1"/>
      </c>
      <c r="CW100">
        <f ca="1"/>
      </c>
      <c r="CX100">
        <f ca="1"/>
      </c>
      <c r="CY100">
        <f ca="1"/>
      </c>
      <c r="CZ100">
        <f ca="1"/>
      </c>
      <c r="DA100">
        <f ca="1"/>
      </c>
      <c r="DB100">
        <f ca="1"/>
      </c>
      <c r="DC100">
        <f ca="1"/>
      </c>
      <c r="DD100">
        <f ca="1"/>
      </c>
      <c r="DE100">
        <f ca="1"/>
      </c>
      <c r="DG100">
        <f ca="1"/>
      </c>
      <c r="DH100">
        <f ca="1"/>
      </c>
      <c r="DI100">
        <f ca="1"/>
      </c>
      <c r="DJ100">
        <f ca="1"/>
      </c>
      <c r="DK100">
        <f ca="1"/>
      </c>
      <c r="DL100">
        <f ca="1"/>
      </c>
      <c r="DM100">
        <f ca="1"/>
      </c>
      <c r="DN100">
        <f ca="1"/>
      </c>
      <c r="DO100">
        <f ca="1"/>
      </c>
      <c r="DP100">
        <f ca="1"/>
      </c>
      <c r="DQ100">
        <f ca="1"/>
      </c>
      <c r="DR100">
        <f ca="1"/>
      </c>
      <c r="DS100">
        <f ca="1"/>
      </c>
      <c r="DT100">
        <f ca="1"/>
      </c>
      <c r="DU100">
        <f ca="1"/>
      </c>
      <c r="DV100">
        <f ca="1"/>
      </c>
      <c r="DW100">
        <f ca="1"/>
      </c>
      <c r="DX100">
        <f ca="1"/>
      </c>
      <c r="DY100">
        <f ca="1"/>
      </c>
      <c r="DZ100">
        <f ca="1"/>
      </c>
      <c r="EA100">
        <f ca="1"/>
      </c>
      <c r="EB100">
        <f ca="1"/>
      </c>
      <c r="EC100">
        <f ca="1"/>
      </c>
      <c r="ED100">
        <f ca="1"/>
      </c>
      <c r="EE100">
        <f ca="1"/>
      </c>
      <c r="EF100">
        <f ca="1"/>
      </c>
      <c r="EG100">
        <f ca="1"/>
      </c>
      <c r="EH100">
        <f ca="1"/>
      </c>
      <c r="EI100">
        <f ca="1"/>
      </c>
      <c r="EJ100">
        <f ca="1"/>
      </c>
      <c r="EK100">
        <f ca="1"/>
      </c>
      <c r="EL100">
        <f ca="1"/>
      </c>
      <c r="EM100">
        <f ca="1"/>
      </c>
      <c r="EN100">
        <f ca="1"/>
      </c>
      <c r="EO100">
        <f ca="1"/>
      </c>
      <c r="EP100">
        <f ca="1"/>
      </c>
      <c r="EQ100">
        <f ca="1"/>
      </c>
      <c r="ER100">
        <f ca="1"/>
      </c>
      <c r="ES100">
        <f ca="1"/>
      </c>
      <c r="ET100">
        <f ca="1"/>
      </c>
      <c r="EU100">
        <f ca="1"/>
      </c>
      <c r="EV100">
        <f ca="1"/>
      </c>
      <c r="EW100">
        <f ca="1"/>
      </c>
      <c r="EX100">
        <f ca="1"/>
      </c>
      <c r="EY100">
        <f ca="1"/>
      </c>
      <c r="EZ100">
        <f ca="1"/>
      </c>
      <c r="FA100">
        <f ca="1"/>
      </c>
      <c r="FC100">
        <f ca="1"/>
      </c>
      <c r="FD100">
        <f ca="1"/>
      </c>
      <c r="FE100">
        <f ca="1"/>
      </c>
      <c r="FF100">
        <f ca="1"/>
      </c>
      <c r="FG100">
        <f ca="1"/>
      </c>
      <c r="FH100">
        <f ca="1"/>
      </c>
      <c r="FI100">
        <f ca="1"/>
      </c>
      <c r="FJ100">
        <f ca="1"/>
      </c>
      <c r="FK100">
        <f ca="1"/>
      </c>
      <c r="FL100">
        <f ca="1"/>
      </c>
      <c r="FM100">
        <f ca="1"/>
      </c>
      <c r="FN100">
        <f ca="1"/>
      </c>
      <c r="FO100">
        <f ca="1"/>
      </c>
      <c r="FP100">
        <f ca="1"/>
      </c>
      <c r="FQ100">
        <f ca="1"/>
      </c>
      <c r="FR100">
        <f ca="1"/>
      </c>
      <c r="FS100">
        <f ca="1"/>
      </c>
      <c r="FT100">
        <f ca="1"/>
      </c>
      <c r="FU100">
        <f ca="1"/>
      </c>
      <c r="FV100">
        <f ca="1"/>
      </c>
      <c r="FW100">
        <f ca="1"/>
      </c>
      <c r="FX100">
        <f ca="1"/>
      </c>
      <c r="FY100">
        <f ca="1"/>
      </c>
      <c r="FZ100">
        <f ca="1"/>
      </c>
      <c r="GA100">
        <f ca="1"/>
      </c>
      <c r="GB100">
        <f ca="1"/>
      </c>
      <c r="GC100">
        <f ca="1"/>
      </c>
      <c r="GD100">
        <f ca="1"/>
      </c>
      <c r="GE100">
        <f ca="1"/>
      </c>
      <c r="GF100">
        <f ca="1"/>
      </c>
      <c r="GG100">
        <f ca="1"/>
      </c>
      <c r="GH100">
        <f ca="1"/>
      </c>
      <c r="GI100">
        <f ca="1"/>
      </c>
      <c r="GJ100">
        <f ca="1"/>
      </c>
      <c r="GK100">
        <f ca="1"/>
      </c>
      <c r="GL100">
        <f ca="1"/>
      </c>
      <c r="GM100">
        <f ca="1"/>
      </c>
      <c r="GN100">
        <f ca="1"/>
      </c>
      <c r="GO100">
        <f ca="1"/>
      </c>
      <c r="GP100">
        <f ca="1"/>
      </c>
      <c r="GQ100">
        <f ca="1"/>
      </c>
      <c r="GR100">
        <f ca="1"/>
      </c>
      <c r="GS100">
        <f ca="1"/>
      </c>
      <c r="GT100">
        <f ca="1"/>
      </c>
      <c r="GU100">
        <f ca="1"/>
      </c>
      <c r="GV100">
        <f ca="1"/>
      </c>
      <c r="GW100">
        <f ca="1"/>
      </c>
      <c r="HI100" s="7">
        <f ca="1"/>
      </c>
      <c r="HJ100">
        <f ca="1"/>
      </c>
      <c r="HK100">
        <f ca="1"/>
      </c>
      <c r="HL100">
        <f ca="1"/>
      </c>
      <c r="HM100">
        <f ca="1"/>
      </c>
    </row>
    <row r="101" spans="63:221" x14ac:dyDescent="0.55000000000000004">
      <c r="BK101">
        <f ca="1"/>
      </c>
      <c r="BL101">
        <f ca="1"/>
      </c>
      <c r="BM101">
        <f ca="1"/>
      </c>
      <c r="BN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  <c r="BV101">
        <f ca="1"/>
      </c>
      <c r="BW101">
        <f ca="1"/>
      </c>
      <c r="BX101">
        <f ca="1"/>
      </c>
      <c r="BY101">
        <f ca="1"/>
      </c>
      <c r="BZ101">
        <f ca="1"/>
      </c>
      <c r="CA101">
        <f ca="1"/>
      </c>
      <c r="CB101">
        <f ca="1"/>
      </c>
      <c r="CC101">
        <f ca="1"/>
      </c>
      <c r="CD101">
        <f ca="1"/>
      </c>
      <c r="CE101">
        <f ca="1"/>
      </c>
      <c r="CF101">
        <f ca="1"/>
      </c>
      <c r="CG101">
        <f ca="1"/>
      </c>
      <c r="CH101">
        <f ca="1"/>
      </c>
      <c r="CI101">
        <f ca="1"/>
      </c>
      <c r="CJ101">
        <f ca="1"/>
      </c>
      <c r="CK101">
        <f ca="1"/>
      </c>
      <c r="CL101">
        <f ca="1"/>
      </c>
      <c r="CM101">
        <f ca="1"/>
      </c>
      <c r="CN101">
        <f ca="1"/>
      </c>
      <c r="CO101">
        <f ca="1"/>
      </c>
      <c r="CP101">
        <f ca="1"/>
      </c>
      <c r="CQ101">
        <f ca="1"/>
      </c>
      <c r="CR101">
        <f ca="1"/>
      </c>
      <c r="CS101">
        <f ca="1"/>
      </c>
      <c r="CT101">
        <f ca="1"/>
      </c>
      <c r="CU101">
        <f ca="1"/>
      </c>
      <c r="CV101">
        <f ca="1"/>
      </c>
      <c r="CW101">
        <f ca="1"/>
      </c>
      <c r="CX101">
        <f ca="1"/>
      </c>
      <c r="CY101">
        <f ca="1"/>
      </c>
      <c r="CZ101">
        <f ca="1"/>
      </c>
      <c r="DA101">
        <f ca="1"/>
      </c>
      <c r="DB101">
        <f ca="1"/>
      </c>
      <c r="DC101">
        <f ca="1"/>
      </c>
      <c r="DD101">
        <f ca="1"/>
      </c>
      <c r="DE101">
        <f ca="1"/>
      </c>
      <c r="DG101">
        <f ca="1"/>
      </c>
      <c r="DH101">
        <f ca="1"/>
      </c>
      <c r="DI101">
        <f ca="1"/>
      </c>
      <c r="DJ101">
        <f ca="1"/>
      </c>
      <c r="DK101">
        <f ca="1"/>
      </c>
      <c r="DL101">
        <f ca="1"/>
      </c>
      <c r="DM101">
        <f ca="1"/>
      </c>
      <c r="DN101">
        <f ca="1"/>
      </c>
      <c r="DO101">
        <f ca="1"/>
      </c>
      <c r="DP101">
        <f ca="1"/>
      </c>
      <c r="DQ101">
        <f ca="1"/>
      </c>
      <c r="DR101">
        <f ca="1"/>
      </c>
      <c r="DS101">
        <f ca="1"/>
      </c>
      <c r="DT101">
        <f ca="1"/>
      </c>
      <c r="DU101">
        <f ca="1"/>
      </c>
      <c r="DV101">
        <f ca="1"/>
      </c>
      <c r="DW101">
        <f ca="1"/>
      </c>
      <c r="DX101">
        <f ca="1"/>
      </c>
      <c r="DY101">
        <f ca="1"/>
      </c>
      <c r="DZ101">
        <f ca="1"/>
      </c>
      <c r="EA101">
        <f ca="1"/>
      </c>
      <c r="EB101">
        <f ca="1"/>
      </c>
      <c r="EC101">
        <f ca="1"/>
      </c>
      <c r="ED101">
        <f ca="1"/>
      </c>
      <c r="EE101">
        <f ca="1"/>
      </c>
      <c r="EF101">
        <f ca="1"/>
      </c>
      <c r="EG101">
        <f ca="1"/>
      </c>
      <c r="EH101">
        <f ca="1"/>
      </c>
      <c r="EI101">
        <f ca="1"/>
      </c>
      <c r="EJ101">
        <f ca="1"/>
      </c>
      <c r="EK101">
        <f ca="1"/>
      </c>
      <c r="EL101">
        <f ca="1"/>
      </c>
      <c r="EM101">
        <f ca="1"/>
      </c>
      <c r="EN101">
        <f ca="1"/>
      </c>
      <c r="EO101">
        <f ca="1"/>
      </c>
      <c r="EP101">
        <f ca="1"/>
      </c>
      <c r="EQ101">
        <f ca="1"/>
      </c>
      <c r="ER101">
        <f ca="1"/>
      </c>
      <c r="ES101">
        <f ca="1"/>
      </c>
      <c r="ET101">
        <f ca="1"/>
      </c>
      <c r="EU101">
        <f ca="1"/>
      </c>
      <c r="EV101">
        <f ca="1"/>
      </c>
      <c r="EW101">
        <f ca="1"/>
      </c>
      <c r="EX101">
        <f ca="1"/>
      </c>
      <c r="EY101">
        <f ca="1"/>
      </c>
      <c r="EZ101">
        <f ca="1"/>
      </c>
      <c r="FA101">
        <f ca="1"/>
      </c>
      <c r="FC101">
        <f ca="1"/>
      </c>
      <c r="FD101">
        <f ca="1"/>
      </c>
      <c r="FE101">
        <f ca="1"/>
      </c>
      <c r="FF101">
        <f ca="1"/>
      </c>
      <c r="FG101">
        <f ca="1"/>
      </c>
      <c r="FH101">
        <f ca="1"/>
      </c>
      <c r="FI101">
        <f ca="1"/>
      </c>
      <c r="FJ101">
        <f ca="1"/>
      </c>
      <c r="FK101">
        <f ca="1"/>
      </c>
      <c r="FL101">
        <f ca="1"/>
      </c>
      <c r="FM101">
        <f ca="1"/>
      </c>
      <c r="FN101">
        <f ca="1"/>
      </c>
      <c r="FO101">
        <f ca="1"/>
      </c>
      <c r="FP101">
        <f ca="1"/>
      </c>
      <c r="FQ101">
        <f ca="1"/>
      </c>
      <c r="FR101">
        <f ca="1"/>
      </c>
      <c r="FS101">
        <f ca="1"/>
      </c>
      <c r="FT101">
        <f ca="1"/>
      </c>
      <c r="FU101">
        <f ca="1"/>
      </c>
      <c r="FV101">
        <f ca="1"/>
      </c>
      <c r="FW101">
        <f ca="1"/>
      </c>
      <c r="FX101">
        <f ca="1"/>
      </c>
      <c r="FY101">
        <f ca="1"/>
      </c>
      <c r="FZ101">
        <f ca="1"/>
      </c>
      <c r="GA101">
        <f ca="1"/>
      </c>
      <c r="GB101">
        <f ca="1"/>
      </c>
      <c r="GC101">
        <f ca="1"/>
      </c>
      <c r="GD101">
        <f ca="1"/>
      </c>
      <c r="GE101">
        <f ca="1"/>
      </c>
      <c r="GF101">
        <f ca="1"/>
      </c>
      <c r="GG101">
        <f ca="1"/>
      </c>
      <c r="GH101">
        <f ca="1"/>
      </c>
      <c r="GI101">
        <f ca="1"/>
      </c>
      <c r="GJ101">
        <f ca="1"/>
      </c>
      <c r="GK101">
        <f ca="1"/>
      </c>
      <c r="GL101">
        <f ca="1"/>
      </c>
      <c r="GM101">
        <f ca="1"/>
      </c>
      <c r="GN101">
        <f ca="1"/>
      </c>
      <c r="GO101">
        <f ca="1"/>
      </c>
      <c r="GP101">
        <f ca="1"/>
      </c>
      <c r="GQ101">
        <f ca="1"/>
      </c>
      <c r="GR101">
        <f ca="1"/>
      </c>
      <c r="GS101">
        <f ca="1"/>
      </c>
      <c r="GT101">
        <f ca="1"/>
      </c>
      <c r="GU101">
        <f ca="1"/>
      </c>
      <c r="GV101">
        <f ca="1"/>
      </c>
      <c r="GW101">
        <f ca="1"/>
      </c>
      <c r="HI101" s="7">
        <f ca="1"/>
      </c>
      <c r="HJ101">
        <f ca="1"/>
      </c>
      <c r="HK101">
        <f ca="1"/>
      </c>
      <c r="HL101">
        <f ca="1"/>
      </c>
      <c r="HM101">
        <f ca="1"/>
      </c>
    </row>
    <row r="102" spans="63:221" x14ac:dyDescent="0.55000000000000004">
      <c r="BK102">
        <f ca="1"/>
      </c>
      <c r="BL102">
        <f ca="1"/>
      </c>
      <c r="BM102">
        <f ca="1"/>
      </c>
      <c r="BN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  <c r="BV102">
        <f ca="1"/>
      </c>
      <c r="BW102">
        <f ca="1"/>
      </c>
      <c r="BX102">
        <f ca="1"/>
      </c>
      <c r="BY102">
        <f ca="1"/>
      </c>
      <c r="BZ102">
        <f ca="1"/>
      </c>
      <c r="CA102">
        <f ca="1"/>
      </c>
      <c r="CB102">
        <f ca="1"/>
      </c>
      <c r="CC102">
        <f ca="1"/>
      </c>
      <c r="CD102">
        <f ca="1"/>
      </c>
      <c r="CE102">
        <f ca="1"/>
      </c>
      <c r="CF102">
        <f ca="1"/>
      </c>
      <c r="CG102">
        <f ca="1"/>
      </c>
      <c r="CH102">
        <f ca="1"/>
      </c>
      <c r="CI102">
        <f ca="1"/>
      </c>
      <c r="CJ102">
        <f ca="1"/>
      </c>
      <c r="CK102">
        <f ca="1"/>
      </c>
      <c r="CL102">
        <f ca="1"/>
      </c>
      <c r="CM102">
        <f ca="1"/>
      </c>
      <c r="CN102">
        <f ca="1"/>
      </c>
      <c r="CO102">
        <f ca="1"/>
      </c>
      <c r="CP102">
        <f ca="1"/>
      </c>
      <c r="CQ102">
        <f ca="1"/>
      </c>
      <c r="CR102">
        <f ca="1"/>
      </c>
      <c r="CS102">
        <f ca="1"/>
      </c>
      <c r="CT102">
        <f ca="1"/>
      </c>
      <c r="CU102">
        <f ca="1"/>
      </c>
      <c r="CV102">
        <f ca="1"/>
      </c>
      <c r="CW102">
        <f ca="1"/>
      </c>
      <c r="CX102">
        <f ca="1"/>
      </c>
      <c r="CY102">
        <f ca="1"/>
      </c>
      <c r="CZ102">
        <f ca="1"/>
      </c>
      <c r="DA102">
        <f ca="1"/>
      </c>
      <c r="DB102">
        <f ca="1"/>
      </c>
      <c r="DC102">
        <f ca="1"/>
      </c>
      <c r="DD102">
        <f ca="1"/>
      </c>
      <c r="DE102">
        <f ca="1"/>
      </c>
      <c r="DG102">
        <f ca="1"/>
      </c>
      <c r="DH102">
        <f ca="1"/>
      </c>
      <c r="DI102">
        <f ca="1"/>
      </c>
      <c r="DJ102">
        <f ca="1"/>
      </c>
      <c r="DK102">
        <f ca="1"/>
      </c>
      <c r="DL102">
        <f ca="1"/>
      </c>
      <c r="DM102">
        <f ca="1"/>
      </c>
      <c r="DN102">
        <f ca="1"/>
      </c>
      <c r="DO102">
        <f ca="1"/>
      </c>
      <c r="DP102">
        <f ca="1"/>
      </c>
      <c r="DQ102">
        <f ca="1"/>
      </c>
      <c r="DR102">
        <f ca="1"/>
      </c>
      <c r="DS102">
        <f ca="1"/>
      </c>
      <c r="DT102">
        <f ca="1"/>
      </c>
      <c r="DU102">
        <f ca="1"/>
      </c>
      <c r="DV102">
        <f ca="1"/>
      </c>
      <c r="DW102">
        <f ca="1"/>
      </c>
      <c r="DX102">
        <f ca="1"/>
      </c>
      <c r="DY102">
        <f ca="1"/>
      </c>
      <c r="DZ102">
        <f ca="1"/>
      </c>
      <c r="EA102">
        <f ca="1"/>
      </c>
      <c r="EB102">
        <f ca="1"/>
      </c>
      <c r="EC102">
        <f ca="1"/>
      </c>
      <c r="ED102">
        <f ca="1"/>
      </c>
      <c r="EE102">
        <f ca="1"/>
      </c>
      <c r="EF102">
        <f ca="1"/>
      </c>
      <c r="EG102">
        <f ca="1"/>
      </c>
      <c r="EH102">
        <f ca="1"/>
      </c>
      <c r="EI102">
        <f ca="1"/>
      </c>
      <c r="EJ102">
        <f ca="1"/>
      </c>
      <c r="EK102">
        <f ca="1"/>
      </c>
      <c r="EL102">
        <f ca="1"/>
      </c>
      <c r="EM102">
        <f ca="1"/>
      </c>
      <c r="EN102">
        <f ca="1"/>
      </c>
      <c r="EO102">
        <f ca="1"/>
      </c>
      <c r="EP102">
        <f ca="1"/>
      </c>
      <c r="EQ102">
        <f ca="1"/>
      </c>
      <c r="ER102">
        <f ca="1"/>
      </c>
      <c r="ES102">
        <f ca="1"/>
      </c>
      <c r="ET102">
        <f ca="1"/>
      </c>
      <c r="EU102">
        <f ca="1"/>
      </c>
      <c r="EV102">
        <f ca="1"/>
      </c>
      <c r="EW102">
        <f ca="1"/>
      </c>
      <c r="EX102">
        <f ca="1"/>
      </c>
      <c r="EY102">
        <f ca="1"/>
      </c>
      <c r="EZ102">
        <f ca="1"/>
      </c>
      <c r="FA102">
        <f ca="1"/>
      </c>
      <c r="FC102">
        <f ca="1"/>
      </c>
      <c r="FD102">
        <f ca="1"/>
      </c>
      <c r="FE102">
        <f ca="1"/>
      </c>
      <c r="FF102">
        <f ca="1"/>
      </c>
      <c r="FG102">
        <f ca="1"/>
      </c>
      <c r="FH102">
        <f ca="1"/>
      </c>
      <c r="FI102">
        <f ca="1"/>
      </c>
      <c r="FJ102">
        <f ca="1"/>
      </c>
      <c r="FK102">
        <f ca="1"/>
      </c>
      <c r="FL102">
        <f ca="1"/>
      </c>
      <c r="FM102">
        <f ca="1"/>
      </c>
      <c r="FN102">
        <f ca="1"/>
      </c>
      <c r="FO102">
        <f ca="1"/>
      </c>
      <c r="FP102">
        <f ca="1"/>
      </c>
      <c r="FQ102">
        <f ca="1"/>
      </c>
      <c r="FR102">
        <f ca="1"/>
      </c>
      <c r="FS102">
        <f ca="1"/>
      </c>
      <c r="FT102">
        <f ca="1"/>
      </c>
      <c r="FU102">
        <f ca="1"/>
      </c>
      <c r="FV102">
        <f ca="1"/>
      </c>
      <c r="FW102">
        <f ca="1"/>
      </c>
      <c r="FX102">
        <f ca="1"/>
      </c>
      <c r="FY102">
        <f ca="1"/>
      </c>
      <c r="FZ102">
        <f ca="1"/>
      </c>
      <c r="GA102">
        <f ca="1"/>
      </c>
      <c r="GB102">
        <f ca="1"/>
      </c>
      <c r="GC102">
        <f ca="1"/>
      </c>
      <c r="GD102">
        <f ca="1"/>
      </c>
      <c r="GE102">
        <f ca="1"/>
      </c>
      <c r="GF102">
        <f ca="1"/>
      </c>
      <c r="GG102">
        <f ca="1"/>
      </c>
      <c r="GH102">
        <f ca="1"/>
      </c>
      <c r="GI102">
        <f ca="1"/>
      </c>
      <c r="GJ102">
        <f ca="1"/>
      </c>
      <c r="GK102">
        <f ca="1"/>
      </c>
      <c r="GL102">
        <f ca="1"/>
      </c>
      <c r="GM102">
        <f ca="1"/>
      </c>
      <c r="GN102">
        <f ca="1"/>
      </c>
      <c r="GO102">
        <f ca="1"/>
      </c>
      <c r="GP102">
        <f ca="1"/>
      </c>
      <c r="GQ102">
        <f ca="1"/>
      </c>
      <c r="GR102">
        <f ca="1"/>
      </c>
      <c r="GS102">
        <f ca="1"/>
      </c>
      <c r="GT102">
        <f ca="1"/>
      </c>
      <c r="GU102">
        <f ca="1"/>
      </c>
      <c r="GV102">
        <f ca="1"/>
      </c>
      <c r="GW102">
        <f ca="1"/>
      </c>
      <c r="HI102" s="7">
        <f ca="1"/>
      </c>
      <c r="HJ102">
        <f ca="1"/>
      </c>
      <c r="HK102">
        <f ca="1"/>
      </c>
      <c r="HL102">
        <f ca="1"/>
      </c>
      <c r="HM102">
        <f ca="1"/>
      </c>
    </row>
    <row r="103" spans="63:221" x14ac:dyDescent="0.55000000000000004">
      <c r="BK103">
        <f ca="1"/>
      </c>
      <c r="BL103">
        <f ca="1"/>
      </c>
      <c r="BM103">
        <f ca="1"/>
      </c>
      <c r="BN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  <c r="BV103">
        <f ca="1"/>
      </c>
      <c r="BW103">
        <f ca="1"/>
      </c>
      <c r="BX103">
        <f ca="1"/>
      </c>
      <c r="BY103">
        <f ca="1"/>
      </c>
      <c r="BZ103">
        <f ca="1"/>
      </c>
      <c r="CA103">
        <f ca="1"/>
      </c>
      <c r="CB103">
        <f ca="1"/>
      </c>
      <c r="CC103">
        <f ca="1"/>
      </c>
      <c r="CD103">
        <f ca="1"/>
      </c>
      <c r="CE103">
        <f ca="1"/>
      </c>
      <c r="CF103">
        <f ca="1"/>
      </c>
      <c r="CG103">
        <f ca="1"/>
      </c>
      <c r="CH103">
        <f ca="1"/>
      </c>
      <c r="CI103">
        <f ca="1"/>
      </c>
      <c r="CJ103">
        <f ca="1"/>
      </c>
      <c r="CK103">
        <f ca="1"/>
      </c>
      <c r="CL103">
        <f ca="1"/>
      </c>
      <c r="CM103">
        <f ca="1"/>
      </c>
      <c r="CN103">
        <f ca="1"/>
      </c>
      <c r="CO103">
        <f ca="1"/>
      </c>
      <c r="CP103">
        <f ca="1"/>
      </c>
      <c r="CQ103">
        <f ca="1"/>
      </c>
      <c r="CR103">
        <f ca="1"/>
      </c>
      <c r="CS103">
        <f ca="1"/>
      </c>
      <c r="CT103">
        <f ca="1"/>
      </c>
      <c r="CU103">
        <f ca="1"/>
      </c>
      <c r="CV103">
        <f ca="1"/>
      </c>
      <c r="CW103">
        <f ca="1"/>
      </c>
      <c r="CX103">
        <f ca="1"/>
      </c>
      <c r="CY103">
        <f ca="1"/>
      </c>
      <c r="CZ103">
        <f ca="1"/>
      </c>
      <c r="DA103">
        <f ca="1"/>
      </c>
      <c r="DB103">
        <f ca="1"/>
      </c>
      <c r="DC103">
        <f ca="1"/>
      </c>
      <c r="DD103">
        <f ca="1"/>
      </c>
      <c r="DE103">
        <f ca="1"/>
      </c>
      <c r="DG103">
        <f ca="1"/>
      </c>
      <c r="DH103">
        <f ca="1"/>
      </c>
      <c r="DI103">
        <f ca="1"/>
      </c>
      <c r="DJ103">
        <f ca="1"/>
      </c>
      <c r="DK103">
        <f ca="1"/>
      </c>
      <c r="DL103">
        <f ca="1"/>
      </c>
      <c r="DM103">
        <f ca="1"/>
      </c>
      <c r="DN103">
        <f ca="1"/>
      </c>
      <c r="DO103">
        <f ca="1"/>
      </c>
      <c r="DP103">
        <f ca="1"/>
      </c>
      <c r="DQ103">
        <f ca="1"/>
      </c>
      <c r="DR103">
        <f ca="1"/>
      </c>
      <c r="DS103">
        <f ca="1"/>
      </c>
      <c r="DT103">
        <f ca="1"/>
      </c>
      <c r="DU103">
        <f ca="1"/>
      </c>
      <c r="DV103">
        <f ca="1"/>
      </c>
      <c r="DW103">
        <f ca="1"/>
      </c>
      <c r="DX103">
        <f ca="1"/>
      </c>
      <c r="DY103">
        <f ca="1"/>
      </c>
      <c r="DZ103">
        <f ca="1"/>
      </c>
      <c r="EA103">
        <f ca="1"/>
      </c>
      <c r="EB103">
        <f ca="1"/>
      </c>
      <c r="EC103">
        <f ca="1"/>
      </c>
      <c r="ED103">
        <f ca="1"/>
      </c>
      <c r="EE103">
        <f ca="1"/>
      </c>
      <c r="EF103">
        <f ca="1"/>
      </c>
      <c r="EG103">
        <f ca="1"/>
      </c>
      <c r="EH103">
        <f ca="1"/>
      </c>
      <c r="EI103">
        <f ca="1"/>
      </c>
      <c r="EJ103">
        <f ca="1"/>
      </c>
      <c r="EK103">
        <f ca="1"/>
      </c>
      <c r="EL103">
        <f ca="1"/>
      </c>
      <c r="EM103">
        <f ca="1"/>
      </c>
      <c r="EN103">
        <f ca="1"/>
      </c>
      <c r="EO103">
        <f ca="1"/>
      </c>
      <c r="EP103">
        <f ca="1"/>
      </c>
      <c r="EQ103">
        <f ca="1"/>
      </c>
      <c r="ER103">
        <f ca="1"/>
      </c>
      <c r="ES103">
        <f ca="1"/>
      </c>
      <c r="ET103">
        <f ca="1"/>
      </c>
      <c r="EU103">
        <f ca="1"/>
      </c>
      <c r="EV103">
        <f ca="1"/>
      </c>
      <c r="EW103">
        <f ca="1"/>
      </c>
      <c r="EX103">
        <f ca="1"/>
      </c>
      <c r="EY103">
        <f ca="1"/>
      </c>
      <c r="EZ103">
        <f ca="1"/>
      </c>
      <c r="FA103">
        <f ca="1"/>
      </c>
      <c r="FC103">
        <f ca="1"/>
      </c>
      <c r="FD103">
        <f ca="1"/>
      </c>
      <c r="FE103">
        <f ca="1"/>
      </c>
      <c r="FF103">
        <f ca="1"/>
      </c>
      <c r="FG103">
        <f ca="1"/>
      </c>
      <c r="FH103">
        <f ca="1"/>
      </c>
      <c r="FI103">
        <f ca="1"/>
      </c>
      <c r="FJ103">
        <f ca="1"/>
      </c>
      <c r="FK103">
        <f ca="1"/>
      </c>
      <c r="FL103">
        <f ca="1"/>
      </c>
      <c r="FM103">
        <f ca="1"/>
      </c>
      <c r="FN103">
        <f ca="1"/>
      </c>
      <c r="FO103">
        <f ca="1"/>
      </c>
      <c r="FP103">
        <f ca="1"/>
      </c>
      <c r="FQ103">
        <f ca="1"/>
      </c>
      <c r="FR103">
        <f ca="1"/>
      </c>
      <c r="FS103">
        <f ca="1"/>
      </c>
      <c r="FT103">
        <f ca="1"/>
      </c>
      <c r="FU103">
        <f ca="1"/>
      </c>
      <c r="FV103">
        <f ca="1"/>
      </c>
      <c r="FW103">
        <f ca="1"/>
      </c>
      <c r="FX103">
        <f ca="1"/>
      </c>
      <c r="FY103">
        <f ca="1"/>
      </c>
      <c r="FZ103">
        <f ca="1"/>
      </c>
      <c r="GA103">
        <f ca="1"/>
      </c>
      <c r="GB103">
        <f ca="1"/>
      </c>
      <c r="GC103">
        <f ca="1"/>
      </c>
      <c r="GD103">
        <f ca="1"/>
      </c>
      <c r="GE103">
        <f ca="1"/>
      </c>
      <c r="GF103">
        <f ca="1"/>
      </c>
      <c r="GG103">
        <f ca="1"/>
      </c>
      <c r="GH103">
        <f ca="1"/>
      </c>
      <c r="GI103">
        <f ca="1"/>
      </c>
      <c r="GJ103">
        <f ca="1"/>
      </c>
      <c r="GK103">
        <f ca="1"/>
      </c>
      <c r="GL103">
        <f ca="1"/>
      </c>
      <c r="GM103">
        <f ca="1"/>
      </c>
      <c r="GN103">
        <f ca="1"/>
      </c>
      <c r="GO103">
        <f ca="1"/>
      </c>
      <c r="GP103">
        <f ca="1"/>
      </c>
      <c r="GQ103">
        <f ca="1"/>
      </c>
      <c r="GR103">
        <f ca="1"/>
      </c>
      <c r="GS103">
        <f ca="1"/>
      </c>
      <c r="GT103">
        <f ca="1"/>
      </c>
      <c r="GU103">
        <f ca="1"/>
      </c>
      <c r="GV103">
        <f ca="1"/>
      </c>
      <c r="GW103">
        <f ca="1"/>
      </c>
      <c r="HI103" s="7">
        <f ca="1"/>
      </c>
      <c r="HJ103">
        <f ca="1"/>
      </c>
      <c r="HK103">
        <f ca="1"/>
      </c>
      <c r="HL103">
        <f ca="1"/>
      </c>
      <c r="HM103">
        <f ca="1"/>
      </c>
    </row>
    <row r="104" spans="63:221" x14ac:dyDescent="0.55000000000000004">
      <c r="BK104">
        <f ca="1"/>
      </c>
      <c r="BL104">
        <f ca="1"/>
      </c>
      <c r="BM104">
        <f ca="1"/>
      </c>
      <c r="BN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  <c r="BV104">
        <f ca="1"/>
      </c>
      <c r="BW104">
        <f ca="1"/>
      </c>
      <c r="BX104">
        <f ca="1"/>
      </c>
      <c r="BY104">
        <f ca="1"/>
      </c>
      <c r="BZ104">
        <f ca="1"/>
      </c>
      <c r="CA104">
        <f ca="1"/>
      </c>
      <c r="CB104">
        <f ca="1"/>
      </c>
      <c r="CC104">
        <f ca="1"/>
      </c>
      <c r="CD104">
        <f ca="1"/>
      </c>
      <c r="CE104">
        <f ca="1"/>
      </c>
      <c r="CF104">
        <f ca="1"/>
      </c>
      <c r="CG104">
        <f ca="1"/>
      </c>
      <c r="CH104">
        <f ca="1"/>
      </c>
      <c r="CI104">
        <f ca="1"/>
      </c>
      <c r="CJ104">
        <f ca="1"/>
      </c>
      <c r="CK104">
        <f ca="1"/>
      </c>
      <c r="CL104">
        <f ca="1"/>
      </c>
      <c r="CM104">
        <f ca="1"/>
      </c>
      <c r="CN104">
        <f ca="1"/>
      </c>
      <c r="CO104">
        <f ca="1"/>
      </c>
      <c r="CP104">
        <f ca="1"/>
      </c>
      <c r="CQ104">
        <f ca="1"/>
      </c>
      <c r="CR104">
        <f ca="1"/>
      </c>
      <c r="CS104">
        <f ca="1"/>
      </c>
      <c r="CT104">
        <f ca="1"/>
      </c>
      <c r="CU104">
        <f ca="1"/>
      </c>
      <c r="CV104">
        <f ca="1"/>
      </c>
      <c r="CW104">
        <f ca="1"/>
      </c>
      <c r="CX104">
        <f ca="1"/>
      </c>
      <c r="CY104">
        <f ca="1"/>
      </c>
      <c r="CZ104">
        <f ca="1"/>
      </c>
      <c r="DA104">
        <f ca="1"/>
      </c>
      <c r="DB104">
        <f ca="1"/>
      </c>
      <c r="DC104">
        <f ca="1"/>
      </c>
      <c r="DD104">
        <f ca="1"/>
      </c>
      <c r="DE104">
        <f ca="1"/>
      </c>
      <c r="DG104">
        <f ca="1"/>
      </c>
      <c r="DH104">
        <f ca="1"/>
      </c>
      <c r="DI104">
        <f ca="1"/>
      </c>
      <c r="DJ104">
        <f ca="1"/>
      </c>
      <c r="DK104">
        <f ca="1"/>
      </c>
      <c r="DL104">
        <f ca="1"/>
      </c>
      <c r="DM104">
        <f ca="1"/>
      </c>
      <c r="DN104">
        <f ca="1"/>
      </c>
      <c r="DO104">
        <f ca="1"/>
      </c>
      <c r="DP104">
        <f ca="1"/>
      </c>
      <c r="DQ104">
        <f ca="1"/>
      </c>
      <c r="DR104">
        <f ca="1"/>
      </c>
      <c r="DS104">
        <f ca="1"/>
      </c>
      <c r="DT104">
        <f ca="1"/>
      </c>
      <c r="DU104">
        <f ca="1"/>
      </c>
      <c r="DV104">
        <f ca="1"/>
      </c>
      <c r="DW104">
        <f ca="1"/>
      </c>
      <c r="DX104">
        <f ca="1"/>
      </c>
      <c r="DY104">
        <f ca="1"/>
      </c>
      <c r="DZ104">
        <f ca="1"/>
      </c>
      <c r="EA104">
        <f ca="1"/>
      </c>
      <c r="EB104">
        <f ca="1"/>
      </c>
      <c r="EC104">
        <f ca="1"/>
      </c>
      <c r="ED104">
        <f ca="1"/>
      </c>
      <c r="EE104">
        <f ca="1"/>
      </c>
      <c r="EF104">
        <f ca="1"/>
      </c>
      <c r="EG104">
        <f ca="1"/>
      </c>
      <c r="EH104">
        <f ca="1"/>
      </c>
      <c r="EI104">
        <f ca="1"/>
      </c>
      <c r="EJ104">
        <f ca="1"/>
      </c>
      <c r="EK104">
        <f ca="1"/>
      </c>
      <c r="EL104">
        <f ca="1"/>
      </c>
      <c r="EM104">
        <f ca="1"/>
      </c>
      <c r="EN104">
        <f ca="1"/>
      </c>
      <c r="EO104">
        <f ca="1"/>
      </c>
      <c r="EP104">
        <f ca="1"/>
      </c>
      <c r="EQ104">
        <f ca="1"/>
      </c>
      <c r="ER104">
        <f ca="1"/>
      </c>
      <c r="ES104">
        <f ca="1"/>
      </c>
      <c r="ET104">
        <f ca="1"/>
      </c>
      <c r="EU104">
        <f ca="1"/>
      </c>
      <c r="EV104">
        <f ca="1"/>
      </c>
      <c r="EW104">
        <f ca="1"/>
      </c>
      <c r="EX104">
        <f ca="1"/>
      </c>
      <c r="EY104">
        <f ca="1"/>
      </c>
      <c r="EZ104">
        <f ca="1"/>
      </c>
      <c r="FA104">
        <f ca="1"/>
      </c>
      <c r="FC104">
        <f ca="1"/>
      </c>
      <c r="FD104">
        <f ca="1"/>
      </c>
      <c r="FE104">
        <f ca="1"/>
      </c>
      <c r="FF104">
        <f ca="1"/>
      </c>
      <c r="FG104">
        <f ca="1"/>
      </c>
      <c r="FH104">
        <f ca="1"/>
      </c>
      <c r="FI104">
        <f ca="1"/>
      </c>
      <c r="FJ104">
        <f ca="1"/>
      </c>
      <c r="FK104">
        <f ca="1"/>
      </c>
      <c r="FL104">
        <f ca="1"/>
      </c>
      <c r="FM104">
        <f ca="1"/>
      </c>
      <c r="FN104">
        <f ca="1"/>
      </c>
      <c r="FO104">
        <f ca="1"/>
      </c>
      <c r="FP104">
        <f ca="1"/>
      </c>
      <c r="FQ104">
        <f ca="1"/>
      </c>
      <c r="FR104">
        <f ca="1"/>
      </c>
      <c r="FS104">
        <f ca="1"/>
      </c>
      <c r="FT104">
        <f ca="1"/>
      </c>
      <c r="FU104">
        <f ca="1"/>
      </c>
      <c r="FV104">
        <f ca="1"/>
      </c>
      <c r="FW104">
        <f ca="1"/>
      </c>
      <c r="FX104">
        <f ca="1"/>
      </c>
      <c r="FY104">
        <f ca="1"/>
      </c>
      <c r="FZ104">
        <f ca="1"/>
      </c>
      <c r="GA104">
        <f ca="1"/>
      </c>
      <c r="GB104">
        <f ca="1"/>
      </c>
      <c r="GC104">
        <f ca="1"/>
      </c>
      <c r="GD104">
        <f ca="1"/>
      </c>
      <c r="GE104">
        <f ca="1"/>
      </c>
      <c r="GF104">
        <f ca="1"/>
      </c>
      <c r="GG104">
        <f ca="1"/>
      </c>
      <c r="GH104">
        <f ca="1"/>
      </c>
      <c r="GI104">
        <f ca="1"/>
      </c>
      <c r="GJ104">
        <f ca="1"/>
      </c>
      <c r="GK104">
        <f ca="1"/>
      </c>
      <c r="GL104">
        <f ca="1"/>
      </c>
      <c r="GM104">
        <f ca="1"/>
      </c>
      <c r="GN104">
        <f ca="1"/>
      </c>
      <c r="GO104">
        <f ca="1"/>
      </c>
      <c r="GP104">
        <f ca="1"/>
      </c>
      <c r="GQ104">
        <f ca="1"/>
      </c>
      <c r="GR104">
        <f ca="1"/>
      </c>
      <c r="GS104">
        <f ca="1"/>
      </c>
      <c r="GT104">
        <f ca="1"/>
      </c>
      <c r="GU104">
        <f ca="1"/>
      </c>
      <c r="GV104">
        <f ca="1"/>
      </c>
      <c r="GW104">
        <f ca="1"/>
      </c>
      <c r="HI104" s="7">
        <f ca="1"/>
      </c>
      <c r="HJ104">
        <f ca="1"/>
      </c>
      <c r="HK104">
        <f ca="1"/>
      </c>
      <c r="HL104">
        <f ca="1"/>
      </c>
      <c r="HM104">
        <f ca="1"/>
      </c>
    </row>
    <row r="105" spans="63:221" x14ac:dyDescent="0.55000000000000004">
      <c r="BK105">
        <f ca="1"/>
      </c>
      <c r="BL105">
        <f ca="1"/>
      </c>
      <c r="BM105">
        <f ca="1"/>
      </c>
      <c r="BN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  <c r="BV105">
        <f ca="1"/>
      </c>
      <c r="BW105">
        <f ca="1"/>
      </c>
      <c r="BX105">
        <f ca="1"/>
      </c>
      <c r="BY105">
        <f ca="1"/>
      </c>
      <c r="BZ105">
        <f ca="1"/>
      </c>
      <c r="CA105">
        <f ca="1"/>
      </c>
      <c r="CB105">
        <f ca="1"/>
      </c>
      <c r="CC105">
        <f ca="1"/>
      </c>
      <c r="CD105">
        <f ca="1"/>
      </c>
      <c r="CE105">
        <f ca="1"/>
      </c>
      <c r="CF105">
        <f ca="1"/>
      </c>
      <c r="CG105">
        <f ca="1"/>
      </c>
      <c r="CH105">
        <f ca="1"/>
      </c>
      <c r="CI105">
        <f ca="1"/>
      </c>
      <c r="CJ105">
        <f ca="1"/>
      </c>
      <c r="CK105">
        <f ca="1"/>
      </c>
      <c r="CL105">
        <f ca="1"/>
      </c>
      <c r="CM105">
        <f ca="1"/>
      </c>
      <c r="CN105">
        <f ca="1"/>
      </c>
      <c r="CO105">
        <f ca="1"/>
      </c>
      <c r="CP105">
        <f ca="1"/>
      </c>
      <c r="CQ105">
        <f ca="1"/>
      </c>
      <c r="CR105">
        <f ca="1"/>
      </c>
      <c r="CS105">
        <f ca="1"/>
      </c>
      <c r="CT105">
        <f ca="1"/>
      </c>
      <c r="CU105">
        <f ca="1"/>
      </c>
      <c r="CV105">
        <f ca="1"/>
      </c>
      <c r="CW105">
        <f ca="1"/>
      </c>
      <c r="CX105">
        <f ca="1"/>
      </c>
      <c r="CY105">
        <f ca="1"/>
      </c>
      <c r="CZ105">
        <f ca="1"/>
      </c>
      <c r="DA105">
        <f ca="1"/>
      </c>
      <c r="DB105">
        <f ca="1"/>
      </c>
      <c r="DC105">
        <f ca="1"/>
      </c>
      <c r="DD105">
        <f ca="1"/>
      </c>
      <c r="DE105">
        <f ca="1"/>
      </c>
      <c r="DG105">
        <f ca="1"/>
      </c>
      <c r="DH105">
        <f ca="1"/>
      </c>
      <c r="DI105">
        <f ca="1"/>
      </c>
      <c r="DJ105">
        <f ca="1"/>
      </c>
      <c r="DK105">
        <f ca="1"/>
      </c>
      <c r="DL105">
        <f ca="1"/>
      </c>
      <c r="DM105">
        <f ca="1"/>
      </c>
      <c r="DN105">
        <f ca="1"/>
      </c>
      <c r="DO105">
        <f ca="1"/>
      </c>
      <c r="DP105">
        <f ca="1"/>
      </c>
      <c r="DQ105">
        <f ca="1"/>
      </c>
      <c r="DR105">
        <f ca="1"/>
      </c>
      <c r="DS105">
        <f ca="1"/>
      </c>
      <c r="DT105">
        <f ca="1"/>
      </c>
      <c r="DU105">
        <f ca="1"/>
      </c>
      <c r="DV105">
        <f ca="1"/>
      </c>
      <c r="DW105">
        <f ca="1"/>
      </c>
      <c r="DX105">
        <f ca="1"/>
      </c>
      <c r="DY105">
        <f ca="1"/>
      </c>
      <c r="DZ105">
        <f ca="1"/>
      </c>
      <c r="EA105">
        <f ca="1"/>
      </c>
      <c r="EB105">
        <f ca="1"/>
      </c>
      <c r="EC105">
        <f ca="1"/>
      </c>
      <c r="ED105">
        <f ca="1"/>
      </c>
      <c r="EE105">
        <f ca="1"/>
      </c>
      <c r="EF105">
        <f ca="1"/>
      </c>
      <c r="EG105">
        <f ca="1"/>
      </c>
      <c r="EH105">
        <f ca="1"/>
      </c>
      <c r="EI105">
        <f ca="1"/>
      </c>
      <c r="EJ105">
        <f ca="1"/>
      </c>
      <c r="EK105">
        <f ca="1"/>
      </c>
      <c r="EL105">
        <f ca="1"/>
      </c>
      <c r="EM105">
        <f ca="1"/>
      </c>
      <c r="EN105">
        <f ca="1"/>
      </c>
      <c r="EO105">
        <f ca="1"/>
      </c>
      <c r="EP105">
        <f ca="1"/>
      </c>
      <c r="EQ105">
        <f ca="1"/>
      </c>
      <c r="ER105">
        <f ca="1"/>
      </c>
      <c r="ES105">
        <f ca="1"/>
      </c>
      <c r="ET105">
        <f ca="1"/>
      </c>
      <c r="EU105">
        <f ca="1"/>
      </c>
      <c r="EV105">
        <f ca="1"/>
      </c>
      <c r="EW105">
        <f ca="1"/>
      </c>
      <c r="EX105">
        <f ca="1"/>
      </c>
      <c r="EY105">
        <f ca="1"/>
      </c>
      <c r="EZ105">
        <f ca="1"/>
      </c>
      <c r="FA105">
        <f ca="1"/>
      </c>
      <c r="FC105">
        <f ca="1"/>
      </c>
      <c r="FD105">
        <f ca="1"/>
      </c>
      <c r="FE105">
        <f ca="1"/>
      </c>
      <c r="FF105">
        <f ca="1"/>
      </c>
      <c r="FG105">
        <f ca="1"/>
      </c>
      <c r="FH105">
        <f ca="1"/>
      </c>
      <c r="FI105">
        <f ca="1"/>
      </c>
      <c r="FJ105">
        <f ca="1"/>
      </c>
      <c r="FK105">
        <f ca="1"/>
      </c>
      <c r="FL105">
        <f ca="1"/>
      </c>
      <c r="FM105">
        <f ca="1"/>
      </c>
      <c r="FN105">
        <f ca="1"/>
      </c>
      <c r="FO105">
        <f ca="1"/>
      </c>
      <c r="FP105">
        <f ca="1"/>
      </c>
      <c r="FQ105">
        <f ca="1"/>
      </c>
      <c r="FR105">
        <f ca="1"/>
      </c>
      <c r="FS105">
        <f ca="1"/>
      </c>
      <c r="FT105">
        <f ca="1"/>
      </c>
      <c r="FU105">
        <f ca="1"/>
      </c>
      <c r="FV105">
        <f ca="1"/>
      </c>
      <c r="FW105">
        <f ca="1"/>
      </c>
      <c r="FX105">
        <f ca="1"/>
      </c>
      <c r="FY105">
        <f ca="1"/>
      </c>
      <c r="FZ105">
        <f ca="1"/>
      </c>
      <c r="GA105">
        <f ca="1"/>
      </c>
      <c r="GB105">
        <f ca="1"/>
      </c>
      <c r="GC105">
        <f ca="1"/>
      </c>
      <c r="GD105">
        <f ca="1"/>
      </c>
      <c r="GE105">
        <f ca="1"/>
      </c>
      <c r="GF105">
        <f ca="1"/>
      </c>
      <c r="GG105">
        <f ca="1"/>
      </c>
      <c r="GH105">
        <f ca="1"/>
      </c>
      <c r="GI105">
        <f ca="1"/>
      </c>
      <c r="GJ105">
        <f ca="1"/>
      </c>
      <c r="GK105">
        <f ca="1"/>
      </c>
      <c r="GL105">
        <f ca="1"/>
      </c>
      <c r="GM105">
        <f ca="1"/>
      </c>
      <c r="GN105">
        <f ca="1"/>
      </c>
      <c r="GO105">
        <f ca="1"/>
      </c>
      <c r="GP105">
        <f ca="1"/>
      </c>
      <c r="GQ105">
        <f ca="1"/>
      </c>
      <c r="GR105">
        <f ca="1"/>
      </c>
      <c r="GS105">
        <f ca="1"/>
      </c>
      <c r="GT105">
        <f ca="1"/>
      </c>
      <c r="GU105">
        <f ca="1"/>
      </c>
      <c r="GV105">
        <f ca="1"/>
      </c>
      <c r="GW105">
        <f ca="1"/>
      </c>
      <c r="HI105" s="7">
        <f ca="1"/>
      </c>
      <c r="HJ105">
        <f ca="1"/>
      </c>
      <c r="HK105">
        <f ca="1"/>
      </c>
      <c r="HL105">
        <f ca="1"/>
      </c>
      <c r="HM105">
        <f ca="1"/>
      </c>
    </row>
    <row r="106" spans="63:221" x14ac:dyDescent="0.55000000000000004">
      <c r="BK106">
        <f ca="1"/>
      </c>
      <c r="BL106">
        <f ca="1"/>
      </c>
      <c r="BM106">
        <f ca="1"/>
      </c>
      <c r="BN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  <c r="BV106">
        <f ca="1"/>
      </c>
      <c r="BW106">
        <f ca="1"/>
      </c>
      <c r="BX106">
        <f ca="1"/>
      </c>
      <c r="BY106">
        <f ca="1"/>
      </c>
      <c r="BZ106">
        <f ca="1"/>
      </c>
      <c r="CA106">
        <f ca="1"/>
      </c>
      <c r="CB106">
        <f ca="1"/>
      </c>
      <c r="CC106">
        <f ca="1"/>
      </c>
      <c r="CD106">
        <f ca="1"/>
      </c>
      <c r="CE106">
        <f ca="1"/>
      </c>
      <c r="CF106">
        <f ca="1"/>
      </c>
      <c r="CG106">
        <f ca="1"/>
      </c>
      <c r="CH106">
        <f ca="1"/>
      </c>
      <c r="CI106">
        <f ca="1"/>
      </c>
      <c r="CJ106">
        <f ca="1"/>
      </c>
      <c r="CK106">
        <f ca="1"/>
      </c>
      <c r="CL106">
        <f ca="1"/>
      </c>
      <c r="CM106">
        <f ca="1"/>
      </c>
      <c r="CN106">
        <f ca="1"/>
      </c>
      <c r="CO106">
        <f ca="1"/>
      </c>
      <c r="CP106">
        <f ca="1"/>
      </c>
      <c r="CQ106">
        <f ca="1"/>
      </c>
      <c r="CR106">
        <f ca="1"/>
      </c>
      <c r="CS106">
        <f ca="1"/>
      </c>
      <c r="CT106">
        <f ca="1"/>
      </c>
      <c r="CU106">
        <f ca="1"/>
      </c>
      <c r="CV106">
        <f ca="1"/>
      </c>
      <c r="CW106">
        <f ca="1"/>
      </c>
      <c r="CX106">
        <f ca="1"/>
      </c>
      <c r="CY106">
        <f ca="1"/>
      </c>
      <c r="CZ106">
        <f ca="1"/>
      </c>
      <c r="DA106">
        <f ca="1"/>
      </c>
      <c r="DB106">
        <f ca="1"/>
      </c>
      <c r="DC106">
        <f ca="1"/>
      </c>
      <c r="DD106">
        <f ca="1"/>
      </c>
      <c r="DE106">
        <f ca="1"/>
      </c>
      <c r="DG106">
        <f ca="1"/>
      </c>
      <c r="DH106">
        <f ca="1"/>
      </c>
      <c r="DI106">
        <f ca="1"/>
      </c>
      <c r="DJ106">
        <f ca="1"/>
      </c>
      <c r="DK106">
        <f ca="1"/>
      </c>
      <c r="DL106">
        <f ca="1"/>
      </c>
      <c r="DM106">
        <f ca="1"/>
      </c>
      <c r="DN106">
        <f ca="1"/>
      </c>
      <c r="DO106">
        <f ca="1"/>
      </c>
      <c r="DP106">
        <f ca="1"/>
      </c>
      <c r="DQ106">
        <f ca="1"/>
      </c>
      <c r="DR106">
        <f ca="1"/>
      </c>
      <c r="DS106">
        <f ca="1"/>
      </c>
      <c r="DT106">
        <f ca="1"/>
      </c>
      <c r="DU106">
        <f ca="1"/>
      </c>
      <c r="DV106">
        <f ca="1"/>
      </c>
      <c r="DW106">
        <f ca="1"/>
      </c>
      <c r="DX106">
        <f ca="1"/>
      </c>
      <c r="DY106">
        <f ca="1"/>
      </c>
      <c r="DZ106">
        <f ca="1"/>
      </c>
      <c r="EA106">
        <f ca="1"/>
      </c>
      <c r="EB106">
        <f ca="1"/>
      </c>
      <c r="EC106">
        <f ca="1"/>
      </c>
      <c r="ED106">
        <f ca="1"/>
      </c>
      <c r="EE106">
        <f ca="1"/>
      </c>
      <c r="EF106">
        <f ca="1"/>
      </c>
      <c r="EG106">
        <f ca="1"/>
      </c>
      <c r="EH106">
        <f ca="1"/>
      </c>
      <c r="EI106">
        <f ca="1"/>
      </c>
      <c r="EJ106">
        <f ca="1"/>
      </c>
      <c r="EK106">
        <f ca="1"/>
      </c>
      <c r="EL106">
        <f ca="1"/>
      </c>
      <c r="EM106">
        <f ca="1"/>
      </c>
      <c r="EN106">
        <f ca="1"/>
      </c>
      <c r="EO106">
        <f ca="1"/>
      </c>
      <c r="EP106">
        <f ca="1"/>
      </c>
      <c r="EQ106">
        <f ca="1"/>
      </c>
      <c r="ER106">
        <f ca="1"/>
      </c>
      <c r="ES106">
        <f ca="1"/>
      </c>
      <c r="ET106">
        <f ca="1"/>
      </c>
      <c r="EU106">
        <f ca="1"/>
      </c>
      <c r="EV106">
        <f ca="1"/>
      </c>
      <c r="EW106">
        <f ca="1"/>
      </c>
      <c r="EX106">
        <f ca="1"/>
      </c>
      <c r="EY106">
        <f ca="1"/>
      </c>
      <c r="EZ106">
        <f ca="1"/>
      </c>
      <c r="FA106">
        <f ca="1"/>
      </c>
      <c r="FC106">
        <f ca="1"/>
      </c>
      <c r="FD106">
        <f ca="1"/>
      </c>
      <c r="FE106">
        <f ca="1"/>
      </c>
      <c r="FF106">
        <f ca="1"/>
      </c>
      <c r="FG106">
        <f ca="1"/>
      </c>
      <c r="FH106">
        <f ca="1"/>
      </c>
      <c r="FI106">
        <f ca="1"/>
      </c>
      <c r="FJ106">
        <f ca="1"/>
      </c>
      <c r="FK106">
        <f ca="1"/>
      </c>
      <c r="FL106">
        <f ca="1"/>
      </c>
      <c r="FM106">
        <f ca="1"/>
      </c>
      <c r="FN106">
        <f ca="1"/>
      </c>
      <c r="FO106">
        <f ca="1"/>
      </c>
      <c r="FP106">
        <f ca="1"/>
      </c>
      <c r="FQ106">
        <f ca="1"/>
      </c>
      <c r="FR106">
        <f ca="1"/>
      </c>
      <c r="FS106">
        <f ca="1"/>
      </c>
      <c r="FT106">
        <f ca="1"/>
      </c>
      <c r="FU106">
        <f ca="1"/>
      </c>
      <c r="FV106">
        <f ca="1"/>
      </c>
      <c r="FW106">
        <f ca="1"/>
      </c>
      <c r="FX106">
        <f ca="1"/>
      </c>
      <c r="FY106">
        <f ca="1"/>
      </c>
      <c r="FZ106">
        <f ca="1"/>
      </c>
      <c r="GA106">
        <f ca="1"/>
      </c>
      <c r="GB106">
        <f ca="1"/>
      </c>
      <c r="GC106">
        <f ca="1"/>
      </c>
      <c r="GD106">
        <f ca="1"/>
      </c>
      <c r="GE106">
        <f ca="1"/>
      </c>
      <c r="GF106">
        <f ca="1"/>
      </c>
      <c r="GG106">
        <f ca="1"/>
      </c>
      <c r="GH106">
        <f ca="1"/>
      </c>
      <c r="GI106">
        <f ca="1"/>
      </c>
      <c r="GJ106">
        <f ca="1"/>
      </c>
      <c r="GK106">
        <f ca="1"/>
      </c>
      <c r="GL106">
        <f ca="1"/>
      </c>
      <c r="GM106">
        <f ca="1"/>
      </c>
      <c r="GN106">
        <f ca="1"/>
      </c>
      <c r="GO106">
        <f ca="1"/>
      </c>
      <c r="GP106">
        <f ca="1"/>
      </c>
      <c r="GQ106">
        <f ca="1"/>
      </c>
      <c r="GR106">
        <f ca="1"/>
      </c>
      <c r="GS106">
        <f ca="1"/>
      </c>
      <c r="GT106">
        <f ca="1"/>
      </c>
      <c r="GU106">
        <f ca="1"/>
      </c>
      <c r="GV106">
        <f ca="1"/>
      </c>
      <c r="GW106">
        <f ca="1"/>
      </c>
      <c r="HI106" s="7">
        <f ca="1"/>
      </c>
      <c r="HJ106">
        <f ca="1"/>
      </c>
      <c r="HK106">
        <f ca="1"/>
      </c>
      <c r="HL106">
        <f ca="1"/>
      </c>
      <c r="HM106">
        <f ca="1"/>
      </c>
    </row>
    <row r="107" spans="63:221" x14ac:dyDescent="0.55000000000000004">
      <c r="BK107">
        <f ca="1"/>
      </c>
      <c r="BL107">
        <f ca="1"/>
      </c>
      <c r="BM107">
        <f ca="1"/>
      </c>
      <c r="BN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  <c r="BV107">
        <f ca="1"/>
      </c>
      <c r="BW107">
        <f ca="1"/>
      </c>
      <c r="BX107">
        <f ca="1"/>
      </c>
      <c r="BY107">
        <f ca="1"/>
      </c>
      <c r="BZ107">
        <f ca="1"/>
      </c>
      <c r="CA107">
        <f ca="1"/>
      </c>
      <c r="CB107">
        <f ca="1"/>
      </c>
      <c r="CC107">
        <f ca="1"/>
      </c>
      <c r="CD107">
        <f ca="1"/>
      </c>
      <c r="CE107">
        <f ca="1"/>
      </c>
      <c r="CF107">
        <f ca="1"/>
      </c>
      <c r="CG107">
        <f ca="1"/>
      </c>
      <c r="CH107">
        <f ca="1"/>
      </c>
      <c r="CI107">
        <f ca="1"/>
      </c>
      <c r="CJ107">
        <f ca="1"/>
      </c>
      <c r="CK107">
        <f ca="1"/>
      </c>
      <c r="CL107">
        <f ca="1"/>
      </c>
      <c r="CM107">
        <f ca="1"/>
      </c>
      <c r="CN107">
        <f ca="1"/>
      </c>
      <c r="CO107">
        <f ca="1"/>
      </c>
      <c r="CP107">
        <f ca="1"/>
      </c>
      <c r="CQ107">
        <f ca="1"/>
      </c>
      <c r="CR107">
        <f ca="1"/>
      </c>
      <c r="CS107">
        <f ca="1"/>
      </c>
      <c r="CT107">
        <f ca="1"/>
      </c>
      <c r="CU107">
        <f ca="1"/>
      </c>
      <c r="CV107">
        <f ca="1"/>
      </c>
      <c r="CW107">
        <f ca="1"/>
      </c>
      <c r="CX107">
        <f ca="1"/>
      </c>
      <c r="CY107">
        <f ca="1"/>
      </c>
      <c r="CZ107">
        <f ca="1"/>
      </c>
      <c r="DA107">
        <f ca="1"/>
      </c>
      <c r="DB107">
        <f ca="1"/>
      </c>
      <c r="DC107">
        <f ca="1"/>
      </c>
      <c r="DD107">
        <f ca="1"/>
      </c>
      <c r="DE107">
        <f ca="1"/>
      </c>
      <c r="DG107">
        <f ca="1"/>
      </c>
      <c r="DH107">
        <f ca="1"/>
      </c>
      <c r="DI107">
        <f ca="1"/>
      </c>
      <c r="DJ107">
        <f ca="1"/>
      </c>
      <c r="DK107">
        <f ca="1"/>
      </c>
      <c r="DL107">
        <f ca="1"/>
      </c>
      <c r="DM107">
        <f ca="1"/>
      </c>
      <c r="DN107">
        <f ca="1"/>
      </c>
      <c r="DO107">
        <f ca="1"/>
      </c>
      <c r="DP107">
        <f ca="1"/>
      </c>
      <c r="DQ107">
        <f ca="1"/>
      </c>
      <c r="DR107">
        <f ca="1"/>
      </c>
      <c r="DS107">
        <f ca="1"/>
      </c>
      <c r="DT107">
        <f ca="1"/>
      </c>
      <c r="DU107">
        <f ca="1"/>
      </c>
      <c r="DV107">
        <f ca="1"/>
      </c>
      <c r="DW107">
        <f ca="1"/>
      </c>
      <c r="DX107">
        <f ca="1"/>
      </c>
      <c r="DY107">
        <f ca="1"/>
      </c>
      <c r="DZ107">
        <f ca="1"/>
      </c>
      <c r="EA107">
        <f ca="1"/>
      </c>
      <c r="EB107">
        <f ca="1"/>
      </c>
      <c r="EC107">
        <f ca="1"/>
      </c>
      <c r="ED107">
        <f ca="1"/>
      </c>
      <c r="EE107">
        <f ca="1"/>
      </c>
      <c r="EF107">
        <f ca="1"/>
      </c>
      <c r="EG107">
        <f ca="1"/>
      </c>
      <c r="EH107">
        <f ca="1"/>
      </c>
      <c r="EI107">
        <f ca="1"/>
      </c>
      <c r="EJ107">
        <f ca="1"/>
      </c>
      <c r="EK107">
        <f ca="1"/>
      </c>
      <c r="EL107">
        <f ca="1"/>
      </c>
      <c r="EM107">
        <f ca="1"/>
      </c>
      <c r="EN107">
        <f ca="1"/>
      </c>
      <c r="EO107">
        <f ca="1"/>
      </c>
      <c r="EP107">
        <f ca="1"/>
      </c>
      <c r="EQ107">
        <f ca="1"/>
      </c>
      <c r="ER107">
        <f ca="1"/>
      </c>
      <c r="ES107">
        <f ca="1"/>
      </c>
      <c r="ET107">
        <f ca="1"/>
      </c>
      <c r="EU107">
        <f ca="1"/>
      </c>
      <c r="EV107">
        <f ca="1"/>
      </c>
      <c r="EW107">
        <f ca="1"/>
      </c>
      <c r="EX107">
        <f ca="1"/>
      </c>
      <c r="EY107">
        <f ca="1"/>
      </c>
      <c r="EZ107">
        <f ca="1"/>
      </c>
      <c r="FA107">
        <f ca="1"/>
      </c>
      <c r="FC107">
        <f ca="1"/>
      </c>
      <c r="FD107">
        <f ca="1"/>
      </c>
      <c r="FE107">
        <f ca="1"/>
      </c>
      <c r="FF107">
        <f ca="1"/>
      </c>
      <c r="FG107">
        <f ca="1"/>
      </c>
      <c r="FH107">
        <f ca="1"/>
      </c>
      <c r="FI107">
        <f ca="1"/>
      </c>
      <c r="FJ107">
        <f ca="1"/>
      </c>
      <c r="FK107">
        <f ca="1"/>
      </c>
      <c r="FL107">
        <f ca="1"/>
      </c>
      <c r="FM107">
        <f ca="1"/>
      </c>
      <c r="FN107">
        <f ca="1"/>
      </c>
      <c r="FO107">
        <f ca="1"/>
      </c>
      <c r="FP107">
        <f ca="1"/>
      </c>
      <c r="FQ107">
        <f ca="1"/>
      </c>
      <c r="FR107">
        <f ca="1"/>
      </c>
      <c r="FS107">
        <f ca="1"/>
      </c>
      <c r="FT107">
        <f ca="1"/>
      </c>
      <c r="FU107">
        <f ca="1"/>
      </c>
      <c r="FV107">
        <f ca="1"/>
      </c>
      <c r="FW107">
        <f ca="1"/>
      </c>
      <c r="FX107">
        <f ca="1"/>
      </c>
      <c r="FY107">
        <f ca="1"/>
      </c>
      <c r="FZ107">
        <f ca="1"/>
      </c>
      <c r="GA107">
        <f ca="1"/>
      </c>
      <c r="GB107">
        <f ca="1"/>
      </c>
      <c r="GC107">
        <f ca="1"/>
      </c>
      <c r="GD107">
        <f ca="1"/>
      </c>
      <c r="GE107">
        <f ca="1"/>
      </c>
      <c r="GF107">
        <f ca="1"/>
      </c>
      <c r="GG107">
        <f ca="1"/>
      </c>
      <c r="GH107">
        <f ca="1"/>
      </c>
      <c r="GI107">
        <f ca="1"/>
      </c>
      <c r="GJ107">
        <f ca="1"/>
      </c>
      <c r="GK107">
        <f ca="1"/>
      </c>
      <c r="GL107">
        <f ca="1"/>
      </c>
      <c r="GM107">
        <f ca="1"/>
      </c>
      <c r="GN107">
        <f ca="1"/>
      </c>
      <c r="GO107">
        <f ca="1"/>
      </c>
      <c r="GP107">
        <f ca="1"/>
      </c>
      <c r="GQ107">
        <f ca="1"/>
      </c>
      <c r="GR107">
        <f ca="1"/>
      </c>
      <c r="GS107">
        <f ca="1"/>
      </c>
      <c r="GT107">
        <f ca="1"/>
      </c>
      <c r="GU107">
        <f ca="1"/>
      </c>
      <c r="GV107">
        <f ca="1"/>
      </c>
      <c r="GW107">
        <f ca="1"/>
      </c>
      <c r="HI107" s="7">
        <f ca="1"/>
      </c>
      <c r="HJ107">
        <f ca="1"/>
      </c>
      <c r="HK107">
        <f ca="1"/>
      </c>
      <c r="HL107">
        <f ca="1"/>
      </c>
      <c r="HM107">
        <f ca="1"/>
      </c>
    </row>
    <row r="108" spans="63:221" x14ac:dyDescent="0.55000000000000004">
      <c r="BK108">
        <f ca="1"/>
      </c>
      <c r="BL108">
        <f ca="1"/>
      </c>
      <c r="BM108">
        <f ca="1"/>
      </c>
      <c r="BN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  <c r="BV108">
        <f ca="1"/>
      </c>
      <c r="BW108">
        <f ca="1"/>
      </c>
      <c r="BX108">
        <f ca="1"/>
      </c>
      <c r="BY108">
        <f ca="1"/>
      </c>
      <c r="BZ108">
        <f ca="1"/>
      </c>
      <c r="CA108">
        <f ca="1"/>
      </c>
      <c r="CB108">
        <f ca="1"/>
      </c>
      <c r="CC108">
        <f ca="1"/>
      </c>
      <c r="CD108">
        <f ca="1"/>
      </c>
      <c r="CE108">
        <f ca="1"/>
      </c>
      <c r="CF108">
        <f ca="1"/>
      </c>
      <c r="CG108">
        <f ca="1"/>
      </c>
      <c r="CH108">
        <f ca="1"/>
      </c>
      <c r="CI108">
        <f ca="1"/>
      </c>
      <c r="CJ108">
        <f ca="1"/>
      </c>
      <c r="CK108">
        <f ca="1"/>
      </c>
      <c r="CL108">
        <f ca="1"/>
      </c>
      <c r="CM108">
        <f ca="1"/>
      </c>
      <c r="CN108">
        <f ca="1"/>
      </c>
      <c r="CO108">
        <f ca="1"/>
      </c>
      <c r="CP108">
        <f ca="1"/>
      </c>
      <c r="CQ108">
        <f ca="1"/>
      </c>
      <c r="CR108">
        <f ca="1"/>
      </c>
      <c r="CS108">
        <f ca="1"/>
      </c>
      <c r="CT108">
        <f ca="1"/>
      </c>
      <c r="CU108">
        <f ca="1"/>
      </c>
      <c r="CV108">
        <f ca="1"/>
      </c>
      <c r="CW108">
        <f ca="1"/>
      </c>
      <c r="CX108">
        <f ca="1"/>
      </c>
      <c r="CY108">
        <f ca="1"/>
      </c>
      <c r="CZ108">
        <f ca="1"/>
      </c>
      <c r="DA108">
        <f ca="1"/>
      </c>
      <c r="DB108">
        <f ca="1"/>
      </c>
      <c r="DC108">
        <f ca="1"/>
      </c>
      <c r="DD108">
        <f ca="1"/>
      </c>
      <c r="DE108">
        <f ca="1"/>
      </c>
      <c r="DG108">
        <f ca="1"/>
      </c>
      <c r="DH108">
        <f ca="1"/>
      </c>
      <c r="DI108">
        <f ca="1"/>
      </c>
      <c r="DJ108">
        <f ca="1"/>
      </c>
      <c r="DK108">
        <f ca="1"/>
      </c>
      <c r="DL108">
        <f ca="1"/>
      </c>
      <c r="DM108">
        <f ca="1"/>
      </c>
      <c r="DN108">
        <f ca="1"/>
      </c>
      <c r="DO108">
        <f ca="1"/>
      </c>
      <c r="DP108">
        <f ca="1"/>
      </c>
      <c r="DQ108">
        <f ca="1"/>
      </c>
      <c r="DR108">
        <f ca="1"/>
      </c>
      <c r="DS108">
        <f ca="1"/>
      </c>
      <c r="DT108">
        <f ca="1"/>
      </c>
      <c r="DU108">
        <f ca="1"/>
      </c>
      <c r="DV108">
        <f ca="1"/>
      </c>
      <c r="DW108">
        <f ca="1"/>
      </c>
      <c r="DX108">
        <f ca="1"/>
      </c>
      <c r="DY108">
        <f ca="1"/>
      </c>
      <c r="DZ108">
        <f ca="1"/>
      </c>
      <c r="EA108">
        <f ca="1"/>
      </c>
      <c r="EB108">
        <f ca="1"/>
      </c>
      <c r="EC108">
        <f ca="1"/>
      </c>
      <c r="ED108">
        <f ca="1"/>
      </c>
      <c r="EE108">
        <f ca="1"/>
      </c>
      <c r="EF108">
        <f ca="1"/>
      </c>
      <c r="EG108">
        <f ca="1"/>
      </c>
      <c r="EH108">
        <f ca="1"/>
      </c>
      <c r="EI108">
        <f ca="1"/>
      </c>
      <c r="EJ108">
        <f ca="1"/>
      </c>
      <c r="EK108">
        <f ca="1"/>
      </c>
      <c r="EL108">
        <f ca="1"/>
      </c>
      <c r="EM108">
        <f ca="1"/>
      </c>
      <c r="EN108">
        <f ca="1"/>
      </c>
      <c r="EO108">
        <f ca="1"/>
      </c>
      <c r="EP108">
        <f ca="1"/>
      </c>
      <c r="EQ108">
        <f ca="1"/>
      </c>
      <c r="ER108">
        <f ca="1"/>
      </c>
      <c r="ES108">
        <f ca="1"/>
      </c>
      <c r="ET108">
        <f ca="1"/>
      </c>
      <c r="EU108">
        <f ca="1"/>
      </c>
      <c r="EV108">
        <f ca="1"/>
      </c>
      <c r="EW108">
        <f ca="1"/>
      </c>
      <c r="EX108">
        <f ca="1"/>
      </c>
      <c r="EY108">
        <f ca="1"/>
      </c>
      <c r="EZ108">
        <f ca="1"/>
      </c>
      <c r="FA108">
        <f ca="1"/>
      </c>
      <c r="FC108">
        <f ca="1"/>
      </c>
      <c r="FD108">
        <f ca="1"/>
      </c>
      <c r="FE108">
        <f ca="1"/>
      </c>
      <c r="FF108">
        <f ca="1"/>
      </c>
      <c r="FG108">
        <f ca="1"/>
      </c>
      <c r="FH108">
        <f ca="1"/>
      </c>
      <c r="FI108">
        <f ca="1"/>
      </c>
      <c r="FJ108">
        <f ca="1"/>
      </c>
      <c r="FK108">
        <f ca="1"/>
      </c>
      <c r="FL108">
        <f ca="1"/>
      </c>
      <c r="FM108">
        <f ca="1"/>
      </c>
      <c r="FN108">
        <f ca="1"/>
      </c>
      <c r="FO108">
        <f ca="1"/>
      </c>
      <c r="FP108">
        <f ca="1"/>
      </c>
      <c r="FQ108">
        <f ca="1"/>
      </c>
      <c r="FR108">
        <f ca="1"/>
      </c>
      <c r="FS108">
        <f ca="1"/>
      </c>
      <c r="FT108">
        <f ca="1"/>
      </c>
      <c r="FU108">
        <f ca="1"/>
      </c>
      <c r="FV108">
        <f ca="1"/>
      </c>
      <c r="FW108">
        <f ca="1"/>
      </c>
      <c r="FX108">
        <f ca="1"/>
      </c>
      <c r="FY108">
        <f ca="1"/>
      </c>
      <c r="FZ108">
        <f ca="1"/>
      </c>
      <c r="GA108">
        <f ca="1"/>
      </c>
      <c r="GB108">
        <f ca="1"/>
      </c>
      <c r="GC108">
        <f ca="1"/>
      </c>
      <c r="GD108">
        <f ca="1"/>
      </c>
      <c r="GE108">
        <f ca="1"/>
      </c>
      <c r="GF108">
        <f ca="1"/>
      </c>
      <c r="GG108">
        <f ca="1"/>
      </c>
      <c r="GH108">
        <f ca="1"/>
      </c>
      <c r="GI108">
        <f ca="1"/>
      </c>
      <c r="GJ108">
        <f ca="1"/>
      </c>
      <c r="GK108">
        <f ca="1"/>
      </c>
      <c r="GL108">
        <f ca="1"/>
      </c>
      <c r="GM108">
        <f ca="1"/>
      </c>
      <c r="GN108">
        <f ca="1"/>
      </c>
      <c r="GO108">
        <f ca="1"/>
      </c>
      <c r="GP108">
        <f ca="1"/>
      </c>
      <c r="GQ108">
        <f ca="1"/>
      </c>
      <c r="GR108">
        <f ca="1"/>
      </c>
      <c r="GS108">
        <f ca="1"/>
      </c>
      <c r="GT108">
        <f ca="1"/>
      </c>
      <c r="GU108">
        <f ca="1"/>
      </c>
      <c r="GV108">
        <f ca="1"/>
      </c>
      <c r="GW108">
        <f ca="1"/>
      </c>
      <c r="HI108" s="7">
        <f ca="1"/>
      </c>
      <c r="HJ108">
        <f ca="1"/>
      </c>
      <c r="HK108">
        <f ca="1"/>
      </c>
      <c r="HL108">
        <f ca="1"/>
      </c>
      <c r="HM108">
        <f ca="1"/>
      </c>
    </row>
    <row r="109" spans="63:221" x14ac:dyDescent="0.55000000000000004">
      <c r="BK109">
        <f ca="1"/>
      </c>
      <c r="BL109">
        <f ca="1"/>
      </c>
      <c r="BM109">
        <f ca="1"/>
      </c>
      <c r="BN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  <c r="BV109">
        <f ca="1"/>
      </c>
      <c r="BW109">
        <f ca="1"/>
      </c>
      <c r="BX109">
        <f ca="1"/>
      </c>
      <c r="BY109">
        <f ca="1"/>
      </c>
      <c r="BZ109">
        <f ca="1"/>
      </c>
      <c r="CA109">
        <f ca="1"/>
      </c>
      <c r="CB109">
        <f ca="1"/>
      </c>
      <c r="CC109">
        <f ca="1"/>
      </c>
      <c r="CD109">
        <f ca="1"/>
      </c>
      <c r="CE109">
        <f ca="1"/>
      </c>
      <c r="CF109">
        <f ca="1"/>
      </c>
      <c r="CG109">
        <f ca="1"/>
      </c>
      <c r="CH109">
        <f ca="1"/>
      </c>
      <c r="CI109">
        <f ca="1"/>
      </c>
      <c r="CJ109">
        <f ca="1"/>
      </c>
      <c r="CK109">
        <f ca="1"/>
      </c>
      <c r="CL109">
        <f ca="1"/>
      </c>
      <c r="CM109">
        <f ca="1"/>
      </c>
      <c r="CN109">
        <f ca="1"/>
      </c>
      <c r="CO109">
        <f ca="1"/>
      </c>
      <c r="CP109">
        <f ca="1"/>
      </c>
      <c r="CQ109">
        <f ca="1"/>
      </c>
      <c r="CR109">
        <f ca="1"/>
      </c>
      <c r="CS109">
        <f ca="1"/>
      </c>
      <c r="CT109">
        <f ca="1"/>
      </c>
      <c r="CU109">
        <f ca="1"/>
      </c>
      <c r="CV109">
        <f ca="1"/>
      </c>
      <c r="CW109">
        <f ca="1"/>
      </c>
      <c r="CX109">
        <f ca="1"/>
      </c>
      <c r="CY109">
        <f ca="1"/>
      </c>
      <c r="CZ109">
        <f ca="1"/>
      </c>
      <c r="DA109">
        <f ca="1"/>
      </c>
      <c r="DB109">
        <f ca="1"/>
      </c>
      <c r="DC109">
        <f ca="1"/>
      </c>
      <c r="DD109">
        <f ca="1"/>
      </c>
      <c r="DE109">
        <f ca="1"/>
      </c>
      <c r="DG109">
        <f ca="1"/>
      </c>
      <c r="DH109">
        <f ca="1"/>
      </c>
      <c r="DI109">
        <f ca="1"/>
      </c>
      <c r="DJ109">
        <f ca="1"/>
      </c>
      <c r="DK109">
        <f ca="1"/>
      </c>
      <c r="DL109">
        <f ca="1"/>
      </c>
      <c r="DM109">
        <f ca="1"/>
      </c>
      <c r="DN109">
        <f ca="1"/>
      </c>
      <c r="DO109">
        <f ca="1"/>
      </c>
      <c r="DP109">
        <f ca="1"/>
      </c>
      <c r="DQ109">
        <f ca="1"/>
      </c>
      <c r="DR109">
        <f ca="1"/>
      </c>
      <c r="DS109">
        <f ca="1"/>
      </c>
      <c r="DT109">
        <f ca="1"/>
      </c>
      <c r="DU109">
        <f ca="1"/>
      </c>
      <c r="DV109">
        <f ca="1"/>
      </c>
      <c r="DW109">
        <f ca="1"/>
      </c>
      <c r="DX109">
        <f ca="1"/>
      </c>
      <c r="DY109">
        <f ca="1"/>
      </c>
      <c r="DZ109">
        <f ca="1"/>
      </c>
      <c r="EA109">
        <f ca="1"/>
      </c>
      <c r="EB109">
        <f ca="1"/>
      </c>
      <c r="EC109">
        <f ca="1"/>
      </c>
      <c r="ED109">
        <f ca="1"/>
      </c>
      <c r="EE109">
        <f ca="1"/>
      </c>
      <c r="EF109">
        <f ca="1"/>
      </c>
      <c r="EG109">
        <f ca="1"/>
      </c>
      <c r="EH109">
        <f ca="1"/>
      </c>
      <c r="EI109">
        <f ca="1"/>
      </c>
      <c r="EJ109">
        <f ca="1"/>
      </c>
      <c r="EK109">
        <f ca="1"/>
      </c>
      <c r="EL109">
        <f ca="1"/>
      </c>
      <c r="EM109">
        <f ca="1"/>
      </c>
      <c r="EN109">
        <f ca="1"/>
      </c>
      <c r="EO109">
        <f ca="1"/>
      </c>
      <c r="EP109">
        <f ca="1"/>
      </c>
      <c r="EQ109">
        <f ca="1"/>
      </c>
      <c r="ER109">
        <f ca="1"/>
      </c>
      <c r="ES109">
        <f ca="1"/>
      </c>
      <c r="ET109">
        <f ca="1"/>
      </c>
      <c r="EU109">
        <f ca="1"/>
      </c>
      <c r="EV109">
        <f ca="1"/>
      </c>
      <c r="EW109">
        <f ca="1"/>
      </c>
      <c r="EX109">
        <f ca="1"/>
      </c>
      <c r="EY109">
        <f ca="1"/>
      </c>
      <c r="EZ109">
        <f ca="1"/>
      </c>
      <c r="FA109">
        <f ca="1"/>
      </c>
      <c r="FC109">
        <f ca="1"/>
      </c>
      <c r="FD109">
        <f ca="1"/>
      </c>
      <c r="FE109">
        <f ca="1"/>
      </c>
      <c r="FF109">
        <f ca="1"/>
      </c>
      <c r="FG109">
        <f ca="1"/>
      </c>
      <c r="FH109">
        <f ca="1"/>
      </c>
      <c r="FI109">
        <f ca="1"/>
      </c>
      <c r="FJ109">
        <f ca="1"/>
      </c>
      <c r="FK109">
        <f ca="1"/>
      </c>
      <c r="FL109">
        <f ca="1"/>
      </c>
      <c r="FM109">
        <f ca="1"/>
      </c>
      <c r="FN109">
        <f ca="1"/>
      </c>
      <c r="FO109">
        <f ca="1"/>
      </c>
      <c r="FP109">
        <f ca="1"/>
      </c>
      <c r="FQ109">
        <f ca="1"/>
      </c>
      <c r="FR109">
        <f ca="1"/>
      </c>
      <c r="FS109">
        <f ca="1"/>
      </c>
      <c r="FT109">
        <f ca="1"/>
      </c>
      <c r="FU109">
        <f ca="1"/>
      </c>
      <c r="FV109">
        <f ca="1"/>
      </c>
      <c r="FW109">
        <f ca="1"/>
      </c>
      <c r="FX109">
        <f ca="1"/>
      </c>
      <c r="FY109">
        <f ca="1"/>
      </c>
      <c r="FZ109">
        <f ca="1"/>
      </c>
      <c r="GA109">
        <f ca="1"/>
      </c>
      <c r="GB109">
        <f ca="1"/>
      </c>
      <c r="GC109">
        <f ca="1"/>
      </c>
      <c r="GD109">
        <f ca="1"/>
      </c>
      <c r="GE109">
        <f ca="1"/>
      </c>
      <c r="GF109">
        <f ca="1"/>
      </c>
      <c r="GG109">
        <f ca="1"/>
      </c>
      <c r="GH109">
        <f ca="1"/>
      </c>
      <c r="GI109">
        <f ca="1"/>
      </c>
      <c r="GJ109">
        <f ca="1"/>
      </c>
      <c r="GK109">
        <f ca="1"/>
      </c>
      <c r="GL109">
        <f ca="1"/>
      </c>
      <c r="GM109">
        <f ca="1"/>
      </c>
      <c r="GN109">
        <f ca="1"/>
      </c>
      <c r="GO109">
        <f ca="1"/>
      </c>
      <c r="GP109">
        <f ca="1"/>
      </c>
      <c r="GQ109">
        <f ca="1"/>
      </c>
      <c r="GR109">
        <f ca="1"/>
      </c>
      <c r="GS109">
        <f ca="1"/>
      </c>
      <c r="GT109">
        <f ca="1"/>
      </c>
      <c r="GU109">
        <f ca="1"/>
      </c>
      <c r="GV109">
        <f ca="1"/>
      </c>
      <c r="GW109">
        <f ca="1"/>
      </c>
      <c r="HI109" s="7">
        <f ca="1"/>
      </c>
      <c r="HJ109">
        <f ca="1"/>
      </c>
      <c r="HK109">
        <f ca="1"/>
      </c>
      <c r="HL109">
        <f ca="1"/>
      </c>
      <c r="HM109">
        <f ca="1"/>
      </c>
    </row>
    <row r="110" spans="63:221" x14ac:dyDescent="0.55000000000000004">
      <c r="BK110">
        <f ca="1"/>
      </c>
      <c r="BL110">
        <f ca="1"/>
      </c>
      <c r="BM110">
        <f ca="1"/>
      </c>
      <c r="BN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  <c r="BV110">
        <f ca="1"/>
      </c>
      <c r="BW110">
        <f ca="1"/>
      </c>
      <c r="BX110">
        <f ca="1"/>
      </c>
      <c r="BY110">
        <f ca="1"/>
      </c>
      <c r="BZ110">
        <f ca="1"/>
      </c>
      <c r="CA110">
        <f ca="1"/>
      </c>
      <c r="CB110">
        <f ca="1"/>
      </c>
      <c r="CC110">
        <f ca="1"/>
      </c>
      <c r="CD110">
        <f ca="1"/>
      </c>
      <c r="CE110">
        <f ca="1"/>
      </c>
      <c r="CF110">
        <f ca="1"/>
      </c>
      <c r="CG110">
        <f ca="1"/>
      </c>
      <c r="CH110">
        <f ca="1"/>
      </c>
      <c r="CI110">
        <f ca="1"/>
      </c>
      <c r="CJ110">
        <f ca="1"/>
      </c>
      <c r="CK110">
        <f ca="1"/>
      </c>
      <c r="CL110">
        <f ca="1"/>
      </c>
      <c r="CM110">
        <f ca="1"/>
      </c>
      <c r="CN110">
        <f ca="1"/>
      </c>
      <c r="CO110">
        <f ca="1"/>
      </c>
      <c r="CP110">
        <f ca="1"/>
      </c>
      <c r="CQ110">
        <f ca="1"/>
      </c>
      <c r="CR110">
        <f ca="1"/>
      </c>
      <c r="CS110">
        <f ca="1"/>
      </c>
      <c r="CT110">
        <f ca="1"/>
      </c>
      <c r="CU110">
        <f ca="1"/>
      </c>
      <c r="CV110">
        <f ca="1"/>
      </c>
      <c r="CW110">
        <f ca="1"/>
      </c>
      <c r="CX110">
        <f ca="1"/>
      </c>
      <c r="CY110">
        <f ca="1"/>
      </c>
      <c r="CZ110">
        <f ca="1"/>
      </c>
      <c r="DA110">
        <f ca="1"/>
      </c>
      <c r="DB110">
        <f ca="1"/>
      </c>
      <c r="DC110">
        <f ca="1"/>
      </c>
      <c r="DD110">
        <f ca="1"/>
      </c>
      <c r="DE110">
        <f ca="1"/>
      </c>
      <c r="DG110">
        <f ca="1"/>
      </c>
      <c r="DH110">
        <f ca="1"/>
      </c>
      <c r="DI110">
        <f ca="1"/>
      </c>
      <c r="DJ110">
        <f ca="1"/>
      </c>
      <c r="DK110">
        <f ca="1"/>
      </c>
      <c r="DL110">
        <f ca="1"/>
      </c>
      <c r="DM110">
        <f ca="1"/>
      </c>
      <c r="DN110">
        <f ca="1"/>
      </c>
      <c r="DO110">
        <f ca="1"/>
      </c>
      <c r="DP110">
        <f ca="1"/>
      </c>
      <c r="DQ110">
        <f ca="1"/>
      </c>
      <c r="DR110">
        <f ca="1"/>
      </c>
      <c r="DS110">
        <f ca="1"/>
      </c>
      <c r="DT110">
        <f ca="1"/>
      </c>
      <c r="DU110">
        <f ca="1"/>
      </c>
      <c r="DV110">
        <f ca="1"/>
      </c>
      <c r="DW110">
        <f ca="1"/>
      </c>
      <c r="DX110">
        <f ca="1"/>
      </c>
      <c r="DY110">
        <f ca="1"/>
      </c>
      <c r="DZ110">
        <f ca="1"/>
      </c>
      <c r="EA110">
        <f ca="1"/>
      </c>
      <c r="EB110">
        <f ca="1"/>
      </c>
      <c r="EC110">
        <f ca="1"/>
      </c>
      <c r="ED110">
        <f ca="1"/>
      </c>
      <c r="EE110">
        <f ca="1"/>
      </c>
      <c r="EF110">
        <f ca="1"/>
      </c>
      <c r="EG110">
        <f ca="1"/>
      </c>
      <c r="EH110">
        <f ca="1"/>
      </c>
      <c r="EI110">
        <f ca="1"/>
      </c>
      <c r="EJ110">
        <f ca="1"/>
      </c>
      <c r="EK110">
        <f ca="1"/>
      </c>
      <c r="EL110">
        <f ca="1"/>
      </c>
      <c r="EM110">
        <f ca="1"/>
      </c>
      <c r="EN110">
        <f ca="1"/>
      </c>
      <c r="EO110">
        <f ca="1"/>
      </c>
      <c r="EP110">
        <f ca="1"/>
      </c>
      <c r="EQ110">
        <f ca="1"/>
      </c>
      <c r="ER110">
        <f ca="1"/>
      </c>
      <c r="ES110">
        <f ca="1"/>
      </c>
      <c r="ET110">
        <f ca="1"/>
      </c>
      <c r="EU110">
        <f ca="1"/>
      </c>
      <c r="EV110">
        <f ca="1"/>
      </c>
      <c r="EW110">
        <f ca="1"/>
      </c>
      <c r="EX110">
        <f ca="1"/>
      </c>
      <c r="EY110">
        <f ca="1"/>
      </c>
      <c r="EZ110">
        <f ca="1"/>
      </c>
      <c r="FA110">
        <f ca="1"/>
      </c>
      <c r="FC110">
        <f ca="1"/>
      </c>
      <c r="FD110">
        <f ca="1"/>
      </c>
      <c r="FE110">
        <f ca="1"/>
      </c>
      <c r="FF110">
        <f ca="1"/>
      </c>
      <c r="FG110">
        <f ca="1"/>
      </c>
      <c r="FH110">
        <f ca="1"/>
      </c>
      <c r="FI110">
        <f ca="1"/>
      </c>
      <c r="FJ110">
        <f ca="1"/>
      </c>
      <c r="FK110">
        <f ca="1"/>
      </c>
      <c r="FL110">
        <f ca="1"/>
      </c>
      <c r="FM110">
        <f ca="1"/>
      </c>
      <c r="FN110">
        <f ca="1"/>
      </c>
      <c r="FO110">
        <f ca="1"/>
      </c>
      <c r="FP110">
        <f ca="1"/>
      </c>
      <c r="FQ110">
        <f ca="1"/>
      </c>
      <c r="FR110">
        <f ca="1"/>
      </c>
      <c r="FS110">
        <f ca="1"/>
      </c>
      <c r="FT110">
        <f ca="1"/>
      </c>
      <c r="FU110">
        <f ca="1"/>
      </c>
      <c r="FV110">
        <f ca="1"/>
      </c>
      <c r="FW110">
        <f ca="1"/>
      </c>
      <c r="FX110">
        <f ca="1"/>
      </c>
      <c r="FY110">
        <f ca="1"/>
      </c>
      <c r="FZ110">
        <f ca="1"/>
      </c>
      <c r="GA110">
        <f ca="1"/>
      </c>
      <c r="GB110">
        <f ca="1"/>
      </c>
      <c r="GC110">
        <f ca="1"/>
      </c>
      <c r="GD110">
        <f ca="1"/>
      </c>
      <c r="GE110">
        <f ca="1"/>
      </c>
      <c r="GF110">
        <f ca="1"/>
      </c>
      <c r="GG110">
        <f ca="1"/>
      </c>
      <c r="GH110">
        <f ca="1"/>
      </c>
      <c r="GI110">
        <f ca="1"/>
      </c>
      <c r="GJ110">
        <f ca="1"/>
      </c>
      <c r="GK110">
        <f ca="1"/>
      </c>
      <c r="GL110">
        <f ca="1"/>
      </c>
      <c r="GM110">
        <f ca="1"/>
      </c>
      <c r="GN110">
        <f ca="1"/>
      </c>
      <c r="GO110">
        <f ca="1"/>
      </c>
      <c r="GP110">
        <f ca="1"/>
      </c>
      <c r="GQ110">
        <f ca="1"/>
      </c>
      <c r="GR110">
        <f ca="1"/>
      </c>
      <c r="GS110">
        <f ca="1"/>
      </c>
      <c r="GT110">
        <f ca="1"/>
      </c>
      <c r="GU110">
        <f ca="1"/>
      </c>
      <c r="GV110">
        <f ca="1"/>
      </c>
      <c r="GW110">
        <f ca="1"/>
      </c>
      <c r="HI110" s="7">
        <f ca="1"/>
      </c>
      <c r="HJ110">
        <f ca="1"/>
      </c>
      <c r="HK110">
        <f ca="1"/>
      </c>
      <c r="HL110">
        <f ca="1"/>
      </c>
      <c r="HM110">
        <f ca="1"/>
      </c>
    </row>
    <row r="111" spans="63:221" x14ac:dyDescent="0.55000000000000004">
      <c r="BK111">
        <f ca="1"/>
      </c>
      <c r="BL111">
        <f ca="1"/>
      </c>
      <c r="BM111">
        <f ca="1"/>
      </c>
      <c r="BN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  <c r="BV111">
        <f ca="1"/>
      </c>
      <c r="BW111">
        <f ca="1"/>
      </c>
      <c r="BX111">
        <f ca="1"/>
      </c>
      <c r="BY111">
        <f ca="1"/>
      </c>
      <c r="BZ111">
        <f ca="1"/>
      </c>
      <c r="CA111">
        <f ca="1"/>
      </c>
      <c r="CB111">
        <f ca="1"/>
      </c>
      <c r="CC111">
        <f ca="1"/>
      </c>
      <c r="CD111">
        <f ca="1"/>
      </c>
      <c r="CE111">
        <f ca="1"/>
      </c>
      <c r="CF111">
        <f ca="1"/>
      </c>
      <c r="CG111">
        <f ca="1"/>
      </c>
      <c r="CH111">
        <f ca="1"/>
      </c>
      <c r="CI111">
        <f ca="1"/>
      </c>
      <c r="CJ111">
        <f ca="1"/>
      </c>
      <c r="CK111">
        <f ca="1"/>
      </c>
      <c r="CL111">
        <f ca="1"/>
      </c>
      <c r="CM111">
        <f ca="1"/>
      </c>
      <c r="CN111">
        <f ca="1"/>
      </c>
      <c r="CO111">
        <f ca="1"/>
      </c>
      <c r="CP111">
        <f ca="1"/>
      </c>
      <c r="CQ111">
        <f ca="1"/>
      </c>
      <c r="CR111">
        <f ca="1"/>
      </c>
      <c r="CS111">
        <f ca="1"/>
      </c>
      <c r="CT111">
        <f ca="1"/>
      </c>
      <c r="CU111">
        <f ca="1"/>
      </c>
      <c r="CV111">
        <f ca="1"/>
      </c>
      <c r="CW111">
        <f ca="1"/>
      </c>
      <c r="CX111">
        <f ca="1"/>
      </c>
      <c r="CY111">
        <f ca="1"/>
      </c>
      <c r="CZ111">
        <f ca="1"/>
      </c>
      <c r="DA111">
        <f ca="1"/>
      </c>
      <c r="DB111">
        <f ca="1"/>
      </c>
      <c r="DC111">
        <f ca="1"/>
      </c>
      <c r="DD111">
        <f ca="1"/>
      </c>
      <c r="DE111">
        <f ca="1"/>
      </c>
      <c r="DG111">
        <f ca="1"/>
      </c>
      <c r="DH111">
        <f ca="1"/>
      </c>
      <c r="DI111">
        <f ca="1"/>
      </c>
      <c r="DJ111">
        <f ca="1"/>
      </c>
      <c r="DK111">
        <f ca="1"/>
      </c>
      <c r="DL111">
        <f ca="1"/>
      </c>
      <c r="DM111">
        <f ca="1"/>
      </c>
      <c r="DN111">
        <f ca="1"/>
      </c>
      <c r="DO111">
        <f ca="1"/>
      </c>
      <c r="DP111">
        <f ca="1"/>
      </c>
      <c r="DQ111">
        <f ca="1"/>
      </c>
      <c r="DR111">
        <f ca="1"/>
      </c>
      <c r="DS111">
        <f ca="1"/>
      </c>
      <c r="DT111">
        <f ca="1"/>
      </c>
      <c r="DU111">
        <f ca="1"/>
      </c>
      <c r="DV111">
        <f ca="1"/>
      </c>
      <c r="DW111">
        <f ca="1"/>
      </c>
      <c r="DX111">
        <f ca="1"/>
      </c>
      <c r="DY111">
        <f ca="1"/>
      </c>
      <c r="DZ111">
        <f ca="1"/>
      </c>
      <c r="EA111">
        <f ca="1"/>
      </c>
      <c r="EB111">
        <f ca="1"/>
      </c>
      <c r="EC111">
        <f ca="1"/>
      </c>
      <c r="ED111">
        <f ca="1"/>
      </c>
      <c r="EE111">
        <f ca="1"/>
      </c>
      <c r="EF111">
        <f ca="1"/>
      </c>
      <c r="EG111">
        <f ca="1"/>
      </c>
      <c r="EH111">
        <f ca="1"/>
      </c>
      <c r="EI111">
        <f ca="1"/>
      </c>
      <c r="EJ111">
        <f ca="1"/>
      </c>
      <c r="EK111">
        <f ca="1"/>
      </c>
      <c r="EL111">
        <f ca="1"/>
      </c>
      <c r="EM111">
        <f ca="1"/>
      </c>
      <c r="EN111">
        <f ca="1"/>
      </c>
      <c r="EO111">
        <f ca="1"/>
      </c>
      <c r="EP111">
        <f ca="1"/>
      </c>
      <c r="EQ111">
        <f ca="1"/>
      </c>
      <c r="ER111">
        <f ca="1"/>
      </c>
      <c r="ES111">
        <f ca="1"/>
      </c>
      <c r="ET111">
        <f ca="1"/>
      </c>
      <c r="EU111">
        <f ca="1"/>
      </c>
      <c r="EV111">
        <f ca="1"/>
      </c>
      <c r="EW111">
        <f ca="1"/>
      </c>
      <c r="EX111">
        <f ca="1"/>
      </c>
      <c r="EY111">
        <f ca="1"/>
      </c>
      <c r="EZ111">
        <f ca="1"/>
      </c>
      <c r="FA111">
        <f ca="1"/>
      </c>
      <c r="FC111">
        <f ca="1"/>
      </c>
      <c r="FD111">
        <f ca="1"/>
      </c>
      <c r="FE111">
        <f ca="1"/>
      </c>
      <c r="FF111">
        <f ca="1"/>
      </c>
      <c r="FG111">
        <f ca="1"/>
      </c>
      <c r="FH111">
        <f ca="1"/>
      </c>
      <c r="FI111">
        <f ca="1"/>
      </c>
      <c r="FJ111">
        <f ca="1"/>
      </c>
      <c r="FK111">
        <f ca="1"/>
      </c>
      <c r="FL111">
        <f ca="1"/>
      </c>
      <c r="FM111">
        <f ca="1"/>
      </c>
      <c r="FN111">
        <f ca="1"/>
      </c>
      <c r="FO111">
        <f ca="1"/>
      </c>
      <c r="FP111">
        <f ca="1"/>
      </c>
      <c r="FQ111">
        <f ca="1"/>
      </c>
      <c r="FR111">
        <f ca="1"/>
      </c>
      <c r="FS111">
        <f ca="1"/>
      </c>
      <c r="FT111">
        <f ca="1"/>
      </c>
      <c r="FU111">
        <f ca="1"/>
      </c>
      <c r="FV111">
        <f ca="1"/>
      </c>
      <c r="FW111">
        <f ca="1"/>
      </c>
      <c r="FX111">
        <f ca="1"/>
      </c>
      <c r="FY111">
        <f ca="1"/>
      </c>
      <c r="FZ111">
        <f ca="1"/>
      </c>
      <c r="GA111">
        <f ca="1"/>
      </c>
      <c r="GB111">
        <f ca="1"/>
      </c>
      <c r="GC111">
        <f ca="1"/>
      </c>
      <c r="GD111">
        <f ca="1"/>
      </c>
      <c r="GE111">
        <f ca="1"/>
      </c>
      <c r="GF111">
        <f ca="1"/>
      </c>
      <c r="GG111">
        <f ca="1"/>
      </c>
      <c r="GH111">
        <f ca="1"/>
      </c>
      <c r="GI111">
        <f ca="1"/>
      </c>
      <c r="GJ111">
        <f ca="1"/>
      </c>
      <c r="GK111">
        <f ca="1"/>
      </c>
      <c r="GL111">
        <f ca="1"/>
      </c>
      <c r="GM111">
        <f ca="1"/>
      </c>
      <c r="GN111">
        <f ca="1"/>
      </c>
      <c r="GO111">
        <f ca="1"/>
      </c>
      <c r="GP111">
        <f ca="1"/>
      </c>
      <c r="GQ111">
        <f ca="1"/>
      </c>
      <c r="GR111">
        <f ca="1"/>
      </c>
      <c r="GS111">
        <f ca="1"/>
      </c>
      <c r="GT111">
        <f ca="1"/>
      </c>
      <c r="GU111">
        <f ca="1"/>
      </c>
      <c r="GV111">
        <f ca="1"/>
      </c>
      <c r="GW111">
        <f ca="1"/>
      </c>
      <c r="HI111" s="7">
        <f ca="1"/>
      </c>
      <c r="HJ111">
        <f ca="1"/>
      </c>
      <c r="HK111">
        <f ca="1"/>
      </c>
      <c r="HL111">
        <f ca="1"/>
      </c>
      <c r="HM111">
        <f ca="1"/>
      </c>
    </row>
    <row r="112" spans="63:221" x14ac:dyDescent="0.55000000000000004">
      <c r="BK112">
        <f ca="1"/>
      </c>
      <c r="BL112">
        <f ca="1"/>
      </c>
      <c r="BM112">
        <f ca="1"/>
      </c>
      <c r="BN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  <c r="BV112">
        <f ca="1"/>
      </c>
      <c r="BW112">
        <f ca="1"/>
      </c>
      <c r="BX112">
        <f ca="1"/>
      </c>
      <c r="BY112">
        <f ca="1"/>
      </c>
      <c r="BZ112">
        <f ca="1"/>
      </c>
      <c r="CA112">
        <f ca="1"/>
      </c>
      <c r="CB112">
        <f ca="1"/>
      </c>
      <c r="CC112">
        <f ca="1"/>
      </c>
      <c r="CD112">
        <f ca="1"/>
      </c>
      <c r="CE112">
        <f ca="1"/>
      </c>
      <c r="CF112">
        <f ca="1"/>
      </c>
      <c r="CG112">
        <f ca="1"/>
      </c>
      <c r="CH112">
        <f ca="1"/>
      </c>
      <c r="CI112">
        <f ca="1"/>
      </c>
      <c r="CJ112">
        <f ca="1"/>
      </c>
      <c r="CK112">
        <f ca="1"/>
      </c>
      <c r="CL112">
        <f ca="1"/>
      </c>
      <c r="CM112">
        <f ca="1"/>
      </c>
      <c r="CN112">
        <f ca="1"/>
      </c>
      <c r="CO112">
        <f ca="1"/>
      </c>
      <c r="CP112">
        <f ca="1"/>
      </c>
      <c r="CQ112">
        <f ca="1"/>
      </c>
      <c r="CR112">
        <f ca="1"/>
      </c>
      <c r="CS112">
        <f ca="1"/>
      </c>
      <c r="CT112">
        <f ca="1"/>
      </c>
      <c r="CU112">
        <f ca="1"/>
      </c>
      <c r="CV112">
        <f ca="1"/>
      </c>
      <c r="CW112">
        <f ca="1"/>
      </c>
      <c r="CX112">
        <f ca="1"/>
      </c>
      <c r="CY112">
        <f ca="1"/>
      </c>
      <c r="CZ112">
        <f ca="1"/>
      </c>
      <c r="DA112">
        <f ca="1"/>
      </c>
      <c r="DB112">
        <f ca="1"/>
      </c>
      <c r="DC112">
        <f ca="1"/>
      </c>
      <c r="DD112">
        <f ca="1"/>
      </c>
      <c r="DE112">
        <f ca="1"/>
      </c>
      <c r="DG112">
        <f ca="1"/>
      </c>
      <c r="DH112">
        <f ca="1"/>
      </c>
      <c r="DI112">
        <f ca="1"/>
      </c>
      <c r="DJ112">
        <f ca="1"/>
      </c>
      <c r="DK112">
        <f ca="1"/>
      </c>
      <c r="DL112">
        <f ca="1"/>
      </c>
      <c r="DM112">
        <f ca="1"/>
      </c>
      <c r="DN112">
        <f ca="1"/>
      </c>
      <c r="DO112">
        <f ca="1"/>
      </c>
      <c r="DP112">
        <f ca="1"/>
      </c>
      <c r="DQ112">
        <f ca="1"/>
      </c>
      <c r="DR112">
        <f ca="1"/>
      </c>
      <c r="DS112">
        <f ca="1"/>
      </c>
      <c r="DT112">
        <f ca="1"/>
      </c>
      <c r="DU112">
        <f ca="1"/>
      </c>
      <c r="DV112">
        <f ca="1"/>
      </c>
      <c r="DW112">
        <f ca="1"/>
      </c>
      <c r="DX112">
        <f ca="1"/>
      </c>
      <c r="DY112">
        <f ca="1"/>
      </c>
      <c r="DZ112">
        <f ca="1"/>
      </c>
      <c r="EA112">
        <f ca="1"/>
      </c>
      <c r="EB112">
        <f ca="1"/>
      </c>
      <c r="EC112">
        <f ca="1"/>
      </c>
      <c r="ED112">
        <f ca="1"/>
      </c>
      <c r="EE112">
        <f ca="1"/>
      </c>
      <c r="EF112">
        <f ca="1"/>
      </c>
      <c r="EG112">
        <f ca="1"/>
      </c>
      <c r="EH112">
        <f ca="1"/>
      </c>
      <c r="EI112">
        <f ca="1"/>
      </c>
      <c r="EJ112">
        <f ca="1"/>
      </c>
      <c r="EK112">
        <f ca="1"/>
      </c>
      <c r="EL112">
        <f ca="1"/>
      </c>
      <c r="EM112">
        <f ca="1"/>
      </c>
      <c r="EN112">
        <f ca="1"/>
      </c>
      <c r="EO112">
        <f ca="1"/>
      </c>
      <c r="EP112">
        <f ca="1"/>
      </c>
      <c r="EQ112">
        <f ca="1"/>
      </c>
      <c r="ER112">
        <f ca="1"/>
      </c>
      <c r="ES112">
        <f ca="1"/>
      </c>
      <c r="ET112">
        <f ca="1"/>
      </c>
      <c r="EU112">
        <f ca="1"/>
      </c>
      <c r="EV112">
        <f ca="1"/>
      </c>
      <c r="EW112">
        <f ca="1"/>
      </c>
      <c r="EX112">
        <f ca="1"/>
      </c>
      <c r="EY112">
        <f ca="1"/>
      </c>
      <c r="EZ112">
        <f ca="1"/>
      </c>
      <c r="FA112">
        <f ca="1"/>
      </c>
      <c r="FC112">
        <f ca="1"/>
      </c>
      <c r="FD112">
        <f ca="1"/>
      </c>
      <c r="FE112">
        <f ca="1"/>
      </c>
      <c r="FF112">
        <f ca="1"/>
      </c>
      <c r="FG112">
        <f ca="1"/>
      </c>
      <c r="FH112">
        <f ca="1"/>
      </c>
      <c r="FI112">
        <f ca="1"/>
      </c>
      <c r="FJ112">
        <f ca="1"/>
      </c>
      <c r="FK112">
        <f ca="1"/>
      </c>
      <c r="FL112">
        <f ca="1"/>
      </c>
      <c r="FM112">
        <f ca="1"/>
      </c>
      <c r="FN112">
        <f ca="1"/>
      </c>
      <c r="FO112">
        <f ca="1"/>
      </c>
      <c r="FP112">
        <f ca="1"/>
      </c>
      <c r="FQ112">
        <f ca="1"/>
      </c>
      <c r="FR112">
        <f ca="1"/>
      </c>
      <c r="FS112">
        <f ca="1"/>
      </c>
      <c r="FT112">
        <f ca="1"/>
      </c>
      <c r="FU112">
        <f ca="1"/>
      </c>
      <c r="FV112">
        <f ca="1"/>
      </c>
      <c r="FW112">
        <f ca="1"/>
      </c>
      <c r="FX112">
        <f ca="1"/>
      </c>
      <c r="FY112">
        <f ca="1"/>
      </c>
      <c r="FZ112">
        <f ca="1"/>
      </c>
      <c r="GA112">
        <f ca="1"/>
      </c>
      <c r="GB112">
        <f ca="1"/>
      </c>
      <c r="GC112">
        <f ca="1"/>
      </c>
      <c r="GD112">
        <f ca="1"/>
      </c>
      <c r="GE112">
        <f ca="1"/>
      </c>
      <c r="GF112">
        <f ca="1"/>
      </c>
      <c r="GG112">
        <f ca="1"/>
      </c>
      <c r="GH112">
        <f ca="1"/>
      </c>
      <c r="GI112">
        <f ca="1"/>
      </c>
      <c r="GJ112">
        <f ca="1"/>
      </c>
      <c r="GK112">
        <f ca="1"/>
      </c>
      <c r="GL112">
        <f ca="1"/>
      </c>
      <c r="GM112">
        <f ca="1"/>
      </c>
      <c r="GN112">
        <f ca="1"/>
      </c>
      <c r="GO112">
        <f ca="1"/>
      </c>
      <c r="GP112">
        <f ca="1"/>
      </c>
      <c r="GQ112">
        <f ca="1"/>
      </c>
      <c r="GR112">
        <f ca="1"/>
      </c>
      <c r="GS112">
        <f ca="1"/>
      </c>
      <c r="GT112">
        <f ca="1"/>
      </c>
      <c r="GU112">
        <f ca="1"/>
      </c>
      <c r="GV112">
        <f ca="1"/>
      </c>
      <c r="GW112">
        <f ca="1"/>
      </c>
      <c r="HI112" s="7">
        <f ca="1"/>
      </c>
      <c r="HJ112">
        <f ca="1"/>
      </c>
      <c r="HK112">
        <f ca="1"/>
      </c>
      <c r="HL112">
        <f ca="1"/>
      </c>
      <c r="HM112">
        <f ca="1"/>
      </c>
    </row>
    <row r="113" spans="63:221" x14ac:dyDescent="0.55000000000000004">
      <c r="BK113">
        <f ca="1"/>
      </c>
      <c r="BL113">
        <f ca="1"/>
      </c>
      <c r="BM113">
        <f ca="1"/>
      </c>
      <c r="BN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  <c r="BV113">
        <f ca="1"/>
      </c>
      <c r="BW113">
        <f ca="1"/>
      </c>
      <c r="BX113">
        <f ca="1"/>
      </c>
      <c r="BY113">
        <f ca="1"/>
      </c>
      <c r="BZ113">
        <f ca="1"/>
      </c>
      <c r="CA113">
        <f ca="1"/>
      </c>
      <c r="CB113">
        <f ca="1"/>
      </c>
      <c r="CC113">
        <f ca="1"/>
      </c>
      <c r="CD113">
        <f ca="1"/>
      </c>
      <c r="CE113">
        <f ca="1"/>
      </c>
      <c r="CF113">
        <f ca="1"/>
      </c>
      <c r="CG113">
        <f ca="1"/>
      </c>
      <c r="CH113">
        <f ca="1"/>
      </c>
      <c r="CI113">
        <f ca="1"/>
      </c>
      <c r="CJ113">
        <f ca="1"/>
      </c>
      <c r="CK113">
        <f ca="1"/>
      </c>
      <c r="CL113">
        <f ca="1"/>
      </c>
      <c r="CM113">
        <f ca="1"/>
      </c>
      <c r="CN113">
        <f ca="1"/>
      </c>
      <c r="CO113">
        <f ca="1"/>
      </c>
      <c r="CP113">
        <f ca="1"/>
      </c>
      <c r="CQ113">
        <f ca="1"/>
      </c>
      <c r="CR113">
        <f ca="1"/>
      </c>
      <c r="CS113">
        <f ca="1"/>
      </c>
      <c r="CT113">
        <f ca="1"/>
      </c>
      <c r="CU113">
        <f ca="1"/>
      </c>
      <c r="CV113">
        <f ca="1"/>
      </c>
      <c r="CW113">
        <f ca="1"/>
      </c>
      <c r="CX113">
        <f ca="1"/>
      </c>
      <c r="CY113">
        <f ca="1"/>
      </c>
      <c r="CZ113">
        <f ca="1"/>
      </c>
      <c r="DA113">
        <f ca="1"/>
      </c>
      <c r="DB113">
        <f ca="1"/>
      </c>
      <c r="DC113">
        <f ca="1"/>
      </c>
      <c r="DD113">
        <f ca="1"/>
      </c>
      <c r="DE113">
        <f ca="1"/>
      </c>
      <c r="DG113">
        <f ca="1"/>
      </c>
      <c r="DH113">
        <f ca="1"/>
      </c>
      <c r="DI113">
        <f ca="1"/>
      </c>
      <c r="DJ113">
        <f ca="1"/>
      </c>
      <c r="DK113">
        <f ca="1"/>
      </c>
      <c r="DL113">
        <f ca="1"/>
      </c>
      <c r="DM113">
        <f ca="1"/>
      </c>
      <c r="DN113">
        <f ca="1"/>
      </c>
      <c r="DO113">
        <f ca="1"/>
      </c>
      <c r="DP113">
        <f ca="1"/>
      </c>
      <c r="DQ113">
        <f ca="1"/>
      </c>
      <c r="DR113">
        <f ca="1"/>
      </c>
      <c r="DS113">
        <f ca="1"/>
      </c>
      <c r="DT113">
        <f ca="1"/>
      </c>
      <c r="DU113">
        <f ca="1"/>
      </c>
      <c r="DV113">
        <f ca="1"/>
      </c>
      <c r="DW113">
        <f ca="1"/>
      </c>
      <c r="DX113">
        <f ca="1"/>
      </c>
      <c r="DY113">
        <f ca="1"/>
      </c>
      <c r="DZ113">
        <f ca="1"/>
      </c>
      <c r="EA113">
        <f ca="1"/>
      </c>
      <c r="EB113">
        <f ca="1"/>
      </c>
      <c r="EC113">
        <f ca="1"/>
      </c>
      <c r="ED113">
        <f ca="1"/>
      </c>
      <c r="EE113">
        <f ca="1"/>
      </c>
      <c r="EF113">
        <f ca="1"/>
      </c>
      <c r="EG113">
        <f ca="1"/>
      </c>
      <c r="EH113">
        <f ca="1"/>
      </c>
      <c r="EI113">
        <f ca="1"/>
      </c>
      <c r="EJ113">
        <f ca="1"/>
      </c>
      <c r="EK113">
        <f ca="1"/>
      </c>
      <c r="EL113">
        <f ca="1"/>
      </c>
      <c r="EM113">
        <f ca="1"/>
      </c>
      <c r="EN113">
        <f ca="1"/>
      </c>
      <c r="EO113">
        <f ca="1"/>
      </c>
      <c r="EP113">
        <f ca="1"/>
      </c>
      <c r="EQ113">
        <f ca="1"/>
      </c>
      <c r="ER113">
        <f ca="1"/>
      </c>
      <c r="ES113">
        <f ca="1"/>
      </c>
      <c r="ET113">
        <f ca="1"/>
      </c>
      <c r="EU113">
        <f ca="1"/>
      </c>
      <c r="EV113">
        <f ca="1"/>
      </c>
      <c r="EW113">
        <f ca="1"/>
      </c>
      <c r="EX113">
        <f ca="1"/>
      </c>
      <c r="EY113">
        <f ca="1"/>
      </c>
      <c r="EZ113">
        <f ca="1"/>
      </c>
      <c r="FA113">
        <f ca="1"/>
      </c>
      <c r="FC113">
        <f ca="1"/>
      </c>
      <c r="FD113">
        <f ca="1"/>
      </c>
      <c r="FE113">
        <f ca="1"/>
      </c>
      <c r="FF113">
        <f ca="1"/>
      </c>
      <c r="FG113">
        <f ca="1"/>
      </c>
      <c r="FH113">
        <f ca="1"/>
      </c>
      <c r="FI113">
        <f ca="1"/>
      </c>
      <c r="FJ113">
        <f ca="1"/>
      </c>
      <c r="FK113">
        <f ca="1"/>
      </c>
      <c r="FL113">
        <f ca="1"/>
      </c>
      <c r="FM113">
        <f ca="1"/>
      </c>
      <c r="FN113">
        <f ca="1"/>
      </c>
      <c r="FO113">
        <f ca="1"/>
      </c>
      <c r="FP113">
        <f ca="1"/>
      </c>
      <c r="FQ113">
        <f ca="1"/>
      </c>
      <c r="FR113">
        <f ca="1"/>
      </c>
      <c r="FS113">
        <f ca="1"/>
      </c>
      <c r="FT113">
        <f ca="1"/>
      </c>
      <c r="FU113">
        <f ca="1"/>
      </c>
      <c r="FV113">
        <f ca="1"/>
      </c>
      <c r="FW113">
        <f ca="1"/>
      </c>
      <c r="FX113">
        <f ca="1"/>
      </c>
      <c r="FY113">
        <f ca="1"/>
      </c>
      <c r="FZ113">
        <f ca="1"/>
      </c>
      <c r="GA113">
        <f ca="1"/>
      </c>
      <c r="GB113">
        <f ca="1"/>
      </c>
      <c r="GC113">
        <f ca="1"/>
      </c>
      <c r="GD113">
        <f ca="1"/>
      </c>
      <c r="GE113">
        <f ca="1"/>
      </c>
      <c r="GF113">
        <f ca="1"/>
      </c>
      <c r="GG113">
        <f ca="1"/>
      </c>
      <c r="GH113">
        <f ca="1"/>
      </c>
      <c r="GI113">
        <f ca="1"/>
      </c>
      <c r="GJ113">
        <f ca="1"/>
      </c>
      <c r="GK113">
        <f ca="1"/>
      </c>
      <c r="GL113">
        <f ca="1"/>
      </c>
      <c r="GM113">
        <f ca="1"/>
      </c>
      <c r="GN113">
        <f ca="1"/>
      </c>
      <c r="GO113">
        <f ca="1"/>
      </c>
      <c r="GP113">
        <f ca="1"/>
      </c>
      <c r="GQ113">
        <f ca="1"/>
      </c>
      <c r="GR113">
        <f ca="1"/>
      </c>
      <c r="GS113">
        <f ca="1"/>
      </c>
      <c r="GT113">
        <f ca="1"/>
      </c>
      <c r="GU113">
        <f ca="1"/>
      </c>
      <c r="GV113">
        <f ca="1"/>
      </c>
      <c r="GW113">
        <f ca="1"/>
      </c>
      <c r="HI113" s="7">
        <f ca="1"/>
      </c>
      <c r="HJ113">
        <f ca="1"/>
      </c>
      <c r="HK113">
        <f ca="1"/>
      </c>
      <c r="HL113">
        <f ca="1"/>
      </c>
      <c r="HM113">
        <f ca="1"/>
      </c>
    </row>
    <row r="114" spans="63:221" x14ac:dyDescent="0.55000000000000004">
      <c r="BK114">
        <f ca="1"/>
      </c>
      <c r="BL114">
        <f ca="1"/>
      </c>
      <c r="BM114">
        <f ca="1"/>
      </c>
      <c r="BN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  <c r="BV114">
        <f ca="1"/>
      </c>
      <c r="BW114">
        <f ca="1"/>
      </c>
      <c r="BX114">
        <f ca="1"/>
      </c>
      <c r="BY114">
        <f ca="1"/>
      </c>
      <c r="BZ114">
        <f ca="1"/>
      </c>
      <c r="CA114">
        <f ca="1"/>
      </c>
      <c r="CB114">
        <f ca="1"/>
      </c>
      <c r="CC114">
        <f ca="1"/>
      </c>
      <c r="CD114">
        <f ca="1"/>
      </c>
      <c r="CE114">
        <f ca="1"/>
      </c>
      <c r="CF114">
        <f ca="1"/>
      </c>
      <c r="CG114">
        <f ca="1"/>
      </c>
      <c r="CH114">
        <f ca="1"/>
      </c>
      <c r="CI114">
        <f ca="1"/>
      </c>
      <c r="CJ114">
        <f ca="1"/>
      </c>
      <c r="CK114">
        <f ca="1"/>
      </c>
      <c r="CL114">
        <f ca="1"/>
      </c>
      <c r="CM114">
        <f ca="1"/>
      </c>
      <c r="CN114">
        <f ca="1"/>
      </c>
      <c r="CO114">
        <f ca="1"/>
      </c>
      <c r="CP114">
        <f ca="1"/>
      </c>
      <c r="CQ114">
        <f ca="1"/>
      </c>
      <c r="CR114">
        <f ca="1"/>
      </c>
      <c r="CS114">
        <f ca="1"/>
      </c>
      <c r="CT114">
        <f ca="1"/>
      </c>
      <c r="CU114">
        <f ca="1"/>
      </c>
      <c r="CV114">
        <f ca="1"/>
      </c>
      <c r="CW114">
        <f ca="1"/>
      </c>
      <c r="CX114">
        <f ca="1"/>
      </c>
      <c r="CY114">
        <f ca="1"/>
      </c>
      <c r="CZ114">
        <f ca="1"/>
      </c>
      <c r="DA114">
        <f ca="1"/>
      </c>
      <c r="DB114">
        <f ca="1"/>
      </c>
      <c r="DC114">
        <f ca="1"/>
      </c>
      <c r="DD114">
        <f ca="1"/>
      </c>
      <c r="DE114">
        <f ca="1"/>
      </c>
      <c r="DG114">
        <f ca="1"/>
      </c>
      <c r="DH114">
        <f ca="1"/>
      </c>
      <c r="DI114">
        <f ca="1"/>
      </c>
      <c r="DJ114">
        <f ca="1"/>
      </c>
      <c r="DK114">
        <f ca="1"/>
      </c>
      <c r="DL114">
        <f ca="1"/>
      </c>
      <c r="DM114">
        <f ca="1"/>
      </c>
      <c r="DN114">
        <f ca="1"/>
      </c>
      <c r="DO114">
        <f ca="1"/>
      </c>
      <c r="DP114">
        <f ca="1"/>
      </c>
      <c r="DQ114">
        <f ca="1"/>
      </c>
      <c r="DR114">
        <f ca="1"/>
      </c>
      <c r="DS114">
        <f ca="1"/>
      </c>
      <c r="DT114">
        <f ca="1"/>
      </c>
      <c r="DU114">
        <f ca="1"/>
      </c>
      <c r="DV114">
        <f ca="1"/>
      </c>
      <c r="DW114">
        <f ca="1"/>
      </c>
      <c r="DX114">
        <f ca="1"/>
      </c>
      <c r="DY114">
        <f ca="1"/>
      </c>
      <c r="DZ114">
        <f ca="1"/>
      </c>
      <c r="EA114">
        <f ca="1"/>
      </c>
      <c r="EB114">
        <f ca="1"/>
      </c>
      <c r="EC114">
        <f ca="1"/>
      </c>
      <c r="ED114">
        <f ca="1"/>
      </c>
      <c r="EE114">
        <f ca="1"/>
      </c>
      <c r="EF114">
        <f ca="1"/>
      </c>
      <c r="EG114">
        <f ca="1"/>
      </c>
      <c r="EH114">
        <f ca="1"/>
      </c>
      <c r="EI114">
        <f ca="1"/>
      </c>
      <c r="EJ114">
        <f ca="1"/>
      </c>
      <c r="EK114">
        <f ca="1"/>
      </c>
      <c r="EL114">
        <f ca="1"/>
      </c>
      <c r="EM114">
        <f ca="1"/>
      </c>
      <c r="EN114">
        <f ca="1"/>
      </c>
      <c r="EO114">
        <f ca="1"/>
      </c>
      <c r="EP114">
        <f ca="1"/>
      </c>
      <c r="EQ114">
        <f ca="1"/>
      </c>
      <c r="ER114">
        <f ca="1"/>
      </c>
      <c r="ES114">
        <f ca="1"/>
      </c>
      <c r="ET114">
        <f ca="1"/>
      </c>
      <c r="EU114">
        <f ca="1"/>
      </c>
      <c r="EV114">
        <f ca="1"/>
      </c>
      <c r="EW114">
        <f ca="1"/>
      </c>
      <c r="EX114">
        <f ca="1"/>
      </c>
      <c r="EY114">
        <f ca="1"/>
      </c>
      <c r="EZ114">
        <f ca="1"/>
      </c>
      <c r="FA114">
        <f ca="1"/>
      </c>
      <c r="FC114">
        <f ca="1"/>
      </c>
      <c r="FD114">
        <f ca="1"/>
      </c>
      <c r="FE114">
        <f ca="1"/>
      </c>
      <c r="FF114">
        <f ca="1"/>
      </c>
      <c r="FG114">
        <f ca="1"/>
      </c>
      <c r="FH114">
        <f ca="1"/>
      </c>
      <c r="FI114">
        <f ca="1"/>
      </c>
      <c r="FJ114">
        <f ca="1"/>
      </c>
      <c r="FK114">
        <f ca="1"/>
      </c>
      <c r="FL114">
        <f ca="1"/>
      </c>
      <c r="FM114">
        <f ca="1"/>
      </c>
      <c r="FN114">
        <f ca="1"/>
      </c>
      <c r="FO114">
        <f ca="1"/>
      </c>
      <c r="FP114">
        <f ca="1"/>
      </c>
      <c r="FQ114">
        <f ca="1"/>
      </c>
      <c r="FR114">
        <f ca="1"/>
      </c>
      <c r="FS114">
        <f ca="1"/>
      </c>
      <c r="FT114">
        <f ca="1"/>
      </c>
      <c r="FU114">
        <f ca="1"/>
      </c>
      <c r="FV114">
        <f ca="1"/>
      </c>
      <c r="FW114">
        <f ca="1"/>
      </c>
      <c r="FX114">
        <f ca="1"/>
      </c>
      <c r="FY114">
        <f ca="1"/>
      </c>
      <c r="FZ114">
        <f ca="1"/>
      </c>
      <c r="GA114">
        <f ca="1"/>
      </c>
      <c r="GB114">
        <f ca="1"/>
      </c>
      <c r="GC114">
        <f ca="1"/>
      </c>
      <c r="GD114">
        <f ca="1"/>
      </c>
      <c r="GE114">
        <f ca="1"/>
      </c>
      <c r="GF114">
        <f ca="1"/>
      </c>
      <c r="GG114">
        <f ca="1"/>
      </c>
      <c r="GH114">
        <f ca="1"/>
      </c>
      <c r="GI114">
        <f ca="1"/>
      </c>
      <c r="GJ114">
        <f ca="1"/>
      </c>
      <c r="GK114">
        <f ca="1"/>
      </c>
      <c r="GL114">
        <f ca="1"/>
      </c>
      <c r="GM114">
        <f ca="1"/>
      </c>
      <c r="GN114">
        <f ca="1"/>
      </c>
      <c r="GO114">
        <f ca="1"/>
      </c>
      <c r="GP114">
        <f ca="1"/>
      </c>
      <c r="GQ114">
        <f ca="1"/>
      </c>
      <c r="GR114">
        <f ca="1"/>
      </c>
      <c r="GS114">
        <f ca="1"/>
      </c>
      <c r="GT114">
        <f ca="1"/>
      </c>
      <c r="GU114">
        <f ca="1"/>
      </c>
      <c r="GV114">
        <f ca="1"/>
      </c>
      <c r="GW114">
        <f ca="1"/>
      </c>
      <c r="HI114" s="7">
        <f ca="1"/>
      </c>
      <c r="HJ114">
        <f ca="1"/>
      </c>
      <c r="HK114">
        <f ca="1"/>
      </c>
      <c r="HL114">
        <f ca="1"/>
      </c>
      <c r="HM114">
        <f ca="1"/>
      </c>
    </row>
    <row r="115" spans="63:221" x14ac:dyDescent="0.55000000000000004">
      <c r="BK115">
        <f ca="1"/>
      </c>
      <c r="BL115">
        <f ca="1"/>
      </c>
      <c r="BM115">
        <f ca="1"/>
      </c>
      <c r="BN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  <c r="BV115">
        <f ca="1"/>
      </c>
      <c r="BW115">
        <f ca="1"/>
      </c>
      <c r="BX115">
        <f ca="1"/>
      </c>
      <c r="BY115">
        <f ca="1"/>
      </c>
      <c r="BZ115">
        <f ca="1"/>
      </c>
      <c r="CA115">
        <f ca="1"/>
      </c>
      <c r="CB115">
        <f ca="1"/>
      </c>
      <c r="CC115">
        <f ca="1"/>
      </c>
      <c r="CD115">
        <f ca="1"/>
      </c>
      <c r="CE115">
        <f ca="1"/>
      </c>
      <c r="CF115">
        <f ca="1"/>
      </c>
      <c r="CG115">
        <f ca="1"/>
      </c>
      <c r="CH115">
        <f ca="1"/>
      </c>
      <c r="CI115">
        <f ca="1"/>
      </c>
      <c r="CJ115">
        <f ca="1"/>
      </c>
      <c r="CK115">
        <f ca="1"/>
      </c>
      <c r="CL115">
        <f ca="1"/>
      </c>
      <c r="CM115">
        <f ca="1"/>
      </c>
      <c r="CN115">
        <f ca="1"/>
      </c>
      <c r="CO115">
        <f ca="1"/>
      </c>
      <c r="CP115">
        <f ca="1"/>
      </c>
      <c r="CQ115">
        <f ca="1"/>
      </c>
      <c r="CR115">
        <f ca="1"/>
      </c>
      <c r="CS115">
        <f ca="1"/>
      </c>
      <c r="CT115">
        <f ca="1"/>
      </c>
      <c r="CU115">
        <f ca="1"/>
      </c>
      <c r="CV115">
        <f ca="1"/>
      </c>
      <c r="CW115">
        <f ca="1"/>
      </c>
      <c r="CX115">
        <f ca="1"/>
      </c>
      <c r="CY115">
        <f ca="1"/>
      </c>
      <c r="CZ115">
        <f ca="1"/>
      </c>
      <c r="DA115">
        <f ca="1"/>
      </c>
      <c r="DB115">
        <f ca="1"/>
      </c>
      <c r="DC115">
        <f ca="1"/>
      </c>
      <c r="DD115">
        <f ca="1"/>
      </c>
      <c r="DE115">
        <f ca="1"/>
      </c>
      <c r="DG115">
        <f ca="1"/>
      </c>
      <c r="DH115">
        <f ca="1"/>
      </c>
      <c r="DI115">
        <f ca="1"/>
      </c>
      <c r="DJ115">
        <f ca="1"/>
      </c>
      <c r="DK115">
        <f ca="1"/>
      </c>
      <c r="DL115">
        <f ca="1"/>
      </c>
      <c r="DM115">
        <f ca="1"/>
      </c>
      <c r="DN115">
        <f ca="1"/>
      </c>
      <c r="DO115">
        <f ca="1"/>
      </c>
      <c r="DP115">
        <f ca="1"/>
      </c>
      <c r="DQ115">
        <f ca="1"/>
      </c>
      <c r="DR115">
        <f ca="1"/>
      </c>
      <c r="DS115">
        <f ca="1"/>
      </c>
      <c r="DT115">
        <f ca="1"/>
      </c>
      <c r="DU115">
        <f ca="1"/>
      </c>
      <c r="DV115">
        <f ca="1"/>
      </c>
      <c r="DW115">
        <f ca="1"/>
      </c>
      <c r="DX115">
        <f ca="1"/>
      </c>
      <c r="DY115">
        <f ca="1"/>
      </c>
      <c r="DZ115">
        <f ca="1"/>
      </c>
      <c r="EA115">
        <f ca="1"/>
      </c>
      <c r="EB115">
        <f ca="1"/>
      </c>
      <c r="EC115">
        <f ca="1"/>
      </c>
      <c r="ED115">
        <f ca="1"/>
      </c>
      <c r="EE115">
        <f ca="1"/>
      </c>
      <c r="EF115">
        <f ca="1"/>
      </c>
      <c r="EG115">
        <f ca="1"/>
      </c>
      <c r="EH115">
        <f ca="1"/>
      </c>
      <c r="EI115">
        <f ca="1"/>
      </c>
      <c r="EJ115">
        <f ca="1"/>
      </c>
      <c r="EK115">
        <f ca="1"/>
      </c>
      <c r="EL115">
        <f ca="1"/>
      </c>
      <c r="EM115">
        <f ca="1"/>
      </c>
      <c r="EN115">
        <f ca="1"/>
      </c>
      <c r="EO115">
        <f ca="1"/>
      </c>
      <c r="EP115">
        <f ca="1"/>
      </c>
      <c r="EQ115">
        <f ca="1"/>
      </c>
      <c r="ER115">
        <f ca="1"/>
      </c>
      <c r="ES115">
        <f ca="1"/>
      </c>
      <c r="ET115">
        <f ca="1"/>
      </c>
      <c r="EU115">
        <f ca="1"/>
      </c>
      <c r="EV115">
        <f ca="1"/>
      </c>
      <c r="EW115">
        <f ca="1"/>
      </c>
      <c r="EX115">
        <f ca="1"/>
      </c>
      <c r="EY115">
        <f ca="1"/>
      </c>
      <c r="EZ115">
        <f ca="1"/>
      </c>
      <c r="FA115">
        <f ca="1"/>
      </c>
      <c r="FC115">
        <f ca="1"/>
      </c>
      <c r="FD115">
        <f ca="1"/>
      </c>
      <c r="FE115">
        <f ca="1"/>
      </c>
      <c r="FF115">
        <f ca="1"/>
      </c>
      <c r="FG115">
        <f ca="1"/>
      </c>
      <c r="FH115">
        <f ca="1"/>
      </c>
      <c r="FI115">
        <f ca="1"/>
      </c>
      <c r="FJ115">
        <f ca="1"/>
      </c>
      <c r="FK115">
        <f ca="1"/>
      </c>
      <c r="FL115">
        <f ca="1"/>
      </c>
      <c r="FM115">
        <f ca="1"/>
      </c>
      <c r="FN115">
        <f ca="1"/>
      </c>
      <c r="FO115">
        <f ca="1"/>
      </c>
      <c r="FP115">
        <f ca="1"/>
      </c>
      <c r="FQ115">
        <f ca="1"/>
      </c>
      <c r="FR115">
        <f ca="1"/>
      </c>
      <c r="FS115">
        <f ca="1"/>
      </c>
      <c r="FT115">
        <f ca="1"/>
      </c>
      <c r="FU115">
        <f ca="1"/>
      </c>
      <c r="FV115">
        <f ca="1"/>
      </c>
      <c r="FW115">
        <f ca="1"/>
      </c>
      <c r="FX115">
        <f ca="1"/>
      </c>
      <c r="FY115">
        <f ca="1"/>
      </c>
      <c r="FZ115">
        <f ca="1"/>
      </c>
      <c r="GA115">
        <f ca="1"/>
      </c>
      <c r="GB115">
        <f ca="1"/>
      </c>
      <c r="GC115">
        <f ca="1"/>
      </c>
      <c r="GD115">
        <f ca="1"/>
      </c>
      <c r="GE115">
        <f ca="1"/>
      </c>
      <c r="GF115">
        <f ca="1"/>
      </c>
      <c r="GG115">
        <f ca="1"/>
      </c>
      <c r="GH115">
        <f ca="1"/>
      </c>
      <c r="GI115">
        <f ca="1"/>
      </c>
      <c r="GJ115">
        <f ca="1"/>
      </c>
      <c r="GK115">
        <f ca="1"/>
      </c>
      <c r="GL115">
        <f ca="1"/>
      </c>
      <c r="GM115">
        <f ca="1"/>
      </c>
      <c r="GN115">
        <f ca="1"/>
      </c>
      <c r="GO115">
        <f ca="1"/>
      </c>
      <c r="GP115">
        <f ca="1"/>
      </c>
      <c r="GQ115">
        <f ca="1"/>
      </c>
      <c r="GR115">
        <f ca="1"/>
      </c>
      <c r="GS115">
        <f ca="1"/>
      </c>
      <c r="GT115">
        <f ca="1"/>
      </c>
      <c r="GU115">
        <f ca="1"/>
      </c>
      <c r="GV115">
        <f ca="1"/>
      </c>
      <c r="GW115">
        <f ca="1"/>
      </c>
      <c r="HI115" s="7">
        <f ca="1"/>
      </c>
      <c r="HJ115">
        <f ca="1"/>
      </c>
      <c r="HK115">
        <f ca="1"/>
      </c>
      <c r="HL115">
        <f ca="1"/>
      </c>
      <c r="HM115">
        <f ca="1"/>
      </c>
    </row>
    <row r="116" spans="63:221" x14ac:dyDescent="0.55000000000000004">
      <c r="BK116">
        <f ca="1"/>
      </c>
      <c r="BL116">
        <f ca="1"/>
      </c>
      <c r="BM116">
        <f ca="1"/>
      </c>
      <c r="BN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  <c r="BV116">
        <f ca="1"/>
      </c>
      <c r="BW116">
        <f ca="1"/>
      </c>
      <c r="BX116">
        <f ca="1"/>
      </c>
      <c r="BY116">
        <f ca="1"/>
      </c>
      <c r="BZ116">
        <f ca="1"/>
      </c>
      <c r="CA116">
        <f ca="1"/>
      </c>
      <c r="CB116">
        <f ca="1"/>
      </c>
      <c r="CC116">
        <f ca="1"/>
      </c>
      <c r="CD116">
        <f ca="1"/>
      </c>
      <c r="CE116">
        <f ca="1"/>
      </c>
      <c r="CF116">
        <f ca="1"/>
      </c>
      <c r="CG116">
        <f ca="1"/>
      </c>
      <c r="CH116">
        <f ca="1"/>
      </c>
      <c r="CI116">
        <f ca="1"/>
      </c>
      <c r="CJ116">
        <f ca="1"/>
      </c>
      <c r="CK116">
        <f ca="1"/>
      </c>
      <c r="CL116">
        <f ca="1"/>
      </c>
      <c r="CM116">
        <f ca="1"/>
      </c>
      <c r="CN116">
        <f ca="1"/>
      </c>
      <c r="CO116">
        <f ca="1"/>
      </c>
      <c r="CP116">
        <f ca="1"/>
      </c>
      <c r="CQ116">
        <f ca="1"/>
      </c>
      <c r="CR116">
        <f ca="1"/>
      </c>
      <c r="CS116">
        <f ca="1"/>
      </c>
      <c r="CT116">
        <f ca="1"/>
      </c>
      <c r="CU116">
        <f ca="1"/>
      </c>
      <c r="CV116">
        <f ca="1"/>
      </c>
      <c r="CW116">
        <f ca="1"/>
      </c>
      <c r="CX116">
        <f ca="1"/>
      </c>
      <c r="CY116">
        <f ca="1"/>
      </c>
      <c r="CZ116">
        <f ca="1"/>
      </c>
      <c r="DA116">
        <f ca="1"/>
      </c>
      <c r="DB116">
        <f ca="1"/>
      </c>
      <c r="DC116">
        <f ca="1"/>
      </c>
      <c r="DD116">
        <f ca="1"/>
      </c>
      <c r="DE116">
        <f ca="1"/>
      </c>
      <c r="DG116">
        <f ca="1"/>
      </c>
      <c r="DH116">
        <f ca="1"/>
      </c>
      <c r="DI116">
        <f ca="1"/>
      </c>
      <c r="DJ116">
        <f ca="1"/>
      </c>
      <c r="DK116">
        <f ca="1"/>
      </c>
      <c r="DL116">
        <f ca="1"/>
      </c>
      <c r="DM116">
        <f ca="1"/>
      </c>
      <c r="DN116">
        <f ca="1"/>
      </c>
      <c r="DO116">
        <f ca="1"/>
      </c>
      <c r="DP116">
        <f ca="1"/>
      </c>
      <c r="DQ116">
        <f ca="1"/>
      </c>
      <c r="DR116">
        <f ca="1"/>
      </c>
      <c r="DS116">
        <f ca="1"/>
      </c>
      <c r="DT116">
        <f ca="1"/>
      </c>
      <c r="DU116">
        <f ca="1"/>
      </c>
      <c r="DV116">
        <f ca="1"/>
      </c>
      <c r="DW116">
        <f ca="1"/>
      </c>
      <c r="DX116">
        <f ca="1"/>
      </c>
      <c r="DY116">
        <f ca="1"/>
      </c>
      <c r="DZ116">
        <f ca="1"/>
      </c>
      <c r="EA116">
        <f ca="1"/>
      </c>
      <c r="EB116">
        <f ca="1"/>
      </c>
      <c r="EC116">
        <f ca="1"/>
      </c>
      <c r="ED116">
        <f ca="1"/>
      </c>
      <c r="EE116">
        <f ca="1"/>
      </c>
      <c r="EF116">
        <f ca="1"/>
      </c>
      <c r="EG116">
        <f ca="1"/>
      </c>
      <c r="EH116">
        <f ca="1"/>
      </c>
      <c r="EI116">
        <f ca="1"/>
      </c>
      <c r="EJ116">
        <f ca="1"/>
      </c>
      <c r="EK116">
        <f ca="1"/>
      </c>
      <c r="EL116">
        <f ca="1"/>
      </c>
      <c r="EM116">
        <f ca="1"/>
      </c>
      <c r="EN116">
        <f ca="1"/>
      </c>
      <c r="EO116">
        <f ca="1"/>
      </c>
      <c r="EP116">
        <f ca="1"/>
      </c>
      <c r="EQ116">
        <f ca="1"/>
      </c>
      <c r="ER116">
        <f ca="1"/>
      </c>
      <c r="ES116">
        <f ca="1"/>
      </c>
      <c r="ET116">
        <f ca="1"/>
      </c>
      <c r="EU116">
        <f ca="1"/>
      </c>
      <c r="EV116">
        <f ca="1"/>
      </c>
      <c r="EW116">
        <f ca="1"/>
      </c>
      <c r="EX116">
        <f ca="1"/>
      </c>
      <c r="EY116">
        <f ca="1"/>
      </c>
      <c r="EZ116">
        <f ca="1"/>
      </c>
      <c r="FA116">
        <f ca="1"/>
      </c>
      <c r="FC116">
        <f ca="1"/>
      </c>
      <c r="FD116">
        <f ca="1"/>
      </c>
      <c r="FE116">
        <f ca="1"/>
      </c>
      <c r="FF116">
        <f ca="1"/>
      </c>
      <c r="FG116">
        <f ca="1"/>
      </c>
      <c r="FH116">
        <f ca="1"/>
      </c>
      <c r="FI116">
        <f ca="1"/>
      </c>
      <c r="FJ116">
        <f ca="1"/>
      </c>
      <c r="FK116">
        <f ca="1"/>
      </c>
      <c r="FL116">
        <f ca="1"/>
      </c>
      <c r="FM116">
        <f ca="1"/>
      </c>
      <c r="FN116">
        <f ca="1"/>
      </c>
      <c r="FO116">
        <f ca="1"/>
      </c>
      <c r="FP116">
        <f ca="1"/>
      </c>
      <c r="FQ116">
        <f ca="1"/>
      </c>
      <c r="FR116">
        <f ca="1"/>
      </c>
      <c r="FS116">
        <f ca="1"/>
      </c>
      <c r="FT116">
        <f ca="1"/>
      </c>
      <c r="FU116">
        <f ca="1"/>
      </c>
      <c r="FV116">
        <f ca="1"/>
      </c>
      <c r="FW116">
        <f ca="1"/>
      </c>
      <c r="FX116">
        <f ca="1"/>
      </c>
      <c r="FY116">
        <f ca="1"/>
      </c>
      <c r="FZ116">
        <f ca="1"/>
      </c>
      <c r="GA116">
        <f ca="1"/>
      </c>
      <c r="GB116">
        <f ca="1"/>
      </c>
      <c r="GC116">
        <f ca="1"/>
      </c>
      <c r="GD116">
        <f ca="1"/>
      </c>
      <c r="GE116">
        <f ca="1"/>
      </c>
      <c r="GF116">
        <f ca="1"/>
      </c>
      <c r="GG116">
        <f ca="1"/>
      </c>
      <c r="GH116">
        <f ca="1"/>
      </c>
      <c r="GI116">
        <f ca="1"/>
      </c>
      <c r="GJ116">
        <f ca="1"/>
      </c>
      <c r="GK116">
        <f ca="1"/>
      </c>
      <c r="GL116">
        <f ca="1"/>
      </c>
      <c r="GM116">
        <f ca="1"/>
      </c>
      <c r="GN116">
        <f ca="1"/>
      </c>
      <c r="GO116">
        <f ca="1"/>
      </c>
      <c r="GP116">
        <f ca="1"/>
      </c>
      <c r="GQ116">
        <f ca="1"/>
      </c>
      <c r="GR116">
        <f ca="1"/>
      </c>
      <c r="GS116">
        <f ca="1"/>
      </c>
      <c r="GT116">
        <f ca="1"/>
      </c>
      <c r="GU116">
        <f ca="1"/>
      </c>
      <c r="GV116">
        <f ca="1"/>
      </c>
      <c r="GW116">
        <f ca="1"/>
      </c>
      <c r="HI116" s="7">
        <f ca="1"/>
      </c>
      <c r="HJ116">
        <f ca="1"/>
      </c>
      <c r="HK116">
        <f ca="1"/>
      </c>
      <c r="HL116">
        <f ca="1"/>
      </c>
      <c r="HM116">
        <f ca="1"/>
      </c>
    </row>
    <row r="117" spans="63:221" x14ac:dyDescent="0.55000000000000004">
      <c r="BK117">
        <f ca="1"/>
      </c>
      <c r="BL117">
        <f ca="1"/>
      </c>
      <c r="BM117">
        <f ca="1"/>
      </c>
      <c r="BN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  <c r="BV117">
        <f ca="1"/>
      </c>
      <c r="BW117">
        <f ca="1"/>
      </c>
      <c r="BX117">
        <f ca="1"/>
      </c>
      <c r="BY117">
        <f ca="1"/>
      </c>
      <c r="BZ117">
        <f ca="1"/>
      </c>
      <c r="CA117">
        <f ca="1"/>
      </c>
      <c r="CB117">
        <f ca="1"/>
      </c>
      <c r="CC117">
        <f ca="1"/>
      </c>
      <c r="CD117">
        <f ca="1"/>
      </c>
      <c r="CE117">
        <f ca="1"/>
      </c>
      <c r="CF117">
        <f ca="1"/>
      </c>
      <c r="CG117">
        <f ca="1"/>
      </c>
      <c r="CH117">
        <f ca="1"/>
      </c>
      <c r="CI117">
        <f ca="1"/>
      </c>
      <c r="CJ117">
        <f ca="1"/>
      </c>
      <c r="CK117">
        <f ca="1"/>
      </c>
      <c r="CL117">
        <f ca="1"/>
      </c>
      <c r="CM117">
        <f ca="1"/>
      </c>
      <c r="CN117">
        <f ca="1"/>
      </c>
      <c r="CO117">
        <f ca="1"/>
      </c>
      <c r="CP117">
        <f ca="1"/>
      </c>
      <c r="CQ117">
        <f ca="1"/>
      </c>
      <c r="CR117">
        <f ca="1"/>
      </c>
      <c r="CS117">
        <f ca="1"/>
      </c>
      <c r="CT117">
        <f ca="1"/>
      </c>
      <c r="CU117">
        <f ca="1"/>
      </c>
      <c r="CV117">
        <f ca="1"/>
      </c>
      <c r="CW117">
        <f ca="1"/>
      </c>
      <c r="CX117">
        <f ca="1"/>
      </c>
      <c r="CY117">
        <f ca="1"/>
      </c>
      <c r="CZ117">
        <f ca="1"/>
      </c>
      <c r="DA117">
        <f ca="1"/>
      </c>
      <c r="DB117">
        <f ca="1"/>
      </c>
      <c r="DC117">
        <f ca="1"/>
      </c>
      <c r="DD117">
        <f ca="1"/>
      </c>
      <c r="DE117">
        <f ca="1"/>
      </c>
      <c r="DG117">
        <f ca="1"/>
      </c>
      <c r="DH117">
        <f ca="1"/>
      </c>
      <c r="DI117">
        <f ca="1"/>
      </c>
      <c r="DJ117">
        <f ca="1"/>
      </c>
      <c r="DK117">
        <f ca="1"/>
      </c>
      <c r="DL117">
        <f ca="1"/>
      </c>
      <c r="DM117">
        <f ca="1"/>
      </c>
      <c r="DN117">
        <f ca="1"/>
      </c>
      <c r="DO117">
        <f ca="1"/>
      </c>
      <c r="DP117">
        <f ca="1"/>
      </c>
      <c r="DQ117">
        <f ca="1"/>
      </c>
      <c r="DR117">
        <f ca="1"/>
      </c>
      <c r="DS117">
        <f ca="1"/>
      </c>
      <c r="DT117">
        <f ca="1"/>
      </c>
      <c r="DU117">
        <f ca="1"/>
      </c>
      <c r="DV117">
        <f ca="1"/>
      </c>
      <c r="DW117">
        <f ca="1"/>
      </c>
      <c r="DX117">
        <f ca="1"/>
      </c>
      <c r="DY117">
        <f ca="1"/>
      </c>
      <c r="DZ117">
        <f ca="1"/>
      </c>
      <c r="EA117">
        <f ca="1"/>
      </c>
      <c r="EB117">
        <f ca="1"/>
      </c>
      <c r="EC117">
        <f ca="1"/>
      </c>
      <c r="ED117">
        <f ca="1"/>
      </c>
      <c r="EE117">
        <f ca="1"/>
      </c>
      <c r="EF117">
        <f ca="1"/>
      </c>
      <c r="EG117">
        <f ca="1"/>
      </c>
      <c r="EH117">
        <f ca="1"/>
      </c>
      <c r="EI117">
        <f ca="1"/>
      </c>
      <c r="EJ117">
        <f ca="1"/>
      </c>
      <c r="EK117">
        <f ca="1"/>
      </c>
      <c r="EL117">
        <f ca="1"/>
      </c>
      <c r="EM117">
        <f ca="1"/>
      </c>
      <c r="EN117">
        <f ca="1"/>
      </c>
      <c r="EO117">
        <f ca="1"/>
      </c>
      <c r="EP117">
        <f ca="1"/>
      </c>
      <c r="EQ117">
        <f ca="1"/>
      </c>
      <c r="ER117">
        <f ca="1"/>
      </c>
      <c r="ES117">
        <f ca="1"/>
      </c>
      <c r="ET117">
        <f ca="1"/>
      </c>
      <c r="EU117">
        <f ca="1"/>
      </c>
      <c r="EV117">
        <f ca="1"/>
      </c>
      <c r="EW117">
        <f ca="1"/>
      </c>
      <c r="EX117">
        <f ca="1"/>
      </c>
      <c r="EY117">
        <f ca="1"/>
      </c>
      <c r="EZ117">
        <f ca="1"/>
      </c>
      <c r="FA117">
        <f ca="1"/>
      </c>
      <c r="FC117">
        <f ca="1"/>
      </c>
      <c r="FD117">
        <f ca="1"/>
      </c>
      <c r="FE117">
        <f ca="1"/>
      </c>
      <c r="FF117">
        <f ca="1"/>
      </c>
      <c r="FG117">
        <f ca="1"/>
      </c>
      <c r="FH117">
        <f ca="1"/>
      </c>
      <c r="FI117">
        <f ca="1"/>
      </c>
      <c r="FJ117">
        <f ca="1"/>
      </c>
      <c r="FK117">
        <f ca="1"/>
      </c>
      <c r="FL117">
        <f ca="1"/>
      </c>
      <c r="FM117">
        <f ca="1"/>
      </c>
      <c r="FN117">
        <f ca="1"/>
      </c>
      <c r="FO117">
        <f ca="1"/>
      </c>
      <c r="FP117">
        <f ca="1"/>
      </c>
      <c r="FQ117">
        <f ca="1"/>
      </c>
      <c r="FR117">
        <f ca="1"/>
      </c>
      <c r="FS117">
        <f ca="1"/>
      </c>
      <c r="FT117">
        <f ca="1"/>
      </c>
      <c r="FU117">
        <f ca="1"/>
      </c>
      <c r="FV117">
        <f ca="1"/>
      </c>
      <c r="FW117">
        <f ca="1"/>
      </c>
      <c r="FX117">
        <f ca="1"/>
      </c>
      <c r="FY117">
        <f ca="1"/>
      </c>
      <c r="FZ117">
        <f ca="1"/>
      </c>
      <c r="GA117">
        <f ca="1"/>
      </c>
      <c r="GB117">
        <f ca="1"/>
      </c>
      <c r="GC117">
        <f ca="1"/>
      </c>
      <c r="GD117">
        <f ca="1"/>
      </c>
      <c r="GE117">
        <f ca="1"/>
      </c>
      <c r="GF117">
        <f ca="1"/>
      </c>
      <c r="GG117">
        <f ca="1"/>
      </c>
      <c r="GH117">
        <f ca="1"/>
      </c>
      <c r="GI117">
        <f ca="1"/>
      </c>
      <c r="GJ117">
        <f ca="1"/>
      </c>
      <c r="GK117">
        <f ca="1"/>
      </c>
      <c r="GL117">
        <f ca="1"/>
      </c>
      <c r="GM117">
        <f ca="1"/>
      </c>
      <c r="GN117">
        <f ca="1"/>
      </c>
      <c r="GO117">
        <f ca="1"/>
      </c>
      <c r="GP117">
        <f ca="1"/>
      </c>
      <c r="GQ117">
        <f ca="1"/>
      </c>
      <c r="GR117">
        <f ca="1"/>
      </c>
      <c r="GS117">
        <f ca="1"/>
      </c>
      <c r="GT117">
        <f ca="1"/>
      </c>
      <c r="GU117">
        <f ca="1"/>
      </c>
      <c r="GV117">
        <f ca="1"/>
      </c>
      <c r="GW117">
        <f ca="1"/>
      </c>
      <c r="HI117" s="7">
        <f ca="1"/>
      </c>
      <c r="HJ117">
        <f ca="1"/>
      </c>
      <c r="HK117">
        <f ca="1"/>
      </c>
      <c r="HL117">
        <f ca="1"/>
      </c>
      <c r="HM117">
        <f ca="1"/>
      </c>
    </row>
    <row r="118" spans="63:221" x14ac:dyDescent="0.55000000000000004">
      <c r="BK118">
        <f ca="1"/>
      </c>
      <c r="BL118">
        <f ca="1"/>
      </c>
      <c r="BM118">
        <f ca="1"/>
      </c>
      <c r="BN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  <c r="BV118">
        <f ca="1"/>
      </c>
      <c r="BW118">
        <f ca="1"/>
      </c>
      <c r="BX118">
        <f ca="1"/>
      </c>
      <c r="BY118">
        <f ca="1"/>
      </c>
      <c r="BZ118">
        <f ca="1"/>
      </c>
      <c r="CA118">
        <f ca="1"/>
      </c>
      <c r="CB118">
        <f ca="1"/>
      </c>
      <c r="CC118">
        <f ca="1"/>
      </c>
      <c r="CD118">
        <f ca="1"/>
      </c>
      <c r="CE118">
        <f ca="1"/>
      </c>
      <c r="CF118">
        <f ca="1"/>
      </c>
      <c r="CG118">
        <f ca="1"/>
      </c>
      <c r="CH118">
        <f ca="1"/>
      </c>
      <c r="CI118">
        <f ca="1"/>
      </c>
      <c r="CJ118">
        <f ca="1"/>
      </c>
      <c r="CK118">
        <f ca="1"/>
      </c>
      <c r="CL118">
        <f ca="1"/>
      </c>
      <c r="CM118">
        <f ca="1"/>
      </c>
      <c r="CN118">
        <f ca="1"/>
      </c>
      <c r="CO118">
        <f ca="1"/>
      </c>
      <c r="CP118">
        <f ca="1"/>
      </c>
      <c r="CQ118">
        <f ca="1"/>
      </c>
      <c r="CR118">
        <f ca="1"/>
      </c>
      <c r="CS118">
        <f ca="1"/>
      </c>
      <c r="CT118">
        <f ca="1"/>
      </c>
      <c r="CU118">
        <f ca="1"/>
      </c>
      <c r="CV118">
        <f ca="1"/>
      </c>
      <c r="CW118">
        <f ca="1"/>
      </c>
      <c r="CX118">
        <f ca="1"/>
      </c>
      <c r="CY118">
        <f ca="1"/>
      </c>
      <c r="CZ118">
        <f ca="1"/>
      </c>
      <c r="DA118">
        <f ca="1"/>
      </c>
      <c r="DB118">
        <f ca="1"/>
      </c>
      <c r="DC118">
        <f ca="1"/>
      </c>
      <c r="DD118">
        <f ca="1"/>
      </c>
      <c r="DE118">
        <f ca="1"/>
      </c>
      <c r="DG118">
        <f ca="1"/>
      </c>
      <c r="DH118">
        <f ca="1"/>
      </c>
      <c r="DI118">
        <f ca="1"/>
      </c>
      <c r="DJ118">
        <f ca="1"/>
      </c>
      <c r="DK118">
        <f ca="1"/>
      </c>
      <c r="DL118">
        <f ca="1"/>
      </c>
      <c r="DM118">
        <f ca="1"/>
      </c>
      <c r="DN118">
        <f ca="1"/>
      </c>
      <c r="DO118">
        <f ca="1"/>
      </c>
      <c r="DP118">
        <f ca="1"/>
      </c>
      <c r="DQ118">
        <f ca="1"/>
      </c>
      <c r="DR118">
        <f ca="1"/>
      </c>
      <c r="DS118">
        <f ca="1"/>
      </c>
      <c r="DT118">
        <f ca="1"/>
      </c>
      <c r="DU118">
        <f ca="1"/>
      </c>
      <c r="DV118">
        <f ca="1"/>
      </c>
      <c r="DW118">
        <f ca="1"/>
      </c>
      <c r="DX118">
        <f ca="1"/>
      </c>
      <c r="DY118">
        <f ca="1"/>
      </c>
      <c r="DZ118">
        <f ca="1"/>
      </c>
      <c r="EA118">
        <f ca="1"/>
      </c>
      <c r="EB118">
        <f ca="1"/>
      </c>
      <c r="EC118">
        <f ca="1"/>
      </c>
      <c r="ED118">
        <f ca="1"/>
      </c>
      <c r="EE118">
        <f ca="1"/>
      </c>
      <c r="EF118">
        <f ca="1"/>
      </c>
      <c r="EG118">
        <f ca="1"/>
      </c>
      <c r="EH118">
        <f ca="1"/>
      </c>
      <c r="EI118">
        <f ca="1"/>
      </c>
      <c r="EJ118">
        <f ca="1"/>
      </c>
      <c r="EK118">
        <f ca="1"/>
      </c>
      <c r="EL118">
        <f ca="1"/>
      </c>
      <c r="EM118">
        <f ca="1"/>
      </c>
      <c r="EN118">
        <f ca="1"/>
      </c>
      <c r="EO118">
        <f ca="1"/>
      </c>
      <c r="EP118">
        <f ca="1"/>
      </c>
      <c r="EQ118">
        <f ca="1"/>
      </c>
      <c r="ER118">
        <f ca="1"/>
      </c>
      <c r="ES118">
        <f ca="1"/>
      </c>
      <c r="ET118">
        <f ca="1"/>
      </c>
      <c r="EU118">
        <f ca="1"/>
      </c>
      <c r="EV118">
        <f ca="1"/>
      </c>
      <c r="EW118">
        <f ca="1"/>
      </c>
      <c r="EX118">
        <f ca="1"/>
      </c>
      <c r="EY118">
        <f ca="1"/>
      </c>
      <c r="EZ118">
        <f ca="1"/>
      </c>
      <c r="FA118">
        <f ca="1"/>
      </c>
      <c r="FC118">
        <f ca="1"/>
      </c>
      <c r="FD118">
        <f ca="1"/>
      </c>
      <c r="FE118">
        <f ca="1"/>
      </c>
      <c r="FF118">
        <f ca="1"/>
      </c>
      <c r="FG118">
        <f ca="1"/>
      </c>
      <c r="FH118">
        <f ca="1"/>
      </c>
      <c r="FI118">
        <f ca="1"/>
      </c>
      <c r="FJ118">
        <f ca="1"/>
      </c>
      <c r="FK118">
        <f ca="1"/>
      </c>
      <c r="FL118">
        <f ca="1"/>
      </c>
      <c r="FM118">
        <f ca="1"/>
      </c>
      <c r="FN118">
        <f ca="1"/>
      </c>
      <c r="FO118">
        <f ca="1"/>
      </c>
      <c r="FP118">
        <f ca="1"/>
      </c>
      <c r="FQ118">
        <f ca="1"/>
      </c>
      <c r="FR118">
        <f ca="1"/>
      </c>
      <c r="FS118">
        <f ca="1"/>
      </c>
      <c r="FT118">
        <f ca="1"/>
      </c>
      <c r="FU118">
        <f ca="1"/>
      </c>
      <c r="FV118">
        <f ca="1"/>
      </c>
      <c r="FW118">
        <f ca="1"/>
      </c>
      <c r="FX118">
        <f ca="1"/>
      </c>
      <c r="FY118">
        <f ca="1"/>
      </c>
      <c r="FZ118">
        <f ca="1"/>
      </c>
      <c r="GA118">
        <f ca="1"/>
      </c>
      <c r="GB118">
        <f ca="1"/>
      </c>
      <c r="GC118">
        <f ca="1"/>
      </c>
      <c r="GD118">
        <f ca="1"/>
      </c>
      <c r="GE118">
        <f ca="1"/>
      </c>
      <c r="GF118">
        <f ca="1"/>
      </c>
      <c r="GG118">
        <f ca="1"/>
      </c>
      <c r="GH118">
        <f ca="1"/>
      </c>
      <c r="GI118">
        <f ca="1"/>
      </c>
      <c r="GJ118">
        <f ca="1"/>
      </c>
      <c r="GK118">
        <f ca="1"/>
      </c>
      <c r="GL118">
        <f ca="1"/>
      </c>
      <c r="GM118">
        <f ca="1"/>
      </c>
      <c r="GN118">
        <f ca="1"/>
      </c>
      <c r="GO118">
        <f ca="1"/>
      </c>
      <c r="GP118">
        <f ca="1"/>
      </c>
      <c r="GQ118">
        <f ca="1"/>
      </c>
      <c r="GR118">
        <f ca="1"/>
      </c>
      <c r="GS118">
        <f ca="1"/>
      </c>
      <c r="GT118">
        <f ca="1"/>
      </c>
      <c r="GU118">
        <f ca="1"/>
      </c>
      <c r="GV118">
        <f ca="1"/>
      </c>
      <c r="GW118">
        <f ca="1"/>
      </c>
      <c r="HI118" s="7">
        <f ca="1"/>
      </c>
      <c r="HJ118">
        <f ca="1"/>
      </c>
      <c r="HK118">
        <f ca="1"/>
      </c>
      <c r="HL118">
        <f ca="1"/>
      </c>
      <c r="HM118">
        <f ca="1"/>
      </c>
    </row>
    <row r="119" spans="63:221" x14ac:dyDescent="0.55000000000000004">
      <c r="BK119">
        <f ca="1"/>
      </c>
      <c r="BL119">
        <f ca="1"/>
      </c>
      <c r="BM119">
        <f ca="1"/>
      </c>
      <c r="BN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  <c r="BV119">
        <f ca="1"/>
      </c>
      <c r="BW119">
        <f ca="1"/>
      </c>
      <c r="BX119">
        <f ca="1"/>
      </c>
      <c r="BY119">
        <f ca="1"/>
      </c>
      <c r="BZ119">
        <f ca="1"/>
      </c>
      <c r="CA119">
        <f ca="1"/>
      </c>
      <c r="CB119">
        <f ca="1"/>
      </c>
      <c r="CC119">
        <f ca="1"/>
      </c>
      <c r="CD119">
        <f ca="1"/>
      </c>
      <c r="CE119">
        <f ca="1"/>
      </c>
      <c r="CF119">
        <f ca="1"/>
      </c>
      <c r="CG119">
        <f ca="1"/>
      </c>
      <c r="CH119">
        <f ca="1"/>
      </c>
      <c r="CI119">
        <f ca="1"/>
      </c>
      <c r="CJ119">
        <f ca="1"/>
      </c>
      <c r="CK119">
        <f ca="1"/>
      </c>
      <c r="CL119">
        <f ca="1"/>
      </c>
      <c r="CM119">
        <f ca="1"/>
      </c>
      <c r="CN119">
        <f ca="1"/>
      </c>
      <c r="CO119">
        <f ca="1"/>
      </c>
      <c r="CP119">
        <f ca="1"/>
      </c>
      <c r="CQ119">
        <f ca="1"/>
      </c>
      <c r="CR119">
        <f ca="1"/>
      </c>
      <c r="CS119">
        <f ca="1"/>
      </c>
      <c r="CT119">
        <f ca="1"/>
      </c>
      <c r="CU119">
        <f ca="1"/>
      </c>
      <c r="CV119">
        <f ca="1"/>
      </c>
      <c r="CW119">
        <f ca="1"/>
      </c>
      <c r="CX119">
        <f ca="1"/>
      </c>
      <c r="CY119">
        <f ca="1"/>
      </c>
      <c r="CZ119">
        <f ca="1"/>
      </c>
      <c r="DA119">
        <f ca="1"/>
      </c>
      <c r="DB119">
        <f ca="1"/>
      </c>
      <c r="DC119">
        <f ca="1"/>
      </c>
      <c r="DD119">
        <f ca="1"/>
      </c>
      <c r="DE119">
        <f ca="1"/>
      </c>
      <c r="DG119">
        <f ca="1"/>
      </c>
      <c r="DH119">
        <f ca="1"/>
      </c>
      <c r="DI119">
        <f ca="1"/>
      </c>
      <c r="DJ119">
        <f ca="1"/>
      </c>
      <c r="DK119">
        <f ca="1"/>
      </c>
      <c r="DL119">
        <f ca="1"/>
      </c>
      <c r="DM119">
        <f ca="1"/>
      </c>
      <c r="DN119">
        <f ca="1"/>
      </c>
      <c r="DO119">
        <f ca="1"/>
      </c>
      <c r="DP119">
        <f ca="1"/>
      </c>
      <c r="DQ119">
        <f ca="1"/>
      </c>
      <c r="DR119">
        <f ca="1"/>
      </c>
      <c r="DS119">
        <f ca="1"/>
      </c>
      <c r="DT119">
        <f ca="1"/>
      </c>
      <c r="DU119">
        <f ca="1"/>
      </c>
      <c r="DV119">
        <f ca="1"/>
      </c>
      <c r="DW119">
        <f ca="1"/>
      </c>
      <c r="DX119">
        <f ca="1"/>
      </c>
      <c r="DY119">
        <f ca="1"/>
      </c>
      <c r="DZ119">
        <f ca="1"/>
      </c>
      <c r="EA119">
        <f ca="1"/>
      </c>
      <c r="EB119">
        <f ca="1"/>
      </c>
      <c r="EC119">
        <f ca="1"/>
      </c>
      <c r="ED119">
        <f ca="1"/>
      </c>
      <c r="EE119">
        <f ca="1"/>
      </c>
      <c r="EF119">
        <f ca="1"/>
      </c>
      <c r="EG119">
        <f ca="1"/>
      </c>
      <c r="EH119">
        <f ca="1"/>
      </c>
      <c r="EI119">
        <f ca="1"/>
      </c>
      <c r="EJ119">
        <f ca="1"/>
      </c>
      <c r="EK119">
        <f ca="1"/>
      </c>
      <c r="EL119">
        <f ca="1"/>
      </c>
      <c r="EM119">
        <f ca="1"/>
      </c>
      <c r="EN119">
        <f ca="1"/>
      </c>
      <c r="EO119">
        <f ca="1"/>
      </c>
      <c r="EP119">
        <f ca="1"/>
      </c>
      <c r="EQ119">
        <f ca="1"/>
      </c>
      <c r="ER119">
        <f ca="1"/>
      </c>
      <c r="ES119">
        <f ca="1"/>
      </c>
      <c r="ET119">
        <f ca="1"/>
      </c>
      <c r="EU119">
        <f ca="1"/>
      </c>
      <c r="EV119">
        <f ca="1"/>
      </c>
      <c r="EW119">
        <f ca="1"/>
      </c>
      <c r="EX119">
        <f ca="1"/>
      </c>
      <c r="EY119">
        <f ca="1"/>
      </c>
      <c r="EZ119">
        <f ca="1"/>
      </c>
      <c r="FA119">
        <f ca="1"/>
      </c>
      <c r="FC119">
        <f ca="1"/>
      </c>
      <c r="FD119">
        <f ca="1"/>
      </c>
      <c r="FE119">
        <f ca="1"/>
      </c>
      <c r="FF119">
        <f ca="1"/>
      </c>
      <c r="FG119">
        <f ca="1"/>
      </c>
      <c r="FH119">
        <f ca="1"/>
      </c>
      <c r="FI119">
        <f ca="1"/>
      </c>
      <c r="FJ119">
        <f ca="1"/>
      </c>
      <c r="FK119">
        <f ca="1"/>
      </c>
      <c r="FL119">
        <f ca="1"/>
      </c>
      <c r="FM119">
        <f ca="1"/>
      </c>
      <c r="FN119">
        <f ca="1"/>
      </c>
      <c r="FO119">
        <f ca="1"/>
      </c>
      <c r="FP119">
        <f ca="1"/>
      </c>
      <c r="FQ119">
        <f ca="1"/>
      </c>
      <c r="FR119">
        <f ca="1"/>
      </c>
      <c r="FS119">
        <f ca="1"/>
      </c>
      <c r="FT119">
        <f ca="1"/>
      </c>
      <c r="FU119">
        <f ca="1"/>
      </c>
      <c r="FV119">
        <f ca="1"/>
      </c>
      <c r="FW119">
        <f ca="1"/>
      </c>
      <c r="FX119">
        <f ca="1"/>
      </c>
      <c r="FY119">
        <f ca="1"/>
      </c>
      <c r="FZ119">
        <f ca="1"/>
      </c>
      <c r="GA119">
        <f ca="1"/>
      </c>
      <c r="GB119">
        <f ca="1"/>
      </c>
      <c r="GC119">
        <f ca="1"/>
      </c>
      <c r="GD119">
        <f ca="1"/>
      </c>
      <c r="GE119">
        <f ca="1"/>
      </c>
      <c r="GF119">
        <f ca="1"/>
      </c>
      <c r="GG119">
        <f ca="1"/>
      </c>
      <c r="GH119">
        <f ca="1"/>
      </c>
      <c r="GI119">
        <f ca="1"/>
      </c>
      <c r="GJ119">
        <f ca="1"/>
      </c>
      <c r="GK119">
        <f ca="1"/>
      </c>
      <c r="GL119">
        <f ca="1"/>
      </c>
      <c r="GM119">
        <f ca="1"/>
      </c>
      <c r="GN119">
        <f ca="1"/>
      </c>
      <c r="GO119">
        <f ca="1"/>
      </c>
      <c r="GP119">
        <f ca="1"/>
      </c>
      <c r="GQ119">
        <f ca="1"/>
      </c>
      <c r="GR119">
        <f ca="1"/>
      </c>
      <c r="GS119">
        <f ca="1"/>
      </c>
      <c r="GT119">
        <f ca="1"/>
      </c>
      <c r="GU119">
        <f ca="1"/>
      </c>
      <c r="GV119">
        <f ca="1"/>
      </c>
      <c r="GW119">
        <f ca="1"/>
      </c>
      <c r="HI119" s="7">
        <f ca="1"/>
      </c>
      <c r="HJ119">
        <f ca="1"/>
      </c>
      <c r="HK119">
        <f ca="1"/>
      </c>
      <c r="HL119">
        <f ca="1"/>
      </c>
      <c r="HM119">
        <f ca="1"/>
      </c>
    </row>
    <row r="120" spans="63:221" x14ac:dyDescent="0.55000000000000004">
      <c r="BK120">
        <f ca="1"/>
      </c>
      <c r="BL120">
        <f ca="1"/>
      </c>
      <c r="BM120">
        <f ca="1"/>
      </c>
      <c r="BN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  <c r="BV120">
        <f ca="1"/>
      </c>
      <c r="BW120">
        <f ca="1"/>
      </c>
      <c r="BX120">
        <f ca="1"/>
      </c>
      <c r="BY120">
        <f ca="1"/>
      </c>
      <c r="BZ120">
        <f ca="1"/>
      </c>
      <c r="CA120">
        <f ca="1"/>
      </c>
      <c r="CB120">
        <f ca="1"/>
      </c>
      <c r="CC120">
        <f ca="1"/>
      </c>
      <c r="CD120">
        <f ca="1"/>
      </c>
      <c r="CE120">
        <f ca="1"/>
      </c>
      <c r="CF120">
        <f ca="1"/>
      </c>
      <c r="CG120">
        <f ca="1"/>
      </c>
      <c r="CH120">
        <f ca="1"/>
      </c>
      <c r="CI120">
        <f ca="1"/>
      </c>
      <c r="CJ120">
        <f ca="1"/>
      </c>
      <c r="CK120">
        <f ca="1"/>
      </c>
      <c r="CL120">
        <f ca="1"/>
      </c>
      <c r="CM120">
        <f ca="1"/>
      </c>
      <c r="CN120">
        <f ca="1"/>
      </c>
      <c r="CO120">
        <f ca="1"/>
      </c>
      <c r="CP120">
        <f ca="1"/>
      </c>
      <c r="CQ120">
        <f ca="1"/>
      </c>
      <c r="CR120">
        <f ca="1"/>
      </c>
      <c r="CS120">
        <f ca="1"/>
      </c>
      <c r="CT120">
        <f ca="1"/>
      </c>
      <c r="CU120">
        <f ca="1"/>
      </c>
      <c r="CV120">
        <f ca="1"/>
      </c>
      <c r="CW120">
        <f ca="1"/>
      </c>
      <c r="CX120">
        <f ca="1"/>
      </c>
      <c r="CY120">
        <f ca="1"/>
      </c>
      <c r="CZ120">
        <f ca="1"/>
      </c>
      <c r="DA120">
        <f ca="1"/>
      </c>
      <c r="DB120">
        <f ca="1"/>
      </c>
      <c r="DC120">
        <f ca="1"/>
      </c>
      <c r="DD120">
        <f ca="1"/>
      </c>
      <c r="DE120">
        <f ca="1"/>
      </c>
      <c r="DG120">
        <f ca="1"/>
      </c>
      <c r="DH120">
        <f ca="1"/>
      </c>
      <c r="DI120">
        <f ca="1"/>
      </c>
      <c r="DJ120">
        <f ca="1"/>
      </c>
      <c r="DK120">
        <f ca="1"/>
      </c>
      <c r="DL120">
        <f ca="1"/>
      </c>
      <c r="DM120">
        <f ca="1"/>
      </c>
      <c r="DN120">
        <f ca="1"/>
      </c>
      <c r="DO120">
        <f ca="1"/>
      </c>
      <c r="DP120">
        <f ca="1"/>
      </c>
      <c r="DQ120">
        <f ca="1"/>
      </c>
      <c r="DR120">
        <f ca="1"/>
      </c>
      <c r="DS120">
        <f ca="1"/>
      </c>
      <c r="DT120">
        <f ca="1"/>
      </c>
      <c r="DU120">
        <f ca="1"/>
      </c>
      <c r="DV120">
        <f ca="1"/>
      </c>
      <c r="DW120">
        <f ca="1"/>
      </c>
      <c r="DX120">
        <f ca="1"/>
      </c>
      <c r="DY120">
        <f ca="1"/>
      </c>
      <c r="DZ120">
        <f ca="1"/>
      </c>
      <c r="EA120">
        <f ca="1"/>
      </c>
      <c r="EB120">
        <f ca="1"/>
      </c>
      <c r="EC120">
        <f ca="1"/>
      </c>
      <c r="ED120">
        <f ca="1"/>
      </c>
      <c r="EE120">
        <f ca="1"/>
      </c>
      <c r="EF120">
        <f ca="1"/>
      </c>
      <c r="EG120">
        <f ca="1"/>
      </c>
      <c r="EH120">
        <f ca="1"/>
      </c>
      <c r="EI120">
        <f ca="1"/>
      </c>
      <c r="EJ120">
        <f ca="1"/>
      </c>
      <c r="EK120">
        <f ca="1"/>
      </c>
      <c r="EL120">
        <f ca="1"/>
      </c>
      <c r="EM120">
        <f ca="1"/>
      </c>
      <c r="EN120">
        <f ca="1"/>
      </c>
      <c r="EO120">
        <f ca="1"/>
      </c>
      <c r="EP120">
        <f ca="1"/>
      </c>
      <c r="EQ120">
        <f ca="1"/>
      </c>
      <c r="ER120">
        <f ca="1"/>
      </c>
      <c r="ES120">
        <f ca="1"/>
      </c>
      <c r="ET120">
        <f ca="1"/>
      </c>
      <c r="EU120">
        <f ca="1"/>
      </c>
      <c r="EV120">
        <f ca="1"/>
      </c>
      <c r="EW120">
        <f ca="1"/>
      </c>
      <c r="EX120">
        <f ca="1"/>
      </c>
      <c r="EY120">
        <f ca="1"/>
      </c>
      <c r="EZ120">
        <f ca="1"/>
      </c>
      <c r="FA120">
        <f ca="1"/>
      </c>
      <c r="FC120">
        <f ca="1"/>
      </c>
      <c r="FD120">
        <f ca="1"/>
      </c>
      <c r="FE120">
        <f ca="1"/>
      </c>
      <c r="FF120">
        <f ca="1"/>
      </c>
      <c r="FG120">
        <f ca="1"/>
      </c>
      <c r="FH120">
        <f ca="1"/>
      </c>
      <c r="FI120">
        <f ca="1"/>
      </c>
      <c r="FJ120">
        <f ca="1"/>
      </c>
      <c r="FK120">
        <f ca="1"/>
      </c>
      <c r="FL120">
        <f ca="1"/>
      </c>
      <c r="FM120">
        <f ca="1"/>
      </c>
      <c r="FN120">
        <f ca="1"/>
      </c>
      <c r="FO120">
        <f ca="1"/>
      </c>
      <c r="FP120">
        <f ca="1"/>
      </c>
      <c r="FQ120">
        <f ca="1"/>
      </c>
      <c r="FR120">
        <f ca="1"/>
      </c>
      <c r="FS120">
        <f ca="1"/>
      </c>
      <c r="FT120">
        <f ca="1"/>
      </c>
      <c r="FU120">
        <f ca="1"/>
      </c>
      <c r="FV120">
        <f ca="1"/>
      </c>
      <c r="FW120">
        <f ca="1"/>
      </c>
      <c r="FX120">
        <f ca="1"/>
      </c>
      <c r="FY120">
        <f ca="1"/>
      </c>
      <c r="FZ120">
        <f ca="1"/>
      </c>
      <c r="GA120">
        <f ca="1"/>
      </c>
      <c r="GB120">
        <f ca="1"/>
      </c>
      <c r="GC120">
        <f ca="1"/>
      </c>
      <c r="GD120">
        <f ca="1"/>
      </c>
      <c r="GE120">
        <f ca="1"/>
      </c>
      <c r="GF120">
        <f ca="1"/>
      </c>
      <c r="GG120">
        <f ca="1"/>
      </c>
      <c r="GH120">
        <f ca="1"/>
      </c>
      <c r="GI120">
        <f ca="1"/>
      </c>
      <c r="GJ120">
        <f ca="1"/>
      </c>
      <c r="GK120">
        <f ca="1"/>
      </c>
      <c r="GL120">
        <f ca="1"/>
      </c>
      <c r="GM120">
        <f ca="1"/>
      </c>
      <c r="GN120">
        <f ca="1"/>
      </c>
      <c r="GO120">
        <f ca="1"/>
      </c>
      <c r="GP120">
        <f ca="1"/>
      </c>
      <c r="GQ120">
        <f ca="1"/>
      </c>
      <c r="GR120">
        <f ca="1"/>
      </c>
      <c r="GS120">
        <f ca="1"/>
      </c>
      <c r="GT120">
        <f ca="1"/>
      </c>
      <c r="GU120">
        <f ca="1"/>
      </c>
      <c r="GV120">
        <f ca="1"/>
      </c>
      <c r="GW120">
        <f ca="1"/>
      </c>
      <c r="HI120" s="7">
        <f ca="1"/>
      </c>
      <c r="HJ120">
        <f ca="1"/>
      </c>
      <c r="HK120">
        <f ca="1"/>
      </c>
      <c r="HL120">
        <f ca="1"/>
      </c>
      <c r="HM120">
        <f ca="1"/>
      </c>
    </row>
    <row r="121" spans="63:221" x14ac:dyDescent="0.55000000000000004">
      <c r="BK121">
        <f ca="1"/>
      </c>
      <c r="BL121">
        <f ca="1"/>
      </c>
      <c r="BM121">
        <f ca="1"/>
      </c>
      <c r="BN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  <c r="BV121">
        <f ca="1"/>
      </c>
      <c r="BW121">
        <f ca="1"/>
      </c>
      <c r="BX121">
        <f ca="1"/>
      </c>
      <c r="BY121">
        <f ca="1"/>
      </c>
      <c r="BZ121">
        <f ca="1"/>
      </c>
      <c r="CA121">
        <f ca="1"/>
      </c>
      <c r="CB121">
        <f ca="1"/>
      </c>
      <c r="CC121">
        <f ca="1"/>
      </c>
      <c r="CD121">
        <f ca="1"/>
      </c>
      <c r="CE121">
        <f ca="1"/>
      </c>
      <c r="CF121">
        <f ca="1"/>
      </c>
      <c r="CG121">
        <f ca="1"/>
      </c>
      <c r="CH121">
        <f ca="1"/>
      </c>
      <c r="CI121">
        <f ca="1"/>
      </c>
      <c r="CJ121">
        <f ca="1"/>
      </c>
      <c r="CK121">
        <f ca="1"/>
      </c>
      <c r="CL121">
        <f ca="1"/>
      </c>
      <c r="CM121">
        <f ca="1"/>
      </c>
      <c r="CN121">
        <f ca="1"/>
      </c>
      <c r="CO121">
        <f ca="1"/>
      </c>
      <c r="CP121">
        <f ca="1"/>
      </c>
      <c r="CQ121">
        <f ca="1"/>
      </c>
      <c r="CR121">
        <f ca="1"/>
      </c>
      <c r="CS121">
        <f ca="1"/>
      </c>
      <c r="CT121">
        <f ca="1"/>
      </c>
      <c r="CU121">
        <f ca="1"/>
      </c>
      <c r="CV121">
        <f ca="1"/>
      </c>
      <c r="CW121">
        <f ca="1"/>
      </c>
      <c r="CX121">
        <f ca="1"/>
      </c>
      <c r="CY121">
        <f ca="1"/>
      </c>
      <c r="CZ121">
        <f ca="1"/>
      </c>
      <c r="DA121">
        <f ca="1"/>
      </c>
      <c r="DB121">
        <f ca="1"/>
      </c>
      <c r="DC121">
        <f ca="1"/>
      </c>
      <c r="DD121">
        <f ca="1"/>
      </c>
      <c r="DE121">
        <f ca="1"/>
      </c>
      <c r="DG121">
        <f ca="1"/>
      </c>
      <c r="DH121">
        <f ca="1"/>
      </c>
      <c r="DI121">
        <f ca="1"/>
      </c>
      <c r="DJ121">
        <f ca="1"/>
      </c>
      <c r="DK121">
        <f ca="1"/>
      </c>
      <c r="DL121">
        <f ca="1"/>
      </c>
      <c r="DM121">
        <f ca="1"/>
      </c>
      <c r="DN121">
        <f ca="1"/>
      </c>
      <c r="DO121">
        <f ca="1"/>
      </c>
      <c r="DP121">
        <f ca="1"/>
      </c>
      <c r="DQ121">
        <f ca="1"/>
      </c>
      <c r="DR121">
        <f ca="1"/>
      </c>
      <c r="DS121">
        <f ca="1"/>
      </c>
      <c r="DT121">
        <f ca="1"/>
      </c>
      <c r="DU121">
        <f ca="1"/>
      </c>
      <c r="DV121">
        <f ca="1"/>
      </c>
      <c r="DW121">
        <f ca="1"/>
      </c>
      <c r="DX121">
        <f ca="1"/>
      </c>
      <c r="DY121">
        <f ca="1"/>
      </c>
      <c r="DZ121">
        <f ca="1"/>
      </c>
      <c r="EA121">
        <f ca="1"/>
      </c>
      <c r="EB121">
        <f ca="1"/>
      </c>
      <c r="EC121">
        <f ca="1"/>
      </c>
      <c r="ED121">
        <f ca="1"/>
      </c>
      <c r="EE121">
        <f ca="1"/>
      </c>
      <c r="EF121">
        <f ca="1"/>
      </c>
      <c r="EG121">
        <f ca="1"/>
      </c>
      <c r="EH121">
        <f ca="1"/>
      </c>
      <c r="EI121">
        <f ca="1"/>
      </c>
      <c r="EJ121">
        <f ca="1"/>
      </c>
      <c r="EK121">
        <f ca="1"/>
      </c>
      <c r="EL121">
        <f ca="1"/>
      </c>
      <c r="EM121">
        <f ca="1"/>
      </c>
      <c r="EN121">
        <f ca="1"/>
      </c>
      <c r="EO121">
        <f ca="1"/>
      </c>
      <c r="EP121">
        <f ca="1"/>
      </c>
      <c r="EQ121">
        <f ca="1"/>
      </c>
      <c r="ER121">
        <f ca="1"/>
      </c>
      <c r="ES121">
        <f ca="1"/>
      </c>
      <c r="ET121">
        <f ca="1"/>
      </c>
      <c r="EU121">
        <f ca="1"/>
      </c>
      <c r="EV121">
        <f ca="1"/>
      </c>
      <c r="EW121">
        <f ca="1"/>
      </c>
      <c r="EX121">
        <f ca="1"/>
      </c>
      <c r="EY121">
        <f ca="1"/>
      </c>
      <c r="EZ121">
        <f ca="1"/>
      </c>
      <c r="FA121">
        <f ca="1"/>
      </c>
      <c r="FC121">
        <f ca="1"/>
      </c>
      <c r="FD121">
        <f ca="1"/>
      </c>
      <c r="FE121">
        <f ca="1"/>
      </c>
      <c r="FF121">
        <f ca="1"/>
      </c>
      <c r="FG121">
        <f ca="1"/>
      </c>
      <c r="FH121">
        <f ca="1"/>
      </c>
      <c r="FI121">
        <f ca="1"/>
      </c>
      <c r="FJ121">
        <f ca="1"/>
      </c>
      <c r="FK121">
        <f ca="1"/>
      </c>
      <c r="FL121">
        <f ca="1"/>
      </c>
      <c r="FM121">
        <f ca="1"/>
      </c>
      <c r="FN121">
        <f ca="1"/>
      </c>
      <c r="FO121">
        <f ca="1"/>
      </c>
      <c r="FP121">
        <f ca="1"/>
      </c>
      <c r="FQ121">
        <f ca="1"/>
      </c>
      <c r="FR121">
        <f ca="1"/>
      </c>
      <c r="FS121">
        <f ca="1"/>
      </c>
      <c r="FT121">
        <f ca="1"/>
      </c>
      <c r="FU121">
        <f ca="1"/>
      </c>
      <c r="FV121">
        <f ca="1"/>
      </c>
      <c r="FW121">
        <f ca="1"/>
      </c>
      <c r="FX121">
        <f ca="1"/>
      </c>
      <c r="FY121">
        <f ca="1"/>
      </c>
      <c r="FZ121">
        <f ca="1"/>
      </c>
      <c r="GA121">
        <f ca="1"/>
      </c>
      <c r="GB121">
        <f ca="1"/>
      </c>
      <c r="GC121">
        <f ca="1"/>
      </c>
      <c r="GD121">
        <f ca="1"/>
      </c>
      <c r="GE121">
        <f ca="1"/>
      </c>
      <c r="GF121">
        <f ca="1"/>
      </c>
      <c r="GG121">
        <f ca="1"/>
      </c>
      <c r="GH121">
        <f ca="1"/>
      </c>
      <c r="GI121">
        <f ca="1"/>
      </c>
      <c r="GJ121">
        <f ca="1"/>
      </c>
      <c r="GK121">
        <f ca="1"/>
      </c>
      <c r="GL121">
        <f ca="1"/>
      </c>
      <c r="GM121">
        <f ca="1"/>
      </c>
      <c r="GN121">
        <f ca="1"/>
      </c>
      <c r="GO121">
        <f ca="1"/>
      </c>
      <c r="GP121">
        <f ca="1"/>
      </c>
      <c r="GQ121">
        <f ca="1"/>
      </c>
      <c r="GR121">
        <f ca="1"/>
      </c>
      <c r="GS121">
        <f ca="1"/>
      </c>
      <c r="GT121">
        <f ca="1"/>
      </c>
      <c r="GU121">
        <f ca="1"/>
      </c>
      <c r="GV121">
        <f ca="1"/>
      </c>
      <c r="GW121">
        <f ca="1"/>
      </c>
      <c r="HI121" s="7">
        <f ca="1"/>
      </c>
      <c r="HJ121">
        <f ca="1"/>
      </c>
      <c r="HK121">
        <f ca="1"/>
      </c>
      <c r="HL121">
        <f ca="1"/>
      </c>
      <c r="HM121">
        <f ca="1"/>
      </c>
    </row>
    <row r="122" spans="63:221" x14ac:dyDescent="0.55000000000000004">
      <c r="BK122">
        <f ca="1"/>
      </c>
      <c r="BL122">
        <f ca="1"/>
      </c>
      <c r="BM122">
        <f ca="1"/>
      </c>
      <c r="BN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  <c r="BV122">
        <f ca="1"/>
      </c>
      <c r="BW122">
        <f ca="1"/>
      </c>
      <c r="BX122">
        <f ca="1"/>
      </c>
      <c r="BY122">
        <f ca="1"/>
      </c>
      <c r="BZ122">
        <f ca="1"/>
      </c>
      <c r="CA122">
        <f ca="1"/>
      </c>
      <c r="CB122">
        <f ca="1"/>
      </c>
      <c r="CC122">
        <f ca="1"/>
      </c>
      <c r="CD122">
        <f ca="1"/>
      </c>
      <c r="CE122">
        <f ca="1"/>
      </c>
      <c r="CF122">
        <f ca="1"/>
      </c>
      <c r="CG122">
        <f ca="1"/>
      </c>
      <c r="CH122">
        <f ca="1"/>
      </c>
      <c r="CI122">
        <f ca="1"/>
      </c>
      <c r="CJ122">
        <f ca="1"/>
      </c>
      <c r="CK122">
        <f ca="1"/>
      </c>
      <c r="CL122">
        <f ca="1"/>
      </c>
      <c r="CM122">
        <f ca="1"/>
      </c>
      <c r="CN122">
        <f ca="1"/>
      </c>
      <c r="CO122">
        <f ca="1"/>
      </c>
      <c r="CP122">
        <f ca="1"/>
      </c>
      <c r="CQ122">
        <f ca="1"/>
      </c>
      <c r="CR122">
        <f ca="1"/>
      </c>
      <c r="CS122">
        <f ca="1"/>
      </c>
      <c r="CT122">
        <f ca="1"/>
      </c>
      <c r="CU122">
        <f ca="1"/>
      </c>
      <c r="CV122">
        <f ca="1"/>
      </c>
      <c r="CW122">
        <f ca="1"/>
      </c>
      <c r="CX122">
        <f ca="1"/>
      </c>
      <c r="CY122">
        <f ca="1"/>
      </c>
      <c r="CZ122">
        <f ca="1"/>
      </c>
      <c r="DA122">
        <f ca="1"/>
      </c>
      <c r="DB122">
        <f ca="1"/>
      </c>
      <c r="DC122">
        <f ca="1"/>
      </c>
      <c r="DD122">
        <f ca="1"/>
      </c>
      <c r="DE122">
        <f ca="1"/>
      </c>
      <c r="DG122">
        <f ca="1"/>
      </c>
      <c r="DH122">
        <f ca="1"/>
      </c>
      <c r="DI122">
        <f ca="1"/>
      </c>
      <c r="DJ122">
        <f ca="1"/>
      </c>
      <c r="DK122">
        <f ca="1"/>
      </c>
      <c r="DL122">
        <f ca="1"/>
      </c>
      <c r="DM122">
        <f ca="1"/>
      </c>
      <c r="DN122">
        <f ca="1"/>
      </c>
      <c r="DO122">
        <f ca="1"/>
      </c>
      <c r="DP122">
        <f ca="1"/>
      </c>
      <c r="DQ122">
        <f ca="1"/>
      </c>
      <c r="DR122">
        <f ca="1"/>
      </c>
      <c r="DS122">
        <f ca="1"/>
      </c>
      <c r="DT122">
        <f ca="1"/>
      </c>
      <c r="DU122">
        <f ca="1"/>
      </c>
      <c r="DV122">
        <f ca="1"/>
      </c>
      <c r="DW122">
        <f ca="1"/>
      </c>
      <c r="DX122">
        <f ca="1"/>
      </c>
      <c r="DY122">
        <f ca="1"/>
      </c>
      <c r="DZ122">
        <f ca="1"/>
      </c>
      <c r="EA122">
        <f ca="1"/>
      </c>
      <c r="EB122">
        <f ca="1"/>
      </c>
      <c r="EC122">
        <f ca="1"/>
      </c>
      <c r="ED122">
        <f ca="1"/>
      </c>
      <c r="EE122">
        <f ca="1"/>
      </c>
      <c r="EF122">
        <f ca="1"/>
      </c>
      <c r="EG122">
        <f ca="1"/>
      </c>
      <c r="EH122">
        <f ca="1"/>
      </c>
      <c r="EI122">
        <f ca="1"/>
      </c>
      <c r="EJ122">
        <f ca="1"/>
      </c>
      <c r="EK122">
        <f ca="1"/>
      </c>
      <c r="EL122">
        <f ca="1"/>
      </c>
      <c r="EM122">
        <f ca="1"/>
      </c>
      <c r="EN122">
        <f ca="1"/>
      </c>
      <c r="EO122">
        <f ca="1"/>
      </c>
      <c r="EP122">
        <f ca="1"/>
      </c>
      <c r="EQ122">
        <f ca="1"/>
      </c>
      <c r="ER122">
        <f ca="1"/>
      </c>
      <c r="ES122">
        <f ca="1"/>
      </c>
      <c r="ET122">
        <f ca="1"/>
      </c>
      <c r="EU122">
        <f ca="1"/>
      </c>
      <c r="EV122">
        <f ca="1"/>
      </c>
      <c r="EW122">
        <f ca="1"/>
      </c>
      <c r="EX122">
        <f ca="1"/>
      </c>
      <c r="EY122">
        <f ca="1"/>
      </c>
      <c r="EZ122">
        <f ca="1"/>
      </c>
      <c r="FA122">
        <f ca="1"/>
      </c>
      <c r="FC122">
        <f ca="1"/>
      </c>
      <c r="FD122">
        <f ca="1"/>
      </c>
      <c r="FE122">
        <f ca="1"/>
      </c>
      <c r="FF122">
        <f ca="1"/>
      </c>
      <c r="FG122">
        <f ca="1"/>
      </c>
      <c r="FH122">
        <f ca="1"/>
      </c>
      <c r="FI122">
        <f ca="1"/>
      </c>
      <c r="FJ122">
        <f ca="1"/>
      </c>
      <c r="FK122">
        <f ca="1"/>
      </c>
      <c r="FL122">
        <f ca="1"/>
      </c>
      <c r="FM122">
        <f ca="1"/>
      </c>
      <c r="FN122">
        <f ca="1"/>
      </c>
      <c r="FO122">
        <f ca="1"/>
      </c>
      <c r="FP122">
        <f ca="1"/>
      </c>
      <c r="FQ122">
        <f ca="1"/>
      </c>
      <c r="FR122">
        <f ca="1"/>
      </c>
      <c r="FS122">
        <f ca="1"/>
      </c>
      <c r="FT122">
        <f ca="1"/>
      </c>
      <c r="FU122">
        <f ca="1"/>
      </c>
      <c r="FV122">
        <f ca="1"/>
      </c>
      <c r="FW122">
        <f ca="1"/>
      </c>
      <c r="FX122">
        <f ca="1"/>
      </c>
      <c r="FY122">
        <f ca="1"/>
      </c>
      <c r="FZ122">
        <f ca="1"/>
      </c>
      <c r="GA122">
        <f ca="1"/>
      </c>
      <c r="GB122">
        <f ca="1"/>
      </c>
      <c r="GC122">
        <f ca="1"/>
      </c>
      <c r="GD122">
        <f ca="1"/>
      </c>
      <c r="GE122">
        <f ca="1"/>
      </c>
      <c r="GF122">
        <f ca="1"/>
      </c>
      <c r="GG122">
        <f ca="1"/>
      </c>
      <c r="GH122">
        <f ca="1"/>
      </c>
      <c r="GI122">
        <f ca="1"/>
      </c>
      <c r="GJ122">
        <f ca="1"/>
      </c>
      <c r="GK122">
        <f ca="1"/>
      </c>
      <c r="GL122">
        <f ca="1"/>
      </c>
      <c r="GM122">
        <f ca="1"/>
      </c>
      <c r="GN122">
        <f ca="1"/>
      </c>
      <c r="GO122">
        <f ca="1"/>
      </c>
      <c r="GP122">
        <f ca="1"/>
      </c>
      <c r="GQ122">
        <f ca="1"/>
      </c>
      <c r="GR122">
        <f ca="1"/>
      </c>
      <c r="GS122">
        <f ca="1"/>
      </c>
      <c r="GT122">
        <f ca="1"/>
      </c>
      <c r="GU122">
        <f ca="1"/>
      </c>
      <c r="GV122">
        <f ca="1"/>
      </c>
      <c r="GW122">
        <f ca="1"/>
      </c>
      <c r="HI122" s="7">
        <f ca="1"/>
      </c>
      <c r="HJ122">
        <f ca="1"/>
      </c>
      <c r="HK122">
        <f ca="1"/>
      </c>
      <c r="HL122">
        <f ca="1"/>
      </c>
      <c r="HM122">
        <f ca="1"/>
      </c>
    </row>
    <row r="123" spans="63:221" x14ac:dyDescent="0.55000000000000004">
      <c r="BK123">
        <f ca="1"/>
      </c>
      <c r="BL123">
        <f ca="1"/>
      </c>
      <c r="BM123">
        <f ca="1"/>
      </c>
      <c r="BN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  <c r="BV123">
        <f ca="1"/>
      </c>
      <c r="BW123">
        <f ca="1"/>
      </c>
      <c r="BX123">
        <f ca="1"/>
      </c>
      <c r="BY123">
        <f ca="1"/>
      </c>
      <c r="BZ123">
        <f ca="1"/>
      </c>
      <c r="CA123">
        <f ca="1"/>
      </c>
      <c r="CB123">
        <f ca="1"/>
      </c>
      <c r="CC123">
        <f ca="1"/>
      </c>
      <c r="CD123">
        <f ca="1"/>
      </c>
      <c r="CE123">
        <f ca="1"/>
      </c>
      <c r="CF123">
        <f ca="1"/>
      </c>
      <c r="CG123">
        <f ca="1"/>
      </c>
      <c r="CH123">
        <f ca="1"/>
      </c>
      <c r="CI123">
        <f ca="1"/>
      </c>
      <c r="CJ123">
        <f ca="1"/>
      </c>
      <c r="CK123">
        <f ca="1"/>
      </c>
      <c r="CL123">
        <f ca="1"/>
      </c>
      <c r="CM123">
        <f ca="1"/>
      </c>
      <c r="CN123">
        <f ca="1"/>
      </c>
      <c r="CO123">
        <f ca="1"/>
      </c>
      <c r="CP123">
        <f ca="1"/>
      </c>
      <c r="CQ123">
        <f ca="1"/>
      </c>
      <c r="CR123">
        <f ca="1"/>
      </c>
      <c r="CS123">
        <f ca="1"/>
      </c>
      <c r="CT123">
        <f ca="1"/>
      </c>
      <c r="CU123">
        <f ca="1"/>
      </c>
      <c r="CV123">
        <f ca="1"/>
      </c>
      <c r="CW123">
        <f ca="1"/>
      </c>
      <c r="CX123">
        <f ca="1"/>
      </c>
      <c r="CY123">
        <f ca="1"/>
      </c>
      <c r="CZ123">
        <f ca="1"/>
      </c>
      <c r="DA123">
        <f ca="1"/>
      </c>
      <c r="DB123">
        <f ca="1"/>
      </c>
      <c r="DC123">
        <f ca="1"/>
      </c>
      <c r="DD123">
        <f ca="1"/>
      </c>
      <c r="DE123">
        <f ca="1"/>
      </c>
      <c r="DG123">
        <f ca="1"/>
      </c>
      <c r="DH123">
        <f ca="1"/>
      </c>
      <c r="DI123">
        <f ca="1"/>
      </c>
      <c r="DJ123">
        <f ca="1"/>
      </c>
      <c r="DK123">
        <f ca="1"/>
      </c>
      <c r="DL123">
        <f ca="1"/>
      </c>
      <c r="DM123">
        <f ca="1"/>
      </c>
      <c r="DN123">
        <f ca="1"/>
      </c>
      <c r="DO123">
        <f ca="1"/>
      </c>
      <c r="DP123">
        <f ca="1"/>
      </c>
      <c r="DQ123">
        <f ca="1"/>
      </c>
      <c r="DR123">
        <f ca="1"/>
      </c>
      <c r="DS123">
        <f ca="1"/>
      </c>
      <c r="DT123">
        <f ca="1"/>
      </c>
      <c r="DU123">
        <f ca="1"/>
      </c>
      <c r="DV123">
        <f ca="1"/>
      </c>
      <c r="DW123">
        <f ca="1"/>
      </c>
      <c r="DX123">
        <f ca="1"/>
      </c>
      <c r="DY123">
        <f ca="1"/>
      </c>
      <c r="DZ123">
        <f ca="1"/>
      </c>
      <c r="EA123">
        <f ca="1"/>
      </c>
      <c r="EB123">
        <f ca="1"/>
      </c>
      <c r="EC123">
        <f ca="1"/>
      </c>
      <c r="ED123">
        <f ca="1"/>
      </c>
      <c r="EE123">
        <f ca="1"/>
      </c>
      <c r="EF123">
        <f ca="1"/>
      </c>
      <c r="EG123">
        <f ca="1"/>
      </c>
      <c r="EH123">
        <f ca="1"/>
      </c>
      <c r="EI123">
        <f ca="1"/>
      </c>
      <c r="EJ123">
        <f ca="1"/>
      </c>
      <c r="EK123">
        <f ca="1"/>
      </c>
      <c r="EL123">
        <f ca="1"/>
      </c>
      <c r="EM123">
        <f ca="1"/>
      </c>
      <c r="EN123">
        <f ca="1"/>
      </c>
      <c r="EO123">
        <f ca="1"/>
      </c>
      <c r="EP123">
        <f ca="1"/>
      </c>
      <c r="EQ123">
        <f ca="1"/>
      </c>
      <c r="ER123">
        <f ca="1"/>
      </c>
      <c r="ES123">
        <f ca="1"/>
      </c>
      <c r="ET123">
        <f ca="1"/>
      </c>
      <c r="EU123">
        <f ca="1"/>
      </c>
      <c r="EV123">
        <f ca="1"/>
      </c>
      <c r="EW123">
        <f ca="1"/>
      </c>
      <c r="EX123">
        <f ca="1"/>
      </c>
      <c r="EY123">
        <f ca="1"/>
      </c>
      <c r="EZ123">
        <f ca="1"/>
      </c>
      <c r="FA123">
        <f ca="1"/>
      </c>
      <c r="FC123">
        <f ca="1"/>
      </c>
      <c r="FD123">
        <f ca="1"/>
      </c>
      <c r="FE123">
        <f ca="1"/>
      </c>
      <c r="FF123">
        <f ca="1"/>
      </c>
      <c r="FG123">
        <f ca="1"/>
      </c>
      <c r="FH123">
        <f ca="1"/>
      </c>
      <c r="FI123">
        <f ca="1"/>
      </c>
      <c r="FJ123">
        <f ca="1"/>
      </c>
      <c r="FK123">
        <f ca="1"/>
      </c>
      <c r="FL123">
        <f ca="1"/>
      </c>
      <c r="FM123">
        <f ca="1"/>
      </c>
      <c r="FN123">
        <f ca="1"/>
      </c>
      <c r="FO123">
        <f ca="1"/>
      </c>
      <c r="FP123">
        <f ca="1"/>
      </c>
      <c r="FQ123">
        <f ca="1"/>
      </c>
      <c r="FR123">
        <f ca="1"/>
      </c>
      <c r="FS123">
        <f ca="1"/>
      </c>
      <c r="FT123">
        <f ca="1"/>
      </c>
      <c r="FU123">
        <f ca="1"/>
      </c>
      <c r="FV123">
        <f ca="1"/>
      </c>
      <c r="FW123">
        <f ca="1"/>
      </c>
      <c r="FX123">
        <f ca="1"/>
      </c>
      <c r="FY123">
        <f ca="1"/>
      </c>
      <c r="FZ123">
        <f ca="1"/>
      </c>
      <c r="GA123">
        <f ca="1"/>
      </c>
      <c r="GB123">
        <f ca="1"/>
      </c>
      <c r="GC123">
        <f ca="1"/>
      </c>
      <c r="GD123">
        <f ca="1"/>
      </c>
      <c r="GE123">
        <f ca="1"/>
      </c>
      <c r="GF123">
        <f ca="1"/>
      </c>
      <c r="GG123">
        <f ca="1"/>
      </c>
      <c r="GH123">
        <f ca="1"/>
      </c>
      <c r="GI123">
        <f ca="1"/>
      </c>
      <c r="GJ123">
        <f ca="1"/>
      </c>
      <c r="GK123">
        <f ca="1"/>
      </c>
      <c r="GL123">
        <f ca="1"/>
      </c>
      <c r="GM123">
        <f ca="1"/>
      </c>
      <c r="GN123">
        <f ca="1"/>
      </c>
      <c r="GO123">
        <f ca="1"/>
      </c>
      <c r="GP123">
        <f ca="1"/>
      </c>
      <c r="GQ123">
        <f ca="1"/>
      </c>
      <c r="GR123">
        <f ca="1"/>
      </c>
      <c r="GS123">
        <f ca="1"/>
      </c>
      <c r="GT123">
        <f ca="1"/>
      </c>
      <c r="GU123">
        <f ca="1"/>
      </c>
      <c r="GV123">
        <f ca="1"/>
      </c>
      <c r="GW123">
        <f ca="1"/>
      </c>
      <c r="HI123" s="7">
        <f ca="1"/>
      </c>
      <c r="HJ123">
        <f ca="1"/>
      </c>
      <c r="HK123">
        <f ca="1"/>
      </c>
      <c r="HL123">
        <f ca="1"/>
      </c>
      <c r="HM123">
        <f ca="1"/>
      </c>
    </row>
    <row r="124" spans="63:221" x14ac:dyDescent="0.55000000000000004">
      <c r="BK124">
        <f ca="1"/>
      </c>
      <c r="BL124">
        <f ca="1"/>
      </c>
      <c r="BM124">
        <f ca="1"/>
      </c>
      <c r="BN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  <c r="BV124">
        <f ca="1"/>
      </c>
      <c r="BW124">
        <f ca="1"/>
      </c>
      <c r="BX124">
        <f ca="1"/>
      </c>
      <c r="BY124">
        <f ca="1"/>
      </c>
      <c r="BZ124">
        <f ca="1"/>
      </c>
      <c r="CA124">
        <f ca="1"/>
      </c>
      <c r="CB124">
        <f ca="1"/>
      </c>
      <c r="CC124">
        <f ca="1"/>
      </c>
      <c r="CD124">
        <f ca="1"/>
      </c>
      <c r="CE124">
        <f ca="1"/>
      </c>
      <c r="CF124">
        <f ca="1"/>
      </c>
      <c r="CG124">
        <f ca="1"/>
      </c>
      <c r="CH124">
        <f ca="1"/>
      </c>
      <c r="CI124">
        <f ca="1"/>
      </c>
      <c r="CJ124">
        <f ca="1"/>
      </c>
      <c r="CK124">
        <f ca="1"/>
      </c>
      <c r="CL124">
        <f ca="1"/>
      </c>
      <c r="CM124">
        <f ca="1"/>
      </c>
      <c r="CN124">
        <f ca="1"/>
      </c>
      <c r="CO124">
        <f ca="1"/>
      </c>
      <c r="CP124">
        <f ca="1"/>
      </c>
      <c r="CQ124">
        <f ca="1"/>
      </c>
      <c r="CR124">
        <f ca="1"/>
      </c>
      <c r="CS124">
        <f ca="1"/>
      </c>
      <c r="CT124">
        <f ca="1"/>
      </c>
      <c r="CU124">
        <f ca="1"/>
      </c>
      <c r="CV124">
        <f ca="1"/>
      </c>
      <c r="CW124">
        <f ca="1"/>
      </c>
      <c r="CX124">
        <f ca="1"/>
      </c>
      <c r="CY124">
        <f ca="1"/>
      </c>
      <c r="CZ124">
        <f ca="1"/>
      </c>
      <c r="DA124">
        <f ca="1"/>
      </c>
      <c r="DB124">
        <f ca="1"/>
      </c>
      <c r="DC124">
        <f ca="1"/>
      </c>
      <c r="DD124">
        <f ca="1"/>
      </c>
      <c r="DE124">
        <f ca="1"/>
      </c>
      <c r="DG124">
        <f ca="1"/>
      </c>
      <c r="DH124">
        <f ca="1"/>
      </c>
      <c r="DI124">
        <f ca="1"/>
      </c>
      <c r="DJ124">
        <f ca="1"/>
      </c>
      <c r="DK124">
        <f ca="1"/>
      </c>
      <c r="DL124">
        <f ca="1"/>
      </c>
      <c r="DM124">
        <f ca="1"/>
      </c>
      <c r="DN124">
        <f ca="1"/>
      </c>
      <c r="DO124">
        <f ca="1"/>
      </c>
      <c r="DP124">
        <f ca="1"/>
      </c>
      <c r="DQ124">
        <f ca="1"/>
      </c>
      <c r="DR124">
        <f ca="1"/>
      </c>
      <c r="DS124">
        <f ca="1"/>
      </c>
      <c r="DT124">
        <f ca="1"/>
      </c>
      <c r="DU124">
        <f ca="1"/>
      </c>
      <c r="DV124">
        <f ca="1"/>
      </c>
      <c r="DW124">
        <f ca="1"/>
      </c>
      <c r="DX124">
        <f ca="1"/>
      </c>
      <c r="DY124">
        <f ca="1"/>
      </c>
      <c r="DZ124">
        <f ca="1"/>
      </c>
      <c r="EA124">
        <f ca="1"/>
      </c>
      <c r="EB124">
        <f ca="1"/>
      </c>
      <c r="EC124">
        <f ca="1"/>
      </c>
      <c r="ED124">
        <f ca="1"/>
      </c>
      <c r="EE124">
        <f ca="1"/>
      </c>
      <c r="EF124">
        <f ca="1"/>
      </c>
      <c r="EG124">
        <f ca="1"/>
      </c>
      <c r="EH124">
        <f ca="1"/>
      </c>
      <c r="EI124">
        <f ca="1"/>
      </c>
      <c r="EJ124">
        <f ca="1"/>
      </c>
      <c r="EK124">
        <f ca="1"/>
      </c>
      <c r="EL124">
        <f ca="1"/>
      </c>
      <c r="EM124">
        <f ca="1"/>
      </c>
      <c r="EN124">
        <f ca="1"/>
      </c>
      <c r="EO124">
        <f ca="1"/>
      </c>
      <c r="EP124">
        <f ca="1"/>
      </c>
      <c r="EQ124">
        <f ca="1"/>
      </c>
      <c r="ER124">
        <f ca="1"/>
      </c>
      <c r="ES124">
        <f ca="1"/>
      </c>
      <c r="ET124">
        <f ca="1"/>
      </c>
      <c r="EU124">
        <f ca="1"/>
      </c>
      <c r="EV124">
        <f ca="1"/>
      </c>
      <c r="EW124">
        <f ca="1"/>
      </c>
      <c r="EX124">
        <f ca="1"/>
      </c>
      <c r="EY124">
        <f ca="1"/>
      </c>
      <c r="EZ124">
        <f ca="1"/>
      </c>
      <c r="FA124">
        <f ca="1"/>
      </c>
      <c r="FC124">
        <f ca="1"/>
      </c>
      <c r="FD124">
        <f ca="1"/>
      </c>
      <c r="FE124">
        <f ca="1"/>
      </c>
      <c r="FF124">
        <f ca="1"/>
      </c>
      <c r="FG124">
        <f ca="1"/>
      </c>
      <c r="FH124">
        <f ca="1"/>
      </c>
      <c r="FI124">
        <f ca="1"/>
      </c>
      <c r="FJ124">
        <f ca="1"/>
      </c>
      <c r="FK124">
        <f ca="1"/>
      </c>
      <c r="FL124">
        <f ca="1"/>
      </c>
      <c r="FM124">
        <f ca="1"/>
      </c>
      <c r="FN124">
        <f ca="1"/>
      </c>
      <c r="FO124">
        <f ca="1"/>
      </c>
      <c r="FP124">
        <f ca="1"/>
      </c>
      <c r="FQ124">
        <f ca="1"/>
      </c>
      <c r="FR124">
        <f ca="1"/>
      </c>
      <c r="FS124">
        <f ca="1"/>
      </c>
      <c r="FT124">
        <f ca="1"/>
      </c>
      <c r="FU124">
        <f ca="1"/>
      </c>
      <c r="FV124">
        <f ca="1"/>
      </c>
      <c r="FW124">
        <f ca="1"/>
      </c>
      <c r="FX124">
        <f ca="1"/>
      </c>
      <c r="FY124">
        <f ca="1"/>
      </c>
      <c r="FZ124">
        <f ca="1"/>
      </c>
      <c r="GA124">
        <f ca="1"/>
      </c>
      <c r="GB124">
        <f ca="1"/>
      </c>
      <c r="GC124">
        <f ca="1"/>
      </c>
      <c r="GD124">
        <f ca="1"/>
      </c>
      <c r="GE124">
        <f ca="1"/>
      </c>
      <c r="GF124">
        <f ca="1"/>
      </c>
      <c r="GG124">
        <f ca="1"/>
      </c>
      <c r="GH124">
        <f ca="1"/>
      </c>
      <c r="GI124">
        <f ca="1"/>
      </c>
      <c r="GJ124">
        <f ca="1"/>
      </c>
      <c r="GK124">
        <f ca="1"/>
      </c>
      <c r="GL124">
        <f ca="1"/>
      </c>
      <c r="GM124">
        <f ca="1"/>
      </c>
      <c r="GN124">
        <f ca="1"/>
      </c>
      <c r="GO124">
        <f ca="1"/>
      </c>
      <c r="GP124">
        <f ca="1"/>
      </c>
      <c r="GQ124">
        <f ca="1"/>
      </c>
      <c r="GR124">
        <f ca="1"/>
      </c>
      <c r="GS124">
        <f ca="1"/>
      </c>
      <c r="GT124">
        <f ca="1"/>
      </c>
      <c r="GU124">
        <f ca="1"/>
      </c>
      <c r="GV124">
        <f ca="1"/>
      </c>
      <c r="GW124">
        <f ca="1"/>
      </c>
      <c r="HI124" s="7">
        <f ca="1"/>
      </c>
      <c r="HJ124">
        <f ca="1"/>
      </c>
      <c r="HK124">
        <f ca="1"/>
      </c>
      <c r="HL124">
        <f ca="1"/>
      </c>
      <c r="HM124">
        <f ca="1"/>
      </c>
    </row>
    <row r="125" spans="63:221" x14ac:dyDescent="0.55000000000000004">
      <c r="BK125">
        <f ca="1"/>
      </c>
      <c r="BL125">
        <f ca="1"/>
      </c>
      <c r="BM125">
        <f ca="1"/>
      </c>
      <c r="BN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  <c r="BV125">
        <f ca="1"/>
      </c>
      <c r="BW125">
        <f ca="1"/>
      </c>
      <c r="BX125">
        <f ca="1"/>
      </c>
      <c r="BY125">
        <f ca="1"/>
      </c>
      <c r="BZ125">
        <f ca="1"/>
      </c>
      <c r="CA125">
        <f ca="1"/>
      </c>
      <c r="CB125">
        <f ca="1"/>
      </c>
      <c r="CC125">
        <f ca="1"/>
      </c>
      <c r="CD125">
        <f ca="1"/>
      </c>
      <c r="CE125">
        <f ca="1"/>
      </c>
      <c r="CF125">
        <f ca="1"/>
      </c>
      <c r="CG125">
        <f ca="1"/>
      </c>
      <c r="CH125">
        <f ca="1"/>
      </c>
      <c r="CI125">
        <f ca="1"/>
      </c>
      <c r="CJ125">
        <f ca="1"/>
      </c>
      <c r="CK125">
        <f ca="1"/>
      </c>
      <c r="CL125">
        <f ca="1"/>
      </c>
      <c r="CM125">
        <f ca="1"/>
      </c>
      <c r="CN125">
        <f ca="1"/>
      </c>
      <c r="CO125">
        <f ca="1"/>
      </c>
      <c r="CP125">
        <f ca="1"/>
      </c>
      <c r="CQ125">
        <f ca="1"/>
      </c>
      <c r="CR125">
        <f ca="1"/>
      </c>
      <c r="CS125">
        <f ca="1"/>
      </c>
      <c r="CT125">
        <f ca="1"/>
      </c>
      <c r="CU125">
        <f ca="1"/>
      </c>
      <c r="CV125">
        <f ca="1"/>
      </c>
      <c r="CW125">
        <f ca="1"/>
      </c>
      <c r="CX125">
        <f ca="1"/>
      </c>
      <c r="CY125">
        <f ca="1"/>
      </c>
      <c r="CZ125">
        <f ca="1"/>
      </c>
      <c r="DA125">
        <f ca="1"/>
      </c>
      <c r="DB125">
        <f ca="1"/>
      </c>
      <c r="DC125">
        <f ca="1"/>
      </c>
      <c r="DD125">
        <f ca="1"/>
      </c>
      <c r="DE125">
        <f ca="1"/>
      </c>
      <c r="DG125">
        <f ca="1"/>
      </c>
      <c r="DH125">
        <f ca="1"/>
      </c>
      <c r="DI125">
        <f ca="1"/>
      </c>
      <c r="DJ125">
        <f ca="1"/>
      </c>
      <c r="DK125">
        <f ca="1"/>
      </c>
      <c r="DL125">
        <f ca="1"/>
      </c>
      <c r="DM125">
        <f ca="1"/>
      </c>
      <c r="DN125">
        <f ca="1"/>
      </c>
      <c r="DO125">
        <f ca="1"/>
      </c>
      <c r="DP125">
        <f ca="1"/>
      </c>
      <c r="DQ125">
        <f ca="1"/>
      </c>
      <c r="DR125">
        <f ca="1"/>
      </c>
      <c r="DS125">
        <f ca="1"/>
      </c>
      <c r="DT125">
        <f ca="1"/>
      </c>
      <c r="DU125">
        <f ca="1"/>
      </c>
      <c r="DV125">
        <f ca="1"/>
      </c>
      <c r="DW125">
        <f ca="1"/>
      </c>
      <c r="DX125">
        <f ca="1"/>
      </c>
      <c r="DY125">
        <f ca="1"/>
      </c>
      <c r="DZ125">
        <f ca="1"/>
      </c>
      <c r="EA125">
        <f ca="1"/>
      </c>
      <c r="EB125">
        <f ca="1"/>
      </c>
      <c r="EC125">
        <f ca="1"/>
      </c>
      <c r="ED125">
        <f ca="1"/>
      </c>
      <c r="EE125">
        <f ca="1"/>
      </c>
      <c r="EF125">
        <f ca="1"/>
      </c>
      <c r="EG125">
        <f ca="1"/>
      </c>
      <c r="EH125">
        <f ca="1"/>
      </c>
      <c r="EI125">
        <f ca="1"/>
      </c>
      <c r="EJ125">
        <f ca="1"/>
      </c>
      <c r="EK125">
        <f ca="1"/>
      </c>
      <c r="EL125">
        <f ca="1"/>
      </c>
      <c r="EM125">
        <f ca="1"/>
      </c>
      <c r="EN125">
        <f ca="1"/>
      </c>
      <c r="EO125">
        <f ca="1"/>
      </c>
      <c r="EP125">
        <f ca="1"/>
      </c>
      <c r="EQ125">
        <f ca="1"/>
      </c>
      <c r="ER125">
        <f ca="1"/>
      </c>
      <c r="ES125">
        <f ca="1"/>
      </c>
      <c r="ET125">
        <f ca="1"/>
      </c>
      <c r="EU125">
        <f ca="1"/>
      </c>
      <c r="EV125">
        <f ca="1"/>
      </c>
      <c r="EW125">
        <f ca="1"/>
      </c>
      <c r="EX125">
        <f ca="1"/>
      </c>
      <c r="EY125">
        <f ca="1"/>
      </c>
      <c r="EZ125">
        <f ca="1"/>
      </c>
      <c r="FA125">
        <f ca="1"/>
      </c>
      <c r="FC125">
        <f ca="1"/>
      </c>
      <c r="FD125">
        <f ca="1"/>
      </c>
      <c r="FE125">
        <f ca="1"/>
      </c>
      <c r="FF125">
        <f ca="1"/>
      </c>
      <c r="FG125">
        <f ca="1"/>
      </c>
      <c r="FH125">
        <f ca="1"/>
      </c>
      <c r="FI125">
        <f ca="1"/>
      </c>
      <c r="FJ125">
        <f ca="1"/>
      </c>
      <c r="FK125">
        <f ca="1"/>
      </c>
      <c r="FL125">
        <f ca="1"/>
      </c>
      <c r="FM125">
        <f ca="1"/>
      </c>
      <c r="FN125">
        <f ca="1"/>
      </c>
      <c r="FO125">
        <f ca="1"/>
      </c>
      <c r="FP125">
        <f ca="1"/>
      </c>
      <c r="FQ125">
        <f ca="1"/>
      </c>
      <c r="FR125">
        <f ca="1"/>
      </c>
      <c r="FS125">
        <f ca="1"/>
      </c>
      <c r="FT125">
        <f ca="1"/>
      </c>
      <c r="FU125">
        <f ca="1"/>
      </c>
      <c r="FV125">
        <f ca="1"/>
      </c>
      <c r="FW125">
        <f ca="1"/>
      </c>
      <c r="FX125">
        <f ca="1"/>
      </c>
      <c r="FY125">
        <f ca="1"/>
      </c>
      <c r="FZ125">
        <f ca="1"/>
      </c>
      <c r="GA125">
        <f ca="1"/>
      </c>
      <c r="GB125">
        <f ca="1"/>
      </c>
      <c r="GC125">
        <f ca="1"/>
      </c>
      <c r="GD125">
        <f ca="1"/>
      </c>
      <c r="GE125">
        <f ca="1"/>
      </c>
      <c r="GF125">
        <f ca="1"/>
      </c>
      <c r="GG125">
        <f ca="1"/>
      </c>
      <c r="GH125">
        <f ca="1"/>
      </c>
      <c r="GI125">
        <f ca="1"/>
      </c>
      <c r="GJ125">
        <f ca="1"/>
      </c>
      <c r="GK125">
        <f ca="1"/>
      </c>
      <c r="GL125">
        <f ca="1"/>
      </c>
      <c r="GM125">
        <f ca="1"/>
      </c>
      <c r="GN125">
        <f ca="1"/>
      </c>
      <c r="GO125">
        <f ca="1"/>
      </c>
      <c r="GP125">
        <f ca="1"/>
      </c>
      <c r="GQ125">
        <f ca="1"/>
      </c>
      <c r="GR125">
        <f ca="1"/>
      </c>
      <c r="GS125">
        <f ca="1"/>
      </c>
      <c r="GT125">
        <f ca="1"/>
      </c>
      <c r="GU125">
        <f ca="1"/>
      </c>
      <c r="GV125">
        <f ca="1"/>
      </c>
      <c r="GW125">
        <f ca="1"/>
      </c>
      <c r="HI125" s="7">
        <f ca="1"/>
      </c>
      <c r="HJ125">
        <f ca="1"/>
      </c>
      <c r="HK125">
        <f ca="1"/>
      </c>
      <c r="HL125">
        <f ca="1"/>
      </c>
      <c r="HM125">
        <f ca="1"/>
      </c>
    </row>
    <row r="126" spans="63:221" x14ac:dyDescent="0.55000000000000004">
      <c r="BK126">
        <f ca="1"/>
      </c>
      <c r="BL126">
        <f ca="1"/>
      </c>
      <c r="BM126">
        <f ca="1"/>
      </c>
      <c r="BN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  <c r="BV126">
        <f ca="1"/>
      </c>
      <c r="BW126">
        <f ca="1"/>
      </c>
      <c r="BX126">
        <f ca="1"/>
      </c>
      <c r="BY126">
        <f ca="1"/>
      </c>
      <c r="BZ126">
        <f ca="1"/>
      </c>
      <c r="CA126">
        <f ca="1"/>
      </c>
      <c r="CB126">
        <f ca="1"/>
      </c>
      <c r="CC126">
        <f ca="1"/>
      </c>
      <c r="CD126">
        <f ca="1"/>
      </c>
      <c r="CE126">
        <f ca="1"/>
      </c>
      <c r="CF126">
        <f ca="1"/>
      </c>
      <c r="CG126">
        <f ca="1"/>
      </c>
      <c r="CH126">
        <f ca="1"/>
      </c>
      <c r="CI126">
        <f ca="1"/>
      </c>
      <c r="CJ126">
        <f ca="1"/>
      </c>
      <c r="CK126">
        <f ca="1"/>
      </c>
      <c r="CL126">
        <f ca="1"/>
      </c>
      <c r="CM126">
        <f ca="1"/>
      </c>
      <c r="CN126">
        <f ca="1"/>
      </c>
      <c r="CO126">
        <f ca="1"/>
      </c>
      <c r="CP126">
        <f ca="1"/>
      </c>
      <c r="CQ126">
        <f ca="1"/>
      </c>
      <c r="CR126">
        <f ca="1"/>
      </c>
      <c r="CS126">
        <f ca="1"/>
      </c>
      <c r="CT126">
        <f ca="1"/>
      </c>
      <c r="CU126">
        <f ca="1"/>
      </c>
      <c r="CV126">
        <f ca="1"/>
      </c>
      <c r="CW126">
        <f ca="1"/>
      </c>
      <c r="CX126">
        <f ca="1"/>
      </c>
      <c r="CY126">
        <f ca="1"/>
      </c>
      <c r="CZ126">
        <f ca="1"/>
      </c>
      <c r="DA126">
        <f ca="1"/>
      </c>
      <c r="DB126">
        <f ca="1"/>
      </c>
      <c r="DC126">
        <f ca="1"/>
      </c>
      <c r="DD126">
        <f ca="1"/>
      </c>
      <c r="DE126">
        <f ca="1"/>
      </c>
      <c r="DG126">
        <f ca="1"/>
      </c>
      <c r="DH126">
        <f ca="1"/>
      </c>
      <c r="DI126">
        <f ca="1"/>
      </c>
      <c r="DJ126">
        <f ca="1"/>
      </c>
      <c r="DK126">
        <f ca="1"/>
      </c>
      <c r="DL126">
        <f ca="1"/>
      </c>
      <c r="DM126">
        <f ca="1"/>
      </c>
      <c r="DN126">
        <f ca="1"/>
      </c>
      <c r="DO126">
        <f ca="1"/>
      </c>
      <c r="DP126">
        <f ca="1"/>
      </c>
      <c r="DQ126">
        <f ca="1"/>
      </c>
      <c r="DR126">
        <f ca="1"/>
      </c>
      <c r="DS126">
        <f ca="1"/>
      </c>
      <c r="DT126">
        <f ca="1"/>
      </c>
      <c r="DU126">
        <f ca="1"/>
      </c>
      <c r="DV126">
        <f ca="1"/>
      </c>
      <c r="DW126">
        <f ca="1"/>
      </c>
      <c r="DX126">
        <f ca="1"/>
      </c>
      <c r="DY126">
        <f ca="1"/>
      </c>
      <c r="DZ126">
        <f ca="1"/>
      </c>
      <c r="EA126">
        <f ca="1"/>
      </c>
      <c r="EB126">
        <f ca="1"/>
      </c>
      <c r="EC126">
        <f ca="1"/>
      </c>
      <c r="ED126">
        <f ca="1"/>
      </c>
      <c r="EE126">
        <f ca="1"/>
      </c>
      <c r="EF126">
        <f ca="1"/>
      </c>
      <c r="EG126">
        <f ca="1"/>
      </c>
      <c r="EH126">
        <f ca="1"/>
      </c>
      <c r="EI126">
        <f ca="1"/>
      </c>
      <c r="EJ126">
        <f ca="1"/>
      </c>
      <c r="EK126">
        <f ca="1"/>
      </c>
      <c r="EL126">
        <f ca="1"/>
      </c>
      <c r="EM126">
        <f ca="1"/>
      </c>
      <c r="EN126">
        <f ca="1"/>
      </c>
      <c r="EO126">
        <f ca="1"/>
      </c>
      <c r="EP126">
        <f ca="1"/>
      </c>
      <c r="EQ126">
        <f ca="1"/>
      </c>
      <c r="ER126">
        <f ca="1"/>
      </c>
      <c r="ES126">
        <f ca="1"/>
      </c>
      <c r="ET126">
        <f ca="1"/>
      </c>
      <c r="EU126">
        <f ca="1"/>
      </c>
      <c r="EV126">
        <f ca="1"/>
      </c>
      <c r="EW126">
        <f ca="1"/>
      </c>
      <c r="EX126">
        <f ca="1"/>
      </c>
      <c r="EY126">
        <f ca="1"/>
      </c>
      <c r="EZ126">
        <f ca="1"/>
      </c>
      <c r="FA126">
        <f ca="1"/>
      </c>
      <c r="FC126">
        <f ca="1"/>
      </c>
      <c r="FD126">
        <f ca="1"/>
      </c>
      <c r="FE126">
        <f ca="1"/>
      </c>
      <c r="FF126">
        <f ca="1"/>
      </c>
      <c r="FG126">
        <f ca="1"/>
      </c>
      <c r="FH126">
        <f ca="1"/>
      </c>
      <c r="FI126">
        <f ca="1"/>
      </c>
      <c r="FJ126">
        <f ca="1"/>
      </c>
      <c r="FK126">
        <f ca="1"/>
      </c>
      <c r="FL126">
        <f ca="1"/>
      </c>
      <c r="FM126">
        <f ca="1"/>
      </c>
      <c r="FN126">
        <f ca="1"/>
      </c>
      <c r="FO126">
        <f ca="1"/>
      </c>
      <c r="FP126">
        <f ca="1"/>
      </c>
      <c r="FQ126">
        <f ca="1"/>
      </c>
      <c r="FR126">
        <f ca="1"/>
      </c>
      <c r="FS126">
        <f ca="1"/>
      </c>
      <c r="FT126">
        <f ca="1"/>
      </c>
      <c r="FU126">
        <f ca="1"/>
      </c>
      <c r="FV126">
        <f ca="1"/>
      </c>
      <c r="FW126">
        <f ca="1"/>
      </c>
      <c r="FX126">
        <f ca="1"/>
      </c>
      <c r="FY126">
        <f ca="1"/>
      </c>
      <c r="FZ126">
        <f ca="1"/>
      </c>
      <c r="GA126">
        <f ca="1"/>
      </c>
      <c r="GB126">
        <f ca="1"/>
      </c>
      <c r="GC126">
        <f ca="1"/>
      </c>
      <c r="GD126">
        <f ca="1"/>
      </c>
      <c r="GE126">
        <f ca="1"/>
      </c>
      <c r="GF126">
        <f ca="1"/>
      </c>
      <c r="GG126">
        <f ca="1"/>
      </c>
      <c r="GH126">
        <f ca="1"/>
      </c>
      <c r="GI126">
        <f ca="1"/>
      </c>
      <c r="GJ126">
        <f ca="1"/>
      </c>
      <c r="GK126">
        <f ca="1"/>
      </c>
      <c r="GL126">
        <f ca="1"/>
      </c>
      <c r="GM126">
        <f ca="1"/>
      </c>
      <c r="GN126">
        <f ca="1"/>
      </c>
      <c r="GO126">
        <f ca="1"/>
      </c>
      <c r="GP126">
        <f ca="1"/>
      </c>
      <c r="GQ126">
        <f ca="1"/>
      </c>
      <c r="GR126">
        <f ca="1"/>
      </c>
      <c r="GS126">
        <f ca="1"/>
      </c>
      <c r="GT126">
        <f ca="1"/>
      </c>
      <c r="GU126">
        <f ca="1"/>
      </c>
      <c r="GV126">
        <f ca="1"/>
      </c>
      <c r="GW126">
        <f ca="1"/>
      </c>
      <c r="HI126" s="7">
        <f ca="1"/>
      </c>
      <c r="HJ126">
        <f ca="1"/>
      </c>
      <c r="HK126">
        <f ca="1"/>
      </c>
      <c r="HL126">
        <f ca="1"/>
      </c>
      <c r="HM126">
        <f ca="1"/>
      </c>
    </row>
    <row r="127" spans="63:221" x14ac:dyDescent="0.55000000000000004">
      <c r="BK127">
        <f ca="1"/>
      </c>
      <c r="BL127">
        <f ca="1"/>
      </c>
      <c r="BM127">
        <f ca="1"/>
      </c>
      <c r="BN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  <c r="BV127">
        <f ca="1"/>
      </c>
      <c r="BW127">
        <f ca="1"/>
      </c>
      <c r="BX127">
        <f ca="1"/>
      </c>
      <c r="BY127">
        <f ca="1"/>
      </c>
      <c r="BZ127">
        <f ca="1"/>
      </c>
      <c r="CA127">
        <f ca="1"/>
      </c>
      <c r="CB127">
        <f ca="1"/>
      </c>
      <c r="CC127">
        <f ca="1"/>
      </c>
      <c r="CD127">
        <f ca="1"/>
      </c>
      <c r="CE127">
        <f ca="1"/>
      </c>
      <c r="CF127">
        <f ca="1"/>
      </c>
      <c r="CG127">
        <f ca="1"/>
      </c>
      <c r="CH127">
        <f ca="1"/>
      </c>
      <c r="CI127">
        <f ca="1"/>
      </c>
      <c r="CJ127">
        <f ca="1"/>
      </c>
      <c r="CK127">
        <f ca="1"/>
      </c>
      <c r="CL127">
        <f ca="1"/>
      </c>
      <c r="CM127">
        <f ca="1"/>
      </c>
      <c r="CN127">
        <f ca="1"/>
      </c>
      <c r="CO127">
        <f ca="1"/>
      </c>
      <c r="CP127">
        <f ca="1"/>
      </c>
      <c r="CQ127">
        <f ca="1"/>
      </c>
      <c r="CR127">
        <f ca="1"/>
      </c>
      <c r="CS127">
        <f ca="1"/>
      </c>
      <c r="CT127">
        <f ca="1"/>
      </c>
      <c r="CU127">
        <f ca="1"/>
      </c>
      <c r="CV127">
        <f ca="1"/>
      </c>
      <c r="CW127">
        <f ca="1"/>
      </c>
      <c r="CX127">
        <f ca="1"/>
      </c>
      <c r="CY127">
        <f ca="1"/>
      </c>
      <c r="CZ127">
        <f ca="1"/>
      </c>
      <c r="DA127">
        <f ca="1"/>
      </c>
      <c r="DB127">
        <f ca="1"/>
      </c>
      <c r="DC127">
        <f ca="1"/>
      </c>
      <c r="DD127">
        <f ca="1"/>
      </c>
      <c r="DE127">
        <f ca="1"/>
      </c>
      <c r="DG127">
        <f ca="1"/>
      </c>
      <c r="DH127">
        <f ca="1"/>
      </c>
      <c r="DI127">
        <f ca="1"/>
      </c>
      <c r="DJ127">
        <f ca="1"/>
      </c>
      <c r="DK127">
        <f ca="1"/>
      </c>
      <c r="DL127">
        <f ca="1"/>
      </c>
      <c r="DM127">
        <f ca="1"/>
      </c>
      <c r="DN127">
        <f ca="1"/>
      </c>
      <c r="DO127">
        <f ca="1"/>
      </c>
      <c r="DP127">
        <f ca="1"/>
      </c>
      <c r="DQ127">
        <f ca="1"/>
      </c>
      <c r="DR127">
        <f ca="1"/>
      </c>
      <c r="DS127">
        <f ca="1"/>
      </c>
      <c r="DT127">
        <f ca="1"/>
      </c>
      <c r="DU127">
        <f ca="1"/>
      </c>
      <c r="DV127">
        <f ca="1"/>
      </c>
      <c r="DW127">
        <f ca="1"/>
      </c>
      <c r="DX127">
        <f ca="1"/>
      </c>
      <c r="DY127">
        <f ca="1"/>
      </c>
      <c r="DZ127">
        <f ca="1"/>
      </c>
      <c r="EA127">
        <f ca="1"/>
      </c>
      <c r="EB127">
        <f ca="1"/>
      </c>
      <c r="EC127">
        <f ca="1"/>
      </c>
      <c r="ED127">
        <f ca="1"/>
      </c>
      <c r="EE127">
        <f ca="1"/>
      </c>
      <c r="EF127">
        <f ca="1"/>
      </c>
      <c r="EG127">
        <f ca="1"/>
      </c>
      <c r="EH127">
        <f ca="1"/>
      </c>
      <c r="EI127">
        <f ca="1"/>
      </c>
      <c r="EJ127">
        <f ca="1"/>
      </c>
      <c r="EK127">
        <f ca="1"/>
      </c>
      <c r="EL127">
        <f ca="1"/>
      </c>
      <c r="EM127">
        <f ca="1"/>
      </c>
      <c r="EN127">
        <f ca="1"/>
      </c>
      <c r="EO127">
        <f ca="1"/>
      </c>
      <c r="EP127">
        <f ca="1"/>
      </c>
      <c r="EQ127">
        <f ca="1"/>
      </c>
      <c r="ER127">
        <f ca="1"/>
      </c>
      <c r="ES127">
        <f ca="1"/>
      </c>
      <c r="ET127">
        <f ca="1"/>
      </c>
      <c r="EU127">
        <f ca="1"/>
      </c>
      <c r="EV127">
        <f ca="1"/>
      </c>
      <c r="EW127">
        <f ca="1"/>
      </c>
      <c r="EX127">
        <f ca="1"/>
      </c>
      <c r="EY127">
        <f ca="1"/>
      </c>
      <c r="EZ127">
        <f ca="1"/>
      </c>
      <c r="FA127">
        <f ca="1"/>
      </c>
      <c r="FC127">
        <f ca="1"/>
      </c>
      <c r="FD127">
        <f ca="1"/>
      </c>
      <c r="FE127">
        <f ca="1"/>
      </c>
      <c r="FF127">
        <f ca="1"/>
      </c>
      <c r="FG127">
        <f ca="1"/>
      </c>
      <c r="FH127">
        <f ca="1"/>
      </c>
      <c r="FI127">
        <f ca="1"/>
      </c>
      <c r="FJ127">
        <f ca="1"/>
      </c>
      <c r="FK127">
        <f ca="1"/>
      </c>
      <c r="FL127">
        <f ca="1"/>
      </c>
      <c r="FM127">
        <f ca="1"/>
      </c>
      <c r="FN127">
        <f ca="1"/>
      </c>
      <c r="FO127">
        <f ca="1"/>
      </c>
      <c r="FP127">
        <f ca="1"/>
      </c>
      <c r="FQ127">
        <f ca="1"/>
      </c>
      <c r="FR127">
        <f ca="1"/>
      </c>
      <c r="FS127">
        <f ca="1"/>
      </c>
      <c r="FT127">
        <f ca="1"/>
      </c>
      <c r="FU127">
        <f ca="1"/>
      </c>
      <c r="FV127">
        <f ca="1"/>
      </c>
      <c r="FW127">
        <f ca="1"/>
      </c>
      <c r="FX127">
        <f ca="1"/>
      </c>
      <c r="FY127">
        <f ca="1"/>
      </c>
      <c r="FZ127">
        <f ca="1"/>
      </c>
      <c r="GA127">
        <f ca="1"/>
      </c>
      <c r="GB127">
        <f ca="1"/>
      </c>
      <c r="GC127">
        <f ca="1"/>
      </c>
      <c r="GD127">
        <f ca="1"/>
      </c>
      <c r="GE127">
        <f ca="1"/>
      </c>
      <c r="GF127">
        <f ca="1"/>
      </c>
      <c r="GG127">
        <f ca="1"/>
      </c>
      <c r="GH127">
        <f ca="1"/>
      </c>
      <c r="GI127">
        <f ca="1"/>
      </c>
      <c r="GJ127">
        <f ca="1"/>
      </c>
      <c r="GK127">
        <f ca="1"/>
      </c>
      <c r="GL127">
        <f ca="1"/>
      </c>
      <c r="GM127">
        <f ca="1"/>
      </c>
      <c r="GN127">
        <f ca="1"/>
      </c>
      <c r="GO127">
        <f ca="1"/>
      </c>
      <c r="GP127">
        <f ca="1"/>
      </c>
      <c r="GQ127">
        <f ca="1"/>
      </c>
      <c r="GR127">
        <f ca="1"/>
      </c>
      <c r="GS127">
        <f ca="1"/>
      </c>
      <c r="GT127">
        <f ca="1"/>
      </c>
      <c r="GU127">
        <f ca="1"/>
      </c>
      <c r="GV127">
        <f ca="1"/>
      </c>
      <c r="GW127">
        <f ca="1"/>
      </c>
      <c r="HI127" s="7">
        <f ca="1"/>
      </c>
      <c r="HJ127">
        <f ca="1"/>
      </c>
      <c r="HK127">
        <f ca="1"/>
      </c>
      <c r="HL127">
        <f ca="1"/>
      </c>
      <c r="HM127">
        <f ca="1"/>
      </c>
    </row>
    <row r="128" spans="63:221" x14ac:dyDescent="0.55000000000000004">
      <c r="BK128">
        <f ca="1"/>
      </c>
      <c r="BL128">
        <f ca="1"/>
      </c>
      <c r="BM128">
        <f ca="1"/>
      </c>
      <c r="BN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  <c r="BV128">
        <f ca="1"/>
      </c>
      <c r="BW128">
        <f ca="1"/>
      </c>
      <c r="BX128">
        <f ca="1"/>
      </c>
      <c r="BY128">
        <f ca="1"/>
      </c>
      <c r="BZ128">
        <f ca="1"/>
      </c>
      <c r="CA128">
        <f ca="1"/>
      </c>
      <c r="CB128">
        <f ca="1"/>
      </c>
      <c r="CC128">
        <f ca="1"/>
      </c>
      <c r="CD128">
        <f ca="1"/>
      </c>
      <c r="CE128">
        <f ca="1"/>
      </c>
      <c r="CF128">
        <f ca="1"/>
      </c>
      <c r="CG128">
        <f ca="1"/>
      </c>
      <c r="CH128">
        <f ca="1"/>
      </c>
      <c r="CI128">
        <f ca="1"/>
      </c>
      <c r="CJ128">
        <f ca="1"/>
      </c>
      <c r="CK128">
        <f ca="1"/>
      </c>
      <c r="CL128">
        <f ca="1"/>
      </c>
      <c r="CM128">
        <f ca="1"/>
      </c>
      <c r="CN128">
        <f ca="1"/>
      </c>
      <c r="CO128">
        <f ca="1"/>
      </c>
      <c r="CP128">
        <f ca="1"/>
      </c>
      <c r="CQ128">
        <f ca="1"/>
      </c>
      <c r="CR128">
        <f ca="1"/>
      </c>
      <c r="CS128">
        <f ca="1"/>
      </c>
      <c r="CT128">
        <f ca="1"/>
      </c>
      <c r="CU128">
        <f ca="1"/>
      </c>
      <c r="CV128">
        <f ca="1"/>
      </c>
      <c r="CW128">
        <f ca="1"/>
      </c>
      <c r="CX128">
        <f ca="1"/>
      </c>
      <c r="CY128">
        <f ca="1"/>
      </c>
      <c r="CZ128">
        <f ca="1"/>
      </c>
      <c r="DA128">
        <f ca="1"/>
      </c>
      <c r="DB128">
        <f ca="1"/>
      </c>
      <c r="DC128">
        <f ca="1"/>
      </c>
      <c r="DD128">
        <f ca="1"/>
      </c>
      <c r="DE128">
        <f ca="1"/>
      </c>
      <c r="DG128">
        <f ca="1"/>
      </c>
      <c r="DH128">
        <f ca="1"/>
      </c>
      <c r="DI128">
        <f ca="1"/>
      </c>
      <c r="DJ128">
        <f ca="1"/>
      </c>
      <c r="DK128">
        <f ca="1"/>
      </c>
      <c r="DL128">
        <f ca="1"/>
      </c>
      <c r="DM128">
        <f ca="1"/>
      </c>
      <c r="DN128">
        <f ca="1"/>
      </c>
      <c r="DO128">
        <f ca="1"/>
      </c>
      <c r="DP128">
        <f ca="1"/>
      </c>
      <c r="DQ128">
        <f ca="1"/>
      </c>
      <c r="DR128">
        <f ca="1"/>
      </c>
      <c r="DS128">
        <f ca="1"/>
      </c>
      <c r="DT128">
        <f ca="1"/>
      </c>
      <c r="DU128">
        <f ca="1"/>
      </c>
      <c r="DV128">
        <f ca="1"/>
      </c>
      <c r="DW128">
        <f ca="1"/>
      </c>
      <c r="DX128">
        <f ca="1"/>
      </c>
      <c r="DY128">
        <f ca="1"/>
      </c>
      <c r="DZ128">
        <f ca="1"/>
      </c>
      <c r="EA128">
        <f ca="1"/>
      </c>
      <c r="EB128">
        <f ca="1"/>
      </c>
      <c r="EC128">
        <f ca="1"/>
      </c>
      <c r="ED128">
        <f ca="1"/>
      </c>
      <c r="EE128">
        <f ca="1"/>
      </c>
      <c r="EF128">
        <f ca="1"/>
      </c>
      <c r="EG128">
        <f ca="1"/>
      </c>
      <c r="EH128">
        <f ca="1"/>
      </c>
      <c r="EI128">
        <f ca="1"/>
      </c>
      <c r="EJ128">
        <f ca="1"/>
      </c>
      <c r="EK128">
        <f ca="1"/>
      </c>
      <c r="EL128">
        <f ca="1"/>
      </c>
      <c r="EM128">
        <f ca="1"/>
      </c>
      <c r="EN128">
        <f ca="1"/>
      </c>
      <c r="EO128">
        <f ca="1"/>
      </c>
      <c r="EP128">
        <f ca="1"/>
      </c>
      <c r="EQ128">
        <f ca="1"/>
      </c>
      <c r="ER128">
        <f ca="1"/>
      </c>
      <c r="ES128">
        <f ca="1"/>
      </c>
      <c r="ET128">
        <f ca="1"/>
      </c>
      <c r="EU128">
        <f ca="1"/>
      </c>
      <c r="EV128">
        <f ca="1"/>
      </c>
      <c r="EW128">
        <f ca="1"/>
      </c>
      <c r="EX128">
        <f ca="1"/>
      </c>
      <c r="EY128">
        <f ca="1"/>
      </c>
      <c r="EZ128">
        <f ca="1"/>
      </c>
      <c r="FA128">
        <f ca="1"/>
      </c>
      <c r="FC128">
        <f ca="1"/>
      </c>
      <c r="FD128">
        <f ca="1"/>
      </c>
      <c r="FE128">
        <f ca="1"/>
      </c>
      <c r="FF128">
        <f ca="1"/>
      </c>
      <c r="FG128">
        <f ca="1"/>
      </c>
      <c r="FH128">
        <f ca="1"/>
      </c>
      <c r="FI128">
        <f ca="1"/>
      </c>
      <c r="FJ128">
        <f ca="1"/>
      </c>
      <c r="FK128">
        <f ca="1"/>
      </c>
      <c r="FL128">
        <f ca="1"/>
      </c>
      <c r="FM128">
        <f ca="1"/>
      </c>
      <c r="FN128">
        <f ca="1"/>
      </c>
      <c r="FO128">
        <f ca="1"/>
      </c>
      <c r="FP128">
        <f ca="1"/>
      </c>
      <c r="FQ128">
        <f ca="1"/>
      </c>
      <c r="FR128">
        <f ca="1"/>
      </c>
      <c r="FS128">
        <f ca="1"/>
      </c>
      <c r="FT128">
        <f ca="1"/>
      </c>
      <c r="FU128">
        <f ca="1"/>
      </c>
      <c r="FV128">
        <f ca="1"/>
      </c>
      <c r="FW128">
        <f ca="1"/>
      </c>
      <c r="FX128">
        <f ca="1"/>
      </c>
      <c r="FY128">
        <f ca="1"/>
      </c>
      <c r="FZ128">
        <f ca="1"/>
      </c>
      <c r="GA128">
        <f ca="1"/>
      </c>
      <c r="GB128">
        <f ca="1"/>
      </c>
      <c r="GC128">
        <f ca="1"/>
      </c>
      <c r="GD128">
        <f ca="1"/>
      </c>
      <c r="GE128">
        <f ca="1"/>
      </c>
      <c r="GF128">
        <f ca="1"/>
      </c>
      <c r="GG128">
        <f ca="1"/>
      </c>
      <c r="GH128">
        <f ca="1"/>
      </c>
      <c r="GI128">
        <f ca="1"/>
      </c>
      <c r="GJ128">
        <f ca="1"/>
      </c>
      <c r="GK128">
        <f ca="1"/>
      </c>
      <c r="GL128">
        <f ca="1"/>
      </c>
      <c r="GM128">
        <f ca="1"/>
      </c>
      <c r="GN128">
        <f ca="1"/>
      </c>
      <c r="GO128">
        <f ca="1"/>
      </c>
      <c r="GP128">
        <f ca="1"/>
      </c>
      <c r="GQ128">
        <f ca="1"/>
      </c>
      <c r="GR128">
        <f ca="1"/>
      </c>
      <c r="GS128">
        <f ca="1"/>
      </c>
      <c r="GT128">
        <f ca="1"/>
      </c>
      <c r="GU128">
        <f ca="1"/>
      </c>
      <c r="GV128">
        <f ca="1"/>
      </c>
      <c r="GW128">
        <f ca="1"/>
      </c>
      <c r="HI128" s="7">
        <f ca="1"/>
      </c>
      <c r="HJ128">
        <f ca="1"/>
      </c>
      <c r="HK128">
        <f ca="1"/>
      </c>
      <c r="HL128">
        <f ca="1"/>
      </c>
      <c r="HM128">
        <f ca="1"/>
      </c>
    </row>
    <row r="129" spans="63:221" x14ac:dyDescent="0.55000000000000004">
      <c r="BK129">
        <f ca="1"/>
      </c>
      <c r="BL129">
        <f ca="1"/>
      </c>
      <c r="BM129">
        <f ca="1"/>
      </c>
      <c r="BN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  <c r="BV129">
        <f ca="1"/>
      </c>
      <c r="BW129">
        <f ca="1"/>
      </c>
      <c r="BX129">
        <f ca="1"/>
      </c>
      <c r="BY129">
        <f ca="1"/>
      </c>
      <c r="BZ129">
        <f ca="1"/>
      </c>
      <c r="CA129">
        <f ca="1"/>
      </c>
      <c r="CB129">
        <f ca="1"/>
      </c>
      <c r="CC129">
        <f ca="1"/>
      </c>
      <c r="CD129">
        <f ca="1"/>
      </c>
      <c r="CE129">
        <f ca="1"/>
      </c>
      <c r="CF129">
        <f ca="1"/>
      </c>
      <c r="CG129">
        <f ca="1"/>
      </c>
      <c r="CH129">
        <f ca="1"/>
      </c>
      <c r="CI129">
        <f ca="1"/>
      </c>
      <c r="CJ129">
        <f ca="1"/>
      </c>
      <c r="CK129">
        <f ca="1"/>
      </c>
      <c r="CL129">
        <f ca="1"/>
      </c>
      <c r="CM129">
        <f ca="1"/>
      </c>
      <c r="CN129">
        <f ca="1"/>
      </c>
      <c r="CO129">
        <f ca="1"/>
      </c>
      <c r="CP129">
        <f ca="1"/>
      </c>
      <c r="CQ129">
        <f ca="1"/>
      </c>
      <c r="CR129">
        <f ca="1"/>
      </c>
      <c r="CS129">
        <f ca="1"/>
      </c>
      <c r="CT129">
        <f ca="1"/>
      </c>
      <c r="CU129">
        <f ca="1"/>
      </c>
      <c r="CV129">
        <f ca="1"/>
      </c>
      <c r="CW129">
        <f ca="1"/>
      </c>
      <c r="CX129">
        <f ca="1"/>
      </c>
      <c r="CY129">
        <f ca="1"/>
      </c>
      <c r="CZ129">
        <f ca="1"/>
      </c>
      <c r="DA129">
        <f ca="1"/>
      </c>
      <c r="DB129">
        <f ca="1"/>
      </c>
      <c r="DC129">
        <f ca="1"/>
      </c>
      <c r="DD129">
        <f ca="1"/>
      </c>
      <c r="DE129">
        <f ca="1"/>
      </c>
      <c r="DG129">
        <f ca="1"/>
      </c>
      <c r="DH129">
        <f ca="1"/>
      </c>
      <c r="DI129">
        <f ca="1"/>
      </c>
      <c r="DJ129">
        <f ca="1"/>
      </c>
      <c r="DK129">
        <f ca="1"/>
      </c>
      <c r="DL129">
        <f ca="1"/>
      </c>
      <c r="DM129">
        <f ca="1"/>
      </c>
      <c r="DN129">
        <f ca="1"/>
      </c>
      <c r="DO129">
        <f ca="1"/>
      </c>
      <c r="DP129">
        <f ca="1"/>
      </c>
      <c r="DQ129">
        <f ca="1"/>
      </c>
      <c r="DR129">
        <f ca="1"/>
      </c>
      <c r="DS129">
        <f ca="1"/>
      </c>
      <c r="DT129">
        <f ca="1"/>
      </c>
      <c r="DU129">
        <f ca="1"/>
      </c>
      <c r="DV129">
        <f ca="1"/>
      </c>
      <c r="DW129">
        <f ca="1"/>
      </c>
      <c r="DX129">
        <f ca="1"/>
      </c>
      <c r="DY129">
        <f ca="1"/>
      </c>
      <c r="DZ129">
        <f ca="1"/>
      </c>
      <c r="EA129">
        <f ca="1"/>
      </c>
      <c r="EB129">
        <f ca="1"/>
      </c>
      <c r="EC129">
        <f ca="1"/>
      </c>
      <c r="ED129">
        <f ca="1"/>
      </c>
      <c r="EE129">
        <f ca="1"/>
      </c>
      <c r="EF129">
        <f ca="1"/>
      </c>
      <c r="EG129">
        <f ca="1"/>
      </c>
      <c r="EH129">
        <f ca="1"/>
      </c>
      <c r="EI129">
        <f ca="1"/>
      </c>
      <c r="EJ129">
        <f ca="1"/>
      </c>
      <c r="EK129">
        <f ca="1"/>
      </c>
      <c r="EL129">
        <f ca="1"/>
      </c>
      <c r="EM129">
        <f ca="1"/>
      </c>
      <c r="EN129">
        <f ca="1"/>
      </c>
      <c r="EO129">
        <f ca="1"/>
      </c>
      <c r="EP129">
        <f ca="1"/>
      </c>
      <c r="EQ129">
        <f ca="1"/>
      </c>
      <c r="ER129">
        <f ca="1"/>
      </c>
      <c r="ES129">
        <f ca="1"/>
      </c>
      <c r="ET129">
        <f ca="1"/>
      </c>
      <c r="EU129">
        <f ca="1"/>
      </c>
      <c r="EV129">
        <f ca="1"/>
      </c>
      <c r="EW129">
        <f ca="1"/>
      </c>
      <c r="EX129">
        <f ca="1"/>
      </c>
      <c r="EY129">
        <f ca="1"/>
      </c>
      <c r="EZ129">
        <f ca="1"/>
      </c>
      <c r="FA129">
        <f ca="1"/>
      </c>
      <c r="FC129">
        <f ca="1"/>
      </c>
      <c r="FD129">
        <f ca="1"/>
      </c>
      <c r="FE129">
        <f ca="1"/>
      </c>
      <c r="FF129">
        <f ca="1"/>
      </c>
      <c r="FG129">
        <f ca="1"/>
      </c>
      <c r="FH129">
        <f ca="1"/>
      </c>
      <c r="FI129">
        <f ca="1"/>
      </c>
      <c r="FJ129">
        <f ca="1"/>
      </c>
      <c r="FK129">
        <f ca="1"/>
      </c>
      <c r="FL129">
        <f ca="1"/>
      </c>
      <c r="FM129">
        <f ca="1"/>
      </c>
      <c r="FN129">
        <f ca="1"/>
      </c>
      <c r="FO129">
        <f ca="1"/>
      </c>
      <c r="FP129">
        <f ca="1"/>
      </c>
      <c r="FQ129">
        <f ca="1"/>
      </c>
      <c r="FR129">
        <f ca="1"/>
      </c>
      <c r="FS129">
        <f ca="1"/>
      </c>
      <c r="FT129">
        <f ca="1"/>
      </c>
      <c r="FU129">
        <f ca="1"/>
      </c>
      <c r="FV129">
        <f ca="1"/>
      </c>
      <c r="FW129">
        <f ca="1"/>
      </c>
      <c r="FX129">
        <f ca="1"/>
      </c>
      <c r="FY129">
        <f ca="1"/>
      </c>
      <c r="FZ129">
        <f ca="1"/>
      </c>
      <c r="GA129">
        <f ca="1"/>
      </c>
      <c r="GB129">
        <f ca="1"/>
      </c>
      <c r="GC129">
        <f ca="1"/>
      </c>
      <c r="GD129">
        <f ca="1"/>
      </c>
      <c r="GE129">
        <f ca="1"/>
      </c>
      <c r="GF129">
        <f ca="1"/>
      </c>
      <c r="GG129">
        <f ca="1"/>
      </c>
      <c r="GH129">
        <f ca="1"/>
      </c>
      <c r="GI129">
        <f ca="1"/>
      </c>
      <c r="GJ129">
        <f ca="1"/>
      </c>
      <c r="GK129">
        <f ca="1"/>
      </c>
      <c r="GL129">
        <f ca="1"/>
      </c>
      <c r="GM129">
        <f ca="1"/>
      </c>
      <c r="GN129">
        <f ca="1"/>
      </c>
      <c r="GO129">
        <f ca="1"/>
      </c>
      <c r="GP129">
        <f ca="1"/>
      </c>
      <c r="GQ129">
        <f ca="1"/>
      </c>
      <c r="GR129">
        <f ca="1"/>
      </c>
      <c r="GS129">
        <f ca="1"/>
      </c>
      <c r="GT129">
        <f ca="1"/>
      </c>
      <c r="GU129">
        <f ca="1"/>
      </c>
      <c r="GV129">
        <f ca="1"/>
      </c>
      <c r="GW129">
        <f ca="1"/>
      </c>
      <c r="HI129" s="7">
        <f ca="1"/>
      </c>
      <c r="HJ129">
        <f ca="1"/>
      </c>
      <c r="HK129">
        <f ca="1"/>
      </c>
      <c r="HL129">
        <f ca="1"/>
      </c>
      <c r="HM129">
        <f ca="1"/>
      </c>
    </row>
    <row r="130" spans="63:221" x14ac:dyDescent="0.55000000000000004">
      <c r="BK130">
        <f ca="1"/>
      </c>
      <c r="BL130">
        <f ca="1"/>
      </c>
      <c r="BM130">
        <f ca="1"/>
      </c>
      <c r="BN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  <c r="BV130">
        <f ca="1"/>
      </c>
      <c r="BW130">
        <f ca="1"/>
      </c>
      <c r="BX130">
        <f ca="1"/>
      </c>
      <c r="BY130">
        <f ca="1"/>
      </c>
      <c r="BZ130">
        <f ca="1"/>
      </c>
      <c r="CA130">
        <f ca="1"/>
      </c>
      <c r="CB130">
        <f ca="1"/>
      </c>
      <c r="CC130">
        <f ca="1"/>
      </c>
      <c r="CD130">
        <f ca="1"/>
      </c>
      <c r="CE130">
        <f ca="1"/>
      </c>
      <c r="CF130">
        <f ca="1"/>
      </c>
      <c r="CG130">
        <f ca="1"/>
      </c>
      <c r="CH130">
        <f ca="1"/>
      </c>
      <c r="CI130">
        <f ca="1"/>
      </c>
      <c r="CJ130">
        <f ca="1"/>
      </c>
      <c r="CK130">
        <f ca="1"/>
      </c>
      <c r="CL130">
        <f ca="1"/>
      </c>
      <c r="CM130">
        <f ca="1"/>
      </c>
      <c r="CN130">
        <f ca="1"/>
      </c>
      <c r="CO130">
        <f ca="1"/>
      </c>
      <c r="CP130">
        <f ca="1"/>
      </c>
      <c r="CQ130">
        <f ca="1"/>
      </c>
      <c r="CR130">
        <f ca="1"/>
      </c>
      <c r="CS130">
        <f ca="1"/>
      </c>
      <c r="CT130">
        <f ca="1"/>
      </c>
      <c r="CU130">
        <f ca="1"/>
      </c>
      <c r="CV130">
        <f ca="1"/>
      </c>
      <c r="CW130">
        <f ca="1"/>
      </c>
      <c r="CX130">
        <f ca="1"/>
      </c>
      <c r="CY130">
        <f ca="1"/>
      </c>
      <c r="CZ130">
        <f ca="1"/>
      </c>
      <c r="DA130">
        <f ca="1"/>
      </c>
      <c r="DB130">
        <f ca="1"/>
      </c>
      <c r="DC130">
        <f ca="1"/>
      </c>
      <c r="DD130">
        <f ca="1"/>
      </c>
      <c r="DE130">
        <f ca="1"/>
      </c>
      <c r="DG130">
        <f ca="1"/>
      </c>
      <c r="DH130">
        <f ca="1"/>
      </c>
      <c r="DI130">
        <f ca="1"/>
      </c>
      <c r="DJ130">
        <f ca="1"/>
      </c>
      <c r="DK130">
        <f ca="1"/>
      </c>
      <c r="DL130">
        <f ca="1"/>
      </c>
      <c r="DM130">
        <f ca="1"/>
      </c>
      <c r="DN130">
        <f ca="1"/>
      </c>
      <c r="DO130">
        <f ca="1"/>
      </c>
      <c r="DP130">
        <f ca="1"/>
      </c>
      <c r="DQ130">
        <f ca="1"/>
      </c>
      <c r="DR130">
        <f ca="1"/>
      </c>
      <c r="DS130">
        <f ca="1"/>
      </c>
      <c r="DT130">
        <f ca="1"/>
      </c>
      <c r="DU130">
        <f ca="1"/>
      </c>
      <c r="DV130">
        <f ca="1"/>
      </c>
      <c r="DW130">
        <f ca="1"/>
      </c>
      <c r="DX130">
        <f ca="1"/>
      </c>
      <c r="DY130">
        <f ca="1"/>
      </c>
      <c r="DZ130">
        <f ca="1"/>
      </c>
      <c r="EA130">
        <f ca="1"/>
      </c>
      <c r="EB130">
        <f ca="1"/>
      </c>
      <c r="EC130">
        <f ca="1"/>
      </c>
      <c r="ED130">
        <f ca="1"/>
      </c>
      <c r="EE130">
        <f ca="1"/>
      </c>
      <c r="EF130">
        <f ca="1"/>
      </c>
      <c r="EG130">
        <f ca="1"/>
      </c>
      <c r="EH130">
        <f ca="1"/>
      </c>
      <c r="EI130">
        <f ca="1"/>
      </c>
      <c r="EJ130">
        <f ca="1"/>
      </c>
      <c r="EK130">
        <f ca="1"/>
      </c>
      <c r="EL130">
        <f ca="1"/>
      </c>
      <c r="EM130">
        <f ca="1"/>
      </c>
      <c r="EN130">
        <f ca="1"/>
      </c>
      <c r="EO130">
        <f ca="1"/>
      </c>
      <c r="EP130">
        <f ca="1"/>
      </c>
      <c r="EQ130">
        <f ca="1"/>
      </c>
      <c r="ER130">
        <f ca="1"/>
      </c>
      <c r="ES130">
        <f ca="1"/>
      </c>
      <c r="ET130">
        <f ca="1"/>
      </c>
      <c r="EU130">
        <f ca="1"/>
      </c>
      <c r="EV130">
        <f ca="1"/>
      </c>
      <c r="EW130">
        <f ca="1"/>
      </c>
      <c r="EX130">
        <f ca="1"/>
      </c>
      <c r="EY130">
        <f ca="1"/>
      </c>
      <c r="EZ130">
        <f ca="1"/>
      </c>
      <c r="FA130">
        <f ca="1"/>
      </c>
      <c r="FC130">
        <f ca="1"/>
      </c>
      <c r="FD130">
        <f ca="1"/>
      </c>
      <c r="FE130">
        <f ca="1"/>
      </c>
      <c r="FF130">
        <f ca="1"/>
      </c>
      <c r="FG130">
        <f ca="1"/>
      </c>
      <c r="FH130">
        <f ca="1"/>
      </c>
      <c r="FI130">
        <f ca="1"/>
      </c>
      <c r="FJ130">
        <f ca="1"/>
      </c>
      <c r="FK130">
        <f ca="1"/>
      </c>
      <c r="FL130">
        <f ca="1"/>
      </c>
      <c r="FM130">
        <f ca="1"/>
      </c>
      <c r="FN130">
        <f ca="1"/>
      </c>
      <c r="FO130">
        <f ca="1"/>
      </c>
      <c r="FP130">
        <f ca="1"/>
      </c>
      <c r="FQ130">
        <f ca="1"/>
      </c>
      <c r="FR130">
        <f ca="1"/>
      </c>
      <c r="FS130">
        <f ca="1"/>
      </c>
      <c r="FT130">
        <f ca="1"/>
      </c>
      <c r="FU130">
        <f ca="1"/>
      </c>
      <c r="FV130">
        <f ca="1"/>
      </c>
      <c r="FW130">
        <f ca="1"/>
      </c>
      <c r="FX130">
        <f ca="1"/>
      </c>
      <c r="FY130">
        <f ca="1"/>
      </c>
      <c r="FZ130">
        <f ca="1"/>
      </c>
      <c r="GA130">
        <f ca="1"/>
      </c>
      <c r="GB130">
        <f ca="1"/>
      </c>
      <c r="GC130">
        <f ca="1"/>
      </c>
      <c r="GD130">
        <f ca="1"/>
      </c>
      <c r="GE130">
        <f ca="1"/>
      </c>
      <c r="GF130">
        <f ca="1"/>
      </c>
      <c r="GG130">
        <f ca="1"/>
      </c>
      <c r="GH130">
        <f ca="1"/>
      </c>
      <c r="GI130">
        <f ca="1"/>
      </c>
      <c r="GJ130">
        <f ca="1"/>
      </c>
      <c r="GK130">
        <f ca="1"/>
      </c>
      <c r="GL130">
        <f ca="1"/>
      </c>
      <c r="GM130">
        <f ca="1"/>
      </c>
      <c r="GN130">
        <f ca="1"/>
      </c>
      <c r="GO130">
        <f ca="1"/>
      </c>
      <c r="GP130">
        <f ca="1"/>
      </c>
      <c r="GQ130">
        <f ca="1"/>
      </c>
      <c r="GR130">
        <f ca="1"/>
      </c>
      <c r="GS130">
        <f ca="1"/>
      </c>
      <c r="GT130">
        <f ca="1"/>
      </c>
      <c r="GU130">
        <f ca="1"/>
      </c>
      <c r="GV130">
        <f ca="1"/>
      </c>
      <c r="GW130">
        <f ca="1"/>
      </c>
      <c r="HI130" s="7">
        <f ca="1"/>
      </c>
      <c r="HJ130">
        <f ca="1"/>
      </c>
      <c r="HK130">
        <f ca="1"/>
      </c>
      <c r="HL130">
        <f ca="1"/>
      </c>
      <c r="HM130">
        <f ca="1"/>
      </c>
    </row>
    <row r="131" spans="63:221" x14ac:dyDescent="0.55000000000000004">
      <c r="BK131">
        <f ca="1"/>
      </c>
      <c r="BL131">
        <f ca="1"/>
      </c>
      <c r="BM131">
        <f ca="1"/>
      </c>
      <c r="BN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  <c r="BV131">
        <f ca="1"/>
      </c>
      <c r="BW131">
        <f ca="1"/>
      </c>
      <c r="BX131">
        <f ca="1"/>
      </c>
      <c r="BY131">
        <f ca="1"/>
      </c>
      <c r="BZ131">
        <f ca="1"/>
      </c>
      <c r="CA131">
        <f ca="1"/>
      </c>
      <c r="CB131">
        <f ca="1"/>
      </c>
      <c r="CC131">
        <f ca="1"/>
      </c>
      <c r="CD131">
        <f ca="1"/>
      </c>
      <c r="CE131">
        <f ca="1"/>
      </c>
      <c r="CF131">
        <f ca="1"/>
      </c>
      <c r="CG131">
        <f ca="1"/>
      </c>
      <c r="CH131">
        <f ca="1"/>
      </c>
      <c r="CI131">
        <f ca="1"/>
      </c>
      <c r="CJ131">
        <f ca="1"/>
      </c>
      <c r="CK131">
        <f ca="1"/>
      </c>
      <c r="CL131">
        <f ca="1"/>
      </c>
      <c r="CM131">
        <f ca="1"/>
      </c>
      <c r="CN131">
        <f ca="1"/>
      </c>
      <c r="CO131">
        <f ca="1"/>
      </c>
      <c r="CP131">
        <f ca="1"/>
      </c>
      <c r="CQ131">
        <f ca="1"/>
      </c>
      <c r="CR131">
        <f ca="1"/>
      </c>
      <c r="CS131">
        <f ca="1"/>
      </c>
      <c r="CT131">
        <f ca="1"/>
      </c>
      <c r="CU131">
        <f ca="1"/>
      </c>
      <c r="CV131">
        <f ca="1"/>
      </c>
      <c r="CW131">
        <f ca="1"/>
      </c>
      <c r="CX131">
        <f ca="1"/>
      </c>
      <c r="CY131">
        <f ca="1"/>
      </c>
      <c r="CZ131">
        <f ca="1"/>
      </c>
      <c r="DA131">
        <f ca="1"/>
      </c>
      <c r="DB131">
        <f ca="1"/>
      </c>
      <c r="DC131">
        <f ca="1"/>
      </c>
      <c r="DD131">
        <f ca="1"/>
      </c>
      <c r="DE131">
        <f ca="1"/>
      </c>
      <c r="DG131">
        <f ca="1"/>
      </c>
      <c r="DH131">
        <f ca="1"/>
      </c>
      <c r="DI131">
        <f ca="1"/>
      </c>
      <c r="DJ131">
        <f ca="1"/>
      </c>
      <c r="DK131">
        <f ca="1"/>
      </c>
      <c r="DL131">
        <f ca="1"/>
      </c>
      <c r="DM131">
        <f ca="1"/>
      </c>
      <c r="DN131">
        <f ca="1"/>
      </c>
      <c r="DO131">
        <f ca="1"/>
      </c>
      <c r="DP131">
        <f ca="1"/>
      </c>
      <c r="DQ131">
        <f ca="1"/>
      </c>
      <c r="DR131">
        <f ca="1"/>
      </c>
      <c r="DS131">
        <f ca="1"/>
      </c>
      <c r="DT131">
        <f ca="1"/>
      </c>
      <c r="DU131">
        <f ca="1"/>
      </c>
      <c r="DV131">
        <f ca="1"/>
      </c>
      <c r="DW131">
        <f ca="1"/>
      </c>
      <c r="DX131">
        <f ca="1"/>
      </c>
      <c r="DY131">
        <f ca="1"/>
      </c>
      <c r="DZ131">
        <f ca="1"/>
      </c>
      <c r="EA131">
        <f ca="1"/>
      </c>
      <c r="EB131">
        <f ca="1"/>
      </c>
      <c r="EC131">
        <f ca="1"/>
      </c>
      <c r="ED131">
        <f ca="1"/>
      </c>
      <c r="EE131">
        <f ca="1"/>
      </c>
      <c r="EF131">
        <f ca="1"/>
      </c>
      <c r="EG131">
        <f ca="1"/>
      </c>
      <c r="EH131">
        <f ca="1"/>
      </c>
      <c r="EI131">
        <f ca="1"/>
      </c>
      <c r="EJ131">
        <f ca="1"/>
      </c>
      <c r="EK131">
        <f ca="1"/>
      </c>
      <c r="EL131">
        <f ca="1"/>
      </c>
      <c r="EM131">
        <f ca="1"/>
      </c>
      <c r="EN131">
        <f ca="1"/>
      </c>
      <c r="EO131">
        <f ca="1"/>
      </c>
      <c r="EP131">
        <f ca="1"/>
      </c>
      <c r="EQ131">
        <f ca="1"/>
      </c>
      <c r="ER131">
        <f ca="1"/>
      </c>
      <c r="ES131">
        <f ca="1"/>
      </c>
      <c r="ET131">
        <f ca="1"/>
      </c>
      <c r="EU131">
        <f ca="1"/>
      </c>
      <c r="EV131">
        <f ca="1"/>
      </c>
      <c r="EW131">
        <f ca="1"/>
      </c>
      <c r="EX131">
        <f ca="1"/>
      </c>
      <c r="EY131">
        <f ca="1"/>
      </c>
      <c r="EZ131">
        <f ca="1"/>
      </c>
      <c r="FA131">
        <f ca="1"/>
      </c>
      <c r="FC131">
        <f ca="1"/>
      </c>
      <c r="FD131">
        <f ca="1"/>
      </c>
      <c r="FE131">
        <f ca="1"/>
      </c>
      <c r="FF131">
        <f ca="1"/>
      </c>
      <c r="FG131">
        <f ca="1"/>
      </c>
      <c r="FH131">
        <f ca="1"/>
      </c>
      <c r="FI131">
        <f ca="1"/>
      </c>
      <c r="FJ131">
        <f ca="1"/>
      </c>
      <c r="FK131">
        <f ca="1"/>
      </c>
      <c r="FL131">
        <f ca="1"/>
      </c>
      <c r="FM131">
        <f ca="1"/>
      </c>
      <c r="FN131">
        <f ca="1"/>
      </c>
      <c r="FO131">
        <f ca="1"/>
      </c>
      <c r="FP131">
        <f ca="1"/>
      </c>
      <c r="FQ131">
        <f ca="1"/>
      </c>
      <c r="FR131">
        <f ca="1"/>
      </c>
      <c r="FS131">
        <f ca="1"/>
      </c>
      <c r="FT131">
        <f ca="1"/>
      </c>
      <c r="FU131">
        <f ca="1"/>
      </c>
      <c r="FV131">
        <f ca="1"/>
      </c>
      <c r="FW131">
        <f ca="1"/>
      </c>
      <c r="FX131">
        <f ca="1"/>
      </c>
      <c r="FY131">
        <f ca="1"/>
      </c>
      <c r="FZ131">
        <f ca="1"/>
      </c>
      <c r="GA131">
        <f ca="1"/>
      </c>
      <c r="GB131">
        <f ca="1"/>
      </c>
      <c r="GC131">
        <f ca="1"/>
      </c>
      <c r="GD131">
        <f ca="1"/>
      </c>
      <c r="GE131">
        <f ca="1"/>
      </c>
      <c r="GF131">
        <f ca="1"/>
      </c>
      <c r="GG131">
        <f ca="1"/>
      </c>
      <c r="GH131">
        <f ca="1"/>
      </c>
      <c r="GI131">
        <f ca="1"/>
      </c>
      <c r="GJ131">
        <f ca="1"/>
      </c>
      <c r="GK131">
        <f ca="1"/>
      </c>
      <c r="GL131">
        <f ca="1"/>
      </c>
      <c r="GM131">
        <f ca="1"/>
      </c>
      <c r="GN131">
        <f ca="1"/>
      </c>
      <c r="GO131">
        <f ca="1"/>
      </c>
      <c r="GP131">
        <f ca="1"/>
      </c>
      <c r="GQ131">
        <f ca="1"/>
      </c>
      <c r="GR131">
        <f ca="1"/>
      </c>
      <c r="GS131">
        <f ca="1"/>
      </c>
      <c r="GT131">
        <f ca="1"/>
      </c>
      <c r="GU131">
        <f ca="1"/>
      </c>
      <c r="GV131">
        <f ca="1"/>
      </c>
      <c r="GW131">
        <f ca="1"/>
      </c>
      <c r="HI131" s="7">
        <f ca="1"/>
      </c>
      <c r="HJ131">
        <f ca="1"/>
      </c>
      <c r="HK131">
        <f ca="1"/>
      </c>
      <c r="HL131">
        <f ca="1"/>
      </c>
      <c r="HM131">
        <f ca="1"/>
      </c>
    </row>
    <row r="132" spans="63:221" x14ac:dyDescent="0.55000000000000004">
      <c r="BK132">
        <f ca="1"/>
      </c>
      <c r="BL132">
        <f ca="1"/>
      </c>
      <c r="BM132">
        <f ca="1"/>
      </c>
      <c r="BN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  <c r="BV132">
        <f ca="1"/>
      </c>
      <c r="BW132">
        <f ca="1"/>
      </c>
      <c r="BX132">
        <f ca="1"/>
      </c>
      <c r="BY132">
        <f ca="1"/>
      </c>
      <c r="BZ132">
        <f ca="1"/>
      </c>
      <c r="CA132">
        <f ca="1"/>
      </c>
      <c r="CB132">
        <f ca="1"/>
      </c>
      <c r="CC132">
        <f ca="1"/>
      </c>
      <c r="CD132">
        <f ca="1"/>
      </c>
      <c r="CE132">
        <f ca="1"/>
      </c>
      <c r="CF132">
        <f ca="1"/>
      </c>
      <c r="CG132">
        <f ca="1"/>
      </c>
      <c r="CH132">
        <f ca="1"/>
      </c>
      <c r="CI132">
        <f ca="1"/>
      </c>
      <c r="CJ132">
        <f ca="1"/>
      </c>
      <c r="CK132">
        <f ca="1"/>
      </c>
      <c r="CL132">
        <f ca="1"/>
      </c>
      <c r="CM132">
        <f ca="1"/>
      </c>
      <c r="CN132">
        <f ca="1"/>
      </c>
      <c r="CO132">
        <f ca="1"/>
      </c>
      <c r="CP132">
        <f ca="1"/>
      </c>
      <c r="CQ132">
        <f ca="1"/>
      </c>
      <c r="CR132">
        <f ca="1"/>
      </c>
      <c r="CS132">
        <f ca="1"/>
      </c>
      <c r="CT132">
        <f ca="1"/>
      </c>
      <c r="CU132">
        <f ca="1"/>
      </c>
      <c r="CV132">
        <f ca="1"/>
      </c>
      <c r="CW132">
        <f ca="1"/>
      </c>
      <c r="CX132">
        <f ca="1"/>
      </c>
      <c r="CY132">
        <f ca="1"/>
      </c>
      <c r="CZ132">
        <f ca="1"/>
      </c>
      <c r="DA132">
        <f ca="1"/>
      </c>
      <c r="DB132">
        <f ca="1"/>
      </c>
      <c r="DC132">
        <f ca="1"/>
      </c>
      <c r="DD132">
        <f ca="1"/>
      </c>
      <c r="DE132">
        <f ca="1"/>
      </c>
      <c r="DG132">
        <f ca="1"/>
      </c>
      <c r="DH132">
        <f ca="1"/>
      </c>
      <c r="DI132">
        <f ca="1"/>
      </c>
      <c r="DJ132">
        <f ca="1"/>
      </c>
      <c r="DK132">
        <f ca="1"/>
      </c>
      <c r="DL132">
        <f ca="1"/>
      </c>
      <c r="DM132">
        <f ca="1"/>
      </c>
      <c r="DN132">
        <f ca="1"/>
      </c>
      <c r="DO132">
        <f ca="1"/>
      </c>
      <c r="DP132">
        <f ca="1"/>
      </c>
      <c r="DQ132">
        <f ca="1"/>
      </c>
      <c r="DR132">
        <f ca="1"/>
      </c>
      <c r="DS132">
        <f ca="1"/>
      </c>
      <c r="DT132">
        <f ca="1"/>
      </c>
      <c r="DU132">
        <f ca="1"/>
      </c>
      <c r="DV132">
        <f ca="1"/>
      </c>
      <c r="DW132">
        <f ca="1"/>
      </c>
      <c r="DX132">
        <f ca="1"/>
      </c>
      <c r="DY132">
        <f ca="1"/>
      </c>
      <c r="DZ132">
        <f ca="1"/>
      </c>
      <c r="EA132">
        <f ca="1"/>
      </c>
      <c r="EB132">
        <f ca="1"/>
      </c>
      <c r="EC132">
        <f ca="1"/>
      </c>
      <c r="ED132">
        <f ca="1"/>
      </c>
      <c r="EE132">
        <f ca="1"/>
      </c>
      <c r="EF132">
        <f ca="1"/>
      </c>
      <c r="EG132">
        <f ca="1"/>
      </c>
      <c r="EH132">
        <f ca="1"/>
      </c>
      <c r="EI132">
        <f ca="1"/>
      </c>
      <c r="EJ132">
        <f ca="1"/>
      </c>
      <c r="EK132">
        <f ca="1"/>
      </c>
      <c r="EL132">
        <f ca="1"/>
      </c>
      <c r="EM132">
        <f ca="1"/>
      </c>
      <c r="EN132">
        <f ca="1"/>
      </c>
      <c r="EO132">
        <f ca="1"/>
      </c>
      <c r="EP132">
        <f ca="1"/>
      </c>
      <c r="EQ132">
        <f ca="1"/>
      </c>
      <c r="ER132">
        <f ca="1"/>
      </c>
      <c r="ES132">
        <f ca="1"/>
      </c>
      <c r="ET132">
        <f ca="1"/>
      </c>
      <c r="EU132">
        <f ca="1"/>
      </c>
      <c r="EV132">
        <f ca="1"/>
      </c>
      <c r="EW132">
        <f ca="1"/>
      </c>
      <c r="EX132">
        <f ca="1"/>
      </c>
      <c r="EY132">
        <f ca="1"/>
      </c>
      <c r="EZ132">
        <f ca="1"/>
      </c>
      <c r="FA132">
        <f ca="1"/>
      </c>
      <c r="FC132">
        <f ca="1"/>
      </c>
      <c r="FD132">
        <f ca="1"/>
      </c>
      <c r="FE132">
        <f ca="1"/>
      </c>
      <c r="FF132">
        <f ca="1"/>
      </c>
      <c r="FG132">
        <f ca="1"/>
      </c>
      <c r="FH132">
        <f ca="1"/>
      </c>
      <c r="FI132">
        <f ca="1"/>
      </c>
      <c r="FJ132">
        <f ca="1"/>
      </c>
      <c r="FK132">
        <f ca="1"/>
      </c>
      <c r="FL132">
        <f ca="1"/>
      </c>
      <c r="FM132">
        <f ca="1"/>
      </c>
      <c r="FN132">
        <f ca="1"/>
      </c>
      <c r="FO132">
        <f ca="1"/>
      </c>
      <c r="FP132">
        <f ca="1"/>
      </c>
      <c r="FQ132">
        <f ca="1"/>
      </c>
      <c r="FR132">
        <f ca="1"/>
      </c>
      <c r="FS132">
        <f ca="1"/>
      </c>
      <c r="FT132">
        <f ca="1"/>
      </c>
      <c r="FU132">
        <f ca="1"/>
      </c>
      <c r="FV132">
        <f ca="1"/>
      </c>
      <c r="FW132">
        <f ca="1"/>
      </c>
      <c r="FX132">
        <f ca="1"/>
      </c>
      <c r="FY132">
        <f ca="1"/>
      </c>
      <c r="FZ132">
        <f ca="1"/>
      </c>
      <c r="GA132">
        <f ca="1"/>
      </c>
      <c r="GB132">
        <f ca="1"/>
      </c>
      <c r="GC132">
        <f ca="1"/>
      </c>
      <c r="GD132">
        <f ca="1"/>
      </c>
      <c r="GE132">
        <f ca="1"/>
      </c>
      <c r="GF132">
        <f ca="1"/>
      </c>
      <c r="GG132">
        <f ca="1"/>
      </c>
      <c r="GH132">
        <f ca="1"/>
      </c>
      <c r="GI132">
        <f ca="1"/>
      </c>
      <c r="GJ132">
        <f ca="1"/>
      </c>
      <c r="GK132">
        <f ca="1"/>
      </c>
      <c r="GL132">
        <f ca="1"/>
      </c>
      <c r="GM132">
        <f ca="1"/>
      </c>
      <c r="GN132">
        <f ca="1"/>
      </c>
      <c r="GO132">
        <f ca="1"/>
      </c>
      <c r="GP132">
        <f ca="1"/>
      </c>
      <c r="GQ132">
        <f ca="1"/>
      </c>
      <c r="GR132">
        <f ca="1"/>
      </c>
      <c r="GS132">
        <f ca="1"/>
      </c>
      <c r="GT132">
        <f ca="1"/>
      </c>
      <c r="GU132">
        <f ca="1"/>
      </c>
      <c r="GV132">
        <f ca="1"/>
      </c>
      <c r="GW132">
        <f ca="1"/>
      </c>
      <c r="HI132" s="7">
        <f ca="1"/>
      </c>
      <c r="HJ132">
        <f ca="1"/>
      </c>
      <c r="HK132">
        <f ca="1"/>
      </c>
      <c r="HL132">
        <f ca="1"/>
      </c>
      <c r="HM132">
        <f ca="1"/>
      </c>
    </row>
    <row r="133" spans="63:221" x14ac:dyDescent="0.55000000000000004">
      <c r="BK133">
        <f ca="1"/>
      </c>
      <c r="BL133">
        <f ca="1"/>
      </c>
      <c r="BM133">
        <f ca="1"/>
      </c>
      <c r="BN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  <c r="BV133">
        <f ca="1"/>
      </c>
      <c r="BW133">
        <f ca="1"/>
      </c>
      <c r="BX133">
        <f ca="1"/>
      </c>
      <c r="BY133">
        <f ca="1"/>
      </c>
      <c r="BZ133">
        <f ca="1"/>
      </c>
      <c r="CA133">
        <f ca="1"/>
      </c>
      <c r="CB133">
        <f ca="1"/>
      </c>
      <c r="CC133">
        <f ca="1"/>
      </c>
      <c r="CD133">
        <f ca="1"/>
      </c>
      <c r="CE133">
        <f ca="1"/>
      </c>
      <c r="CF133">
        <f ca="1"/>
      </c>
      <c r="CG133">
        <f ca="1"/>
      </c>
      <c r="CH133">
        <f ca="1"/>
      </c>
      <c r="CI133">
        <f ca="1"/>
      </c>
      <c r="CJ133">
        <f ca="1"/>
      </c>
      <c r="CK133">
        <f ca="1"/>
      </c>
      <c r="CL133">
        <f ca="1"/>
      </c>
      <c r="CM133">
        <f ca="1"/>
      </c>
      <c r="CN133">
        <f ca="1"/>
      </c>
      <c r="CO133">
        <f ca="1"/>
      </c>
      <c r="CP133">
        <f ca="1"/>
      </c>
      <c r="CQ133">
        <f ca="1"/>
      </c>
      <c r="CR133">
        <f ca="1"/>
      </c>
      <c r="CS133">
        <f ca="1"/>
      </c>
      <c r="CT133">
        <f ca="1"/>
      </c>
      <c r="CU133">
        <f ca="1"/>
      </c>
      <c r="CV133">
        <f ca="1"/>
      </c>
      <c r="CW133">
        <f ca="1"/>
      </c>
      <c r="CX133">
        <f ca="1"/>
      </c>
      <c r="CY133">
        <f ca="1"/>
      </c>
      <c r="CZ133">
        <f ca="1"/>
      </c>
      <c r="DA133">
        <f ca="1"/>
      </c>
      <c r="DB133">
        <f ca="1"/>
      </c>
      <c r="DC133">
        <f ca="1"/>
      </c>
      <c r="DD133">
        <f ca="1"/>
      </c>
      <c r="DE133">
        <f ca="1"/>
      </c>
      <c r="DG133">
        <f ca="1"/>
      </c>
      <c r="DH133">
        <f ca="1"/>
      </c>
      <c r="DI133">
        <f ca="1"/>
      </c>
      <c r="DJ133">
        <f ca="1"/>
      </c>
      <c r="DK133">
        <f ca="1"/>
      </c>
      <c r="DL133">
        <f ca="1"/>
      </c>
      <c r="DM133">
        <f ca="1"/>
      </c>
      <c r="DN133">
        <f ca="1"/>
      </c>
      <c r="DO133">
        <f ca="1"/>
      </c>
      <c r="DP133">
        <f ca="1"/>
      </c>
      <c r="DQ133">
        <f ca="1"/>
      </c>
      <c r="DR133">
        <f ca="1"/>
      </c>
      <c r="DS133">
        <f ca="1"/>
      </c>
      <c r="DT133">
        <f ca="1"/>
      </c>
      <c r="DU133">
        <f ca="1"/>
      </c>
      <c r="DV133">
        <f ca="1"/>
      </c>
      <c r="DW133">
        <f ca="1"/>
      </c>
      <c r="DX133">
        <f ca="1"/>
      </c>
      <c r="DY133">
        <f ca="1"/>
      </c>
      <c r="DZ133">
        <f ca="1"/>
      </c>
      <c r="EA133">
        <f ca="1"/>
      </c>
      <c r="EB133">
        <f ca="1"/>
      </c>
      <c r="EC133">
        <f ca="1"/>
      </c>
      <c r="ED133">
        <f ca="1"/>
      </c>
      <c r="EE133">
        <f ca="1"/>
      </c>
      <c r="EF133">
        <f ca="1"/>
      </c>
      <c r="EG133">
        <f ca="1"/>
      </c>
      <c r="EH133">
        <f ca="1"/>
      </c>
      <c r="EI133">
        <f ca="1"/>
      </c>
      <c r="EJ133">
        <f ca="1"/>
      </c>
      <c r="EK133">
        <f ca="1"/>
      </c>
      <c r="EL133">
        <f ca="1"/>
      </c>
      <c r="EM133">
        <f ca="1"/>
      </c>
      <c r="EN133">
        <f ca="1"/>
      </c>
      <c r="EO133">
        <f ca="1"/>
      </c>
      <c r="EP133">
        <f ca="1"/>
      </c>
      <c r="EQ133">
        <f ca="1"/>
      </c>
      <c r="ER133">
        <f ca="1"/>
      </c>
      <c r="ES133">
        <f ca="1"/>
      </c>
      <c r="ET133">
        <f ca="1"/>
      </c>
      <c r="EU133">
        <f ca="1"/>
      </c>
      <c r="EV133">
        <f ca="1"/>
      </c>
      <c r="EW133">
        <f ca="1"/>
      </c>
      <c r="EX133">
        <f ca="1"/>
      </c>
      <c r="EY133">
        <f ca="1"/>
      </c>
      <c r="EZ133">
        <f ca="1"/>
      </c>
      <c r="FA133">
        <f ca="1"/>
      </c>
      <c r="FC133">
        <f ca="1"/>
      </c>
      <c r="FD133">
        <f ca="1"/>
      </c>
      <c r="FE133">
        <f ca="1"/>
      </c>
      <c r="FF133">
        <f ca="1"/>
      </c>
      <c r="FG133">
        <f ca="1"/>
      </c>
      <c r="FH133">
        <f ca="1"/>
      </c>
      <c r="FI133">
        <f ca="1"/>
      </c>
      <c r="FJ133">
        <f ca="1"/>
      </c>
      <c r="FK133">
        <f ca="1"/>
      </c>
      <c r="FL133">
        <f ca="1"/>
      </c>
      <c r="FM133">
        <f ca="1"/>
      </c>
      <c r="FN133">
        <f ca="1"/>
      </c>
      <c r="FO133">
        <f ca="1"/>
      </c>
      <c r="FP133">
        <f ca="1"/>
      </c>
      <c r="FQ133">
        <f ca="1"/>
      </c>
      <c r="FR133">
        <f ca="1"/>
      </c>
      <c r="FS133">
        <f ca="1"/>
      </c>
      <c r="FT133">
        <f ca="1"/>
      </c>
      <c r="FU133">
        <f ca="1"/>
      </c>
      <c r="FV133">
        <f ca="1"/>
      </c>
      <c r="FW133">
        <f ca="1"/>
      </c>
      <c r="FX133">
        <f ca="1"/>
      </c>
      <c r="FY133">
        <f ca="1"/>
      </c>
      <c r="FZ133">
        <f ca="1"/>
      </c>
      <c r="GA133">
        <f ca="1"/>
      </c>
      <c r="GB133">
        <f ca="1"/>
      </c>
      <c r="GC133">
        <f ca="1"/>
      </c>
      <c r="GD133">
        <f ca="1"/>
      </c>
      <c r="GE133">
        <f ca="1"/>
      </c>
      <c r="GF133">
        <f ca="1"/>
      </c>
      <c r="GG133">
        <f ca="1"/>
      </c>
      <c r="GH133">
        <f ca="1"/>
      </c>
      <c r="GI133">
        <f ca="1"/>
      </c>
      <c r="GJ133">
        <f ca="1"/>
      </c>
      <c r="GK133">
        <f ca="1"/>
      </c>
      <c r="GL133">
        <f ca="1"/>
      </c>
      <c r="GM133">
        <f ca="1"/>
      </c>
      <c r="GN133">
        <f ca="1"/>
      </c>
      <c r="GO133">
        <f ca="1"/>
      </c>
      <c r="GP133">
        <f ca="1"/>
      </c>
      <c r="GQ133">
        <f ca="1"/>
      </c>
      <c r="GR133">
        <f ca="1"/>
      </c>
      <c r="GS133">
        <f ca="1"/>
      </c>
      <c r="GT133">
        <f ca="1"/>
      </c>
      <c r="GU133">
        <f ca="1"/>
      </c>
      <c r="GV133">
        <f ca="1"/>
      </c>
      <c r="GW133">
        <f ca="1"/>
      </c>
      <c r="HI133" s="7">
        <f ca="1"/>
      </c>
      <c r="HJ133">
        <f ca="1"/>
      </c>
      <c r="HK133">
        <f ca="1"/>
      </c>
      <c r="HL133">
        <f ca="1"/>
      </c>
      <c r="HM133">
        <f ca="1"/>
      </c>
    </row>
    <row r="134" spans="63:221" x14ac:dyDescent="0.55000000000000004">
      <c r="BK134">
        <f ca="1"/>
      </c>
      <c r="BL134">
        <f ca="1"/>
      </c>
      <c r="BM134">
        <f ca="1"/>
      </c>
      <c r="BN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  <c r="BV134">
        <f ca="1"/>
      </c>
      <c r="BW134">
        <f ca="1"/>
      </c>
      <c r="BX134">
        <f ca="1"/>
      </c>
      <c r="BY134">
        <f ca="1"/>
      </c>
      <c r="BZ134">
        <f ca="1"/>
      </c>
      <c r="CA134">
        <f ca="1"/>
      </c>
      <c r="CB134">
        <f ca="1"/>
      </c>
      <c r="CC134">
        <f ca="1"/>
      </c>
      <c r="CD134">
        <f ca="1"/>
      </c>
      <c r="CE134">
        <f ca="1"/>
      </c>
      <c r="CF134">
        <f ca="1"/>
      </c>
      <c r="CG134">
        <f ca="1"/>
      </c>
      <c r="CH134">
        <f ca="1"/>
      </c>
      <c r="CI134">
        <f ca="1"/>
      </c>
      <c r="CJ134">
        <f ca="1"/>
      </c>
      <c r="CK134">
        <f ca="1"/>
      </c>
      <c r="CL134">
        <f ca="1"/>
      </c>
      <c r="CM134">
        <f ca="1"/>
      </c>
      <c r="CN134">
        <f ca="1"/>
      </c>
      <c r="CO134">
        <f ca="1"/>
      </c>
      <c r="CP134">
        <f ca="1"/>
      </c>
      <c r="CQ134">
        <f ca="1"/>
      </c>
      <c r="CR134">
        <f ca="1"/>
      </c>
      <c r="CS134">
        <f ca="1"/>
      </c>
      <c r="CT134">
        <f ca="1"/>
      </c>
      <c r="CU134">
        <f ca="1"/>
      </c>
      <c r="CV134">
        <f ca="1"/>
      </c>
      <c r="CW134">
        <f ca="1"/>
      </c>
      <c r="CX134">
        <f ca="1"/>
      </c>
      <c r="CY134">
        <f ca="1"/>
      </c>
      <c r="CZ134">
        <f ca="1"/>
      </c>
      <c r="DA134">
        <f ca="1"/>
      </c>
      <c r="DB134">
        <f ca="1"/>
      </c>
      <c r="DC134">
        <f ca="1"/>
      </c>
      <c r="DD134">
        <f ca="1"/>
      </c>
      <c r="DE134">
        <f ca="1"/>
      </c>
      <c r="DG134">
        <f ca="1"/>
      </c>
      <c r="DH134">
        <f ca="1"/>
      </c>
      <c r="DI134">
        <f ca="1"/>
      </c>
      <c r="DJ134">
        <f ca="1"/>
      </c>
      <c r="DK134">
        <f ca="1"/>
      </c>
      <c r="DL134">
        <f ca="1"/>
      </c>
      <c r="DM134">
        <f ca="1"/>
      </c>
      <c r="DN134">
        <f ca="1"/>
      </c>
      <c r="DO134">
        <f ca="1"/>
      </c>
      <c r="DP134">
        <f ca="1"/>
      </c>
      <c r="DQ134">
        <f ca="1"/>
      </c>
      <c r="DR134">
        <f ca="1"/>
      </c>
      <c r="DS134">
        <f ca="1"/>
      </c>
      <c r="DT134">
        <f ca="1"/>
      </c>
      <c r="DU134">
        <f ca="1"/>
      </c>
      <c r="DV134">
        <f ca="1"/>
      </c>
      <c r="DW134">
        <f ca="1"/>
      </c>
      <c r="DX134">
        <f ca="1"/>
      </c>
      <c r="DY134">
        <f ca="1"/>
      </c>
      <c r="DZ134">
        <f ca="1"/>
      </c>
      <c r="EA134">
        <f ca="1"/>
      </c>
      <c r="EB134">
        <f ca="1"/>
      </c>
      <c r="EC134">
        <f ca="1"/>
      </c>
      <c r="ED134">
        <f ca="1"/>
      </c>
      <c r="EE134">
        <f ca="1"/>
      </c>
      <c r="EF134">
        <f ca="1"/>
      </c>
      <c r="EG134">
        <f ca="1"/>
      </c>
      <c r="EH134">
        <f ca="1"/>
      </c>
      <c r="EI134">
        <f ca="1"/>
      </c>
      <c r="EJ134">
        <f ca="1"/>
      </c>
      <c r="EK134">
        <f ca="1"/>
      </c>
      <c r="EL134">
        <f ca="1"/>
      </c>
      <c r="EM134">
        <f ca="1"/>
      </c>
      <c r="EN134">
        <f ca="1"/>
      </c>
      <c r="EO134">
        <f ca="1"/>
      </c>
      <c r="EP134">
        <f ca="1"/>
      </c>
      <c r="EQ134">
        <f ca="1"/>
      </c>
      <c r="ER134">
        <f ca="1"/>
      </c>
      <c r="ES134">
        <f ca="1"/>
      </c>
      <c r="ET134">
        <f ca="1"/>
      </c>
      <c r="EU134">
        <f ca="1"/>
      </c>
      <c r="EV134">
        <f ca="1"/>
      </c>
      <c r="EW134">
        <f ca="1"/>
      </c>
      <c r="EX134">
        <f ca="1"/>
      </c>
      <c r="EY134">
        <f ca="1"/>
      </c>
      <c r="EZ134">
        <f ca="1"/>
      </c>
      <c r="FA134">
        <f ca="1"/>
      </c>
      <c r="FC134">
        <f ca="1"/>
      </c>
      <c r="FD134">
        <f ca="1"/>
      </c>
      <c r="FE134">
        <f ca="1"/>
      </c>
      <c r="FF134">
        <f ca="1"/>
      </c>
      <c r="FG134">
        <f ca="1"/>
      </c>
      <c r="FH134">
        <f ca="1"/>
      </c>
      <c r="FI134">
        <f ca="1"/>
      </c>
      <c r="FJ134">
        <f ca="1"/>
      </c>
      <c r="FK134">
        <f ca="1"/>
      </c>
      <c r="FL134">
        <f ca="1"/>
      </c>
      <c r="FM134">
        <f ca="1"/>
      </c>
      <c r="FN134">
        <f ca="1"/>
      </c>
      <c r="FO134">
        <f ca="1"/>
      </c>
      <c r="FP134">
        <f ca="1"/>
      </c>
      <c r="FQ134">
        <f ca="1"/>
      </c>
      <c r="FR134">
        <f ca="1"/>
      </c>
      <c r="FS134">
        <f ca="1"/>
      </c>
      <c r="FT134">
        <f ca="1"/>
      </c>
      <c r="FU134">
        <f ca="1"/>
      </c>
      <c r="FV134">
        <f ca="1"/>
      </c>
      <c r="FW134">
        <f ca="1"/>
      </c>
      <c r="FX134">
        <f ca="1"/>
      </c>
      <c r="FY134">
        <f ca="1"/>
      </c>
      <c r="FZ134">
        <f ca="1"/>
      </c>
      <c r="GA134">
        <f ca="1"/>
      </c>
      <c r="GB134">
        <f ca="1"/>
      </c>
      <c r="GC134">
        <f ca="1"/>
      </c>
      <c r="GD134">
        <f ca="1"/>
      </c>
      <c r="GE134">
        <f ca="1"/>
      </c>
      <c r="GF134">
        <f ca="1"/>
      </c>
      <c r="GG134">
        <f ca="1"/>
      </c>
      <c r="GH134">
        <f ca="1"/>
      </c>
      <c r="GI134">
        <f ca="1"/>
      </c>
      <c r="GJ134">
        <f ca="1"/>
      </c>
      <c r="GK134">
        <f ca="1"/>
      </c>
      <c r="GL134">
        <f ca="1"/>
      </c>
      <c r="GM134">
        <f ca="1"/>
      </c>
      <c r="GN134">
        <f ca="1"/>
      </c>
      <c r="GO134">
        <f ca="1"/>
      </c>
      <c r="GP134">
        <f ca="1"/>
      </c>
      <c r="GQ134">
        <f ca="1"/>
      </c>
      <c r="GR134">
        <f ca="1"/>
      </c>
      <c r="GS134">
        <f ca="1"/>
      </c>
      <c r="GT134">
        <f ca="1"/>
      </c>
      <c r="GU134">
        <f ca="1"/>
      </c>
      <c r="GV134">
        <f ca="1"/>
      </c>
      <c r="GW134">
        <f ca="1"/>
      </c>
      <c r="HI134" s="7">
        <f ca="1"/>
      </c>
      <c r="HJ134">
        <f ca="1"/>
      </c>
      <c r="HK134">
        <f ca="1"/>
      </c>
      <c r="HL134">
        <f ca="1"/>
      </c>
      <c r="HM134">
        <f ca="1"/>
      </c>
    </row>
    <row r="135" spans="63:221" x14ac:dyDescent="0.55000000000000004">
      <c r="BK135">
        <f ca="1"/>
      </c>
      <c r="BL135">
        <f ca="1"/>
      </c>
      <c r="BM135">
        <f ca="1"/>
      </c>
      <c r="BN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  <c r="BV135">
        <f ca="1"/>
      </c>
      <c r="BW135">
        <f ca="1"/>
      </c>
      <c r="BX135">
        <f ca="1"/>
      </c>
      <c r="BY135">
        <f ca="1"/>
      </c>
      <c r="BZ135">
        <f ca="1"/>
      </c>
      <c r="CA135">
        <f ca="1"/>
      </c>
      <c r="CB135">
        <f ca="1"/>
      </c>
      <c r="CC135">
        <f ca="1"/>
      </c>
      <c r="CD135">
        <f ca="1"/>
      </c>
      <c r="CE135">
        <f ca="1"/>
      </c>
      <c r="CF135">
        <f ca="1"/>
      </c>
      <c r="CG135">
        <f ca="1"/>
      </c>
      <c r="CH135">
        <f ca="1"/>
      </c>
      <c r="CI135">
        <f ca="1"/>
      </c>
      <c r="CJ135">
        <f ca="1"/>
      </c>
      <c r="CK135">
        <f ca="1"/>
      </c>
      <c r="CL135">
        <f ca="1"/>
      </c>
      <c r="CM135">
        <f ca="1"/>
      </c>
      <c r="CN135">
        <f ca="1"/>
      </c>
      <c r="CO135">
        <f ca="1"/>
      </c>
      <c r="CP135">
        <f ca="1"/>
      </c>
      <c r="CQ135">
        <f ca="1"/>
      </c>
      <c r="CR135">
        <f ca="1"/>
      </c>
      <c r="CS135">
        <f ca="1"/>
      </c>
      <c r="CT135">
        <f ca="1"/>
      </c>
      <c r="CU135">
        <f ca="1"/>
      </c>
      <c r="CV135">
        <f ca="1"/>
      </c>
      <c r="CW135">
        <f ca="1"/>
      </c>
      <c r="CX135">
        <f ca="1"/>
      </c>
      <c r="CY135">
        <f ca="1"/>
      </c>
      <c r="CZ135">
        <f ca="1"/>
      </c>
      <c r="DA135">
        <f ca="1"/>
      </c>
      <c r="DB135">
        <f ca="1"/>
      </c>
      <c r="DC135">
        <f ca="1"/>
      </c>
      <c r="DD135">
        <f ca="1"/>
      </c>
      <c r="DE135">
        <f ca="1"/>
      </c>
      <c r="DG135">
        <f ca="1"/>
      </c>
      <c r="DH135">
        <f ca="1"/>
      </c>
      <c r="DI135">
        <f ca="1"/>
      </c>
      <c r="DJ135">
        <f ca="1"/>
      </c>
      <c r="DK135">
        <f ca="1"/>
      </c>
      <c r="DL135">
        <f ca="1"/>
      </c>
      <c r="DM135">
        <f ca="1"/>
      </c>
      <c r="DN135">
        <f ca="1"/>
      </c>
      <c r="DO135">
        <f ca="1"/>
      </c>
      <c r="DP135">
        <f ca="1"/>
      </c>
      <c r="DQ135">
        <f ca="1"/>
      </c>
      <c r="DR135">
        <f ca="1"/>
      </c>
      <c r="DS135">
        <f ca="1"/>
      </c>
      <c r="DT135">
        <f ca="1"/>
      </c>
      <c r="DU135">
        <f ca="1"/>
      </c>
      <c r="DV135">
        <f ca="1"/>
      </c>
      <c r="DW135">
        <f ca="1"/>
      </c>
      <c r="DX135">
        <f ca="1"/>
      </c>
      <c r="DY135">
        <f ca="1"/>
      </c>
      <c r="DZ135">
        <f ca="1"/>
      </c>
      <c r="EA135">
        <f ca="1"/>
      </c>
      <c r="EB135">
        <f ca="1"/>
      </c>
      <c r="EC135">
        <f ca="1"/>
      </c>
      <c r="ED135">
        <f ca="1"/>
      </c>
      <c r="EE135">
        <f ca="1"/>
      </c>
      <c r="EF135">
        <f ca="1"/>
      </c>
      <c r="EG135">
        <f ca="1"/>
      </c>
      <c r="EH135">
        <f ca="1"/>
      </c>
      <c r="EI135">
        <f ca="1"/>
      </c>
      <c r="EJ135">
        <f ca="1"/>
      </c>
      <c r="EK135">
        <f ca="1"/>
      </c>
      <c r="EL135">
        <f ca="1"/>
      </c>
      <c r="EM135">
        <f ca="1"/>
      </c>
      <c r="EN135">
        <f ca="1"/>
      </c>
      <c r="EO135">
        <f ca="1"/>
      </c>
      <c r="EP135">
        <f ca="1"/>
      </c>
      <c r="EQ135">
        <f ca="1"/>
      </c>
      <c r="ER135">
        <f ca="1"/>
      </c>
      <c r="ES135">
        <f ca="1"/>
      </c>
      <c r="ET135">
        <f ca="1"/>
      </c>
      <c r="EU135">
        <f ca="1"/>
      </c>
      <c r="EV135">
        <f ca="1"/>
      </c>
      <c r="EW135">
        <f ca="1"/>
      </c>
      <c r="EX135">
        <f ca="1"/>
      </c>
      <c r="EY135">
        <f ca="1"/>
      </c>
      <c r="EZ135">
        <f ca="1"/>
      </c>
      <c r="FA135">
        <f ca="1"/>
      </c>
      <c r="FC135">
        <f ca="1"/>
      </c>
      <c r="FD135">
        <f ca="1"/>
      </c>
      <c r="FE135">
        <f ca="1"/>
      </c>
      <c r="FF135">
        <f ca="1"/>
      </c>
      <c r="FG135">
        <f ca="1"/>
      </c>
      <c r="FH135">
        <f ca="1"/>
      </c>
      <c r="FI135">
        <f ca="1"/>
      </c>
      <c r="FJ135">
        <f ca="1"/>
      </c>
      <c r="FK135">
        <f ca="1"/>
      </c>
      <c r="FL135">
        <f ca="1"/>
      </c>
      <c r="FM135">
        <f ca="1"/>
      </c>
      <c r="FN135">
        <f ca="1"/>
      </c>
      <c r="FO135">
        <f ca="1"/>
      </c>
      <c r="FP135">
        <f ca="1"/>
      </c>
      <c r="FQ135">
        <f ca="1"/>
      </c>
      <c r="FR135">
        <f ca="1"/>
      </c>
      <c r="FS135">
        <f ca="1"/>
      </c>
      <c r="FT135">
        <f ca="1"/>
      </c>
      <c r="FU135">
        <f ca="1"/>
      </c>
      <c r="FV135">
        <f ca="1"/>
      </c>
      <c r="FW135">
        <f ca="1"/>
      </c>
      <c r="FX135">
        <f ca="1"/>
      </c>
      <c r="FY135">
        <f ca="1"/>
      </c>
      <c r="FZ135">
        <f ca="1"/>
      </c>
      <c r="GA135">
        <f ca="1"/>
      </c>
      <c r="GB135">
        <f ca="1"/>
      </c>
      <c r="GC135">
        <f ca="1"/>
      </c>
      <c r="GD135">
        <f ca="1"/>
      </c>
      <c r="GE135">
        <f ca="1"/>
      </c>
      <c r="GF135">
        <f ca="1"/>
      </c>
      <c r="GG135">
        <f ca="1"/>
      </c>
      <c r="GH135">
        <f ca="1"/>
      </c>
      <c r="GI135">
        <f ca="1"/>
      </c>
      <c r="GJ135">
        <f ca="1"/>
      </c>
      <c r="GK135">
        <f ca="1"/>
      </c>
      <c r="GL135">
        <f ca="1"/>
      </c>
      <c r="GM135">
        <f ca="1"/>
      </c>
      <c r="GN135">
        <f ca="1"/>
      </c>
      <c r="GO135">
        <f ca="1"/>
      </c>
      <c r="GP135">
        <f ca="1"/>
      </c>
      <c r="GQ135">
        <f ca="1"/>
      </c>
      <c r="GR135">
        <f ca="1"/>
      </c>
      <c r="GS135">
        <f ca="1"/>
      </c>
      <c r="GT135">
        <f ca="1"/>
      </c>
      <c r="GU135">
        <f ca="1"/>
      </c>
      <c r="GV135">
        <f ca="1"/>
      </c>
      <c r="GW135">
        <f ca="1"/>
      </c>
      <c r="HI135" s="7">
        <f ca="1"/>
      </c>
      <c r="HJ135">
        <f ca="1"/>
      </c>
      <c r="HK135">
        <f ca="1"/>
      </c>
      <c r="HL135">
        <f ca="1"/>
      </c>
      <c r="HM135">
        <f ca="1"/>
      </c>
    </row>
    <row r="136" spans="63:221" x14ac:dyDescent="0.55000000000000004">
      <c r="BK136">
        <f ca="1"/>
      </c>
      <c r="BL136">
        <f ca="1"/>
      </c>
      <c r="BM136">
        <f ca="1"/>
      </c>
      <c r="BN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  <c r="BV136">
        <f ca="1"/>
      </c>
      <c r="BW136">
        <f ca="1"/>
      </c>
      <c r="BX136">
        <f ca="1"/>
      </c>
      <c r="BY136">
        <f ca="1"/>
      </c>
      <c r="BZ136">
        <f ca="1"/>
      </c>
      <c r="CA136">
        <f ca="1"/>
      </c>
      <c r="CB136">
        <f ca="1"/>
      </c>
      <c r="CC136">
        <f ca="1"/>
      </c>
      <c r="CD136">
        <f ca="1"/>
      </c>
      <c r="CE136">
        <f ca="1"/>
      </c>
      <c r="CF136">
        <f ca="1"/>
      </c>
      <c r="CG136">
        <f ca="1"/>
      </c>
      <c r="CH136">
        <f ca="1"/>
      </c>
      <c r="CI136">
        <f ca="1"/>
      </c>
      <c r="CJ136">
        <f ca="1"/>
      </c>
      <c r="CK136">
        <f ca="1"/>
      </c>
      <c r="CL136">
        <f ca="1"/>
      </c>
      <c r="CM136">
        <f ca="1"/>
      </c>
      <c r="CN136">
        <f ca="1"/>
      </c>
      <c r="CO136">
        <f ca="1"/>
      </c>
      <c r="CP136">
        <f ca="1"/>
      </c>
      <c r="CQ136">
        <f ca="1"/>
      </c>
      <c r="CR136">
        <f ca="1"/>
      </c>
      <c r="CS136">
        <f ca="1"/>
      </c>
      <c r="CT136">
        <f ca="1"/>
      </c>
      <c r="CU136">
        <f ca="1"/>
      </c>
      <c r="CV136">
        <f ca="1"/>
      </c>
      <c r="CW136">
        <f ca="1"/>
      </c>
      <c r="CX136">
        <f ca="1"/>
      </c>
      <c r="CY136">
        <f ca="1"/>
      </c>
      <c r="CZ136">
        <f ca="1"/>
      </c>
      <c r="DA136">
        <f ca="1"/>
      </c>
      <c r="DB136">
        <f ca="1"/>
      </c>
      <c r="DC136">
        <f ca="1"/>
      </c>
      <c r="DD136">
        <f ca="1"/>
      </c>
      <c r="DE136">
        <f ca="1"/>
      </c>
      <c r="DG136">
        <f ca="1"/>
      </c>
      <c r="DH136">
        <f ca="1"/>
      </c>
      <c r="DI136">
        <f ca="1"/>
      </c>
      <c r="DJ136">
        <f ca="1"/>
      </c>
      <c r="DK136">
        <f ca="1"/>
      </c>
      <c r="DL136">
        <f ca="1"/>
      </c>
      <c r="DM136">
        <f ca="1"/>
      </c>
      <c r="DN136">
        <f ca="1"/>
      </c>
      <c r="DO136">
        <f ca="1"/>
      </c>
      <c r="DP136">
        <f ca="1"/>
      </c>
      <c r="DQ136">
        <f ca="1"/>
      </c>
      <c r="DR136">
        <f ca="1"/>
      </c>
      <c r="DS136">
        <f ca="1"/>
      </c>
      <c r="DT136">
        <f ca="1"/>
      </c>
      <c r="DU136">
        <f ca="1"/>
      </c>
      <c r="DV136">
        <f ca="1"/>
      </c>
      <c r="DW136">
        <f ca="1"/>
      </c>
      <c r="DX136">
        <f ca="1"/>
      </c>
      <c r="DY136">
        <f ca="1"/>
      </c>
      <c r="DZ136">
        <f ca="1"/>
      </c>
      <c r="EA136">
        <f ca="1"/>
      </c>
      <c r="EB136">
        <f ca="1"/>
      </c>
      <c r="EC136">
        <f ca="1"/>
      </c>
      <c r="ED136">
        <f ca="1"/>
      </c>
      <c r="EE136">
        <f ca="1"/>
      </c>
      <c r="EF136">
        <f ca="1"/>
      </c>
      <c r="EG136">
        <f ca="1"/>
      </c>
      <c r="EH136">
        <f ca="1"/>
      </c>
      <c r="EI136">
        <f ca="1"/>
      </c>
      <c r="EJ136">
        <f ca="1"/>
      </c>
      <c r="EK136">
        <f ca="1"/>
      </c>
      <c r="EL136">
        <f ca="1"/>
      </c>
      <c r="EM136">
        <f ca="1"/>
      </c>
      <c r="EN136">
        <f ca="1"/>
      </c>
      <c r="EO136">
        <f ca="1"/>
      </c>
      <c r="EP136">
        <f ca="1"/>
      </c>
      <c r="EQ136">
        <f ca="1"/>
      </c>
      <c r="ER136">
        <f ca="1"/>
      </c>
      <c r="ES136">
        <f ca="1"/>
      </c>
      <c r="ET136">
        <f ca="1"/>
      </c>
      <c r="EU136">
        <f ca="1"/>
      </c>
      <c r="EV136">
        <f ca="1"/>
      </c>
      <c r="EW136">
        <f ca="1"/>
      </c>
      <c r="EX136">
        <f ca="1"/>
      </c>
      <c r="EY136">
        <f ca="1"/>
      </c>
      <c r="EZ136">
        <f ca="1"/>
      </c>
      <c r="FA136">
        <f ca="1"/>
      </c>
      <c r="FC136">
        <f ca="1"/>
      </c>
      <c r="FD136">
        <f ca="1"/>
      </c>
      <c r="FE136">
        <f ca="1"/>
      </c>
      <c r="FF136">
        <f ca="1"/>
      </c>
      <c r="FG136">
        <f ca="1"/>
      </c>
      <c r="FH136">
        <f ca="1"/>
      </c>
      <c r="FI136">
        <f ca="1"/>
      </c>
      <c r="FJ136">
        <f ca="1"/>
      </c>
      <c r="FK136">
        <f ca="1"/>
      </c>
      <c r="FL136">
        <f ca="1"/>
      </c>
      <c r="FM136">
        <f ca="1"/>
      </c>
      <c r="FN136">
        <f ca="1"/>
      </c>
      <c r="FO136">
        <f ca="1"/>
      </c>
      <c r="FP136">
        <f ca="1"/>
      </c>
      <c r="FQ136">
        <f ca="1"/>
      </c>
      <c r="FR136">
        <f ca="1"/>
      </c>
      <c r="FS136">
        <f ca="1"/>
      </c>
      <c r="FT136">
        <f ca="1"/>
      </c>
      <c r="FU136">
        <f ca="1"/>
      </c>
      <c r="FV136">
        <f ca="1"/>
      </c>
      <c r="FW136">
        <f ca="1"/>
      </c>
      <c r="FX136">
        <f ca="1"/>
      </c>
      <c r="FY136">
        <f ca="1"/>
      </c>
      <c r="FZ136">
        <f ca="1"/>
      </c>
      <c r="GA136">
        <f ca="1"/>
      </c>
      <c r="GB136">
        <f ca="1"/>
      </c>
      <c r="GC136">
        <f ca="1"/>
      </c>
      <c r="GD136">
        <f ca="1"/>
      </c>
      <c r="GE136">
        <f ca="1"/>
      </c>
      <c r="GF136">
        <f ca="1"/>
      </c>
      <c r="GG136">
        <f ca="1"/>
      </c>
      <c r="GH136">
        <f ca="1"/>
      </c>
      <c r="GI136">
        <f ca="1"/>
      </c>
      <c r="GJ136">
        <f ca="1"/>
      </c>
      <c r="GK136">
        <f ca="1"/>
      </c>
      <c r="GL136">
        <f ca="1"/>
      </c>
      <c r="GM136">
        <f ca="1"/>
      </c>
      <c r="GN136">
        <f ca="1"/>
      </c>
      <c r="GO136">
        <f ca="1"/>
      </c>
      <c r="GP136">
        <f ca="1"/>
      </c>
      <c r="GQ136">
        <f ca="1"/>
      </c>
      <c r="GR136">
        <f ca="1"/>
      </c>
      <c r="GS136">
        <f ca="1"/>
      </c>
      <c r="GT136">
        <f ca="1"/>
      </c>
      <c r="GU136">
        <f ca="1"/>
      </c>
      <c r="GV136">
        <f ca="1"/>
      </c>
      <c r="GW136">
        <f ca="1"/>
      </c>
      <c r="HI136" s="7">
        <f ca="1"/>
      </c>
      <c r="HJ136">
        <f ca="1"/>
      </c>
      <c r="HK136">
        <f ca="1"/>
      </c>
      <c r="HL136">
        <f ca="1"/>
      </c>
      <c r="HM136">
        <f ca="1"/>
      </c>
    </row>
    <row r="137" spans="63:221" x14ac:dyDescent="0.55000000000000004">
      <c r="BK137">
        <f ca="1"/>
      </c>
      <c r="BL137">
        <f ca="1"/>
      </c>
      <c r="BM137">
        <f ca="1"/>
      </c>
      <c r="BN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  <c r="BV137">
        <f ca="1"/>
      </c>
      <c r="BW137">
        <f ca="1"/>
      </c>
      <c r="BX137">
        <f ca="1"/>
      </c>
      <c r="BY137">
        <f ca="1"/>
      </c>
      <c r="BZ137">
        <f ca="1"/>
      </c>
      <c r="CA137">
        <f ca="1"/>
      </c>
      <c r="CB137">
        <f ca="1"/>
      </c>
      <c r="CC137">
        <f ca="1"/>
      </c>
      <c r="CD137">
        <f ca="1"/>
      </c>
      <c r="CE137">
        <f ca="1"/>
      </c>
      <c r="CF137">
        <f ca="1"/>
      </c>
      <c r="CG137">
        <f ca="1"/>
      </c>
      <c r="CH137">
        <f ca="1"/>
      </c>
      <c r="CI137">
        <f ca="1"/>
      </c>
      <c r="CJ137">
        <f ca="1"/>
      </c>
      <c r="CK137">
        <f ca="1"/>
      </c>
      <c r="CL137">
        <f ca="1"/>
      </c>
      <c r="CM137">
        <f ca="1"/>
      </c>
      <c r="CN137">
        <f ca="1"/>
      </c>
      <c r="CO137">
        <f ca="1"/>
      </c>
      <c r="CP137">
        <f ca="1"/>
      </c>
      <c r="CQ137">
        <f ca="1"/>
      </c>
      <c r="CR137">
        <f ca="1"/>
      </c>
      <c r="CS137">
        <f ca="1"/>
      </c>
      <c r="CT137">
        <f ca="1"/>
      </c>
      <c r="CU137">
        <f ca="1"/>
      </c>
      <c r="CV137">
        <f ca="1"/>
      </c>
      <c r="CW137">
        <f ca="1"/>
      </c>
      <c r="CX137">
        <f ca="1"/>
      </c>
      <c r="CY137">
        <f ca="1"/>
      </c>
      <c r="CZ137">
        <f ca="1"/>
      </c>
      <c r="DA137">
        <f ca="1"/>
      </c>
      <c r="DB137">
        <f ca="1"/>
      </c>
      <c r="DC137">
        <f ca="1"/>
      </c>
      <c r="DD137">
        <f ca="1"/>
      </c>
      <c r="DE137">
        <f ca="1"/>
      </c>
      <c r="DG137">
        <f ca="1"/>
      </c>
      <c r="DH137">
        <f ca="1"/>
      </c>
      <c r="DI137">
        <f ca="1"/>
      </c>
      <c r="DJ137">
        <f ca="1"/>
      </c>
      <c r="DK137">
        <f ca="1"/>
      </c>
      <c r="DL137">
        <f ca="1"/>
      </c>
      <c r="DM137">
        <f ca="1"/>
      </c>
      <c r="DN137">
        <f ca="1"/>
      </c>
      <c r="DO137">
        <f ca="1"/>
      </c>
      <c r="DP137">
        <f ca="1"/>
      </c>
      <c r="DQ137">
        <f ca="1"/>
      </c>
      <c r="DR137">
        <f ca="1"/>
      </c>
      <c r="DS137">
        <f ca="1"/>
      </c>
      <c r="DT137">
        <f ca="1"/>
      </c>
      <c r="DU137">
        <f ca="1"/>
      </c>
      <c r="DV137">
        <f ca="1"/>
      </c>
      <c r="DW137">
        <f ca="1"/>
      </c>
      <c r="DX137">
        <f ca="1"/>
      </c>
      <c r="DY137">
        <f ca="1"/>
      </c>
      <c r="DZ137">
        <f ca="1"/>
      </c>
      <c r="EA137">
        <f ca="1"/>
      </c>
      <c r="EB137">
        <f ca="1"/>
      </c>
      <c r="EC137">
        <f ca="1"/>
      </c>
      <c r="ED137">
        <f ca="1"/>
      </c>
      <c r="EE137">
        <f ca="1"/>
      </c>
      <c r="EF137">
        <f ca="1"/>
      </c>
      <c r="EG137">
        <f ca="1"/>
      </c>
      <c r="EH137">
        <f ca="1"/>
      </c>
      <c r="EI137">
        <f ca="1"/>
      </c>
      <c r="EJ137">
        <f ca="1"/>
      </c>
      <c r="EK137">
        <f ca="1"/>
      </c>
      <c r="EL137">
        <f ca="1"/>
      </c>
      <c r="EM137">
        <f ca="1"/>
      </c>
      <c r="EN137">
        <f ca="1"/>
      </c>
      <c r="EO137">
        <f ca="1"/>
      </c>
      <c r="EP137">
        <f ca="1"/>
      </c>
      <c r="EQ137">
        <f ca="1"/>
      </c>
      <c r="ER137">
        <f ca="1"/>
      </c>
      <c r="ES137">
        <f ca="1"/>
      </c>
      <c r="ET137">
        <f ca="1"/>
      </c>
      <c r="EU137">
        <f ca="1"/>
      </c>
      <c r="EV137">
        <f ca="1"/>
      </c>
      <c r="EW137">
        <f ca="1"/>
      </c>
      <c r="EX137">
        <f ca="1"/>
      </c>
      <c r="EY137">
        <f ca="1"/>
      </c>
      <c r="EZ137">
        <f ca="1"/>
      </c>
      <c r="FA137">
        <f ca="1"/>
      </c>
      <c r="FC137">
        <f ca="1"/>
      </c>
      <c r="FD137">
        <f ca="1"/>
      </c>
      <c r="FE137">
        <f ca="1"/>
      </c>
      <c r="FF137">
        <f ca="1"/>
      </c>
      <c r="FG137">
        <f ca="1"/>
      </c>
      <c r="FH137">
        <f ca="1"/>
      </c>
      <c r="FI137">
        <f ca="1"/>
      </c>
      <c r="FJ137">
        <f ca="1"/>
      </c>
      <c r="FK137">
        <f ca="1"/>
      </c>
      <c r="FL137">
        <f ca="1"/>
      </c>
      <c r="FM137">
        <f ca="1"/>
      </c>
      <c r="FN137">
        <f ca="1"/>
      </c>
      <c r="FO137">
        <f ca="1"/>
      </c>
      <c r="FP137">
        <f ca="1"/>
      </c>
      <c r="FQ137">
        <f ca="1"/>
      </c>
      <c r="FR137">
        <f ca="1"/>
      </c>
      <c r="FS137">
        <f ca="1"/>
      </c>
      <c r="FT137">
        <f ca="1"/>
      </c>
      <c r="FU137">
        <f ca="1"/>
      </c>
      <c r="FV137">
        <f ca="1"/>
      </c>
      <c r="FW137">
        <f ca="1"/>
      </c>
      <c r="FX137">
        <f ca="1"/>
      </c>
      <c r="FY137">
        <f ca="1"/>
      </c>
      <c r="FZ137">
        <f ca="1"/>
      </c>
      <c r="GA137">
        <f ca="1"/>
      </c>
      <c r="GB137">
        <f ca="1"/>
      </c>
      <c r="GC137">
        <f ca="1"/>
      </c>
      <c r="GD137">
        <f ca="1"/>
      </c>
      <c r="GE137">
        <f ca="1"/>
      </c>
      <c r="GF137">
        <f ca="1"/>
      </c>
      <c r="GG137">
        <f ca="1"/>
      </c>
      <c r="GH137">
        <f ca="1"/>
      </c>
      <c r="GI137">
        <f ca="1"/>
      </c>
      <c r="GJ137">
        <f ca="1"/>
      </c>
      <c r="GK137">
        <f ca="1"/>
      </c>
      <c r="GL137">
        <f ca="1"/>
      </c>
      <c r="GM137">
        <f ca="1"/>
      </c>
      <c r="GN137">
        <f ca="1"/>
      </c>
      <c r="GO137">
        <f ca="1"/>
      </c>
      <c r="GP137">
        <f ca="1"/>
      </c>
      <c r="GQ137">
        <f ca="1"/>
      </c>
      <c r="GR137">
        <f ca="1"/>
      </c>
      <c r="GS137">
        <f ca="1"/>
      </c>
      <c r="GT137">
        <f ca="1"/>
      </c>
      <c r="GU137">
        <f ca="1"/>
      </c>
      <c r="GV137">
        <f ca="1"/>
      </c>
      <c r="GW137">
        <f ca="1"/>
      </c>
      <c r="HI137" s="7">
        <f ca="1"/>
      </c>
      <c r="HJ137">
        <f ca="1"/>
      </c>
      <c r="HK137">
        <f ca="1"/>
      </c>
      <c r="HL137">
        <f ca="1"/>
      </c>
      <c r="HM137">
        <f ca="1"/>
      </c>
    </row>
    <row r="138" spans="63:221" x14ac:dyDescent="0.55000000000000004">
      <c r="BK138">
        <f ca="1"/>
      </c>
      <c r="BL138">
        <f ca="1"/>
      </c>
      <c r="BM138">
        <f ca="1"/>
      </c>
      <c r="BN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  <c r="BV138">
        <f ca="1"/>
      </c>
      <c r="BW138">
        <f ca="1"/>
      </c>
      <c r="BX138">
        <f ca="1"/>
      </c>
      <c r="BY138">
        <f ca="1"/>
      </c>
      <c r="BZ138">
        <f ca="1"/>
      </c>
      <c r="CA138">
        <f ca="1"/>
      </c>
      <c r="CB138">
        <f ca="1"/>
      </c>
      <c r="CC138">
        <f ca="1"/>
      </c>
      <c r="CD138">
        <f ca="1"/>
      </c>
      <c r="CE138">
        <f ca="1"/>
      </c>
      <c r="CF138">
        <f ca="1"/>
      </c>
      <c r="CG138">
        <f ca="1"/>
      </c>
      <c r="CH138">
        <f ca="1"/>
      </c>
      <c r="CI138">
        <f ca="1"/>
      </c>
      <c r="CJ138">
        <f ca="1"/>
      </c>
      <c r="CK138">
        <f ca="1"/>
      </c>
      <c r="CL138">
        <f ca="1"/>
      </c>
      <c r="CM138">
        <f ca="1"/>
      </c>
      <c r="CN138">
        <f ca="1"/>
      </c>
      <c r="CO138">
        <f ca="1"/>
      </c>
      <c r="CP138">
        <f ca="1"/>
      </c>
      <c r="CQ138">
        <f ca="1"/>
      </c>
      <c r="CR138">
        <f ca="1"/>
      </c>
      <c r="CS138">
        <f ca="1"/>
      </c>
      <c r="CT138">
        <f ca="1"/>
      </c>
      <c r="CU138">
        <f ca="1"/>
      </c>
      <c r="CV138">
        <f ca="1"/>
      </c>
      <c r="CW138">
        <f ca="1"/>
      </c>
      <c r="CX138">
        <f ca="1"/>
      </c>
      <c r="CY138">
        <f ca="1"/>
      </c>
      <c r="CZ138">
        <f ca="1"/>
      </c>
      <c r="DA138">
        <f ca="1"/>
      </c>
      <c r="DB138">
        <f ca="1"/>
      </c>
      <c r="DC138">
        <f ca="1"/>
      </c>
      <c r="DD138">
        <f ca="1"/>
      </c>
      <c r="DE138">
        <f ca="1"/>
      </c>
      <c r="DG138">
        <f ca="1"/>
      </c>
      <c r="DH138">
        <f ca="1"/>
      </c>
      <c r="DI138">
        <f ca="1"/>
      </c>
      <c r="DJ138">
        <f ca="1"/>
      </c>
      <c r="DK138">
        <f ca="1"/>
      </c>
      <c r="DL138">
        <f ca="1"/>
      </c>
      <c r="DM138">
        <f ca="1"/>
      </c>
      <c r="DN138">
        <f ca="1"/>
      </c>
      <c r="DO138">
        <f ca="1"/>
      </c>
      <c r="DP138">
        <f ca="1"/>
      </c>
      <c r="DQ138">
        <f ca="1"/>
      </c>
      <c r="DR138">
        <f ca="1"/>
      </c>
      <c r="DS138">
        <f ca="1"/>
      </c>
      <c r="DT138">
        <f ca="1"/>
      </c>
      <c r="DU138">
        <f ca="1"/>
      </c>
      <c r="DV138">
        <f ca="1"/>
      </c>
      <c r="DW138">
        <f ca="1"/>
      </c>
      <c r="DX138">
        <f ca="1"/>
      </c>
      <c r="DY138">
        <f ca="1"/>
      </c>
      <c r="DZ138">
        <f ca="1"/>
      </c>
      <c r="EA138">
        <f ca="1"/>
      </c>
      <c r="EB138">
        <f ca="1"/>
      </c>
      <c r="EC138">
        <f ca="1"/>
      </c>
      <c r="ED138">
        <f ca="1"/>
      </c>
      <c r="EE138">
        <f ca="1"/>
      </c>
      <c r="EF138">
        <f ca="1"/>
      </c>
      <c r="EG138">
        <f ca="1"/>
      </c>
      <c r="EH138">
        <f ca="1"/>
      </c>
      <c r="EI138">
        <f ca="1"/>
      </c>
      <c r="EJ138">
        <f ca="1"/>
      </c>
      <c r="EK138">
        <f ca="1"/>
      </c>
      <c r="EL138">
        <f ca="1"/>
      </c>
      <c r="EM138">
        <f ca="1"/>
      </c>
      <c r="EN138">
        <f ca="1"/>
      </c>
      <c r="EO138">
        <f ca="1"/>
      </c>
      <c r="EP138">
        <f ca="1"/>
      </c>
      <c r="EQ138">
        <f ca="1"/>
      </c>
      <c r="ER138">
        <f ca="1"/>
      </c>
      <c r="ES138">
        <f ca="1"/>
      </c>
      <c r="ET138">
        <f ca="1"/>
      </c>
      <c r="EU138">
        <f ca="1"/>
      </c>
      <c r="EV138">
        <f ca="1"/>
      </c>
      <c r="EW138">
        <f ca="1"/>
      </c>
      <c r="EX138">
        <f ca="1"/>
      </c>
      <c r="EY138">
        <f ca="1"/>
      </c>
      <c r="EZ138">
        <f ca="1"/>
      </c>
      <c r="FA138">
        <f ca="1"/>
      </c>
      <c r="FC138">
        <f ca="1"/>
      </c>
      <c r="FD138">
        <f ca="1"/>
      </c>
      <c r="FE138">
        <f ca="1"/>
      </c>
      <c r="FF138">
        <f ca="1"/>
      </c>
      <c r="FG138">
        <f ca="1"/>
      </c>
      <c r="FH138">
        <f ca="1"/>
      </c>
      <c r="FI138">
        <f ca="1"/>
      </c>
      <c r="FJ138">
        <f ca="1"/>
      </c>
      <c r="FK138">
        <f ca="1"/>
      </c>
      <c r="FL138">
        <f ca="1"/>
      </c>
      <c r="FM138">
        <f ca="1"/>
      </c>
      <c r="FN138">
        <f ca="1"/>
      </c>
      <c r="FO138">
        <f ca="1"/>
      </c>
      <c r="FP138">
        <f ca="1"/>
      </c>
      <c r="FQ138">
        <f ca="1"/>
      </c>
      <c r="FR138">
        <f ca="1"/>
      </c>
      <c r="FS138">
        <f ca="1"/>
      </c>
      <c r="FT138">
        <f ca="1"/>
      </c>
      <c r="FU138">
        <f ca="1"/>
      </c>
      <c r="FV138">
        <f ca="1"/>
      </c>
      <c r="FW138">
        <f ca="1"/>
      </c>
      <c r="FX138">
        <f ca="1"/>
      </c>
      <c r="FY138">
        <f ca="1"/>
      </c>
      <c r="FZ138">
        <f ca="1"/>
      </c>
      <c r="GA138">
        <f ca="1"/>
      </c>
      <c r="GB138">
        <f ca="1"/>
      </c>
      <c r="GC138">
        <f ca="1"/>
      </c>
      <c r="GD138">
        <f ca="1"/>
      </c>
      <c r="GE138">
        <f ca="1"/>
      </c>
      <c r="GF138">
        <f ca="1"/>
      </c>
      <c r="GG138">
        <f ca="1"/>
      </c>
      <c r="GH138">
        <f ca="1"/>
      </c>
      <c r="GI138">
        <f ca="1"/>
      </c>
      <c r="GJ138">
        <f ca="1"/>
      </c>
      <c r="GK138">
        <f ca="1"/>
      </c>
      <c r="GL138">
        <f ca="1"/>
      </c>
      <c r="GM138">
        <f ca="1"/>
      </c>
      <c r="GN138">
        <f ca="1"/>
      </c>
      <c r="GO138">
        <f ca="1"/>
      </c>
      <c r="GP138">
        <f ca="1"/>
      </c>
      <c r="GQ138">
        <f ca="1"/>
      </c>
      <c r="GR138">
        <f ca="1"/>
      </c>
      <c r="GS138">
        <f ca="1"/>
      </c>
      <c r="GT138">
        <f ca="1"/>
      </c>
      <c r="GU138">
        <f ca="1"/>
      </c>
      <c r="GV138">
        <f ca="1"/>
      </c>
      <c r="GW138">
        <f ca="1"/>
      </c>
      <c r="HI138" s="7">
        <f ca="1"/>
      </c>
      <c r="HJ138">
        <f ca="1"/>
      </c>
      <c r="HK138">
        <f ca="1"/>
      </c>
      <c r="HL138">
        <f ca="1"/>
      </c>
      <c r="HM138">
        <f ca="1"/>
      </c>
    </row>
    <row r="139" spans="63:221" x14ac:dyDescent="0.55000000000000004">
      <c r="BK139">
        <f ca="1"/>
      </c>
      <c r="BL139">
        <f ca="1"/>
      </c>
      <c r="BM139">
        <f ca="1"/>
      </c>
      <c r="BN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  <c r="BV139">
        <f ca="1"/>
      </c>
      <c r="BW139">
        <f ca="1"/>
      </c>
      <c r="BX139">
        <f ca="1"/>
      </c>
      <c r="BY139">
        <f ca="1"/>
      </c>
      <c r="BZ139">
        <f ca="1"/>
      </c>
      <c r="CA139">
        <f ca="1"/>
      </c>
      <c r="CB139">
        <f ca="1"/>
      </c>
      <c r="CC139">
        <f ca="1"/>
      </c>
      <c r="CD139">
        <f ca="1"/>
      </c>
      <c r="CE139">
        <f ca="1"/>
      </c>
      <c r="CF139">
        <f ca="1"/>
      </c>
      <c r="CG139">
        <f ca="1"/>
      </c>
      <c r="CH139">
        <f ca="1"/>
      </c>
      <c r="CI139">
        <f ca="1"/>
      </c>
      <c r="CJ139">
        <f ca="1"/>
      </c>
      <c r="CK139">
        <f ca="1"/>
      </c>
      <c r="CL139">
        <f ca="1"/>
      </c>
      <c r="CM139">
        <f ca="1"/>
      </c>
      <c r="CN139">
        <f ca="1"/>
      </c>
      <c r="CO139">
        <f ca="1"/>
      </c>
      <c r="CP139">
        <f ca="1"/>
      </c>
      <c r="CQ139">
        <f ca="1"/>
      </c>
      <c r="CR139">
        <f ca="1"/>
      </c>
      <c r="CS139">
        <f ca="1"/>
      </c>
      <c r="CT139">
        <f ca="1"/>
      </c>
      <c r="CU139">
        <f ca="1"/>
      </c>
      <c r="CV139">
        <f ca="1"/>
      </c>
      <c r="CW139">
        <f ca="1"/>
      </c>
      <c r="CX139">
        <f ca="1"/>
      </c>
      <c r="CY139">
        <f ca="1"/>
      </c>
      <c r="CZ139">
        <f ca="1"/>
      </c>
      <c r="DA139">
        <f ca="1"/>
      </c>
      <c r="DB139">
        <f ca="1"/>
      </c>
      <c r="DC139">
        <f ca="1"/>
      </c>
      <c r="DD139">
        <f ca="1"/>
      </c>
      <c r="DE139">
        <f ca="1"/>
      </c>
      <c r="DG139">
        <f ca="1"/>
      </c>
      <c r="DH139">
        <f ca="1"/>
      </c>
      <c r="DI139">
        <f ca="1"/>
      </c>
      <c r="DJ139">
        <f ca="1"/>
      </c>
      <c r="DK139">
        <f ca="1"/>
      </c>
      <c r="DL139">
        <f ca="1"/>
      </c>
      <c r="DM139">
        <f ca="1"/>
      </c>
      <c r="DN139">
        <f ca="1"/>
      </c>
      <c r="DO139">
        <f ca="1"/>
      </c>
      <c r="DP139">
        <f ca="1"/>
      </c>
      <c r="DQ139">
        <f ca="1"/>
      </c>
      <c r="DR139">
        <f ca="1"/>
      </c>
      <c r="DS139">
        <f ca="1"/>
      </c>
      <c r="DT139">
        <f ca="1"/>
      </c>
      <c r="DU139">
        <f ca="1"/>
      </c>
      <c r="DV139">
        <f ca="1"/>
      </c>
      <c r="DW139">
        <f ca="1"/>
      </c>
      <c r="DX139">
        <f ca="1"/>
      </c>
      <c r="DY139">
        <f ca="1"/>
      </c>
      <c r="DZ139">
        <f ca="1"/>
      </c>
      <c r="EA139">
        <f ca="1"/>
      </c>
      <c r="EB139">
        <f ca="1"/>
      </c>
      <c r="EC139">
        <f ca="1"/>
      </c>
      <c r="ED139">
        <f ca="1"/>
      </c>
      <c r="EE139">
        <f ca="1"/>
      </c>
      <c r="EF139">
        <f ca="1"/>
      </c>
      <c r="EG139">
        <f ca="1"/>
      </c>
      <c r="EH139">
        <f ca="1"/>
      </c>
      <c r="EI139">
        <f ca="1"/>
      </c>
      <c r="EJ139">
        <f ca="1"/>
      </c>
      <c r="EK139">
        <f ca="1"/>
      </c>
      <c r="EL139">
        <f ca="1"/>
      </c>
      <c r="EM139">
        <f ca="1"/>
      </c>
      <c r="EN139">
        <f ca="1"/>
      </c>
      <c r="EO139">
        <f ca="1"/>
      </c>
      <c r="EP139">
        <f ca="1"/>
      </c>
      <c r="EQ139">
        <f ca="1"/>
      </c>
      <c r="ER139">
        <f ca="1"/>
      </c>
      <c r="ES139">
        <f ca="1"/>
      </c>
      <c r="ET139">
        <f ca="1"/>
      </c>
      <c r="EU139">
        <f ca="1"/>
      </c>
      <c r="EV139">
        <f ca="1"/>
      </c>
      <c r="EW139">
        <f ca="1"/>
      </c>
      <c r="EX139">
        <f ca="1"/>
      </c>
      <c r="EY139">
        <f ca="1"/>
      </c>
      <c r="EZ139">
        <f ca="1"/>
      </c>
      <c r="FA139">
        <f ca="1"/>
      </c>
      <c r="FC139">
        <f ca="1"/>
      </c>
      <c r="FD139">
        <f ca="1"/>
      </c>
      <c r="FE139">
        <f ca="1"/>
      </c>
      <c r="FF139">
        <f ca="1"/>
      </c>
      <c r="FG139">
        <f ca="1"/>
      </c>
      <c r="FH139">
        <f ca="1"/>
      </c>
      <c r="FI139">
        <f ca="1"/>
      </c>
      <c r="FJ139">
        <f ca="1"/>
      </c>
      <c r="FK139">
        <f ca="1"/>
      </c>
      <c r="FL139">
        <f ca="1"/>
      </c>
      <c r="FM139">
        <f ca="1"/>
      </c>
      <c r="FN139">
        <f ca="1"/>
      </c>
      <c r="FO139">
        <f ca="1"/>
      </c>
      <c r="FP139">
        <f ca="1"/>
      </c>
      <c r="FQ139">
        <f ca="1"/>
      </c>
      <c r="FR139">
        <f ca="1"/>
      </c>
      <c r="FS139">
        <f ca="1"/>
      </c>
      <c r="FT139">
        <f ca="1"/>
      </c>
      <c r="FU139">
        <f ca="1"/>
      </c>
      <c r="FV139">
        <f ca="1"/>
      </c>
      <c r="FW139">
        <f ca="1"/>
      </c>
      <c r="FX139">
        <f ca="1"/>
      </c>
      <c r="FY139">
        <f ca="1"/>
      </c>
      <c r="FZ139">
        <f ca="1"/>
      </c>
      <c r="GA139">
        <f ca="1"/>
      </c>
      <c r="GB139">
        <f ca="1"/>
      </c>
      <c r="GC139">
        <f ca="1"/>
      </c>
      <c r="GD139">
        <f ca="1"/>
      </c>
      <c r="GE139">
        <f ca="1"/>
      </c>
      <c r="GF139">
        <f ca="1"/>
      </c>
      <c r="GG139">
        <f ca="1"/>
      </c>
      <c r="GH139">
        <f ca="1"/>
      </c>
      <c r="GI139">
        <f ca="1"/>
      </c>
      <c r="GJ139">
        <f ca="1"/>
      </c>
      <c r="GK139">
        <f ca="1"/>
      </c>
      <c r="GL139">
        <f ca="1"/>
      </c>
      <c r="GM139">
        <f ca="1"/>
      </c>
      <c r="GN139">
        <f ca="1"/>
      </c>
      <c r="GO139">
        <f ca="1"/>
      </c>
      <c r="GP139">
        <f ca="1"/>
      </c>
      <c r="GQ139">
        <f ca="1"/>
      </c>
      <c r="GR139">
        <f ca="1"/>
      </c>
      <c r="GS139">
        <f ca="1"/>
      </c>
      <c r="GT139">
        <f ca="1"/>
      </c>
      <c r="GU139">
        <f ca="1"/>
      </c>
      <c r="GV139">
        <f ca="1"/>
      </c>
      <c r="GW139">
        <f ca="1"/>
      </c>
      <c r="HI139" s="7">
        <f ca="1"/>
      </c>
      <c r="HJ139">
        <f ca="1"/>
      </c>
      <c r="HK139">
        <f ca="1"/>
      </c>
      <c r="HL139">
        <f ca="1"/>
      </c>
      <c r="HM139">
        <f ca="1"/>
      </c>
    </row>
    <row r="140" spans="63:221" x14ac:dyDescent="0.55000000000000004">
      <c r="BK140">
        <f ca="1"/>
      </c>
      <c r="BL140">
        <f ca="1"/>
      </c>
      <c r="BM140">
        <f ca="1"/>
      </c>
      <c r="BN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  <c r="BV140">
        <f ca="1"/>
      </c>
      <c r="BW140">
        <f ca="1"/>
      </c>
      <c r="BX140">
        <f ca="1"/>
      </c>
      <c r="BY140">
        <f ca="1"/>
      </c>
      <c r="BZ140">
        <f ca="1"/>
      </c>
      <c r="CA140">
        <f ca="1"/>
      </c>
      <c r="CB140">
        <f ca="1"/>
      </c>
      <c r="CC140">
        <f ca="1"/>
      </c>
      <c r="CD140">
        <f ca="1"/>
      </c>
      <c r="CE140">
        <f ca="1"/>
      </c>
      <c r="CF140">
        <f ca="1"/>
      </c>
      <c r="CG140">
        <f ca="1"/>
      </c>
      <c r="CH140">
        <f ca="1"/>
      </c>
      <c r="CI140">
        <f ca="1"/>
      </c>
      <c r="CJ140">
        <f ca="1"/>
      </c>
      <c r="CK140">
        <f ca="1"/>
      </c>
      <c r="CL140">
        <f ca="1"/>
      </c>
      <c r="CM140">
        <f ca="1"/>
      </c>
      <c r="CN140">
        <f ca="1"/>
      </c>
      <c r="CO140">
        <f ca="1"/>
      </c>
      <c r="CP140">
        <f ca="1"/>
      </c>
      <c r="CQ140">
        <f ca="1"/>
      </c>
      <c r="CR140">
        <f ca="1"/>
      </c>
      <c r="CS140">
        <f ca="1"/>
      </c>
      <c r="CT140">
        <f ca="1"/>
      </c>
      <c r="CU140">
        <f ca="1"/>
      </c>
      <c r="CV140">
        <f ca="1"/>
      </c>
      <c r="CW140">
        <f ca="1"/>
      </c>
      <c r="CX140">
        <f ca="1"/>
      </c>
      <c r="CY140">
        <f ca="1"/>
      </c>
      <c r="CZ140">
        <f ca="1"/>
      </c>
      <c r="DA140">
        <f ca="1"/>
      </c>
      <c r="DB140">
        <f ca="1"/>
      </c>
      <c r="DC140">
        <f ca="1"/>
      </c>
      <c r="DD140">
        <f ca="1"/>
      </c>
      <c r="DE140">
        <f ca="1"/>
      </c>
      <c r="DG140">
        <f ca="1"/>
      </c>
      <c r="DH140">
        <f ca="1"/>
      </c>
      <c r="DI140">
        <f ca="1"/>
      </c>
      <c r="DJ140">
        <f ca="1"/>
      </c>
      <c r="DK140">
        <f ca="1"/>
      </c>
      <c r="DL140">
        <f ca="1"/>
      </c>
      <c r="DM140">
        <f ca="1"/>
      </c>
      <c r="DN140">
        <f ca="1"/>
      </c>
      <c r="DO140">
        <f ca="1"/>
      </c>
      <c r="DP140">
        <f ca="1"/>
      </c>
      <c r="DQ140">
        <f ca="1"/>
      </c>
      <c r="DR140">
        <f ca="1"/>
      </c>
      <c r="DS140">
        <f ca="1"/>
      </c>
      <c r="DT140">
        <f ca="1"/>
      </c>
      <c r="DU140">
        <f ca="1"/>
      </c>
      <c r="DV140">
        <f ca="1"/>
      </c>
      <c r="DW140">
        <f ca="1"/>
      </c>
      <c r="DX140">
        <f ca="1"/>
      </c>
      <c r="DY140">
        <f ca="1"/>
      </c>
      <c r="DZ140">
        <f ca="1"/>
      </c>
      <c r="EA140">
        <f ca="1"/>
      </c>
      <c r="EB140">
        <f ca="1"/>
      </c>
      <c r="EC140">
        <f ca="1"/>
      </c>
      <c r="ED140">
        <f ca="1"/>
      </c>
      <c r="EE140">
        <f ca="1"/>
      </c>
      <c r="EF140">
        <f ca="1"/>
      </c>
      <c r="EG140">
        <f ca="1"/>
      </c>
      <c r="EH140">
        <f ca="1"/>
      </c>
      <c r="EI140">
        <f ca="1"/>
      </c>
      <c r="EJ140">
        <f ca="1"/>
      </c>
      <c r="EK140">
        <f ca="1"/>
      </c>
      <c r="EL140">
        <f ca="1"/>
      </c>
      <c r="EM140">
        <f ca="1"/>
      </c>
      <c r="EN140">
        <f ca="1"/>
      </c>
      <c r="EO140">
        <f ca="1"/>
      </c>
      <c r="EP140">
        <f ca="1"/>
      </c>
      <c r="EQ140">
        <f ca="1"/>
      </c>
      <c r="ER140">
        <f ca="1"/>
      </c>
      <c r="ES140">
        <f ca="1"/>
      </c>
      <c r="ET140">
        <f ca="1"/>
      </c>
      <c r="EU140">
        <f ca="1"/>
      </c>
      <c r="EV140">
        <f ca="1"/>
      </c>
      <c r="EW140">
        <f ca="1"/>
      </c>
      <c r="EX140">
        <f ca="1"/>
      </c>
      <c r="EY140">
        <f ca="1"/>
      </c>
      <c r="EZ140">
        <f ca="1"/>
      </c>
      <c r="FA140">
        <f ca="1"/>
      </c>
      <c r="FC140">
        <f ca="1"/>
      </c>
      <c r="FD140">
        <f ca="1"/>
      </c>
      <c r="FE140">
        <f ca="1"/>
      </c>
      <c r="FF140">
        <f ca="1"/>
      </c>
      <c r="FG140">
        <f ca="1"/>
      </c>
      <c r="FH140">
        <f ca="1"/>
      </c>
      <c r="FI140">
        <f ca="1"/>
      </c>
      <c r="FJ140">
        <f ca="1"/>
      </c>
      <c r="FK140">
        <f ca="1"/>
      </c>
      <c r="FL140">
        <f ca="1"/>
      </c>
      <c r="FM140">
        <f ca="1"/>
      </c>
      <c r="FN140">
        <f ca="1"/>
      </c>
      <c r="FO140">
        <f ca="1"/>
      </c>
      <c r="FP140">
        <f ca="1"/>
      </c>
      <c r="FQ140">
        <f ca="1"/>
      </c>
      <c r="FR140">
        <f ca="1"/>
      </c>
      <c r="FS140">
        <f ca="1"/>
      </c>
      <c r="FT140">
        <f ca="1"/>
      </c>
      <c r="FU140">
        <f ca="1"/>
      </c>
      <c r="FV140">
        <f ca="1"/>
      </c>
      <c r="FW140">
        <f ca="1"/>
      </c>
      <c r="FX140">
        <f ca="1"/>
      </c>
      <c r="FY140">
        <f ca="1"/>
      </c>
      <c r="FZ140">
        <f ca="1"/>
      </c>
      <c r="GA140">
        <f ca="1"/>
      </c>
      <c r="GB140">
        <f ca="1"/>
      </c>
      <c r="GC140">
        <f ca="1"/>
      </c>
      <c r="GD140">
        <f ca="1"/>
      </c>
      <c r="GE140">
        <f ca="1"/>
      </c>
      <c r="GF140">
        <f ca="1"/>
      </c>
      <c r="GG140">
        <f ca="1"/>
      </c>
      <c r="GH140">
        <f ca="1"/>
      </c>
      <c r="GI140">
        <f ca="1"/>
      </c>
      <c r="GJ140">
        <f ca="1"/>
      </c>
      <c r="GK140">
        <f ca="1"/>
      </c>
      <c r="GL140">
        <f ca="1"/>
      </c>
      <c r="GM140">
        <f ca="1"/>
      </c>
      <c r="GN140">
        <f ca="1"/>
      </c>
      <c r="GO140">
        <f ca="1"/>
      </c>
      <c r="GP140">
        <f ca="1"/>
      </c>
      <c r="GQ140">
        <f ca="1"/>
      </c>
      <c r="GR140">
        <f ca="1"/>
      </c>
      <c r="GS140">
        <f ca="1"/>
      </c>
      <c r="GT140">
        <f ca="1"/>
      </c>
      <c r="GU140">
        <f ca="1"/>
      </c>
      <c r="GV140">
        <f ca="1"/>
      </c>
      <c r="GW140">
        <f ca="1"/>
      </c>
      <c r="HI140" s="7">
        <f ca="1"/>
      </c>
      <c r="HJ140">
        <f ca="1"/>
      </c>
      <c r="HK140">
        <f ca="1"/>
      </c>
      <c r="HL140">
        <f ca="1"/>
      </c>
      <c r="HM140">
        <f ca="1"/>
      </c>
    </row>
    <row r="141" spans="63:221" x14ac:dyDescent="0.55000000000000004">
      <c r="BK141">
        <f ca="1"/>
      </c>
      <c r="BL141">
        <f ca="1"/>
      </c>
      <c r="BM141">
        <f ca="1"/>
      </c>
      <c r="BN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  <c r="BV141">
        <f ca="1"/>
      </c>
      <c r="BW141">
        <f ca="1"/>
      </c>
      <c r="BX141">
        <f ca="1"/>
      </c>
      <c r="BY141">
        <f ca="1"/>
      </c>
      <c r="BZ141">
        <f ca="1"/>
      </c>
      <c r="CA141">
        <f ca="1"/>
      </c>
      <c r="CB141">
        <f ca="1"/>
      </c>
      <c r="CC141">
        <f ca="1"/>
      </c>
      <c r="CD141">
        <f ca="1"/>
      </c>
      <c r="CE141">
        <f ca="1"/>
      </c>
      <c r="CF141">
        <f ca="1"/>
      </c>
      <c r="CG141">
        <f ca="1"/>
      </c>
      <c r="CH141">
        <f ca="1"/>
      </c>
      <c r="CI141">
        <f ca="1"/>
      </c>
      <c r="CJ141">
        <f ca="1"/>
      </c>
      <c r="CK141">
        <f ca="1"/>
      </c>
      <c r="CL141">
        <f ca="1"/>
      </c>
      <c r="CM141">
        <f ca="1"/>
      </c>
      <c r="CN141">
        <f ca="1"/>
      </c>
      <c r="CO141">
        <f ca="1"/>
      </c>
      <c r="CP141">
        <f ca="1"/>
      </c>
      <c r="CQ141">
        <f ca="1"/>
      </c>
      <c r="CR141">
        <f ca="1"/>
      </c>
      <c r="CS141">
        <f ca="1"/>
      </c>
      <c r="CT141">
        <f ca="1"/>
      </c>
      <c r="CU141">
        <f ca="1"/>
      </c>
      <c r="CV141">
        <f ca="1"/>
      </c>
      <c r="CW141">
        <f ca="1"/>
      </c>
      <c r="CX141">
        <f ca="1"/>
      </c>
      <c r="CY141">
        <f ca="1"/>
      </c>
      <c r="CZ141">
        <f ca="1"/>
      </c>
      <c r="DA141">
        <f ca="1"/>
      </c>
      <c r="DB141">
        <f ca="1"/>
      </c>
      <c r="DC141">
        <f ca="1"/>
      </c>
      <c r="DD141">
        <f ca="1"/>
      </c>
      <c r="DE141">
        <f ca="1"/>
      </c>
      <c r="DG141">
        <f ca="1"/>
      </c>
      <c r="DH141">
        <f ca="1"/>
      </c>
      <c r="DI141">
        <f ca="1"/>
      </c>
      <c r="DJ141">
        <f ca="1"/>
      </c>
      <c r="DK141">
        <f ca="1"/>
      </c>
      <c r="DL141">
        <f ca="1"/>
      </c>
      <c r="DM141">
        <f ca="1"/>
      </c>
      <c r="DN141">
        <f ca="1"/>
      </c>
      <c r="DO141">
        <f ca="1"/>
      </c>
      <c r="DP141">
        <f ca="1"/>
      </c>
      <c r="DQ141">
        <f ca="1"/>
      </c>
      <c r="DR141">
        <f ca="1"/>
      </c>
      <c r="DS141">
        <f ca="1"/>
      </c>
      <c r="DT141">
        <f ca="1"/>
      </c>
      <c r="DU141">
        <f ca="1"/>
      </c>
      <c r="DV141">
        <f ca="1"/>
      </c>
      <c r="DW141">
        <f ca="1"/>
      </c>
      <c r="DX141">
        <f ca="1"/>
      </c>
      <c r="DY141">
        <f ca="1"/>
      </c>
      <c r="DZ141">
        <f ca="1"/>
      </c>
      <c r="EA141">
        <f ca="1"/>
      </c>
      <c r="EB141">
        <f ca="1"/>
      </c>
      <c r="EC141">
        <f ca="1"/>
      </c>
      <c r="ED141">
        <f ca="1"/>
      </c>
      <c r="EE141">
        <f ca="1"/>
      </c>
      <c r="EF141">
        <f ca="1"/>
      </c>
      <c r="EG141">
        <f ca="1"/>
      </c>
      <c r="EH141">
        <f ca="1"/>
      </c>
      <c r="EI141">
        <f ca="1"/>
      </c>
      <c r="EJ141">
        <f ca="1"/>
      </c>
      <c r="EK141">
        <f ca="1"/>
      </c>
      <c r="EL141">
        <f ca="1"/>
      </c>
      <c r="EM141">
        <f ca="1"/>
      </c>
      <c r="EN141">
        <f ca="1"/>
      </c>
      <c r="EO141">
        <f ca="1"/>
      </c>
      <c r="EP141">
        <f ca="1"/>
      </c>
      <c r="EQ141">
        <f ca="1"/>
      </c>
      <c r="ER141">
        <f ca="1"/>
      </c>
      <c r="ES141">
        <f ca="1"/>
      </c>
      <c r="ET141">
        <f ca="1"/>
      </c>
      <c r="EU141">
        <f ca="1"/>
      </c>
      <c r="EV141">
        <f ca="1"/>
      </c>
      <c r="EW141">
        <f ca="1"/>
      </c>
      <c r="EX141">
        <f ca="1"/>
      </c>
      <c r="EY141">
        <f ca="1"/>
      </c>
      <c r="EZ141">
        <f ca="1"/>
      </c>
      <c r="FA141">
        <f ca="1"/>
      </c>
      <c r="FC141">
        <f ca="1"/>
      </c>
      <c r="FD141">
        <f ca="1"/>
      </c>
      <c r="FE141">
        <f ca="1"/>
      </c>
      <c r="FF141">
        <f ca="1"/>
      </c>
      <c r="FG141">
        <f ca="1"/>
      </c>
      <c r="FH141">
        <f ca="1"/>
      </c>
      <c r="FI141">
        <f ca="1"/>
      </c>
      <c r="FJ141">
        <f ca="1"/>
      </c>
      <c r="FK141">
        <f ca="1"/>
      </c>
      <c r="FL141">
        <f ca="1"/>
      </c>
      <c r="FM141">
        <f ca="1"/>
      </c>
      <c r="FN141">
        <f ca="1"/>
      </c>
      <c r="FO141">
        <f ca="1"/>
      </c>
      <c r="FP141">
        <f ca="1"/>
      </c>
      <c r="FQ141">
        <f ca="1"/>
      </c>
      <c r="FR141">
        <f ca="1"/>
      </c>
      <c r="FS141">
        <f ca="1"/>
      </c>
      <c r="FT141">
        <f ca="1"/>
      </c>
      <c r="FU141">
        <f ca="1"/>
      </c>
      <c r="FV141">
        <f ca="1"/>
      </c>
      <c r="FW141">
        <f ca="1"/>
      </c>
      <c r="FX141">
        <f ca="1"/>
      </c>
      <c r="FY141">
        <f ca="1"/>
      </c>
      <c r="FZ141">
        <f ca="1"/>
      </c>
      <c r="GA141">
        <f ca="1"/>
      </c>
      <c r="GB141">
        <f ca="1"/>
      </c>
      <c r="GC141">
        <f ca="1"/>
      </c>
      <c r="GD141">
        <f ca="1"/>
      </c>
      <c r="GE141">
        <f ca="1"/>
      </c>
      <c r="GF141">
        <f ca="1"/>
      </c>
      <c r="GG141">
        <f ca="1"/>
      </c>
      <c r="GH141">
        <f ca="1"/>
      </c>
      <c r="GI141">
        <f ca="1"/>
      </c>
      <c r="GJ141">
        <f ca="1"/>
      </c>
      <c r="GK141">
        <f ca="1"/>
      </c>
      <c r="GL141">
        <f ca="1"/>
      </c>
      <c r="GM141">
        <f ca="1"/>
      </c>
      <c r="GN141">
        <f ca="1"/>
      </c>
      <c r="GO141">
        <f ca="1"/>
      </c>
      <c r="GP141">
        <f ca="1"/>
      </c>
      <c r="GQ141">
        <f ca="1"/>
      </c>
      <c r="GR141">
        <f ca="1"/>
      </c>
      <c r="GS141">
        <f ca="1"/>
      </c>
      <c r="GT141">
        <f ca="1"/>
      </c>
      <c r="GU141">
        <f ca="1"/>
      </c>
      <c r="GV141">
        <f ca="1"/>
      </c>
      <c r="GW141">
        <f ca="1"/>
      </c>
      <c r="HI141" s="7">
        <f ca="1"/>
      </c>
      <c r="HJ141">
        <f ca="1"/>
      </c>
      <c r="HK141">
        <f ca="1"/>
      </c>
      <c r="HL141">
        <f ca="1"/>
      </c>
      <c r="HM141">
        <f ca="1"/>
      </c>
    </row>
    <row r="142" spans="63:221" x14ac:dyDescent="0.55000000000000004">
      <c r="BK142">
        <f ca="1"/>
      </c>
      <c r="BL142">
        <f ca="1"/>
      </c>
      <c r="BM142">
        <f ca="1"/>
      </c>
      <c r="BN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  <c r="BV142">
        <f ca="1"/>
      </c>
      <c r="BW142">
        <f ca="1"/>
      </c>
      <c r="BX142">
        <f ca="1"/>
      </c>
      <c r="BY142">
        <f ca="1"/>
      </c>
      <c r="BZ142">
        <f ca="1"/>
      </c>
      <c r="CA142">
        <f ca="1"/>
      </c>
      <c r="CB142">
        <f ca="1"/>
      </c>
      <c r="CC142">
        <f ca="1"/>
      </c>
      <c r="CD142">
        <f ca="1"/>
      </c>
      <c r="CE142">
        <f ca="1"/>
      </c>
      <c r="CF142">
        <f ca="1"/>
      </c>
      <c r="CG142">
        <f ca="1"/>
      </c>
      <c r="CH142">
        <f ca="1"/>
      </c>
      <c r="CI142">
        <f ca="1"/>
      </c>
      <c r="CJ142">
        <f ca="1"/>
      </c>
      <c r="CK142">
        <f ca="1"/>
      </c>
      <c r="CL142">
        <f ca="1"/>
      </c>
      <c r="CM142">
        <f ca="1"/>
      </c>
      <c r="CN142">
        <f ca="1"/>
      </c>
      <c r="CO142">
        <f ca="1"/>
      </c>
      <c r="CP142">
        <f ca="1"/>
      </c>
      <c r="CQ142">
        <f ca="1"/>
      </c>
      <c r="CR142">
        <f ca="1"/>
      </c>
      <c r="CS142">
        <f ca="1"/>
      </c>
      <c r="CT142">
        <f ca="1"/>
      </c>
      <c r="CU142">
        <f ca="1"/>
      </c>
      <c r="CV142">
        <f ca="1"/>
      </c>
      <c r="CW142">
        <f ca="1"/>
      </c>
      <c r="CX142">
        <f ca="1"/>
      </c>
      <c r="CY142">
        <f ca="1"/>
      </c>
      <c r="CZ142">
        <f ca="1"/>
      </c>
      <c r="DA142">
        <f ca="1"/>
      </c>
      <c r="DB142">
        <f ca="1"/>
      </c>
      <c r="DC142">
        <f ca="1"/>
      </c>
      <c r="DD142">
        <f ca="1"/>
      </c>
      <c r="DE142">
        <f ca="1"/>
      </c>
      <c r="DG142">
        <f ca="1"/>
      </c>
      <c r="DH142">
        <f ca="1"/>
      </c>
      <c r="DI142">
        <f ca="1"/>
      </c>
      <c r="DJ142">
        <f ca="1"/>
      </c>
      <c r="DK142">
        <f ca="1"/>
      </c>
      <c r="DL142">
        <f ca="1"/>
      </c>
      <c r="DM142">
        <f ca="1"/>
      </c>
      <c r="DN142">
        <f ca="1"/>
      </c>
      <c r="DO142">
        <f ca="1"/>
      </c>
      <c r="DP142">
        <f ca="1"/>
      </c>
      <c r="DQ142">
        <f ca="1"/>
      </c>
      <c r="DR142">
        <f ca="1"/>
      </c>
      <c r="DS142">
        <f ca="1"/>
      </c>
      <c r="DT142">
        <f ca="1"/>
      </c>
      <c r="DU142">
        <f ca="1"/>
      </c>
      <c r="DV142">
        <f ca="1"/>
      </c>
      <c r="DW142">
        <f ca="1"/>
      </c>
      <c r="DX142">
        <f ca="1"/>
      </c>
      <c r="DY142">
        <f ca="1"/>
      </c>
      <c r="DZ142">
        <f ca="1"/>
      </c>
      <c r="EA142">
        <f ca="1"/>
      </c>
      <c r="EB142">
        <f ca="1"/>
      </c>
      <c r="EC142">
        <f ca="1"/>
      </c>
      <c r="ED142">
        <f ca="1"/>
      </c>
      <c r="EE142">
        <f ca="1"/>
      </c>
      <c r="EF142">
        <f ca="1"/>
      </c>
      <c r="EG142">
        <f ca="1"/>
      </c>
      <c r="EH142">
        <f ca="1"/>
      </c>
      <c r="EI142">
        <f ca="1"/>
      </c>
      <c r="EJ142">
        <f ca="1"/>
      </c>
      <c r="EK142">
        <f ca="1"/>
      </c>
      <c r="EL142">
        <f ca="1"/>
      </c>
      <c r="EM142">
        <f ca="1"/>
      </c>
      <c r="EN142">
        <f ca="1"/>
      </c>
      <c r="EO142">
        <f ca="1"/>
      </c>
      <c r="EP142">
        <f ca="1"/>
      </c>
      <c r="EQ142">
        <f ca="1"/>
      </c>
      <c r="ER142">
        <f ca="1"/>
      </c>
      <c r="ES142">
        <f ca="1"/>
      </c>
      <c r="ET142">
        <f ca="1"/>
      </c>
      <c r="EU142">
        <f ca="1"/>
      </c>
      <c r="EV142">
        <f ca="1"/>
      </c>
      <c r="EW142">
        <f ca="1"/>
      </c>
      <c r="EX142">
        <f ca="1"/>
      </c>
      <c r="EY142">
        <f ca="1"/>
      </c>
      <c r="EZ142">
        <f ca="1"/>
      </c>
      <c r="FA142">
        <f ca="1"/>
      </c>
      <c r="FC142">
        <f ca="1"/>
      </c>
      <c r="FD142">
        <f ca="1"/>
      </c>
      <c r="FE142">
        <f ca="1"/>
      </c>
      <c r="FF142">
        <f ca="1"/>
      </c>
      <c r="FG142">
        <f ca="1"/>
      </c>
      <c r="FH142">
        <f ca="1"/>
      </c>
      <c r="FI142">
        <f ca="1"/>
      </c>
      <c r="FJ142">
        <f ca="1"/>
      </c>
      <c r="FK142">
        <f ca="1"/>
      </c>
      <c r="FL142">
        <f ca="1"/>
      </c>
      <c r="FM142">
        <f ca="1"/>
      </c>
      <c r="FN142">
        <f ca="1"/>
      </c>
      <c r="FO142">
        <f ca="1"/>
      </c>
      <c r="FP142">
        <f ca="1"/>
      </c>
      <c r="FQ142">
        <f ca="1"/>
      </c>
      <c r="FR142">
        <f ca="1"/>
      </c>
      <c r="FS142">
        <f ca="1"/>
      </c>
      <c r="FT142">
        <f ca="1"/>
      </c>
      <c r="FU142">
        <f ca="1"/>
      </c>
      <c r="FV142">
        <f ca="1"/>
      </c>
      <c r="FW142">
        <f ca="1"/>
      </c>
      <c r="FX142">
        <f ca="1"/>
      </c>
      <c r="FY142">
        <f ca="1"/>
      </c>
      <c r="FZ142">
        <f ca="1"/>
      </c>
      <c r="GA142">
        <f ca="1"/>
      </c>
      <c r="GB142">
        <f ca="1"/>
      </c>
      <c r="GC142">
        <f ca="1"/>
      </c>
      <c r="GD142">
        <f ca="1"/>
      </c>
      <c r="GE142">
        <f ca="1"/>
      </c>
      <c r="GF142">
        <f ca="1"/>
      </c>
      <c r="GG142">
        <f ca="1"/>
      </c>
      <c r="GH142">
        <f ca="1"/>
      </c>
      <c r="GI142">
        <f ca="1"/>
      </c>
      <c r="GJ142">
        <f ca="1"/>
      </c>
      <c r="GK142">
        <f ca="1"/>
      </c>
      <c r="GL142">
        <f ca="1"/>
      </c>
      <c r="GM142">
        <f ca="1"/>
      </c>
      <c r="GN142">
        <f ca="1"/>
      </c>
      <c r="GO142">
        <f ca="1"/>
      </c>
      <c r="GP142">
        <f ca="1"/>
      </c>
      <c r="GQ142">
        <f ca="1"/>
      </c>
      <c r="GR142">
        <f ca="1"/>
      </c>
      <c r="GS142">
        <f ca="1"/>
      </c>
      <c r="GT142">
        <f ca="1"/>
      </c>
      <c r="GU142">
        <f ca="1"/>
      </c>
      <c r="GV142">
        <f ca="1"/>
      </c>
      <c r="GW142">
        <f ca="1"/>
      </c>
      <c r="HI142" s="7">
        <f ca="1"/>
      </c>
      <c r="HJ142">
        <f ca="1"/>
      </c>
      <c r="HK142">
        <f ca="1"/>
      </c>
      <c r="HL142">
        <f ca="1"/>
      </c>
      <c r="HM142">
        <f ca="1"/>
      </c>
    </row>
    <row r="143" spans="63:221" x14ac:dyDescent="0.55000000000000004">
      <c r="BK143">
        <f ca="1"/>
      </c>
      <c r="BL143">
        <f ca="1"/>
      </c>
      <c r="BM143">
        <f ca="1"/>
      </c>
      <c r="BN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  <c r="BV143">
        <f ca="1"/>
      </c>
      <c r="BW143">
        <f ca="1"/>
      </c>
      <c r="BX143">
        <f ca="1"/>
      </c>
      <c r="BY143">
        <f ca="1"/>
      </c>
      <c r="BZ143">
        <f ca="1"/>
      </c>
      <c r="CA143">
        <f ca="1"/>
      </c>
      <c r="CB143">
        <f ca="1"/>
      </c>
      <c r="CC143">
        <f ca="1"/>
      </c>
      <c r="CD143">
        <f ca="1"/>
      </c>
      <c r="CE143">
        <f ca="1"/>
      </c>
      <c r="CF143">
        <f ca="1"/>
      </c>
      <c r="CG143">
        <f ca="1"/>
      </c>
      <c r="CH143">
        <f ca="1"/>
      </c>
      <c r="CI143">
        <f ca="1"/>
      </c>
      <c r="CJ143">
        <f ca="1"/>
      </c>
      <c r="CK143">
        <f ca="1"/>
      </c>
      <c r="CL143">
        <f ca="1"/>
      </c>
      <c r="CM143">
        <f ca="1"/>
      </c>
      <c r="CN143">
        <f ca="1"/>
      </c>
      <c r="CO143">
        <f ca="1"/>
      </c>
      <c r="CP143">
        <f ca="1"/>
      </c>
      <c r="CQ143">
        <f ca="1"/>
      </c>
      <c r="CR143">
        <f ca="1"/>
      </c>
      <c r="CS143">
        <f ca="1"/>
      </c>
      <c r="CT143">
        <f ca="1"/>
      </c>
      <c r="CU143">
        <f ca="1"/>
      </c>
      <c r="CV143">
        <f ca="1"/>
      </c>
      <c r="CW143">
        <f ca="1"/>
      </c>
      <c r="CX143">
        <f ca="1"/>
      </c>
      <c r="CY143">
        <f ca="1"/>
      </c>
      <c r="CZ143">
        <f ca="1"/>
      </c>
      <c r="DA143">
        <f ca="1"/>
      </c>
      <c r="DB143">
        <f ca="1"/>
      </c>
      <c r="DC143">
        <f ca="1"/>
      </c>
      <c r="DD143">
        <f ca="1"/>
      </c>
      <c r="DE143">
        <f ca="1"/>
      </c>
      <c r="DG143">
        <f ca="1"/>
      </c>
      <c r="DH143">
        <f ca="1"/>
      </c>
      <c r="DI143">
        <f ca="1"/>
      </c>
      <c r="DJ143">
        <f ca="1"/>
      </c>
      <c r="DK143">
        <f ca="1"/>
      </c>
      <c r="DL143">
        <f ca="1"/>
      </c>
      <c r="DM143">
        <f ca="1"/>
      </c>
      <c r="DN143">
        <f ca="1"/>
      </c>
      <c r="DO143">
        <f ca="1"/>
      </c>
      <c r="DP143">
        <f ca="1"/>
      </c>
      <c r="DQ143">
        <f ca="1"/>
      </c>
      <c r="DR143">
        <f ca="1"/>
      </c>
      <c r="DS143">
        <f ca="1"/>
      </c>
      <c r="DT143">
        <f ca="1"/>
      </c>
      <c r="DU143">
        <f ca="1"/>
      </c>
      <c r="DV143">
        <f ca="1"/>
      </c>
      <c r="DW143">
        <f ca="1"/>
      </c>
      <c r="DX143">
        <f ca="1"/>
      </c>
      <c r="DY143">
        <f ca="1"/>
      </c>
      <c r="DZ143">
        <f ca="1"/>
      </c>
      <c r="EA143">
        <f ca="1"/>
      </c>
      <c r="EB143">
        <f ca="1"/>
      </c>
      <c r="EC143">
        <f ca="1"/>
      </c>
      <c r="ED143">
        <f ca="1"/>
      </c>
      <c r="EE143">
        <f ca="1"/>
      </c>
      <c r="EF143">
        <f ca="1"/>
      </c>
      <c r="EG143">
        <f ca="1"/>
      </c>
      <c r="EH143">
        <f ca="1"/>
      </c>
      <c r="EI143">
        <f ca="1"/>
      </c>
      <c r="EJ143">
        <f ca="1"/>
      </c>
      <c r="EK143">
        <f ca="1"/>
      </c>
      <c r="EL143">
        <f ca="1"/>
      </c>
      <c r="EM143">
        <f ca="1"/>
      </c>
      <c r="EN143">
        <f ca="1"/>
      </c>
      <c r="EO143">
        <f ca="1"/>
      </c>
      <c r="EP143">
        <f ca="1"/>
      </c>
      <c r="EQ143">
        <f ca="1"/>
      </c>
      <c r="ER143">
        <f ca="1"/>
      </c>
      <c r="ES143">
        <f ca="1"/>
      </c>
      <c r="ET143">
        <f ca="1"/>
      </c>
      <c r="EU143">
        <f ca="1"/>
      </c>
      <c r="EV143">
        <f ca="1"/>
      </c>
      <c r="EW143">
        <f ca="1"/>
      </c>
      <c r="EX143">
        <f ca="1"/>
      </c>
      <c r="EY143">
        <f ca="1"/>
      </c>
      <c r="EZ143">
        <f ca="1"/>
      </c>
      <c r="FA143">
        <f ca="1"/>
      </c>
      <c r="FC143">
        <f ca="1"/>
      </c>
      <c r="FD143">
        <f ca="1"/>
      </c>
      <c r="FE143">
        <f ca="1"/>
      </c>
      <c r="FF143">
        <f ca="1"/>
      </c>
      <c r="FG143">
        <f ca="1"/>
      </c>
      <c r="FH143">
        <f ca="1"/>
      </c>
      <c r="FI143">
        <f ca="1"/>
      </c>
      <c r="FJ143">
        <f ca="1"/>
      </c>
      <c r="FK143">
        <f ca="1"/>
      </c>
      <c r="FL143">
        <f ca="1"/>
      </c>
      <c r="FM143">
        <f ca="1"/>
      </c>
      <c r="FN143">
        <f ca="1"/>
      </c>
      <c r="FO143">
        <f ca="1"/>
      </c>
      <c r="FP143">
        <f ca="1"/>
      </c>
      <c r="FQ143">
        <f ca="1"/>
      </c>
      <c r="FR143">
        <f ca="1"/>
      </c>
      <c r="FS143">
        <f ca="1"/>
      </c>
      <c r="FT143">
        <f ca="1"/>
      </c>
      <c r="FU143">
        <f ca="1"/>
      </c>
      <c r="FV143">
        <f ca="1"/>
      </c>
      <c r="FW143">
        <f ca="1"/>
      </c>
      <c r="FX143">
        <f ca="1"/>
      </c>
      <c r="FY143">
        <f ca="1"/>
      </c>
      <c r="FZ143">
        <f ca="1"/>
      </c>
      <c r="GA143">
        <f ca="1"/>
      </c>
      <c r="GB143">
        <f ca="1"/>
      </c>
      <c r="GC143">
        <f ca="1"/>
      </c>
      <c r="GD143">
        <f ca="1"/>
      </c>
      <c r="GE143">
        <f ca="1"/>
      </c>
      <c r="GF143">
        <f ca="1"/>
      </c>
      <c r="GG143">
        <f ca="1"/>
      </c>
      <c r="GH143">
        <f ca="1"/>
      </c>
      <c r="GI143">
        <f ca="1"/>
      </c>
      <c r="GJ143">
        <f ca="1"/>
      </c>
      <c r="GK143">
        <f ca="1"/>
      </c>
      <c r="GL143">
        <f ca="1"/>
      </c>
      <c r="GM143">
        <f ca="1"/>
      </c>
      <c r="GN143">
        <f ca="1"/>
      </c>
      <c r="GO143">
        <f ca="1"/>
      </c>
      <c r="GP143">
        <f ca="1"/>
      </c>
      <c r="GQ143">
        <f ca="1"/>
      </c>
      <c r="GR143">
        <f ca="1"/>
      </c>
      <c r="GS143">
        <f ca="1"/>
      </c>
      <c r="GT143">
        <f ca="1"/>
      </c>
      <c r="GU143">
        <f ca="1"/>
      </c>
      <c r="GV143">
        <f ca="1"/>
      </c>
      <c r="GW143">
        <f ca="1"/>
      </c>
      <c r="HI143" s="7">
        <f ca="1"/>
      </c>
      <c r="HJ143">
        <f ca="1"/>
      </c>
      <c r="HK143">
        <f ca="1"/>
      </c>
      <c r="HL143">
        <f ca="1"/>
      </c>
      <c r="HM143">
        <f ca="1"/>
      </c>
    </row>
    <row r="144" spans="63:221" x14ac:dyDescent="0.55000000000000004">
      <c r="BK144">
        <f ca="1"/>
      </c>
      <c r="BL144">
        <f ca="1"/>
      </c>
      <c r="BM144">
        <f ca="1"/>
      </c>
      <c r="BN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  <c r="BV144">
        <f ca="1"/>
      </c>
      <c r="BW144">
        <f ca="1"/>
      </c>
      <c r="BX144">
        <f ca="1"/>
      </c>
      <c r="BY144">
        <f ca="1"/>
      </c>
      <c r="BZ144">
        <f ca="1"/>
      </c>
      <c r="CA144">
        <f ca="1"/>
      </c>
      <c r="CB144">
        <f ca="1"/>
      </c>
      <c r="CC144">
        <f ca="1"/>
      </c>
      <c r="CD144">
        <f ca="1"/>
      </c>
      <c r="CE144">
        <f ca="1"/>
      </c>
      <c r="CF144">
        <f ca="1"/>
      </c>
      <c r="CG144">
        <f ca="1"/>
      </c>
      <c r="CH144">
        <f ca="1"/>
      </c>
      <c r="CI144">
        <f ca="1"/>
      </c>
      <c r="CJ144">
        <f ca="1"/>
      </c>
      <c r="CK144">
        <f ca="1"/>
      </c>
      <c r="CL144">
        <f ca="1"/>
      </c>
      <c r="CM144">
        <f ca="1"/>
      </c>
      <c r="CN144">
        <f ca="1"/>
      </c>
      <c r="CO144">
        <f ca="1"/>
      </c>
      <c r="CP144">
        <f ca="1"/>
      </c>
      <c r="CQ144">
        <f ca="1"/>
      </c>
      <c r="CR144">
        <f ca="1"/>
      </c>
      <c r="CS144">
        <f ca="1"/>
      </c>
      <c r="CT144">
        <f ca="1"/>
      </c>
      <c r="CU144">
        <f ca="1"/>
      </c>
      <c r="CV144">
        <f ca="1"/>
      </c>
      <c r="CW144">
        <f ca="1"/>
      </c>
      <c r="CX144">
        <f ca="1"/>
      </c>
      <c r="CY144">
        <f ca="1"/>
      </c>
      <c r="CZ144">
        <f ca="1"/>
      </c>
      <c r="DA144">
        <f ca="1"/>
      </c>
      <c r="DB144">
        <f ca="1"/>
      </c>
      <c r="DC144">
        <f ca="1"/>
      </c>
      <c r="DD144">
        <f ca="1"/>
      </c>
      <c r="DE144">
        <f ca="1"/>
      </c>
      <c r="DG144">
        <f ca="1"/>
      </c>
      <c r="DH144">
        <f ca="1"/>
      </c>
      <c r="DI144">
        <f ca="1"/>
      </c>
      <c r="DJ144">
        <f ca="1"/>
      </c>
      <c r="DK144">
        <f ca="1"/>
      </c>
      <c r="DL144">
        <f ca="1"/>
      </c>
      <c r="DM144">
        <f ca="1"/>
      </c>
      <c r="DN144">
        <f ca="1"/>
      </c>
      <c r="DO144">
        <f ca="1"/>
      </c>
      <c r="DP144">
        <f ca="1"/>
      </c>
      <c r="DQ144">
        <f ca="1"/>
      </c>
      <c r="DR144">
        <f ca="1"/>
      </c>
      <c r="DS144">
        <f ca="1"/>
      </c>
      <c r="DT144">
        <f ca="1"/>
      </c>
      <c r="DU144">
        <f ca="1"/>
      </c>
      <c r="DV144">
        <f ca="1"/>
      </c>
      <c r="DW144">
        <f ca="1"/>
      </c>
      <c r="DX144">
        <f ca="1"/>
      </c>
      <c r="DY144">
        <f ca="1"/>
      </c>
      <c r="DZ144">
        <f ca="1"/>
      </c>
      <c r="EA144">
        <f ca="1"/>
      </c>
      <c r="EB144">
        <f ca="1"/>
      </c>
      <c r="EC144">
        <f ca="1"/>
      </c>
      <c r="ED144">
        <f ca="1"/>
      </c>
      <c r="EE144">
        <f ca="1"/>
      </c>
      <c r="EF144">
        <f ca="1"/>
      </c>
      <c r="EG144">
        <f ca="1"/>
      </c>
      <c r="EH144">
        <f ca="1"/>
      </c>
      <c r="EI144">
        <f ca="1"/>
      </c>
      <c r="EJ144">
        <f ca="1"/>
      </c>
      <c r="EK144">
        <f ca="1"/>
      </c>
      <c r="EL144">
        <f ca="1"/>
      </c>
      <c r="EM144">
        <f ca="1"/>
      </c>
      <c r="EN144">
        <f ca="1"/>
      </c>
      <c r="EO144">
        <f ca="1"/>
      </c>
      <c r="EP144">
        <f ca="1"/>
      </c>
      <c r="EQ144">
        <f ca="1"/>
      </c>
      <c r="ER144">
        <f ca="1"/>
      </c>
      <c r="ES144">
        <f ca="1"/>
      </c>
      <c r="ET144">
        <f ca="1"/>
      </c>
      <c r="EU144">
        <f ca="1"/>
      </c>
      <c r="EV144">
        <f ca="1"/>
      </c>
      <c r="EW144">
        <f ca="1"/>
      </c>
      <c r="EX144">
        <f ca="1"/>
      </c>
      <c r="EY144">
        <f ca="1"/>
      </c>
      <c r="EZ144">
        <f ca="1"/>
      </c>
      <c r="FA144">
        <f ca="1"/>
      </c>
      <c r="FC144">
        <f ca="1"/>
      </c>
      <c r="FD144">
        <f ca="1"/>
      </c>
      <c r="FE144">
        <f ca="1"/>
      </c>
      <c r="FF144">
        <f ca="1"/>
      </c>
      <c r="FG144">
        <f ca="1"/>
      </c>
      <c r="FH144">
        <f ca="1"/>
      </c>
      <c r="FI144">
        <f ca="1"/>
      </c>
      <c r="FJ144">
        <f ca="1"/>
      </c>
      <c r="FK144">
        <f ca="1"/>
      </c>
      <c r="FL144">
        <f ca="1"/>
      </c>
      <c r="FM144">
        <f ca="1"/>
      </c>
      <c r="FN144">
        <f ca="1"/>
      </c>
      <c r="FO144">
        <f ca="1"/>
      </c>
      <c r="FP144">
        <f ca="1"/>
      </c>
      <c r="FQ144">
        <f ca="1"/>
      </c>
      <c r="FR144">
        <f ca="1"/>
      </c>
      <c r="FS144">
        <f ca="1"/>
      </c>
      <c r="FT144">
        <f ca="1"/>
      </c>
      <c r="FU144">
        <f ca="1"/>
      </c>
      <c r="FV144">
        <f ca="1"/>
      </c>
      <c r="FW144">
        <f ca="1"/>
      </c>
      <c r="FX144">
        <f ca="1"/>
      </c>
      <c r="FY144">
        <f ca="1"/>
      </c>
      <c r="FZ144">
        <f ca="1"/>
      </c>
      <c r="GA144">
        <f ca="1"/>
      </c>
      <c r="GB144">
        <f ca="1"/>
      </c>
      <c r="GC144">
        <f ca="1"/>
      </c>
      <c r="GD144">
        <f ca="1"/>
      </c>
      <c r="GE144">
        <f ca="1"/>
      </c>
      <c r="GF144">
        <f ca="1"/>
      </c>
      <c r="GG144">
        <f ca="1"/>
      </c>
      <c r="GH144">
        <f ca="1"/>
      </c>
      <c r="GI144">
        <f ca="1"/>
      </c>
      <c r="GJ144">
        <f ca="1"/>
      </c>
      <c r="GK144">
        <f ca="1"/>
      </c>
      <c r="GL144">
        <f ca="1"/>
      </c>
      <c r="GM144">
        <f ca="1"/>
      </c>
      <c r="GN144">
        <f ca="1"/>
      </c>
      <c r="GO144">
        <f ca="1"/>
      </c>
      <c r="GP144">
        <f ca="1"/>
      </c>
      <c r="GQ144">
        <f ca="1"/>
      </c>
      <c r="GR144">
        <f ca="1"/>
      </c>
      <c r="GS144">
        <f ca="1"/>
      </c>
      <c r="GT144">
        <f ca="1"/>
      </c>
      <c r="GU144">
        <f ca="1"/>
      </c>
      <c r="GV144">
        <f ca="1"/>
      </c>
      <c r="GW144">
        <f ca="1"/>
      </c>
      <c r="HI144" s="7">
        <f ca="1"/>
      </c>
      <c r="HJ144">
        <f ca="1"/>
      </c>
      <c r="HK144">
        <f ca="1"/>
      </c>
      <c r="HL144">
        <f ca="1"/>
      </c>
      <c r="HM144">
        <f ca="1"/>
      </c>
    </row>
    <row r="145" spans="63:221" x14ac:dyDescent="0.55000000000000004">
      <c r="BK145">
        <f ca="1"/>
      </c>
      <c r="BL145">
        <f ca="1"/>
      </c>
      <c r="BM145">
        <f ca="1"/>
      </c>
      <c r="BN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  <c r="BV145">
        <f ca="1"/>
      </c>
      <c r="BW145">
        <f ca="1"/>
      </c>
      <c r="BX145">
        <f ca="1"/>
      </c>
      <c r="BY145">
        <f ca="1"/>
      </c>
      <c r="BZ145">
        <f ca="1"/>
      </c>
      <c r="CA145">
        <f ca="1"/>
      </c>
      <c r="CB145">
        <f ca="1"/>
      </c>
      <c r="CC145">
        <f ca="1"/>
      </c>
      <c r="CD145">
        <f ca="1"/>
      </c>
      <c r="CE145">
        <f ca="1"/>
      </c>
      <c r="CF145">
        <f ca="1"/>
      </c>
      <c r="CG145">
        <f ca="1"/>
      </c>
      <c r="CH145">
        <f ca="1"/>
      </c>
      <c r="CI145">
        <f ca="1"/>
      </c>
      <c r="CJ145">
        <f ca="1"/>
      </c>
      <c r="CK145">
        <f ca="1"/>
      </c>
      <c r="CL145">
        <f ca="1"/>
      </c>
      <c r="CM145">
        <f ca="1"/>
      </c>
      <c r="CN145">
        <f ca="1"/>
      </c>
      <c r="CO145">
        <f ca="1"/>
      </c>
      <c r="CP145">
        <f ca="1"/>
      </c>
      <c r="CQ145">
        <f ca="1"/>
      </c>
      <c r="CR145">
        <f ca="1"/>
      </c>
      <c r="CS145">
        <f ca="1"/>
      </c>
      <c r="CT145">
        <f ca="1"/>
      </c>
      <c r="CU145">
        <f ca="1"/>
      </c>
      <c r="CV145">
        <f ca="1"/>
      </c>
      <c r="CW145">
        <f ca="1"/>
      </c>
      <c r="CX145">
        <f ca="1"/>
      </c>
      <c r="CY145">
        <f ca="1"/>
      </c>
      <c r="CZ145">
        <f ca="1"/>
      </c>
      <c r="DA145">
        <f ca="1"/>
      </c>
      <c r="DB145">
        <f ca="1"/>
      </c>
      <c r="DC145">
        <f ca="1"/>
      </c>
      <c r="DD145">
        <f ca="1"/>
      </c>
      <c r="DE145">
        <f ca="1"/>
      </c>
      <c r="DG145">
        <f ca="1"/>
      </c>
      <c r="DH145">
        <f ca="1"/>
      </c>
      <c r="DI145">
        <f ca="1"/>
      </c>
      <c r="DJ145">
        <f ca="1"/>
      </c>
      <c r="DK145">
        <f ca="1"/>
      </c>
      <c r="DL145">
        <f ca="1"/>
      </c>
      <c r="DM145">
        <f ca="1"/>
      </c>
      <c r="DN145">
        <f ca="1"/>
      </c>
      <c r="DO145">
        <f ca="1"/>
      </c>
      <c r="DP145">
        <f ca="1"/>
      </c>
      <c r="DQ145">
        <f ca="1"/>
      </c>
      <c r="DR145">
        <f ca="1"/>
      </c>
      <c r="DS145">
        <f ca="1"/>
      </c>
      <c r="DT145">
        <f ca="1"/>
      </c>
      <c r="DU145">
        <f ca="1"/>
      </c>
      <c r="DV145">
        <f ca="1"/>
      </c>
      <c r="DW145">
        <f ca="1"/>
      </c>
      <c r="DX145">
        <f ca="1"/>
      </c>
      <c r="DY145">
        <f ca="1"/>
      </c>
      <c r="DZ145">
        <f ca="1"/>
      </c>
      <c r="EA145">
        <f ca="1"/>
      </c>
      <c r="EB145">
        <f ca="1"/>
      </c>
      <c r="EC145">
        <f ca="1"/>
      </c>
      <c r="ED145">
        <f ca="1"/>
      </c>
      <c r="EE145">
        <f ca="1"/>
      </c>
      <c r="EF145">
        <f ca="1"/>
      </c>
      <c r="EG145">
        <f ca="1"/>
      </c>
      <c r="EH145">
        <f ca="1"/>
      </c>
      <c r="EI145">
        <f ca="1"/>
      </c>
      <c r="EJ145">
        <f ca="1"/>
      </c>
      <c r="EK145">
        <f ca="1"/>
      </c>
      <c r="EL145">
        <f ca="1"/>
      </c>
      <c r="EM145">
        <f ca="1"/>
      </c>
      <c r="EN145">
        <f ca="1"/>
      </c>
      <c r="EO145">
        <f ca="1"/>
      </c>
      <c r="EP145">
        <f ca="1"/>
      </c>
      <c r="EQ145">
        <f ca="1"/>
      </c>
      <c r="ER145">
        <f ca="1"/>
      </c>
      <c r="ES145">
        <f ca="1"/>
      </c>
      <c r="ET145">
        <f ca="1"/>
      </c>
      <c r="EU145">
        <f ca="1"/>
      </c>
      <c r="EV145">
        <f ca="1"/>
      </c>
      <c r="EW145">
        <f ca="1"/>
      </c>
      <c r="EX145">
        <f ca="1"/>
      </c>
      <c r="EY145">
        <f ca="1"/>
      </c>
      <c r="EZ145">
        <f ca="1"/>
      </c>
      <c r="FA145">
        <f ca="1"/>
      </c>
      <c r="FC145">
        <f ca="1"/>
      </c>
      <c r="FD145">
        <f ca="1"/>
      </c>
      <c r="FE145">
        <f ca="1"/>
      </c>
      <c r="FF145">
        <f ca="1"/>
      </c>
      <c r="FG145">
        <f ca="1"/>
      </c>
      <c r="FH145">
        <f ca="1"/>
      </c>
      <c r="FI145">
        <f ca="1"/>
      </c>
      <c r="FJ145">
        <f ca="1"/>
      </c>
      <c r="FK145">
        <f ca="1"/>
      </c>
      <c r="FL145">
        <f ca="1"/>
      </c>
      <c r="FM145">
        <f ca="1"/>
      </c>
      <c r="FN145">
        <f ca="1"/>
      </c>
      <c r="FO145">
        <f ca="1"/>
      </c>
      <c r="FP145">
        <f ca="1"/>
      </c>
      <c r="FQ145">
        <f ca="1"/>
      </c>
      <c r="FR145">
        <f ca="1"/>
      </c>
      <c r="FS145">
        <f ca="1"/>
      </c>
      <c r="FT145">
        <f ca="1"/>
      </c>
      <c r="FU145">
        <f ca="1"/>
      </c>
      <c r="FV145">
        <f ca="1"/>
      </c>
      <c r="FW145">
        <f ca="1"/>
      </c>
      <c r="FX145">
        <f ca="1"/>
      </c>
      <c r="FY145">
        <f ca="1"/>
      </c>
      <c r="FZ145">
        <f ca="1"/>
      </c>
      <c r="GA145">
        <f ca="1"/>
      </c>
      <c r="GB145">
        <f ca="1"/>
      </c>
      <c r="GC145">
        <f ca="1"/>
      </c>
      <c r="GD145">
        <f ca="1"/>
      </c>
      <c r="GE145">
        <f ca="1"/>
      </c>
      <c r="GF145">
        <f ca="1"/>
      </c>
      <c r="GG145">
        <f ca="1"/>
      </c>
      <c r="GH145">
        <f ca="1"/>
      </c>
      <c r="GI145">
        <f ca="1"/>
      </c>
      <c r="GJ145">
        <f ca="1"/>
      </c>
      <c r="GK145">
        <f ca="1"/>
      </c>
      <c r="GL145">
        <f ca="1"/>
      </c>
      <c r="GM145">
        <f ca="1"/>
      </c>
      <c r="GN145">
        <f ca="1"/>
      </c>
      <c r="GO145">
        <f ca="1"/>
      </c>
      <c r="GP145">
        <f ca="1"/>
      </c>
      <c r="GQ145">
        <f ca="1"/>
      </c>
      <c r="GR145">
        <f ca="1"/>
      </c>
      <c r="GS145">
        <f ca="1"/>
      </c>
      <c r="GT145">
        <f ca="1"/>
      </c>
      <c r="GU145">
        <f ca="1"/>
      </c>
      <c r="GV145">
        <f ca="1"/>
      </c>
      <c r="GW145">
        <f ca="1"/>
      </c>
      <c r="HI145" s="7">
        <f ca="1"/>
      </c>
      <c r="HJ145">
        <f ca="1"/>
      </c>
      <c r="HK145">
        <f ca="1"/>
      </c>
      <c r="HL145">
        <f ca="1"/>
      </c>
      <c r="HM145">
        <f ca="1"/>
      </c>
    </row>
    <row r="146" spans="63:221" x14ac:dyDescent="0.55000000000000004">
      <c r="BK146">
        <f ca="1"/>
      </c>
      <c r="BL146">
        <f ca="1"/>
      </c>
      <c r="BM146">
        <f ca="1"/>
      </c>
      <c r="BN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  <c r="BV146">
        <f ca="1"/>
      </c>
      <c r="BW146">
        <f ca="1"/>
      </c>
      <c r="BX146">
        <f ca="1"/>
      </c>
      <c r="BY146">
        <f ca="1"/>
      </c>
      <c r="BZ146">
        <f ca="1"/>
      </c>
      <c r="CA146">
        <f ca="1"/>
      </c>
      <c r="CB146">
        <f ca="1"/>
      </c>
      <c r="CC146">
        <f ca="1"/>
      </c>
      <c r="CD146">
        <f ca="1"/>
      </c>
      <c r="CE146">
        <f ca="1"/>
      </c>
      <c r="CF146">
        <f ca="1"/>
      </c>
      <c r="CG146">
        <f ca="1"/>
      </c>
      <c r="CH146">
        <f ca="1"/>
      </c>
      <c r="CI146">
        <f ca="1"/>
      </c>
      <c r="CJ146">
        <f ca="1"/>
      </c>
      <c r="CK146">
        <f ca="1"/>
      </c>
      <c r="CL146">
        <f ca="1"/>
      </c>
      <c r="CM146">
        <f ca="1"/>
      </c>
      <c r="CN146">
        <f ca="1"/>
      </c>
      <c r="CO146">
        <f ca="1"/>
      </c>
      <c r="CP146">
        <f ca="1"/>
      </c>
      <c r="CQ146">
        <f ca="1"/>
      </c>
      <c r="CR146">
        <f ca="1"/>
      </c>
      <c r="CS146">
        <f ca="1"/>
      </c>
      <c r="CT146">
        <f ca="1"/>
      </c>
      <c r="CU146">
        <f ca="1"/>
      </c>
      <c r="CV146">
        <f ca="1"/>
      </c>
      <c r="CW146">
        <f ca="1"/>
      </c>
      <c r="CX146">
        <f ca="1"/>
      </c>
      <c r="CY146">
        <f ca="1"/>
      </c>
      <c r="CZ146">
        <f ca="1"/>
      </c>
      <c r="DA146">
        <f ca="1"/>
      </c>
      <c r="DB146">
        <f ca="1"/>
      </c>
      <c r="DC146">
        <f ca="1"/>
      </c>
      <c r="DD146">
        <f ca="1"/>
      </c>
      <c r="DE146">
        <f ca="1"/>
      </c>
      <c r="DG146">
        <f ca="1"/>
      </c>
      <c r="DH146">
        <f ca="1"/>
      </c>
      <c r="DI146">
        <f ca="1"/>
      </c>
      <c r="DJ146">
        <f ca="1"/>
      </c>
      <c r="DK146">
        <f ca="1"/>
      </c>
      <c r="DL146">
        <f ca="1"/>
      </c>
      <c r="DM146">
        <f ca="1"/>
      </c>
      <c r="DN146">
        <f ca="1"/>
      </c>
      <c r="DO146">
        <f ca="1"/>
      </c>
      <c r="DP146">
        <f ca="1"/>
      </c>
      <c r="DQ146">
        <f ca="1"/>
      </c>
      <c r="DR146">
        <f ca="1"/>
      </c>
      <c r="DS146">
        <f ca="1"/>
      </c>
      <c r="DT146">
        <f ca="1"/>
      </c>
      <c r="DU146">
        <f ca="1"/>
      </c>
      <c r="DV146">
        <f ca="1"/>
      </c>
      <c r="DW146">
        <f ca="1"/>
      </c>
      <c r="DX146">
        <f ca="1"/>
      </c>
      <c r="DY146">
        <f ca="1"/>
      </c>
      <c r="DZ146">
        <f ca="1"/>
      </c>
      <c r="EA146">
        <f ca="1"/>
      </c>
      <c r="EB146">
        <f ca="1"/>
      </c>
      <c r="EC146">
        <f ca="1"/>
      </c>
      <c r="ED146">
        <f ca="1"/>
      </c>
      <c r="EE146">
        <f ca="1"/>
      </c>
      <c r="EF146">
        <f ca="1"/>
      </c>
      <c r="EG146">
        <f ca="1"/>
      </c>
      <c r="EH146">
        <f ca="1"/>
      </c>
      <c r="EI146">
        <f ca="1"/>
      </c>
      <c r="EJ146">
        <f ca="1"/>
      </c>
      <c r="EK146">
        <f ca="1"/>
      </c>
      <c r="EL146">
        <f ca="1"/>
      </c>
      <c r="EM146">
        <f ca="1"/>
      </c>
      <c r="EN146">
        <f ca="1"/>
      </c>
      <c r="EO146">
        <f ca="1"/>
      </c>
      <c r="EP146">
        <f ca="1"/>
      </c>
      <c r="EQ146">
        <f ca="1"/>
      </c>
      <c r="ER146">
        <f ca="1"/>
      </c>
      <c r="ES146">
        <f ca="1"/>
      </c>
      <c r="ET146">
        <f ca="1"/>
      </c>
      <c r="EU146">
        <f ca="1"/>
      </c>
      <c r="EV146">
        <f ca="1"/>
      </c>
      <c r="EW146">
        <f ca="1"/>
      </c>
      <c r="EX146">
        <f ca="1"/>
      </c>
      <c r="EY146">
        <f ca="1"/>
      </c>
      <c r="EZ146">
        <f ca="1"/>
      </c>
      <c r="FA146">
        <f ca="1"/>
      </c>
      <c r="FC146">
        <f ca="1"/>
      </c>
      <c r="FD146">
        <f ca="1"/>
      </c>
      <c r="FE146">
        <f ca="1"/>
      </c>
      <c r="FF146">
        <f ca="1"/>
      </c>
      <c r="FG146">
        <f ca="1"/>
      </c>
      <c r="FH146">
        <f ca="1"/>
      </c>
      <c r="FI146">
        <f ca="1"/>
      </c>
      <c r="FJ146">
        <f ca="1"/>
      </c>
      <c r="FK146">
        <f ca="1"/>
      </c>
      <c r="FL146">
        <f ca="1"/>
      </c>
      <c r="FM146">
        <f ca="1"/>
      </c>
      <c r="FN146">
        <f ca="1"/>
      </c>
      <c r="FO146">
        <f ca="1"/>
      </c>
      <c r="FP146">
        <f ca="1"/>
      </c>
      <c r="FQ146">
        <f ca="1"/>
      </c>
      <c r="FR146">
        <f ca="1"/>
      </c>
      <c r="FS146">
        <f ca="1"/>
      </c>
      <c r="FT146">
        <f ca="1"/>
      </c>
      <c r="FU146">
        <f ca="1"/>
      </c>
      <c r="FV146">
        <f ca="1"/>
      </c>
      <c r="FW146">
        <f ca="1"/>
      </c>
      <c r="FX146">
        <f ca="1"/>
      </c>
      <c r="FY146">
        <f ca="1"/>
      </c>
      <c r="FZ146">
        <f ca="1"/>
      </c>
      <c r="GA146">
        <f ca="1"/>
      </c>
      <c r="GB146">
        <f ca="1"/>
      </c>
      <c r="GC146">
        <f ca="1"/>
      </c>
      <c r="GD146">
        <f ca="1"/>
      </c>
      <c r="GE146">
        <f ca="1"/>
      </c>
      <c r="GF146">
        <f ca="1"/>
      </c>
      <c r="GG146">
        <f ca="1"/>
      </c>
      <c r="GH146">
        <f ca="1"/>
      </c>
      <c r="GI146">
        <f ca="1"/>
      </c>
      <c r="GJ146">
        <f ca="1"/>
      </c>
      <c r="GK146">
        <f ca="1"/>
      </c>
      <c r="GL146">
        <f ca="1"/>
      </c>
      <c r="GM146">
        <f ca="1"/>
      </c>
      <c r="GN146">
        <f ca="1"/>
      </c>
      <c r="GO146">
        <f ca="1"/>
      </c>
      <c r="GP146">
        <f ca="1"/>
      </c>
      <c r="GQ146">
        <f ca="1"/>
      </c>
      <c r="GR146">
        <f ca="1"/>
      </c>
      <c r="GS146">
        <f ca="1"/>
      </c>
      <c r="GT146">
        <f ca="1"/>
      </c>
      <c r="GU146">
        <f ca="1"/>
      </c>
      <c r="GV146">
        <f ca="1"/>
      </c>
      <c r="GW146">
        <f ca="1"/>
      </c>
      <c r="HI146" s="7">
        <f ca="1"/>
      </c>
      <c r="HJ146">
        <f ca="1"/>
      </c>
      <c r="HK146">
        <f ca="1"/>
      </c>
      <c r="HL146">
        <f ca="1"/>
      </c>
      <c r="HM146">
        <f ca="1"/>
      </c>
    </row>
    <row r="147" spans="63:221" x14ac:dyDescent="0.55000000000000004">
      <c r="BK147">
        <f ca="1"/>
      </c>
      <c r="BL147">
        <f ca="1"/>
      </c>
      <c r="BM147">
        <f ca="1"/>
      </c>
      <c r="BN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  <c r="BV147">
        <f ca="1"/>
      </c>
      <c r="BW147">
        <f ca="1"/>
      </c>
      <c r="BX147">
        <f ca="1"/>
      </c>
      <c r="BY147">
        <f ca="1"/>
      </c>
      <c r="BZ147">
        <f ca="1"/>
      </c>
      <c r="CA147">
        <f ca="1"/>
      </c>
      <c r="CB147">
        <f ca="1"/>
      </c>
      <c r="CC147">
        <f ca="1"/>
      </c>
      <c r="CD147">
        <f ca="1"/>
      </c>
      <c r="CE147">
        <f ca="1"/>
      </c>
      <c r="CF147">
        <f ca="1"/>
      </c>
      <c r="CG147">
        <f ca="1"/>
      </c>
      <c r="CH147">
        <f ca="1"/>
      </c>
      <c r="CI147">
        <f ca="1"/>
      </c>
      <c r="CJ147">
        <f ca="1"/>
      </c>
      <c r="CK147">
        <f ca="1"/>
      </c>
      <c r="CL147">
        <f ca="1"/>
      </c>
      <c r="CM147">
        <f ca="1"/>
      </c>
      <c r="CN147">
        <f ca="1"/>
      </c>
      <c r="CO147">
        <f ca="1"/>
      </c>
      <c r="CP147">
        <f ca="1"/>
      </c>
      <c r="CQ147">
        <f ca="1"/>
      </c>
      <c r="CR147">
        <f ca="1"/>
      </c>
      <c r="CS147">
        <f ca="1"/>
      </c>
      <c r="CT147">
        <f ca="1"/>
      </c>
      <c r="CU147">
        <f ca="1"/>
      </c>
      <c r="CV147">
        <f ca="1"/>
      </c>
      <c r="CW147">
        <f ca="1"/>
      </c>
      <c r="CX147">
        <f ca="1"/>
      </c>
      <c r="CY147">
        <f ca="1"/>
      </c>
      <c r="CZ147">
        <f ca="1"/>
      </c>
      <c r="DA147">
        <f ca="1"/>
      </c>
      <c r="DB147">
        <f ca="1"/>
      </c>
      <c r="DC147">
        <f ca="1"/>
      </c>
      <c r="DD147">
        <f ca="1"/>
      </c>
      <c r="DE147">
        <f ca="1"/>
      </c>
      <c r="DG147">
        <f ca="1"/>
      </c>
      <c r="DH147">
        <f ca="1"/>
      </c>
      <c r="DI147">
        <f ca="1"/>
      </c>
      <c r="DJ147">
        <f ca="1"/>
      </c>
      <c r="DK147">
        <f ca="1"/>
      </c>
      <c r="DL147">
        <f ca="1"/>
      </c>
      <c r="DM147">
        <f ca="1"/>
      </c>
      <c r="DN147">
        <f ca="1"/>
      </c>
      <c r="DO147">
        <f ca="1"/>
      </c>
      <c r="DP147">
        <f ca="1"/>
      </c>
      <c r="DQ147">
        <f ca="1"/>
      </c>
      <c r="DR147">
        <f ca="1"/>
      </c>
      <c r="DS147">
        <f ca="1"/>
      </c>
      <c r="DT147">
        <f ca="1"/>
      </c>
      <c r="DU147">
        <f ca="1"/>
      </c>
      <c r="DV147">
        <f ca="1"/>
      </c>
      <c r="DW147">
        <f ca="1"/>
      </c>
      <c r="DX147">
        <f ca="1"/>
      </c>
      <c r="DY147">
        <f ca="1"/>
      </c>
      <c r="DZ147">
        <f ca="1"/>
      </c>
      <c r="EA147">
        <f ca="1"/>
      </c>
      <c r="EB147">
        <f ca="1"/>
      </c>
      <c r="EC147">
        <f ca="1"/>
      </c>
      <c r="ED147">
        <f ca="1"/>
      </c>
      <c r="EE147">
        <f ca="1"/>
      </c>
      <c r="EF147">
        <f ca="1"/>
      </c>
      <c r="EG147">
        <f ca="1"/>
      </c>
      <c r="EH147">
        <f ca="1"/>
      </c>
      <c r="EI147">
        <f ca="1"/>
      </c>
      <c r="EJ147">
        <f ca="1"/>
      </c>
      <c r="EK147">
        <f ca="1"/>
      </c>
      <c r="EL147">
        <f ca="1"/>
      </c>
      <c r="EM147">
        <f ca="1"/>
      </c>
      <c r="EN147">
        <f ca="1"/>
      </c>
      <c r="EO147">
        <f ca="1"/>
      </c>
      <c r="EP147">
        <f ca="1"/>
      </c>
      <c r="EQ147">
        <f ca="1"/>
      </c>
      <c r="ER147">
        <f ca="1"/>
      </c>
      <c r="ES147">
        <f ca="1"/>
      </c>
      <c r="ET147">
        <f ca="1"/>
      </c>
      <c r="EU147">
        <f ca="1"/>
      </c>
      <c r="EV147">
        <f ca="1"/>
      </c>
      <c r="EW147">
        <f ca="1"/>
      </c>
      <c r="EX147">
        <f ca="1"/>
      </c>
      <c r="EY147">
        <f ca="1"/>
      </c>
      <c r="EZ147">
        <f ca="1"/>
      </c>
      <c r="FA147">
        <f ca="1"/>
      </c>
      <c r="FC147">
        <f ca="1"/>
      </c>
      <c r="FD147">
        <f ca="1"/>
      </c>
      <c r="FE147">
        <f ca="1"/>
      </c>
      <c r="FF147">
        <f ca="1"/>
      </c>
      <c r="FG147">
        <f ca="1"/>
      </c>
      <c r="FH147">
        <f ca="1"/>
      </c>
      <c r="FI147">
        <f ca="1"/>
      </c>
      <c r="FJ147">
        <f ca="1"/>
      </c>
      <c r="FK147">
        <f ca="1"/>
      </c>
      <c r="FL147">
        <f ca="1"/>
      </c>
      <c r="FM147">
        <f ca="1"/>
      </c>
      <c r="FN147">
        <f ca="1"/>
      </c>
      <c r="FO147">
        <f ca="1"/>
      </c>
      <c r="FP147">
        <f ca="1"/>
      </c>
      <c r="FQ147">
        <f ca="1"/>
      </c>
      <c r="FR147">
        <f ca="1"/>
      </c>
      <c r="FS147">
        <f ca="1"/>
      </c>
      <c r="FT147">
        <f ca="1"/>
      </c>
      <c r="FU147">
        <f ca="1"/>
      </c>
      <c r="FV147">
        <f ca="1"/>
      </c>
      <c r="FW147">
        <f ca="1"/>
      </c>
      <c r="FX147">
        <f ca="1"/>
      </c>
      <c r="FY147">
        <f ca="1"/>
      </c>
      <c r="FZ147">
        <f ca="1"/>
      </c>
      <c r="GA147">
        <f ca="1"/>
      </c>
      <c r="GB147">
        <f ca="1"/>
      </c>
      <c r="GC147">
        <f ca="1"/>
      </c>
      <c r="GD147">
        <f ca="1"/>
      </c>
      <c r="GE147">
        <f ca="1"/>
      </c>
      <c r="GF147">
        <f ca="1"/>
      </c>
      <c r="GG147">
        <f ca="1"/>
      </c>
      <c r="GH147">
        <f ca="1"/>
      </c>
      <c r="GI147">
        <f ca="1"/>
      </c>
      <c r="GJ147">
        <f ca="1"/>
      </c>
      <c r="GK147">
        <f ca="1"/>
      </c>
      <c r="GL147">
        <f ca="1"/>
      </c>
      <c r="GM147">
        <f ca="1"/>
      </c>
      <c r="GN147">
        <f ca="1"/>
      </c>
      <c r="GO147">
        <f ca="1"/>
      </c>
      <c r="GP147">
        <f ca="1"/>
      </c>
      <c r="GQ147">
        <f ca="1"/>
      </c>
      <c r="GR147">
        <f ca="1"/>
      </c>
      <c r="GS147">
        <f ca="1"/>
      </c>
      <c r="GT147">
        <f ca="1"/>
      </c>
      <c r="GU147">
        <f ca="1"/>
      </c>
      <c r="GV147">
        <f ca="1"/>
      </c>
      <c r="GW147">
        <f ca="1"/>
      </c>
      <c r="HI147" s="7">
        <f ca="1"/>
      </c>
      <c r="HJ147">
        <f ca="1"/>
      </c>
      <c r="HK147">
        <f ca="1"/>
      </c>
      <c r="HL147">
        <f ca="1"/>
      </c>
      <c r="HM147">
        <f ca="1"/>
      </c>
    </row>
    <row r="148" spans="63:221" x14ac:dyDescent="0.55000000000000004">
      <c r="BK148">
        <f ca="1"/>
      </c>
      <c r="BL148">
        <f ca="1"/>
      </c>
      <c r="BM148">
        <f ca="1"/>
      </c>
      <c r="BN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  <c r="BV148">
        <f ca="1"/>
      </c>
      <c r="BW148">
        <f ca="1"/>
      </c>
      <c r="BX148">
        <f ca="1"/>
      </c>
      <c r="BY148">
        <f ca="1"/>
      </c>
      <c r="BZ148">
        <f ca="1"/>
      </c>
      <c r="CA148">
        <f ca="1"/>
      </c>
      <c r="CB148">
        <f ca="1"/>
      </c>
      <c r="CC148">
        <f ca="1"/>
      </c>
      <c r="CD148">
        <f ca="1"/>
      </c>
      <c r="CE148">
        <f ca="1"/>
      </c>
      <c r="CF148">
        <f ca="1"/>
      </c>
      <c r="CG148">
        <f ca="1"/>
      </c>
      <c r="CH148">
        <f ca="1"/>
      </c>
      <c r="CI148">
        <f ca="1"/>
      </c>
      <c r="CJ148">
        <f ca="1"/>
      </c>
      <c r="CK148">
        <f ca="1"/>
      </c>
      <c r="CL148">
        <f ca="1"/>
      </c>
      <c r="CM148">
        <f ca="1"/>
      </c>
      <c r="CN148">
        <f ca="1"/>
      </c>
      <c r="CO148">
        <f ca="1"/>
      </c>
      <c r="CP148">
        <f ca="1"/>
      </c>
      <c r="CQ148">
        <f ca="1"/>
      </c>
      <c r="CR148">
        <f ca="1"/>
      </c>
      <c r="CS148">
        <f ca="1"/>
      </c>
      <c r="CT148">
        <f ca="1"/>
      </c>
      <c r="CU148">
        <f ca="1"/>
      </c>
      <c r="CV148">
        <f ca="1"/>
      </c>
      <c r="CW148">
        <f ca="1"/>
      </c>
      <c r="CX148">
        <f ca="1"/>
      </c>
      <c r="CY148">
        <f ca="1"/>
      </c>
      <c r="CZ148">
        <f ca="1"/>
      </c>
      <c r="DA148">
        <f ca="1"/>
      </c>
      <c r="DB148">
        <f ca="1"/>
      </c>
      <c r="DC148">
        <f ca="1"/>
      </c>
      <c r="DD148">
        <f ca="1"/>
      </c>
      <c r="DE148">
        <f ca="1"/>
      </c>
      <c r="DG148">
        <f ca="1"/>
      </c>
      <c r="DH148">
        <f ca="1"/>
      </c>
      <c r="DI148">
        <f ca="1"/>
      </c>
      <c r="DJ148">
        <f ca="1"/>
      </c>
      <c r="DK148">
        <f ca="1"/>
      </c>
      <c r="DL148">
        <f ca="1"/>
      </c>
      <c r="DM148">
        <f ca="1"/>
      </c>
      <c r="DN148">
        <f ca="1"/>
      </c>
      <c r="DO148">
        <f ca="1"/>
      </c>
      <c r="DP148">
        <f ca="1"/>
      </c>
      <c r="DQ148">
        <f ca="1"/>
      </c>
      <c r="DR148">
        <f ca="1"/>
      </c>
      <c r="DS148">
        <f ca="1"/>
      </c>
      <c r="DT148">
        <f ca="1"/>
      </c>
      <c r="DU148">
        <f ca="1"/>
      </c>
      <c r="DV148">
        <f ca="1"/>
      </c>
      <c r="DW148">
        <f ca="1"/>
      </c>
      <c r="DX148">
        <f ca="1"/>
      </c>
      <c r="DY148">
        <f ca="1"/>
      </c>
      <c r="DZ148">
        <f ca="1"/>
      </c>
      <c r="EA148">
        <f ca="1"/>
      </c>
      <c r="EB148">
        <f ca="1"/>
      </c>
      <c r="EC148">
        <f ca="1"/>
      </c>
      <c r="ED148">
        <f ca="1"/>
      </c>
      <c r="EE148">
        <f ca="1"/>
      </c>
      <c r="EF148">
        <f ca="1"/>
      </c>
      <c r="EG148">
        <f ca="1"/>
      </c>
      <c r="EH148">
        <f ca="1"/>
      </c>
      <c r="EI148">
        <f ca="1"/>
      </c>
      <c r="EJ148">
        <f ca="1"/>
      </c>
      <c r="EK148">
        <f ca="1"/>
      </c>
      <c r="EL148">
        <f ca="1"/>
      </c>
      <c r="EM148">
        <f ca="1"/>
      </c>
      <c r="EN148">
        <f ca="1"/>
      </c>
      <c r="EO148">
        <f ca="1"/>
      </c>
      <c r="EP148">
        <f ca="1"/>
      </c>
      <c r="EQ148">
        <f ca="1"/>
      </c>
      <c r="ER148">
        <f ca="1"/>
      </c>
      <c r="ES148">
        <f ca="1"/>
      </c>
      <c r="ET148">
        <f ca="1"/>
      </c>
      <c r="EU148">
        <f ca="1"/>
      </c>
      <c r="EV148">
        <f ca="1"/>
      </c>
      <c r="EW148">
        <f ca="1"/>
      </c>
      <c r="EX148">
        <f ca="1"/>
      </c>
      <c r="EY148">
        <f ca="1"/>
      </c>
      <c r="EZ148">
        <f ca="1"/>
      </c>
      <c r="FA148">
        <f ca="1"/>
      </c>
      <c r="FC148">
        <f ca="1"/>
      </c>
      <c r="FD148">
        <f ca="1"/>
      </c>
      <c r="FE148">
        <f ca="1"/>
      </c>
      <c r="FF148">
        <f ca="1"/>
      </c>
      <c r="FG148">
        <f ca="1"/>
      </c>
      <c r="FH148">
        <f ca="1"/>
      </c>
      <c r="FI148">
        <f ca="1"/>
      </c>
      <c r="FJ148">
        <f ca="1"/>
      </c>
      <c r="FK148">
        <f ca="1"/>
      </c>
      <c r="FL148">
        <f ca="1"/>
      </c>
      <c r="FM148">
        <f ca="1"/>
      </c>
      <c r="FN148">
        <f ca="1"/>
      </c>
      <c r="FO148">
        <f ca="1"/>
      </c>
      <c r="FP148">
        <f ca="1"/>
      </c>
      <c r="FQ148">
        <f ca="1"/>
      </c>
      <c r="FR148">
        <f ca="1"/>
      </c>
      <c r="FS148">
        <f ca="1"/>
      </c>
      <c r="FT148">
        <f ca="1"/>
      </c>
      <c r="FU148">
        <f ca="1"/>
      </c>
      <c r="FV148">
        <f ca="1"/>
      </c>
      <c r="FW148">
        <f ca="1"/>
      </c>
      <c r="FX148">
        <f ca="1"/>
      </c>
      <c r="FY148">
        <f ca="1"/>
      </c>
      <c r="FZ148">
        <f ca="1"/>
      </c>
      <c r="GA148">
        <f ca="1"/>
      </c>
      <c r="GB148">
        <f ca="1"/>
      </c>
      <c r="GC148">
        <f ca="1"/>
      </c>
      <c r="GD148">
        <f ca="1"/>
      </c>
      <c r="GE148">
        <f ca="1"/>
      </c>
      <c r="GF148">
        <f ca="1"/>
      </c>
      <c r="GG148">
        <f ca="1"/>
      </c>
      <c r="GH148">
        <f ca="1"/>
      </c>
      <c r="GI148">
        <f ca="1"/>
      </c>
      <c r="GJ148">
        <f ca="1"/>
      </c>
      <c r="GK148">
        <f ca="1"/>
      </c>
      <c r="GL148">
        <f ca="1"/>
      </c>
      <c r="GM148">
        <f ca="1"/>
      </c>
      <c r="GN148">
        <f ca="1"/>
      </c>
      <c r="GO148">
        <f ca="1"/>
      </c>
      <c r="GP148">
        <f ca="1"/>
      </c>
      <c r="GQ148">
        <f ca="1"/>
      </c>
      <c r="GR148">
        <f ca="1"/>
      </c>
      <c r="GS148">
        <f ca="1"/>
      </c>
      <c r="GT148">
        <f ca="1"/>
      </c>
      <c r="GU148">
        <f ca="1"/>
      </c>
      <c r="GV148">
        <f ca="1"/>
      </c>
      <c r="GW148">
        <f ca="1"/>
      </c>
      <c r="HI148" s="7">
        <f ca="1"/>
      </c>
      <c r="HJ148">
        <f ca="1"/>
      </c>
      <c r="HK148">
        <f ca="1"/>
      </c>
      <c r="HL148">
        <f ca="1"/>
      </c>
      <c r="HM148">
        <f ca="1"/>
      </c>
    </row>
    <row r="149" spans="63:221" x14ac:dyDescent="0.55000000000000004">
      <c r="BK149">
        <f ca="1"/>
      </c>
      <c r="BL149">
        <f ca="1"/>
      </c>
      <c r="BM149">
        <f ca="1"/>
      </c>
      <c r="BN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  <c r="BV149">
        <f ca="1"/>
      </c>
      <c r="BW149">
        <f ca="1"/>
      </c>
      <c r="BX149">
        <f ca="1"/>
      </c>
      <c r="BY149">
        <f ca="1"/>
      </c>
      <c r="BZ149">
        <f ca="1"/>
      </c>
      <c r="CA149">
        <f ca="1"/>
      </c>
      <c r="CB149">
        <f ca="1"/>
      </c>
      <c r="CC149">
        <f ca="1"/>
      </c>
      <c r="CD149">
        <f ca="1"/>
      </c>
      <c r="CE149">
        <f ca="1"/>
      </c>
      <c r="CF149">
        <f ca="1"/>
      </c>
      <c r="CG149">
        <f ca="1"/>
      </c>
      <c r="CH149">
        <f ca="1"/>
      </c>
      <c r="CI149">
        <f ca="1"/>
      </c>
      <c r="CJ149">
        <f ca="1"/>
      </c>
      <c r="CK149">
        <f ca="1"/>
      </c>
      <c r="CL149">
        <f ca="1"/>
      </c>
      <c r="CM149">
        <f ca="1"/>
      </c>
      <c r="CN149">
        <f ca="1"/>
      </c>
      <c r="CO149">
        <f ca="1"/>
      </c>
      <c r="CP149">
        <f ca="1"/>
      </c>
      <c r="CQ149">
        <f ca="1"/>
      </c>
      <c r="CR149">
        <f ca="1"/>
      </c>
      <c r="CS149">
        <f ca="1"/>
      </c>
      <c r="CT149">
        <f ca="1"/>
      </c>
      <c r="CU149">
        <f ca="1"/>
      </c>
      <c r="CV149">
        <f ca="1"/>
      </c>
      <c r="CW149">
        <f ca="1"/>
      </c>
      <c r="CX149">
        <f ca="1"/>
      </c>
      <c r="CY149">
        <f ca="1"/>
      </c>
      <c r="CZ149">
        <f ca="1"/>
      </c>
      <c r="DA149">
        <f ca="1"/>
      </c>
      <c r="DB149">
        <f ca="1"/>
      </c>
      <c r="DC149">
        <f ca="1"/>
      </c>
      <c r="DD149">
        <f ca="1"/>
      </c>
      <c r="DE149">
        <f ca="1"/>
      </c>
      <c r="DG149">
        <f ca="1"/>
      </c>
      <c r="DH149">
        <f ca="1"/>
      </c>
      <c r="DI149">
        <f ca="1"/>
      </c>
      <c r="DJ149">
        <f ca="1"/>
      </c>
      <c r="DK149">
        <f ca="1"/>
      </c>
      <c r="DL149">
        <f ca="1"/>
      </c>
      <c r="DM149">
        <f ca="1"/>
      </c>
      <c r="DN149">
        <f ca="1"/>
      </c>
      <c r="DO149">
        <f ca="1"/>
      </c>
      <c r="DP149">
        <f ca="1"/>
      </c>
      <c r="DQ149">
        <f ca="1"/>
      </c>
      <c r="DR149">
        <f ca="1"/>
      </c>
      <c r="DS149">
        <f ca="1"/>
      </c>
      <c r="DT149">
        <f ca="1"/>
      </c>
      <c r="DU149">
        <f ca="1"/>
      </c>
      <c r="DV149">
        <f ca="1"/>
      </c>
      <c r="DW149">
        <f ca="1"/>
      </c>
      <c r="DX149">
        <f ca="1"/>
      </c>
      <c r="DY149">
        <f ca="1"/>
      </c>
      <c r="DZ149">
        <f ca="1"/>
      </c>
      <c r="EA149">
        <f ca="1"/>
      </c>
      <c r="EB149">
        <f ca="1"/>
      </c>
      <c r="EC149">
        <f ca="1"/>
      </c>
      <c r="ED149">
        <f ca="1"/>
      </c>
      <c r="EE149">
        <f ca="1"/>
      </c>
      <c r="EF149">
        <f ca="1"/>
      </c>
      <c r="EG149">
        <f ca="1"/>
      </c>
      <c r="EH149">
        <f ca="1"/>
      </c>
      <c r="EI149">
        <f ca="1"/>
      </c>
      <c r="EJ149">
        <f ca="1"/>
      </c>
      <c r="EK149">
        <f ca="1"/>
      </c>
      <c r="EL149">
        <f ca="1"/>
      </c>
      <c r="EM149">
        <f ca="1"/>
      </c>
      <c r="EN149">
        <f ca="1"/>
      </c>
      <c r="EO149">
        <f ca="1"/>
      </c>
      <c r="EP149">
        <f ca="1"/>
      </c>
      <c r="EQ149">
        <f ca="1"/>
      </c>
      <c r="ER149">
        <f ca="1"/>
      </c>
      <c r="ES149">
        <f ca="1"/>
      </c>
      <c r="ET149">
        <f ca="1"/>
      </c>
      <c r="EU149">
        <f ca="1"/>
      </c>
      <c r="EV149">
        <f ca="1"/>
      </c>
      <c r="EW149">
        <f ca="1"/>
      </c>
      <c r="EX149">
        <f ca="1"/>
      </c>
      <c r="EY149">
        <f ca="1"/>
      </c>
      <c r="EZ149">
        <f ca="1"/>
      </c>
      <c r="FA149">
        <f ca="1"/>
      </c>
      <c r="FC149">
        <f ca="1"/>
      </c>
      <c r="FD149">
        <f ca="1"/>
      </c>
      <c r="FE149">
        <f ca="1"/>
      </c>
      <c r="FF149">
        <f ca="1"/>
      </c>
      <c r="FG149">
        <f ca="1"/>
      </c>
      <c r="FH149">
        <f ca="1"/>
      </c>
      <c r="FI149">
        <f ca="1"/>
      </c>
      <c r="FJ149">
        <f ca="1"/>
      </c>
      <c r="FK149">
        <f ca="1"/>
      </c>
      <c r="FL149">
        <f ca="1"/>
      </c>
      <c r="FM149">
        <f ca="1"/>
      </c>
      <c r="FN149">
        <f ca="1"/>
      </c>
      <c r="FO149">
        <f ca="1"/>
      </c>
      <c r="FP149">
        <f ca="1"/>
      </c>
      <c r="FQ149">
        <f ca="1"/>
      </c>
      <c r="FR149">
        <f ca="1"/>
      </c>
      <c r="FS149">
        <f ca="1"/>
      </c>
      <c r="FT149">
        <f ca="1"/>
      </c>
      <c r="FU149">
        <f ca="1"/>
      </c>
      <c r="FV149">
        <f ca="1"/>
      </c>
      <c r="FW149">
        <f ca="1"/>
      </c>
      <c r="FX149">
        <f ca="1"/>
      </c>
      <c r="FY149">
        <f ca="1"/>
      </c>
      <c r="FZ149">
        <f ca="1"/>
      </c>
      <c r="GA149">
        <f ca="1"/>
      </c>
      <c r="GB149">
        <f ca="1"/>
      </c>
      <c r="GC149">
        <f ca="1"/>
      </c>
      <c r="GD149">
        <f ca="1"/>
      </c>
      <c r="GE149">
        <f ca="1"/>
      </c>
      <c r="GF149">
        <f ca="1"/>
      </c>
      <c r="GG149">
        <f ca="1"/>
      </c>
      <c r="GH149">
        <f ca="1"/>
      </c>
      <c r="GI149">
        <f ca="1"/>
      </c>
      <c r="GJ149">
        <f ca="1"/>
      </c>
      <c r="GK149">
        <f ca="1"/>
      </c>
      <c r="GL149">
        <f ca="1"/>
      </c>
      <c r="GM149">
        <f ca="1"/>
      </c>
      <c r="GN149">
        <f ca="1"/>
      </c>
      <c r="GO149">
        <f ca="1"/>
      </c>
      <c r="GP149">
        <f ca="1"/>
      </c>
      <c r="GQ149">
        <f ca="1"/>
      </c>
      <c r="GR149">
        <f ca="1"/>
      </c>
      <c r="GS149">
        <f ca="1"/>
      </c>
      <c r="GT149">
        <f ca="1"/>
      </c>
      <c r="GU149">
        <f ca="1"/>
      </c>
      <c r="GV149">
        <f ca="1"/>
      </c>
      <c r="GW149">
        <f ca="1"/>
      </c>
      <c r="HI149" s="7">
        <f ca="1"/>
      </c>
      <c r="HJ149">
        <f ca="1"/>
      </c>
      <c r="HK149">
        <f ca="1"/>
      </c>
      <c r="HL149">
        <f ca="1"/>
      </c>
      <c r="HM149">
        <f ca="1"/>
      </c>
    </row>
    <row r="150" spans="63:221" x14ac:dyDescent="0.55000000000000004">
      <c r="BK150">
        <f ca="1"/>
      </c>
      <c r="BL150">
        <f ca="1"/>
      </c>
      <c r="BM150">
        <f ca="1"/>
      </c>
      <c r="BN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  <c r="BV150">
        <f ca="1"/>
      </c>
      <c r="BW150">
        <f ca="1"/>
      </c>
      <c r="BX150">
        <f ca="1"/>
      </c>
      <c r="BY150">
        <f ca="1"/>
      </c>
      <c r="BZ150">
        <f ca="1"/>
      </c>
      <c r="CA150">
        <f ca="1"/>
      </c>
      <c r="CB150">
        <f ca="1"/>
      </c>
      <c r="CC150">
        <f ca="1"/>
      </c>
      <c r="CD150">
        <f ca="1"/>
      </c>
      <c r="CE150">
        <f ca="1"/>
      </c>
      <c r="CF150">
        <f ca="1"/>
      </c>
      <c r="CG150">
        <f ca="1"/>
      </c>
      <c r="CH150">
        <f ca="1"/>
      </c>
      <c r="CI150">
        <f ca="1"/>
      </c>
      <c r="CJ150">
        <f ca="1"/>
      </c>
      <c r="CK150">
        <f ca="1"/>
      </c>
      <c r="CL150">
        <f ca="1"/>
      </c>
      <c r="CM150">
        <f ca="1"/>
      </c>
      <c r="CN150">
        <f ca="1"/>
      </c>
      <c r="CO150">
        <f ca="1"/>
      </c>
      <c r="CP150">
        <f ca="1"/>
      </c>
      <c r="CQ150">
        <f ca="1"/>
      </c>
      <c r="CR150">
        <f ca="1"/>
      </c>
      <c r="CS150">
        <f ca="1"/>
      </c>
      <c r="CT150">
        <f ca="1"/>
      </c>
      <c r="CU150">
        <f ca="1"/>
      </c>
      <c r="CV150">
        <f ca="1"/>
      </c>
      <c r="CW150">
        <f ca="1"/>
      </c>
      <c r="CX150">
        <f ca="1"/>
      </c>
      <c r="CY150">
        <f ca="1"/>
      </c>
      <c r="CZ150">
        <f ca="1"/>
      </c>
      <c r="DA150">
        <f ca="1"/>
      </c>
      <c r="DB150">
        <f ca="1"/>
      </c>
      <c r="DC150">
        <f ca="1"/>
      </c>
      <c r="DD150">
        <f ca="1"/>
      </c>
      <c r="DE150">
        <f ca="1"/>
      </c>
      <c r="DG150">
        <f ca="1"/>
      </c>
      <c r="DH150">
        <f ca="1"/>
      </c>
      <c r="DI150">
        <f ca="1"/>
      </c>
      <c r="DJ150">
        <f ca="1"/>
      </c>
      <c r="DK150">
        <f ca="1"/>
      </c>
      <c r="DL150">
        <f ca="1"/>
      </c>
      <c r="DM150">
        <f ca="1"/>
      </c>
      <c r="DN150">
        <f ca="1"/>
      </c>
      <c r="DO150">
        <f ca="1"/>
      </c>
      <c r="DP150">
        <f ca="1"/>
      </c>
      <c r="DQ150">
        <f ca="1"/>
      </c>
      <c r="DR150">
        <f ca="1"/>
      </c>
      <c r="DS150">
        <f ca="1"/>
      </c>
      <c r="DT150">
        <f ca="1"/>
      </c>
      <c r="DU150">
        <f ca="1"/>
      </c>
      <c r="DV150">
        <f ca="1"/>
      </c>
      <c r="DW150">
        <f ca="1"/>
      </c>
      <c r="DX150">
        <f ca="1"/>
      </c>
      <c r="DY150">
        <f ca="1"/>
      </c>
      <c r="DZ150">
        <f ca="1"/>
      </c>
      <c r="EA150">
        <f ca="1"/>
      </c>
      <c r="EB150">
        <f ca="1"/>
      </c>
      <c r="EC150">
        <f ca="1"/>
      </c>
      <c r="ED150">
        <f ca="1"/>
      </c>
      <c r="EE150">
        <f ca="1"/>
      </c>
      <c r="EF150">
        <f ca="1"/>
      </c>
      <c r="EG150">
        <f ca="1"/>
      </c>
      <c r="EH150">
        <f ca="1"/>
      </c>
      <c r="EI150">
        <f ca="1"/>
      </c>
      <c r="EJ150">
        <f ca="1"/>
      </c>
      <c r="EK150">
        <f ca="1"/>
      </c>
      <c r="EL150">
        <f ca="1"/>
      </c>
      <c r="EM150">
        <f ca="1"/>
      </c>
      <c r="EN150">
        <f ca="1"/>
      </c>
      <c r="EO150">
        <f ca="1"/>
      </c>
      <c r="EP150">
        <f ca="1"/>
      </c>
      <c r="EQ150">
        <f ca="1"/>
      </c>
      <c r="ER150">
        <f ca="1"/>
      </c>
      <c r="ES150">
        <f ca="1"/>
      </c>
      <c r="ET150">
        <f ca="1"/>
      </c>
      <c r="EU150">
        <f ca="1"/>
      </c>
      <c r="EV150">
        <f ca="1"/>
      </c>
      <c r="EW150">
        <f ca="1"/>
      </c>
      <c r="EX150">
        <f ca="1"/>
      </c>
      <c r="EY150">
        <f ca="1"/>
      </c>
      <c r="EZ150">
        <f ca="1"/>
      </c>
      <c r="FA150">
        <f ca="1"/>
      </c>
      <c r="FC150">
        <f ca="1"/>
      </c>
      <c r="FD150">
        <f ca="1"/>
      </c>
      <c r="FE150">
        <f ca="1"/>
      </c>
      <c r="FF150">
        <f ca="1"/>
      </c>
      <c r="FG150">
        <f ca="1"/>
      </c>
      <c r="FH150">
        <f ca="1"/>
      </c>
      <c r="FI150">
        <f ca="1"/>
      </c>
      <c r="FJ150">
        <f ca="1"/>
      </c>
      <c r="FK150">
        <f ca="1"/>
      </c>
      <c r="FL150">
        <f ca="1"/>
      </c>
      <c r="FM150">
        <f ca="1"/>
      </c>
      <c r="FN150">
        <f ca="1"/>
      </c>
      <c r="FO150">
        <f ca="1"/>
      </c>
      <c r="FP150">
        <f ca="1"/>
      </c>
      <c r="FQ150">
        <f ca="1"/>
      </c>
      <c r="FR150">
        <f ca="1"/>
      </c>
      <c r="FS150">
        <f ca="1"/>
      </c>
      <c r="FT150">
        <f ca="1"/>
      </c>
      <c r="FU150">
        <f ca="1"/>
      </c>
      <c r="FV150">
        <f ca="1"/>
      </c>
      <c r="FW150">
        <f ca="1"/>
      </c>
      <c r="FX150">
        <f ca="1"/>
      </c>
      <c r="FY150">
        <f ca="1"/>
      </c>
      <c r="FZ150">
        <f ca="1"/>
      </c>
      <c r="GA150">
        <f ca="1"/>
      </c>
      <c r="GB150">
        <f ca="1"/>
      </c>
      <c r="GC150">
        <f ca="1"/>
      </c>
      <c r="GD150">
        <f ca="1"/>
      </c>
      <c r="GE150">
        <f ca="1"/>
      </c>
      <c r="GF150">
        <f ca="1"/>
      </c>
      <c r="GG150">
        <f ca="1"/>
      </c>
      <c r="GH150">
        <f ca="1"/>
      </c>
      <c r="GI150">
        <f ca="1"/>
      </c>
      <c r="GJ150">
        <f ca="1"/>
      </c>
      <c r="GK150">
        <f ca="1"/>
      </c>
      <c r="GL150">
        <f ca="1"/>
      </c>
      <c r="GM150">
        <f ca="1"/>
      </c>
      <c r="GN150">
        <f ca="1"/>
      </c>
      <c r="GO150">
        <f ca="1"/>
      </c>
      <c r="GP150">
        <f ca="1"/>
      </c>
      <c r="GQ150">
        <f ca="1"/>
      </c>
      <c r="GR150">
        <f ca="1"/>
      </c>
      <c r="GS150">
        <f ca="1"/>
      </c>
      <c r="GT150">
        <f ca="1"/>
      </c>
      <c r="GU150">
        <f ca="1"/>
      </c>
      <c r="GV150">
        <f ca="1"/>
      </c>
      <c r="GW150">
        <f ca="1"/>
      </c>
      <c r="HI150" s="7">
        <f ca="1"/>
      </c>
      <c r="HJ150">
        <f ca="1"/>
      </c>
      <c r="HK150">
        <f ca="1"/>
      </c>
      <c r="HL150">
        <f ca="1"/>
      </c>
      <c r="HM150">
        <f ca="1"/>
      </c>
    </row>
    <row r="151" spans="63:221" x14ac:dyDescent="0.55000000000000004">
      <c r="BK151">
        <f ca="1"/>
      </c>
      <c r="BL151">
        <f ca="1"/>
      </c>
      <c r="BM151">
        <f ca="1"/>
      </c>
      <c r="BN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  <c r="BV151">
        <f ca="1"/>
      </c>
      <c r="BW151">
        <f ca="1"/>
      </c>
      <c r="BX151">
        <f ca="1"/>
      </c>
      <c r="BY151">
        <f ca="1"/>
      </c>
      <c r="BZ151">
        <f ca="1"/>
      </c>
      <c r="CA151">
        <f ca="1"/>
      </c>
      <c r="CB151">
        <f ca="1"/>
      </c>
      <c r="CC151">
        <f ca="1"/>
      </c>
      <c r="CD151">
        <f ca="1"/>
      </c>
      <c r="CE151">
        <f ca="1"/>
      </c>
      <c r="CF151">
        <f ca="1"/>
      </c>
      <c r="CG151">
        <f ca="1"/>
      </c>
      <c r="CH151">
        <f ca="1"/>
      </c>
      <c r="CI151">
        <f ca="1"/>
      </c>
      <c r="CJ151">
        <f ca="1"/>
      </c>
      <c r="CK151">
        <f ca="1"/>
      </c>
      <c r="CL151">
        <f ca="1"/>
      </c>
      <c r="CM151">
        <f ca="1"/>
      </c>
      <c r="CN151">
        <f ca="1"/>
      </c>
      <c r="CO151">
        <f ca="1"/>
      </c>
      <c r="CP151">
        <f ca="1"/>
      </c>
      <c r="CQ151">
        <f ca="1"/>
      </c>
      <c r="CR151">
        <f ca="1"/>
      </c>
      <c r="CS151">
        <f ca="1"/>
      </c>
      <c r="CT151">
        <f ca="1"/>
      </c>
      <c r="CU151">
        <f ca="1"/>
      </c>
      <c r="CV151">
        <f ca="1"/>
      </c>
      <c r="CW151">
        <f ca="1"/>
      </c>
      <c r="CX151">
        <f ca="1"/>
      </c>
      <c r="CY151">
        <f ca="1"/>
      </c>
      <c r="CZ151">
        <f ca="1"/>
      </c>
      <c r="DA151">
        <f ca="1"/>
      </c>
      <c r="DB151">
        <f ca="1"/>
      </c>
      <c r="DC151">
        <f ca="1"/>
      </c>
      <c r="DD151">
        <f ca="1"/>
      </c>
      <c r="DE151">
        <f ca="1"/>
      </c>
      <c r="DG151">
        <f ca="1"/>
      </c>
      <c r="DH151">
        <f ca="1"/>
      </c>
      <c r="DI151">
        <f ca="1"/>
      </c>
      <c r="DJ151">
        <f ca="1"/>
      </c>
      <c r="DK151">
        <f ca="1"/>
      </c>
      <c r="DL151">
        <f ca="1"/>
      </c>
      <c r="DM151">
        <f ca="1"/>
      </c>
      <c r="DN151">
        <f ca="1"/>
      </c>
      <c r="DO151">
        <f ca="1"/>
      </c>
      <c r="DP151">
        <f ca="1"/>
      </c>
      <c r="DQ151">
        <f ca="1"/>
      </c>
      <c r="DR151">
        <f ca="1"/>
      </c>
      <c r="DS151">
        <f ca="1"/>
      </c>
      <c r="DT151">
        <f ca="1"/>
      </c>
      <c r="DU151">
        <f ca="1"/>
      </c>
      <c r="DV151">
        <f ca="1"/>
      </c>
      <c r="DW151">
        <f ca="1"/>
      </c>
      <c r="DX151">
        <f ca="1"/>
      </c>
      <c r="DY151">
        <f ca="1"/>
      </c>
      <c r="DZ151">
        <f ca="1"/>
      </c>
      <c r="EA151">
        <f ca="1"/>
      </c>
      <c r="EB151">
        <f ca="1"/>
      </c>
      <c r="EC151">
        <f ca="1"/>
      </c>
      <c r="ED151">
        <f ca="1"/>
      </c>
      <c r="EE151">
        <f ca="1"/>
      </c>
      <c r="EF151">
        <f ca="1"/>
      </c>
      <c r="EG151">
        <f ca="1"/>
      </c>
      <c r="EH151">
        <f ca="1"/>
      </c>
      <c r="EI151">
        <f ca="1"/>
      </c>
      <c r="EJ151">
        <f ca="1"/>
      </c>
      <c r="EK151">
        <f ca="1"/>
      </c>
      <c r="EL151">
        <f ca="1"/>
      </c>
      <c r="EM151">
        <f ca="1"/>
      </c>
      <c r="EN151">
        <f ca="1"/>
      </c>
      <c r="EO151">
        <f ca="1"/>
      </c>
      <c r="EP151">
        <f ca="1"/>
      </c>
      <c r="EQ151">
        <f ca="1"/>
      </c>
      <c r="ER151">
        <f ca="1"/>
      </c>
      <c r="ES151">
        <f ca="1"/>
      </c>
      <c r="ET151">
        <f ca="1"/>
      </c>
      <c r="EU151">
        <f ca="1"/>
      </c>
      <c r="EV151">
        <f ca="1"/>
      </c>
      <c r="EW151">
        <f ca="1"/>
      </c>
      <c r="EX151">
        <f ca="1"/>
      </c>
      <c r="EY151">
        <f ca="1"/>
      </c>
      <c r="EZ151">
        <f ca="1"/>
      </c>
      <c r="FA151">
        <f ca="1"/>
      </c>
      <c r="FC151">
        <f ca="1"/>
      </c>
      <c r="FD151">
        <f ca="1"/>
      </c>
      <c r="FE151">
        <f ca="1"/>
      </c>
      <c r="FF151">
        <f ca="1"/>
      </c>
      <c r="FG151">
        <f ca="1"/>
      </c>
      <c r="FH151">
        <f ca="1"/>
      </c>
      <c r="FI151">
        <f ca="1"/>
      </c>
      <c r="FJ151">
        <f ca="1"/>
      </c>
      <c r="FK151">
        <f ca="1"/>
      </c>
      <c r="FL151">
        <f ca="1"/>
      </c>
      <c r="FM151">
        <f ca="1"/>
      </c>
      <c r="FN151">
        <f ca="1"/>
      </c>
      <c r="FO151">
        <f ca="1"/>
      </c>
      <c r="FP151">
        <f ca="1"/>
      </c>
      <c r="FQ151">
        <f ca="1"/>
      </c>
      <c r="FR151">
        <f ca="1"/>
      </c>
      <c r="FS151">
        <f ca="1"/>
      </c>
      <c r="FT151">
        <f ca="1"/>
      </c>
      <c r="FU151">
        <f ca="1"/>
      </c>
      <c r="FV151">
        <f ca="1"/>
      </c>
      <c r="FW151">
        <f ca="1"/>
      </c>
      <c r="FX151">
        <f ca="1"/>
      </c>
      <c r="FY151">
        <f ca="1"/>
      </c>
      <c r="FZ151">
        <f ca="1"/>
      </c>
      <c r="GA151">
        <f ca="1"/>
      </c>
      <c r="GB151">
        <f ca="1"/>
      </c>
      <c r="GC151">
        <f ca="1"/>
      </c>
      <c r="GD151">
        <f ca="1"/>
      </c>
      <c r="GE151">
        <f ca="1"/>
      </c>
      <c r="GF151">
        <f ca="1"/>
      </c>
      <c r="GG151">
        <f ca="1"/>
      </c>
      <c r="GH151">
        <f ca="1"/>
      </c>
      <c r="GI151">
        <f ca="1"/>
      </c>
      <c r="GJ151">
        <f ca="1"/>
      </c>
      <c r="GK151">
        <f ca="1"/>
      </c>
      <c r="GL151">
        <f ca="1"/>
      </c>
      <c r="GM151">
        <f ca="1"/>
      </c>
      <c r="GN151">
        <f ca="1"/>
      </c>
      <c r="GO151">
        <f ca="1"/>
      </c>
      <c r="GP151">
        <f ca="1"/>
      </c>
      <c r="GQ151">
        <f ca="1"/>
      </c>
      <c r="GR151">
        <f ca="1"/>
      </c>
      <c r="GS151">
        <f ca="1"/>
      </c>
      <c r="GT151">
        <f ca="1"/>
      </c>
      <c r="GU151">
        <f ca="1"/>
      </c>
      <c r="GV151">
        <f ca="1"/>
      </c>
      <c r="GW151">
        <f ca="1"/>
      </c>
      <c r="HI151" s="7">
        <f ca="1"/>
      </c>
      <c r="HJ151">
        <f ca="1"/>
      </c>
      <c r="HK151">
        <f ca="1"/>
      </c>
      <c r="HL151">
        <f ca="1"/>
      </c>
      <c r="HM151">
        <f ca="1"/>
      </c>
    </row>
    <row r="152" spans="63:221" x14ac:dyDescent="0.55000000000000004">
      <c r="BK152">
        <f ca="1"/>
      </c>
      <c r="BL152">
        <f ca="1"/>
      </c>
      <c r="BM152">
        <f ca="1"/>
      </c>
      <c r="BN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  <c r="BV152">
        <f ca="1"/>
      </c>
      <c r="BW152">
        <f ca="1"/>
      </c>
      <c r="BX152">
        <f ca="1"/>
      </c>
      <c r="BY152">
        <f ca="1"/>
      </c>
      <c r="BZ152">
        <f ca="1"/>
      </c>
      <c r="CA152">
        <f ca="1"/>
      </c>
      <c r="CB152">
        <f ca="1"/>
      </c>
      <c r="CC152">
        <f ca="1"/>
      </c>
      <c r="CD152">
        <f ca="1"/>
      </c>
      <c r="CE152">
        <f ca="1"/>
      </c>
      <c r="CF152">
        <f ca="1"/>
      </c>
      <c r="CG152">
        <f ca="1"/>
      </c>
      <c r="CH152">
        <f ca="1"/>
      </c>
      <c r="CI152">
        <f ca="1"/>
      </c>
      <c r="CJ152">
        <f ca="1"/>
      </c>
      <c r="CK152">
        <f ca="1"/>
      </c>
      <c r="CL152">
        <f ca="1"/>
      </c>
      <c r="CM152">
        <f ca="1"/>
      </c>
      <c r="CN152">
        <f ca="1"/>
      </c>
      <c r="CO152">
        <f ca="1"/>
      </c>
      <c r="CP152">
        <f ca="1"/>
      </c>
      <c r="CQ152">
        <f ca="1"/>
      </c>
      <c r="CR152">
        <f ca="1"/>
      </c>
      <c r="CS152">
        <f ca="1"/>
      </c>
      <c r="CT152">
        <f ca="1"/>
      </c>
      <c r="CU152">
        <f ca="1"/>
      </c>
      <c r="CV152">
        <f ca="1"/>
      </c>
      <c r="CW152">
        <f ca="1"/>
      </c>
      <c r="CX152">
        <f ca="1"/>
      </c>
      <c r="CY152">
        <f ca="1"/>
      </c>
      <c r="CZ152">
        <f ca="1"/>
      </c>
      <c r="DA152">
        <f ca="1"/>
      </c>
      <c r="DB152">
        <f ca="1"/>
      </c>
      <c r="DC152">
        <f ca="1"/>
      </c>
      <c r="DD152">
        <f ca="1"/>
      </c>
      <c r="DE152">
        <f ca="1"/>
      </c>
      <c r="DG152">
        <f ca="1"/>
      </c>
      <c r="DH152">
        <f ca="1"/>
      </c>
      <c r="DI152">
        <f ca="1"/>
      </c>
      <c r="DJ152">
        <f ca="1"/>
      </c>
      <c r="DK152">
        <f ca="1"/>
      </c>
      <c r="DL152">
        <f ca="1"/>
      </c>
      <c r="DM152">
        <f ca="1"/>
      </c>
      <c r="DN152">
        <f ca="1"/>
      </c>
      <c r="DO152">
        <f ca="1"/>
      </c>
      <c r="DP152">
        <f ca="1"/>
      </c>
      <c r="DQ152">
        <f ca="1"/>
      </c>
      <c r="DR152">
        <f ca="1"/>
      </c>
      <c r="DS152">
        <f ca="1"/>
      </c>
      <c r="DT152">
        <f ca="1"/>
      </c>
      <c r="DU152">
        <f ca="1"/>
      </c>
      <c r="DV152">
        <f ca="1"/>
      </c>
      <c r="DW152">
        <f ca="1"/>
      </c>
      <c r="DX152">
        <f ca="1"/>
      </c>
      <c r="DY152">
        <f ca="1"/>
      </c>
      <c r="DZ152">
        <f ca="1"/>
      </c>
      <c r="EA152">
        <f ca="1"/>
      </c>
      <c r="EB152">
        <f ca="1"/>
      </c>
      <c r="EC152">
        <f ca="1"/>
      </c>
      <c r="ED152">
        <f ca="1"/>
      </c>
      <c r="EE152">
        <f ca="1"/>
      </c>
      <c r="EF152">
        <f ca="1"/>
      </c>
      <c r="EG152">
        <f ca="1"/>
      </c>
      <c r="EH152">
        <f ca="1"/>
      </c>
      <c r="EI152">
        <f ca="1"/>
      </c>
      <c r="EJ152">
        <f ca="1"/>
      </c>
      <c r="EK152">
        <f ca="1"/>
      </c>
      <c r="EL152">
        <f ca="1"/>
      </c>
      <c r="EM152">
        <f ca="1"/>
      </c>
      <c r="EN152">
        <f ca="1"/>
      </c>
      <c r="EO152">
        <f ca="1"/>
      </c>
      <c r="EP152">
        <f ca="1"/>
      </c>
      <c r="EQ152">
        <f ca="1"/>
      </c>
      <c r="ER152">
        <f ca="1"/>
      </c>
      <c r="ES152">
        <f ca="1"/>
      </c>
      <c r="ET152">
        <f ca="1"/>
      </c>
      <c r="EU152">
        <f ca="1"/>
      </c>
      <c r="EV152">
        <f ca="1"/>
      </c>
      <c r="EW152">
        <f ca="1"/>
      </c>
      <c r="EX152">
        <f ca="1"/>
      </c>
      <c r="EY152">
        <f ca="1"/>
      </c>
      <c r="EZ152">
        <f ca="1"/>
      </c>
      <c r="FA152">
        <f ca="1"/>
      </c>
      <c r="FC152">
        <f ca="1"/>
      </c>
      <c r="FD152">
        <f ca="1"/>
      </c>
      <c r="FE152">
        <f ca="1"/>
      </c>
      <c r="FF152">
        <f ca="1"/>
      </c>
      <c r="FG152">
        <f ca="1"/>
      </c>
      <c r="FH152">
        <f ca="1"/>
      </c>
      <c r="FI152">
        <f ca="1"/>
      </c>
      <c r="FJ152">
        <f ca="1"/>
      </c>
      <c r="FK152">
        <f ca="1"/>
      </c>
      <c r="FL152">
        <f ca="1"/>
      </c>
      <c r="FM152">
        <f ca="1"/>
      </c>
      <c r="FN152">
        <f ca="1"/>
      </c>
      <c r="FO152">
        <f ca="1"/>
      </c>
      <c r="FP152">
        <f ca="1"/>
      </c>
      <c r="FQ152">
        <f ca="1"/>
      </c>
      <c r="FR152">
        <f ca="1"/>
      </c>
      <c r="FS152">
        <f ca="1"/>
      </c>
      <c r="FT152">
        <f ca="1"/>
      </c>
      <c r="FU152">
        <f ca="1"/>
      </c>
      <c r="FV152">
        <f ca="1"/>
      </c>
      <c r="FW152">
        <f ca="1"/>
      </c>
      <c r="FX152">
        <f ca="1"/>
      </c>
      <c r="FY152">
        <f ca="1"/>
      </c>
      <c r="FZ152">
        <f ca="1"/>
      </c>
      <c r="GA152">
        <f ca="1"/>
      </c>
      <c r="GB152">
        <f ca="1"/>
      </c>
      <c r="GC152">
        <f ca="1"/>
      </c>
      <c r="GD152">
        <f ca="1"/>
      </c>
      <c r="GE152">
        <f ca="1"/>
      </c>
      <c r="GF152">
        <f ca="1"/>
      </c>
      <c r="GG152">
        <f ca="1"/>
      </c>
      <c r="GH152">
        <f ca="1"/>
      </c>
      <c r="GI152">
        <f ca="1"/>
      </c>
      <c r="GJ152">
        <f ca="1"/>
      </c>
      <c r="GK152">
        <f ca="1"/>
      </c>
      <c r="GL152">
        <f ca="1"/>
      </c>
      <c r="GM152">
        <f ca="1"/>
      </c>
      <c r="GN152">
        <f ca="1"/>
      </c>
      <c r="GO152">
        <f ca="1"/>
      </c>
      <c r="GP152">
        <f ca="1"/>
      </c>
      <c r="GQ152">
        <f ca="1"/>
      </c>
      <c r="GR152">
        <f ca="1"/>
      </c>
      <c r="GS152">
        <f ca="1"/>
      </c>
      <c r="GT152">
        <f ca="1"/>
      </c>
      <c r="GU152">
        <f ca="1"/>
      </c>
      <c r="GV152">
        <f ca="1"/>
      </c>
      <c r="GW152">
        <f ca="1"/>
      </c>
      <c r="HI152" s="7">
        <f ca="1"/>
      </c>
      <c r="HJ152">
        <f ca="1"/>
      </c>
      <c r="HK152">
        <f ca="1"/>
      </c>
      <c r="HL152">
        <f ca="1"/>
      </c>
      <c r="HM152">
        <f ca="1"/>
      </c>
    </row>
    <row r="153" spans="63:221" x14ac:dyDescent="0.55000000000000004">
      <c r="BK153">
        <f ca="1"/>
      </c>
      <c r="BL153">
        <f ca="1"/>
      </c>
      <c r="BM153">
        <f ca="1"/>
      </c>
      <c r="BN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  <c r="BV153">
        <f ca="1"/>
      </c>
      <c r="BW153">
        <f ca="1"/>
      </c>
      <c r="BX153">
        <f ca="1"/>
      </c>
      <c r="BY153">
        <f ca="1"/>
      </c>
      <c r="BZ153">
        <f ca="1"/>
      </c>
      <c r="CA153">
        <f ca="1"/>
      </c>
      <c r="CB153">
        <f ca="1"/>
      </c>
      <c r="CC153">
        <f ca="1"/>
      </c>
      <c r="CD153">
        <f ca="1"/>
      </c>
      <c r="CE153">
        <f ca="1"/>
      </c>
      <c r="CF153">
        <f ca="1"/>
      </c>
      <c r="CG153">
        <f ca="1"/>
      </c>
      <c r="CH153">
        <f ca="1"/>
      </c>
      <c r="CI153">
        <f ca="1"/>
      </c>
      <c r="CJ153">
        <f ca="1"/>
      </c>
      <c r="CK153">
        <f ca="1"/>
      </c>
      <c r="CL153">
        <f ca="1"/>
      </c>
      <c r="CM153">
        <f ca="1"/>
      </c>
      <c r="CN153">
        <f ca="1"/>
      </c>
      <c r="CO153">
        <f ca="1"/>
      </c>
      <c r="CP153">
        <f ca="1"/>
      </c>
      <c r="CQ153">
        <f ca="1"/>
      </c>
      <c r="CR153">
        <f ca="1"/>
      </c>
      <c r="CS153">
        <f ca="1"/>
      </c>
      <c r="CT153">
        <f ca="1"/>
      </c>
      <c r="CU153">
        <f ca="1"/>
      </c>
      <c r="CV153">
        <f ca="1"/>
      </c>
      <c r="CW153">
        <f ca="1"/>
      </c>
      <c r="CX153">
        <f ca="1"/>
      </c>
      <c r="CY153">
        <f ca="1"/>
      </c>
      <c r="CZ153">
        <f ca="1"/>
      </c>
      <c r="DA153">
        <f ca="1"/>
      </c>
      <c r="DB153">
        <f ca="1"/>
      </c>
      <c r="DC153">
        <f ca="1"/>
      </c>
      <c r="DD153">
        <f ca="1"/>
      </c>
      <c r="DE153">
        <f ca="1"/>
      </c>
      <c r="DG153">
        <f ca="1"/>
      </c>
      <c r="DH153">
        <f ca="1"/>
      </c>
      <c r="DI153">
        <f ca="1"/>
      </c>
      <c r="DJ153">
        <f ca="1"/>
      </c>
      <c r="DK153">
        <f ca="1"/>
      </c>
      <c r="DL153">
        <f ca="1"/>
      </c>
      <c r="DM153">
        <f ca="1"/>
      </c>
      <c r="DN153">
        <f ca="1"/>
      </c>
      <c r="DO153">
        <f ca="1"/>
      </c>
      <c r="DP153">
        <f ca="1"/>
      </c>
      <c r="DQ153">
        <f ca="1"/>
      </c>
      <c r="DR153">
        <f ca="1"/>
      </c>
      <c r="DS153">
        <f ca="1"/>
      </c>
      <c r="DT153">
        <f ca="1"/>
      </c>
      <c r="DU153">
        <f ca="1"/>
      </c>
      <c r="DV153">
        <f ca="1"/>
      </c>
      <c r="DW153">
        <f ca="1"/>
      </c>
      <c r="DX153">
        <f ca="1"/>
      </c>
      <c r="DY153">
        <f ca="1"/>
      </c>
      <c r="DZ153">
        <f ca="1"/>
      </c>
      <c r="EA153">
        <f ca="1"/>
      </c>
      <c r="EB153">
        <f ca="1"/>
      </c>
      <c r="EC153">
        <f ca="1"/>
      </c>
      <c r="ED153">
        <f ca="1"/>
      </c>
      <c r="EE153">
        <f ca="1"/>
      </c>
      <c r="EF153">
        <f ca="1"/>
      </c>
      <c r="EG153">
        <f ca="1"/>
      </c>
      <c r="EH153">
        <f ca="1"/>
      </c>
      <c r="EI153">
        <f ca="1"/>
      </c>
      <c r="EJ153">
        <f ca="1"/>
      </c>
      <c r="EK153">
        <f ca="1"/>
      </c>
      <c r="EL153">
        <f ca="1"/>
      </c>
      <c r="EM153">
        <f ca="1"/>
      </c>
      <c r="EN153">
        <f ca="1"/>
      </c>
      <c r="EO153">
        <f ca="1"/>
      </c>
      <c r="EP153">
        <f ca="1"/>
      </c>
      <c r="EQ153">
        <f ca="1"/>
      </c>
      <c r="ER153">
        <f ca="1"/>
      </c>
      <c r="ES153">
        <f ca="1"/>
      </c>
      <c r="ET153">
        <f ca="1"/>
      </c>
      <c r="EU153">
        <f ca="1"/>
      </c>
      <c r="EV153">
        <f ca="1"/>
      </c>
      <c r="EW153">
        <f ca="1"/>
      </c>
      <c r="EX153">
        <f ca="1"/>
      </c>
      <c r="EY153">
        <f ca="1"/>
      </c>
      <c r="EZ153">
        <f ca="1"/>
      </c>
      <c r="FA153">
        <f ca="1"/>
      </c>
      <c r="FC153">
        <f ca="1"/>
      </c>
      <c r="FD153">
        <f ca="1"/>
      </c>
      <c r="FE153">
        <f ca="1"/>
      </c>
      <c r="FF153">
        <f ca="1"/>
      </c>
      <c r="FG153">
        <f ca="1"/>
      </c>
      <c r="FH153">
        <f ca="1"/>
      </c>
      <c r="FI153">
        <f ca="1"/>
      </c>
      <c r="FJ153">
        <f ca="1"/>
      </c>
      <c r="FK153">
        <f ca="1"/>
      </c>
      <c r="FL153">
        <f ca="1"/>
      </c>
      <c r="FM153">
        <f ca="1"/>
      </c>
      <c r="FN153">
        <f ca="1"/>
      </c>
      <c r="FO153">
        <f ca="1"/>
      </c>
      <c r="FP153">
        <f ca="1"/>
      </c>
      <c r="FQ153">
        <f ca="1"/>
      </c>
      <c r="FR153">
        <f ca="1"/>
      </c>
      <c r="FS153">
        <f ca="1"/>
      </c>
      <c r="FT153">
        <f ca="1"/>
      </c>
      <c r="FU153">
        <f ca="1"/>
      </c>
      <c r="FV153">
        <f ca="1"/>
      </c>
      <c r="FW153">
        <f ca="1"/>
      </c>
      <c r="FX153">
        <f ca="1"/>
      </c>
      <c r="FY153">
        <f ca="1"/>
      </c>
      <c r="FZ153">
        <f ca="1"/>
      </c>
      <c r="GA153">
        <f ca="1"/>
      </c>
      <c r="GB153">
        <f ca="1"/>
      </c>
      <c r="GC153">
        <f ca="1"/>
      </c>
      <c r="GD153">
        <f ca="1"/>
      </c>
      <c r="GE153">
        <f ca="1"/>
      </c>
      <c r="GF153">
        <f ca="1"/>
      </c>
      <c r="GG153">
        <f ca="1"/>
      </c>
      <c r="GH153">
        <f ca="1"/>
      </c>
      <c r="GI153">
        <f ca="1"/>
      </c>
      <c r="GJ153">
        <f ca="1"/>
      </c>
      <c r="GK153">
        <f ca="1"/>
      </c>
      <c r="GL153">
        <f ca="1"/>
      </c>
      <c r="GM153">
        <f ca="1"/>
      </c>
      <c r="GN153">
        <f ca="1"/>
      </c>
      <c r="GO153">
        <f ca="1"/>
      </c>
      <c r="GP153">
        <f ca="1"/>
      </c>
      <c r="GQ153">
        <f ca="1"/>
      </c>
      <c r="GR153">
        <f ca="1"/>
      </c>
      <c r="GS153">
        <f ca="1"/>
      </c>
      <c r="GT153">
        <f ca="1"/>
      </c>
      <c r="GU153">
        <f ca="1"/>
      </c>
      <c r="GV153">
        <f ca="1"/>
      </c>
      <c r="GW153">
        <f ca="1"/>
      </c>
      <c r="HI153" s="7">
        <f ca="1"/>
      </c>
      <c r="HJ153">
        <f ca="1"/>
      </c>
      <c r="HK153">
        <f ca="1"/>
      </c>
      <c r="HL153">
        <f ca="1"/>
      </c>
      <c r="HM153">
        <f ca="1"/>
      </c>
    </row>
    <row r="154" spans="63:221" x14ac:dyDescent="0.55000000000000004">
      <c r="BK154">
        <f ca="1"/>
      </c>
      <c r="BL154">
        <f ca="1"/>
      </c>
      <c r="BM154">
        <f ca="1"/>
      </c>
      <c r="BN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  <c r="BV154">
        <f ca="1"/>
      </c>
      <c r="BW154">
        <f ca="1"/>
      </c>
      <c r="BX154">
        <f ca="1"/>
      </c>
      <c r="BY154">
        <f ca="1"/>
      </c>
      <c r="BZ154">
        <f ca="1"/>
      </c>
      <c r="CA154">
        <f ca="1"/>
      </c>
      <c r="CB154">
        <f ca="1"/>
      </c>
      <c r="CC154">
        <f ca="1"/>
      </c>
      <c r="CD154">
        <f ca="1"/>
      </c>
      <c r="CE154">
        <f ca="1"/>
      </c>
      <c r="CF154">
        <f ca="1"/>
      </c>
      <c r="CG154">
        <f ca="1"/>
      </c>
      <c r="CH154">
        <f ca="1"/>
      </c>
      <c r="CI154">
        <f ca="1"/>
      </c>
      <c r="CJ154">
        <f ca="1"/>
      </c>
      <c r="CK154">
        <f ca="1"/>
      </c>
      <c r="CL154">
        <f ca="1"/>
      </c>
      <c r="CM154">
        <f ca="1"/>
      </c>
      <c r="CN154">
        <f ca="1"/>
      </c>
      <c r="CO154">
        <f ca="1"/>
      </c>
      <c r="CP154">
        <f ca="1"/>
      </c>
      <c r="CQ154">
        <f ca="1"/>
      </c>
      <c r="CR154">
        <f ca="1"/>
      </c>
      <c r="CS154">
        <f ca="1"/>
      </c>
      <c r="CT154">
        <f ca="1"/>
      </c>
      <c r="CU154">
        <f ca="1"/>
      </c>
      <c r="CV154">
        <f ca="1"/>
      </c>
      <c r="CW154">
        <f ca="1"/>
      </c>
      <c r="CX154">
        <f ca="1"/>
      </c>
      <c r="CY154">
        <f ca="1"/>
      </c>
      <c r="CZ154">
        <f ca="1"/>
      </c>
      <c r="DA154">
        <f ca="1"/>
      </c>
      <c r="DB154">
        <f ca="1"/>
      </c>
      <c r="DC154">
        <f ca="1"/>
      </c>
      <c r="DD154">
        <f ca="1"/>
      </c>
      <c r="DE154">
        <f ca="1"/>
      </c>
      <c r="DG154">
        <f ca="1"/>
      </c>
      <c r="DH154">
        <f ca="1"/>
      </c>
      <c r="DI154">
        <f ca="1"/>
      </c>
      <c r="DJ154">
        <f ca="1"/>
      </c>
      <c r="DK154">
        <f ca="1"/>
      </c>
      <c r="DL154">
        <f ca="1"/>
      </c>
      <c r="DM154">
        <f ca="1"/>
      </c>
      <c r="DN154">
        <f ca="1"/>
      </c>
      <c r="DO154">
        <f ca="1"/>
      </c>
      <c r="DP154">
        <f ca="1"/>
      </c>
      <c r="DQ154">
        <f ca="1"/>
      </c>
      <c r="DR154">
        <f ca="1"/>
      </c>
      <c r="DS154">
        <f ca="1"/>
      </c>
      <c r="DT154">
        <f ca="1"/>
      </c>
      <c r="DU154">
        <f ca="1"/>
      </c>
      <c r="DV154">
        <f ca="1"/>
      </c>
      <c r="DW154">
        <f ca="1"/>
      </c>
      <c r="DX154">
        <f ca="1"/>
      </c>
      <c r="DY154">
        <f ca="1"/>
      </c>
      <c r="DZ154">
        <f ca="1"/>
      </c>
      <c r="EA154">
        <f ca="1"/>
      </c>
      <c r="EB154">
        <f ca="1"/>
      </c>
      <c r="EC154">
        <f ca="1"/>
      </c>
      <c r="ED154">
        <f ca="1"/>
      </c>
      <c r="EE154">
        <f ca="1"/>
      </c>
      <c r="EF154">
        <f ca="1"/>
      </c>
      <c r="EG154">
        <f ca="1"/>
      </c>
      <c r="EH154">
        <f ca="1"/>
      </c>
      <c r="EI154">
        <f ca="1"/>
      </c>
      <c r="EJ154">
        <f ca="1"/>
      </c>
      <c r="EK154">
        <f ca="1"/>
      </c>
      <c r="EL154">
        <f ca="1"/>
      </c>
      <c r="EM154">
        <f ca="1"/>
      </c>
      <c r="EN154">
        <f ca="1"/>
      </c>
      <c r="EO154">
        <f ca="1"/>
      </c>
      <c r="EP154">
        <f ca="1"/>
      </c>
      <c r="EQ154">
        <f ca="1"/>
      </c>
      <c r="ER154">
        <f ca="1"/>
      </c>
      <c r="ES154">
        <f ca="1"/>
      </c>
      <c r="ET154">
        <f ca="1"/>
      </c>
      <c r="EU154">
        <f ca="1"/>
      </c>
      <c r="EV154">
        <f ca="1"/>
      </c>
      <c r="EW154">
        <f ca="1"/>
      </c>
      <c r="EX154">
        <f ca="1"/>
      </c>
      <c r="EY154">
        <f ca="1"/>
      </c>
      <c r="EZ154">
        <f ca="1"/>
      </c>
      <c r="FA154">
        <f ca="1"/>
      </c>
      <c r="FC154">
        <f ca="1"/>
      </c>
      <c r="FD154">
        <f ca="1"/>
      </c>
      <c r="FE154">
        <f ca="1"/>
      </c>
      <c r="FF154">
        <f ca="1"/>
      </c>
      <c r="FG154">
        <f ca="1"/>
      </c>
      <c r="FH154">
        <f ca="1"/>
      </c>
      <c r="FI154">
        <f ca="1"/>
      </c>
      <c r="FJ154">
        <f ca="1"/>
      </c>
      <c r="FK154">
        <f ca="1"/>
      </c>
      <c r="FL154">
        <f ca="1"/>
      </c>
      <c r="FM154">
        <f ca="1"/>
      </c>
      <c r="FN154">
        <f ca="1"/>
      </c>
      <c r="FO154">
        <f ca="1"/>
      </c>
      <c r="FP154">
        <f ca="1"/>
      </c>
      <c r="FQ154">
        <f ca="1"/>
      </c>
      <c r="FR154">
        <f ca="1"/>
      </c>
      <c r="FS154">
        <f ca="1"/>
      </c>
      <c r="FT154">
        <f ca="1"/>
      </c>
      <c r="FU154">
        <f ca="1"/>
      </c>
      <c r="FV154">
        <f ca="1"/>
      </c>
      <c r="FW154">
        <f ca="1"/>
      </c>
      <c r="FX154">
        <f ca="1"/>
      </c>
      <c r="FY154">
        <f ca="1"/>
      </c>
      <c r="FZ154">
        <f ca="1"/>
      </c>
      <c r="GA154">
        <f ca="1"/>
      </c>
      <c r="GB154">
        <f ca="1"/>
      </c>
      <c r="GC154">
        <f ca="1"/>
      </c>
      <c r="GD154">
        <f ca="1"/>
      </c>
      <c r="GE154">
        <f ca="1"/>
      </c>
      <c r="GF154">
        <f ca="1"/>
      </c>
      <c r="GG154">
        <f ca="1"/>
      </c>
      <c r="GH154">
        <f ca="1"/>
      </c>
      <c r="GI154">
        <f ca="1"/>
      </c>
      <c r="GJ154">
        <f ca="1"/>
      </c>
      <c r="GK154">
        <f ca="1"/>
      </c>
      <c r="GL154">
        <f ca="1"/>
      </c>
      <c r="GM154">
        <f ca="1"/>
      </c>
      <c r="GN154">
        <f ca="1"/>
      </c>
      <c r="GO154">
        <f ca="1"/>
      </c>
      <c r="GP154">
        <f ca="1"/>
      </c>
      <c r="GQ154">
        <f ca="1"/>
      </c>
      <c r="GR154">
        <f ca="1"/>
      </c>
      <c r="GS154">
        <f ca="1"/>
      </c>
      <c r="GT154">
        <f ca="1"/>
      </c>
      <c r="GU154">
        <f ca="1"/>
      </c>
      <c r="GV154">
        <f ca="1"/>
      </c>
      <c r="GW154">
        <f ca="1"/>
      </c>
      <c r="HI154" s="7">
        <f ca="1"/>
      </c>
      <c r="HJ154">
        <f ca="1"/>
      </c>
      <c r="HK154">
        <f ca="1"/>
      </c>
      <c r="HL154">
        <f ca="1"/>
      </c>
      <c r="HM154">
        <f ca="1"/>
      </c>
    </row>
    <row r="155" spans="63:221" x14ac:dyDescent="0.55000000000000004">
      <c r="BK155">
        <f ca="1"/>
      </c>
      <c r="BL155">
        <f ca="1"/>
      </c>
      <c r="BM155">
        <f ca="1"/>
      </c>
      <c r="BN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  <c r="BV155">
        <f ca="1"/>
      </c>
      <c r="BW155">
        <f ca="1"/>
      </c>
      <c r="BX155">
        <f ca="1"/>
      </c>
      <c r="BY155">
        <f ca="1"/>
      </c>
      <c r="BZ155">
        <f ca="1"/>
      </c>
      <c r="CA155">
        <f ca="1"/>
      </c>
      <c r="CB155">
        <f ca="1"/>
      </c>
      <c r="CC155">
        <f ca="1"/>
      </c>
      <c r="CD155">
        <f ca="1"/>
      </c>
      <c r="CE155">
        <f ca="1"/>
      </c>
      <c r="CF155">
        <f ca="1"/>
      </c>
      <c r="CG155">
        <f ca="1"/>
      </c>
      <c r="CH155">
        <f ca="1"/>
      </c>
      <c r="CI155">
        <f ca="1"/>
      </c>
      <c r="CJ155">
        <f ca="1"/>
      </c>
      <c r="CK155">
        <f ca="1"/>
      </c>
      <c r="CL155">
        <f ca="1"/>
      </c>
      <c r="CM155">
        <f ca="1"/>
      </c>
      <c r="CN155">
        <f ca="1"/>
      </c>
      <c r="CO155">
        <f ca="1"/>
      </c>
      <c r="CP155">
        <f ca="1"/>
      </c>
      <c r="CQ155">
        <f ca="1"/>
      </c>
      <c r="CR155">
        <f ca="1"/>
      </c>
      <c r="CS155">
        <f ca="1"/>
      </c>
      <c r="CT155">
        <f ca="1"/>
      </c>
      <c r="CU155">
        <f ca="1"/>
      </c>
      <c r="CV155">
        <f ca="1"/>
      </c>
      <c r="CW155">
        <f ca="1"/>
      </c>
      <c r="CX155">
        <f ca="1"/>
      </c>
      <c r="CY155">
        <f ca="1"/>
      </c>
      <c r="CZ155">
        <f ca="1"/>
      </c>
      <c r="DA155">
        <f ca="1"/>
      </c>
      <c r="DB155">
        <f ca="1"/>
      </c>
      <c r="DC155">
        <f ca="1"/>
      </c>
      <c r="DD155">
        <f ca="1"/>
      </c>
      <c r="DE155">
        <f ca="1"/>
      </c>
      <c r="DG155">
        <f ca="1"/>
      </c>
      <c r="DH155">
        <f ca="1"/>
      </c>
      <c r="DI155">
        <f ca="1"/>
      </c>
      <c r="DJ155">
        <f ca="1"/>
      </c>
      <c r="DK155">
        <f ca="1"/>
      </c>
      <c r="DL155">
        <f ca="1"/>
      </c>
      <c r="DM155">
        <f ca="1"/>
      </c>
      <c r="DN155">
        <f ca="1"/>
      </c>
      <c r="DO155">
        <f ca="1"/>
      </c>
      <c r="DP155">
        <f ca="1"/>
      </c>
      <c r="DQ155">
        <f ca="1"/>
      </c>
      <c r="DR155">
        <f ca="1"/>
      </c>
      <c r="DS155">
        <f ca="1"/>
      </c>
      <c r="DT155">
        <f ca="1"/>
      </c>
      <c r="DU155">
        <f ca="1"/>
      </c>
      <c r="DV155">
        <f ca="1"/>
      </c>
      <c r="DW155">
        <f ca="1"/>
      </c>
      <c r="DX155">
        <f ca="1"/>
      </c>
      <c r="DY155">
        <f ca="1"/>
      </c>
      <c r="DZ155">
        <f ca="1"/>
      </c>
      <c r="EA155">
        <f ca="1"/>
      </c>
      <c r="EB155">
        <f ca="1"/>
      </c>
      <c r="EC155">
        <f ca="1"/>
      </c>
      <c r="ED155">
        <f ca="1"/>
      </c>
      <c r="EE155">
        <f ca="1"/>
      </c>
      <c r="EF155">
        <f ca="1"/>
      </c>
      <c r="EG155">
        <f ca="1"/>
      </c>
      <c r="EH155">
        <f ca="1"/>
      </c>
      <c r="EI155">
        <f ca="1"/>
      </c>
      <c r="EJ155">
        <f ca="1"/>
      </c>
      <c r="EK155">
        <f ca="1"/>
      </c>
      <c r="EL155">
        <f ca="1"/>
      </c>
      <c r="EM155">
        <f ca="1"/>
      </c>
      <c r="EN155">
        <f ca="1"/>
      </c>
      <c r="EO155">
        <f ca="1"/>
      </c>
      <c r="EP155">
        <f ca="1"/>
      </c>
      <c r="EQ155">
        <f ca="1"/>
      </c>
      <c r="ER155">
        <f ca="1"/>
      </c>
      <c r="ES155">
        <f ca="1"/>
      </c>
      <c r="ET155">
        <f ca="1"/>
      </c>
      <c r="EU155">
        <f ca="1"/>
      </c>
      <c r="EV155">
        <f ca="1"/>
      </c>
      <c r="EW155">
        <f ca="1"/>
      </c>
      <c r="EX155">
        <f ca="1"/>
      </c>
      <c r="EY155">
        <f ca="1"/>
      </c>
      <c r="EZ155">
        <f ca="1"/>
      </c>
      <c r="FA155">
        <f ca="1"/>
      </c>
      <c r="FC155">
        <f ca="1"/>
      </c>
      <c r="FD155">
        <f ca="1"/>
      </c>
      <c r="FE155">
        <f ca="1"/>
      </c>
      <c r="FF155">
        <f ca="1"/>
      </c>
      <c r="FG155">
        <f ca="1"/>
      </c>
      <c r="FH155">
        <f ca="1"/>
      </c>
      <c r="FI155">
        <f ca="1"/>
      </c>
      <c r="FJ155">
        <f ca="1"/>
      </c>
      <c r="FK155">
        <f ca="1"/>
      </c>
      <c r="FL155">
        <f ca="1"/>
      </c>
      <c r="FM155">
        <f ca="1"/>
      </c>
      <c r="FN155">
        <f ca="1"/>
      </c>
      <c r="FO155">
        <f ca="1"/>
      </c>
      <c r="FP155">
        <f ca="1"/>
      </c>
      <c r="FQ155">
        <f ca="1"/>
      </c>
      <c r="FR155">
        <f ca="1"/>
      </c>
      <c r="FS155">
        <f ca="1"/>
      </c>
      <c r="FT155">
        <f ca="1"/>
      </c>
      <c r="FU155">
        <f ca="1"/>
      </c>
      <c r="FV155">
        <f ca="1"/>
      </c>
      <c r="FW155">
        <f ca="1"/>
      </c>
      <c r="FX155">
        <f ca="1"/>
      </c>
      <c r="FY155">
        <f ca="1"/>
      </c>
      <c r="FZ155">
        <f ca="1"/>
      </c>
      <c r="GA155">
        <f ca="1"/>
      </c>
      <c r="GB155">
        <f ca="1"/>
      </c>
      <c r="GC155">
        <f ca="1"/>
      </c>
      <c r="GD155">
        <f ca="1"/>
      </c>
      <c r="GE155">
        <f ca="1"/>
      </c>
      <c r="GF155">
        <f ca="1"/>
      </c>
      <c r="GG155">
        <f ca="1"/>
      </c>
      <c r="GH155">
        <f ca="1"/>
      </c>
      <c r="GI155">
        <f ca="1"/>
      </c>
      <c r="GJ155">
        <f ca="1"/>
      </c>
      <c r="GK155">
        <f ca="1"/>
      </c>
      <c r="GL155">
        <f ca="1"/>
      </c>
      <c r="GM155">
        <f ca="1"/>
      </c>
      <c r="GN155">
        <f ca="1"/>
      </c>
      <c r="GO155">
        <f ca="1"/>
      </c>
      <c r="GP155">
        <f ca="1"/>
      </c>
      <c r="GQ155">
        <f ca="1"/>
      </c>
      <c r="GR155">
        <f ca="1"/>
      </c>
      <c r="GS155">
        <f ca="1"/>
      </c>
      <c r="GT155">
        <f ca="1"/>
      </c>
      <c r="GU155">
        <f ca="1"/>
      </c>
      <c r="GV155">
        <f ca="1"/>
      </c>
      <c r="GW155">
        <f ca="1"/>
      </c>
      <c r="HI155" s="7">
        <f ca="1"/>
      </c>
      <c r="HJ155">
        <f ca="1"/>
      </c>
      <c r="HK155">
        <f ca="1"/>
      </c>
      <c r="HL155">
        <f ca="1"/>
      </c>
      <c r="HM155">
        <f ca="1"/>
      </c>
    </row>
    <row r="156" spans="63:221" x14ac:dyDescent="0.55000000000000004">
      <c r="BK156">
        <f ca="1"/>
      </c>
      <c r="BL156">
        <f ca="1"/>
      </c>
      <c r="BM156">
        <f ca="1"/>
      </c>
      <c r="BN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  <c r="BV156">
        <f ca="1"/>
      </c>
      <c r="BW156">
        <f ca="1"/>
      </c>
      <c r="BX156">
        <f ca="1"/>
      </c>
      <c r="BY156">
        <f ca="1"/>
      </c>
      <c r="BZ156">
        <f ca="1"/>
      </c>
      <c r="CA156">
        <f ca="1"/>
      </c>
      <c r="CB156">
        <f ca="1"/>
      </c>
      <c r="CC156">
        <f ca="1"/>
      </c>
      <c r="CD156">
        <f ca="1"/>
      </c>
      <c r="CE156">
        <f ca="1"/>
      </c>
      <c r="CF156">
        <f ca="1"/>
      </c>
      <c r="CG156">
        <f ca="1"/>
      </c>
      <c r="CH156">
        <f ca="1"/>
      </c>
      <c r="CI156">
        <f ca="1"/>
      </c>
      <c r="CJ156">
        <f ca="1"/>
      </c>
      <c r="CK156">
        <f ca="1"/>
      </c>
      <c r="CL156">
        <f ca="1"/>
      </c>
      <c r="CM156">
        <f ca="1"/>
      </c>
      <c r="CN156">
        <f ca="1"/>
      </c>
      <c r="CO156">
        <f ca="1"/>
      </c>
      <c r="CP156">
        <f ca="1"/>
      </c>
      <c r="CQ156">
        <f ca="1"/>
      </c>
      <c r="CR156">
        <f ca="1"/>
      </c>
      <c r="CS156">
        <f ca="1"/>
      </c>
      <c r="CT156">
        <f ca="1"/>
      </c>
      <c r="CU156">
        <f ca="1"/>
      </c>
      <c r="CV156">
        <f ca="1"/>
      </c>
      <c r="CW156">
        <f ca="1"/>
      </c>
      <c r="CX156">
        <f ca="1"/>
      </c>
      <c r="CY156">
        <f ca="1"/>
      </c>
      <c r="CZ156">
        <f ca="1"/>
      </c>
      <c r="DA156">
        <f ca="1"/>
      </c>
      <c r="DB156">
        <f ca="1"/>
      </c>
      <c r="DC156">
        <f ca="1"/>
      </c>
      <c r="DD156">
        <f ca="1"/>
      </c>
      <c r="DE156">
        <f ca="1"/>
      </c>
      <c r="DG156">
        <f ca="1"/>
      </c>
      <c r="DH156">
        <f ca="1"/>
      </c>
      <c r="DI156">
        <f ca="1"/>
      </c>
      <c r="DJ156">
        <f ca="1"/>
      </c>
      <c r="DK156">
        <f ca="1"/>
      </c>
      <c r="DL156">
        <f ca="1"/>
      </c>
      <c r="DM156">
        <f ca="1"/>
      </c>
      <c r="DN156">
        <f ca="1"/>
      </c>
      <c r="DO156">
        <f ca="1"/>
      </c>
      <c r="DP156">
        <f ca="1"/>
      </c>
      <c r="DQ156">
        <f ca="1"/>
      </c>
      <c r="DR156">
        <f ca="1"/>
      </c>
      <c r="DS156">
        <f ca="1"/>
      </c>
      <c r="DT156">
        <f ca="1"/>
      </c>
      <c r="DU156">
        <f ca="1"/>
      </c>
      <c r="DV156">
        <f ca="1"/>
      </c>
      <c r="DW156">
        <f ca="1"/>
      </c>
      <c r="DX156">
        <f ca="1"/>
      </c>
      <c r="DY156">
        <f ca="1"/>
      </c>
      <c r="DZ156">
        <f ca="1"/>
      </c>
      <c r="EA156">
        <f ca="1"/>
      </c>
      <c r="EB156">
        <f ca="1"/>
      </c>
      <c r="EC156">
        <f ca="1"/>
      </c>
      <c r="ED156">
        <f ca="1"/>
      </c>
      <c r="EE156">
        <f ca="1"/>
      </c>
      <c r="EF156">
        <f ca="1"/>
      </c>
      <c r="EG156">
        <f ca="1"/>
      </c>
      <c r="EH156">
        <f ca="1"/>
      </c>
      <c r="EI156">
        <f ca="1"/>
      </c>
      <c r="EJ156">
        <f ca="1"/>
      </c>
      <c r="EK156">
        <f ca="1"/>
      </c>
      <c r="EL156">
        <f ca="1"/>
      </c>
      <c r="EM156">
        <f ca="1"/>
      </c>
      <c r="EN156">
        <f ca="1"/>
      </c>
      <c r="EO156">
        <f ca="1"/>
      </c>
      <c r="EP156">
        <f ca="1"/>
      </c>
      <c r="EQ156">
        <f ca="1"/>
      </c>
      <c r="ER156">
        <f ca="1"/>
      </c>
      <c r="ES156">
        <f ca="1"/>
      </c>
      <c r="ET156">
        <f ca="1"/>
      </c>
      <c r="EU156">
        <f ca="1"/>
      </c>
      <c r="EV156">
        <f ca="1"/>
      </c>
      <c r="EW156">
        <f ca="1"/>
      </c>
      <c r="EX156">
        <f ca="1"/>
      </c>
      <c r="EY156">
        <f ca="1"/>
      </c>
      <c r="EZ156">
        <f ca="1"/>
      </c>
      <c r="FA156">
        <f ca="1"/>
      </c>
      <c r="FC156">
        <f ca="1"/>
      </c>
      <c r="FD156">
        <f ca="1"/>
      </c>
      <c r="FE156">
        <f ca="1"/>
      </c>
      <c r="FF156">
        <f ca="1"/>
      </c>
      <c r="FG156">
        <f ca="1"/>
      </c>
      <c r="FH156">
        <f ca="1"/>
      </c>
      <c r="FI156">
        <f ca="1"/>
      </c>
      <c r="FJ156">
        <f ca="1"/>
      </c>
      <c r="FK156">
        <f ca="1"/>
      </c>
      <c r="FL156">
        <f ca="1"/>
      </c>
      <c r="FM156">
        <f ca="1"/>
      </c>
      <c r="FN156">
        <f ca="1"/>
      </c>
      <c r="FO156">
        <f ca="1"/>
      </c>
      <c r="FP156">
        <f ca="1"/>
      </c>
      <c r="FQ156">
        <f ca="1"/>
      </c>
      <c r="FR156">
        <f ca="1"/>
      </c>
      <c r="FS156">
        <f ca="1"/>
      </c>
      <c r="FT156">
        <f ca="1"/>
      </c>
      <c r="FU156">
        <f ca="1"/>
      </c>
      <c r="FV156">
        <f ca="1"/>
      </c>
      <c r="FW156">
        <f ca="1"/>
      </c>
      <c r="FX156">
        <f ca="1"/>
      </c>
      <c r="FY156">
        <f ca="1"/>
      </c>
      <c r="FZ156">
        <f ca="1"/>
      </c>
      <c r="GA156">
        <f ca="1"/>
      </c>
      <c r="GB156">
        <f ca="1"/>
      </c>
      <c r="GC156">
        <f ca="1"/>
      </c>
      <c r="GD156">
        <f ca="1"/>
      </c>
      <c r="GE156">
        <f ca="1"/>
      </c>
      <c r="GF156">
        <f ca="1"/>
      </c>
      <c r="GG156">
        <f ca="1"/>
      </c>
      <c r="GH156">
        <f ca="1"/>
      </c>
      <c r="GI156">
        <f ca="1"/>
      </c>
      <c r="GJ156">
        <f ca="1"/>
      </c>
      <c r="GK156">
        <f ca="1"/>
      </c>
      <c r="GL156">
        <f ca="1"/>
      </c>
      <c r="GM156">
        <f ca="1"/>
      </c>
      <c r="GN156">
        <f ca="1"/>
      </c>
      <c r="GO156">
        <f ca="1"/>
      </c>
      <c r="GP156">
        <f ca="1"/>
      </c>
      <c r="GQ156">
        <f ca="1"/>
      </c>
      <c r="GR156">
        <f ca="1"/>
      </c>
      <c r="GS156">
        <f ca="1"/>
      </c>
      <c r="GT156">
        <f ca="1"/>
      </c>
      <c r="GU156">
        <f ca="1"/>
      </c>
      <c r="GV156">
        <f ca="1"/>
      </c>
      <c r="GW156">
        <f ca="1"/>
      </c>
      <c r="HI156" s="7">
        <f ca="1"/>
      </c>
      <c r="HJ156">
        <f ca="1"/>
      </c>
      <c r="HK156">
        <f ca="1"/>
      </c>
      <c r="HL156">
        <f ca="1"/>
      </c>
      <c r="HM156">
        <f ca="1"/>
      </c>
    </row>
    <row r="157" spans="63:221" x14ac:dyDescent="0.55000000000000004">
      <c r="BK157">
        <f ca="1"/>
      </c>
      <c r="BL157">
        <f ca="1"/>
      </c>
      <c r="BM157">
        <f ca="1"/>
      </c>
      <c r="BN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  <c r="BV157">
        <f ca="1"/>
      </c>
      <c r="BW157">
        <f ca="1"/>
      </c>
      <c r="BX157">
        <f ca="1"/>
      </c>
      <c r="BY157">
        <f ca="1"/>
      </c>
      <c r="BZ157">
        <f ca="1"/>
      </c>
      <c r="CA157">
        <f ca="1"/>
      </c>
      <c r="CB157">
        <f ca="1"/>
      </c>
      <c r="CC157">
        <f ca="1"/>
      </c>
      <c r="CD157">
        <f ca="1"/>
      </c>
      <c r="CE157">
        <f ca="1"/>
      </c>
      <c r="CF157">
        <f ca="1"/>
      </c>
      <c r="CG157">
        <f ca="1"/>
      </c>
      <c r="CH157">
        <f ca="1"/>
      </c>
      <c r="CI157">
        <f ca="1"/>
      </c>
      <c r="CJ157">
        <f ca="1"/>
      </c>
      <c r="CK157">
        <f ca="1"/>
      </c>
      <c r="CL157">
        <f ca="1"/>
      </c>
      <c r="CM157">
        <f ca="1"/>
      </c>
      <c r="CN157">
        <f ca="1"/>
      </c>
      <c r="CO157">
        <f ca="1"/>
      </c>
      <c r="CP157">
        <f ca="1"/>
      </c>
      <c r="CQ157">
        <f ca="1"/>
      </c>
      <c r="CR157">
        <f ca="1"/>
      </c>
      <c r="CS157">
        <f ca="1"/>
      </c>
      <c r="CT157">
        <f ca="1"/>
      </c>
      <c r="CU157">
        <f ca="1"/>
      </c>
      <c r="CV157">
        <f ca="1"/>
      </c>
      <c r="CW157">
        <f ca="1"/>
      </c>
      <c r="CX157">
        <f ca="1"/>
      </c>
      <c r="CY157">
        <f ca="1"/>
      </c>
      <c r="CZ157">
        <f ca="1"/>
      </c>
      <c r="DA157">
        <f ca="1"/>
      </c>
      <c r="DB157">
        <f ca="1"/>
      </c>
      <c r="DC157">
        <f ca="1"/>
      </c>
      <c r="DD157">
        <f ca="1"/>
      </c>
      <c r="DE157">
        <f ca="1"/>
      </c>
      <c r="DG157">
        <f ca="1"/>
      </c>
      <c r="DH157">
        <f ca="1"/>
      </c>
      <c r="DI157">
        <f ca="1"/>
      </c>
      <c r="DJ157">
        <f ca="1"/>
      </c>
      <c r="DK157">
        <f ca="1"/>
      </c>
      <c r="DL157">
        <f ca="1"/>
      </c>
      <c r="DM157">
        <f ca="1"/>
      </c>
      <c r="DN157">
        <f ca="1"/>
      </c>
      <c r="DO157">
        <f ca="1"/>
      </c>
      <c r="DP157">
        <f ca="1"/>
      </c>
      <c r="DQ157">
        <f ca="1"/>
      </c>
      <c r="DR157">
        <f ca="1"/>
      </c>
      <c r="DS157">
        <f ca="1"/>
      </c>
      <c r="DT157">
        <f ca="1"/>
      </c>
      <c r="DU157">
        <f ca="1"/>
      </c>
      <c r="DV157">
        <f ca="1"/>
      </c>
      <c r="DW157">
        <f ca="1"/>
      </c>
      <c r="DX157">
        <f ca="1"/>
      </c>
      <c r="DY157">
        <f ca="1"/>
      </c>
      <c r="DZ157">
        <f ca="1"/>
      </c>
      <c r="EA157">
        <f ca="1"/>
      </c>
      <c r="EB157">
        <f ca="1"/>
      </c>
      <c r="EC157">
        <f ca="1"/>
      </c>
      <c r="ED157">
        <f ca="1"/>
      </c>
      <c r="EE157">
        <f ca="1"/>
      </c>
      <c r="EF157">
        <f ca="1"/>
      </c>
      <c r="EG157">
        <f ca="1"/>
      </c>
      <c r="EH157">
        <f ca="1"/>
      </c>
      <c r="EI157">
        <f ca="1"/>
      </c>
      <c r="EJ157">
        <f ca="1"/>
      </c>
      <c r="EK157">
        <f ca="1"/>
      </c>
      <c r="EL157">
        <f ca="1"/>
      </c>
      <c r="EM157">
        <f ca="1"/>
      </c>
      <c r="EN157">
        <f ca="1"/>
      </c>
      <c r="EO157">
        <f ca="1"/>
      </c>
      <c r="EP157">
        <f ca="1"/>
      </c>
      <c r="EQ157">
        <f ca="1"/>
      </c>
      <c r="ER157">
        <f ca="1"/>
      </c>
      <c r="ES157">
        <f ca="1"/>
      </c>
      <c r="ET157">
        <f ca="1"/>
      </c>
      <c r="EU157">
        <f ca="1"/>
      </c>
      <c r="EV157">
        <f ca="1"/>
      </c>
      <c r="EW157">
        <f ca="1"/>
      </c>
      <c r="EX157">
        <f ca="1"/>
      </c>
      <c r="EY157">
        <f ca="1"/>
      </c>
      <c r="EZ157">
        <f ca="1"/>
      </c>
      <c r="FA157">
        <f ca="1"/>
      </c>
      <c r="FC157">
        <f ca="1"/>
      </c>
      <c r="FD157">
        <f ca="1"/>
      </c>
      <c r="FE157">
        <f ca="1"/>
      </c>
      <c r="FF157">
        <f ca="1"/>
      </c>
      <c r="FG157">
        <f ca="1"/>
      </c>
      <c r="FH157">
        <f ca="1"/>
      </c>
      <c r="FI157">
        <f ca="1"/>
      </c>
      <c r="FJ157">
        <f ca="1"/>
      </c>
      <c r="FK157">
        <f ca="1"/>
      </c>
      <c r="FL157">
        <f ca="1"/>
      </c>
      <c r="FM157">
        <f ca="1"/>
      </c>
      <c r="FN157">
        <f ca="1"/>
      </c>
      <c r="FO157">
        <f ca="1"/>
      </c>
      <c r="FP157">
        <f ca="1"/>
      </c>
      <c r="FQ157">
        <f ca="1"/>
      </c>
      <c r="FR157">
        <f ca="1"/>
      </c>
      <c r="FS157">
        <f ca="1"/>
      </c>
      <c r="FT157">
        <f ca="1"/>
      </c>
      <c r="FU157">
        <f ca="1"/>
      </c>
      <c r="FV157">
        <f ca="1"/>
      </c>
      <c r="FW157">
        <f ca="1"/>
      </c>
      <c r="FX157">
        <f ca="1"/>
      </c>
      <c r="FY157">
        <f ca="1"/>
      </c>
      <c r="FZ157">
        <f ca="1"/>
      </c>
      <c r="GA157">
        <f ca="1"/>
      </c>
      <c r="GB157">
        <f ca="1"/>
      </c>
      <c r="GC157">
        <f ca="1"/>
      </c>
      <c r="GD157">
        <f ca="1"/>
      </c>
      <c r="GE157">
        <f ca="1"/>
      </c>
      <c r="GF157">
        <f ca="1"/>
      </c>
      <c r="GG157">
        <f ca="1"/>
      </c>
      <c r="GH157">
        <f ca="1"/>
      </c>
      <c r="GI157">
        <f ca="1"/>
      </c>
      <c r="GJ157">
        <f ca="1"/>
      </c>
      <c r="GK157">
        <f ca="1"/>
      </c>
      <c r="GL157">
        <f ca="1"/>
      </c>
      <c r="GM157">
        <f ca="1"/>
      </c>
      <c r="GN157">
        <f ca="1"/>
      </c>
      <c r="GO157">
        <f ca="1"/>
      </c>
      <c r="GP157">
        <f ca="1"/>
      </c>
      <c r="GQ157">
        <f ca="1"/>
      </c>
      <c r="GR157">
        <f ca="1"/>
      </c>
      <c r="GS157">
        <f ca="1"/>
      </c>
      <c r="GT157">
        <f ca="1"/>
      </c>
      <c r="GU157">
        <f ca="1"/>
      </c>
      <c r="GV157">
        <f ca="1"/>
      </c>
      <c r="GW157">
        <f ca="1"/>
      </c>
      <c r="HI157" s="7">
        <f ca="1"/>
      </c>
      <c r="HJ157">
        <f ca="1"/>
      </c>
      <c r="HK157">
        <f ca="1"/>
      </c>
      <c r="HL157">
        <f ca="1"/>
      </c>
      <c r="HM157">
        <f ca="1"/>
      </c>
    </row>
    <row r="158" spans="63:221" x14ac:dyDescent="0.55000000000000004">
      <c r="BK158">
        <f ca="1"/>
      </c>
      <c r="BL158">
        <f ca="1"/>
      </c>
      <c r="BM158">
        <f ca="1"/>
      </c>
      <c r="BN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  <c r="BV158">
        <f ca="1"/>
      </c>
      <c r="BW158">
        <f ca="1"/>
      </c>
      <c r="BX158">
        <f ca="1"/>
      </c>
      <c r="BY158">
        <f ca="1"/>
      </c>
      <c r="BZ158">
        <f ca="1"/>
      </c>
      <c r="CA158">
        <f ca="1"/>
      </c>
      <c r="CB158">
        <f ca="1"/>
      </c>
      <c r="CC158">
        <f ca="1"/>
      </c>
      <c r="CD158">
        <f ca="1"/>
      </c>
      <c r="CE158">
        <f ca="1"/>
      </c>
      <c r="CF158">
        <f ca="1"/>
      </c>
      <c r="CG158">
        <f ca="1"/>
      </c>
      <c r="CH158">
        <f ca="1"/>
      </c>
      <c r="CI158">
        <f ca="1"/>
      </c>
      <c r="CJ158">
        <f ca="1"/>
      </c>
      <c r="CK158">
        <f ca="1"/>
      </c>
      <c r="CL158">
        <f ca="1"/>
      </c>
      <c r="CM158">
        <f ca="1"/>
      </c>
      <c r="CN158">
        <f ca="1"/>
      </c>
      <c r="CO158">
        <f ca="1"/>
      </c>
      <c r="CP158">
        <f ca="1"/>
      </c>
      <c r="CQ158">
        <f ca="1"/>
      </c>
      <c r="CR158">
        <f ca="1"/>
      </c>
      <c r="CS158">
        <f ca="1"/>
      </c>
      <c r="CT158">
        <f ca="1"/>
      </c>
      <c r="CU158">
        <f ca="1"/>
      </c>
      <c r="CV158">
        <f ca="1"/>
      </c>
      <c r="CW158">
        <f ca="1"/>
      </c>
      <c r="CX158">
        <f ca="1"/>
      </c>
      <c r="CY158">
        <f ca="1"/>
      </c>
      <c r="CZ158">
        <f ca="1"/>
      </c>
      <c r="DA158">
        <f ca="1"/>
      </c>
      <c r="DB158">
        <f ca="1"/>
      </c>
      <c r="DC158">
        <f ca="1"/>
      </c>
      <c r="DD158">
        <f ca="1"/>
      </c>
      <c r="DE158">
        <f ca="1"/>
      </c>
      <c r="DG158">
        <f ca="1"/>
      </c>
      <c r="DH158">
        <f ca="1"/>
      </c>
      <c r="DI158">
        <f ca="1"/>
      </c>
      <c r="DJ158">
        <f ca="1"/>
      </c>
      <c r="DK158">
        <f ca="1"/>
      </c>
      <c r="DL158">
        <f ca="1"/>
      </c>
      <c r="DM158">
        <f ca="1"/>
      </c>
      <c r="DN158">
        <f ca="1"/>
      </c>
      <c r="DO158">
        <f ca="1"/>
      </c>
      <c r="DP158">
        <f ca="1"/>
      </c>
      <c r="DQ158">
        <f ca="1"/>
      </c>
      <c r="DR158">
        <f ca="1"/>
      </c>
      <c r="DS158">
        <f ca="1"/>
      </c>
      <c r="DT158">
        <f ca="1"/>
      </c>
      <c r="DU158">
        <f ca="1"/>
      </c>
      <c r="DV158">
        <f ca="1"/>
      </c>
      <c r="DW158">
        <f ca="1"/>
      </c>
      <c r="DX158">
        <f ca="1"/>
      </c>
      <c r="DY158">
        <f ca="1"/>
      </c>
      <c r="DZ158">
        <f ca="1"/>
      </c>
      <c r="EA158">
        <f ca="1"/>
      </c>
      <c r="EB158">
        <f ca="1"/>
      </c>
      <c r="EC158">
        <f ca="1"/>
      </c>
      <c r="ED158">
        <f ca="1"/>
      </c>
      <c r="EE158">
        <f ca="1"/>
      </c>
      <c r="EF158">
        <f ca="1"/>
      </c>
      <c r="EG158">
        <f ca="1"/>
      </c>
      <c r="EH158">
        <f ca="1"/>
      </c>
      <c r="EI158">
        <f ca="1"/>
      </c>
      <c r="EJ158">
        <f ca="1"/>
      </c>
      <c r="EK158">
        <f ca="1"/>
      </c>
      <c r="EL158">
        <f ca="1"/>
      </c>
      <c r="EM158">
        <f ca="1"/>
      </c>
      <c r="EN158">
        <f ca="1"/>
      </c>
      <c r="EO158">
        <f ca="1"/>
      </c>
      <c r="EP158">
        <f ca="1"/>
      </c>
      <c r="EQ158">
        <f ca="1"/>
      </c>
      <c r="ER158">
        <f ca="1"/>
      </c>
      <c r="ES158">
        <f ca="1"/>
      </c>
      <c r="ET158">
        <f ca="1"/>
      </c>
      <c r="EU158">
        <f ca="1"/>
      </c>
      <c r="EV158">
        <f ca="1"/>
      </c>
      <c r="EW158">
        <f ca="1"/>
      </c>
      <c r="EX158">
        <f ca="1"/>
      </c>
      <c r="EY158">
        <f ca="1"/>
      </c>
      <c r="EZ158">
        <f ca="1"/>
      </c>
      <c r="FA158">
        <f ca="1"/>
      </c>
      <c r="FC158">
        <f ca="1"/>
      </c>
      <c r="FD158">
        <f ca="1"/>
      </c>
      <c r="FE158">
        <f ca="1"/>
      </c>
      <c r="FF158">
        <f ca="1"/>
      </c>
      <c r="FG158">
        <f ca="1"/>
      </c>
      <c r="FH158">
        <f ca="1"/>
      </c>
      <c r="FI158">
        <f ca="1"/>
      </c>
      <c r="FJ158">
        <f ca="1"/>
      </c>
      <c r="FK158">
        <f ca="1"/>
      </c>
      <c r="FL158">
        <f ca="1"/>
      </c>
      <c r="FM158">
        <f ca="1"/>
      </c>
      <c r="FN158">
        <f ca="1"/>
      </c>
      <c r="FO158">
        <f ca="1"/>
      </c>
      <c r="FP158">
        <f ca="1"/>
      </c>
      <c r="FQ158">
        <f ca="1"/>
      </c>
      <c r="FR158">
        <f ca="1"/>
      </c>
      <c r="FS158">
        <f ca="1"/>
      </c>
      <c r="FT158">
        <f ca="1"/>
      </c>
      <c r="FU158">
        <f ca="1"/>
      </c>
      <c r="FV158">
        <f ca="1"/>
      </c>
      <c r="FW158">
        <f ca="1"/>
      </c>
      <c r="FX158">
        <f ca="1"/>
      </c>
      <c r="FY158">
        <f ca="1"/>
      </c>
      <c r="FZ158">
        <f ca="1"/>
      </c>
      <c r="GA158">
        <f ca="1"/>
      </c>
      <c r="GB158">
        <f ca="1"/>
      </c>
      <c r="GC158">
        <f ca="1"/>
      </c>
      <c r="GD158">
        <f ca="1"/>
      </c>
      <c r="GE158">
        <f ca="1"/>
      </c>
      <c r="GF158">
        <f ca="1"/>
      </c>
      <c r="GG158">
        <f ca="1"/>
      </c>
      <c r="GH158">
        <f ca="1"/>
      </c>
      <c r="GI158">
        <f ca="1"/>
      </c>
      <c r="GJ158">
        <f ca="1"/>
      </c>
      <c r="GK158">
        <f ca="1"/>
      </c>
      <c r="GL158">
        <f ca="1"/>
      </c>
      <c r="GM158">
        <f ca="1"/>
      </c>
      <c r="GN158">
        <f ca="1"/>
      </c>
      <c r="GO158">
        <f ca="1"/>
      </c>
      <c r="GP158">
        <f ca="1"/>
      </c>
      <c r="GQ158">
        <f ca="1"/>
      </c>
      <c r="GR158">
        <f ca="1"/>
      </c>
      <c r="GS158">
        <f ca="1"/>
      </c>
      <c r="GT158">
        <f ca="1"/>
      </c>
      <c r="GU158">
        <f ca="1"/>
      </c>
      <c r="GV158">
        <f ca="1"/>
      </c>
      <c r="GW158">
        <f ca="1"/>
      </c>
      <c r="HI158" s="7">
        <f ca="1"/>
      </c>
      <c r="HJ158">
        <f ca="1"/>
      </c>
      <c r="HK158">
        <f ca="1"/>
      </c>
      <c r="HL158">
        <f ca="1"/>
      </c>
      <c r="HM158">
        <f ca="1"/>
      </c>
    </row>
    <row r="159" spans="63:221" x14ac:dyDescent="0.55000000000000004">
      <c r="BK159">
        <f ca="1"/>
      </c>
      <c r="BL159">
        <f ca="1"/>
      </c>
      <c r="BM159">
        <f ca="1"/>
      </c>
      <c r="BN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  <c r="BV159">
        <f ca="1"/>
      </c>
      <c r="BW159">
        <f ca="1"/>
      </c>
      <c r="BX159">
        <f ca="1"/>
      </c>
      <c r="BY159">
        <f ca="1"/>
      </c>
      <c r="BZ159">
        <f ca="1"/>
      </c>
      <c r="CA159">
        <f ca="1"/>
      </c>
      <c r="CB159">
        <f ca="1"/>
      </c>
      <c r="CC159">
        <f ca="1"/>
      </c>
      <c r="CD159">
        <f ca="1"/>
      </c>
      <c r="CE159">
        <f ca="1"/>
      </c>
      <c r="CF159">
        <f ca="1"/>
      </c>
      <c r="CG159">
        <f ca="1"/>
      </c>
      <c r="CH159">
        <f ca="1"/>
      </c>
      <c r="CI159">
        <f ca="1"/>
      </c>
      <c r="CJ159">
        <f ca="1"/>
      </c>
      <c r="CK159">
        <f ca="1"/>
      </c>
      <c r="CL159">
        <f ca="1"/>
      </c>
      <c r="CM159">
        <f ca="1"/>
      </c>
      <c r="CN159">
        <f ca="1"/>
      </c>
      <c r="CO159">
        <f ca="1"/>
      </c>
      <c r="CP159">
        <f ca="1"/>
      </c>
      <c r="CQ159">
        <f ca="1"/>
      </c>
      <c r="CR159">
        <f ca="1"/>
      </c>
      <c r="CS159">
        <f ca="1"/>
      </c>
      <c r="CT159">
        <f ca="1"/>
      </c>
      <c r="CU159">
        <f ca="1"/>
      </c>
      <c r="CV159">
        <f ca="1"/>
      </c>
      <c r="CW159">
        <f ca="1"/>
      </c>
      <c r="CX159">
        <f ca="1"/>
      </c>
      <c r="CY159">
        <f ca="1"/>
      </c>
      <c r="CZ159">
        <f ca="1"/>
      </c>
      <c r="DA159">
        <f ca="1"/>
      </c>
      <c r="DB159">
        <f ca="1"/>
      </c>
      <c r="DC159">
        <f ca="1"/>
      </c>
      <c r="DD159">
        <f ca="1"/>
      </c>
      <c r="DE159">
        <f ca="1"/>
      </c>
      <c r="DG159">
        <f ca="1"/>
      </c>
      <c r="DH159">
        <f ca="1"/>
      </c>
      <c r="DI159">
        <f ca="1"/>
      </c>
      <c r="DJ159">
        <f ca="1"/>
      </c>
      <c r="DK159">
        <f ca="1"/>
      </c>
      <c r="DL159">
        <f ca="1"/>
      </c>
      <c r="DM159">
        <f ca="1"/>
      </c>
      <c r="DN159">
        <f ca="1"/>
      </c>
      <c r="DO159">
        <f ca="1"/>
      </c>
      <c r="DP159">
        <f ca="1"/>
      </c>
      <c r="DQ159">
        <f ca="1"/>
      </c>
      <c r="DR159">
        <f ca="1"/>
      </c>
      <c r="DS159">
        <f ca="1"/>
      </c>
      <c r="DT159">
        <f ca="1"/>
      </c>
      <c r="DU159">
        <f ca="1"/>
      </c>
      <c r="DV159">
        <f ca="1"/>
      </c>
      <c r="DW159">
        <f ca="1"/>
      </c>
      <c r="DX159">
        <f ca="1"/>
      </c>
      <c r="DY159">
        <f ca="1"/>
      </c>
      <c r="DZ159">
        <f ca="1"/>
      </c>
      <c r="EA159">
        <f ca="1"/>
      </c>
      <c r="EB159">
        <f ca="1"/>
      </c>
      <c r="EC159">
        <f ca="1"/>
      </c>
      <c r="ED159">
        <f ca="1"/>
      </c>
      <c r="EE159">
        <f ca="1"/>
      </c>
      <c r="EF159">
        <f ca="1"/>
      </c>
      <c r="EG159">
        <f ca="1"/>
      </c>
      <c r="EH159">
        <f ca="1"/>
      </c>
      <c r="EI159">
        <f ca="1"/>
      </c>
      <c r="EJ159">
        <f ca="1"/>
      </c>
      <c r="EK159">
        <f ca="1"/>
      </c>
      <c r="EL159">
        <f ca="1"/>
      </c>
      <c r="EM159">
        <f ca="1"/>
      </c>
      <c r="EN159">
        <f ca="1"/>
      </c>
      <c r="EO159">
        <f ca="1"/>
      </c>
      <c r="EP159">
        <f ca="1"/>
      </c>
      <c r="EQ159">
        <f ca="1"/>
      </c>
      <c r="ER159">
        <f ca="1"/>
      </c>
      <c r="ES159">
        <f ca="1"/>
      </c>
      <c r="ET159">
        <f ca="1"/>
      </c>
      <c r="EU159">
        <f ca="1"/>
      </c>
      <c r="EV159">
        <f ca="1"/>
      </c>
      <c r="EW159">
        <f ca="1"/>
      </c>
      <c r="EX159">
        <f ca="1"/>
      </c>
      <c r="EY159">
        <f ca="1"/>
      </c>
      <c r="EZ159">
        <f ca="1"/>
      </c>
      <c r="FA159">
        <f ca="1"/>
      </c>
      <c r="FC159">
        <f ca="1"/>
      </c>
      <c r="FD159">
        <f ca="1"/>
      </c>
      <c r="FE159">
        <f ca="1"/>
      </c>
      <c r="FF159">
        <f ca="1"/>
      </c>
      <c r="FG159">
        <f ca="1"/>
      </c>
      <c r="FH159">
        <f ca="1"/>
      </c>
      <c r="FI159">
        <f ca="1"/>
      </c>
      <c r="FJ159">
        <f ca="1"/>
      </c>
      <c r="FK159">
        <f ca="1"/>
      </c>
      <c r="FL159">
        <f ca="1"/>
      </c>
      <c r="FM159">
        <f ca="1"/>
      </c>
      <c r="FN159">
        <f ca="1"/>
      </c>
      <c r="FO159">
        <f ca="1"/>
      </c>
      <c r="FP159">
        <f ca="1"/>
      </c>
      <c r="FQ159">
        <f ca="1"/>
      </c>
      <c r="FR159">
        <f ca="1"/>
      </c>
      <c r="FS159">
        <f ca="1"/>
      </c>
      <c r="FT159">
        <f ca="1"/>
      </c>
      <c r="FU159">
        <f ca="1"/>
      </c>
      <c r="FV159">
        <f ca="1"/>
      </c>
      <c r="FW159">
        <f ca="1"/>
      </c>
      <c r="FX159">
        <f ca="1"/>
      </c>
      <c r="FY159">
        <f ca="1"/>
      </c>
      <c r="FZ159">
        <f ca="1"/>
      </c>
      <c r="GA159">
        <f ca="1"/>
      </c>
      <c r="GB159">
        <f ca="1"/>
      </c>
      <c r="GC159">
        <f ca="1"/>
      </c>
      <c r="GD159">
        <f ca="1"/>
      </c>
      <c r="GE159">
        <f ca="1"/>
      </c>
      <c r="GF159">
        <f ca="1"/>
      </c>
      <c r="GG159">
        <f ca="1"/>
      </c>
      <c r="GH159">
        <f ca="1"/>
      </c>
      <c r="GI159">
        <f ca="1"/>
      </c>
      <c r="GJ159">
        <f ca="1"/>
      </c>
      <c r="GK159">
        <f ca="1"/>
      </c>
      <c r="GL159">
        <f ca="1"/>
      </c>
      <c r="GM159">
        <f ca="1"/>
      </c>
      <c r="GN159">
        <f ca="1"/>
      </c>
      <c r="GO159">
        <f ca="1"/>
      </c>
      <c r="GP159">
        <f ca="1"/>
      </c>
      <c r="GQ159">
        <f ca="1"/>
      </c>
      <c r="GR159">
        <f ca="1"/>
      </c>
      <c r="GS159">
        <f ca="1"/>
      </c>
      <c r="GT159">
        <f ca="1"/>
      </c>
      <c r="GU159">
        <f ca="1"/>
      </c>
      <c r="GV159">
        <f ca="1"/>
      </c>
      <c r="GW159">
        <f ca="1"/>
      </c>
      <c r="HI159" s="7">
        <f ca="1"/>
      </c>
      <c r="HJ159">
        <f ca="1"/>
      </c>
      <c r="HK159">
        <f ca="1"/>
      </c>
      <c r="HL159">
        <f ca="1"/>
      </c>
      <c r="HM159">
        <f ca="1"/>
      </c>
    </row>
    <row r="160" spans="63:221" x14ac:dyDescent="0.55000000000000004">
      <c r="BK160">
        <f ca="1"/>
      </c>
      <c r="BL160">
        <f ca="1"/>
      </c>
      <c r="BM160">
        <f ca="1"/>
      </c>
      <c r="BN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  <c r="BV160">
        <f ca="1"/>
      </c>
      <c r="BW160">
        <f ca="1"/>
      </c>
      <c r="BX160">
        <f ca="1"/>
      </c>
      <c r="BY160">
        <f ca="1"/>
      </c>
      <c r="BZ160">
        <f ca="1"/>
      </c>
      <c r="CA160">
        <f ca="1"/>
      </c>
      <c r="CB160">
        <f ca="1"/>
      </c>
      <c r="CC160">
        <f ca="1"/>
      </c>
      <c r="CD160">
        <f ca="1"/>
      </c>
      <c r="CE160">
        <f ca="1"/>
      </c>
      <c r="CF160">
        <f ca="1"/>
      </c>
      <c r="CG160">
        <f ca="1"/>
      </c>
      <c r="CH160">
        <f ca="1"/>
      </c>
      <c r="CI160">
        <f ca="1"/>
      </c>
      <c r="CJ160">
        <f ca="1"/>
      </c>
      <c r="CK160">
        <f ca="1"/>
      </c>
      <c r="CL160">
        <f ca="1"/>
      </c>
      <c r="CM160">
        <f ca="1"/>
      </c>
      <c r="CN160">
        <f ca="1"/>
      </c>
      <c r="CO160">
        <f ca="1"/>
      </c>
      <c r="CP160">
        <f ca="1"/>
      </c>
      <c r="CQ160">
        <f ca="1"/>
      </c>
      <c r="CR160">
        <f ca="1"/>
      </c>
      <c r="CS160">
        <f ca="1"/>
      </c>
      <c r="CT160">
        <f ca="1"/>
      </c>
      <c r="CU160">
        <f ca="1"/>
      </c>
      <c r="CV160">
        <f ca="1"/>
      </c>
      <c r="CW160">
        <f ca="1"/>
      </c>
      <c r="CX160">
        <f ca="1"/>
      </c>
      <c r="CY160">
        <f ca="1"/>
      </c>
      <c r="CZ160">
        <f ca="1"/>
      </c>
      <c r="DA160">
        <f ca="1"/>
      </c>
      <c r="DB160">
        <f ca="1"/>
      </c>
      <c r="DC160">
        <f ca="1"/>
      </c>
      <c r="DD160">
        <f ca="1"/>
      </c>
      <c r="DE160">
        <f ca="1"/>
      </c>
      <c r="DG160">
        <f ca="1"/>
      </c>
      <c r="DH160">
        <f ca="1"/>
      </c>
      <c r="DI160">
        <f ca="1"/>
      </c>
      <c r="DJ160">
        <f ca="1"/>
      </c>
      <c r="DK160">
        <f ca="1"/>
      </c>
      <c r="DL160">
        <f ca="1"/>
      </c>
      <c r="DM160">
        <f ca="1"/>
      </c>
      <c r="DN160">
        <f ca="1"/>
      </c>
      <c r="DO160">
        <f ca="1"/>
      </c>
      <c r="DP160">
        <f ca="1"/>
      </c>
      <c r="DQ160">
        <f ca="1"/>
      </c>
      <c r="DR160">
        <f ca="1"/>
      </c>
      <c r="DS160">
        <f ca="1"/>
      </c>
      <c r="DT160">
        <f ca="1"/>
      </c>
      <c r="DU160">
        <f ca="1"/>
      </c>
      <c r="DV160">
        <f ca="1"/>
      </c>
      <c r="DW160">
        <f ca="1"/>
      </c>
      <c r="DX160">
        <f ca="1"/>
      </c>
      <c r="DY160">
        <f ca="1"/>
      </c>
      <c r="DZ160">
        <f ca="1"/>
      </c>
      <c r="EA160">
        <f ca="1"/>
      </c>
      <c r="EB160">
        <f ca="1"/>
      </c>
      <c r="EC160">
        <f ca="1"/>
      </c>
      <c r="ED160">
        <f ca="1"/>
      </c>
      <c r="EE160">
        <f ca="1"/>
      </c>
      <c r="EF160">
        <f ca="1"/>
      </c>
      <c r="EG160">
        <f ca="1"/>
      </c>
      <c r="EH160">
        <f ca="1"/>
      </c>
      <c r="EI160">
        <f ca="1"/>
      </c>
      <c r="EJ160">
        <f ca="1"/>
      </c>
      <c r="EK160">
        <f ca="1"/>
      </c>
      <c r="EL160">
        <f ca="1"/>
      </c>
      <c r="EM160">
        <f ca="1"/>
      </c>
      <c r="EN160">
        <f ca="1"/>
      </c>
      <c r="EO160">
        <f ca="1"/>
      </c>
      <c r="EP160">
        <f ca="1"/>
      </c>
      <c r="EQ160">
        <f ca="1"/>
      </c>
      <c r="ER160">
        <f ca="1"/>
      </c>
      <c r="ES160">
        <f ca="1"/>
      </c>
      <c r="ET160">
        <f ca="1"/>
      </c>
      <c r="EU160">
        <f ca="1"/>
      </c>
      <c r="EV160">
        <f ca="1"/>
      </c>
      <c r="EW160">
        <f ca="1"/>
      </c>
      <c r="EX160">
        <f ca="1"/>
      </c>
      <c r="EY160">
        <f ca="1"/>
      </c>
      <c r="EZ160">
        <f ca="1"/>
      </c>
      <c r="FA160">
        <f ca="1"/>
      </c>
      <c r="FC160">
        <f ca="1"/>
      </c>
      <c r="FD160">
        <f ca="1"/>
      </c>
      <c r="FE160">
        <f ca="1"/>
      </c>
      <c r="FF160">
        <f ca="1"/>
      </c>
      <c r="FG160">
        <f ca="1"/>
      </c>
      <c r="FH160">
        <f ca="1"/>
      </c>
      <c r="FI160">
        <f ca="1"/>
      </c>
      <c r="FJ160">
        <f ca="1"/>
      </c>
      <c r="FK160">
        <f ca="1"/>
      </c>
      <c r="FL160">
        <f ca="1"/>
      </c>
      <c r="FM160">
        <f ca="1"/>
      </c>
      <c r="FN160">
        <f ca="1"/>
      </c>
      <c r="FO160">
        <f ca="1"/>
      </c>
      <c r="FP160">
        <f ca="1"/>
      </c>
      <c r="FQ160">
        <f ca="1"/>
      </c>
      <c r="FR160">
        <f ca="1"/>
      </c>
      <c r="FS160">
        <f ca="1"/>
      </c>
      <c r="FT160">
        <f ca="1"/>
      </c>
      <c r="FU160">
        <f ca="1"/>
      </c>
      <c r="FV160">
        <f ca="1"/>
      </c>
      <c r="FW160">
        <f ca="1"/>
      </c>
      <c r="FX160">
        <f ca="1"/>
      </c>
      <c r="FY160">
        <f ca="1"/>
      </c>
      <c r="FZ160">
        <f ca="1"/>
      </c>
      <c r="GA160">
        <f ca="1"/>
      </c>
      <c r="GB160">
        <f ca="1"/>
      </c>
      <c r="GC160">
        <f ca="1"/>
      </c>
      <c r="GD160">
        <f ca="1"/>
      </c>
      <c r="GE160">
        <f ca="1"/>
      </c>
      <c r="GF160">
        <f ca="1"/>
      </c>
      <c r="GG160">
        <f ca="1"/>
      </c>
      <c r="GH160">
        <f ca="1"/>
      </c>
      <c r="GI160">
        <f ca="1"/>
      </c>
      <c r="GJ160">
        <f ca="1"/>
      </c>
      <c r="GK160">
        <f ca="1"/>
      </c>
      <c r="GL160">
        <f ca="1"/>
      </c>
      <c r="GM160">
        <f ca="1"/>
      </c>
      <c r="GN160">
        <f ca="1"/>
      </c>
      <c r="GO160">
        <f ca="1"/>
      </c>
      <c r="GP160">
        <f ca="1"/>
      </c>
      <c r="GQ160">
        <f ca="1"/>
      </c>
      <c r="GR160">
        <f ca="1"/>
      </c>
      <c r="GS160">
        <f ca="1"/>
      </c>
      <c r="GT160">
        <f ca="1"/>
      </c>
      <c r="GU160">
        <f ca="1"/>
      </c>
      <c r="GV160">
        <f ca="1"/>
      </c>
      <c r="GW160">
        <f ca="1"/>
      </c>
      <c r="HI160" s="7">
        <f ca="1"/>
      </c>
      <c r="HJ160">
        <f ca="1"/>
      </c>
      <c r="HK160">
        <f ca="1"/>
      </c>
      <c r="HL160">
        <f ca="1"/>
      </c>
      <c r="HM160">
        <f ca="1"/>
      </c>
    </row>
    <row r="161" spans="63:221" x14ac:dyDescent="0.55000000000000004">
      <c r="BK161">
        <f ca="1"/>
      </c>
      <c r="BL161">
        <f ca="1"/>
      </c>
      <c r="BM161">
        <f ca="1"/>
      </c>
      <c r="BN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  <c r="BV161">
        <f ca="1"/>
      </c>
      <c r="BW161">
        <f ca="1"/>
      </c>
      <c r="BX161">
        <f ca="1"/>
      </c>
      <c r="BY161">
        <f ca="1"/>
      </c>
      <c r="BZ161">
        <f ca="1"/>
      </c>
      <c r="CA161">
        <f ca="1"/>
      </c>
      <c r="CB161">
        <f ca="1"/>
      </c>
      <c r="CC161">
        <f ca="1"/>
      </c>
      <c r="CD161">
        <f ca="1"/>
      </c>
      <c r="CE161">
        <f ca="1"/>
      </c>
      <c r="CF161">
        <f ca="1"/>
      </c>
      <c r="CG161">
        <f ca="1"/>
      </c>
      <c r="CH161">
        <f ca="1"/>
      </c>
      <c r="CI161">
        <f ca="1"/>
      </c>
      <c r="CJ161">
        <f ca="1"/>
      </c>
      <c r="CK161">
        <f ca="1"/>
      </c>
      <c r="CL161">
        <f ca="1"/>
      </c>
      <c r="CM161">
        <f ca="1"/>
      </c>
      <c r="CN161">
        <f ca="1"/>
      </c>
      <c r="CO161">
        <f ca="1"/>
      </c>
      <c r="CP161">
        <f ca="1"/>
      </c>
      <c r="CQ161">
        <f ca="1"/>
      </c>
      <c r="CR161">
        <f ca="1"/>
      </c>
      <c r="CS161">
        <f ca="1"/>
      </c>
      <c r="CT161">
        <f ca="1"/>
      </c>
      <c r="CU161">
        <f ca="1"/>
      </c>
      <c r="CV161">
        <f ca="1"/>
      </c>
      <c r="CW161">
        <f ca="1"/>
      </c>
      <c r="CX161">
        <f ca="1"/>
      </c>
      <c r="CY161">
        <f ca="1"/>
      </c>
      <c r="CZ161">
        <f ca="1"/>
      </c>
      <c r="DA161">
        <f ca="1"/>
      </c>
      <c r="DB161">
        <f ca="1"/>
      </c>
      <c r="DC161">
        <f ca="1"/>
      </c>
      <c r="DD161">
        <f ca="1"/>
      </c>
      <c r="DE161">
        <f ca="1"/>
      </c>
      <c r="DG161">
        <f ca="1"/>
      </c>
      <c r="DH161">
        <f ca="1"/>
      </c>
      <c r="DI161">
        <f ca="1"/>
      </c>
      <c r="DJ161">
        <f ca="1"/>
      </c>
      <c r="DK161">
        <f ca="1"/>
      </c>
      <c r="DL161">
        <f ca="1"/>
      </c>
      <c r="DM161">
        <f ca="1"/>
      </c>
      <c r="DN161">
        <f ca="1"/>
      </c>
      <c r="DO161">
        <f ca="1"/>
      </c>
      <c r="DP161">
        <f ca="1"/>
      </c>
      <c r="DQ161">
        <f ca="1"/>
      </c>
      <c r="DR161">
        <f ca="1"/>
      </c>
      <c r="DS161">
        <f ca="1"/>
      </c>
      <c r="DT161">
        <f ca="1"/>
      </c>
      <c r="DU161">
        <f ca="1"/>
      </c>
      <c r="DV161">
        <f ca="1"/>
      </c>
      <c r="DW161">
        <f ca="1"/>
      </c>
      <c r="DX161">
        <f ca="1"/>
      </c>
      <c r="DY161">
        <f ca="1"/>
      </c>
      <c r="DZ161">
        <f ca="1"/>
      </c>
      <c r="EA161">
        <f ca="1"/>
      </c>
      <c r="EB161">
        <f ca="1"/>
      </c>
      <c r="EC161">
        <f ca="1"/>
      </c>
      <c r="ED161">
        <f ca="1"/>
      </c>
      <c r="EE161">
        <f ca="1"/>
      </c>
      <c r="EF161">
        <f ca="1"/>
      </c>
      <c r="EG161">
        <f ca="1"/>
      </c>
      <c r="EH161">
        <f ca="1"/>
      </c>
      <c r="EI161">
        <f ca="1"/>
      </c>
      <c r="EJ161">
        <f ca="1"/>
      </c>
      <c r="EK161">
        <f ca="1"/>
      </c>
      <c r="EL161">
        <f ca="1"/>
      </c>
      <c r="EM161">
        <f ca="1"/>
      </c>
      <c r="EN161">
        <f ca="1"/>
      </c>
      <c r="EO161">
        <f ca="1"/>
      </c>
      <c r="EP161">
        <f ca="1"/>
      </c>
      <c r="EQ161">
        <f ca="1"/>
      </c>
      <c r="ER161">
        <f ca="1"/>
      </c>
      <c r="ES161">
        <f ca="1"/>
      </c>
      <c r="ET161">
        <f ca="1"/>
      </c>
      <c r="EU161">
        <f ca="1"/>
      </c>
      <c r="EV161">
        <f ca="1"/>
      </c>
      <c r="EW161">
        <f ca="1"/>
      </c>
      <c r="EX161">
        <f ca="1"/>
      </c>
      <c r="EY161">
        <f ca="1"/>
      </c>
      <c r="EZ161">
        <f ca="1"/>
      </c>
      <c r="FA161">
        <f ca="1"/>
      </c>
      <c r="FC161">
        <f ca="1"/>
      </c>
      <c r="FD161">
        <f ca="1"/>
      </c>
      <c r="FE161">
        <f ca="1"/>
      </c>
      <c r="FF161">
        <f ca="1"/>
      </c>
      <c r="FG161">
        <f ca="1"/>
      </c>
      <c r="FH161">
        <f ca="1"/>
      </c>
      <c r="FI161">
        <f ca="1"/>
      </c>
      <c r="FJ161">
        <f ca="1"/>
      </c>
      <c r="FK161">
        <f ca="1"/>
      </c>
      <c r="FL161">
        <f ca="1"/>
      </c>
      <c r="FM161">
        <f ca="1"/>
      </c>
      <c r="FN161">
        <f ca="1"/>
      </c>
      <c r="FO161">
        <f ca="1"/>
      </c>
      <c r="FP161">
        <f ca="1"/>
      </c>
      <c r="FQ161">
        <f ca="1"/>
      </c>
      <c r="FR161">
        <f ca="1"/>
      </c>
      <c r="FS161">
        <f ca="1"/>
      </c>
      <c r="FT161">
        <f ca="1"/>
      </c>
      <c r="FU161">
        <f ca="1"/>
      </c>
      <c r="FV161">
        <f ca="1"/>
      </c>
      <c r="FW161">
        <f ca="1"/>
      </c>
      <c r="FX161">
        <f ca="1"/>
      </c>
      <c r="FY161">
        <f ca="1"/>
      </c>
      <c r="FZ161">
        <f ca="1"/>
      </c>
      <c r="GA161">
        <f ca="1"/>
      </c>
      <c r="GB161">
        <f ca="1"/>
      </c>
      <c r="GC161">
        <f ca="1"/>
      </c>
      <c r="GD161">
        <f ca="1"/>
      </c>
      <c r="GE161">
        <f ca="1"/>
      </c>
      <c r="GF161">
        <f ca="1"/>
      </c>
      <c r="GG161">
        <f ca="1"/>
      </c>
      <c r="GH161">
        <f ca="1"/>
      </c>
      <c r="GI161">
        <f ca="1"/>
      </c>
      <c r="GJ161">
        <f ca="1"/>
      </c>
      <c r="GK161">
        <f ca="1"/>
      </c>
      <c r="GL161">
        <f ca="1"/>
      </c>
      <c r="GM161">
        <f ca="1"/>
      </c>
      <c r="GN161">
        <f ca="1"/>
      </c>
      <c r="GO161">
        <f ca="1"/>
      </c>
      <c r="GP161">
        <f ca="1"/>
      </c>
      <c r="GQ161">
        <f ca="1"/>
      </c>
      <c r="GR161">
        <f ca="1"/>
      </c>
      <c r="GS161">
        <f ca="1"/>
      </c>
      <c r="GT161">
        <f ca="1"/>
      </c>
      <c r="GU161">
        <f ca="1"/>
      </c>
      <c r="GV161">
        <f ca="1"/>
      </c>
      <c r="GW161">
        <f ca="1"/>
      </c>
      <c r="HI161" s="7">
        <f ca="1"/>
      </c>
      <c r="HJ161">
        <f ca="1"/>
      </c>
      <c r="HK161">
        <f ca="1"/>
      </c>
      <c r="HL161">
        <f ca="1"/>
      </c>
      <c r="HM161">
        <f ca="1"/>
      </c>
    </row>
    <row r="162" spans="63:221" x14ac:dyDescent="0.55000000000000004">
      <c r="BK162">
        <f ca="1"/>
      </c>
      <c r="BL162">
        <f ca="1"/>
      </c>
      <c r="BM162">
        <f ca="1"/>
      </c>
      <c r="BN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  <c r="BV162">
        <f ca="1"/>
      </c>
      <c r="BW162">
        <f ca="1"/>
      </c>
      <c r="BX162">
        <f ca="1"/>
      </c>
      <c r="BY162">
        <f ca="1"/>
      </c>
      <c r="BZ162">
        <f ca="1"/>
      </c>
      <c r="CA162">
        <f ca="1"/>
      </c>
      <c r="CB162">
        <f ca="1"/>
      </c>
      <c r="CC162">
        <f ca="1"/>
      </c>
      <c r="CD162">
        <f ca="1"/>
      </c>
      <c r="CE162">
        <f ca="1"/>
      </c>
      <c r="CF162">
        <f ca="1"/>
      </c>
      <c r="CG162">
        <f ca="1"/>
      </c>
      <c r="CH162">
        <f ca="1"/>
      </c>
      <c r="CI162">
        <f ca="1"/>
      </c>
      <c r="CJ162">
        <f ca="1"/>
      </c>
      <c r="CK162">
        <f ca="1"/>
      </c>
      <c r="CL162">
        <f ca="1"/>
      </c>
      <c r="CM162">
        <f ca="1"/>
      </c>
      <c r="CN162">
        <f ca="1"/>
      </c>
      <c r="CO162">
        <f ca="1"/>
      </c>
      <c r="CP162">
        <f ca="1"/>
      </c>
      <c r="CQ162">
        <f ca="1"/>
      </c>
      <c r="CR162">
        <f ca="1"/>
      </c>
      <c r="CS162">
        <f ca="1"/>
      </c>
      <c r="CT162">
        <f ca="1"/>
      </c>
      <c r="CU162">
        <f ca="1"/>
      </c>
      <c r="CV162">
        <f ca="1"/>
      </c>
      <c r="CW162">
        <f ca="1"/>
      </c>
      <c r="CX162">
        <f ca="1"/>
      </c>
      <c r="CY162">
        <f ca="1"/>
      </c>
      <c r="CZ162">
        <f ca="1"/>
      </c>
      <c r="DA162">
        <f ca="1"/>
      </c>
      <c r="DB162">
        <f ca="1"/>
      </c>
      <c r="DC162">
        <f ca="1"/>
      </c>
      <c r="DD162">
        <f ca="1"/>
      </c>
      <c r="DE162">
        <f ca="1"/>
      </c>
      <c r="DG162">
        <f ca="1"/>
      </c>
      <c r="DH162">
        <f ca="1"/>
      </c>
      <c r="DI162">
        <f ca="1"/>
      </c>
      <c r="DJ162">
        <f ca="1"/>
      </c>
      <c r="DK162">
        <f ca="1"/>
      </c>
      <c r="DL162">
        <f ca="1"/>
      </c>
      <c r="DM162">
        <f ca="1"/>
      </c>
      <c r="DN162">
        <f ca="1"/>
      </c>
      <c r="DO162">
        <f ca="1"/>
      </c>
      <c r="DP162">
        <f ca="1"/>
      </c>
      <c r="DQ162">
        <f ca="1"/>
      </c>
      <c r="DR162">
        <f ca="1"/>
      </c>
      <c r="DS162">
        <f ca="1"/>
      </c>
      <c r="DT162">
        <f ca="1"/>
      </c>
      <c r="DU162">
        <f ca="1"/>
      </c>
      <c r="DV162">
        <f ca="1"/>
      </c>
      <c r="DW162">
        <f ca="1"/>
      </c>
      <c r="DX162">
        <f ca="1"/>
      </c>
      <c r="DY162">
        <f ca="1"/>
      </c>
      <c r="DZ162">
        <f ca="1"/>
      </c>
      <c r="EA162">
        <f ca="1"/>
      </c>
      <c r="EB162">
        <f ca="1"/>
      </c>
      <c r="EC162">
        <f ca="1"/>
      </c>
      <c r="ED162">
        <f ca="1"/>
      </c>
      <c r="EE162">
        <f ca="1"/>
      </c>
      <c r="EF162">
        <f ca="1"/>
      </c>
      <c r="EG162">
        <f ca="1"/>
      </c>
      <c r="EH162">
        <f ca="1"/>
      </c>
      <c r="EI162">
        <f ca="1"/>
      </c>
      <c r="EJ162">
        <f ca="1"/>
      </c>
      <c r="EK162">
        <f ca="1"/>
      </c>
      <c r="EL162">
        <f ca="1"/>
      </c>
      <c r="EM162">
        <f ca="1"/>
      </c>
      <c r="EN162">
        <f ca="1"/>
      </c>
      <c r="EO162">
        <f ca="1"/>
      </c>
      <c r="EP162">
        <f ca="1"/>
      </c>
      <c r="EQ162">
        <f ca="1"/>
      </c>
      <c r="ER162">
        <f ca="1"/>
      </c>
      <c r="ES162">
        <f ca="1"/>
      </c>
      <c r="ET162">
        <f ca="1"/>
      </c>
      <c r="EU162">
        <f ca="1"/>
      </c>
      <c r="EV162">
        <f ca="1"/>
      </c>
      <c r="EW162">
        <f ca="1"/>
      </c>
      <c r="EX162">
        <f ca="1"/>
      </c>
      <c r="EY162">
        <f ca="1"/>
      </c>
      <c r="EZ162">
        <f ca="1"/>
      </c>
      <c r="FA162">
        <f ca="1"/>
      </c>
      <c r="FC162">
        <f ca="1"/>
      </c>
      <c r="FD162">
        <f ca="1"/>
      </c>
      <c r="FE162">
        <f ca="1"/>
      </c>
      <c r="FF162">
        <f ca="1"/>
      </c>
      <c r="FG162">
        <f ca="1"/>
      </c>
      <c r="FH162">
        <f ca="1"/>
      </c>
      <c r="FI162">
        <f ca="1"/>
      </c>
      <c r="FJ162">
        <f ca="1"/>
      </c>
      <c r="FK162">
        <f ca="1"/>
      </c>
      <c r="FL162">
        <f ca="1"/>
      </c>
      <c r="FM162">
        <f ca="1"/>
      </c>
      <c r="FN162">
        <f ca="1"/>
      </c>
      <c r="FO162">
        <f ca="1"/>
      </c>
      <c r="FP162">
        <f ca="1"/>
      </c>
      <c r="FQ162">
        <f ca="1"/>
      </c>
      <c r="FR162">
        <f ca="1"/>
      </c>
      <c r="FS162">
        <f ca="1"/>
      </c>
      <c r="FT162">
        <f ca="1"/>
      </c>
      <c r="FU162">
        <f ca="1"/>
      </c>
      <c r="FV162">
        <f ca="1"/>
      </c>
      <c r="FW162">
        <f ca="1"/>
      </c>
      <c r="FX162">
        <f ca="1"/>
      </c>
      <c r="FY162">
        <f ca="1"/>
      </c>
      <c r="FZ162">
        <f ca="1"/>
      </c>
      <c r="GA162">
        <f ca="1"/>
      </c>
      <c r="GB162">
        <f ca="1"/>
      </c>
      <c r="GC162">
        <f ca="1"/>
      </c>
      <c r="GD162">
        <f ca="1"/>
      </c>
      <c r="GE162">
        <f ca="1"/>
      </c>
      <c r="GF162">
        <f ca="1"/>
      </c>
      <c r="GG162">
        <f ca="1"/>
      </c>
      <c r="GH162">
        <f ca="1"/>
      </c>
      <c r="GI162">
        <f ca="1"/>
      </c>
      <c r="GJ162">
        <f ca="1"/>
      </c>
      <c r="GK162">
        <f ca="1"/>
      </c>
      <c r="GL162">
        <f ca="1"/>
      </c>
      <c r="GM162">
        <f ca="1"/>
      </c>
      <c r="GN162">
        <f ca="1"/>
      </c>
      <c r="GO162">
        <f ca="1"/>
      </c>
      <c r="GP162">
        <f ca="1"/>
      </c>
      <c r="GQ162">
        <f ca="1"/>
      </c>
      <c r="GR162">
        <f ca="1"/>
      </c>
      <c r="GS162">
        <f ca="1"/>
      </c>
      <c r="GT162">
        <f ca="1"/>
      </c>
      <c r="GU162">
        <f ca="1"/>
      </c>
      <c r="GV162">
        <f ca="1"/>
      </c>
      <c r="GW162">
        <f ca="1"/>
      </c>
      <c r="HI162" s="7">
        <f ca="1"/>
      </c>
      <c r="HJ162">
        <f ca="1"/>
      </c>
      <c r="HK162">
        <f ca="1"/>
      </c>
      <c r="HL162">
        <f ca="1"/>
      </c>
      <c r="HM162">
        <f ca="1"/>
      </c>
    </row>
    <row r="163" spans="63:221" x14ac:dyDescent="0.55000000000000004">
      <c r="BK163">
        <f ca="1"/>
      </c>
      <c r="BL163">
        <f ca="1"/>
      </c>
      <c r="BM163">
        <f ca="1"/>
      </c>
      <c r="BN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  <c r="BV163">
        <f ca="1"/>
      </c>
      <c r="BW163">
        <f ca="1"/>
      </c>
      <c r="BX163">
        <f ca="1"/>
      </c>
      <c r="BY163">
        <f ca="1"/>
      </c>
      <c r="BZ163">
        <f ca="1"/>
      </c>
      <c r="CA163">
        <f ca="1"/>
      </c>
      <c r="CB163">
        <f ca="1"/>
      </c>
      <c r="CC163">
        <f ca="1"/>
      </c>
      <c r="CD163">
        <f ca="1"/>
      </c>
      <c r="CE163">
        <f ca="1"/>
      </c>
      <c r="CF163">
        <f ca="1"/>
      </c>
      <c r="CG163">
        <f ca="1"/>
      </c>
      <c r="CH163">
        <f ca="1"/>
      </c>
      <c r="CI163">
        <f ca="1"/>
      </c>
      <c r="CJ163">
        <f ca="1"/>
      </c>
      <c r="CK163">
        <f ca="1"/>
      </c>
      <c r="CL163">
        <f ca="1"/>
      </c>
      <c r="CM163">
        <f ca="1"/>
      </c>
      <c r="CN163">
        <f ca="1"/>
      </c>
      <c r="CO163">
        <f ca="1"/>
      </c>
      <c r="CP163">
        <f ca="1"/>
      </c>
      <c r="CQ163">
        <f ca="1"/>
      </c>
      <c r="CR163">
        <f ca="1"/>
      </c>
      <c r="CS163">
        <f ca="1"/>
      </c>
      <c r="CT163">
        <f ca="1"/>
      </c>
      <c r="CU163">
        <f ca="1"/>
      </c>
      <c r="CV163">
        <f ca="1"/>
      </c>
      <c r="CW163">
        <f ca="1"/>
      </c>
      <c r="CX163">
        <f ca="1"/>
      </c>
      <c r="CY163">
        <f ca="1"/>
      </c>
      <c r="CZ163">
        <f ca="1"/>
      </c>
      <c r="DA163">
        <f ca="1"/>
      </c>
      <c r="DB163">
        <f ca="1"/>
      </c>
      <c r="DC163">
        <f ca="1"/>
      </c>
      <c r="DD163">
        <f ca="1"/>
      </c>
      <c r="DE163">
        <f ca="1"/>
      </c>
      <c r="DG163">
        <f ca="1"/>
      </c>
      <c r="DH163">
        <f ca="1"/>
      </c>
      <c r="DI163">
        <f ca="1"/>
      </c>
      <c r="DJ163">
        <f ca="1"/>
      </c>
      <c r="DK163">
        <f ca="1"/>
      </c>
      <c r="DL163">
        <f ca="1"/>
      </c>
      <c r="DM163">
        <f ca="1"/>
      </c>
      <c r="DN163">
        <f ca="1"/>
      </c>
      <c r="DO163">
        <f ca="1"/>
      </c>
      <c r="DP163">
        <f ca="1"/>
      </c>
      <c r="DQ163">
        <f ca="1"/>
      </c>
      <c r="DR163">
        <f ca="1"/>
      </c>
      <c r="DS163">
        <f ca="1"/>
      </c>
      <c r="DT163">
        <f ca="1"/>
      </c>
      <c r="DU163">
        <f ca="1"/>
      </c>
      <c r="DV163">
        <f ca="1"/>
      </c>
      <c r="DW163">
        <f ca="1"/>
      </c>
      <c r="DX163">
        <f ca="1"/>
      </c>
      <c r="DY163">
        <f ca="1"/>
      </c>
      <c r="DZ163">
        <f ca="1"/>
      </c>
      <c r="EA163">
        <f ca="1"/>
      </c>
      <c r="EB163">
        <f ca="1"/>
      </c>
      <c r="EC163">
        <f ca="1"/>
      </c>
      <c r="ED163">
        <f ca="1"/>
      </c>
      <c r="EE163">
        <f ca="1"/>
      </c>
      <c r="EF163">
        <f ca="1"/>
      </c>
      <c r="EG163">
        <f ca="1"/>
      </c>
      <c r="EH163">
        <f ca="1"/>
      </c>
      <c r="EI163">
        <f ca="1"/>
      </c>
      <c r="EJ163">
        <f ca="1"/>
      </c>
      <c r="EK163">
        <f ca="1"/>
      </c>
      <c r="EL163">
        <f ca="1"/>
      </c>
      <c r="EM163">
        <f ca="1"/>
      </c>
      <c r="EN163">
        <f ca="1"/>
      </c>
      <c r="EO163">
        <f ca="1"/>
      </c>
      <c r="EP163">
        <f ca="1"/>
      </c>
      <c r="EQ163">
        <f ca="1"/>
      </c>
      <c r="ER163">
        <f ca="1"/>
      </c>
      <c r="ES163">
        <f ca="1"/>
      </c>
      <c r="ET163">
        <f ca="1"/>
      </c>
      <c r="EU163">
        <f ca="1"/>
      </c>
      <c r="EV163">
        <f ca="1"/>
      </c>
      <c r="EW163">
        <f ca="1"/>
      </c>
      <c r="EX163">
        <f ca="1"/>
      </c>
      <c r="EY163">
        <f ca="1"/>
      </c>
      <c r="EZ163">
        <f ca="1"/>
      </c>
      <c r="FA163">
        <f ca="1"/>
      </c>
      <c r="FC163">
        <f ca="1"/>
      </c>
      <c r="FD163">
        <f ca="1"/>
      </c>
      <c r="FE163">
        <f ca="1"/>
      </c>
      <c r="FF163">
        <f ca="1"/>
      </c>
      <c r="FG163">
        <f ca="1"/>
      </c>
      <c r="FH163">
        <f ca="1"/>
      </c>
      <c r="FI163">
        <f ca="1"/>
      </c>
      <c r="FJ163">
        <f ca="1"/>
      </c>
      <c r="FK163">
        <f ca="1"/>
      </c>
      <c r="FL163">
        <f ca="1"/>
      </c>
      <c r="FM163">
        <f ca="1"/>
      </c>
      <c r="FN163">
        <f ca="1"/>
      </c>
      <c r="FO163">
        <f ca="1"/>
      </c>
      <c r="FP163">
        <f ca="1"/>
      </c>
      <c r="FQ163">
        <f ca="1"/>
      </c>
      <c r="FR163">
        <f ca="1"/>
      </c>
      <c r="FS163">
        <f ca="1"/>
      </c>
      <c r="FT163">
        <f ca="1"/>
      </c>
      <c r="FU163">
        <f ca="1"/>
      </c>
      <c r="FV163">
        <f ca="1"/>
      </c>
      <c r="FW163">
        <f ca="1"/>
      </c>
      <c r="FX163">
        <f ca="1"/>
      </c>
      <c r="FY163">
        <f ca="1"/>
      </c>
      <c r="FZ163">
        <f ca="1"/>
      </c>
      <c r="GA163">
        <f ca="1"/>
      </c>
      <c r="GB163">
        <f ca="1"/>
      </c>
      <c r="GC163">
        <f ca="1"/>
      </c>
      <c r="GD163">
        <f ca="1"/>
      </c>
      <c r="GE163">
        <f ca="1"/>
      </c>
      <c r="GF163">
        <f ca="1"/>
      </c>
      <c r="GG163">
        <f ca="1"/>
      </c>
      <c r="GH163">
        <f ca="1"/>
      </c>
      <c r="GI163">
        <f ca="1"/>
      </c>
      <c r="GJ163">
        <f ca="1"/>
      </c>
      <c r="GK163">
        <f ca="1"/>
      </c>
      <c r="GL163">
        <f ca="1"/>
      </c>
      <c r="GM163">
        <f ca="1"/>
      </c>
      <c r="GN163">
        <f ca="1"/>
      </c>
      <c r="GO163">
        <f ca="1"/>
      </c>
      <c r="GP163">
        <f ca="1"/>
      </c>
      <c r="GQ163">
        <f ca="1"/>
      </c>
      <c r="GR163">
        <f ca="1"/>
      </c>
      <c r="GS163">
        <f ca="1"/>
      </c>
      <c r="GT163">
        <f ca="1"/>
      </c>
      <c r="GU163">
        <f ca="1"/>
      </c>
      <c r="GV163">
        <f ca="1"/>
      </c>
      <c r="GW163">
        <f ca="1"/>
      </c>
      <c r="HI163" s="7">
        <f ca="1"/>
      </c>
      <c r="HJ163">
        <f ca="1"/>
      </c>
      <c r="HK163">
        <f ca="1"/>
      </c>
      <c r="HL163">
        <f ca="1"/>
      </c>
      <c r="HM163">
        <f ca="1"/>
      </c>
    </row>
    <row r="164" spans="63:221" x14ac:dyDescent="0.55000000000000004">
      <c r="BK164">
        <f ca="1"/>
      </c>
      <c r="BL164">
        <f ca="1"/>
      </c>
      <c r="BM164">
        <f ca="1"/>
      </c>
      <c r="BN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  <c r="BV164">
        <f ca="1"/>
      </c>
      <c r="BW164">
        <f ca="1"/>
      </c>
      <c r="BX164">
        <f ca="1"/>
      </c>
      <c r="BY164">
        <f ca="1"/>
      </c>
      <c r="BZ164">
        <f ca="1"/>
      </c>
      <c r="CA164">
        <f ca="1"/>
      </c>
      <c r="CB164">
        <f ca="1"/>
      </c>
      <c r="CC164">
        <f ca="1"/>
      </c>
      <c r="CD164">
        <f ca="1"/>
      </c>
      <c r="CE164">
        <f ca="1"/>
      </c>
      <c r="CF164">
        <f ca="1"/>
      </c>
      <c r="CG164">
        <f ca="1"/>
      </c>
      <c r="CH164">
        <f ca="1"/>
      </c>
      <c r="CI164">
        <f ca="1"/>
      </c>
      <c r="CJ164">
        <f ca="1"/>
      </c>
      <c r="CK164">
        <f ca="1"/>
      </c>
      <c r="CL164">
        <f ca="1"/>
      </c>
      <c r="CM164">
        <f ca="1"/>
      </c>
      <c r="CN164">
        <f ca="1"/>
      </c>
      <c r="CO164">
        <f ca="1"/>
      </c>
      <c r="CP164">
        <f ca="1"/>
      </c>
      <c r="CQ164">
        <f ca="1"/>
      </c>
      <c r="CR164">
        <f ca="1"/>
      </c>
      <c r="CS164">
        <f ca="1"/>
      </c>
      <c r="CT164">
        <f ca="1"/>
      </c>
      <c r="CU164">
        <f ca="1"/>
      </c>
      <c r="CV164">
        <f ca="1"/>
      </c>
      <c r="CW164">
        <f ca="1"/>
      </c>
      <c r="CX164">
        <f ca="1"/>
      </c>
      <c r="CY164">
        <f ca="1"/>
      </c>
      <c r="CZ164">
        <f ca="1"/>
      </c>
      <c r="DA164">
        <f ca="1"/>
      </c>
      <c r="DB164">
        <f ca="1"/>
      </c>
      <c r="DC164">
        <f ca="1"/>
      </c>
      <c r="DD164">
        <f ca="1"/>
      </c>
      <c r="DE164">
        <f ca="1"/>
      </c>
      <c r="DG164">
        <f ca="1"/>
      </c>
      <c r="DH164">
        <f ca="1"/>
      </c>
      <c r="DI164">
        <f ca="1"/>
      </c>
      <c r="DJ164">
        <f ca="1"/>
      </c>
      <c r="DK164">
        <f ca="1"/>
      </c>
      <c r="DL164">
        <f ca="1"/>
      </c>
      <c r="DM164">
        <f ca="1"/>
      </c>
      <c r="DN164">
        <f ca="1"/>
      </c>
      <c r="DO164">
        <f ca="1"/>
      </c>
      <c r="DP164">
        <f ca="1"/>
      </c>
      <c r="DQ164">
        <f ca="1"/>
      </c>
      <c r="DR164">
        <f ca="1"/>
      </c>
      <c r="DS164">
        <f ca="1"/>
      </c>
      <c r="DT164">
        <f ca="1"/>
      </c>
      <c r="DU164">
        <f ca="1"/>
      </c>
      <c r="DV164">
        <f ca="1"/>
      </c>
      <c r="DW164">
        <f ca="1"/>
      </c>
      <c r="DX164">
        <f ca="1"/>
      </c>
      <c r="DY164">
        <f ca="1"/>
      </c>
      <c r="DZ164">
        <f ca="1"/>
      </c>
      <c r="EA164">
        <f ca="1"/>
      </c>
      <c r="EB164">
        <f ca="1"/>
      </c>
      <c r="EC164">
        <f ca="1"/>
      </c>
      <c r="ED164">
        <f ca="1"/>
      </c>
      <c r="EE164">
        <f ca="1"/>
      </c>
      <c r="EF164">
        <f ca="1"/>
      </c>
      <c r="EG164">
        <f ca="1"/>
      </c>
      <c r="EH164">
        <f ca="1"/>
      </c>
      <c r="EI164">
        <f ca="1"/>
      </c>
      <c r="EJ164">
        <f ca="1"/>
      </c>
      <c r="EK164">
        <f ca="1"/>
      </c>
      <c r="EL164">
        <f ca="1"/>
      </c>
      <c r="EM164">
        <f ca="1"/>
      </c>
      <c r="EN164">
        <f ca="1"/>
      </c>
      <c r="EO164">
        <f ca="1"/>
      </c>
      <c r="EP164">
        <f ca="1"/>
      </c>
      <c r="EQ164">
        <f ca="1"/>
      </c>
      <c r="ER164">
        <f ca="1"/>
      </c>
      <c r="ES164">
        <f ca="1"/>
      </c>
      <c r="ET164">
        <f ca="1"/>
      </c>
      <c r="EU164">
        <f ca="1"/>
      </c>
      <c r="EV164">
        <f ca="1"/>
      </c>
      <c r="EW164">
        <f ca="1"/>
      </c>
      <c r="EX164">
        <f ca="1"/>
      </c>
      <c r="EY164">
        <f ca="1"/>
      </c>
      <c r="EZ164">
        <f ca="1"/>
      </c>
      <c r="FA164">
        <f ca="1"/>
      </c>
      <c r="FC164">
        <f ca="1"/>
      </c>
      <c r="FD164">
        <f ca="1"/>
      </c>
      <c r="FE164">
        <f ca="1"/>
      </c>
      <c r="FF164">
        <f ca="1"/>
      </c>
      <c r="FG164">
        <f ca="1"/>
      </c>
      <c r="FH164">
        <f ca="1"/>
      </c>
      <c r="FI164">
        <f ca="1"/>
      </c>
      <c r="FJ164">
        <f ca="1"/>
      </c>
      <c r="FK164">
        <f ca="1"/>
      </c>
      <c r="FL164">
        <f ca="1"/>
      </c>
      <c r="FM164">
        <f ca="1"/>
      </c>
      <c r="FN164">
        <f ca="1"/>
      </c>
      <c r="FO164">
        <f ca="1"/>
      </c>
      <c r="FP164">
        <f ca="1"/>
      </c>
      <c r="FQ164">
        <f ca="1"/>
      </c>
      <c r="FR164">
        <f ca="1"/>
      </c>
      <c r="FS164">
        <f ca="1"/>
      </c>
      <c r="FT164">
        <f ca="1"/>
      </c>
      <c r="FU164">
        <f ca="1"/>
      </c>
      <c r="FV164">
        <f ca="1"/>
      </c>
      <c r="FW164">
        <f ca="1"/>
      </c>
      <c r="FX164">
        <f ca="1"/>
      </c>
      <c r="FY164">
        <f ca="1"/>
      </c>
      <c r="FZ164">
        <f ca="1"/>
      </c>
      <c r="GA164">
        <f ca="1"/>
      </c>
      <c r="GB164">
        <f ca="1"/>
      </c>
      <c r="GC164">
        <f ca="1"/>
      </c>
      <c r="GD164">
        <f ca="1"/>
      </c>
      <c r="GE164">
        <f ca="1"/>
      </c>
      <c r="GF164">
        <f ca="1"/>
      </c>
      <c r="GG164">
        <f ca="1"/>
      </c>
      <c r="GH164">
        <f ca="1"/>
      </c>
      <c r="GI164">
        <f ca="1"/>
      </c>
      <c r="GJ164">
        <f ca="1"/>
      </c>
      <c r="GK164">
        <f ca="1"/>
      </c>
      <c r="GL164">
        <f ca="1"/>
      </c>
      <c r="GM164">
        <f ca="1"/>
      </c>
      <c r="GN164">
        <f ca="1"/>
      </c>
      <c r="GO164">
        <f ca="1"/>
      </c>
      <c r="GP164">
        <f ca="1"/>
      </c>
      <c r="GQ164">
        <f ca="1"/>
      </c>
      <c r="GR164">
        <f ca="1"/>
      </c>
      <c r="GS164">
        <f ca="1"/>
      </c>
      <c r="GT164">
        <f ca="1"/>
      </c>
      <c r="GU164">
        <f ca="1"/>
      </c>
      <c r="GV164">
        <f ca="1"/>
      </c>
      <c r="GW164">
        <f ca="1"/>
      </c>
      <c r="HI164" s="7">
        <f ca="1"/>
      </c>
      <c r="HJ164">
        <f ca="1"/>
      </c>
      <c r="HK164">
        <f ca="1"/>
      </c>
      <c r="HL164">
        <f ca="1"/>
      </c>
      <c r="HM164">
        <f ca="1"/>
      </c>
    </row>
    <row r="165" spans="63:221" x14ac:dyDescent="0.55000000000000004">
      <c r="BK165">
        <f ca="1"/>
      </c>
      <c r="BL165">
        <f ca="1"/>
      </c>
      <c r="BM165">
        <f ca="1"/>
      </c>
      <c r="BN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  <c r="BV165">
        <f ca="1"/>
      </c>
      <c r="BW165">
        <f ca="1"/>
      </c>
      <c r="BX165">
        <f ca="1"/>
      </c>
      <c r="BY165">
        <f ca="1"/>
      </c>
      <c r="BZ165">
        <f ca="1"/>
      </c>
      <c r="CA165">
        <f ca="1"/>
      </c>
      <c r="CB165">
        <f ca="1"/>
      </c>
      <c r="CC165">
        <f ca="1"/>
      </c>
      <c r="CD165">
        <f ca="1"/>
      </c>
      <c r="CE165">
        <f ca="1"/>
      </c>
      <c r="CF165">
        <f ca="1"/>
      </c>
      <c r="CG165">
        <f ca="1"/>
      </c>
      <c r="CH165">
        <f ca="1"/>
      </c>
      <c r="CI165">
        <f ca="1"/>
      </c>
      <c r="CJ165">
        <f ca="1"/>
      </c>
      <c r="CK165">
        <f ca="1"/>
      </c>
      <c r="CL165">
        <f ca="1"/>
      </c>
      <c r="CM165">
        <f ca="1"/>
      </c>
      <c r="CN165">
        <f ca="1"/>
      </c>
      <c r="CO165">
        <f ca="1"/>
      </c>
      <c r="CP165">
        <f ca="1"/>
      </c>
      <c r="CQ165">
        <f ca="1"/>
      </c>
      <c r="CR165">
        <f ca="1"/>
      </c>
      <c r="CS165">
        <f ca="1"/>
      </c>
      <c r="CT165">
        <f ca="1"/>
      </c>
      <c r="CU165">
        <f ca="1"/>
      </c>
      <c r="CV165">
        <f ca="1"/>
      </c>
      <c r="CW165">
        <f ca="1"/>
      </c>
      <c r="CX165">
        <f ca="1"/>
      </c>
      <c r="CY165">
        <f ca="1"/>
      </c>
      <c r="CZ165">
        <f ca="1"/>
      </c>
      <c r="DA165">
        <f ca="1"/>
      </c>
      <c r="DB165">
        <f ca="1"/>
      </c>
      <c r="DC165">
        <f ca="1"/>
      </c>
      <c r="DD165">
        <f ca="1"/>
      </c>
      <c r="DE165">
        <f ca="1"/>
      </c>
      <c r="DG165">
        <f ca="1"/>
      </c>
      <c r="DH165">
        <f ca="1"/>
      </c>
      <c r="DI165">
        <f ca="1"/>
      </c>
      <c r="DJ165">
        <f ca="1"/>
      </c>
      <c r="DK165">
        <f ca="1"/>
      </c>
      <c r="DL165">
        <f ca="1"/>
      </c>
      <c r="DM165">
        <f ca="1"/>
      </c>
      <c r="DN165">
        <f ca="1"/>
      </c>
      <c r="DO165">
        <f ca="1"/>
      </c>
      <c r="DP165">
        <f ca="1"/>
      </c>
      <c r="DQ165">
        <f ca="1"/>
      </c>
      <c r="DR165">
        <f ca="1"/>
      </c>
      <c r="DS165">
        <f ca="1"/>
      </c>
      <c r="DT165">
        <f ca="1"/>
      </c>
      <c r="DU165">
        <f ca="1"/>
      </c>
      <c r="DV165">
        <f ca="1"/>
      </c>
      <c r="DW165">
        <f ca="1"/>
      </c>
      <c r="DX165">
        <f ca="1"/>
      </c>
      <c r="DY165">
        <f ca="1"/>
      </c>
      <c r="DZ165">
        <f ca="1"/>
      </c>
      <c r="EA165">
        <f ca="1"/>
      </c>
      <c r="EB165">
        <f ca="1"/>
      </c>
      <c r="EC165">
        <f ca="1"/>
      </c>
      <c r="ED165">
        <f ca="1"/>
      </c>
      <c r="EE165">
        <f ca="1"/>
      </c>
      <c r="EF165">
        <f ca="1"/>
      </c>
      <c r="EG165">
        <f ca="1"/>
      </c>
      <c r="EH165">
        <f ca="1"/>
      </c>
      <c r="EI165">
        <f ca="1"/>
      </c>
      <c r="EJ165">
        <f ca="1"/>
      </c>
      <c r="EK165">
        <f ca="1"/>
      </c>
      <c r="EL165">
        <f ca="1"/>
      </c>
      <c r="EM165">
        <f ca="1"/>
      </c>
      <c r="EN165">
        <f ca="1"/>
      </c>
      <c r="EO165">
        <f ca="1"/>
      </c>
      <c r="EP165">
        <f ca="1"/>
      </c>
      <c r="EQ165">
        <f ca="1"/>
      </c>
      <c r="ER165">
        <f ca="1"/>
      </c>
      <c r="ES165">
        <f ca="1"/>
      </c>
      <c r="ET165">
        <f ca="1"/>
      </c>
      <c r="EU165">
        <f ca="1"/>
      </c>
      <c r="EV165">
        <f ca="1"/>
      </c>
      <c r="EW165">
        <f ca="1"/>
      </c>
      <c r="EX165">
        <f ca="1"/>
      </c>
      <c r="EY165">
        <f ca="1"/>
      </c>
      <c r="EZ165">
        <f ca="1"/>
      </c>
      <c r="FA165">
        <f ca="1"/>
      </c>
      <c r="FC165">
        <f ca="1"/>
      </c>
      <c r="FD165">
        <f ca="1"/>
      </c>
      <c r="FE165">
        <f ca="1"/>
      </c>
      <c r="FF165">
        <f ca="1"/>
      </c>
      <c r="FG165">
        <f ca="1"/>
      </c>
      <c r="FH165">
        <f ca="1"/>
      </c>
      <c r="FI165">
        <f ca="1"/>
      </c>
      <c r="FJ165">
        <f ca="1"/>
      </c>
      <c r="FK165">
        <f ca="1"/>
      </c>
      <c r="FL165">
        <f ca="1"/>
      </c>
      <c r="FM165">
        <f ca="1"/>
      </c>
      <c r="FN165">
        <f ca="1"/>
      </c>
      <c r="FO165">
        <f ca="1"/>
      </c>
      <c r="FP165">
        <f ca="1"/>
      </c>
      <c r="FQ165">
        <f ca="1"/>
      </c>
      <c r="FR165">
        <f ca="1"/>
      </c>
      <c r="FS165">
        <f ca="1"/>
      </c>
      <c r="FT165">
        <f ca="1"/>
      </c>
      <c r="FU165">
        <f ca="1"/>
      </c>
      <c r="FV165">
        <f ca="1"/>
      </c>
      <c r="FW165">
        <f ca="1"/>
      </c>
      <c r="FX165">
        <f ca="1"/>
      </c>
      <c r="FY165">
        <f ca="1"/>
      </c>
      <c r="FZ165">
        <f ca="1"/>
      </c>
      <c r="GA165">
        <f ca="1"/>
      </c>
      <c r="GB165">
        <f ca="1"/>
      </c>
      <c r="GC165">
        <f ca="1"/>
      </c>
      <c r="GD165">
        <f ca="1"/>
      </c>
      <c r="GE165">
        <f ca="1"/>
      </c>
      <c r="GF165">
        <f ca="1"/>
      </c>
      <c r="GG165">
        <f ca="1"/>
      </c>
      <c r="GH165">
        <f ca="1"/>
      </c>
      <c r="GI165">
        <f ca="1"/>
      </c>
      <c r="GJ165">
        <f ca="1"/>
      </c>
      <c r="GK165">
        <f ca="1"/>
      </c>
      <c r="GL165">
        <f ca="1"/>
      </c>
      <c r="GM165">
        <f ca="1"/>
      </c>
      <c r="GN165">
        <f ca="1"/>
      </c>
      <c r="GO165">
        <f ca="1"/>
      </c>
      <c r="GP165">
        <f ca="1"/>
      </c>
      <c r="GQ165">
        <f ca="1"/>
      </c>
      <c r="GR165">
        <f ca="1"/>
      </c>
      <c r="GS165">
        <f ca="1"/>
      </c>
      <c r="GT165">
        <f ca="1"/>
      </c>
      <c r="GU165">
        <f ca="1"/>
      </c>
      <c r="GV165">
        <f ca="1"/>
      </c>
      <c r="GW165">
        <f ca="1"/>
      </c>
      <c r="HI165" s="7">
        <f ca="1"/>
      </c>
      <c r="HJ165">
        <f ca="1"/>
      </c>
      <c r="HK165">
        <f ca="1"/>
      </c>
      <c r="HL165">
        <f ca="1"/>
      </c>
      <c r="HM165">
        <f ca="1"/>
      </c>
    </row>
    <row r="166" spans="63:221" x14ac:dyDescent="0.55000000000000004">
      <c r="BK166">
        <f ca="1"/>
      </c>
      <c r="BL166">
        <f ca="1"/>
      </c>
      <c r="BM166">
        <f ca="1"/>
      </c>
      <c r="BN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  <c r="BV166">
        <f ca="1"/>
      </c>
      <c r="BW166">
        <f ca="1"/>
      </c>
      <c r="BX166">
        <f ca="1"/>
      </c>
      <c r="BY166">
        <f ca="1"/>
      </c>
      <c r="BZ166">
        <f ca="1"/>
      </c>
      <c r="CA166">
        <f ca="1"/>
      </c>
      <c r="CB166">
        <f ca="1"/>
      </c>
      <c r="CC166">
        <f ca="1"/>
      </c>
      <c r="CD166">
        <f ca="1"/>
      </c>
      <c r="CE166">
        <f ca="1"/>
      </c>
      <c r="CF166">
        <f ca="1"/>
      </c>
      <c r="CG166">
        <f ca="1"/>
      </c>
      <c r="CH166">
        <f ca="1"/>
      </c>
      <c r="CI166">
        <f ca="1"/>
      </c>
      <c r="CJ166">
        <f ca="1"/>
      </c>
      <c r="CK166">
        <f ca="1"/>
      </c>
      <c r="CL166">
        <f ca="1"/>
      </c>
      <c r="CM166">
        <f ca="1"/>
      </c>
      <c r="CN166">
        <f ca="1"/>
      </c>
      <c r="CO166">
        <f ca="1"/>
      </c>
      <c r="CP166">
        <f ca="1"/>
      </c>
      <c r="CQ166">
        <f ca="1"/>
      </c>
      <c r="CR166">
        <f ca="1"/>
      </c>
      <c r="CS166">
        <f ca="1"/>
      </c>
      <c r="CT166">
        <f ca="1"/>
      </c>
      <c r="CU166">
        <f ca="1"/>
      </c>
      <c r="CV166">
        <f ca="1"/>
      </c>
      <c r="CW166">
        <f ca="1"/>
      </c>
      <c r="CX166">
        <f ca="1"/>
      </c>
      <c r="CY166">
        <f ca="1"/>
      </c>
      <c r="CZ166">
        <f ca="1"/>
      </c>
      <c r="DA166">
        <f ca="1"/>
      </c>
      <c r="DB166">
        <f ca="1"/>
      </c>
      <c r="DC166">
        <f ca="1"/>
      </c>
      <c r="DD166">
        <f ca="1"/>
      </c>
      <c r="DE166">
        <f ca="1"/>
      </c>
      <c r="DG166">
        <f ca="1"/>
      </c>
      <c r="DH166">
        <f ca="1"/>
      </c>
      <c r="DI166">
        <f ca="1"/>
      </c>
      <c r="DJ166">
        <f ca="1"/>
      </c>
      <c r="DK166">
        <f ca="1"/>
      </c>
      <c r="DL166">
        <f ca="1"/>
      </c>
      <c r="DM166">
        <f ca="1"/>
      </c>
      <c r="DN166">
        <f ca="1"/>
      </c>
      <c r="DO166">
        <f ca="1"/>
      </c>
      <c r="DP166">
        <f ca="1"/>
      </c>
      <c r="DQ166">
        <f ca="1"/>
      </c>
      <c r="DR166">
        <f ca="1"/>
      </c>
      <c r="DS166">
        <f ca="1"/>
      </c>
      <c r="DT166">
        <f ca="1"/>
      </c>
      <c r="DU166">
        <f ca="1"/>
      </c>
      <c r="DV166">
        <f ca="1"/>
      </c>
      <c r="DW166">
        <f ca="1"/>
      </c>
      <c r="DX166">
        <f ca="1"/>
      </c>
      <c r="DY166">
        <f ca="1"/>
      </c>
      <c r="DZ166">
        <f ca="1"/>
      </c>
      <c r="EA166">
        <f ca="1"/>
      </c>
      <c r="EB166">
        <f ca="1"/>
      </c>
      <c r="EC166">
        <f ca="1"/>
      </c>
      <c r="ED166">
        <f ca="1"/>
      </c>
      <c r="EE166">
        <f ca="1"/>
      </c>
      <c r="EF166">
        <f ca="1"/>
      </c>
      <c r="EG166">
        <f ca="1"/>
      </c>
      <c r="EH166">
        <f ca="1"/>
      </c>
      <c r="EI166">
        <f ca="1"/>
      </c>
      <c r="EJ166">
        <f ca="1"/>
      </c>
      <c r="EK166">
        <f ca="1"/>
      </c>
      <c r="EL166">
        <f ca="1"/>
      </c>
      <c r="EM166">
        <f ca="1"/>
      </c>
      <c r="EN166">
        <f ca="1"/>
      </c>
      <c r="EO166">
        <f ca="1"/>
      </c>
      <c r="EP166">
        <f ca="1"/>
      </c>
      <c r="EQ166">
        <f ca="1"/>
      </c>
      <c r="ER166">
        <f ca="1"/>
      </c>
      <c r="ES166">
        <f ca="1"/>
      </c>
      <c r="ET166">
        <f ca="1"/>
      </c>
      <c r="EU166">
        <f ca="1"/>
      </c>
      <c r="EV166">
        <f ca="1"/>
      </c>
      <c r="EW166">
        <f ca="1"/>
      </c>
      <c r="EX166">
        <f ca="1"/>
      </c>
      <c r="EY166">
        <f ca="1"/>
      </c>
      <c r="EZ166">
        <f ca="1"/>
      </c>
      <c r="FA166">
        <f ca="1"/>
      </c>
      <c r="FC166">
        <f ca="1"/>
      </c>
      <c r="FD166">
        <f ca="1"/>
      </c>
      <c r="FE166">
        <f ca="1"/>
      </c>
      <c r="FF166">
        <f ca="1"/>
      </c>
      <c r="FG166">
        <f ca="1"/>
      </c>
      <c r="FH166">
        <f ca="1"/>
      </c>
      <c r="FI166">
        <f ca="1"/>
      </c>
      <c r="FJ166">
        <f ca="1"/>
      </c>
      <c r="FK166">
        <f ca="1"/>
      </c>
      <c r="FL166">
        <f ca="1"/>
      </c>
      <c r="FM166">
        <f ca="1"/>
      </c>
      <c r="FN166">
        <f ca="1"/>
      </c>
      <c r="FO166">
        <f ca="1"/>
      </c>
      <c r="FP166">
        <f ca="1"/>
      </c>
      <c r="FQ166">
        <f ca="1"/>
      </c>
      <c r="FR166">
        <f ca="1"/>
      </c>
      <c r="FS166">
        <f ca="1"/>
      </c>
      <c r="FT166">
        <f ca="1"/>
      </c>
      <c r="FU166">
        <f ca="1"/>
      </c>
      <c r="FV166">
        <f ca="1"/>
      </c>
      <c r="FW166">
        <f ca="1"/>
      </c>
      <c r="FX166">
        <f ca="1"/>
      </c>
      <c r="FY166">
        <f ca="1"/>
      </c>
      <c r="FZ166">
        <f ca="1"/>
      </c>
      <c r="GA166">
        <f ca="1"/>
      </c>
      <c r="GB166">
        <f ca="1"/>
      </c>
      <c r="GC166">
        <f ca="1"/>
      </c>
      <c r="GD166">
        <f ca="1"/>
      </c>
      <c r="GE166">
        <f ca="1"/>
      </c>
      <c r="GF166">
        <f ca="1"/>
      </c>
      <c r="GG166">
        <f ca="1"/>
      </c>
      <c r="GH166">
        <f ca="1"/>
      </c>
      <c r="GI166">
        <f ca="1"/>
      </c>
      <c r="GJ166">
        <f ca="1"/>
      </c>
      <c r="GK166">
        <f ca="1"/>
      </c>
      <c r="GL166">
        <f ca="1"/>
      </c>
      <c r="GM166">
        <f ca="1"/>
      </c>
      <c r="GN166">
        <f ca="1"/>
      </c>
      <c r="GO166">
        <f ca="1"/>
      </c>
      <c r="GP166">
        <f ca="1"/>
      </c>
      <c r="GQ166">
        <f ca="1"/>
      </c>
      <c r="GR166">
        <f ca="1"/>
      </c>
      <c r="GS166">
        <f ca="1"/>
      </c>
      <c r="GT166">
        <f ca="1"/>
      </c>
      <c r="GU166">
        <f ca="1"/>
      </c>
      <c r="GV166">
        <f ca="1"/>
      </c>
      <c r="GW166">
        <f ca="1"/>
      </c>
      <c r="HI166" s="7">
        <f ca="1"/>
      </c>
      <c r="HJ166">
        <f ca="1"/>
      </c>
      <c r="HK166">
        <f ca="1"/>
      </c>
      <c r="HL166">
        <f ca="1"/>
      </c>
      <c r="HM166">
        <f ca="1"/>
      </c>
    </row>
    <row r="167" spans="63:221" x14ac:dyDescent="0.55000000000000004">
      <c r="BK167">
        <f ca="1"/>
      </c>
      <c r="BL167">
        <f ca="1"/>
      </c>
      <c r="BM167">
        <f ca="1"/>
      </c>
      <c r="BN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  <c r="BV167">
        <f ca="1"/>
      </c>
      <c r="BW167">
        <f ca="1"/>
      </c>
      <c r="BX167">
        <f ca="1"/>
      </c>
      <c r="BY167">
        <f ca="1"/>
      </c>
      <c r="BZ167">
        <f ca="1"/>
      </c>
      <c r="CA167">
        <f ca="1"/>
      </c>
      <c r="CB167">
        <f ca="1"/>
      </c>
      <c r="CC167">
        <f ca="1"/>
      </c>
      <c r="CD167">
        <f ca="1"/>
      </c>
      <c r="CE167">
        <f ca="1"/>
      </c>
      <c r="CF167">
        <f ca="1"/>
      </c>
      <c r="CG167">
        <f ca="1"/>
      </c>
      <c r="CH167">
        <f ca="1"/>
      </c>
      <c r="CI167">
        <f ca="1"/>
      </c>
      <c r="CJ167">
        <f ca="1"/>
      </c>
      <c r="CK167">
        <f ca="1"/>
      </c>
      <c r="CL167">
        <f ca="1"/>
      </c>
      <c r="CM167">
        <f ca="1"/>
      </c>
      <c r="CN167">
        <f ca="1"/>
      </c>
      <c r="CO167">
        <f ca="1"/>
      </c>
      <c r="CP167">
        <f ca="1"/>
      </c>
      <c r="CQ167">
        <f ca="1"/>
      </c>
      <c r="CR167">
        <f ca="1"/>
      </c>
      <c r="CS167">
        <f ca="1"/>
      </c>
      <c r="CT167">
        <f ca="1"/>
      </c>
      <c r="CU167">
        <f ca="1"/>
      </c>
      <c r="CV167">
        <f ca="1"/>
      </c>
      <c r="CW167">
        <f ca="1"/>
      </c>
      <c r="CX167">
        <f ca="1"/>
      </c>
      <c r="CY167">
        <f ca="1"/>
      </c>
      <c r="CZ167">
        <f ca="1"/>
      </c>
      <c r="DA167">
        <f ca="1"/>
      </c>
      <c r="DB167">
        <f ca="1"/>
      </c>
      <c r="DC167">
        <f ca="1"/>
      </c>
      <c r="DD167">
        <f ca="1"/>
      </c>
      <c r="DE167">
        <f ca="1"/>
      </c>
      <c r="DG167">
        <f ca="1"/>
      </c>
      <c r="DH167">
        <f ca="1"/>
      </c>
      <c r="DI167">
        <f ca="1"/>
      </c>
      <c r="DJ167">
        <f ca="1"/>
      </c>
      <c r="DK167">
        <f ca="1"/>
      </c>
      <c r="DL167">
        <f ca="1"/>
      </c>
      <c r="DM167">
        <f ca="1"/>
      </c>
      <c r="DN167">
        <f ca="1"/>
      </c>
      <c r="DO167">
        <f ca="1"/>
      </c>
      <c r="DP167">
        <f ca="1"/>
      </c>
      <c r="DQ167">
        <f ca="1"/>
      </c>
      <c r="DR167">
        <f ca="1"/>
      </c>
      <c r="DS167">
        <f ca="1"/>
      </c>
      <c r="DT167">
        <f ca="1"/>
      </c>
      <c r="DU167">
        <f ca="1"/>
      </c>
      <c r="DV167">
        <f ca="1"/>
      </c>
      <c r="DW167">
        <f ca="1"/>
      </c>
      <c r="DX167">
        <f ca="1"/>
      </c>
      <c r="DY167">
        <f ca="1"/>
      </c>
      <c r="DZ167">
        <f ca="1"/>
      </c>
      <c r="EA167">
        <f ca="1"/>
      </c>
      <c r="EB167">
        <f ca="1"/>
      </c>
      <c r="EC167">
        <f ca="1"/>
      </c>
      <c r="ED167">
        <f ca="1"/>
      </c>
      <c r="EE167">
        <f ca="1"/>
      </c>
      <c r="EF167">
        <f ca="1"/>
      </c>
      <c r="EG167">
        <f ca="1"/>
      </c>
      <c r="EH167">
        <f ca="1"/>
      </c>
      <c r="EI167">
        <f ca="1"/>
      </c>
      <c r="EJ167">
        <f ca="1"/>
      </c>
      <c r="EK167">
        <f ca="1"/>
      </c>
      <c r="EL167">
        <f ca="1"/>
      </c>
      <c r="EM167">
        <f ca="1"/>
      </c>
      <c r="EN167">
        <f ca="1"/>
      </c>
      <c r="EO167">
        <f ca="1"/>
      </c>
      <c r="EP167">
        <f ca="1"/>
      </c>
      <c r="EQ167">
        <f ca="1"/>
      </c>
      <c r="ER167">
        <f ca="1"/>
      </c>
      <c r="ES167">
        <f ca="1"/>
      </c>
      <c r="ET167">
        <f ca="1"/>
      </c>
      <c r="EU167">
        <f ca="1"/>
      </c>
      <c r="EV167">
        <f ca="1"/>
      </c>
      <c r="EW167">
        <f ca="1"/>
      </c>
      <c r="EX167">
        <f ca="1"/>
      </c>
      <c r="EY167">
        <f ca="1"/>
      </c>
      <c r="EZ167">
        <f ca="1"/>
      </c>
      <c r="FA167">
        <f ca="1"/>
      </c>
      <c r="FC167">
        <f ca="1"/>
      </c>
      <c r="FD167">
        <f ca="1"/>
      </c>
      <c r="FE167">
        <f ca="1"/>
      </c>
      <c r="FF167">
        <f ca="1"/>
      </c>
      <c r="FG167">
        <f ca="1"/>
      </c>
      <c r="FH167">
        <f ca="1"/>
      </c>
      <c r="FI167">
        <f ca="1"/>
      </c>
      <c r="FJ167">
        <f ca="1"/>
      </c>
      <c r="FK167">
        <f ca="1"/>
      </c>
      <c r="FL167">
        <f ca="1"/>
      </c>
      <c r="FM167">
        <f ca="1"/>
      </c>
      <c r="FN167">
        <f ca="1"/>
      </c>
      <c r="FO167">
        <f ca="1"/>
      </c>
      <c r="FP167">
        <f ca="1"/>
      </c>
      <c r="FQ167">
        <f ca="1"/>
      </c>
      <c r="FR167">
        <f ca="1"/>
      </c>
      <c r="FS167">
        <f ca="1"/>
      </c>
      <c r="FT167">
        <f ca="1"/>
      </c>
      <c r="FU167">
        <f ca="1"/>
      </c>
      <c r="FV167">
        <f ca="1"/>
      </c>
      <c r="FW167">
        <f ca="1"/>
      </c>
      <c r="FX167">
        <f ca="1"/>
      </c>
      <c r="FY167">
        <f ca="1"/>
      </c>
      <c r="FZ167">
        <f ca="1"/>
      </c>
      <c r="GA167">
        <f ca="1"/>
      </c>
      <c r="GB167">
        <f ca="1"/>
      </c>
      <c r="GC167">
        <f ca="1"/>
      </c>
      <c r="GD167">
        <f ca="1"/>
      </c>
      <c r="GE167">
        <f ca="1"/>
      </c>
      <c r="GF167">
        <f ca="1"/>
      </c>
      <c r="GG167">
        <f ca="1"/>
      </c>
      <c r="GH167">
        <f ca="1"/>
      </c>
      <c r="GI167">
        <f ca="1"/>
      </c>
      <c r="GJ167">
        <f ca="1"/>
      </c>
      <c r="GK167">
        <f ca="1"/>
      </c>
      <c r="GL167">
        <f ca="1"/>
      </c>
      <c r="GM167">
        <f ca="1"/>
      </c>
      <c r="GN167">
        <f ca="1"/>
      </c>
      <c r="GO167">
        <f ca="1"/>
      </c>
      <c r="GP167">
        <f ca="1"/>
      </c>
      <c r="GQ167">
        <f ca="1"/>
      </c>
      <c r="GR167">
        <f ca="1"/>
      </c>
      <c r="GS167">
        <f ca="1"/>
      </c>
      <c r="GT167">
        <f ca="1"/>
      </c>
      <c r="GU167">
        <f ca="1"/>
      </c>
      <c r="GV167">
        <f ca="1"/>
      </c>
      <c r="GW167">
        <f ca="1"/>
      </c>
      <c r="HI167" s="7">
        <f ca="1"/>
      </c>
      <c r="HJ167">
        <f ca="1"/>
      </c>
      <c r="HK167">
        <f ca="1"/>
      </c>
      <c r="HL167">
        <f ca="1"/>
      </c>
      <c r="HM167">
        <f ca="1"/>
      </c>
    </row>
    <row r="168" spans="63:221" x14ac:dyDescent="0.55000000000000004">
      <c r="BK168">
        <f ca="1"/>
      </c>
      <c r="BL168">
        <f ca="1"/>
      </c>
      <c r="BM168">
        <f ca="1"/>
      </c>
      <c r="BN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  <c r="BV168">
        <f ca="1"/>
      </c>
      <c r="BW168">
        <f ca="1"/>
      </c>
      <c r="BX168">
        <f ca="1"/>
      </c>
      <c r="BY168">
        <f ca="1"/>
      </c>
      <c r="BZ168">
        <f ca="1"/>
      </c>
      <c r="CA168">
        <f ca="1"/>
      </c>
      <c r="CB168">
        <f ca="1"/>
      </c>
      <c r="CC168">
        <f ca="1"/>
      </c>
      <c r="CD168">
        <f ca="1"/>
      </c>
      <c r="CE168">
        <f ca="1"/>
      </c>
      <c r="CF168">
        <f ca="1"/>
      </c>
      <c r="CG168">
        <f ca="1"/>
      </c>
      <c r="CH168">
        <f ca="1"/>
      </c>
      <c r="CI168">
        <f ca="1"/>
      </c>
      <c r="CJ168">
        <f ca="1"/>
      </c>
      <c r="CK168">
        <f ca="1"/>
      </c>
      <c r="CL168">
        <f ca="1"/>
      </c>
      <c r="CM168">
        <f ca="1"/>
      </c>
      <c r="CN168">
        <f ca="1"/>
      </c>
      <c r="CO168">
        <f ca="1"/>
      </c>
      <c r="CP168">
        <f ca="1"/>
      </c>
      <c r="CQ168">
        <f ca="1"/>
      </c>
      <c r="CR168">
        <f ca="1"/>
      </c>
      <c r="CS168">
        <f ca="1"/>
      </c>
      <c r="CT168">
        <f ca="1"/>
      </c>
      <c r="CU168">
        <f ca="1"/>
      </c>
      <c r="CV168">
        <f ca="1"/>
      </c>
      <c r="CW168">
        <f ca="1"/>
      </c>
      <c r="CX168">
        <f ca="1"/>
      </c>
      <c r="CY168">
        <f ca="1"/>
      </c>
      <c r="CZ168">
        <f ca="1"/>
      </c>
      <c r="DA168">
        <f ca="1"/>
      </c>
      <c r="DB168">
        <f ca="1"/>
      </c>
      <c r="DC168">
        <f ca="1"/>
      </c>
      <c r="DD168">
        <f ca="1"/>
      </c>
      <c r="DE168">
        <f ca="1"/>
      </c>
      <c r="DG168">
        <f ca="1"/>
      </c>
      <c r="DH168">
        <f ca="1"/>
      </c>
      <c r="DI168">
        <f ca="1"/>
      </c>
      <c r="DJ168">
        <f ca="1"/>
      </c>
      <c r="DK168">
        <f ca="1"/>
      </c>
      <c r="DL168">
        <f ca="1"/>
      </c>
      <c r="DM168">
        <f ca="1"/>
      </c>
      <c r="DN168">
        <f ca="1"/>
      </c>
      <c r="DO168">
        <f ca="1"/>
      </c>
      <c r="DP168">
        <f ca="1"/>
      </c>
      <c r="DQ168">
        <f ca="1"/>
      </c>
      <c r="DR168">
        <f ca="1"/>
      </c>
      <c r="DS168">
        <f ca="1"/>
      </c>
      <c r="DT168">
        <f ca="1"/>
      </c>
      <c r="DU168">
        <f ca="1"/>
      </c>
      <c r="DV168">
        <f ca="1"/>
      </c>
      <c r="DW168">
        <f ca="1"/>
      </c>
      <c r="DX168">
        <f ca="1"/>
      </c>
      <c r="DY168">
        <f ca="1"/>
      </c>
      <c r="DZ168">
        <f ca="1"/>
      </c>
      <c r="EA168">
        <f ca="1"/>
      </c>
      <c r="EB168">
        <f ca="1"/>
      </c>
      <c r="EC168">
        <f ca="1"/>
      </c>
      <c r="ED168">
        <f ca="1"/>
      </c>
      <c r="EE168">
        <f ca="1"/>
      </c>
      <c r="EF168">
        <f ca="1"/>
      </c>
      <c r="EG168">
        <f ca="1"/>
      </c>
      <c r="EH168">
        <f ca="1"/>
      </c>
      <c r="EI168">
        <f ca="1"/>
      </c>
      <c r="EJ168">
        <f ca="1"/>
      </c>
      <c r="EK168">
        <f ca="1"/>
      </c>
      <c r="EL168">
        <f ca="1"/>
      </c>
      <c r="EM168">
        <f ca="1"/>
      </c>
      <c r="EN168">
        <f ca="1"/>
      </c>
      <c r="EO168">
        <f ca="1"/>
      </c>
      <c r="EP168">
        <f ca="1"/>
      </c>
      <c r="EQ168">
        <f ca="1"/>
      </c>
      <c r="ER168">
        <f ca="1"/>
      </c>
      <c r="ES168">
        <f ca="1"/>
      </c>
      <c r="ET168">
        <f ca="1"/>
      </c>
      <c r="EU168">
        <f ca="1"/>
      </c>
      <c r="EV168">
        <f ca="1"/>
      </c>
      <c r="EW168">
        <f ca="1"/>
      </c>
      <c r="EX168">
        <f ca="1"/>
      </c>
      <c r="EY168">
        <f ca="1"/>
      </c>
      <c r="EZ168">
        <f ca="1"/>
      </c>
      <c r="FA168">
        <f ca="1"/>
      </c>
      <c r="FC168">
        <f ca="1"/>
      </c>
      <c r="FD168">
        <f ca="1"/>
      </c>
      <c r="FE168">
        <f ca="1"/>
      </c>
      <c r="FF168">
        <f ca="1"/>
      </c>
      <c r="FG168">
        <f ca="1"/>
      </c>
      <c r="FH168">
        <f ca="1"/>
      </c>
      <c r="FI168">
        <f ca="1"/>
      </c>
      <c r="FJ168">
        <f ca="1"/>
      </c>
      <c r="FK168">
        <f ca="1"/>
      </c>
      <c r="FL168">
        <f ca="1"/>
      </c>
      <c r="FM168">
        <f ca="1"/>
      </c>
      <c r="FN168">
        <f ca="1"/>
      </c>
      <c r="FO168">
        <f ca="1"/>
      </c>
      <c r="FP168">
        <f ca="1"/>
      </c>
      <c r="FQ168">
        <f ca="1"/>
      </c>
      <c r="FR168">
        <f ca="1"/>
      </c>
      <c r="FS168">
        <f ca="1"/>
      </c>
      <c r="FT168">
        <f ca="1"/>
      </c>
      <c r="FU168">
        <f ca="1"/>
      </c>
      <c r="FV168">
        <f ca="1"/>
      </c>
      <c r="FW168">
        <f ca="1"/>
      </c>
      <c r="FX168">
        <f ca="1"/>
      </c>
      <c r="FY168">
        <f ca="1"/>
      </c>
      <c r="FZ168">
        <f ca="1"/>
      </c>
      <c r="GA168">
        <f ca="1"/>
      </c>
      <c r="GB168">
        <f ca="1"/>
      </c>
      <c r="GC168">
        <f ca="1"/>
      </c>
      <c r="GD168">
        <f ca="1"/>
      </c>
      <c r="GE168">
        <f ca="1"/>
      </c>
      <c r="GF168">
        <f ca="1"/>
      </c>
      <c r="GG168">
        <f ca="1"/>
      </c>
      <c r="GH168">
        <f ca="1"/>
      </c>
      <c r="GI168">
        <f ca="1"/>
      </c>
      <c r="GJ168">
        <f ca="1"/>
      </c>
      <c r="GK168">
        <f ca="1"/>
      </c>
      <c r="GL168">
        <f ca="1"/>
      </c>
      <c r="GM168">
        <f ca="1"/>
      </c>
      <c r="GN168">
        <f ca="1"/>
      </c>
      <c r="GO168">
        <f ca="1"/>
      </c>
      <c r="GP168">
        <f ca="1"/>
      </c>
      <c r="GQ168">
        <f ca="1"/>
      </c>
      <c r="GR168">
        <f ca="1"/>
      </c>
      <c r="GS168">
        <f ca="1"/>
      </c>
      <c r="GT168">
        <f ca="1"/>
      </c>
      <c r="GU168">
        <f ca="1"/>
      </c>
      <c r="GV168">
        <f ca="1"/>
      </c>
      <c r="GW168">
        <f ca="1"/>
      </c>
      <c r="HI168" s="7">
        <f ca="1"/>
      </c>
      <c r="HJ168">
        <f ca="1"/>
      </c>
      <c r="HK168">
        <f ca="1"/>
      </c>
      <c r="HL168">
        <f ca="1"/>
      </c>
      <c r="HM168">
        <f ca="1"/>
      </c>
    </row>
    <row r="169" spans="63:221" x14ac:dyDescent="0.55000000000000004">
      <c r="BK169">
        <f ca="1"/>
      </c>
      <c r="BL169">
        <f ca="1"/>
      </c>
      <c r="BM169">
        <f ca="1"/>
      </c>
      <c r="BN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  <c r="BV169">
        <f ca="1"/>
      </c>
      <c r="BW169">
        <f ca="1"/>
      </c>
      <c r="BX169">
        <f ca="1"/>
      </c>
      <c r="BY169">
        <f ca="1"/>
      </c>
      <c r="BZ169">
        <f ca="1"/>
      </c>
      <c r="CA169">
        <f ca="1"/>
      </c>
      <c r="CB169">
        <f ca="1"/>
      </c>
      <c r="CC169">
        <f ca="1"/>
      </c>
      <c r="CD169">
        <f ca="1"/>
      </c>
      <c r="CE169">
        <f ca="1"/>
      </c>
      <c r="CF169">
        <f ca="1"/>
      </c>
      <c r="CG169">
        <f ca="1"/>
      </c>
      <c r="CH169">
        <f ca="1"/>
      </c>
      <c r="CI169">
        <f ca="1"/>
      </c>
      <c r="CJ169">
        <f ca="1"/>
      </c>
      <c r="CK169">
        <f ca="1"/>
      </c>
      <c r="CL169">
        <f ca="1"/>
      </c>
      <c r="CM169">
        <f ca="1"/>
      </c>
      <c r="CN169">
        <f ca="1"/>
      </c>
      <c r="CO169">
        <f ca="1"/>
      </c>
      <c r="CP169">
        <f ca="1"/>
      </c>
      <c r="CQ169">
        <f ca="1"/>
      </c>
      <c r="CR169">
        <f ca="1"/>
      </c>
      <c r="CS169">
        <f ca="1"/>
      </c>
      <c r="CT169">
        <f ca="1"/>
      </c>
      <c r="CU169">
        <f ca="1"/>
      </c>
      <c r="CV169">
        <f ca="1"/>
      </c>
      <c r="CW169">
        <f ca="1"/>
      </c>
      <c r="CX169">
        <f ca="1"/>
      </c>
      <c r="CY169">
        <f ca="1"/>
      </c>
      <c r="CZ169">
        <f ca="1"/>
      </c>
      <c r="DA169">
        <f ca="1"/>
      </c>
      <c r="DB169">
        <f ca="1"/>
      </c>
      <c r="DC169">
        <f ca="1"/>
      </c>
      <c r="DD169">
        <f ca="1"/>
      </c>
      <c r="DE169">
        <f ca="1"/>
      </c>
      <c r="DG169">
        <f ca="1"/>
      </c>
      <c r="DH169">
        <f ca="1"/>
      </c>
      <c r="DI169">
        <f ca="1"/>
      </c>
      <c r="DJ169">
        <f ca="1"/>
      </c>
      <c r="DK169">
        <f ca="1"/>
      </c>
      <c r="DL169">
        <f ca="1"/>
      </c>
      <c r="DM169">
        <f ca="1"/>
      </c>
      <c r="DN169">
        <f ca="1"/>
      </c>
      <c r="DO169">
        <f ca="1"/>
      </c>
      <c r="DP169">
        <f ca="1"/>
      </c>
      <c r="DQ169">
        <f ca="1"/>
      </c>
      <c r="DR169">
        <f ca="1"/>
      </c>
      <c r="DS169">
        <f ca="1"/>
      </c>
      <c r="DT169">
        <f ca="1"/>
      </c>
      <c r="DU169">
        <f ca="1"/>
      </c>
      <c r="DV169">
        <f ca="1"/>
      </c>
      <c r="DW169">
        <f ca="1"/>
      </c>
      <c r="DX169">
        <f ca="1"/>
      </c>
      <c r="DY169">
        <f ca="1"/>
      </c>
      <c r="DZ169">
        <f ca="1"/>
      </c>
      <c r="EA169">
        <f ca="1"/>
      </c>
      <c r="EB169">
        <f ca="1"/>
      </c>
      <c r="EC169">
        <f ca="1"/>
      </c>
      <c r="ED169">
        <f ca="1"/>
      </c>
      <c r="EE169">
        <f ca="1"/>
      </c>
      <c r="EF169">
        <f ca="1"/>
      </c>
      <c r="EG169">
        <f ca="1"/>
      </c>
      <c r="EH169">
        <f ca="1"/>
      </c>
      <c r="EI169">
        <f ca="1"/>
      </c>
      <c r="EJ169">
        <f ca="1"/>
      </c>
      <c r="EK169">
        <f ca="1"/>
      </c>
      <c r="EL169">
        <f ca="1"/>
      </c>
      <c r="EM169">
        <f ca="1"/>
      </c>
      <c r="EN169">
        <f ca="1"/>
      </c>
      <c r="EO169">
        <f ca="1"/>
      </c>
      <c r="EP169">
        <f ca="1"/>
      </c>
      <c r="EQ169">
        <f ca="1"/>
      </c>
      <c r="ER169">
        <f ca="1"/>
      </c>
      <c r="ES169">
        <f ca="1"/>
      </c>
      <c r="ET169">
        <f ca="1"/>
      </c>
      <c r="EU169">
        <f ca="1"/>
      </c>
      <c r="EV169">
        <f ca="1"/>
      </c>
      <c r="EW169">
        <f ca="1"/>
      </c>
      <c r="EX169">
        <f ca="1"/>
      </c>
      <c r="EY169">
        <f ca="1"/>
      </c>
      <c r="EZ169">
        <f ca="1"/>
      </c>
      <c r="FA169">
        <f ca="1"/>
      </c>
      <c r="FC169">
        <f ca="1"/>
      </c>
      <c r="FD169">
        <f ca="1"/>
      </c>
      <c r="FE169">
        <f ca="1"/>
      </c>
      <c r="FF169">
        <f ca="1"/>
      </c>
      <c r="FG169">
        <f ca="1"/>
      </c>
      <c r="FH169">
        <f ca="1"/>
      </c>
      <c r="FI169">
        <f ca="1"/>
      </c>
      <c r="FJ169">
        <f ca="1"/>
      </c>
      <c r="FK169">
        <f ca="1"/>
      </c>
      <c r="FL169">
        <f ca="1"/>
      </c>
      <c r="FM169">
        <f ca="1"/>
      </c>
      <c r="FN169">
        <f ca="1"/>
      </c>
      <c r="FO169">
        <f ca="1"/>
      </c>
      <c r="FP169">
        <f ca="1"/>
      </c>
      <c r="FQ169">
        <f ca="1"/>
      </c>
      <c r="FR169">
        <f ca="1"/>
      </c>
      <c r="FS169">
        <f ca="1"/>
      </c>
      <c r="FT169">
        <f ca="1"/>
      </c>
      <c r="FU169">
        <f ca="1"/>
      </c>
      <c r="FV169">
        <f ca="1"/>
      </c>
      <c r="FW169">
        <f ca="1"/>
      </c>
      <c r="FX169">
        <f ca="1"/>
      </c>
      <c r="FY169">
        <f ca="1"/>
      </c>
      <c r="FZ169">
        <f ca="1"/>
      </c>
      <c r="GA169">
        <f ca="1"/>
      </c>
      <c r="GB169">
        <f ca="1"/>
      </c>
      <c r="GC169">
        <f ca="1"/>
      </c>
      <c r="GD169">
        <f ca="1"/>
      </c>
      <c r="GE169">
        <f ca="1"/>
      </c>
      <c r="GF169">
        <f ca="1"/>
      </c>
      <c r="GG169">
        <f ca="1"/>
      </c>
      <c r="GH169">
        <f ca="1"/>
      </c>
      <c r="GI169">
        <f ca="1"/>
      </c>
      <c r="GJ169">
        <f ca="1"/>
      </c>
      <c r="GK169">
        <f ca="1"/>
      </c>
      <c r="GL169">
        <f ca="1"/>
      </c>
      <c r="GM169">
        <f ca="1"/>
      </c>
      <c r="GN169">
        <f ca="1"/>
      </c>
      <c r="GO169">
        <f ca="1"/>
      </c>
      <c r="GP169">
        <f ca="1"/>
      </c>
      <c r="GQ169">
        <f ca="1"/>
      </c>
      <c r="GR169">
        <f ca="1"/>
      </c>
      <c r="GS169">
        <f ca="1"/>
      </c>
      <c r="GT169">
        <f ca="1"/>
      </c>
      <c r="GU169">
        <f ca="1"/>
      </c>
      <c r="GV169">
        <f ca="1"/>
      </c>
      <c r="GW169">
        <f ca="1"/>
      </c>
      <c r="HI169" s="7">
        <f ca="1"/>
      </c>
      <c r="HJ169">
        <f ca="1"/>
      </c>
      <c r="HK169">
        <f ca="1"/>
      </c>
      <c r="HL169">
        <f ca="1"/>
      </c>
      <c r="HM169">
        <f ca="1"/>
      </c>
    </row>
    <row r="170" spans="63:221" x14ac:dyDescent="0.55000000000000004">
      <c r="BK170">
        <f ca="1"/>
      </c>
      <c r="BL170">
        <f ca="1"/>
      </c>
      <c r="BM170">
        <f ca="1"/>
      </c>
      <c r="BN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  <c r="BV170">
        <f ca="1"/>
      </c>
      <c r="BW170">
        <f ca="1"/>
      </c>
      <c r="BX170">
        <f ca="1"/>
      </c>
      <c r="BY170">
        <f ca="1"/>
      </c>
      <c r="BZ170">
        <f ca="1"/>
      </c>
      <c r="CA170">
        <f ca="1"/>
      </c>
      <c r="CB170">
        <f ca="1"/>
      </c>
      <c r="CC170">
        <f ca="1"/>
      </c>
      <c r="CD170">
        <f ca="1"/>
      </c>
      <c r="CE170">
        <f ca="1"/>
      </c>
      <c r="CF170">
        <f ca="1"/>
      </c>
      <c r="CG170">
        <f ca="1"/>
      </c>
      <c r="CH170">
        <f ca="1"/>
      </c>
      <c r="CI170">
        <f ca="1"/>
      </c>
      <c r="CJ170">
        <f ca="1"/>
      </c>
      <c r="CK170">
        <f ca="1"/>
      </c>
      <c r="CL170">
        <f ca="1"/>
      </c>
      <c r="CM170">
        <f ca="1"/>
      </c>
      <c r="CN170">
        <f ca="1"/>
      </c>
      <c r="CO170">
        <f ca="1"/>
      </c>
      <c r="CP170">
        <f ca="1"/>
      </c>
      <c r="CQ170">
        <f ca="1"/>
      </c>
      <c r="CR170">
        <f ca="1"/>
      </c>
      <c r="CS170">
        <f ca="1"/>
      </c>
      <c r="CT170">
        <f ca="1"/>
      </c>
      <c r="CU170">
        <f ca="1"/>
      </c>
      <c r="CV170">
        <f ca="1"/>
      </c>
      <c r="CW170">
        <f ca="1"/>
      </c>
      <c r="CX170">
        <f ca="1"/>
      </c>
      <c r="CY170">
        <f ca="1"/>
      </c>
      <c r="CZ170">
        <f ca="1"/>
      </c>
      <c r="DA170">
        <f ca="1"/>
      </c>
      <c r="DB170">
        <f ca="1"/>
      </c>
      <c r="DC170">
        <f ca="1"/>
      </c>
      <c r="DD170">
        <f ca="1"/>
      </c>
      <c r="DE170">
        <f ca="1"/>
      </c>
      <c r="DG170">
        <f ca="1"/>
      </c>
      <c r="DH170">
        <f ca="1"/>
      </c>
      <c r="DI170">
        <f ca="1"/>
      </c>
      <c r="DJ170">
        <f ca="1"/>
      </c>
      <c r="DK170">
        <f ca="1"/>
      </c>
      <c r="DL170">
        <f ca="1"/>
      </c>
      <c r="DM170">
        <f ca="1"/>
      </c>
      <c r="DN170">
        <f ca="1"/>
      </c>
      <c r="DO170">
        <f ca="1"/>
      </c>
      <c r="DP170">
        <f ca="1"/>
      </c>
      <c r="DQ170">
        <f ca="1"/>
      </c>
      <c r="DR170">
        <f ca="1"/>
      </c>
      <c r="DS170">
        <f ca="1"/>
      </c>
      <c r="DT170">
        <f ca="1"/>
      </c>
      <c r="DU170">
        <f ca="1"/>
      </c>
      <c r="DV170">
        <f ca="1"/>
      </c>
      <c r="DW170">
        <f ca="1"/>
      </c>
      <c r="DX170">
        <f ca="1"/>
      </c>
      <c r="DY170">
        <f ca="1"/>
      </c>
      <c r="DZ170">
        <f ca="1"/>
      </c>
      <c r="EA170">
        <f ca="1"/>
      </c>
      <c r="EB170">
        <f ca="1"/>
      </c>
      <c r="EC170">
        <f ca="1"/>
      </c>
      <c r="ED170">
        <f ca="1"/>
      </c>
      <c r="EE170">
        <f ca="1"/>
      </c>
      <c r="EF170">
        <f ca="1"/>
      </c>
      <c r="EG170">
        <f ca="1"/>
      </c>
      <c r="EH170">
        <f ca="1"/>
      </c>
      <c r="EI170">
        <f ca="1"/>
      </c>
      <c r="EJ170">
        <f ca="1"/>
      </c>
      <c r="EK170">
        <f ca="1"/>
      </c>
      <c r="EL170">
        <f ca="1"/>
      </c>
      <c r="EM170">
        <f ca="1"/>
      </c>
      <c r="EN170">
        <f ca="1"/>
      </c>
      <c r="EO170">
        <f ca="1"/>
      </c>
      <c r="EP170">
        <f ca="1"/>
      </c>
      <c r="EQ170">
        <f ca="1"/>
      </c>
      <c r="ER170">
        <f ca="1"/>
      </c>
      <c r="ES170">
        <f ca="1"/>
      </c>
      <c r="ET170">
        <f ca="1"/>
      </c>
      <c r="EU170">
        <f ca="1"/>
      </c>
      <c r="EV170">
        <f ca="1"/>
      </c>
      <c r="EW170">
        <f ca="1"/>
      </c>
      <c r="EX170">
        <f ca="1"/>
      </c>
      <c r="EY170">
        <f ca="1"/>
      </c>
      <c r="EZ170">
        <f ca="1"/>
      </c>
      <c r="FA170">
        <f ca="1"/>
      </c>
      <c r="FC170">
        <f ca="1"/>
      </c>
      <c r="FD170">
        <f ca="1"/>
      </c>
      <c r="FE170">
        <f ca="1"/>
      </c>
      <c r="FF170">
        <f ca="1"/>
      </c>
      <c r="FG170">
        <f ca="1"/>
      </c>
      <c r="FH170">
        <f ca="1"/>
      </c>
      <c r="FI170">
        <f ca="1"/>
      </c>
      <c r="FJ170">
        <f ca="1"/>
      </c>
      <c r="FK170">
        <f ca="1"/>
      </c>
      <c r="FL170">
        <f ca="1"/>
      </c>
      <c r="FM170">
        <f ca="1"/>
      </c>
      <c r="FN170">
        <f ca="1"/>
      </c>
      <c r="FO170">
        <f ca="1"/>
      </c>
      <c r="FP170">
        <f ca="1"/>
      </c>
      <c r="FQ170">
        <f ca="1"/>
      </c>
      <c r="FR170">
        <f ca="1"/>
      </c>
      <c r="FS170">
        <f ca="1"/>
      </c>
      <c r="FT170">
        <f ca="1"/>
      </c>
      <c r="FU170">
        <f ca="1"/>
      </c>
      <c r="FV170">
        <f ca="1"/>
      </c>
      <c r="FW170">
        <f ca="1"/>
      </c>
      <c r="FX170">
        <f ca="1"/>
      </c>
      <c r="FY170">
        <f ca="1"/>
      </c>
      <c r="FZ170">
        <f ca="1"/>
      </c>
      <c r="GA170">
        <f ca="1"/>
      </c>
      <c r="GB170">
        <f ca="1"/>
      </c>
      <c r="GC170">
        <f ca="1"/>
      </c>
      <c r="GD170">
        <f ca="1"/>
      </c>
      <c r="GE170">
        <f ca="1"/>
      </c>
      <c r="GF170">
        <f ca="1"/>
      </c>
      <c r="GG170">
        <f ca="1"/>
      </c>
      <c r="GH170">
        <f ca="1"/>
      </c>
      <c r="GI170">
        <f ca="1"/>
      </c>
      <c r="GJ170">
        <f ca="1"/>
      </c>
      <c r="GK170">
        <f ca="1"/>
      </c>
      <c r="GL170">
        <f ca="1"/>
      </c>
      <c r="GM170">
        <f ca="1"/>
      </c>
      <c r="GN170">
        <f ca="1"/>
      </c>
      <c r="GO170">
        <f ca="1"/>
      </c>
      <c r="GP170">
        <f ca="1"/>
      </c>
      <c r="GQ170">
        <f ca="1"/>
      </c>
      <c r="GR170">
        <f ca="1"/>
      </c>
      <c r="GS170">
        <f ca="1"/>
      </c>
      <c r="GT170">
        <f ca="1"/>
      </c>
      <c r="GU170">
        <f ca="1"/>
      </c>
      <c r="GV170">
        <f ca="1"/>
      </c>
      <c r="GW170">
        <f ca="1"/>
      </c>
      <c r="HI170" s="7">
        <f ca="1"/>
      </c>
      <c r="HJ170">
        <f ca="1"/>
      </c>
      <c r="HK170">
        <f ca="1"/>
      </c>
      <c r="HL170">
        <f ca="1"/>
      </c>
      <c r="HM170">
        <f ca="1"/>
      </c>
    </row>
    <row r="171" spans="63:221" x14ac:dyDescent="0.55000000000000004">
      <c r="BK171">
        <f ca="1"/>
      </c>
      <c r="BL171">
        <f ca="1"/>
      </c>
      <c r="BM171">
        <f ca="1"/>
      </c>
      <c r="BN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  <c r="BV171">
        <f ca="1"/>
      </c>
      <c r="BW171">
        <f ca="1"/>
      </c>
      <c r="BX171">
        <f ca="1"/>
      </c>
      <c r="BY171">
        <f ca="1"/>
      </c>
      <c r="BZ171">
        <f ca="1"/>
      </c>
      <c r="CA171">
        <f ca="1"/>
      </c>
      <c r="CB171">
        <f ca="1"/>
      </c>
      <c r="CC171">
        <f ca="1"/>
      </c>
      <c r="CD171">
        <f ca="1"/>
      </c>
      <c r="CE171">
        <f ca="1"/>
      </c>
      <c r="CF171">
        <f ca="1"/>
      </c>
      <c r="CG171">
        <f ca="1"/>
      </c>
      <c r="CH171">
        <f ca="1"/>
      </c>
      <c r="CI171">
        <f ca="1"/>
      </c>
      <c r="CJ171">
        <f ca="1"/>
      </c>
      <c r="CK171">
        <f ca="1"/>
      </c>
      <c r="CL171">
        <f ca="1"/>
      </c>
      <c r="CM171">
        <f ca="1"/>
      </c>
      <c r="CN171">
        <f ca="1"/>
      </c>
      <c r="CO171">
        <f ca="1"/>
      </c>
      <c r="CP171">
        <f ca="1"/>
      </c>
      <c r="CQ171">
        <f ca="1"/>
      </c>
      <c r="CR171">
        <f ca="1"/>
      </c>
      <c r="CS171">
        <f ca="1"/>
      </c>
      <c r="CT171">
        <f ca="1"/>
      </c>
      <c r="CU171">
        <f ca="1"/>
      </c>
      <c r="CV171">
        <f ca="1"/>
      </c>
      <c r="CW171">
        <f ca="1"/>
      </c>
      <c r="CX171">
        <f ca="1"/>
      </c>
      <c r="CY171">
        <f ca="1"/>
      </c>
      <c r="CZ171">
        <f ca="1"/>
      </c>
      <c r="DA171">
        <f ca="1"/>
      </c>
      <c r="DB171">
        <f ca="1"/>
      </c>
      <c r="DC171">
        <f ca="1"/>
      </c>
      <c r="DD171">
        <f ca="1"/>
      </c>
      <c r="DE171">
        <f ca="1"/>
      </c>
      <c r="DG171">
        <f ca="1"/>
      </c>
      <c r="DH171">
        <f ca="1"/>
      </c>
      <c r="DI171">
        <f ca="1"/>
      </c>
      <c r="DJ171">
        <f ca="1"/>
      </c>
      <c r="DK171">
        <f ca="1"/>
      </c>
      <c r="DL171">
        <f ca="1"/>
      </c>
      <c r="DM171">
        <f ca="1"/>
      </c>
      <c r="DN171">
        <f ca="1"/>
      </c>
      <c r="DO171">
        <f ca="1"/>
      </c>
      <c r="DP171">
        <f ca="1"/>
      </c>
      <c r="DQ171">
        <f ca="1"/>
      </c>
      <c r="DR171">
        <f ca="1"/>
      </c>
      <c r="DS171">
        <f ca="1"/>
      </c>
      <c r="DT171">
        <f ca="1"/>
      </c>
      <c r="DU171">
        <f ca="1"/>
      </c>
      <c r="DV171">
        <f ca="1"/>
      </c>
      <c r="DW171">
        <f ca="1"/>
      </c>
      <c r="DX171">
        <f ca="1"/>
      </c>
      <c r="DY171">
        <f ca="1"/>
      </c>
      <c r="DZ171">
        <f ca="1"/>
      </c>
      <c r="EA171">
        <f ca="1"/>
      </c>
      <c r="EB171">
        <f ca="1"/>
      </c>
      <c r="EC171">
        <f ca="1"/>
      </c>
      <c r="ED171">
        <f ca="1"/>
      </c>
      <c r="EE171">
        <f ca="1"/>
      </c>
      <c r="EF171">
        <f ca="1"/>
      </c>
      <c r="EG171">
        <f ca="1"/>
      </c>
      <c r="EH171">
        <f ca="1"/>
      </c>
      <c r="EI171">
        <f ca="1"/>
      </c>
      <c r="EJ171">
        <f ca="1"/>
      </c>
      <c r="EK171">
        <f ca="1"/>
      </c>
      <c r="EL171">
        <f ca="1"/>
      </c>
      <c r="EM171">
        <f ca="1"/>
      </c>
      <c r="EN171">
        <f ca="1"/>
      </c>
      <c r="EO171">
        <f ca="1"/>
      </c>
      <c r="EP171">
        <f ca="1"/>
      </c>
      <c r="EQ171">
        <f ca="1"/>
      </c>
      <c r="ER171">
        <f ca="1"/>
      </c>
      <c r="ES171">
        <f ca="1"/>
      </c>
      <c r="ET171">
        <f ca="1"/>
      </c>
      <c r="EU171">
        <f ca="1"/>
      </c>
      <c r="EV171">
        <f ca="1"/>
      </c>
      <c r="EW171">
        <f ca="1"/>
      </c>
      <c r="EX171">
        <f ca="1"/>
      </c>
      <c r="EY171">
        <f ca="1"/>
      </c>
      <c r="EZ171">
        <f ca="1"/>
      </c>
      <c r="FA171">
        <f ca="1"/>
      </c>
      <c r="FC171">
        <f ca="1"/>
      </c>
      <c r="FD171">
        <f ca="1"/>
      </c>
      <c r="FE171">
        <f ca="1"/>
      </c>
      <c r="FF171">
        <f ca="1"/>
      </c>
      <c r="FG171">
        <f ca="1"/>
      </c>
      <c r="FH171">
        <f ca="1"/>
      </c>
      <c r="FI171">
        <f ca="1"/>
      </c>
      <c r="FJ171">
        <f ca="1"/>
      </c>
      <c r="FK171">
        <f ca="1"/>
      </c>
      <c r="FL171">
        <f ca="1"/>
      </c>
      <c r="FM171">
        <f ca="1"/>
      </c>
      <c r="FN171">
        <f ca="1"/>
      </c>
      <c r="FO171">
        <f ca="1"/>
      </c>
      <c r="FP171">
        <f ca="1"/>
      </c>
      <c r="FQ171">
        <f ca="1"/>
      </c>
      <c r="FR171">
        <f ca="1"/>
      </c>
      <c r="FS171">
        <f ca="1"/>
      </c>
      <c r="FT171">
        <f ca="1"/>
      </c>
      <c r="FU171">
        <f ca="1"/>
      </c>
      <c r="FV171">
        <f ca="1"/>
      </c>
      <c r="FW171">
        <f ca="1"/>
      </c>
      <c r="FX171">
        <f ca="1"/>
      </c>
      <c r="FY171">
        <f ca="1"/>
      </c>
      <c r="FZ171">
        <f ca="1"/>
      </c>
      <c r="GA171">
        <f ca="1"/>
      </c>
      <c r="GB171">
        <f ca="1"/>
      </c>
      <c r="GC171">
        <f ca="1"/>
      </c>
      <c r="GD171">
        <f ca="1"/>
      </c>
      <c r="GE171">
        <f ca="1"/>
      </c>
      <c r="GF171">
        <f ca="1"/>
      </c>
      <c r="GG171">
        <f ca="1"/>
      </c>
      <c r="GH171">
        <f ca="1"/>
      </c>
      <c r="GI171">
        <f ca="1"/>
      </c>
      <c r="GJ171">
        <f ca="1"/>
      </c>
      <c r="GK171">
        <f ca="1"/>
      </c>
      <c r="GL171">
        <f ca="1"/>
      </c>
      <c r="GM171">
        <f ca="1"/>
      </c>
      <c r="GN171">
        <f ca="1"/>
      </c>
      <c r="GO171">
        <f ca="1"/>
      </c>
      <c r="GP171">
        <f ca="1"/>
      </c>
      <c r="GQ171">
        <f ca="1"/>
      </c>
      <c r="GR171">
        <f ca="1"/>
      </c>
      <c r="GS171">
        <f ca="1"/>
      </c>
      <c r="GT171">
        <f ca="1"/>
      </c>
      <c r="GU171">
        <f ca="1"/>
      </c>
      <c r="GV171">
        <f ca="1"/>
      </c>
      <c r="GW171">
        <f ca="1"/>
      </c>
      <c r="HI171" s="7">
        <f ca="1"/>
      </c>
      <c r="HJ171">
        <f ca="1"/>
      </c>
      <c r="HK171">
        <f ca="1"/>
      </c>
      <c r="HL171">
        <f ca="1"/>
      </c>
      <c r="HM171">
        <f ca="1"/>
      </c>
    </row>
    <row r="172" spans="63:221" x14ac:dyDescent="0.55000000000000004">
      <c r="BK172">
        <f ca="1"/>
      </c>
      <c r="BL172">
        <f ca="1"/>
      </c>
      <c r="BM172">
        <f ca="1"/>
      </c>
      <c r="BN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  <c r="BV172">
        <f ca="1"/>
      </c>
      <c r="BW172">
        <f ca="1"/>
      </c>
      <c r="BX172">
        <f ca="1"/>
      </c>
      <c r="BY172">
        <f ca="1"/>
      </c>
      <c r="BZ172">
        <f ca="1"/>
      </c>
      <c r="CA172">
        <f ca="1"/>
      </c>
      <c r="CB172">
        <f ca="1"/>
      </c>
      <c r="CC172">
        <f ca="1"/>
      </c>
      <c r="CD172">
        <f ca="1"/>
      </c>
      <c r="CE172">
        <f ca="1"/>
      </c>
      <c r="CF172">
        <f ca="1"/>
      </c>
      <c r="CG172">
        <f ca="1"/>
      </c>
      <c r="CH172">
        <f ca="1"/>
      </c>
      <c r="CI172">
        <f ca="1"/>
      </c>
      <c r="CJ172">
        <f ca="1"/>
      </c>
      <c r="CK172">
        <f ca="1"/>
      </c>
      <c r="CL172">
        <f ca="1"/>
      </c>
      <c r="CM172">
        <f ca="1"/>
      </c>
      <c r="CN172">
        <f ca="1"/>
      </c>
      <c r="CO172">
        <f ca="1"/>
      </c>
      <c r="CP172">
        <f ca="1"/>
      </c>
      <c r="CQ172">
        <f ca="1"/>
      </c>
      <c r="CR172">
        <f ca="1"/>
      </c>
      <c r="CS172">
        <f ca="1"/>
      </c>
      <c r="CT172">
        <f ca="1"/>
      </c>
      <c r="CU172">
        <f ca="1"/>
      </c>
      <c r="CV172">
        <f ca="1"/>
      </c>
      <c r="CW172">
        <f ca="1"/>
      </c>
      <c r="CX172">
        <f ca="1"/>
      </c>
      <c r="CY172">
        <f ca="1"/>
      </c>
      <c r="CZ172">
        <f ca="1"/>
      </c>
      <c r="DA172">
        <f ca="1"/>
      </c>
      <c r="DB172">
        <f ca="1"/>
      </c>
      <c r="DC172">
        <f ca="1"/>
      </c>
      <c r="DD172">
        <f ca="1"/>
      </c>
      <c r="DE172">
        <f ca="1"/>
      </c>
      <c r="DG172">
        <f ca="1"/>
      </c>
      <c r="DH172">
        <f ca="1"/>
      </c>
      <c r="DI172">
        <f ca="1"/>
      </c>
      <c r="DJ172">
        <f ca="1"/>
      </c>
      <c r="DK172">
        <f ca="1"/>
      </c>
      <c r="DL172">
        <f ca="1"/>
      </c>
      <c r="DM172">
        <f ca="1"/>
      </c>
      <c r="DN172">
        <f ca="1"/>
      </c>
      <c r="DO172">
        <f ca="1"/>
      </c>
      <c r="DP172">
        <f ca="1"/>
      </c>
      <c r="DQ172">
        <f ca="1"/>
      </c>
      <c r="DR172">
        <f ca="1"/>
      </c>
      <c r="DS172">
        <f ca="1"/>
      </c>
      <c r="DT172">
        <f ca="1"/>
      </c>
      <c r="DU172">
        <f ca="1"/>
      </c>
      <c r="DV172">
        <f ca="1"/>
      </c>
      <c r="DW172">
        <f ca="1"/>
      </c>
      <c r="DX172">
        <f ca="1"/>
      </c>
      <c r="DY172">
        <f ca="1"/>
      </c>
      <c r="DZ172">
        <f ca="1"/>
      </c>
      <c r="EA172">
        <f ca="1"/>
      </c>
      <c r="EB172">
        <f ca="1"/>
      </c>
      <c r="EC172">
        <f ca="1"/>
      </c>
      <c r="ED172">
        <f ca="1"/>
      </c>
      <c r="EE172">
        <f ca="1"/>
      </c>
      <c r="EF172">
        <f ca="1"/>
      </c>
      <c r="EG172">
        <f ca="1"/>
      </c>
      <c r="EH172">
        <f ca="1"/>
      </c>
      <c r="EI172">
        <f ca="1"/>
      </c>
      <c r="EJ172">
        <f ca="1"/>
      </c>
      <c r="EK172">
        <f ca="1"/>
      </c>
      <c r="EL172">
        <f ca="1"/>
      </c>
      <c r="EM172">
        <f ca="1"/>
      </c>
      <c r="EN172">
        <f ca="1"/>
      </c>
      <c r="EO172">
        <f ca="1"/>
      </c>
      <c r="EP172">
        <f ca="1"/>
      </c>
      <c r="EQ172">
        <f ca="1"/>
      </c>
      <c r="ER172">
        <f ca="1"/>
      </c>
      <c r="ES172">
        <f ca="1"/>
      </c>
      <c r="ET172">
        <f ca="1"/>
      </c>
      <c r="EU172">
        <f ca="1"/>
      </c>
      <c r="EV172">
        <f ca="1"/>
      </c>
      <c r="EW172">
        <f ca="1"/>
      </c>
      <c r="EX172">
        <f ca="1"/>
      </c>
      <c r="EY172">
        <f ca="1"/>
      </c>
      <c r="EZ172">
        <f ca="1"/>
      </c>
      <c r="FA172">
        <f ca="1"/>
      </c>
      <c r="FC172">
        <f ca="1"/>
      </c>
      <c r="FD172">
        <f ca="1"/>
      </c>
      <c r="FE172">
        <f ca="1"/>
      </c>
      <c r="FF172">
        <f ca="1"/>
      </c>
      <c r="FG172">
        <f ca="1"/>
      </c>
      <c r="FH172">
        <f ca="1"/>
      </c>
      <c r="FI172">
        <f ca="1"/>
      </c>
      <c r="FJ172">
        <f ca="1"/>
      </c>
      <c r="FK172">
        <f ca="1"/>
      </c>
      <c r="FL172">
        <f ca="1"/>
      </c>
      <c r="FM172">
        <f ca="1"/>
      </c>
      <c r="FN172">
        <f ca="1"/>
      </c>
      <c r="FO172">
        <f ca="1"/>
      </c>
      <c r="FP172">
        <f ca="1"/>
      </c>
      <c r="FQ172">
        <f ca="1"/>
      </c>
      <c r="FR172">
        <f ca="1"/>
      </c>
      <c r="FS172">
        <f ca="1"/>
      </c>
      <c r="FT172">
        <f ca="1"/>
      </c>
      <c r="FU172">
        <f ca="1"/>
      </c>
      <c r="FV172">
        <f ca="1"/>
      </c>
      <c r="FW172">
        <f ca="1"/>
      </c>
      <c r="FX172">
        <f ca="1"/>
      </c>
      <c r="FY172">
        <f ca="1"/>
      </c>
      <c r="FZ172">
        <f ca="1"/>
      </c>
      <c r="GA172">
        <f ca="1"/>
      </c>
      <c r="GB172">
        <f ca="1"/>
      </c>
      <c r="GC172">
        <f ca="1"/>
      </c>
      <c r="GD172">
        <f ca="1"/>
      </c>
      <c r="GE172">
        <f ca="1"/>
      </c>
      <c r="GF172">
        <f ca="1"/>
      </c>
      <c r="GG172">
        <f ca="1"/>
      </c>
      <c r="GH172">
        <f ca="1"/>
      </c>
      <c r="GI172">
        <f ca="1"/>
      </c>
      <c r="GJ172">
        <f ca="1"/>
      </c>
      <c r="GK172">
        <f ca="1"/>
      </c>
      <c r="GL172">
        <f ca="1"/>
      </c>
      <c r="GM172">
        <f ca="1"/>
      </c>
      <c r="GN172">
        <f ca="1"/>
      </c>
      <c r="GO172">
        <f ca="1"/>
      </c>
      <c r="GP172">
        <f ca="1"/>
      </c>
      <c r="GQ172">
        <f ca="1"/>
      </c>
      <c r="GR172">
        <f ca="1"/>
      </c>
      <c r="GS172">
        <f ca="1"/>
      </c>
      <c r="GT172">
        <f ca="1"/>
      </c>
      <c r="GU172">
        <f ca="1"/>
      </c>
      <c r="GV172">
        <f ca="1"/>
      </c>
      <c r="GW172">
        <f ca="1"/>
      </c>
      <c r="HI172" s="7">
        <f ca="1"/>
      </c>
      <c r="HJ172">
        <f ca="1"/>
      </c>
      <c r="HK172">
        <f ca="1"/>
      </c>
      <c r="HL172">
        <f ca="1"/>
      </c>
      <c r="HM172">
        <f ca="1"/>
      </c>
    </row>
    <row r="173" spans="63:221" x14ac:dyDescent="0.55000000000000004">
      <c r="BK173">
        <f ca="1"/>
      </c>
      <c r="BL173">
        <f ca="1"/>
      </c>
      <c r="BM173">
        <f ca="1"/>
      </c>
      <c r="BN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  <c r="BV173">
        <f ca="1"/>
      </c>
      <c r="BW173">
        <f ca="1"/>
      </c>
      <c r="BX173">
        <f ca="1"/>
      </c>
      <c r="BY173">
        <f ca="1"/>
      </c>
      <c r="BZ173">
        <f ca="1"/>
      </c>
      <c r="CA173">
        <f ca="1"/>
      </c>
      <c r="CB173">
        <f ca="1"/>
      </c>
      <c r="CC173">
        <f ca="1"/>
      </c>
      <c r="CD173">
        <f ca="1"/>
      </c>
      <c r="CE173">
        <f ca="1"/>
      </c>
      <c r="CF173">
        <f ca="1"/>
      </c>
      <c r="CG173">
        <f ca="1"/>
      </c>
      <c r="CH173">
        <f ca="1"/>
      </c>
      <c r="CI173">
        <f ca="1"/>
      </c>
      <c r="CJ173">
        <f ca="1"/>
      </c>
      <c r="CK173">
        <f ca="1"/>
      </c>
      <c r="CL173">
        <f ca="1"/>
      </c>
      <c r="CM173">
        <f ca="1"/>
      </c>
      <c r="CN173">
        <f ca="1"/>
      </c>
      <c r="CO173">
        <f ca="1"/>
      </c>
      <c r="CP173">
        <f ca="1"/>
      </c>
      <c r="CQ173">
        <f ca="1"/>
      </c>
      <c r="CR173">
        <f ca="1"/>
      </c>
      <c r="CS173">
        <f ca="1"/>
      </c>
      <c r="CT173">
        <f ca="1"/>
      </c>
      <c r="CU173">
        <f ca="1"/>
      </c>
      <c r="CV173">
        <f ca="1"/>
      </c>
      <c r="CW173">
        <f ca="1"/>
      </c>
      <c r="CX173">
        <f ca="1"/>
      </c>
      <c r="CY173">
        <f ca="1"/>
      </c>
      <c r="CZ173">
        <f ca="1"/>
      </c>
      <c r="DA173">
        <f ca="1"/>
      </c>
      <c r="DB173">
        <f ca="1"/>
      </c>
      <c r="DC173">
        <f ca="1"/>
      </c>
      <c r="DD173">
        <f ca="1"/>
      </c>
      <c r="DE173">
        <f ca="1"/>
      </c>
      <c r="DG173">
        <f ca="1"/>
      </c>
      <c r="DH173">
        <f ca="1"/>
      </c>
      <c r="DI173">
        <f ca="1"/>
      </c>
      <c r="DJ173">
        <f ca="1"/>
      </c>
      <c r="DK173">
        <f ca="1"/>
      </c>
      <c r="DL173">
        <f ca="1"/>
      </c>
      <c r="DM173">
        <f ca="1"/>
      </c>
      <c r="DN173">
        <f ca="1"/>
      </c>
      <c r="DO173">
        <f ca="1"/>
      </c>
      <c r="DP173">
        <f ca="1"/>
      </c>
      <c r="DQ173">
        <f ca="1"/>
      </c>
      <c r="DR173">
        <f ca="1"/>
      </c>
      <c r="DS173">
        <f ca="1"/>
      </c>
      <c r="DT173">
        <f ca="1"/>
      </c>
      <c r="DU173">
        <f ca="1"/>
      </c>
      <c r="DV173">
        <f ca="1"/>
      </c>
      <c r="DW173">
        <f ca="1"/>
      </c>
      <c r="DX173">
        <f ca="1"/>
      </c>
      <c r="DY173">
        <f ca="1"/>
      </c>
      <c r="DZ173">
        <f ca="1"/>
      </c>
      <c r="EA173">
        <f ca="1"/>
      </c>
      <c r="EB173">
        <f ca="1"/>
      </c>
      <c r="EC173">
        <f ca="1"/>
      </c>
      <c r="ED173">
        <f ca="1"/>
      </c>
      <c r="EE173">
        <f ca="1"/>
      </c>
      <c r="EF173">
        <f ca="1"/>
      </c>
      <c r="EG173">
        <f ca="1"/>
      </c>
      <c r="EH173">
        <f ca="1"/>
      </c>
      <c r="EI173">
        <f ca="1"/>
      </c>
      <c r="EJ173">
        <f ca="1"/>
      </c>
      <c r="EK173">
        <f ca="1"/>
      </c>
      <c r="EL173">
        <f ca="1"/>
      </c>
      <c r="EM173">
        <f ca="1"/>
      </c>
      <c r="EN173">
        <f ca="1"/>
      </c>
      <c r="EO173">
        <f ca="1"/>
      </c>
      <c r="EP173">
        <f ca="1"/>
      </c>
      <c r="EQ173">
        <f ca="1"/>
      </c>
      <c r="ER173">
        <f ca="1"/>
      </c>
      <c r="ES173">
        <f ca="1"/>
      </c>
      <c r="ET173">
        <f ca="1"/>
      </c>
      <c r="EU173">
        <f ca="1"/>
      </c>
      <c r="EV173">
        <f ca="1"/>
      </c>
      <c r="EW173">
        <f ca="1"/>
      </c>
      <c r="EX173">
        <f ca="1"/>
      </c>
      <c r="EY173">
        <f ca="1"/>
      </c>
      <c r="EZ173">
        <f ca="1"/>
      </c>
      <c r="FA173">
        <f ca="1"/>
      </c>
      <c r="FC173">
        <f ca="1"/>
      </c>
      <c r="FD173">
        <f ca="1"/>
      </c>
      <c r="FE173">
        <f ca="1"/>
      </c>
      <c r="FF173">
        <f ca="1"/>
      </c>
      <c r="FG173">
        <f ca="1"/>
      </c>
      <c r="FH173">
        <f ca="1"/>
      </c>
      <c r="FI173">
        <f ca="1"/>
      </c>
      <c r="FJ173">
        <f ca="1"/>
      </c>
      <c r="FK173">
        <f ca="1"/>
      </c>
      <c r="FL173">
        <f ca="1"/>
      </c>
      <c r="FM173">
        <f ca="1"/>
      </c>
      <c r="FN173">
        <f ca="1"/>
      </c>
      <c r="FO173">
        <f ca="1"/>
      </c>
      <c r="FP173">
        <f ca="1"/>
      </c>
      <c r="FQ173">
        <f ca="1"/>
      </c>
      <c r="FR173">
        <f ca="1"/>
      </c>
      <c r="FS173">
        <f ca="1"/>
      </c>
      <c r="FT173">
        <f ca="1"/>
      </c>
      <c r="FU173">
        <f ca="1"/>
      </c>
      <c r="FV173">
        <f ca="1"/>
      </c>
      <c r="FW173">
        <f ca="1"/>
      </c>
      <c r="FX173">
        <f ca="1"/>
      </c>
      <c r="FY173">
        <f ca="1"/>
      </c>
      <c r="FZ173">
        <f ca="1"/>
      </c>
      <c r="GA173">
        <f ca="1"/>
      </c>
      <c r="GB173">
        <f ca="1"/>
      </c>
      <c r="GC173">
        <f ca="1"/>
      </c>
      <c r="GD173">
        <f ca="1"/>
      </c>
      <c r="GE173">
        <f ca="1"/>
      </c>
      <c r="GF173">
        <f ca="1"/>
      </c>
      <c r="GG173">
        <f ca="1"/>
      </c>
      <c r="GH173">
        <f ca="1"/>
      </c>
      <c r="GI173">
        <f ca="1"/>
      </c>
      <c r="GJ173">
        <f ca="1"/>
      </c>
      <c r="GK173">
        <f ca="1"/>
      </c>
      <c r="GL173">
        <f ca="1"/>
      </c>
      <c r="GM173">
        <f ca="1"/>
      </c>
      <c r="GN173">
        <f ca="1"/>
      </c>
      <c r="GO173">
        <f ca="1"/>
      </c>
      <c r="GP173">
        <f ca="1"/>
      </c>
      <c r="GQ173">
        <f ca="1"/>
      </c>
      <c r="GR173">
        <f ca="1"/>
      </c>
      <c r="GS173">
        <f ca="1"/>
      </c>
      <c r="GT173">
        <f ca="1"/>
      </c>
      <c r="GU173">
        <f ca="1"/>
      </c>
      <c r="GV173">
        <f ca="1"/>
      </c>
      <c r="GW173">
        <f ca="1"/>
      </c>
      <c r="HI173" s="7">
        <f ca="1"/>
      </c>
      <c r="HJ173">
        <f ca="1"/>
      </c>
      <c r="HK173">
        <f ca="1"/>
      </c>
      <c r="HL173">
        <f ca="1"/>
      </c>
      <c r="HM173">
        <f ca="1"/>
      </c>
    </row>
    <row r="174" spans="63:221" x14ac:dyDescent="0.55000000000000004">
      <c r="BK174">
        <f ca="1"/>
      </c>
      <c r="BL174">
        <f ca="1"/>
      </c>
      <c r="BM174">
        <f ca="1"/>
      </c>
      <c r="BN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  <c r="BV174">
        <f ca="1"/>
      </c>
      <c r="BW174">
        <f ca="1"/>
      </c>
      <c r="BX174">
        <f ca="1"/>
      </c>
      <c r="BY174">
        <f ca="1"/>
      </c>
      <c r="BZ174">
        <f ca="1"/>
      </c>
      <c r="CA174">
        <f ca="1"/>
      </c>
      <c r="CB174">
        <f ca="1"/>
      </c>
      <c r="CC174">
        <f ca="1"/>
      </c>
      <c r="CD174">
        <f ca="1"/>
      </c>
      <c r="CE174">
        <f ca="1"/>
      </c>
      <c r="CF174">
        <f ca="1"/>
      </c>
      <c r="CG174">
        <f ca="1"/>
      </c>
      <c r="CH174">
        <f ca="1"/>
      </c>
      <c r="CI174">
        <f ca="1"/>
      </c>
      <c r="CJ174">
        <f ca="1"/>
      </c>
      <c r="CK174">
        <f ca="1"/>
      </c>
      <c r="CL174">
        <f ca="1"/>
      </c>
      <c r="CM174">
        <f ca="1"/>
      </c>
      <c r="CN174">
        <f ca="1"/>
      </c>
      <c r="CO174">
        <f ca="1"/>
      </c>
      <c r="CP174">
        <f ca="1"/>
      </c>
      <c r="CQ174">
        <f ca="1"/>
      </c>
      <c r="CR174">
        <f ca="1"/>
      </c>
      <c r="CS174">
        <f ca="1"/>
      </c>
      <c r="CT174">
        <f ca="1"/>
      </c>
      <c r="CU174">
        <f ca="1"/>
      </c>
      <c r="CV174">
        <f ca="1"/>
      </c>
      <c r="CW174">
        <f ca="1"/>
      </c>
      <c r="CX174">
        <f ca="1"/>
      </c>
      <c r="CY174">
        <f ca="1"/>
      </c>
      <c r="CZ174">
        <f ca="1"/>
      </c>
      <c r="DA174">
        <f ca="1"/>
      </c>
      <c r="DB174">
        <f ca="1"/>
      </c>
      <c r="DC174">
        <f ca="1"/>
      </c>
      <c r="DD174">
        <f ca="1"/>
      </c>
      <c r="DE174">
        <f ca="1"/>
      </c>
      <c r="DG174">
        <f ca="1"/>
      </c>
      <c r="DH174">
        <f ca="1"/>
      </c>
      <c r="DI174">
        <f ca="1"/>
      </c>
      <c r="DJ174">
        <f ca="1"/>
      </c>
      <c r="DK174">
        <f ca="1"/>
      </c>
      <c r="DL174">
        <f ca="1"/>
      </c>
      <c r="DM174">
        <f ca="1"/>
      </c>
      <c r="DN174">
        <f ca="1"/>
      </c>
      <c r="DO174">
        <f ca="1"/>
      </c>
      <c r="DP174">
        <f ca="1"/>
      </c>
      <c r="DQ174">
        <f ca="1"/>
      </c>
      <c r="DR174">
        <f ca="1"/>
      </c>
      <c r="DS174">
        <f ca="1"/>
      </c>
      <c r="DT174">
        <f ca="1"/>
      </c>
      <c r="DU174">
        <f ca="1"/>
      </c>
      <c r="DV174">
        <f ca="1"/>
      </c>
      <c r="DW174">
        <f ca="1"/>
      </c>
      <c r="DX174">
        <f ca="1"/>
      </c>
      <c r="DY174">
        <f ca="1"/>
      </c>
      <c r="DZ174">
        <f ca="1"/>
      </c>
      <c r="EA174">
        <f ca="1"/>
      </c>
      <c r="EB174">
        <f ca="1"/>
      </c>
      <c r="EC174">
        <f ca="1"/>
      </c>
      <c r="ED174">
        <f ca="1"/>
      </c>
      <c r="EE174">
        <f ca="1"/>
      </c>
      <c r="EF174">
        <f ca="1"/>
      </c>
      <c r="EG174">
        <f ca="1"/>
      </c>
      <c r="EH174">
        <f ca="1"/>
      </c>
      <c r="EI174">
        <f ca="1"/>
      </c>
      <c r="EJ174">
        <f ca="1"/>
      </c>
      <c r="EK174">
        <f ca="1"/>
      </c>
      <c r="EL174">
        <f ca="1"/>
      </c>
      <c r="EM174">
        <f ca="1"/>
      </c>
      <c r="EN174">
        <f ca="1"/>
      </c>
      <c r="EO174">
        <f ca="1"/>
      </c>
      <c r="EP174">
        <f ca="1"/>
      </c>
      <c r="EQ174">
        <f ca="1"/>
      </c>
      <c r="ER174">
        <f ca="1"/>
      </c>
      <c r="ES174">
        <f ca="1"/>
      </c>
      <c r="ET174">
        <f ca="1"/>
      </c>
      <c r="EU174">
        <f ca="1"/>
      </c>
      <c r="EV174">
        <f ca="1"/>
      </c>
      <c r="EW174">
        <f ca="1"/>
      </c>
      <c r="EX174">
        <f ca="1"/>
      </c>
      <c r="EY174">
        <f ca="1"/>
      </c>
      <c r="EZ174">
        <f ca="1"/>
      </c>
      <c r="FA174">
        <f ca="1"/>
      </c>
      <c r="FC174">
        <f ca="1"/>
      </c>
      <c r="FD174">
        <f ca="1"/>
      </c>
      <c r="FE174">
        <f ca="1"/>
      </c>
      <c r="FF174">
        <f ca="1"/>
      </c>
      <c r="FG174">
        <f ca="1"/>
      </c>
      <c r="FH174">
        <f ca="1"/>
      </c>
      <c r="FI174">
        <f ca="1"/>
      </c>
      <c r="FJ174">
        <f ca="1"/>
      </c>
      <c r="FK174">
        <f ca="1"/>
      </c>
      <c r="FL174">
        <f ca="1"/>
      </c>
      <c r="FM174">
        <f ca="1"/>
      </c>
      <c r="FN174">
        <f ca="1"/>
      </c>
      <c r="FO174">
        <f ca="1"/>
      </c>
      <c r="FP174">
        <f ca="1"/>
      </c>
      <c r="FQ174">
        <f ca="1"/>
      </c>
      <c r="FR174">
        <f ca="1"/>
      </c>
      <c r="FS174">
        <f ca="1"/>
      </c>
      <c r="FT174">
        <f ca="1"/>
      </c>
      <c r="FU174">
        <f ca="1"/>
      </c>
      <c r="FV174">
        <f ca="1"/>
      </c>
      <c r="FW174">
        <f ca="1"/>
      </c>
      <c r="FX174">
        <f ca="1"/>
      </c>
      <c r="FY174">
        <f ca="1"/>
      </c>
      <c r="FZ174">
        <f ca="1"/>
      </c>
      <c r="GA174">
        <f ca="1"/>
      </c>
      <c r="GB174">
        <f ca="1"/>
      </c>
      <c r="GC174">
        <f ca="1"/>
      </c>
      <c r="GD174">
        <f ca="1"/>
      </c>
      <c r="GE174">
        <f ca="1"/>
      </c>
      <c r="GF174">
        <f ca="1"/>
      </c>
      <c r="GG174">
        <f ca="1"/>
      </c>
      <c r="GH174">
        <f ca="1"/>
      </c>
      <c r="GI174">
        <f ca="1"/>
      </c>
      <c r="GJ174">
        <f ca="1"/>
      </c>
      <c r="GK174">
        <f ca="1"/>
      </c>
      <c r="GL174">
        <f ca="1"/>
      </c>
      <c r="GM174">
        <f ca="1"/>
      </c>
      <c r="GN174">
        <f ca="1"/>
      </c>
      <c r="GO174">
        <f ca="1"/>
      </c>
      <c r="GP174">
        <f ca="1"/>
      </c>
      <c r="GQ174">
        <f ca="1"/>
      </c>
      <c r="GR174">
        <f ca="1"/>
      </c>
      <c r="GS174">
        <f ca="1"/>
      </c>
      <c r="GT174">
        <f ca="1"/>
      </c>
      <c r="GU174">
        <f ca="1"/>
      </c>
      <c r="GV174">
        <f ca="1"/>
      </c>
      <c r="GW174">
        <f ca="1"/>
      </c>
      <c r="HI174" s="7">
        <f ca="1"/>
      </c>
      <c r="HJ174">
        <f ca="1"/>
      </c>
      <c r="HK174">
        <f ca="1"/>
      </c>
      <c r="HL174">
        <f ca="1"/>
      </c>
      <c r="HM174">
        <f ca="1"/>
      </c>
    </row>
    <row r="175" spans="63:221" x14ac:dyDescent="0.55000000000000004">
      <c r="BK175">
        <f ca="1"/>
      </c>
      <c r="BL175">
        <f ca="1"/>
      </c>
      <c r="BM175">
        <f ca="1"/>
      </c>
      <c r="BN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  <c r="BV175">
        <f ca="1"/>
      </c>
      <c r="BW175">
        <f ca="1"/>
      </c>
      <c r="BX175">
        <f ca="1"/>
      </c>
      <c r="BY175">
        <f ca="1"/>
      </c>
      <c r="BZ175">
        <f ca="1"/>
      </c>
      <c r="CA175">
        <f ca="1"/>
      </c>
      <c r="CB175">
        <f ca="1"/>
      </c>
      <c r="CC175">
        <f ca="1"/>
      </c>
      <c r="CD175">
        <f ca="1"/>
      </c>
      <c r="CE175">
        <f ca="1"/>
      </c>
      <c r="CF175">
        <f ca="1"/>
      </c>
      <c r="CG175">
        <f ca="1"/>
      </c>
      <c r="CH175">
        <f ca="1"/>
      </c>
      <c r="CI175">
        <f ca="1"/>
      </c>
      <c r="CJ175">
        <f ca="1"/>
      </c>
      <c r="CK175">
        <f ca="1"/>
      </c>
      <c r="CL175">
        <f ca="1"/>
      </c>
      <c r="CM175">
        <f ca="1"/>
      </c>
      <c r="CN175">
        <f ca="1"/>
      </c>
      <c r="CO175">
        <f ca="1"/>
      </c>
      <c r="CP175">
        <f ca="1"/>
      </c>
      <c r="CQ175">
        <f ca="1"/>
      </c>
      <c r="CR175">
        <f ca="1"/>
      </c>
      <c r="CS175">
        <f ca="1"/>
      </c>
      <c r="CT175">
        <f ca="1"/>
      </c>
      <c r="CU175">
        <f ca="1"/>
      </c>
      <c r="CV175">
        <f ca="1"/>
      </c>
      <c r="CW175">
        <f ca="1"/>
      </c>
      <c r="CX175">
        <f ca="1"/>
      </c>
      <c r="CY175">
        <f ca="1"/>
      </c>
      <c r="CZ175">
        <f ca="1"/>
      </c>
      <c r="DA175">
        <f ca="1"/>
      </c>
      <c r="DB175">
        <f ca="1"/>
      </c>
      <c r="DC175">
        <f ca="1"/>
      </c>
      <c r="DD175">
        <f ca="1"/>
      </c>
      <c r="DE175">
        <f ca="1"/>
      </c>
      <c r="DG175">
        <f ca="1"/>
      </c>
      <c r="DH175">
        <f ca="1"/>
      </c>
      <c r="DI175">
        <f ca="1"/>
      </c>
      <c r="DJ175">
        <f ca="1"/>
      </c>
      <c r="DK175">
        <f ca="1"/>
      </c>
      <c r="DL175">
        <f ca="1"/>
      </c>
      <c r="DM175">
        <f ca="1"/>
      </c>
      <c r="DN175">
        <f ca="1"/>
      </c>
      <c r="DO175">
        <f ca="1"/>
      </c>
      <c r="DP175">
        <f ca="1"/>
      </c>
      <c r="DQ175">
        <f ca="1"/>
      </c>
      <c r="DR175">
        <f ca="1"/>
      </c>
      <c r="DS175">
        <f ca="1"/>
      </c>
      <c r="DT175">
        <f ca="1"/>
      </c>
      <c r="DU175">
        <f ca="1"/>
      </c>
      <c r="DV175">
        <f ca="1"/>
      </c>
      <c r="DW175">
        <f ca="1"/>
      </c>
      <c r="DX175">
        <f ca="1"/>
      </c>
      <c r="DY175">
        <f ca="1"/>
      </c>
      <c r="DZ175">
        <f ca="1"/>
      </c>
      <c r="EA175">
        <f ca="1"/>
      </c>
      <c r="EB175">
        <f ca="1"/>
      </c>
      <c r="EC175">
        <f ca="1"/>
      </c>
      <c r="ED175">
        <f ca="1"/>
      </c>
      <c r="EE175">
        <f ca="1"/>
      </c>
      <c r="EF175">
        <f ca="1"/>
      </c>
      <c r="EG175">
        <f ca="1"/>
      </c>
      <c r="EH175">
        <f ca="1"/>
      </c>
      <c r="EI175">
        <f ca="1"/>
      </c>
      <c r="EJ175">
        <f ca="1"/>
      </c>
      <c r="EK175">
        <f ca="1"/>
      </c>
      <c r="EL175">
        <f ca="1"/>
      </c>
      <c r="EM175">
        <f ca="1"/>
      </c>
      <c r="EN175">
        <f ca="1"/>
      </c>
      <c r="EO175">
        <f ca="1"/>
      </c>
      <c r="EP175">
        <f ca="1"/>
      </c>
      <c r="EQ175">
        <f ca="1"/>
      </c>
      <c r="ER175">
        <f ca="1"/>
      </c>
      <c r="ES175">
        <f ca="1"/>
      </c>
      <c r="ET175">
        <f ca="1"/>
      </c>
      <c r="EU175">
        <f ca="1"/>
      </c>
      <c r="EV175">
        <f ca="1"/>
      </c>
      <c r="EW175">
        <f ca="1"/>
      </c>
      <c r="EX175">
        <f ca="1"/>
      </c>
      <c r="EY175">
        <f ca="1"/>
      </c>
      <c r="EZ175">
        <f ca="1"/>
      </c>
      <c r="FA175">
        <f ca="1"/>
      </c>
      <c r="FC175">
        <f ca="1"/>
      </c>
      <c r="FD175">
        <f ca="1"/>
      </c>
      <c r="FE175">
        <f ca="1"/>
      </c>
      <c r="FF175">
        <f ca="1"/>
      </c>
      <c r="FG175">
        <f ca="1"/>
      </c>
      <c r="FH175">
        <f ca="1"/>
      </c>
      <c r="FI175">
        <f ca="1"/>
      </c>
      <c r="FJ175">
        <f ca="1"/>
      </c>
      <c r="FK175">
        <f ca="1"/>
      </c>
      <c r="FL175">
        <f ca="1"/>
      </c>
      <c r="FM175">
        <f ca="1"/>
      </c>
      <c r="FN175">
        <f ca="1"/>
      </c>
      <c r="FO175">
        <f ca="1"/>
      </c>
      <c r="FP175">
        <f ca="1"/>
      </c>
      <c r="FQ175">
        <f ca="1"/>
      </c>
      <c r="FR175">
        <f ca="1"/>
      </c>
      <c r="FS175">
        <f ca="1"/>
      </c>
      <c r="FT175">
        <f ca="1"/>
      </c>
      <c r="FU175">
        <f ca="1"/>
      </c>
      <c r="FV175">
        <f ca="1"/>
      </c>
      <c r="FW175">
        <f ca="1"/>
      </c>
      <c r="FX175">
        <f ca="1"/>
      </c>
      <c r="FY175">
        <f ca="1"/>
      </c>
      <c r="FZ175">
        <f ca="1"/>
      </c>
      <c r="GA175">
        <f ca="1"/>
      </c>
      <c r="GB175">
        <f ca="1"/>
      </c>
      <c r="GC175">
        <f ca="1"/>
      </c>
      <c r="GD175">
        <f ca="1"/>
      </c>
      <c r="GE175">
        <f ca="1"/>
      </c>
      <c r="GF175">
        <f ca="1"/>
      </c>
      <c r="GG175">
        <f ca="1"/>
      </c>
      <c r="GH175">
        <f ca="1"/>
      </c>
      <c r="GI175">
        <f ca="1"/>
      </c>
      <c r="GJ175">
        <f ca="1"/>
      </c>
      <c r="GK175">
        <f ca="1"/>
      </c>
      <c r="GL175">
        <f ca="1"/>
      </c>
      <c r="GM175">
        <f ca="1"/>
      </c>
      <c r="GN175">
        <f ca="1"/>
      </c>
      <c r="GO175">
        <f ca="1"/>
      </c>
      <c r="GP175">
        <f ca="1"/>
      </c>
      <c r="GQ175">
        <f ca="1"/>
      </c>
      <c r="GR175">
        <f ca="1"/>
      </c>
      <c r="GS175">
        <f ca="1"/>
      </c>
      <c r="GT175">
        <f ca="1"/>
      </c>
      <c r="GU175">
        <f ca="1"/>
      </c>
      <c r="GV175">
        <f ca="1"/>
      </c>
      <c r="GW175">
        <f ca="1"/>
      </c>
      <c r="HI175" s="7">
        <f ca="1"/>
      </c>
      <c r="HJ175">
        <f ca="1"/>
      </c>
      <c r="HK175">
        <f ca="1"/>
      </c>
      <c r="HL175">
        <f ca="1"/>
      </c>
      <c r="HM175">
        <f ca="1"/>
      </c>
    </row>
    <row r="176" spans="63:221" x14ac:dyDescent="0.55000000000000004">
      <c r="BK176">
        <f ca="1"/>
      </c>
      <c r="BL176">
        <f ca="1"/>
      </c>
      <c r="BM176">
        <f ca="1"/>
      </c>
      <c r="BN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  <c r="BV176">
        <f ca="1"/>
      </c>
      <c r="BW176">
        <f ca="1"/>
      </c>
      <c r="BX176">
        <f ca="1"/>
      </c>
      <c r="BY176">
        <f ca="1"/>
      </c>
      <c r="BZ176">
        <f ca="1"/>
      </c>
      <c r="CA176">
        <f ca="1"/>
      </c>
      <c r="CB176">
        <f ca="1"/>
      </c>
      <c r="CC176">
        <f ca="1"/>
      </c>
      <c r="CD176">
        <f ca="1"/>
      </c>
      <c r="CE176">
        <f ca="1"/>
      </c>
      <c r="CF176">
        <f ca="1"/>
      </c>
      <c r="CG176">
        <f ca="1"/>
      </c>
      <c r="CH176">
        <f ca="1"/>
      </c>
      <c r="CI176">
        <f ca="1"/>
      </c>
      <c r="CJ176">
        <f ca="1"/>
      </c>
      <c r="CK176">
        <f ca="1"/>
      </c>
      <c r="CL176">
        <f ca="1"/>
      </c>
      <c r="CM176">
        <f ca="1"/>
      </c>
      <c r="CN176">
        <f ca="1"/>
      </c>
      <c r="CO176">
        <f ca="1"/>
      </c>
      <c r="CP176">
        <f ca="1"/>
      </c>
      <c r="CQ176">
        <f ca="1"/>
      </c>
      <c r="CR176">
        <f ca="1"/>
      </c>
      <c r="CS176">
        <f ca="1"/>
      </c>
      <c r="CT176">
        <f ca="1"/>
      </c>
      <c r="CU176">
        <f ca="1"/>
      </c>
      <c r="CV176">
        <f ca="1"/>
      </c>
      <c r="CW176">
        <f ca="1"/>
      </c>
      <c r="CX176">
        <f ca="1"/>
      </c>
      <c r="CY176">
        <f ca="1"/>
      </c>
      <c r="CZ176">
        <f ca="1"/>
      </c>
      <c r="DA176">
        <f ca="1"/>
      </c>
      <c r="DB176">
        <f ca="1"/>
      </c>
      <c r="DC176">
        <f ca="1"/>
      </c>
      <c r="DD176">
        <f ca="1"/>
      </c>
      <c r="DE176">
        <f ca="1"/>
      </c>
      <c r="DG176">
        <f ca="1"/>
      </c>
      <c r="DH176">
        <f ca="1"/>
      </c>
      <c r="DI176">
        <f ca="1"/>
      </c>
      <c r="DJ176">
        <f ca="1"/>
      </c>
      <c r="DK176">
        <f ca="1"/>
      </c>
      <c r="DL176">
        <f ca="1"/>
      </c>
      <c r="DM176">
        <f ca="1"/>
      </c>
      <c r="DN176">
        <f ca="1"/>
      </c>
      <c r="DO176">
        <f ca="1"/>
      </c>
      <c r="DP176">
        <f ca="1"/>
      </c>
      <c r="DQ176">
        <f ca="1"/>
      </c>
      <c r="DR176">
        <f ca="1"/>
      </c>
      <c r="DS176">
        <f ca="1"/>
      </c>
      <c r="DT176">
        <f ca="1"/>
      </c>
      <c r="DU176">
        <f ca="1"/>
      </c>
      <c r="DV176">
        <f ca="1"/>
      </c>
      <c r="DW176">
        <f ca="1"/>
      </c>
      <c r="DX176">
        <f ca="1"/>
      </c>
      <c r="DY176">
        <f ca="1"/>
      </c>
      <c r="DZ176">
        <f ca="1"/>
      </c>
      <c r="EA176">
        <f ca="1"/>
      </c>
      <c r="EB176">
        <f ca="1"/>
      </c>
      <c r="EC176">
        <f ca="1"/>
      </c>
      <c r="ED176">
        <f ca="1"/>
      </c>
      <c r="EE176">
        <f ca="1"/>
      </c>
      <c r="EF176">
        <f ca="1"/>
      </c>
      <c r="EG176">
        <f ca="1"/>
      </c>
      <c r="EH176">
        <f ca="1"/>
      </c>
      <c r="EI176">
        <f ca="1"/>
      </c>
      <c r="EJ176">
        <f ca="1"/>
      </c>
      <c r="EK176">
        <f ca="1"/>
      </c>
      <c r="EL176">
        <f ca="1"/>
      </c>
      <c r="EM176">
        <f ca="1"/>
      </c>
      <c r="EN176">
        <f ca="1"/>
      </c>
      <c r="EO176">
        <f ca="1"/>
      </c>
      <c r="EP176">
        <f ca="1"/>
      </c>
      <c r="EQ176">
        <f ca="1"/>
      </c>
      <c r="ER176">
        <f ca="1"/>
      </c>
      <c r="ES176">
        <f ca="1"/>
      </c>
      <c r="ET176">
        <f ca="1"/>
      </c>
      <c r="EU176">
        <f ca="1"/>
      </c>
      <c r="EV176">
        <f ca="1"/>
      </c>
      <c r="EW176">
        <f ca="1"/>
      </c>
      <c r="EX176">
        <f ca="1"/>
      </c>
      <c r="EY176">
        <f ca="1"/>
      </c>
      <c r="EZ176">
        <f ca="1"/>
      </c>
      <c r="FA176">
        <f ca="1"/>
      </c>
      <c r="FC176">
        <f ca="1"/>
      </c>
      <c r="FD176">
        <f ca="1"/>
      </c>
      <c r="FE176">
        <f ca="1"/>
      </c>
      <c r="FF176">
        <f ca="1"/>
      </c>
      <c r="FG176">
        <f ca="1"/>
      </c>
      <c r="FH176">
        <f ca="1"/>
      </c>
      <c r="FI176">
        <f ca="1"/>
      </c>
      <c r="FJ176">
        <f ca="1"/>
      </c>
      <c r="FK176">
        <f ca="1"/>
      </c>
      <c r="FL176">
        <f ca="1"/>
      </c>
      <c r="FM176">
        <f ca="1"/>
      </c>
      <c r="FN176">
        <f ca="1"/>
      </c>
      <c r="FO176">
        <f ca="1"/>
      </c>
      <c r="FP176">
        <f ca="1"/>
      </c>
      <c r="FQ176">
        <f ca="1"/>
      </c>
      <c r="FR176">
        <f ca="1"/>
      </c>
      <c r="FS176">
        <f ca="1"/>
      </c>
      <c r="FT176">
        <f ca="1"/>
      </c>
      <c r="FU176">
        <f ca="1"/>
      </c>
      <c r="FV176">
        <f ca="1"/>
      </c>
      <c r="FW176">
        <f ca="1"/>
      </c>
      <c r="FX176">
        <f ca="1"/>
      </c>
      <c r="FY176">
        <f ca="1"/>
      </c>
      <c r="FZ176">
        <f ca="1"/>
      </c>
      <c r="GA176">
        <f ca="1"/>
      </c>
      <c r="GB176">
        <f ca="1"/>
      </c>
      <c r="GC176">
        <f ca="1"/>
      </c>
      <c r="GD176">
        <f ca="1"/>
      </c>
      <c r="GE176">
        <f ca="1"/>
      </c>
      <c r="GF176">
        <f ca="1"/>
      </c>
      <c r="GG176">
        <f ca="1"/>
      </c>
      <c r="GH176">
        <f ca="1"/>
      </c>
      <c r="GI176">
        <f ca="1"/>
      </c>
      <c r="GJ176">
        <f ca="1"/>
      </c>
      <c r="GK176">
        <f ca="1"/>
      </c>
      <c r="GL176">
        <f ca="1"/>
      </c>
      <c r="GM176">
        <f ca="1"/>
      </c>
      <c r="GN176">
        <f ca="1"/>
      </c>
      <c r="GO176">
        <f ca="1"/>
      </c>
      <c r="GP176">
        <f ca="1"/>
      </c>
      <c r="GQ176">
        <f ca="1"/>
      </c>
      <c r="GR176">
        <f ca="1"/>
      </c>
      <c r="GS176">
        <f ca="1"/>
      </c>
      <c r="GT176">
        <f ca="1"/>
      </c>
      <c r="GU176">
        <f ca="1"/>
      </c>
      <c r="GV176">
        <f ca="1"/>
      </c>
      <c r="GW176">
        <f ca="1"/>
      </c>
      <c r="HI176" s="7">
        <f ca="1"/>
      </c>
      <c r="HJ176">
        <f ca="1"/>
      </c>
      <c r="HK176">
        <f ca="1"/>
      </c>
      <c r="HL176">
        <f ca="1"/>
      </c>
      <c r="HM176">
        <f ca="1"/>
      </c>
    </row>
    <row r="177" spans="63:221" x14ac:dyDescent="0.55000000000000004">
      <c r="BK177">
        <f ca="1"/>
      </c>
      <c r="BL177">
        <f ca="1"/>
      </c>
      <c r="BM177">
        <f ca="1"/>
      </c>
      <c r="BN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  <c r="BV177">
        <f ca="1"/>
      </c>
      <c r="BW177">
        <f ca="1"/>
      </c>
      <c r="BX177">
        <f ca="1"/>
      </c>
      <c r="BY177">
        <f ca="1"/>
      </c>
      <c r="BZ177">
        <f ca="1"/>
      </c>
      <c r="CA177">
        <f ca="1"/>
      </c>
      <c r="CB177">
        <f ca="1"/>
      </c>
      <c r="CC177">
        <f ca="1"/>
      </c>
      <c r="CD177">
        <f ca="1"/>
      </c>
      <c r="CE177">
        <f ca="1"/>
      </c>
      <c r="CF177">
        <f ca="1"/>
      </c>
      <c r="CG177">
        <f ca="1"/>
      </c>
      <c r="CH177">
        <f ca="1"/>
      </c>
      <c r="CI177">
        <f ca="1"/>
      </c>
      <c r="CJ177">
        <f ca="1"/>
      </c>
      <c r="CK177">
        <f ca="1"/>
      </c>
      <c r="CL177">
        <f ca="1"/>
      </c>
      <c r="CM177">
        <f ca="1"/>
      </c>
      <c r="CN177">
        <f ca="1"/>
      </c>
      <c r="CO177">
        <f ca="1"/>
      </c>
      <c r="CP177">
        <f ca="1"/>
      </c>
      <c r="CQ177">
        <f ca="1"/>
      </c>
      <c r="CR177">
        <f ca="1"/>
      </c>
      <c r="CS177">
        <f ca="1"/>
      </c>
      <c r="CT177">
        <f ca="1"/>
      </c>
      <c r="CU177">
        <f ca="1"/>
      </c>
      <c r="CV177">
        <f ca="1"/>
      </c>
      <c r="CW177">
        <f ca="1"/>
      </c>
      <c r="CX177">
        <f ca="1"/>
      </c>
      <c r="CY177">
        <f ca="1"/>
      </c>
      <c r="CZ177">
        <f ca="1"/>
      </c>
      <c r="DA177">
        <f ca="1"/>
      </c>
      <c r="DB177">
        <f ca="1"/>
      </c>
      <c r="DC177">
        <f ca="1"/>
      </c>
      <c r="DD177">
        <f ca="1"/>
      </c>
      <c r="DE177">
        <f ca="1"/>
      </c>
      <c r="DG177">
        <f ca="1"/>
      </c>
      <c r="DH177">
        <f ca="1"/>
      </c>
      <c r="DI177">
        <f ca="1"/>
      </c>
      <c r="DJ177">
        <f ca="1"/>
      </c>
      <c r="DK177">
        <f ca="1"/>
      </c>
      <c r="DL177">
        <f ca="1"/>
      </c>
      <c r="DM177">
        <f ca="1"/>
      </c>
      <c r="DN177">
        <f ca="1"/>
      </c>
      <c r="DO177">
        <f ca="1"/>
      </c>
      <c r="DP177">
        <f ca="1"/>
      </c>
      <c r="DQ177">
        <f ca="1"/>
      </c>
      <c r="DR177">
        <f ca="1"/>
      </c>
      <c r="DS177">
        <f ca="1"/>
      </c>
      <c r="DT177">
        <f ca="1"/>
      </c>
      <c r="DU177">
        <f ca="1"/>
      </c>
      <c r="DV177">
        <f ca="1"/>
      </c>
      <c r="DW177">
        <f ca="1"/>
      </c>
      <c r="DX177">
        <f ca="1"/>
      </c>
      <c r="DY177">
        <f ca="1"/>
      </c>
      <c r="DZ177">
        <f ca="1"/>
      </c>
      <c r="EA177">
        <f ca="1"/>
      </c>
      <c r="EB177">
        <f ca="1"/>
      </c>
      <c r="EC177">
        <f ca="1"/>
      </c>
      <c r="ED177">
        <f ca="1"/>
      </c>
      <c r="EE177">
        <f ca="1"/>
      </c>
      <c r="EF177">
        <f ca="1"/>
      </c>
      <c r="EG177">
        <f ca="1"/>
      </c>
      <c r="EH177">
        <f ca="1"/>
      </c>
      <c r="EI177">
        <f ca="1"/>
      </c>
      <c r="EJ177">
        <f ca="1"/>
      </c>
      <c r="EK177">
        <f ca="1"/>
      </c>
      <c r="EL177">
        <f ca="1"/>
      </c>
      <c r="EM177">
        <f ca="1"/>
      </c>
      <c r="EN177">
        <f ca="1"/>
      </c>
      <c r="EO177">
        <f ca="1"/>
      </c>
      <c r="EP177">
        <f ca="1"/>
      </c>
      <c r="EQ177">
        <f ca="1"/>
      </c>
      <c r="ER177">
        <f ca="1"/>
      </c>
      <c r="ES177">
        <f ca="1"/>
      </c>
      <c r="ET177">
        <f ca="1"/>
      </c>
      <c r="EU177">
        <f ca="1"/>
      </c>
      <c r="EV177">
        <f ca="1"/>
      </c>
      <c r="EW177">
        <f ca="1"/>
      </c>
      <c r="EX177">
        <f ca="1"/>
      </c>
      <c r="EY177">
        <f ca="1"/>
      </c>
      <c r="EZ177">
        <f ca="1"/>
      </c>
      <c r="FA177">
        <f ca="1"/>
      </c>
      <c r="FC177">
        <f ca="1"/>
      </c>
      <c r="FD177">
        <f ca="1"/>
      </c>
      <c r="FE177">
        <f ca="1"/>
      </c>
      <c r="FF177">
        <f ca="1"/>
      </c>
      <c r="FG177">
        <f ca="1"/>
      </c>
      <c r="FH177">
        <f ca="1"/>
      </c>
      <c r="FI177">
        <f ca="1"/>
      </c>
      <c r="FJ177">
        <f ca="1"/>
      </c>
      <c r="FK177">
        <f ca="1"/>
      </c>
      <c r="FL177">
        <f ca="1"/>
      </c>
      <c r="FM177">
        <f ca="1"/>
      </c>
      <c r="FN177">
        <f ca="1"/>
      </c>
      <c r="FO177">
        <f ca="1"/>
      </c>
      <c r="FP177">
        <f ca="1"/>
      </c>
      <c r="FQ177">
        <f ca="1"/>
      </c>
      <c r="FR177">
        <f ca="1"/>
      </c>
      <c r="FS177">
        <f ca="1"/>
      </c>
      <c r="FT177">
        <f ca="1"/>
      </c>
      <c r="FU177">
        <f ca="1"/>
      </c>
      <c r="FV177">
        <f ca="1"/>
      </c>
      <c r="FW177">
        <f ca="1"/>
      </c>
      <c r="FX177">
        <f ca="1"/>
      </c>
      <c r="FY177">
        <f ca="1"/>
      </c>
      <c r="FZ177">
        <f ca="1"/>
      </c>
      <c r="GA177">
        <f ca="1"/>
      </c>
      <c r="GB177">
        <f ca="1"/>
      </c>
      <c r="GC177">
        <f ca="1"/>
      </c>
      <c r="GD177">
        <f ca="1"/>
      </c>
      <c r="GE177">
        <f ca="1"/>
      </c>
      <c r="GF177">
        <f ca="1"/>
      </c>
      <c r="GG177">
        <f ca="1"/>
      </c>
      <c r="GH177">
        <f ca="1"/>
      </c>
      <c r="GI177">
        <f ca="1"/>
      </c>
      <c r="GJ177">
        <f ca="1"/>
      </c>
      <c r="GK177">
        <f ca="1"/>
      </c>
      <c r="GL177">
        <f ca="1"/>
      </c>
      <c r="GM177">
        <f ca="1"/>
      </c>
      <c r="GN177">
        <f ca="1"/>
      </c>
      <c r="GO177">
        <f ca="1"/>
      </c>
      <c r="GP177">
        <f ca="1"/>
      </c>
      <c r="GQ177">
        <f ca="1"/>
      </c>
      <c r="GR177">
        <f ca="1"/>
      </c>
      <c r="GS177">
        <f ca="1"/>
      </c>
      <c r="GT177">
        <f ca="1"/>
      </c>
      <c r="GU177">
        <f ca="1"/>
      </c>
      <c r="GV177">
        <f ca="1"/>
      </c>
      <c r="GW177">
        <f ca="1"/>
      </c>
      <c r="HI177" s="7">
        <f ca="1"/>
      </c>
      <c r="HJ177">
        <f ca="1"/>
      </c>
      <c r="HK177">
        <f ca="1"/>
      </c>
      <c r="HL177">
        <f ca="1"/>
      </c>
      <c r="HM177">
        <f ca="1"/>
      </c>
    </row>
    <row r="178" spans="63:221" x14ac:dyDescent="0.55000000000000004">
      <c r="BK178">
        <f ca="1"/>
      </c>
      <c r="BL178">
        <f ca="1"/>
      </c>
      <c r="BM178">
        <f ca="1"/>
      </c>
      <c r="BN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  <c r="BV178">
        <f ca="1"/>
      </c>
      <c r="BW178">
        <f ca="1"/>
      </c>
      <c r="BX178">
        <f ca="1"/>
      </c>
      <c r="BY178">
        <f ca="1"/>
      </c>
      <c r="BZ178">
        <f ca="1"/>
      </c>
      <c r="CA178">
        <f ca="1"/>
      </c>
      <c r="CB178">
        <f ca="1"/>
      </c>
      <c r="CC178">
        <f ca="1"/>
      </c>
      <c r="CD178">
        <f ca="1"/>
      </c>
      <c r="CE178">
        <f ca="1"/>
      </c>
      <c r="CF178">
        <f ca="1"/>
      </c>
      <c r="CG178">
        <f ca="1"/>
      </c>
      <c r="CH178">
        <f ca="1"/>
      </c>
      <c r="CI178">
        <f ca="1"/>
      </c>
      <c r="CJ178">
        <f ca="1"/>
      </c>
      <c r="CK178">
        <f ca="1"/>
      </c>
      <c r="CL178">
        <f ca="1"/>
      </c>
      <c r="CM178">
        <f ca="1"/>
      </c>
      <c r="CN178">
        <f ca="1"/>
      </c>
      <c r="CO178">
        <f ca="1"/>
      </c>
      <c r="CP178">
        <f ca="1"/>
      </c>
      <c r="CQ178">
        <f ca="1"/>
      </c>
      <c r="CR178">
        <f ca="1"/>
      </c>
      <c r="CS178">
        <f ca="1"/>
      </c>
      <c r="CT178">
        <f ca="1"/>
      </c>
      <c r="CU178">
        <f ca="1"/>
      </c>
      <c r="CV178">
        <f ca="1"/>
      </c>
      <c r="CW178">
        <f ca="1"/>
      </c>
      <c r="CX178">
        <f ca="1"/>
      </c>
      <c r="CY178">
        <f ca="1"/>
      </c>
      <c r="CZ178">
        <f ca="1"/>
      </c>
      <c r="DA178">
        <f ca="1"/>
      </c>
      <c r="DB178">
        <f ca="1"/>
      </c>
      <c r="DC178">
        <f ca="1"/>
      </c>
      <c r="DD178">
        <f ca="1"/>
      </c>
      <c r="DE178">
        <f ca="1"/>
      </c>
      <c r="DG178">
        <f ca="1"/>
      </c>
      <c r="DH178">
        <f ca="1"/>
      </c>
      <c r="DI178">
        <f ca="1"/>
      </c>
      <c r="DJ178">
        <f ca="1"/>
      </c>
      <c r="DK178">
        <f ca="1"/>
      </c>
      <c r="DL178">
        <f ca="1"/>
      </c>
      <c r="DM178">
        <f ca="1"/>
      </c>
      <c r="DN178">
        <f ca="1"/>
      </c>
      <c r="DO178">
        <f ca="1"/>
      </c>
      <c r="DP178">
        <f ca="1"/>
      </c>
      <c r="DQ178">
        <f ca="1"/>
      </c>
      <c r="DR178">
        <f ca="1"/>
      </c>
      <c r="DS178">
        <f ca="1"/>
      </c>
      <c r="DT178">
        <f ca="1"/>
      </c>
      <c r="DU178">
        <f ca="1"/>
      </c>
      <c r="DV178">
        <f ca="1"/>
      </c>
      <c r="DW178">
        <f ca="1"/>
      </c>
      <c r="DX178">
        <f ca="1"/>
      </c>
      <c r="DY178">
        <f ca="1"/>
      </c>
      <c r="DZ178">
        <f ca="1"/>
      </c>
      <c r="EA178">
        <f ca="1"/>
      </c>
      <c r="EB178">
        <f ca="1"/>
      </c>
      <c r="EC178">
        <f ca="1"/>
      </c>
      <c r="ED178">
        <f ca="1"/>
      </c>
      <c r="EE178">
        <f ca="1"/>
      </c>
      <c r="EF178">
        <f ca="1"/>
      </c>
      <c r="EG178">
        <f ca="1"/>
      </c>
      <c r="EH178">
        <f ca="1"/>
      </c>
      <c r="EI178">
        <f ca="1"/>
      </c>
      <c r="EJ178">
        <f ca="1"/>
      </c>
      <c r="EK178">
        <f ca="1"/>
      </c>
      <c r="EL178">
        <f ca="1"/>
      </c>
      <c r="EM178">
        <f ca="1"/>
      </c>
      <c r="EN178">
        <f ca="1"/>
      </c>
      <c r="EO178">
        <f ca="1"/>
      </c>
      <c r="EP178">
        <f ca="1"/>
      </c>
      <c r="EQ178">
        <f ca="1"/>
      </c>
      <c r="ER178">
        <f ca="1"/>
      </c>
      <c r="ES178">
        <f ca="1"/>
      </c>
      <c r="ET178">
        <f ca="1"/>
      </c>
      <c r="EU178">
        <f ca="1"/>
      </c>
      <c r="EV178">
        <f ca="1"/>
      </c>
      <c r="EW178">
        <f ca="1"/>
      </c>
      <c r="EX178">
        <f ca="1"/>
      </c>
      <c r="EY178">
        <f ca="1"/>
      </c>
      <c r="EZ178">
        <f ca="1"/>
      </c>
      <c r="FA178">
        <f ca="1"/>
      </c>
      <c r="FC178">
        <f ca="1"/>
      </c>
      <c r="FD178">
        <f ca="1"/>
      </c>
      <c r="FE178">
        <f ca="1"/>
      </c>
      <c r="FF178">
        <f ca="1"/>
      </c>
      <c r="FG178">
        <f ca="1"/>
      </c>
      <c r="FH178">
        <f ca="1"/>
      </c>
      <c r="FI178">
        <f ca="1"/>
      </c>
      <c r="FJ178">
        <f ca="1"/>
      </c>
      <c r="FK178">
        <f ca="1"/>
      </c>
      <c r="FL178">
        <f ca="1"/>
      </c>
      <c r="FM178">
        <f ca="1"/>
      </c>
      <c r="FN178">
        <f ca="1"/>
      </c>
      <c r="FO178">
        <f ca="1"/>
      </c>
      <c r="FP178">
        <f ca="1"/>
      </c>
      <c r="FQ178">
        <f ca="1"/>
      </c>
      <c r="FR178">
        <f ca="1"/>
      </c>
      <c r="FS178">
        <f ca="1"/>
      </c>
      <c r="FT178">
        <f ca="1"/>
      </c>
      <c r="FU178">
        <f ca="1"/>
      </c>
      <c r="FV178">
        <f ca="1"/>
      </c>
      <c r="FW178">
        <f ca="1"/>
      </c>
      <c r="FX178">
        <f ca="1"/>
      </c>
      <c r="FY178">
        <f ca="1"/>
      </c>
      <c r="FZ178">
        <f ca="1"/>
      </c>
      <c r="GA178">
        <f ca="1"/>
      </c>
      <c r="GB178">
        <f ca="1"/>
      </c>
      <c r="GC178">
        <f ca="1"/>
      </c>
      <c r="GD178">
        <f ca="1"/>
      </c>
      <c r="GE178">
        <f ca="1"/>
      </c>
      <c r="GF178">
        <f ca="1"/>
      </c>
      <c r="GG178">
        <f ca="1"/>
      </c>
      <c r="GH178">
        <f ca="1"/>
      </c>
      <c r="GI178">
        <f ca="1"/>
      </c>
      <c r="GJ178">
        <f ca="1"/>
      </c>
      <c r="GK178">
        <f ca="1"/>
      </c>
      <c r="GL178">
        <f ca="1"/>
      </c>
      <c r="GM178">
        <f ca="1"/>
      </c>
      <c r="GN178">
        <f ca="1"/>
      </c>
      <c r="GO178">
        <f ca="1"/>
      </c>
      <c r="GP178">
        <f ca="1"/>
      </c>
      <c r="GQ178">
        <f ca="1"/>
      </c>
      <c r="GR178">
        <f ca="1"/>
      </c>
      <c r="GS178">
        <f ca="1"/>
      </c>
      <c r="GT178">
        <f ca="1"/>
      </c>
      <c r="GU178">
        <f ca="1"/>
      </c>
      <c r="GV178">
        <f ca="1"/>
      </c>
      <c r="GW178">
        <f ca="1"/>
      </c>
      <c r="HI178" s="7">
        <f ca="1"/>
      </c>
      <c r="HJ178">
        <f ca="1"/>
      </c>
      <c r="HK178">
        <f ca="1"/>
      </c>
      <c r="HL178">
        <f ca="1"/>
      </c>
      <c r="HM178">
        <f ca="1"/>
      </c>
    </row>
    <row r="179" spans="63:221" x14ac:dyDescent="0.55000000000000004">
      <c r="BK179">
        <f ca="1"/>
      </c>
      <c r="BL179">
        <f ca="1"/>
      </c>
      <c r="BM179">
        <f ca="1"/>
      </c>
      <c r="BN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  <c r="BV179">
        <f ca="1"/>
      </c>
      <c r="BW179">
        <f ca="1"/>
      </c>
      <c r="BX179">
        <f ca="1"/>
      </c>
      <c r="BY179">
        <f ca="1"/>
      </c>
      <c r="BZ179">
        <f ca="1"/>
      </c>
      <c r="CA179">
        <f ca="1"/>
      </c>
      <c r="CB179">
        <f ca="1"/>
      </c>
      <c r="CC179">
        <f ca="1"/>
      </c>
      <c r="CD179">
        <f ca="1"/>
      </c>
      <c r="CE179">
        <f ca="1"/>
      </c>
      <c r="CF179">
        <f ca="1"/>
      </c>
      <c r="CG179">
        <f ca="1"/>
      </c>
      <c r="CH179">
        <f ca="1"/>
      </c>
      <c r="CI179">
        <f ca="1"/>
      </c>
      <c r="CJ179">
        <f ca="1"/>
      </c>
      <c r="CK179">
        <f ca="1"/>
      </c>
      <c r="CL179">
        <f ca="1"/>
      </c>
      <c r="CM179">
        <f ca="1"/>
      </c>
      <c r="CN179">
        <f ca="1"/>
      </c>
      <c r="CO179">
        <f ca="1"/>
      </c>
      <c r="CP179">
        <f ca="1"/>
      </c>
      <c r="CQ179">
        <f ca="1"/>
      </c>
      <c r="CR179">
        <f ca="1"/>
      </c>
      <c r="CS179">
        <f ca="1"/>
      </c>
      <c r="CT179">
        <f ca="1"/>
      </c>
      <c r="CU179">
        <f ca="1"/>
      </c>
      <c r="CV179">
        <f ca="1"/>
      </c>
      <c r="CW179">
        <f ca="1"/>
      </c>
      <c r="CX179">
        <f ca="1"/>
      </c>
      <c r="CY179">
        <f ca="1"/>
      </c>
      <c r="CZ179">
        <f ca="1"/>
      </c>
      <c r="DA179">
        <f ca="1"/>
      </c>
      <c r="DB179">
        <f ca="1"/>
      </c>
      <c r="DC179">
        <f ca="1"/>
      </c>
      <c r="DD179">
        <f ca="1"/>
      </c>
      <c r="DE179">
        <f ca="1"/>
      </c>
      <c r="DG179">
        <f ca="1"/>
      </c>
      <c r="DH179">
        <f ca="1"/>
      </c>
      <c r="DI179">
        <f ca="1"/>
      </c>
      <c r="DJ179">
        <f ca="1"/>
      </c>
      <c r="DK179">
        <f ca="1"/>
      </c>
      <c r="DL179">
        <f ca="1"/>
      </c>
      <c r="DM179">
        <f ca="1"/>
      </c>
      <c r="DN179">
        <f ca="1"/>
      </c>
      <c r="DO179">
        <f ca="1"/>
      </c>
      <c r="DP179">
        <f ca="1"/>
      </c>
      <c r="DQ179">
        <f ca="1"/>
      </c>
      <c r="DR179">
        <f ca="1"/>
      </c>
      <c r="DS179">
        <f ca="1"/>
      </c>
      <c r="DT179">
        <f ca="1"/>
      </c>
      <c r="DU179">
        <f ca="1"/>
      </c>
      <c r="DV179">
        <f ca="1"/>
      </c>
      <c r="DW179">
        <f ca="1"/>
      </c>
      <c r="DX179">
        <f ca="1"/>
      </c>
      <c r="DY179">
        <f ca="1"/>
      </c>
      <c r="DZ179">
        <f ca="1"/>
      </c>
      <c r="EA179">
        <f ca="1"/>
      </c>
      <c r="EB179">
        <f ca="1"/>
      </c>
      <c r="EC179">
        <f ca="1"/>
      </c>
      <c r="ED179">
        <f ca="1"/>
      </c>
      <c r="EE179">
        <f ca="1"/>
      </c>
      <c r="EF179">
        <f ca="1"/>
      </c>
      <c r="EG179">
        <f ca="1"/>
      </c>
      <c r="EH179">
        <f ca="1"/>
      </c>
      <c r="EI179">
        <f ca="1"/>
      </c>
      <c r="EJ179">
        <f ca="1"/>
      </c>
      <c r="EK179">
        <f ca="1"/>
      </c>
      <c r="EL179">
        <f ca="1"/>
      </c>
      <c r="EM179">
        <f ca="1"/>
      </c>
      <c r="EN179">
        <f ca="1"/>
      </c>
      <c r="EO179">
        <f ca="1"/>
      </c>
      <c r="EP179">
        <f ca="1"/>
      </c>
      <c r="EQ179">
        <f ca="1"/>
      </c>
      <c r="ER179">
        <f ca="1"/>
      </c>
      <c r="ES179">
        <f ca="1"/>
      </c>
      <c r="ET179">
        <f ca="1"/>
      </c>
      <c r="EU179">
        <f ca="1"/>
      </c>
      <c r="EV179">
        <f ca="1"/>
      </c>
      <c r="EW179">
        <f ca="1"/>
      </c>
      <c r="EX179">
        <f ca="1"/>
      </c>
      <c r="EY179">
        <f ca="1"/>
      </c>
      <c r="EZ179">
        <f ca="1"/>
      </c>
      <c r="FA179">
        <f ca="1"/>
      </c>
      <c r="FC179">
        <f ca="1"/>
      </c>
      <c r="FD179">
        <f ca="1"/>
      </c>
      <c r="FE179">
        <f ca="1"/>
      </c>
      <c r="FF179">
        <f ca="1"/>
      </c>
      <c r="FG179">
        <f ca="1"/>
      </c>
      <c r="FH179">
        <f ca="1"/>
      </c>
      <c r="FI179">
        <f ca="1"/>
      </c>
      <c r="FJ179">
        <f ca="1"/>
      </c>
      <c r="FK179">
        <f ca="1"/>
      </c>
      <c r="FL179">
        <f ca="1"/>
      </c>
      <c r="FM179">
        <f ca="1"/>
      </c>
      <c r="FN179">
        <f ca="1"/>
      </c>
      <c r="FO179">
        <f ca="1"/>
      </c>
      <c r="FP179">
        <f ca="1"/>
      </c>
      <c r="FQ179">
        <f ca="1"/>
      </c>
      <c r="FR179">
        <f ca="1"/>
      </c>
      <c r="FS179">
        <f ca="1"/>
      </c>
      <c r="FT179">
        <f ca="1"/>
      </c>
      <c r="FU179">
        <f ca="1"/>
      </c>
      <c r="FV179">
        <f ca="1"/>
      </c>
      <c r="FW179">
        <f ca="1"/>
      </c>
      <c r="FX179">
        <f ca="1"/>
      </c>
      <c r="FY179">
        <f ca="1"/>
      </c>
      <c r="FZ179">
        <f ca="1"/>
      </c>
      <c r="GA179">
        <f ca="1"/>
      </c>
      <c r="GB179">
        <f ca="1"/>
      </c>
      <c r="GC179">
        <f ca="1"/>
      </c>
      <c r="GD179">
        <f ca="1"/>
      </c>
      <c r="GE179">
        <f ca="1"/>
      </c>
      <c r="GF179">
        <f ca="1"/>
      </c>
      <c r="GG179">
        <f ca="1"/>
      </c>
      <c r="GH179">
        <f ca="1"/>
      </c>
      <c r="GI179">
        <f ca="1"/>
      </c>
      <c r="GJ179">
        <f ca="1"/>
      </c>
      <c r="GK179">
        <f ca="1"/>
      </c>
      <c r="GL179">
        <f ca="1"/>
      </c>
      <c r="GM179">
        <f ca="1"/>
      </c>
      <c r="GN179">
        <f ca="1"/>
      </c>
      <c r="GO179">
        <f ca="1"/>
      </c>
      <c r="GP179">
        <f ca="1"/>
      </c>
      <c r="GQ179">
        <f ca="1"/>
      </c>
      <c r="GR179">
        <f ca="1"/>
      </c>
      <c r="GS179">
        <f ca="1"/>
      </c>
      <c r="GT179">
        <f ca="1"/>
      </c>
      <c r="GU179">
        <f ca="1"/>
      </c>
      <c r="GV179">
        <f ca="1"/>
      </c>
      <c r="GW179">
        <f ca="1"/>
      </c>
      <c r="HI179" s="7">
        <f ca="1"/>
      </c>
      <c r="HJ179">
        <f ca="1"/>
      </c>
      <c r="HK179">
        <f ca="1"/>
      </c>
      <c r="HL179">
        <f ca="1"/>
      </c>
      <c r="HM179">
        <f ca="1"/>
      </c>
    </row>
    <row r="180" spans="63:221" x14ac:dyDescent="0.55000000000000004">
      <c r="BK180">
        <f ca="1"/>
      </c>
      <c r="BL180">
        <f ca="1"/>
      </c>
      <c r="BM180">
        <f ca="1"/>
      </c>
      <c r="BN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  <c r="BV180">
        <f ca="1"/>
      </c>
      <c r="BW180">
        <f ca="1"/>
      </c>
      <c r="BX180">
        <f ca="1"/>
      </c>
      <c r="BY180">
        <f ca="1"/>
      </c>
      <c r="BZ180">
        <f ca="1"/>
      </c>
      <c r="CA180">
        <f ca="1"/>
      </c>
      <c r="CB180">
        <f ca="1"/>
      </c>
      <c r="CC180">
        <f ca="1"/>
      </c>
      <c r="CD180">
        <f ca="1"/>
      </c>
      <c r="CE180">
        <f ca="1"/>
      </c>
      <c r="CF180">
        <f ca="1"/>
      </c>
      <c r="CG180">
        <f ca="1"/>
      </c>
      <c r="CH180">
        <f ca="1"/>
      </c>
      <c r="CI180">
        <f ca="1"/>
      </c>
      <c r="CJ180">
        <f ca="1"/>
      </c>
      <c r="CK180">
        <f ca="1"/>
      </c>
      <c r="CL180">
        <f ca="1"/>
      </c>
      <c r="CM180">
        <f ca="1"/>
      </c>
      <c r="CN180">
        <f ca="1"/>
      </c>
      <c r="CO180">
        <f ca="1"/>
      </c>
      <c r="CP180">
        <f ca="1"/>
      </c>
      <c r="CQ180">
        <f ca="1"/>
      </c>
      <c r="CR180">
        <f ca="1"/>
      </c>
      <c r="CS180">
        <f ca="1"/>
      </c>
      <c r="CT180">
        <f ca="1"/>
      </c>
      <c r="CU180">
        <f ca="1"/>
      </c>
      <c r="CV180">
        <f ca="1"/>
      </c>
      <c r="CW180">
        <f ca="1"/>
      </c>
      <c r="CX180">
        <f ca="1"/>
      </c>
      <c r="CY180">
        <f ca="1"/>
      </c>
      <c r="CZ180">
        <f ca="1"/>
      </c>
      <c r="DA180">
        <f ca="1"/>
      </c>
      <c r="DB180">
        <f ca="1"/>
      </c>
      <c r="DC180">
        <f ca="1"/>
      </c>
      <c r="DD180">
        <f ca="1"/>
      </c>
      <c r="DE180">
        <f ca="1"/>
      </c>
      <c r="DG180">
        <f ca="1"/>
      </c>
      <c r="DH180">
        <f ca="1"/>
      </c>
      <c r="DI180">
        <f ca="1"/>
      </c>
      <c r="DJ180">
        <f ca="1"/>
      </c>
      <c r="DK180">
        <f ca="1"/>
      </c>
      <c r="DL180">
        <f ca="1"/>
      </c>
      <c r="DM180">
        <f ca="1"/>
      </c>
      <c r="DN180">
        <f ca="1"/>
      </c>
      <c r="DO180">
        <f ca="1"/>
      </c>
      <c r="DP180">
        <f ca="1"/>
      </c>
      <c r="DQ180">
        <f ca="1"/>
      </c>
      <c r="DR180">
        <f ca="1"/>
      </c>
      <c r="DS180">
        <f ca="1"/>
      </c>
      <c r="DT180">
        <f ca="1"/>
      </c>
      <c r="DU180">
        <f ca="1"/>
      </c>
      <c r="DV180">
        <f ca="1"/>
      </c>
      <c r="DW180">
        <f ca="1"/>
      </c>
      <c r="DX180">
        <f ca="1"/>
      </c>
      <c r="DY180">
        <f ca="1"/>
      </c>
      <c r="DZ180">
        <f ca="1"/>
      </c>
      <c r="EA180">
        <f ca="1"/>
      </c>
      <c r="EB180">
        <f ca="1"/>
      </c>
      <c r="EC180">
        <f ca="1"/>
      </c>
      <c r="ED180">
        <f ca="1"/>
      </c>
      <c r="EE180">
        <f ca="1"/>
      </c>
      <c r="EF180">
        <f ca="1"/>
      </c>
      <c r="EG180">
        <f ca="1"/>
      </c>
      <c r="EH180">
        <f ca="1"/>
      </c>
      <c r="EI180">
        <f ca="1"/>
      </c>
      <c r="EJ180">
        <f ca="1"/>
      </c>
      <c r="EK180">
        <f ca="1"/>
      </c>
      <c r="EL180">
        <f ca="1"/>
      </c>
      <c r="EM180">
        <f ca="1"/>
      </c>
      <c r="EN180">
        <f ca="1"/>
      </c>
      <c r="EO180">
        <f ca="1"/>
      </c>
      <c r="EP180">
        <f ca="1"/>
      </c>
      <c r="EQ180">
        <f ca="1"/>
      </c>
      <c r="ER180">
        <f ca="1"/>
      </c>
      <c r="ES180">
        <f ca="1"/>
      </c>
      <c r="ET180">
        <f ca="1"/>
      </c>
      <c r="EU180">
        <f ca="1"/>
      </c>
      <c r="EV180">
        <f ca="1"/>
      </c>
      <c r="EW180">
        <f ca="1"/>
      </c>
      <c r="EX180">
        <f ca="1"/>
      </c>
      <c r="EY180">
        <f ca="1"/>
      </c>
      <c r="EZ180">
        <f ca="1"/>
      </c>
      <c r="FA180">
        <f ca="1"/>
      </c>
      <c r="FC180">
        <f ca="1"/>
      </c>
      <c r="FD180">
        <f ca="1"/>
      </c>
      <c r="FE180">
        <f ca="1"/>
      </c>
      <c r="FF180">
        <f ca="1"/>
      </c>
      <c r="FG180">
        <f ca="1"/>
      </c>
      <c r="FH180">
        <f ca="1"/>
      </c>
      <c r="FI180">
        <f ca="1"/>
      </c>
      <c r="FJ180">
        <f ca="1"/>
      </c>
      <c r="FK180">
        <f ca="1"/>
      </c>
      <c r="FL180">
        <f ca="1"/>
      </c>
      <c r="FM180">
        <f ca="1"/>
      </c>
      <c r="FN180">
        <f ca="1"/>
      </c>
      <c r="FO180">
        <f ca="1"/>
      </c>
      <c r="FP180">
        <f ca="1"/>
      </c>
      <c r="FQ180">
        <f ca="1"/>
      </c>
      <c r="FR180">
        <f ca="1"/>
      </c>
      <c r="FS180">
        <f ca="1"/>
      </c>
      <c r="FT180">
        <f ca="1"/>
      </c>
      <c r="FU180">
        <f ca="1"/>
      </c>
      <c r="FV180">
        <f ca="1"/>
      </c>
      <c r="FW180">
        <f ca="1"/>
      </c>
      <c r="FX180">
        <f ca="1"/>
      </c>
      <c r="FY180">
        <f ca="1"/>
      </c>
      <c r="FZ180">
        <f ca="1"/>
      </c>
      <c r="GA180">
        <f ca="1"/>
      </c>
      <c r="GB180">
        <f ca="1"/>
      </c>
      <c r="GC180">
        <f ca="1"/>
      </c>
      <c r="GD180">
        <f ca="1"/>
      </c>
      <c r="GE180">
        <f ca="1"/>
      </c>
      <c r="GF180">
        <f ca="1"/>
      </c>
      <c r="GG180">
        <f ca="1"/>
      </c>
      <c r="GH180">
        <f ca="1"/>
      </c>
      <c r="GI180">
        <f ca="1"/>
      </c>
      <c r="GJ180">
        <f ca="1"/>
      </c>
      <c r="GK180">
        <f ca="1"/>
      </c>
      <c r="GL180">
        <f ca="1"/>
      </c>
      <c r="GM180">
        <f ca="1"/>
      </c>
      <c r="GN180">
        <f ca="1"/>
      </c>
      <c r="GO180">
        <f ca="1"/>
      </c>
      <c r="GP180">
        <f ca="1"/>
      </c>
      <c r="GQ180">
        <f ca="1"/>
      </c>
      <c r="GR180">
        <f ca="1"/>
      </c>
      <c r="GS180">
        <f ca="1"/>
      </c>
      <c r="GT180">
        <f ca="1"/>
      </c>
      <c r="GU180">
        <f ca="1"/>
      </c>
      <c r="GV180">
        <f ca="1"/>
      </c>
      <c r="GW180">
        <f ca="1"/>
      </c>
      <c r="HI180" s="7">
        <f ca="1"/>
      </c>
      <c r="HJ180">
        <f ca="1"/>
      </c>
      <c r="HK180">
        <f ca="1"/>
      </c>
      <c r="HL180">
        <f ca="1"/>
      </c>
      <c r="HM180">
        <f ca="1"/>
      </c>
    </row>
    <row r="181" spans="63:221" x14ac:dyDescent="0.55000000000000004">
      <c r="BK181">
        <f ca="1"/>
      </c>
      <c r="BL181">
        <f ca="1"/>
      </c>
      <c r="BM181">
        <f ca="1"/>
      </c>
      <c r="BN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  <c r="BV181">
        <f ca="1"/>
      </c>
      <c r="BW181">
        <f ca="1"/>
      </c>
      <c r="BX181">
        <f ca="1"/>
      </c>
      <c r="BY181">
        <f ca="1"/>
      </c>
      <c r="BZ181">
        <f ca="1"/>
      </c>
      <c r="CA181">
        <f ca="1"/>
      </c>
      <c r="CB181">
        <f ca="1"/>
      </c>
      <c r="CC181">
        <f ca="1"/>
      </c>
      <c r="CD181">
        <f ca="1"/>
      </c>
      <c r="CE181">
        <f ca="1"/>
      </c>
      <c r="CF181">
        <f ca="1"/>
      </c>
      <c r="CG181">
        <f ca="1"/>
      </c>
      <c r="CH181">
        <f ca="1"/>
      </c>
      <c r="CI181">
        <f ca="1"/>
      </c>
      <c r="CJ181">
        <f ca="1"/>
      </c>
      <c r="CK181">
        <f ca="1"/>
      </c>
      <c r="CL181">
        <f ca="1"/>
      </c>
      <c r="CM181">
        <f ca="1"/>
      </c>
      <c r="CN181">
        <f ca="1"/>
      </c>
      <c r="CO181">
        <f ca="1"/>
      </c>
      <c r="CP181">
        <f ca="1"/>
      </c>
      <c r="CQ181">
        <f ca="1"/>
      </c>
      <c r="CR181">
        <f ca="1"/>
      </c>
      <c r="CS181">
        <f ca="1"/>
      </c>
      <c r="CT181">
        <f ca="1"/>
      </c>
      <c r="CU181">
        <f ca="1"/>
      </c>
      <c r="CV181">
        <f ca="1"/>
      </c>
      <c r="CW181">
        <f ca="1"/>
      </c>
      <c r="CX181">
        <f ca="1"/>
      </c>
      <c r="CY181">
        <f ca="1"/>
      </c>
      <c r="CZ181">
        <f ca="1"/>
      </c>
      <c r="DA181">
        <f ca="1"/>
      </c>
      <c r="DB181">
        <f ca="1"/>
      </c>
      <c r="DC181">
        <f ca="1"/>
      </c>
      <c r="DD181">
        <f ca="1"/>
      </c>
      <c r="DE181">
        <f ca="1"/>
      </c>
      <c r="DG181">
        <f ca="1"/>
      </c>
      <c r="DH181">
        <f ca="1"/>
      </c>
      <c r="DI181">
        <f ca="1"/>
      </c>
      <c r="DJ181">
        <f ca="1"/>
      </c>
      <c r="DK181">
        <f ca="1"/>
      </c>
      <c r="DL181">
        <f ca="1"/>
      </c>
      <c r="DM181">
        <f ca="1"/>
      </c>
      <c r="DN181">
        <f ca="1"/>
      </c>
      <c r="DO181">
        <f ca="1"/>
      </c>
      <c r="DP181">
        <f ca="1"/>
      </c>
      <c r="DQ181">
        <f ca="1"/>
      </c>
      <c r="DR181">
        <f ca="1"/>
      </c>
      <c r="DS181">
        <f ca="1"/>
      </c>
      <c r="DT181">
        <f ca="1"/>
      </c>
      <c r="DU181">
        <f ca="1"/>
      </c>
      <c r="DV181">
        <f ca="1"/>
      </c>
      <c r="DW181">
        <f ca="1"/>
      </c>
      <c r="DX181">
        <f ca="1"/>
      </c>
      <c r="DY181">
        <f ca="1"/>
      </c>
      <c r="DZ181">
        <f ca="1"/>
      </c>
      <c r="EA181">
        <f ca="1"/>
      </c>
      <c r="EB181">
        <f ca="1"/>
      </c>
      <c r="EC181">
        <f ca="1"/>
      </c>
      <c r="ED181">
        <f ca="1"/>
      </c>
      <c r="EE181">
        <f ca="1"/>
      </c>
      <c r="EF181">
        <f ca="1"/>
      </c>
      <c r="EG181">
        <f ca="1"/>
      </c>
      <c r="EH181">
        <f ca="1"/>
      </c>
      <c r="EI181">
        <f ca="1"/>
      </c>
      <c r="EJ181">
        <f ca="1"/>
      </c>
      <c r="EK181">
        <f ca="1"/>
      </c>
      <c r="EL181">
        <f ca="1"/>
      </c>
      <c r="EM181">
        <f ca="1"/>
      </c>
      <c r="EN181">
        <f ca="1"/>
      </c>
      <c r="EO181">
        <f ca="1"/>
      </c>
      <c r="EP181">
        <f ca="1"/>
      </c>
      <c r="EQ181">
        <f ca="1"/>
      </c>
      <c r="ER181">
        <f ca="1"/>
      </c>
      <c r="ES181">
        <f ca="1"/>
      </c>
      <c r="ET181">
        <f ca="1"/>
      </c>
      <c r="EU181">
        <f ca="1"/>
      </c>
      <c r="EV181">
        <f ca="1"/>
      </c>
      <c r="EW181">
        <f ca="1"/>
      </c>
      <c r="EX181">
        <f ca="1"/>
      </c>
      <c r="EY181">
        <f ca="1"/>
      </c>
      <c r="EZ181">
        <f ca="1"/>
      </c>
      <c r="FA181">
        <f ca="1"/>
      </c>
      <c r="FC181">
        <f ca="1"/>
      </c>
      <c r="FD181">
        <f ca="1"/>
      </c>
      <c r="FE181">
        <f ca="1"/>
      </c>
      <c r="FF181">
        <f ca="1"/>
      </c>
      <c r="FG181">
        <f ca="1"/>
      </c>
      <c r="FH181">
        <f ca="1"/>
      </c>
      <c r="FI181">
        <f ca="1"/>
      </c>
      <c r="FJ181">
        <f ca="1"/>
      </c>
      <c r="FK181">
        <f ca="1"/>
      </c>
      <c r="FL181">
        <f ca="1"/>
      </c>
      <c r="FM181">
        <f ca="1"/>
      </c>
      <c r="FN181">
        <f ca="1"/>
      </c>
      <c r="FO181">
        <f ca="1"/>
      </c>
      <c r="FP181">
        <f ca="1"/>
      </c>
      <c r="FQ181">
        <f ca="1"/>
      </c>
      <c r="FR181">
        <f ca="1"/>
      </c>
      <c r="FS181">
        <f ca="1"/>
      </c>
      <c r="FT181">
        <f ca="1"/>
      </c>
      <c r="FU181">
        <f ca="1"/>
      </c>
      <c r="FV181">
        <f ca="1"/>
      </c>
      <c r="FW181">
        <f ca="1"/>
      </c>
      <c r="FX181">
        <f ca="1"/>
      </c>
      <c r="FY181">
        <f ca="1"/>
      </c>
      <c r="FZ181">
        <f ca="1"/>
      </c>
      <c r="GA181">
        <f ca="1"/>
      </c>
      <c r="GB181">
        <f ca="1"/>
      </c>
      <c r="GC181">
        <f ca="1"/>
      </c>
      <c r="GD181">
        <f ca="1"/>
      </c>
      <c r="GE181">
        <f ca="1"/>
      </c>
      <c r="GF181">
        <f ca="1"/>
      </c>
      <c r="GG181">
        <f ca="1"/>
      </c>
      <c r="GH181">
        <f ca="1"/>
      </c>
      <c r="GI181">
        <f ca="1"/>
      </c>
      <c r="GJ181">
        <f ca="1"/>
      </c>
      <c r="GK181">
        <f ca="1"/>
      </c>
      <c r="GL181">
        <f ca="1"/>
      </c>
      <c r="GM181">
        <f ca="1"/>
      </c>
      <c r="GN181">
        <f ca="1"/>
      </c>
      <c r="GO181">
        <f ca="1"/>
      </c>
      <c r="GP181">
        <f ca="1"/>
      </c>
      <c r="GQ181">
        <f ca="1"/>
      </c>
      <c r="GR181">
        <f ca="1"/>
      </c>
      <c r="GS181">
        <f ca="1"/>
      </c>
      <c r="GT181">
        <f ca="1"/>
      </c>
      <c r="GU181">
        <f ca="1"/>
      </c>
      <c r="GV181">
        <f ca="1"/>
      </c>
      <c r="GW181">
        <f ca="1"/>
      </c>
      <c r="HI181" s="7">
        <f ca="1"/>
      </c>
      <c r="HJ181">
        <f ca="1"/>
      </c>
      <c r="HK181">
        <f ca="1"/>
      </c>
      <c r="HL181">
        <f ca="1"/>
      </c>
      <c r="HM181">
        <f ca="1"/>
      </c>
    </row>
    <row r="182" spans="63:221" x14ac:dyDescent="0.55000000000000004">
      <c r="BK182">
        <f ca="1"/>
      </c>
      <c r="BL182">
        <f ca="1"/>
      </c>
      <c r="BM182">
        <f ca="1"/>
      </c>
      <c r="BN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  <c r="BV182">
        <f ca="1"/>
      </c>
      <c r="BW182">
        <f ca="1"/>
      </c>
      <c r="BX182">
        <f ca="1"/>
      </c>
      <c r="BY182">
        <f ca="1"/>
      </c>
      <c r="BZ182">
        <f ca="1"/>
      </c>
      <c r="CA182">
        <f ca="1"/>
      </c>
      <c r="CB182">
        <f ca="1"/>
      </c>
      <c r="CC182">
        <f ca="1"/>
      </c>
      <c r="CD182">
        <f ca="1"/>
      </c>
      <c r="CE182">
        <f ca="1"/>
      </c>
      <c r="CF182">
        <f ca="1"/>
      </c>
      <c r="CG182">
        <f ca="1"/>
      </c>
      <c r="CH182">
        <f ca="1"/>
      </c>
      <c r="CI182">
        <f ca="1"/>
      </c>
      <c r="CJ182">
        <f ca="1"/>
      </c>
      <c r="CK182">
        <f ca="1"/>
      </c>
      <c r="CL182">
        <f ca="1"/>
      </c>
      <c r="CM182">
        <f ca="1"/>
      </c>
      <c r="CN182">
        <f ca="1"/>
      </c>
      <c r="CO182">
        <f ca="1"/>
      </c>
      <c r="CP182">
        <f ca="1"/>
      </c>
      <c r="CQ182">
        <f ca="1"/>
      </c>
      <c r="CR182">
        <f ca="1"/>
      </c>
      <c r="CS182">
        <f ca="1"/>
      </c>
      <c r="CT182">
        <f ca="1"/>
      </c>
      <c r="CU182">
        <f ca="1"/>
      </c>
      <c r="CV182">
        <f ca="1"/>
      </c>
      <c r="CW182">
        <f ca="1"/>
      </c>
      <c r="CX182">
        <f ca="1"/>
      </c>
      <c r="CY182">
        <f ca="1"/>
      </c>
      <c r="CZ182">
        <f ca="1"/>
      </c>
      <c r="DA182">
        <f ca="1"/>
      </c>
      <c r="DB182">
        <f ca="1"/>
      </c>
      <c r="DC182">
        <f ca="1"/>
      </c>
      <c r="DD182">
        <f ca="1"/>
      </c>
      <c r="DE182">
        <f ca="1"/>
      </c>
      <c r="DG182">
        <f ca="1"/>
      </c>
      <c r="DH182">
        <f ca="1"/>
      </c>
      <c r="DI182">
        <f ca="1"/>
      </c>
      <c r="DJ182">
        <f ca="1"/>
      </c>
      <c r="DK182">
        <f ca="1"/>
      </c>
      <c r="DL182">
        <f ca="1"/>
      </c>
      <c r="DM182">
        <f ca="1"/>
      </c>
      <c r="DN182">
        <f ca="1"/>
      </c>
      <c r="DO182">
        <f ca="1"/>
      </c>
      <c r="DP182">
        <f ca="1"/>
      </c>
      <c r="DQ182">
        <f ca="1"/>
      </c>
      <c r="DR182">
        <f ca="1"/>
      </c>
      <c r="DS182">
        <f ca="1"/>
      </c>
      <c r="DT182">
        <f ca="1"/>
      </c>
      <c r="DU182">
        <f ca="1"/>
      </c>
      <c r="DV182">
        <f ca="1"/>
      </c>
      <c r="DW182">
        <f ca="1"/>
      </c>
      <c r="DX182">
        <f ca="1"/>
      </c>
      <c r="DY182">
        <f ca="1"/>
      </c>
      <c r="DZ182">
        <f ca="1"/>
      </c>
      <c r="EA182">
        <f ca="1"/>
      </c>
      <c r="EB182">
        <f ca="1"/>
      </c>
      <c r="EC182">
        <f ca="1"/>
      </c>
      <c r="ED182">
        <f ca="1"/>
      </c>
      <c r="EE182">
        <f ca="1"/>
      </c>
      <c r="EF182">
        <f ca="1"/>
      </c>
      <c r="EG182">
        <f ca="1"/>
      </c>
      <c r="EH182">
        <f ca="1"/>
      </c>
      <c r="EI182">
        <f ca="1"/>
      </c>
      <c r="EJ182">
        <f ca="1"/>
      </c>
      <c r="EK182">
        <f ca="1"/>
      </c>
      <c r="EL182">
        <f ca="1"/>
      </c>
      <c r="EM182">
        <f ca="1"/>
      </c>
      <c r="EN182">
        <f ca="1"/>
      </c>
      <c r="EO182">
        <f ca="1"/>
      </c>
      <c r="EP182">
        <f ca="1"/>
      </c>
      <c r="EQ182">
        <f ca="1"/>
      </c>
      <c r="ER182">
        <f ca="1"/>
      </c>
      <c r="ES182">
        <f ca="1"/>
      </c>
      <c r="ET182">
        <f ca="1"/>
      </c>
      <c r="EU182">
        <f ca="1"/>
      </c>
      <c r="EV182">
        <f ca="1"/>
      </c>
      <c r="EW182">
        <f ca="1"/>
      </c>
      <c r="EX182">
        <f ca="1"/>
      </c>
      <c r="EY182">
        <f ca="1"/>
      </c>
      <c r="EZ182">
        <f ca="1"/>
      </c>
      <c r="FA182">
        <f ca="1"/>
      </c>
      <c r="FC182">
        <f ca="1"/>
      </c>
      <c r="FD182">
        <f ca="1"/>
      </c>
      <c r="FE182">
        <f ca="1"/>
      </c>
      <c r="FF182">
        <f ca="1"/>
      </c>
      <c r="FG182">
        <f ca="1"/>
      </c>
      <c r="FH182">
        <f ca="1"/>
      </c>
      <c r="FI182">
        <f ca="1"/>
      </c>
      <c r="FJ182">
        <f ca="1"/>
      </c>
      <c r="FK182">
        <f ca="1"/>
      </c>
      <c r="FL182">
        <f ca="1"/>
      </c>
      <c r="FM182">
        <f ca="1"/>
      </c>
      <c r="FN182">
        <f ca="1"/>
      </c>
      <c r="FO182">
        <f ca="1"/>
      </c>
      <c r="FP182">
        <f ca="1"/>
      </c>
      <c r="FQ182">
        <f ca="1"/>
      </c>
      <c r="FR182">
        <f ca="1"/>
      </c>
      <c r="FS182">
        <f ca="1"/>
      </c>
      <c r="FT182">
        <f ca="1"/>
      </c>
      <c r="FU182">
        <f ca="1"/>
      </c>
      <c r="FV182">
        <f ca="1"/>
      </c>
      <c r="FW182">
        <f ca="1"/>
      </c>
      <c r="FX182">
        <f ca="1"/>
      </c>
      <c r="FY182">
        <f ca="1"/>
      </c>
      <c r="FZ182">
        <f ca="1"/>
      </c>
      <c r="GA182">
        <f ca="1"/>
      </c>
      <c r="GB182">
        <f ca="1"/>
      </c>
      <c r="GC182">
        <f ca="1"/>
      </c>
      <c r="GD182">
        <f ca="1"/>
      </c>
      <c r="GE182">
        <f ca="1"/>
      </c>
      <c r="GF182">
        <f ca="1"/>
      </c>
      <c r="GG182">
        <f ca="1"/>
      </c>
      <c r="GH182">
        <f ca="1"/>
      </c>
      <c r="GI182">
        <f ca="1"/>
      </c>
      <c r="GJ182">
        <f ca="1"/>
      </c>
      <c r="GK182">
        <f ca="1"/>
      </c>
      <c r="GL182">
        <f ca="1"/>
      </c>
      <c r="GM182">
        <f ca="1"/>
      </c>
      <c r="GN182">
        <f ca="1"/>
      </c>
      <c r="GO182">
        <f ca="1"/>
      </c>
      <c r="GP182">
        <f ca="1"/>
      </c>
      <c r="GQ182">
        <f ca="1"/>
      </c>
      <c r="GR182">
        <f ca="1"/>
      </c>
      <c r="GS182">
        <f ca="1"/>
      </c>
      <c r="GT182">
        <f ca="1"/>
      </c>
      <c r="GU182">
        <f ca="1"/>
      </c>
      <c r="GV182">
        <f ca="1"/>
      </c>
      <c r="GW182">
        <f ca="1"/>
      </c>
      <c r="HI182" s="7">
        <f ca="1"/>
      </c>
      <c r="HJ182">
        <f ca="1"/>
      </c>
      <c r="HK182">
        <f ca="1"/>
      </c>
      <c r="HL182">
        <f ca="1"/>
      </c>
      <c r="HM182">
        <f ca="1"/>
      </c>
    </row>
    <row r="183" spans="63:221" x14ac:dyDescent="0.55000000000000004">
      <c r="BK183">
        <f ca="1"/>
      </c>
      <c r="BL183">
        <f ca="1"/>
      </c>
      <c r="BM183">
        <f ca="1"/>
      </c>
      <c r="BN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  <c r="BV183">
        <f ca="1"/>
      </c>
      <c r="BW183">
        <f ca="1"/>
      </c>
      <c r="BX183">
        <f ca="1"/>
      </c>
      <c r="BY183">
        <f ca="1"/>
      </c>
      <c r="BZ183">
        <f ca="1"/>
      </c>
      <c r="CA183">
        <f ca="1"/>
      </c>
      <c r="CB183">
        <f ca="1"/>
      </c>
      <c r="CC183">
        <f ca="1"/>
      </c>
      <c r="CD183">
        <f ca="1"/>
      </c>
      <c r="CE183">
        <f ca="1"/>
      </c>
      <c r="CF183">
        <f ca="1"/>
      </c>
      <c r="CG183">
        <f ca="1"/>
      </c>
      <c r="CH183">
        <f ca="1"/>
      </c>
      <c r="CI183">
        <f ca="1"/>
      </c>
      <c r="CJ183">
        <f ca="1"/>
      </c>
      <c r="CK183">
        <f ca="1"/>
      </c>
      <c r="CL183">
        <f ca="1"/>
      </c>
      <c r="CM183">
        <f ca="1"/>
      </c>
      <c r="CN183">
        <f ca="1"/>
      </c>
      <c r="CO183">
        <f ca="1"/>
      </c>
      <c r="CP183">
        <f ca="1"/>
      </c>
      <c r="CQ183">
        <f ca="1"/>
      </c>
      <c r="CR183">
        <f ca="1"/>
      </c>
      <c r="CS183">
        <f ca="1"/>
      </c>
      <c r="CT183">
        <f ca="1"/>
      </c>
      <c r="CU183">
        <f ca="1"/>
      </c>
      <c r="CV183">
        <f ca="1"/>
      </c>
      <c r="CW183">
        <f ca="1"/>
      </c>
      <c r="CX183">
        <f ca="1"/>
      </c>
      <c r="CY183">
        <f ca="1"/>
      </c>
      <c r="CZ183">
        <f ca="1"/>
      </c>
      <c r="DA183">
        <f ca="1"/>
      </c>
      <c r="DB183">
        <f ca="1"/>
      </c>
      <c r="DC183">
        <f ca="1"/>
      </c>
      <c r="DD183">
        <f ca="1"/>
      </c>
      <c r="DE183">
        <f ca="1"/>
      </c>
      <c r="DG183">
        <f ca="1"/>
      </c>
      <c r="DH183">
        <f ca="1"/>
      </c>
      <c r="DI183">
        <f ca="1"/>
      </c>
      <c r="DJ183">
        <f ca="1"/>
      </c>
      <c r="DK183">
        <f ca="1"/>
      </c>
      <c r="DL183">
        <f ca="1"/>
      </c>
      <c r="DM183">
        <f ca="1"/>
      </c>
      <c r="DN183">
        <f ca="1"/>
      </c>
      <c r="DO183">
        <f ca="1"/>
      </c>
      <c r="DP183">
        <f ca="1"/>
      </c>
      <c r="DQ183">
        <f ca="1"/>
      </c>
      <c r="DR183">
        <f ca="1"/>
      </c>
      <c r="DS183">
        <f ca="1"/>
      </c>
      <c r="DT183">
        <f ca="1"/>
      </c>
      <c r="DU183">
        <f ca="1"/>
      </c>
      <c r="DV183">
        <f ca="1"/>
      </c>
      <c r="DW183">
        <f ca="1"/>
      </c>
      <c r="DX183">
        <f ca="1"/>
      </c>
      <c r="DY183">
        <f ca="1"/>
      </c>
      <c r="DZ183">
        <f ca="1"/>
      </c>
      <c r="EA183">
        <f ca="1"/>
      </c>
      <c r="EB183">
        <f ca="1"/>
      </c>
      <c r="EC183">
        <f ca="1"/>
      </c>
      <c r="ED183">
        <f ca="1"/>
      </c>
      <c r="EE183">
        <f ca="1"/>
      </c>
      <c r="EF183">
        <f ca="1"/>
      </c>
      <c r="EG183">
        <f ca="1"/>
      </c>
      <c r="EH183">
        <f ca="1"/>
      </c>
      <c r="EI183">
        <f ca="1"/>
      </c>
      <c r="EJ183">
        <f ca="1"/>
      </c>
      <c r="EK183">
        <f ca="1"/>
      </c>
      <c r="EL183">
        <f ca="1"/>
      </c>
      <c r="EM183">
        <f ca="1"/>
      </c>
      <c r="EN183">
        <f ca="1"/>
      </c>
      <c r="EO183">
        <f ca="1"/>
      </c>
      <c r="EP183">
        <f ca="1"/>
      </c>
      <c r="EQ183">
        <f ca="1"/>
      </c>
      <c r="ER183">
        <f ca="1"/>
      </c>
      <c r="ES183">
        <f ca="1"/>
      </c>
      <c r="ET183">
        <f ca="1"/>
      </c>
      <c r="EU183">
        <f ca="1"/>
      </c>
      <c r="EV183">
        <f ca="1"/>
      </c>
      <c r="EW183">
        <f ca="1"/>
      </c>
      <c r="EX183">
        <f ca="1"/>
      </c>
      <c r="EY183">
        <f ca="1"/>
      </c>
      <c r="EZ183">
        <f ca="1"/>
      </c>
      <c r="FA183">
        <f ca="1"/>
      </c>
      <c r="FC183">
        <f ca="1"/>
      </c>
      <c r="FD183">
        <f ca="1"/>
      </c>
      <c r="FE183">
        <f ca="1"/>
      </c>
      <c r="FF183">
        <f ca="1"/>
      </c>
      <c r="FG183">
        <f ca="1"/>
      </c>
      <c r="FH183">
        <f ca="1"/>
      </c>
      <c r="FI183">
        <f ca="1"/>
      </c>
      <c r="FJ183">
        <f ca="1"/>
      </c>
      <c r="FK183">
        <f ca="1"/>
      </c>
      <c r="FL183">
        <f ca="1"/>
      </c>
      <c r="FM183">
        <f ca="1"/>
      </c>
      <c r="FN183">
        <f ca="1"/>
      </c>
      <c r="FO183">
        <f ca="1"/>
      </c>
      <c r="FP183">
        <f ca="1"/>
      </c>
      <c r="FQ183">
        <f ca="1"/>
      </c>
      <c r="FR183">
        <f ca="1"/>
      </c>
      <c r="FS183">
        <f ca="1"/>
      </c>
      <c r="FT183">
        <f ca="1"/>
      </c>
      <c r="FU183">
        <f ca="1"/>
      </c>
      <c r="FV183">
        <f ca="1"/>
      </c>
      <c r="FW183">
        <f ca="1"/>
      </c>
      <c r="FX183">
        <f ca="1"/>
      </c>
      <c r="FY183">
        <f ca="1"/>
      </c>
      <c r="FZ183">
        <f ca="1"/>
      </c>
      <c r="GA183">
        <f ca="1"/>
      </c>
      <c r="GB183">
        <f ca="1"/>
      </c>
      <c r="GC183">
        <f ca="1"/>
      </c>
      <c r="GD183">
        <f ca="1"/>
      </c>
      <c r="GE183">
        <f ca="1"/>
      </c>
      <c r="GF183">
        <f ca="1"/>
      </c>
      <c r="GG183">
        <f ca="1"/>
      </c>
      <c r="GH183">
        <f ca="1"/>
      </c>
      <c r="GI183">
        <f ca="1"/>
      </c>
      <c r="GJ183">
        <f ca="1"/>
      </c>
      <c r="GK183">
        <f ca="1"/>
      </c>
      <c r="GL183">
        <f ca="1"/>
      </c>
      <c r="GM183">
        <f ca="1"/>
      </c>
      <c r="GN183">
        <f ca="1"/>
      </c>
      <c r="GO183">
        <f ca="1"/>
      </c>
      <c r="GP183">
        <f ca="1"/>
      </c>
      <c r="GQ183">
        <f ca="1"/>
      </c>
      <c r="GR183">
        <f ca="1"/>
      </c>
      <c r="GS183">
        <f ca="1"/>
      </c>
      <c r="GT183">
        <f ca="1"/>
      </c>
      <c r="GU183">
        <f ca="1"/>
      </c>
      <c r="GV183">
        <f ca="1"/>
      </c>
      <c r="GW183">
        <f ca="1"/>
      </c>
      <c r="HI183" s="7">
        <f ca="1"/>
      </c>
      <c r="HJ183">
        <f ca="1"/>
      </c>
      <c r="HK183">
        <f ca="1"/>
      </c>
      <c r="HL183">
        <f ca="1"/>
      </c>
      <c r="HM183">
        <f ca="1"/>
      </c>
    </row>
    <row r="184" spans="63:221" x14ac:dyDescent="0.55000000000000004">
      <c r="BK184">
        <f ca="1"/>
      </c>
      <c r="BL184">
        <f ca="1"/>
      </c>
      <c r="BM184">
        <f ca="1"/>
      </c>
      <c r="BN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  <c r="BV184">
        <f ca="1"/>
      </c>
      <c r="BW184">
        <f ca="1"/>
      </c>
      <c r="BX184">
        <f ca="1"/>
      </c>
      <c r="BY184">
        <f ca="1"/>
      </c>
      <c r="BZ184">
        <f ca="1"/>
      </c>
      <c r="CA184">
        <f ca="1"/>
      </c>
      <c r="CB184">
        <f ca="1"/>
      </c>
      <c r="CC184">
        <f ca="1"/>
      </c>
      <c r="CD184">
        <f ca="1"/>
      </c>
      <c r="CE184">
        <f ca="1"/>
      </c>
      <c r="CF184">
        <f ca="1"/>
      </c>
      <c r="CG184">
        <f ca="1"/>
      </c>
      <c r="CH184">
        <f ca="1"/>
      </c>
      <c r="CI184">
        <f ca="1"/>
      </c>
      <c r="CJ184">
        <f ca="1"/>
      </c>
      <c r="CK184">
        <f ca="1"/>
      </c>
      <c r="CL184">
        <f ca="1"/>
      </c>
      <c r="CM184">
        <f ca="1"/>
      </c>
      <c r="CN184">
        <f ca="1"/>
      </c>
      <c r="CO184">
        <f ca="1"/>
      </c>
      <c r="CP184">
        <f ca="1"/>
      </c>
      <c r="CQ184">
        <f ca="1"/>
      </c>
      <c r="CR184">
        <f ca="1"/>
      </c>
      <c r="CS184">
        <f ca="1"/>
      </c>
      <c r="CT184">
        <f ca="1"/>
      </c>
      <c r="CU184">
        <f ca="1"/>
      </c>
      <c r="CV184">
        <f ca="1"/>
      </c>
      <c r="CW184">
        <f ca="1"/>
      </c>
      <c r="CX184">
        <f ca="1"/>
      </c>
      <c r="CY184">
        <f ca="1"/>
      </c>
      <c r="CZ184">
        <f ca="1"/>
      </c>
      <c r="DA184">
        <f ca="1"/>
      </c>
      <c r="DB184">
        <f ca="1"/>
      </c>
      <c r="DC184">
        <f ca="1"/>
      </c>
      <c r="DD184">
        <f ca="1"/>
      </c>
      <c r="DE184">
        <f ca="1"/>
      </c>
      <c r="DG184">
        <f ca="1"/>
      </c>
      <c r="DH184">
        <f ca="1"/>
      </c>
      <c r="DI184">
        <f ca="1"/>
      </c>
      <c r="DJ184">
        <f ca="1"/>
      </c>
      <c r="DK184">
        <f ca="1"/>
      </c>
      <c r="DL184">
        <f ca="1"/>
      </c>
      <c r="DM184">
        <f ca="1"/>
      </c>
      <c r="DN184">
        <f ca="1"/>
      </c>
      <c r="DO184">
        <f ca="1"/>
      </c>
      <c r="DP184">
        <f ca="1"/>
      </c>
      <c r="DQ184">
        <f ca="1"/>
      </c>
      <c r="DR184">
        <f ca="1"/>
      </c>
      <c r="DS184">
        <f ca="1"/>
      </c>
      <c r="DT184">
        <f ca="1"/>
      </c>
      <c r="DU184">
        <f ca="1"/>
      </c>
      <c r="DV184">
        <f ca="1"/>
      </c>
      <c r="DW184">
        <f ca="1"/>
      </c>
      <c r="DX184">
        <f ca="1"/>
      </c>
      <c r="DY184">
        <f ca="1"/>
      </c>
      <c r="DZ184">
        <f ca="1"/>
      </c>
      <c r="EA184">
        <f ca="1"/>
      </c>
      <c r="EB184">
        <f ca="1"/>
      </c>
      <c r="EC184">
        <f ca="1"/>
      </c>
      <c r="ED184">
        <f ca="1"/>
      </c>
      <c r="EE184">
        <f ca="1"/>
      </c>
      <c r="EF184">
        <f ca="1"/>
      </c>
      <c r="EG184">
        <f ca="1"/>
      </c>
      <c r="EH184">
        <f ca="1"/>
      </c>
      <c r="EI184">
        <f ca="1"/>
      </c>
      <c r="EJ184">
        <f ca="1"/>
      </c>
      <c r="EK184">
        <f ca="1"/>
      </c>
      <c r="EL184">
        <f ca="1"/>
      </c>
      <c r="EM184">
        <f ca="1"/>
      </c>
      <c r="EN184">
        <f ca="1"/>
      </c>
      <c r="EO184">
        <f ca="1"/>
      </c>
      <c r="EP184">
        <f ca="1"/>
      </c>
      <c r="EQ184">
        <f ca="1"/>
      </c>
      <c r="ER184">
        <f ca="1"/>
      </c>
      <c r="ES184">
        <f ca="1"/>
      </c>
      <c r="ET184">
        <f ca="1"/>
      </c>
      <c r="EU184">
        <f ca="1"/>
      </c>
      <c r="EV184">
        <f ca="1"/>
      </c>
      <c r="EW184">
        <f ca="1"/>
      </c>
      <c r="EX184">
        <f ca="1"/>
      </c>
      <c r="EY184">
        <f ca="1"/>
      </c>
      <c r="EZ184">
        <f ca="1"/>
      </c>
      <c r="FA184">
        <f ca="1"/>
      </c>
      <c r="FC184">
        <f ca="1"/>
      </c>
      <c r="FD184">
        <f ca="1"/>
      </c>
      <c r="FE184">
        <f ca="1"/>
      </c>
      <c r="FF184">
        <f ca="1"/>
      </c>
      <c r="FG184">
        <f ca="1"/>
      </c>
      <c r="FH184">
        <f ca="1"/>
      </c>
      <c r="FI184">
        <f ca="1"/>
      </c>
      <c r="FJ184">
        <f ca="1"/>
      </c>
      <c r="FK184">
        <f ca="1"/>
      </c>
      <c r="FL184">
        <f ca="1"/>
      </c>
      <c r="FM184">
        <f ca="1"/>
      </c>
      <c r="FN184">
        <f ca="1"/>
      </c>
      <c r="FO184">
        <f ca="1"/>
      </c>
      <c r="FP184">
        <f ca="1"/>
      </c>
      <c r="FQ184">
        <f ca="1"/>
      </c>
      <c r="FR184">
        <f ca="1"/>
      </c>
      <c r="FS184">
        <f ca="1"/>
      </c>
      <c r="FT184">
        <f ca="1"/>
      </c>
      <c r="FU184">
        <f ca="1"/>
      </c>
      <c r="FV184">
        <f ca="1"/>
      </c>
      <c r="FW184">
        <f ca="1"/>
      </c>
      <c r="FX184">
        <f ca="1"/>
      </c>
      <c r="FY184">
        <f ca="1"/>
      </c>
      <c r="FZ184">
        <f ca="1"/>
      </c>
      <c r="GA184">
        <f ca="1"/>
      </c>
      <c r="GB184">
        <f ca="1"/>
      </c>
      <c r="GC184">
        <f ca="1"/>
      </c>
      <c r="GD184">
        <f ca="1"/>
      </c>
      <c r="GE184">
        <f ca="1"/>
      </c>
      <c r="GF184">
        <f ca="1"/>
      </c>
      <c r="GG184">
        <f ca="1"/>
      </c>
      <c r="GH184">
        <f ca="1"/>
      </c>
      <c r="GI184">
        <f ca="1"/>
      </c>
      <c r="GJ184">
        <f ca="1"/>
      </c>
      <c r="GK184">
        <f ca="1"/>
      </c>
      <c r="GL184">
        <f ca="1"/>
      </c>
      <c r="GM184">
        <f ca="1"/>
      </c>
      <c r="GN184">
        <f ca="1"/>
      </c>
      <c r="GO184">
        <f ca="1"/>
      </c>
      <c r="GP184">
        <f ca="1"/>
      </c>
      <c r="GQ184">
        <f ca="1"/>
      </c>
      <c r="GR184">
        <f ca="1"/>
      </c>
      <c r="GS184">
        <f ca="1"/>
      </c>
      <c r="GT184">
        <f ca="1"/>
      </c>
      <c r="GU184">
        <f ca="1"/>
      </c>
      <c r="GV184">
        <f ca="1"/>
      </c>
      <c r="GW184">
        <f ca="1"/>
      </c>
      <c r="HI184" s="7">
        <f ca="1"/>
      </c>
      <c r="HJ184">
        <f ca="1"/>
      </c>
      <c r="HK184">
        <f ca="1"/>
      </c>
      <c r="HL184">
        <f ca="1"/>
      </c>
      <c r="HM184">
        <f ca="1"/>
      </c>
    </row>
    <row r="185" spans="63:221" x14ac:dyDescent="0.55000000000000004">
      <c r="BK185">
        <f ca="1"/>
      </c>
      <c r="BL185">
        <f ca="1"/>
      </c>
      <c r="BM185">
        <f ca="1"/>
      </c>
      <c r="BN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  <c r="BV185">
        <f ca="1"/>
      </c>
      <c r="BW185">
        <f ca="1"/>
      </c>
      <c r="BX185">
        <f ca="1"/>
      </c>
      <c r="BY185">
        <f ca="1"/>
      </c>
      <c r="BZ185">
        <f ca="1"/>
      </c>
      <c r="CA185">
        <f ca="1"/>
      </c>
      <c r="CB185">
        <f ca="1"/>
      </c>
      <c r="CC185">
        <f ca="1"/>
      </c>
      <c r="CD185">
        <f ca="1"/>
      </c>
      <c r="CE185">
        <f ca="1"/>
      </c>
      <c r="CF185">
        <f ca="1"/>
      </c>
      <c r="CG185">
        <f ca="1"/>
      </c>
      <c r="CH185">
        <f ca="1"/>
      </c>
      <c r="CI185">
        <f ca="1"/>
      </c>
      <c r="CJ185">
        <f ca="1"/>
      </c>
      <c r="CK185">
        <f ca="1"/>
      </c>
      <c r="CL185">
        <f ca="1"/>
      </c>
      <c r="CM185">
        <f ca="1"/>
      </c>
      <c r="CN185">
        <f ca="1"/>
      </c>
      <c r="CO185">
        <f ca="1"/>
      </c>
      <c r="CP185">
        <f ca="1"/>
      </c>
      <c r="CQ185">
        <f ca="1"/>
      </c>
      <c r="CR185">
        <f ca="1"/>
      </c>
      <c r="CS185">
        <f ca="1"/>
      </c>
      <c r="CT185">
        <f ca="1"/>
      </c>
      <c r="CU185">
        <f ca="1"/>
      </c>
      <c r="CV185">
        <f ca="1"/>
      </c>
      <c r="CW185">
        <f ca="1"/>
      </c>
      <c r="CX185">
        <f ca="1"/>
      </c>
      <c r="CY185">
        <f ca="1"/>
      </c>
      <c r="CZ185">
        <f ca="1"/>
      </c>
      <c r="DA185">
        <f ca="1"/>
      </c>
      <c r="DB185">
        <f ca="1"/>
      </c>
      <c r="DC185">
        <f ca="1"/>
      </c>
      <c r="DD185">
        <f ca="1"/>
      </c>
      <c r="DE185">
        <f ca="1"/>
      </c>
      <c r="DG185">
        <f ca="1"/>
      </c>
      <c r="DH185">
        <f ca="1"/>
      </c>
      <c r="DI185">
        <f ca="1"/>
      </c>
      <c r="DJ185">
        <f ca="1"/>
      </c>
      <c r="DK185">
        <f ca="1"/>
      </c>
      <c r="DL185">
        <f ca="1"/>
      </c>
      <c r="DM185">
        <f ca="1"/>
      </c>
      <c r="DN185">
        <f ca="1"/>
      </c>
      <c r="DO185">
        <f ca="1"/>
      </c>
      <c r="DP185">
        <f ca="1"/>
      </c>
      <c r="DQ185">
        <f ca="1"/>
      </c>
      <c r="DR185">
        <f ca="1"/>
      </c>
      <c r="DS185">
        <f ca="1"/>
      </c>
      <c r="DT185">
        <f ca="1"/>
      </c>
      <c r="DU185">
        <f ca="1"/>
      </c>
      <c r="DV185">
        <f ca="1"/>
      </c>
      <c r="DW185">
        <f ca="1"/>
      </c>
      <c r="DX185">
        <f ca="1"/>
      </c>
      <c r="DY185">
        <f ca="1"/>
      </c>
      <c r="DZ185">
        <f ca="1"/>
      </c>
      <c r="EA185">
        <f ca="1"/>
      </c>
      <c r="EB185">
        <f ca="1"/>
      </c>
      <c r="EC185">
        <f ca="1"/>
      </c>
      <c r="ED185">
        <f ca="1"/>
      </c>
      <c r="EE185">
        <f ca="1"/>
      </c>
      <c r="EF185">
        <f ca="1"/>
      </c>
      <c r="EG185">
        <f ca="1"/>
      </c>
      <c r="EH185">
        <f ca="1"/>
      </c>
      <c r="EI185">
        <f ca="1"/>
      </c>
      <c r="EJ185">
        <f ca="1"/>
      </c>
      <c r="EK185">
        <f ca="1"/>
      </c>
      <c r="EL185">
        <f ca="1"/>
      </c>
      <c r="EM185">
        <f ca="1"/>
      </c>
      <c r="EN185">
        <f ca="1"/>
      </c>
      <c r="EO185">
        <f ca="1"/>
      </c>
      <c r="EP185">
        <f ca="1"/>
      </c>
      <c r="EQ185">
        <f ca="1"/>
      </c>
      <c r="ER185">
        <f ca="1"/>
      </c>
      <c r="ES185">
        <f ca="1"/>
      </c>
      <c r="ET185">
        <f ca="1"/>
      </c>
      <c r="EU185">
        <f ca="1"/>
      </c>
      <c r="EV185">
        <f ca="1"/>
      </c>
      <c r="EW185">
        <f ca="1"/>
      </c>
      <c r="EX185">
        <f ca="1"/>
      </c>
      <c r="EY185">
        <f ca="1"/>
      </c>
      <c r="EZ185">
        <f ca="1"/>
      </c>
      <c r="FA185">
        <f ca="1"/>
      </c>
      <c r="FC185">
        <f ca="1"/>
      </c>
      <c r="FD185">
        <f ca="1"/>
      </c>
      <c r="FE185">
        <f ca="1"/>
      </c>
      <c r="FF185">
        <f ca="1"/>
      </c>
      <c r="FG185">
        <f ca="1"/>
      </c>
      <c r="FH185">
        <f ca="1"/>
      </c>
      <c r="FI185">
        <f ca="1"/>
      </c>
      <c r="FJ185">
        <f ca="1"/>
      </c>
      <c r="FK185">
        <f ca="1"/>
      </c>
      <c r="FL185">
        <f ca="1"/>
      </c>
      <c r="FM185">
        <f ca="1"/>
      </c>
      <c r="FN185">
        <f ca="1"/>
      </c>
      <c r="FO185">
        <f ca="1"/>
      </c>
      <c r="FP185">
        <f ca="1"/>
      </c>
      <c r="FQ185">
        <f ca="1"/>
      </c>
      <c r="FR185">
        <f ca="1"/>
      </c>
      <c r="FS185">
        <f ca="1"/>
      </c>
      <c r="FT185">
        <f ca="1"/>
      </c>
      <c r="FU185">
        <f ca="1"/>
      </c>
      <c r="FV185">
        <f ca="1"/>
      </c>
      <c r="FW185">
        <f ca="1"/>
      </c>
      <c r="FX185">
        <f ca="1"/>
      </c>
      <c r="FY185">
        <f ca="1"/>
      </c>
      <c r="FZ185">
        <f ca="1"/>
      </c>
      <c r="GA185">
        <f ca="1"/>
      </c>
      <c r="GB185">
        <f ca="1"/>
      </c>
      <c r="GC185">
        <f ca="1"/>
      </c>
      <c r="GD185">
        <f ca="1"/>
      </c>
      <c r="GE185">
        <f ca="1"/>
      </c>
      <c r="GF185">
        <f ca="1"/>
      </c>
      <c r="GG185">
        <f ca="1"/>
      </c>
      <c r="GH185">
        <f ca="1"/>
      </c>
      <c r="GI185">
        <f ca="1"/>
      </c>
      <c r="GJ185">
        <f ca="1"/>
      </c>
      <c r="GK185">
        <f ca="1"/>
      </c>
      <c r="GL185">
        <f ca="1"/>
      </c>
      <c r="GM185">
        <f ca="1"/>
      </c>
      <c r="GN185">
        <f ca="1"/>
      </c>
      <c r="GO185">
        <f ca="1"/>
      </c>
      <c r="GP185">
        <f ca="1"/>
      </c>
      <c r="GQ185">
        <f ca="1"/>
      </c>
      <c r="GR185">
        <f ca="1"/>
      </c>
      <c r="GS185">
        <f ca="1"/>
      </c>
      <c r="GT185">
        <f ca="1"/>
      </c>
      <c r="GU185">
        <f ca="1"/>
      </c>
      <c r="GV185">
        <f ca="1"/>
      </c>
      <c r="GW185">
        <f ca="1"/>
      </c>
      <c r="HI185" s="7">
        <f ca="1"/>
      </c>
      <c r="HJ185">
        <f ca="1"/>
      </c>
      <c r="HK185">
        <f ca="1"/>
      </c>
      <c r="HL185">
        <f ca="1"/>
      </c>
      <c r="HM185">
        <f ca="1"/>
      </c>
    </row>
    <row r="186" spans="63:221" x14ac:dyDescent="0.55000000000000004">
      <c r="BK186">
        <f ca="1"/>
      </c>
      <c r="BL186">
        <f ca="1"/>
      </c>
      <c r="BM186">
        <f ca="1"/>
      </c>
      <c r="BN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  <c r="BV186">
        <f ca="1"/>
      </c>
      <c r="BW186">
        <f ca="1"/>
      </c>
      <c r="BX186">
        <f ca="1"/>
      </c>
      <c r="BY186">
        <f ca="1"/>
      </c>
      <c r="BZ186">
        <f ca="1"/>
      </c>
      <c r="CA186">
        <f ca="1"/>
      </c>
      <c r="CB186">
        <f ca="1"/>
      </c>
      <c r="CC186">
        <f ca="1"/>
      </c>
      <c r="CD186">
        <f ca="1"/>
      </c>
      <c r="CE186">
        <f ca="1"/>
      </c>
      <c r="CF186">
        <f ca="1"/>
      </c>
      <c r="CG186">
        <f ca="1"/>
      </c>
      <c r="CH186">
        <f ca="1"/>
      </c>
      <c r="CI186">
        <f ca="1"/>
      </c>
      <c r="CJ186">
        <f ca="1"/>
      </c>
      <c r="CK186">
        <f ca="1"/>
      </c>
      <c r="CL186">
        <f ca="1"/>
      </c>
      <c r="CM186">
        <f ca="1"/>
      </c>
      <c r="CN186">
        <f ca="1"/>
      </c>
      <c r="CO186">
        <f ca="1"/>
      </c>
      <c r="CP186">
        <f ca="1"/>
      </c>
      <c r="CQ186">
        <f ca="1"/>
      </c>
      <c r="CR186">
        <f ca="1"/>
      </c>
      <c r="CS186">
        <f ca="1"/>
      </c>
      <c r="CT186">
        <f ca="1"/>
      </c>
      <c r="CU186">
        <f ca="1"/>
      </c>
      <c r="CV186">
        <f ca="1"/>
      </c>
      <c r="CW186">
        <f ca="1"/>
      </c>
      <c r="CX186">
        <f ca="1"/>
      </c>
      <c r="CY186">
        <f ca="1"/>
      </c>
      <c r="CZ186">
        <f ca="1"/>
      </c>
      <c r="DA186">
        <f ca="1"/>
      </c>
      <c r="DB186">
        <f ca="1"/>
      </c>
      <c r="DC186">
        <f ca="1"/>
      </c>
      <c r="DD186">
        <f ca="1"/>
      </c>
      <c r="DE186">
        <f ca="1"/>
      </c>
      <c r="DG186">
        <f ca="1"/>
      </c>
      <c r="DH186">
        <f ca="1"/>
      </c>
      <c r="DI186">
        <f ca="1"/>
      </c>
      <c r="DJ186">
        <f ca="1"/>
      </c>
      <c r="DK186">
        <f ca="1"/>
      </c>
      <c r="DL186">
        <f ca="1"/>
      </c>
      <c r="DM186">
        <f ca="1"/>
      </c>
      <c r="DN186">
        <f ca="1"/>
      </c>
      <c r="DO186">
        <f ca="1"/>
      </c>
      <c r="DP186">
        <f ca="1"/>
      </c>
      <c r="DQ186">
        <f ca="1"/>
      </c>
      <c r="DR186">
        <f ca="1"/>
      </c>
      <c r="DS186">
        <f ca="1"/>
      </c>
      <c r="DT186">
        <f ca="1"/>
      </c>
      <c r="DU186">
        <f ca="1"/>
      </c>
      <c r="DV186">
        <f ca="1"/>
      </c>
      <c r="DW186">
        <f ca="1"/>
      </c>
      <c r="DX186">
        <f ca="1"/>
      </c>
      <c r="DY186">
        <f ca="1"/>
      </c>
      <c r="DZ186">
        <f ca="1"/>
      </c>
      <c r="EA186">
        <f ca="1"/>
      </c>
      <c r="EB186">
        <f ca="1"/>
      </c>
      <c r="EC186">
        <f ca="1"/>
      </c>
      <c r="ED186">
        <f ca="1"/>
      </c>
      <c r="EE186">
        <f ca="1"/>
      </c>
      <c r="EF186">
        <f ca="1"/>
      </c>
      <c r="EG186">
        <f ca="1"/>
      </c>
      <c r="EH186">
        <f ca="1"/>
      </c>
      <c r="EI186">
        <f ca="1"/>
      </c>
      <c r="EJ186">
        <f ca="1"/>
      </c>
      <c r="EK186">
        <f ca="1"/>
      </c>
      <c r="EL186">
        <f ca="1"/>
      </c>
      <c r="EM186">
        <f ca="1"/>
      </c>
      <c r="EN186">
        <f ca="1"/>
      </c>
      <c r="EO186">
        <f ca="1"/>
      </c>
      <c r="EP186">
        <f ca="1"/>
      </c>
      <c r="EQ186">
        <f ca="1"/>
      </c>
      <c r="ER186">
        <f ca="1"/>
      </c>
      <c r="ES186">
        <f ca="1"/>
      </c>
      <c r="ET186">
        <f ca="1"/>
      </c>
      <c r="EU186">
        <f ca="1"/>
      </c>
      <c r="EV186">
        <f ca="1"/>
      </c>
      <c r="EW186">
        <f ca="1"/>
      </c>
      <c r="EX186">
        <f ca="1"/>
      </c>
      <c r="EY186">
        <f ca="1"/>
      </c>
      <c r="EZ186">
        <f ca="1"/>
      </c>
      <c r="FA186">
        <f ca="1"/>
      </c>
      <c r="FC186">
        <f ca="1"/>
      </c>
      <c r="FD186">
        <f ca="1"/>
      </c>
      <c r="FE186">
        <f ca="1"/>
      </c>
      <c r="FF186">
        <f ca="1"/>
      </c>
      <c r="FG186">
        <f ca="1"/>
      </c>
      <c r="FH186">
        <f ca="1"/>
      </c>
      <c r="FI186">
        <f ca="1"/>
      </c>
      <c r="FJ186">
        <f ca="1"/>
      </c>
      <c r="FK186">
        <f ca="1"/>
      </c>
      <c r="FL186">
        <f ca="1"/>
      </c>
      <c r="FM186">
        <f ca="1"/>
      </c>
      <c r="FN186">
        <f ca="1"/>
      </c>
      <c r="FO186">
        <f ca="1"/>
      </c>
      <c r="FP186">
        <f ca="1"/>
      </c>
      <c r="FQ186">
        <f ca="1"/>
      </c>
      <c r="FR186">
        <f ca="1"/>
      </c>
      <c r="FS186">
        <f ca="1"/>
      </c>
      <c r="FT186">
        <f ca="1"/>
      </c>
      <c r="FU186">
        <f ca="1"/>
      </c>
      <c r="FV186">
        <f ca="1"/>
      </c>
      <c r="FW186">
        <f ca="1"/>
      </c>
      <c r="FX186">
        <f ca="1"/>
      </c>
      <c r="FY186">
        <f ca="1"/>
      </c>
      <c r="FZ186">
        <f ca="1"/>
      </c>
      <c r="GA186">
        <f ca="1"/>
      </c>
      <c r="GB186">
        <f ca="1"/>
      </c>
      <c r="GC186">
        <f ca="1"/>
      </c>
      <c r="GD186">
        <f ca="1"/>
      </c>
      <c r="GE186">
        <f ca="1"/>
      </c>
      <c r="GF186">
        <f ca="1"/>
      </c>
      <c r="GG186">
        <f ca="1"/>
      </c>
      <c r="GH186">
        <f ca="1"/>
      </c>
      <c r="GI186">
        <f ca="1"/>
      </c>
      <c r="GJ186">
        <f ca="1"/>
      </c>
      <c r="GK186">
        <f ca="1"/>
      </c>
      <c r="GL186">
        <f ca="1"/>
      </c>
      <c r="GM186">
        <f ca="1"/>
      </c>
      <c r="GN186">
        <f ca="1"/>
      </c>
      <c r="GO186">
        <f ca="1"/>
      </c>
      <c r="GP186">
        <f ca="1"/>
      </c>
      <c r="GQ186">
        <f ca="1"/>
      </c>
      <c r="GR186">
        <f ca="1"/>
      </c>
      <c r="GS186">
        <f ca="1"/>
      </c>
      <c r="GT186">
        <f ca="1"/>
      </c>
      <c r="GU186">
        <f ca="1"/>
      </c>
      <c r="GV186">
        <f ca="1"/>
      </c>
      <c r="GW186">
        <f ca="1"/>
      </c>
      <c r="HI186" s="7">
        <f ca="1"/>
      </c>
      <c r="HJ186">
        <f ca="1"/>
      </c>
      <c r="HK186">
        <f ca="1"/>
      </c>
      <c r="HL186">
        <f ca="1"/>
      </c>
      <c r="HM186">
        <f ca="1"/>
      </c>
    </row>
    <row r="187" spans="63:221" x14ac:dyDescent="0.55000000000000004">
      <c r="BK187">
        <f ca="1"/>
      </c>
      <c r="BL187">
        <f ca="1"/>
      </c>
      <c r="BM187">
        <f ca="1"/>
      </c>
      <c r="BN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  <c r="BV187">
        <f ca="1"/>
      </c>
      <c r="BW187">
        <f ca="1"/>
      </c>
      <c r="BX187">
        <f ca="1"/>
      </c>
      <c r="BY187">
        <f ca="1"/>
      </c>
      <c r="BZ187">
        <f ca="1"/>
      </c>
      <c r="CA187">
        <f ca="1"/>
      </c>
      <c r="CB187">
        <f ca="1"/>
      </c>
      <c r="CC187">
        <f ca="1"/>
      </c>
      <c r="CD187">
        <f ca="1"/>
      </c>
      <c r="CE187">
        <f ca="1"/>
      </c>
      <c r="CF187">
        <f ca="1"/>
      </c>
      <c r="CG187">
        <f ca="1"/>
      </c>
      <c r="CH187">
        <f ca="1"/>
      </c>
      <c r="CI187">
        <f ca="1"/>
      </c>
      <c r="CJ187">
        <f ca="1"/>
      </c>
      <c r="CK187">
        <f ca="1"/>
      </c>
      <c r="CL187">
        <f ca="1"/>
      </c>
      <c r="CM187">
        <f ca="1"/>
      </c>
      <c r="CN187">
        <f ca="1"/>
      </c>
      <c r="CO187">
        <f ca="1"/>
      </c>
      <c r="CP187">
        <f ca="1"/>
      </c>
      <c r="CQ187">
        <f ca="1"/>
      </c>
      <c r="CR187">
        <f ca="1"/>
      </c>
      <c r="CS187">
        <f ca="1"/>
      </c>
      <c r="CT187">
        <f ca="1"/>
      </c>
      <c r="CU187">
        <f ca="1"/>
      </c>
      <c r="CV187">
        <f ca="1"/>
      </c>
      <c r="CW187">
        <f ca="1"/>
      </c>
      <c r="CX187">
        <f ca="1"/>
      </c>
      <c r="CY187">
        <f ca="1"/>
      </c>
      <c r="CZ187">
        <f ca="1"/>
      </c>
      <c r="DA187">
        <f ca="1"/>
      </c>
      <c r="DB187">
        <f ca="1"/>
      </c>
      <c r="DC187">
        <f ca="1"/>
      </c>
      <c r="DD187">
        <f ca="1"/>
      </c>
      <c r="DE187">
        <f ca="1"/>
      </c>
      <c r="DG187">
        <f ca="1"/>
      </c>
      <c r="DH187">
        <f ca="1"/>
      </c>
      <c r="DI187">
        <f ca="1"/>
      </c>
      <c r="DJ187">
        <f ca="1"/>
      </c>
      <c r="DK187">
        <f ca="1"/>
      </c>
      <c r="DL187">
        <f ca="1"/>
      </c>
      <c r="DM187">
        <f ca="1"/>
      </c>
      <c r="DN187">
        <f ca="1"/>
      </c>
      <c r="DO187">
        <f ca="1"/>
      </c>
      <c r="DP187">
        <f ca="1"/>
      </c>
      <c r="DQ187">
        <f ca="1"/>
      </c>
      <c r="DR187">
        <f ca="1"/>
      </c>
      <c r="DS187">
        <f ca="1"/>
      </c>
      <c r="DT187">
        <f ca="1"/>
      </c>
      <c r="DU187">
        <f ca="1"/>
      </c>
      <c r="DV187">
        <f ca="1"/>
      </c>
      <c r="DW187">
        <f ca="1"/>
      </c>
      <c r="DX187">
        <f ca="1"/>
      </c>
      <c r="DY187">
        <f ca="1"/>
      </c>
      <c r="DZ187">
        <f ca="1"/>
      </c>
      <c r="EA187">
        <f ca="1"/>
      </c>
      <c r="EB187">
        <f ca="1"/>
      </c>
      <c r="EC187">
        <f ca="1"/>
      </c>
      <c r="ED187">
        <f ca="1"/>
      </c>
      <c r="EE187">
        <f ca="1"/>
      </c>
      <c r="EF187">
        <f ca="1"/>
      </c>
      <c r="EG187">
        <f ca="1"/>
      </c>
      <c r="EH187">
        <f ca="1"/>
      </c>
      <c r="EI187">
        <f ca="1"/>
      </c>
      <c r="EJ187">
        <f ca="1"/>
      </c>
      <c r="EK187">
        <f ca="1"/>
      </c>
      <c r="EL187">
        <f ca="1"/>
      </c>
      <c r="EM187">
        <f ca="1"/>
      </c>
      <c r="EN187">
        <f ca="1"/>
      </c>
      <c r="EO187">
        <f ca="1"/>
      </c>
      <c r="EP187">
        <f ca="1"/>
      </c>
      <c r="EQ187">
        <f ca="1"/>
      </c>
      <c r="ER187">
        <f ca="1"/>
      </c>
      <c r="ES187">
        <f ca="1"/>
      </c>
      <c r="ET187">
        <f ca="1"/>
      </c>
      <c r="EU187">
        <f ca="1"/>
      </c>
      <c r="EV187">
        <f ca="1"/>
      </c>
      <c r="EW187">
        <f ca="1"/>
      </c>
      <c r="EX187">
        <f ca="1"/>
      </c>
      <c r="EY187">
        <f ca="1"/>
      </c>
      <c r="EZ187">
        <f ca="1"/>
      </c>
      <c r="FA187">
        <f ca="1"/>
      </c>
      <c r="FC187">
        <f ca="1"/>
      </c>
      <c r="FD187">
        <f ca="1"/>
      </c>
      <c r="FE187">
        <f ca="1"/>
      </c>
      <c r="FF187">
        <f ca="1"/>
      </c>
      <c r="FG187">
        <f ca="1"/>
      </c>
      <c r="FH187">
        <f ca="1"/>
      </c>
      <c r="FI187">
        <f ca="1"/>
      </c>
      <c r="FJ187">
        <f ca="1"/>
      </c>
      <c r="FK187">
        <f ca="1"/>
      </c>
      <c r="FL187">
        <f ca="1"/>
      </c>
      <c r="FM187">
        <f ca="1"/>
      </c>
      <c r="FN187">
        <f ca="1"/>
      </c>
      <c r="FO187">
        <f ca="1"/>
      </c>
      <c r="FP187">
        <f ca="1"/>
      </c>
      <c r="FQ187">
        <f ca="1"/>
      </c>
      <c r="FR187">
        <f ca="1"/>
      </c>
      <c r="FS187">
        <f ca="1"/>
      </c>
      <c r="FT187">
        <f ca="1"/>
      </c>
      <c r="FU187">
        <f ca="1"/>
      </c>
      <c r="FV187">
        <f ca="1"/>
      </c>
      <c r="FW187">
        <f ca="1"/>
      </c>
      <c r="FX187">
        <f ca="1"/>
      </c>
      <c r="FY187">
        <f ca="1"/>
      </c>
      <c r="FZ187">
        <f ca="1"/>
      </c>
      <c r="GA187">
        <f ca="1"/>
      </c>
      <c r="GB187">
        <f ca="1"/>
      </c>
      <c r="GC187">
        <f ca="1"/>
      </c>
      <c r="GD187">
        <f ca="1"/>
      </c>
      <c r="GE187">
        <f ca="1"/>
      </c>
      <c r="GF187">
        <f ca="1"/>
      </c>
      <c r="GG187">
        <f ca="1"/>
      </c>
      <c r="GH187">
        <f ca="1"/>
      </c>
      <c r="GI187">
        <f ca="1"/>
      </c>
      <c r="GJ187">
        <f ca="1"/>
      </c>
      <c r="GK187">
        <f ca="1"/>
      </c>
      <c r="GL187">
        <f ca="1"/>
      </c>
      <c r="GM187">
        <f ca="1"/>
      </c>
      <c r="GN187">
        <f ca="1"/>
      </c>
      <c r="GO187">
        <f ca="1"/>
      </c>
      <c r="GP187">
        <f ca="1"/>
      </c>
      <c r="GQ187">
        <f ca="1"/>
      </c>
      <c r="GR187">
        <f ca="1"/>
      </c>
      <c r="GS187">
        <f ca="1"/>
      </c>
      <c r="GT187">
        <f ca="1"/>
      </c>
      <c r="GU187">
        <f ca="1"/>
      </c>
      <c r="GV187">
        <f ca="1"/>
      </c>
      <c r="GW187">
        <f ca="1"/>
      </c>
      <c r="HI187" s="7">
        <f ca="1"/>
      </c>
      <c r="HJ187">
        <f ca="1"/>
      </c>
      <c r="HK187">
        <f ca="1"/>
      </c>
      <c r="HL187">
        <f ca="1"/>
      </c>
      <c r="HM187">
        <f ca="1"/>
      </c>
    </row>
    <row r="188" spans="63:221" x14ac:dyDescent="0.55000000000000004">
      <c r="BK188">
        <f ca="1"/>
      </c>
      <c r="BL188">
        <f ca="1"/>
      </c>
      <c r="BM188">
        <f ca="1"/>
      </c>
      <c r="BN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  <c r="BV188">
        <f ca="1"/>
      </c>
      <c r="BW188">
        <f ca="1"/>
      </c>
      <c r="BX188">
        <f ca="1"/>
      </c>
      <c r="BY188">
        <f ca="1"/>
      </c>
      <c r="BZ188">
        <f ca="1"/>
      </c>
      <c r="CA188">
        <f ca="1"/>
      </c>
      <c r="CB188">
        <f ca="1"/>
      </c>
      <c r="CC188">
        <f ca="1"/>
      </c>
      <c r="CD188">
        <f ca="1"/>
      </c>
      <c r="CE188">
        <f ca="1"/>
      </c>
      <c r="CF188">
        <f ca="1"/>
      </c>
      <c r="CG188">
        <f ca="1"/>
      </c>
      <c r="CH188">
        <f ca="1"/>
      </c>
      <c r="CI188">
        <f ca="1"/>
      </c>
      <c r="CJ188">
        <f ca="1"/>
      </c>
      <c r="CK188">
        <f ca="1"/>
      </c>
      <c r="CL188">
        <f ca="1"/>
      </c>
      <c r="CM188">
        <f ca="1"/>
      </c>
      <c r="CN188">
        <f ca="1"/>
      </c>
      <c r="CO188">
        <f ca="1"/>
      </c>
      <c r="CP188">
        <f ca="1"/>
      </c>
      <c r="CQ188">
        <f ca="1"/>
      </c>
      <c r="CR188">
        <f ca="1"/>
      </c>
      <c r="CS188">
        <f ca="1"/>
      </c>
      <c r="CT188">
        <f ca="1"/>
      </c>
      <c r="CU188">
        <f ca="1"/>
      </c>
      <c r="CV188">
        <f ca="1"/>
      </c>
      <c r="CW188">
        <f ca="1"/>
      </c>
      <c r="CX188">
        <f ca="1"/>
      </c>
      <c r="CY188">
        <f ca="1"/>
      </c>
      <c r="CZ188">
        <f ca="1"/>
      </c>
      <c r="DA188">
        <f ca="1"/>
      </c>
      <c r="DB188">
        <f ca="1"/>
      </c>
      <c r="DC188">
        <f ca="1"/>
      </c>
      <c r="DD188">
        <f ca="1"/>
      </c>
      <c r="DE188">
        <f ca="1"/>
      </c>
      <c r="DG188">
        <f ca="1"/>
      </c>
      <c r="DH188">
        <f ca="1"/>
      </c>
      <c r="DI188">
        <f ca="1"/>
      </c>
      <c r="DJ188">
        <f ca="1"/>
      </c>
      <c r="DK188">
        <f ca="1"/>
      </c>
      <c r="DL188">
        <f ca="1"/>
      </c>
      <c r="DM188">
        <f ca="1"/>
      </c>
      <c r="DN188">
        <f ca="1"/>
      </c>
      <c r="DO188">
        <f ca="1"/>
      </c>
      <c r="DP188">
        <f ca="1"/>
      </c>
      <c r="DQ188">
        <f ca="1"/>
      </c>
      <c r="DR188">
        <f ca="1"/>
      </c>
      <c r="DS188">
        <f ca="1"/>
      </c>
      <c r="DT188">
        <f ca="1"/>
      </c>
      <c r="DU188">
        <f ca="1"/>
      </c>
      <c r="DV188">
        <f ca="1"/>
      </c>
      <c r="DW188">
        <f ca="1"/>
      </c>
      <c r="DX188">
        <f ca="1"/>
      </c>
      <c r="DY188">
        <f ca="1"/>
      </c>
      <c r="DZ188">
        <f ca="1"/>
      </c>
      <c r="EA188">
        <f ca="1"/>
      </c>
      <c r="EB188">
        <f ca="1"/>
      </c>
      <c r="EC188">
        <f ca="1"/>
      </c>
      <c r="ED188">
        <f ca="1"/>
      </c>
      <c r="EE188">
        <f ca="1"/>
      </c>
      <c r="EF188">
        <f ca="1"/>
      </c>
      <c r="EG188">
        <f ca="1"/>
      </c>
      <c r="EH188">
        <f ca="1"/>
      </c>
      <c r="EI188">
        <f ca="1"/>
      </c>
      <c r="EJ188">
        <f ca="1"/>
      </c>
      <c r="EK188">
        <f ca="1"/>
      </c>
      <c r="EL188">
        <f ca="1"/>
      </c>
      <c r="EM188">
        <f ca="1"/>
      </c>
      <c r="EN188">
        <f ca="1"/>
      </c>
      <c r="EO188">
        <f ca="1"/>
      </c>
      <c r="EP188">
        <f ca="1"/>
      </c>
      <c r="EQ188">
        <f ca="1"/>
      </c>
      <c r="ER188">
        <f ca="1"/>
      </c>
      <c r="ES188">
        <f ca="1"/>
      </c>
      <c r="ET188">
        <f ca="1"/>
      </c>
      <c r="EU188">
        <f ca="1"/>
      </c>
      <c r="EV188">
        <f ca="1"/>
      </c>
      <c r="EW188">
        <f ca="1"/>
      </c>
      <c r="EX188">
        <f ca="1"/>
      </c>
      <c r="EY188">
        <f ca="1"/>
      </c>
      <c r="EZ188">
        <f ca="1"/>
      </c>
      <c r="FA188">
        <f ca="1"/>
      </c>
      <c r="FC188">
        <f ca="1"/>
      </c>
      <c r="FD188">
        <f ca="1"/>
      </c>
      <c r="FE188">
        <f ca="1"/>
      </c>
      <c r="FF188">
        <f ca="1"/>
      </c>
      <c r="FG188">
        <f ca="1"/>
      </c>
      <c r="FH188">
        <f ca="1"/>
      </c>
      <c r="FI188">
        <f ca="1"/>
      </c>
      <c r="FJ188">
        <f ca="1"/>
      </c>
      <c r="FK188">
        <f ca="1"/>
      </c>
      <c r="FL188">
        <f ca="1"/>
      </c>
      <c r="FM188">
        <f ca="1"/>
      </c>
      <c r="FN188">
        <f ca="1"/>
      </c>
      <c r="FO188">
        <f ca="1"/>
      </c>
      <c r="FP188">
        <f ca="1"/>
      </c>
      <c r="FQ188">
        <f ca="1"/>
      </c>
      <c r="FR188">
        <f ca="1"/>
      </c>
      <c r="FS188">
        <f ca="1"/>
      </c>
      <c r="FT188">
        <f ca="1"/>
      </c>
      <c r="FU188">
        <f ca="1"/>
      </c>
      <c r="FV188">
        <f ca="1"/>
      </c>
      <c r="FW188">
        <f ca="1"/>
      </c>
      <c r="FX188">
        <f ca="1"/>
      </c>
      <c r="FY188">
        <f ca="1"/>
      </c>
      <c r="FZ188">
        <f ca="1"/>
      </c>
      <c r="GA188">
        <f ca="1"/>
      </c>
      <c r="GB188">
        <f ca="1"/>
      </c>
      <c r="GC188">
        <f ca="1"/>
      </c>
      <c r="GD188">
        <f ca="1"/>
      </c>
      <c r="GE188">
        <f ca="1"/>
      </c>
      <c r="GF188">
        <f ca="1"/>
      </c>
      <c r="GG188">
        <f ca="1"/>
      </c>
      <c r="GH188">
        <f ca="1"/>
      </c>
      <c r="GI188">
        <f ca="1"/>
      </c>
      <c r="GJ188">
        <f ca="1"/>
      </c>
      <c r="GK188">
        <f ca="1"/>
      </c>
      <c r="GL188">
        <f ca="1"/>
      </c>
      <c r="GM188">
        <f ca="1"/>
      </c>
      <c r="GN188">
        <f ca="1"/>
      </c>
      <c r="GO188">
        <f ca="1"/>
      </c>
      <c r="GP188">
        <f ca="1"/>
      </c>
      <c r="GQ188">
        <f ca="1"/>
      </c>
      <c r="GR188">
        <f ca="1"/>
      </c>
      <c r="GS188">
        <f ca="1"/>
      </c>
      <c r="GT188">
        <f ca="1"/>
      </c>
      <c r="GU188">
        <f ca="1"/>
      </c>
      <c r="GV188">
        <f ca="1"/>
      </c>
      <c r="GW188">
        <f ca="1"/>
      </c>
      <c r="HI188" s="7">
        <f ca="1"/>
      </c>
      <c r="HJ188">
        <f ca="1"/>
      </c>
      <c r="HK188">
        <f ca="1"/>
      </c>
      <c r="HL188">
        <f ca="1"/>
      </c>
      <c r="HM188">
        <f ca="1"/>
      </c>
    </row>
    <row r="189" spans="63:221" x14ac:dyDescent="0.55000000000000004">
      <c r="BK189">
        <f ca="1"/>
      </c>
      <c r="BL189">
        <f ca="1"/>
      </c>
      <c r="BM189">
        <f ca="1"/>
      </c>
      <c r="BN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  <c r="BV189">
        <f ca="1"/>
      </c>
      <c r="BW189">
        <f ca="1"/>
      </c>
      <c r="BX189">
        <f ca="1"/>
      </c>
      <c r="BY189">
        <f ca="1"/>
      </c>
      <c r="BZ189">
        <f ca="1"/>
      </c>
      <c r="CA189">
        <f ca="1"/>
      </c>
      <c r="CB189">
        <f ca="1"/>
      </c>
      <c r="CC189">
        <f ca="1"/>
      </c>
      <c r="CD189">
        <f ca="1"/>
      </c>
      <c r="CE189">
        <f ca="1"/>
      </c>
      <c r="CF189">
        <f ca="1"/>
      </c>
      <c r="CG189">
        <f ca="1"/>
      </c>
      <c r="CH189">
        <f ca="1"/>
      </c>
      <c r="CI189">
        <f ca="1"/>
      </c>
      <c r="CJ189">
        <f ca="1"/>
      </c>
      <c r="CK189">
        <f ca="1"/>
      </c>
      <c r="CL189">
        <f ca="1"/>
      </c>
      <c r="CM189">
        <f ca="1"/>
      </c>
      <c r="CN189">
        <f ca="1"/>
      </c>
      <c r="CO189">
        <f ca="1"/>
      </c>
      <c r="CP189">
        <f ca="1"/>
      </c>
      <c r="CQ189">
        <f ca="1"/>
      </c>
      <c r="CR189">
        <f ca="1"/>
      </c>
      <c r="CS189">
        <f ca="1"/>
      </c>
      <c r="CT189">
        <f ca="1"/>
      </c>
      <c r="CU189">
        <f ca="1"/>
      </c>
      <c r="CV189">
        <f ca="1"/>
      </c>
      <c r="CW189">
        <f ca="1"/>
      </c>
      <c r="CX189">
        <f ca="1"/>
      </c>
      <c r="CY189">
        <f ca="1"/>
      </c>
      <c r="CZ189">
        <f ca="1"/>
      </c>
      <c r="DA189">
        <f ca="1"/>
      </c>
      <c r="DB189">
        <f ca="1"/>
      </c>
      <c r="DC189">
        <f ca="1"/>
      </c>
      <c r="DD189">
        <f ca="1"/>
      </c>
      <c r="DE189">
        <f ca="1"/>
      </c>
      <c r="DG189">
        <f ca="1"/>
      </c>
      <c r="DH189">
        <f ca="1"/>
      </c>
      <c r="DI189">
        <f ca="1"/>
      </c>
      <c r="DJ189">
        <f ca="1"/>
      </c>
      <c r="DK189">
        <f ca="1"/>
      </c>
      <c r="DL189">
        <f ca="1"/>
      </c>
      <c r="DM189">
        <f ca="1"/>
      </c>
      <c r="DN189">
        <f ca="1"/>
      </c>
      <c r="DO189">
        <f ca="1"/>
      </c>
      <c r="DP189">
        <f ca="1"/>
      </c>
      <c r="DQ189">
        <f ca="1"/>
      </c>
      <c r="DR189">
        <f ca="1"/>
      </c>
      <c r="DS189">
        <f ca="1"/>
      </c>
      <c r="DT189">
        <f ca="1"/>
      </c>
      <c r="DU189">
        <f ca="1"/>
      </c>
      <c r="DV189">
        <f ca="1"/>
      </c>
      <c r="DW189">
        <f ca="1"/>
      </c>
      <c r="DX189">
        <f ca="1"/>
      </c>
      <c r="DY189">
        <f ca="1"/>
      </c>
      <c r="DZ189">
        <f ca="1"/>
      </c>
      <c r="EA189">
        <f ca="1"/>
      </c>
      <c r="EB189">
        <f ca="1"/>
      </c>
      <c r="EC189">
        <f ca="1"/>
      </c>
      <c r="ED189">
        <f ca="1"/>
      </c>
      <c r="EE189">
        <f ca="1"/>
      </c>
      <c r="EF189">
        <f ca="1"/>
      </c>
      <c r="EG189">
        <f ca="1"/>
      </c>
      <c r="EH189">
        <f ca="1"/>
      </c>
      <c r="EI189">
        <f ca="1"/>
      </c>
      <c r="EJ189">
        <f ca="1"/>
      </c>
      <c r="EK189">
        <f ca="1"/>
      </c>
      <c r="EL189">
        <f ca="1"/>
      </c>
      <c r="EM189">
        <f ca="1"/>
      </c>
      <c r="EN189">
        <f ca="1"/>
      </c>
      <c r="EO189">
        <f ca="1"/>
      </c>
      <c r="EP189">
        <f ca="1"/>
      </c>
      <c r="EQ189">
        <f ca="1"/>
      </c>
      <c r="ER189">
        <f ca="1"/>
      </c>
      <c r="ES189">
        <f ca="1"/>
      </c>
      <c r="ET189">
        <f ca="1"/>
      </c>
      <c r="EU189">
        <f ca="1"/>
      </c>
      <c r="EV189">
        <f ca="1"/>
      </c>
      <c r="EW189">
        <f ca="1"/>
      </c>
      <c r="EX189">
        <f ca="1"/>
      </c>
      <c r="EY189">
        <f ca="1"/>
      </c>
      <c r="EZ189">
        <f ca="1"/>
      </c>
      <c r="FA189">
        <f ca="1"/>
      </c>
      <c r="FC189">
        <f ca="1"/>
      </c>
      <c r="FD189">
        <f ca="1"/>
      </c>
      <c r="FE189">
        <f ca="1"/>
      </c>
      <c r="FF189">
        <f ca="1"/>
      </c>
      <c r="FG189">
        <f ca="1"/>
      </c>
      <c r="FH189">
        <f ca="1"/>
      </c>
      <c r="FI189">
        <f ca="1"/>
      </c>
      <c r="FJ189">
        <f ca="1"/>
      </c>
      <c r="FK189">
        <f ca="1"/>
      </c>
      <c r="FL189">
        <f ca="1"/>
      </c>
      <c r="FM189">
        <f ca="1"/>
      </c>
      <c r="FN189">
        <f ca="1"/>
      </c>
      <c r="FO189">
        <f ca="1"/>
      </c>
      <c r="FP189">
        <f ca="1"/>
      </c>
      <c r="FQ189">
        <f ca="1"/>
      </c>
      <c r="FR189">
        <f ca="1"/>
      </c>
      <c r="FS189">
        <f ca="1"/>
      </c>
      <c r="FT189">
        <f ca="1"/>
      </c>
      <c r="FU189">
        <f ca="1"/>
      </c>
      <c r="FV189">
        <f ca="1"/>
      </c>
      <c r="FW189">
        <f ca="1"/>
      </c>
      <c r="FX189">
        <f ca="1"/>
      </c>
      <c r="FY189">
        <f ca="1"/>
      </c>
      <c r="FZ189">
        <f ca="1"/>
      </c>
      <c r="GA189">
        <f ca="1"/>
      </c>
      <c r="GB189">
        <f ca="1"/>
      </c>
      <c r="GC189">
        <f ca="1"/>
      </c>
      <c r="GD189">
        <f ca="1"/>
      </c>
      <c r="GE189">
        <f ca="1"/>
      </c>
      <c r="GF189">
        <f ca="1"/>
      </c>
      <c r="GG189">
        <f ca="1"/>
      </c>
      <c r="GH189">
        <f ca="1"/>
      </c>
      <c r="GI189">
        <f ca="1"/>
      </c>
      <c r="GJ189">
        <f ca="1"/>
      </c>
      <c r="GK189">
        <f ca="1"/>
      </c>
      <c r="GL189">
        <f ca="1"/>
      </c>
      <c r="GM189">
        <f ca="1"/>
      </c>
      <c r="GN189">
        <f ca="1"/>
      </c>
      <c r="GO189">
        <f ca="1"/>
      </c>
      <c r="GP189">
        <f ca="1"/>
      </c>
      <c r="GQ189">
        <f ca="1"/>
      </c>
      <c r="GR189">
        <f ca="1"/>
      </c>
      <c r="GS189">
        <f ca="1"/>
      </c>
      <c r="GT189">
        <f ca="1"/>
      </c>
      <c r="GU189">
        <f ca="1"/>
      </c>
      <c r="GV189">
        <f ca="1"/>
      </c>
      <c r="GW189">
        <f ca="1"/>
      </c>
      <c r="HI189" s="7">
        <f ca="1"/>
      </c>
      <c r="HJ189">
        <f ca="1"/>
      </c>
      <c r="HK189">
        <f ca="1"/>
      </c>
      <c r="HL189">
        <f ca="1"/>
      </c>
      <c r="HM189">
        <f ca="1"/>
      </c>
    </row>
    <row r="190" spans="63:221" x14ac:dyDescent="0.55000000000000004">
      <c r="BK190">
        <f ca="1"/>
      </c>
      <c r="BL190">
        <f ca="1"/>
      </c>
      <c r="BM190">
        <f ca="1"/>
      </c>
      <c r="BN190">
        <f ca="1"/>
      </c>
      <c r="BO190">
        <f ca="1"/>
      </c>
      <c r="BP190">
        <f ca="1"/>
      </c>
      <c r="BQ190">
        <f ca="1"/>
      </c>
      <c r="BR190">
        <f ca="1"/>
      </c>
      <c r="BS190">
        <f ca="1"/>
      </c>
      <c r="BT190">
        <f ca="1"/>
      </c>
      <c r="BU190">
        <f ca="1"/>
      </c>
      <c r="BV190">
        <f ca="1"/>
      </c>
      <c r="BW190">
        <f ca="1"/>
      </c>
      <c r="BX190">
        <f ca="1"/>
      </c>
      <c r="BY190">
        <f ca="1"/>
      </c>
      <c r="BZ190">
        <f ca="1"/>
      </c>
      <c r="CA190">
        <f ca="1"/>
      </c>
      <c r="CB190">
        <f ca="1"/>
      </c>
      <c r="CC190">
        <f ca="1"/>
      </c>
      <c r="CD190">
        <f ca="1"/>
      </c>
      <c r="CE190">
        <f ca="1"/>
      </c>
      <c r="CF190">
        <f ca="1"/>
      </c>
      <c r="CG190">
        <f ca="1"/>
      </c>
      <c r="CH190">
        <f ca="1"/>
      </c>
      <c r="CI190">
        <f ca="1"/>
      </c>
      <c r="CJ190">
        <f ca="1"/>
      </c>
      <c r="CK190">
        <f ca="1"/>
      </c>
      <c r="CL190">
        <f ca="1"/>
      </c>
      <c r="CM190">
        <f ca="1"/>
      </c>
      <c r="CN190">
        <f ca="1"/>
      </c>
      <c r="CO190">
        <f ca="1"/>
      </c>
      <c r="CP190">
        <f ca="1"/>
      </c>
      <c r="CQ190">
        <f ca="1"/>
      </c>
      <c r="CR190">
        <f ca="1"/>
      </c>
      <c r="CS190">
        <f ca="1"/>
      </c>
      <c r="CT190">
        <f ca="1"/>
      </c>
      <c r="CU190">
        <f ca="1"/>
      </c>
      <c r="CV190">
        <f ca="1"/>
      </c>
      <c r="CW190">
        <f ca="1"/>
      </c>
      <c r="CX190">
        <f ca="1"/>
      </c>
      <c r="CY190">
        <f ca="1"/>
      </c>
      <c r="CZ190">
        <f ca="1"/>
      </c>
      <c r="DA190">
        <f ca="1"/>
      </c>
      <c r="DB190">
        <f ca="1"/>
      </c>
      <c r="DC190">
        <f ca="1"/>
      </c>
      <c r="DD190">
        <f ca="1"/>
      </c>
      <c r="DE190">
        <f ca="1"/>
      </c>
      <c r="DG190">
        <f ca="1"/>
      </c>
      <c r="DH190">
        <f ca="1"/>
      </c>
      <c r="DI190">
        <f ca="1"/>
      </c>
      <c r="DJ190">
        <f ca="1"/>
      </c>
      <c r="DK190">
        <f ca="1"/>
      </c>
      <c r="DL190">
        <f ca="1"/>
      </c>
      <c r="DM190">
        <f ca="1"/>
      </c>
      <c r="DN190">
        <f ca="1"/>
      </c>
      <c r="DO190">
        <f ca="1"/>
      </c>
      <c r="DP190">
        <f ca="1"/>
      </c>
      <c r="DQ190">
        <f ca="1"/>
      </c>
      <c r="DR190">
        <f ca="1"/>
      </c>
      <c r="DS190">
        <f ca="1"/>
      </c>
      <c r="DT190">
        <f ca="1"/>
      </c>
      <c r="DU190">
        <f ca="1"/>
      </c>
      <c r="DV190">
        <f ca="1"/>
      </c>
      <c r="DW190">
        <f ca="1"/>
      </c>
      <c r="DX190">
        <f ca="1"/>
      </c>
      <c r="DY190">
        <f ca="1"/>
      </c>
      <c r="DZ190">
        <f ca="1"/>
      </c>
      <c r="EA190">
        <f ca="1"/>
      </c>
      <c r="EB190">
        <f ca="1"/>
      </c>
      <c r="EC190">
        <f ca="1"/>
      </c>
      <c r="ED190">
        <f ca="1"/>
      </c>
      <c r="EE190">
        <f ca="1"/>
      </c>
      <c r="EF190">
        <f ca="1"/>
      </c>
      <c r="EG190">
        <f ca="1"/>
      </c>
      <c r="EH190">
        <f ca="1"/>
      </c>
      <c r="EI190">
        <f ca="1"/>
      </c>
      <c r="EJ190">
        <f ca="1"/>
      </c>
      <c r="EK190">
        <f ca="1"/>
      </c>
      <c r="EL190">
        <f ca="1"/>
      </c>
      <c r="EM190">
        <f ca="1"/>
      </c>
      <c r="EN190">
        <f ca="1"/>
      </c>
      <c r="EO190">
        <f ca="1"/>
      </c>
      <c r="EP190">
        <f ca="1"/>
      </c>
      <c r="EQ190">
        <f ca="1"/>
      </c>
      <c r="ER190">
        <f ca="1"/>
      </c>
      <c r="ES190">
        <f ca="1"/>
      </c>
      <c r="ET190">
        <f ca="1"/>
      </c>
      <c r="EU190">
        <f ca="1"/>
      </c>
      <c r="EV190">
        <f ca="1"/>
      </c>
      <c r="EW190">
        <f ca="1"/>
      </c>
      <c r="EX190">
        <f ca="1"/>
      </c>
      <c r="EY190">
        <f ca="1"/>
      </c>
      <c r="EZ190">
        <f ca="1"/>
      </c>
      <c r="FA190">
        <f ca="1"/>
      </c>
      <c r="FC190">
        <f ca="1"/>
      </c>
      <c r="FD190">
        <f ca="1"/>
      </c>
      <c r="FE190">
        <f ca="1"/>
      </c>
      <c r="FF190">
        <f ca="1"/>
      </c>
      <c r="FG190">
        <f ca="1"/>
      </c>
      <c r="FH190">
        <f ca="1"/>
      </c>
      <c r="FI190">
        <f ca="1"/>
      </c>
      <c r="FJ190">
        <f ca="1"/>
      </c>
      <c r="FK190">
        <f ca="1"/>
      </c>
      <c r="FL190">
        <f ca="1"/>
      </c>
      <c r="FM190">
        <f ca="1"/>
      </c>
      <c r="FN190">
        <f ca="1"/>
      </c>
      <c r="FO190">
        <f ca="1"/>
      </c>
      <c r="FP190">
        <f ca="1"/>
      </c>
      <c r="FQ190">
        <f ca="1"/>
      </c>
      <c r="FR190">
        <f ca="1"/>
      </c>
      <c r="FS190">
        <f ca="1"/>
      </c>
      <c r="FT190">
        <f ca="1"/>
      </c>
      <c r="FU190">
        <f ca="1"/>
      </c>
      <c r="FV190">
        <f ca="1"/>
      </c>
      <c r="FW190">
        <f ca="1"/>
      </c>
      <c r="FX190">
        <f ca="1"/>
      </c>
      <c r="FY190">
        <f ca="1"/>
      </c>
      <c r="FZ190">
        <f ca="1"/>
      </c>
      <c r="GA190">
        <f ca="1"/>
      </c>
      <c r="GB190">
        <f ca="1"/>
      </c>
      <c r="GC190">
        <f ca="1"/>
      </c>
      <c r="GD190">
        <f ca="1"/>
      </c>
      <c r="GE190">
        <f ca="1"/>
      </c>
      <c r="GF190">
        <f ca="1"/>
      </c>
      <c r="GG190">
        <f ca="1"/>
      </c>
      <c r="GH190">
        <f ca="1"/>
      </c>
      <c r="GI190">
        <f ca="1"/>
      </c>
      <c r="GJ190">
        <f ca="1"/>
      </c>
      <c r="GK190">
        <f ca="1"/>
      </c>
      <c r="GL190">
        <f ca="1"/>
      </c>
      <c r="GM190">
        <f ca="1"/>
      </c>
      <c r="GN190">
        <f ca="1"/>
      </c>
      <c r="GO190">
        <f ca="1"/>
      </c>
      <c r="GP190">
        <f ca="1"/>
      </c>
      <c r="GQ190">
        <f ca="1"/>
      </c>
      <c r="GR190">
        <f ca="1"/>
      </c>
      <c r="GS190">
        <f ca="1"/>
      </c>
      <c r="GT190">
        <f ca="1"/>
      </c>
      <c r="GU190">
        <f ca="1"/>
      </c>
      <c r="GV190">
        <f ca="1"/>
      </c>
      <c r="GW190">
        <f ca="1"/>
      </c>
      <c r="HI190" s="7">
        <f ca="1"/>
      </c>
      <c r="HJ190">
        <f ca="1"/>
      </c>
      <c r="HK190">
        <f ca="1"/>
      </c>
      <c r="HL190">
        <f ca="1"/>
      </c>
      <c r="HM190">
        <f ca="1"/>
      </c>
    </row>
    <row r="191" spans="63:221" x14ac:dyDescent="0.55000000000000004">
      <c r="BK191">
        <f ca="1"/>
      </c>
      <c r="BL191">
        <f ca="1"/>
      </c>
      <c r="BM191">
        <f ca="1"/>
      </c>
      <c r="BN191">
        <f ca="1"/>
      </c>
      <c r="BO191">
        <f ca="1"/>
      </c>
      <c r="BP191">
        <f ca="1"/>
      </c>
      <c r="BQ191">
        <f ca="1"/>
      </c>
      <c r="BR191">
        <f ca="1"/>
      </c>
      <c r="BS191">
        <f ca="1"/>
      </c>
      <c r="BT191">
        <f ca="1"/>
      </c>
      <c r="BU191">
        <f ca="1"/>
      </c>
      <c r="BV191">
        <f ca="1"/>
      </c>
      <c r="BW191">
        <f ca="1"/>
      </c>
      <c r="BX191">
        <f ca="1"/>
      </c>
      <c r="BY191">
        <f ca="1"/>
      </c>
      <c r="BZ191">
        <f ca="1"/>
      </c>
      <c r="CA191">
        <f ca="1"/>
      </c>
      <c r="CB191">
        <f ca="1"/>
      </c>
      <c r="CC191">
        <f ca="1"/>
      </c>
      <c r="CD191">
        <f ca="1"/>
      </c>
      <c r="CE191">
        <f ca="1"/>
      </c>
      <c r="CF191">
        <f ca="1"/>
      </c>
      <c r="CG191">
        <f ca="1"/>
      </c>
      <c r="CH191">
        <f ca="1"/>
      </c>
      <c r="CI191">
        <f ca="1"/>
      </c>
      <c r="CJ191">
        <f ca="1"/>
      </c>
      <c r="CK191">
        <f ca="1"/>
      </c>
      <c r="CL191">
        <f ca="1"/>
      </c>
      <c r="CM191">
        <f ca="1"/>
      </c>
      <c r="CN191">
        <f ca="1"/>
      </c>
      <c r="CO191">
        <f ca="1"/>
      </c>
      <c r="CP191">
        <f ca="1"/>
      </c>
      <c r="CQ191">
        <f ca="1"/>
      </c>
      <c r="CR191">
        <f ca="1"/>
      </c>
      <c r="CS191">
        <f ca="1"/>
      </c>
      <c r="CT191">
        <f ca="1"/>
      </c>
      <c r="CU191">
        <f ca="1"/>
      </c>
      <c r="CV191">
        <f ca="1"/>
      </c>
      <c r="CW191">
        <f ca="1"/>
      </c>
      <c r="CX191">
        <f ca="1"/>
      </c>
      <c r="CY191">
        <f ca="1"/>
      </c>
      <c r="CZ191">
        <f ca="1"/>
      </c>
      <c r="DA191">
        <f ca="1"/>
      </c>
      <c r="DB191">
        <f ca="1"/>
      </c>
      <c r="DC191">
        <f ca="1"/>
      </c>
      <c r="DD191">
        <f ca="1"/>
      </c>
      <c r="DE191">
        <f ca="1"/>
      </c>
      <c r="DG191">
        <f ca="1"/>
      </c>
      <c r="DH191">
        <f ca="1"/>
      </c>
      <c r="DI191">
        <f ca="1"/>
      </c>
      <c r="DJ191">
        <f ca="1"/>
      </c>
      <c r="DK191">
        <f ca="1"/>
      </c>
      <c r="DL191">
        <f ca="1"/>
      </c>
      <c r="DM191">
        <f ca="1"/>
      </c>
      <c r="DN191">
        <f ca="1"/>
      </c>
      <c r="DO191">
        <f ca="1"/>
      </c>
      <c r="DP191">
        <f ca="1"/>
      </c>
      <c r="DQ191">
        <f ca="1"/>
      </c>
      <c r="DR191">
        <f ca="1"/>
      </c>
      <c r="DS191">
        <f ca="1"/>
      </c>
      <c r="DT191">
        <f ca="1"/>
      </c>
      <c r="DU191">
        <f ca="1"/>
      </c>
      <c r="DV191">
        <f ca="1"/>
      </c>
      <c r="DW191">
        <f ca="1"/>
      </c>
      <c r="DX191">
        <f ca="1"/>
      </c>
      <c r="DY191">
        <f ca="1"/>
      </c>
      <c r="DZ191">
        <f ca="1"/>
      </c>
      <c r="EA191">
        <f ca="1"/>
      </c>
      <c r="EB191">
        <f ca="1"/>
      </c>
      <c r="EC191">
        <f ca="1"/>
      </c>
      <c r="ED191">
        <f ca="1"/>
      </c>
      <c r="EE191">
        <f ca="1"/>
      </c>
      <c r="EF191">
        <f ca="1"/>
      </c>
      <c r="EG191">
        <f ca="1"/>
      </c>
      <c r="EH191">
        <f ca="1"/>
      </c>
      <c r="EI191">
        <f ca="1"/>
      </c>
      <c r="EJ191">
        <f ca="1"/>
      </c>
      <c r="EK191">
        <f ca="1"/>
      </c>
      <c r="EL191">
        <f ca="1"/>
      </c>
      <c r="EM191">
        <f ca="1"/>
      </c>
      <c r="EN191">
        <f ca="1"/>
      </c>
      <c r="EO191">
        <f ca="1"/>
      </c>
      <c r="EP191">
        <f ca="1"/>
      </c>
      <c r="EQ191">
        <f ca="1"/>
      </c>
      <c r="ER191">
        <f ca="1"/>
      </c>
      <c r="ES191">
        <f ca="1"/>
      </c>
      <c r="ET191">
        <f ca="1"/>
      </c>
      <c r="EU191">
        <f ca="1"/>
      </c>
      <c r="EV191">
        <f ca="1"/>
      </c>
      <c r="EW191">
        <f ca="1"/>
      </c>
      <c r="EX191">
        <f ca="1"/>
      </c>
      <c r="EY191">
        <f ca="1"/>
      </c>
      <c r="EZ191">
        <f ca="1"/>
      </c>
      <c r="FA191">
        <f ca="1"/>
      </c>
      <c r="FC191">
        <f ca="1"/>
      </c>
      <c r="FD191">
        <f ca="1"/>
      </c>
      <c r="FE191">
        <f ca="1"/>
      </c>
      <c r="FF191">
        <f ca="1"/>
      </c>
      <c r="FG191">
        <f ca="1"/>
      </c>
      <c r="FH191">
        <f ca="1"/>
      </c>
      <c r="FI191">
        <f ca="1"/>
      </c>
      <c r="FJ191">
        <f ca="1"/>
      </c>
      <c r="FK191">
        <f ca="1"/>
      </c>
      <c r="FL191">
        <f ca="1"/>
      </c>
      <c r="FM191">
        <f ca="1"/>
      </c>
      <c r="FN191">
        <f ca="1"/>
      </c>
      <c r="FO191">
        <f ca="1"/>
      </c>
      <c r="FP191">
        <f ca="1"/>
      </c>
      <c r="FQ191">
        <f ca="1"/>
      </c>
      <c r="FR191">
        <f ca="1"/>
      </c>
      <c r="FS191">
        <f ca="1"/>
      </c>
      <c r="FT191">
        <f ca="1"/>
      </c>
      <c r="FU191">
        <f ca="1"/>
      </c>
      <c r="FV191">
        <f ca="1"/>
      </c>
      <c r="FW191">
        <f ca="1"/>
      </c>
      <c r="FX191">
        <f ca="1"/>
      </c>
      <c r="FY191">
        <f ca="1"/>
      </c>
      <c r="FZ191">
        <f ca="1"/>
      </c>
      <c r="GA191">
        <f ca="1"/>
      </c>
      <c r="GB191">
        <f ca="1"/>
      </c>
      <c r="GC191">
        <f ca="1"/>
      </c>
      <c r="GD191">
        <f ca="1"/>
      </c>
      <c r="GE191">
        <f ca="1"/>
      </c>
      <c r="GF191">
        <f ca="1"/>
      </c>
      <c r="GG191">
        <f ca="1"/>
      </c>
      <c r="GH191">
        <f ca="1"/>
      </c>
      <c r="GI191">
        <f ca="1"/>
      </c>
      <c r="GJ191">
        <f ca="1"/>
      </c>
      <c r="GK191">
        <f ca="1"/>
      </c>
      <c r="GL191">
        <f ca="1"/>
      </c>
      <c r="GM191">
        <f ca="1"/>
      </c>
      <c r="GN191">
        <f ca="1"/>
      </c>
      <c r="GO191">
        <f ca="1"/>
      </c>
      <c r="GP191">
        <f ca="1"/>
      </c>
      <c r="GQ191">
        <f ca="1"/>
      </c>
      <c r="GR191">
        <f ca="1"/>
      </c>
      <c r="GS191">
        <f ca="1"/>
      </c>
      <c r="GT191">
        <f ca="1"/>
      </c>
      <c r="GU191">
        <f ca="1"/>
      </c>
      <c r="GV191">
        <f ca="1"/>
      </c>
      <c r="GW191">
        <f ca="1"/>
      </c>
      <c r="HI191" s="7">
        <f ca="1"/>
      </c>
      <c r="HJ191">
        <f ca="1"/>
      </c>
      <c r="HK191">
        <f ca="1"/>
      </c>
      <c r="HL191">
        <f ca="1"/>
      </c>
      <c r="HM191">
        <f ca="1"/>
      </c>
    </row>
    <row r="192" spans="63:221" x14ac:dyDescent="0.55000000000000004">
      <c r="BK192">
        <f ca="1"/>
      </c>
      <c r="BL192">
        <f ca="1"/>
      </c>
      <c r="BM192">
        <f ca="1"/>
      </c>
      <c r="BN192">
        <f ca="1"/>
      </c>
      <c r="BO192">
        <f ca="1"/>
      </c>
      <c r="BP192">
        <f ca="1"/>
      </c>
      <c r="BQ192">
        <f ca="1"/>
      </c>
      <c r="BR192">
        <f ca="1"/>
      </c>
      <c r="BS192">
        <f ca="1"/>
      </c>
      <c r="BT192">
        <f ca="1"/>
      </c>
      <c r="BU192">
        <f ca="1"/>
      </c>
      <c r="BV192">
        <f ca="1"/>
      </c>
      <c r="BW192">
        <f ca="1"/>
      </c>
      <c r="BX192">
        <f ca="1"/>
      </c>
      <c r="BY192">
        <f ca="1"/>
      </c>
      <c r="BZ192">
        <f ca="1"/>
      </c>
      <c r="CA192">
        <f ca="1"/>
      </c>
      <c r="CB192">
        <f ca="1"/>
      </c>
      <c r="CC192">
        <f ca="1"/>
      </c>
      <c r="CD192">
        <f ca="1"/>
      </c>
      <c r="CE192">
        <f ca="1"/>
      </c>
      <c r="CF192">
        <f ca="1"/>
      </c>
      <c r="CG192">
        <f ca="1"/>
      </c>
      <c r="CH192">
        <f ca="1"/>
      </c>
      <c r="CI192">
        <f ca="1"/>
      </c>
      <c r="CJ192">
        <f ca="1"/>
      </c>
      <c r="CK192">
        <f ca="1"/>
      </c>
      <c r="CL192">
        <f ca="1"/>
      </c>
      <c r="CM192">
        <f ca="1"/>
      </c>
      <c r="CN192">
        <f ca="1"/>
      </c>
      <c r="CO192">
        <f ca="1"/>
      </c>
      <c r="CP192">
        <f ca="1"/>
      </c>
      <c r="CQ192">
        <f ca="1"/>
      </c>
      <c r="CR192">
        <f ca="1"/>
      </c>
      <c r="CS192">
        <f ca="1"/>
      </c>
      <c r="CT192">
        <f ca="1"/>
      </c>
      <c r="CU192">
        <f ca="1"/>
      </c>
      <c r="CV192">
        <f ca="1"/>
      </c>
      <c r="CW192">
        <f ca="1"/>
      </c>
      <c r="CX192">
        <f ca="1"/>
      </c>
      <c r="CY192">
        <f ca="1"/>
      </c>
      <c r="CZ192">
        <f ca="1"/>
      </c>
      <c r="DA192">
        <f ca="1"/>
      </c>
      <c r="DB192">
        <f ca="1"/>
      </c>
      <c r="DC192">
        <f ca="1"/>
      </c>
      <c r="DD192">
        <f ca="1"/>
      </c>
      <c r="DE192">
        <f ca="1"/>
      </c>
      <c r="DG192">
        <f ca="1"/>
      </c>
      <c r="DH192">
        <f ca="1"/>
      </c>
      <c r="DI192">
        <f ca="1"/>
      </c>
      <c r="DJ192">
        <f ca="1"/>
      </c>
      <c r="DK192">
        <f ca="1"/>
      </c>
      <c r="DL192">
        <f ca="1"/>
      </c>
      <c r="DM192">
        <f ca="1"/>
      </c>
      <c r="DN192">
        <f ca="1"/>
      </c>
      <c r="DO192">
        <f ca="1"/>
      </c>
      <c r="DP192">
        <f ca="1"/>
      </c>
      <c r="DQ192">
        <f ca="1"/>
      </c>
      <c r="DR192">
        <f ca="1"/>
      </c>
      <c r="DS192">
        <f ca="1"/>
      </c>
      <c r="DT192">
        <f ca="1"/>
      </c>
      <c r="DU192">
        <f ca="1"/>
      </c>
      <c r="DV192">
        <f ca="1"/>
      </c>
      <c r="DW192">
        <f ca="1"/>
      </c>
      <c r="DX192">
        <f ca="1"/>
      </c>
      <c r="DY192">
        <f ca="1"/>
      </c>
      <c r="DZ192">
        <f ca="1"/>
      </c>
      <c r="EA192">
        <f ca="1"/>
      </c>
      <c r="EB192">
        <f ca="1"/>
      </c>
      <c r="EC192">
        <f ca="1"/>
      </c>
      <c r="ED192">
        <f ca="1"/>
      </c>
      <c r="EE192">
        <f ca="1"/>
      </c>
      <c r="EF192">
        <f ca="1"/>
      </c>
      <c r="EG192">
        <f ca="1"/>
      </c>
      <c r="EH192">
        <f ca="1"/>
      </c>
      <c r="EI192">
        <f ca="1"/>
      </c>
      <c r="EJ192">
        <f ca="1"/>
      </c>
      <c r="EK192">
        <f ca="1"/>
      </c>
      <c r="EL192">
        <f ca="1"/>
      </c>
      <c r="EM192">
        <f ca="1"/>
      </c>
      <c r="EN192">
        <f ca="1"/>
      </c>
      <c r="EO192">
        <f ca="1"/>
      </c>
      <c r="EP192">
        <f ca="1"/>
      </c>
      <c r="EQ192">
        <f ca="1"/>
      </c>
      <c r="ER192">
        <f ca="1"/>
      </c>
      <c r="ES192">
        <f ca="1"/>
      </c>
      <c r="ET192">
        <f ca="1"/>
      </c>
      <c r="EU192">
        <f ca="1"/>
      </c>
      <c r="EV192">
        <f ca="1"/>
      </c>
      <c r="EW192">
        <f ca="1"/>
      </c>
      <c r="EX192">
        <f ca="1"/>
      </c>
      <c r="EY192">
        <f ca="1"/>
      </c>
      <c r="EZ192">
        <f ca="1"/>
      </c>
      <c r="FA192">
        <f ca="1"/>
      </c>
      <c r="FC192">
        <f ca="1"/>
      </c>
      <c r="FD192">
        <f ca="1"/>
      </c>
      <c r="FE192">
        <f ca="1"/>
      </c>
      <c r="FF192">
        <f ca="1"/>
      </c>
      <c r="FG192">
        <f ca="1"/>
      </c>
      <c r="FH192">
        <f ca="1"/>
      </c>
      <c r="FI192">
        <f ca="1"/>
      </c>
      <c r="FJ192">
        <f ca="1"/>
      </c>
      <c r="FK192">
        <f ca="1"/>
      </c>
      <c r="FL192">
        <f ca="1"/>
      </c>
      <c r="FM192">
        <f ca="1"/>
      </c>
      <c r="FN192">
        <f ca="1"/>
      </c>
      <c r="FO192">
        <f ca="1"/>
      </c>
      <c r="FP192">
        <f ca="1"/>
      </c>
      <c r="FQ192">
        <f ca="1"/>
      </c>
      <c r="FR192">
        <f ca="1"/>
      </c>
      <c r="FS192">
        <f ca="1"/>
      </c>
      <c r="FT192">
        <f ca="1"/>
      </c>
      <c r="FU192">
        <f ca="1"/>
      </c>
      <c r="FV192">
        <f ca="1"/>
      </c>
      <c r="FW192">
        <f ca="1"/>
      </c>
      <c r="FX192">
        <f ca="1"/>
      </c>
      <c r="FY192">
        <f ca="1"/>
      </c>
      <c r="FZ192">
        <f ca="1"/>
      </c>
      <c r="GA192">
        <f ca="1"/>
      </c>
      <c r="GB192">
        <f ca="1"/>
      </c>
      <c r="GC192">
        <f ca="1"/>
      </c>
      <c r="GD192">
        <f ca="1"/>
      </c>
      <c r="GE192">
        <f ca="1"/>
      </c>
      <c r="GF192">
        <f ca="1"/>
      </c>
      <c r="GG192">
        <f ca="1"/>
      </c>
      <c r="GH192">
        <f ca="1"/>
      </c>
      <c r="GI192">
        <f ca="1"/>
      </c>
      <c r="GJ192">
        <f ca="1"/>
      </c>
      <c r="GK192">
        <f ca="1"/>
      </c>
      <c r="GL192">
        <f ca="1"/>
      </c>
      <c r="GM192">
        <f ca="1"/>
      </c>
      <c r="GN192">
        <f ca="1"/>
      </c>
      <c r="GO192">
        <f ca="1"/>
      </c>
      <c r="GP192">
        <f ca="1"/>
      </c>
      <c r="GQ192">
        <f ca="1"/>
      </c>
      <c r="GR192">
        <f ca="1"/>
      </c>
      <c r="GS192">
        <f ca="1"/>
      </c>
      <c r="GT192">
        <f ca="1"/>
      </c>
      <c r="GU192">
        <f ca="1"/>
      </c>
      <c r="GV192">
        <f ca="1"/>
      </c>
      <c r="GW192">
        <f ca="1"/>
      </c>
      <c r="HI192" s="7">
        <f ca="1"/>
      </c>
      <c r="HJ192">
        <f ca="1"/>
      </c>
      <c r="HK192">
        <f ca="1"/>
      </c>
      <c r="HL192">
        <f ca="1"/>
      </c>
      <c r="HM192">
        <f ca="1"/>
      </c>
    </row>
    <row r="193" spans="63:221" x14ac:dyDescent="0.55000000000000004">
      <c r="BK193">
        <f ca="1"/>
      </c>
      <c r="BL193">
        <f ca="1"/>
      </c>
      <c r="BM193">
        <f ca="1"/>
      </c>
      <c r="BN193">
        <f ca="1"/>
      </c>
      <c r="BO193">
        <f ca="1"/>
      </c>
      <c r="BP193">
        <f ca="1"/>
      </c>
      <c r="BQ193">
        <f ca="1"/>
      </c>
      <c r="BR193">
        <f ca="1"/>
      </c>
      <c r="BS193">
        <f ca="1"/>
      </c>
      <c r="BT193">
        <f ca="1"/>
      </c>
      <c r="BU193">
        <f ca="1"/>
      </c>
      <c r="BV193">
        <f ca="1"/>
      </c>
      <c r="BW193">
        <f ca="1"/>
      </c>
      <c r="BX193">
        <f ca="1"/>
      </c>
      <c r="BY193">
        <f ca="1"/>
      </c>
      <c r="BZ193">
        <f ca="1"/>
      </c>
      <c r="CA193">
        <f ca="1"/>
      </c>
      <c r="CB193">
        <f ca="1"/>
      </c>
      <c r="CC193">
        <f ca="1"/>
      </c>
      <c r="CD193">
        <f ca="1"/>
      </c>
      <c r="CE193">
        <f ca="1"/>
      </c>
      <c r="CF193">
        <f ca="1"/>
      </c>
      <c r="CG193">
        <f ca="1"/>
      </c>
      <c r="CH193">
        <f ca="1"/>
      </c>
      <c r="CI193">
        <f ca="1"/>
      </c>
      <c r="CJ193">
        <f ca="1"/>
      </c>
      <c r="CK193">
        <f ca="1"/>
      </c>
      <c r="CL193">
        <f ca="1"/>
      </c>
      <c r="CM193">
        <f ca="1"/>
      </c>
      <c r="CN193">
        <f ca="1"/>
      </c>
      <c r="CO193">
        <f ca="1"/>
      </c>
      <c r="CP193">
        <f ca="1"/>
      </c>
      <c r="CQ193">
        <f ca="1"/>
      </c>
      <c r="CR193">
        <f ca="1"/>
      </c>
      <c r="CS193">
        <f ca="1"/>
      </c>
      <c r="CT193">
        <f ca="1"/>
      </c>
      <c r="CU193">
        <f ca="1"/>
      </c>
      <c r="CV193">
        <f ca="1"/>
      </c>
      <c r="CW193">
        <f ca="1"/>
      </c>
      <c r="CX193">
        <f ca="1"/>
      </c>
      <c r="CY193">
        <f ca="1"/>
      </c>
      <c r="CZ193">
        <f ca="1"/>
      </c>
      <c r="DA193">
        <f ca="1"/>
      </c>
      <c r="DB193">
        <f ca="1"/>
      </c>
      <c r="DC193">
        <f ca="1"/>
      </c>
      <c r="DD193">
        <f ca="1"/>
      </c>
      <c r="DE193">
        <f ca="1"/>
      </c>
      <c r="DG193">
        <f ca="1"/>
      </c>
      <c r="DH193">
        <f ca="1"/>
      </c>
      <c r="DI193">
        <f ca="1"/>
      </c>
      <c r="DJ193">
        <f ca="1"/>
      </c>
      <c r="DK193">
        <f ca="1"/>
      </c>
      <c r="DL193">
        <f ca="1"/>
      </c>
      <c r="DM193">
        <f ca="1"/>
      </c>
      <c r="DN193">
        <f ca="1"/>
      </c>
      <c r="DO193">
        <f ca="1"/>
      </c>
      <c r="DP193">
        <f ca="1"/>
      </c>
      <c r="DQ193">
        <f ca="1"/>
      </c>
      <c r="DR193">
        <f ca="1"/>
      </c>
      <c r="DS193">
        <f ca="1"/>
      </c>
      <c r="DT193">
        <f ca="1"/>
      </c>
      <c r="DU193">
        <f ca="1"/>
      </c>
      <c r="DV193">
        <f ca="1"/>
      </c>
      <c r="DW193">
        <f ca="1"/>
      </c>
      <c r="DX193">
        <f ca="1"/>
      </c>
      <c r="DY193">
        <f ca="1"/>
      </c>
      <c r="DZ193">
        <f ca="1"/>
      </c>
      <c r="EA193">
        <f ca="1"/>
      </c>
      <c r="EB193">
        <f ca="1"/>
      </c>
      <c r="EC193">
        <f ca="1"/>
      </c>
      <c r="ED193">
        <f ca="1"/>
      </c>
      <c r="EE193">
        <f ca="1"/>
      </c>
      <c r="EF193">
        <f ca="1"/>
      </c>
      <c r="EG193">
        <f ca="1"/>
      </c>
      <c r="EH193">
        <f ca="1"/>
      </c>
      <c r="EI193">
        <f ca="1"/>
      </c>
      <c r="EJ193">
        <f ca="1"/>
      </c>
      <c r="EK193">
        <f ca="1"/>
      </c>
      <c r="EL193">
        <f ca="1"/>
      </c>
      <c r="EM193">
        <f ca="1"/>
      </c>
      <c r="EN193">
        <f ca="1"/>
      </c>
      <c r="EO193">
        <f ca="1"/>
      </c>
      <c r="EP193">
        <f ca="1"/>
      </c>
      <c r="EQ193">
        <f ca="1"/>
      </c>
      <c r="ER193">
        <f ca="1"/>
      </c>
      <c r="ES193">
        <f ca="1"/>
      </c>
      <c r="ET193">
        <f ca="1"/>
      </c>
      <c r="EU193">
        <f ca="1"/>
      </c>
      <c r="EV193">
        <f ca="1"/>
      </c>
      <c r="EW193">
        <f ca="1"/>
      </c>
      <c r="EX193">
        <f ca="1"/>
      </c>
      <c r="EY193">
        <f ca="1"/>
      </c>
      <c r="EZ193">
        <f ca="1"/>
      </c>
      <c r="FA193">
        <f ca="1"/>
      </c>
      <c r="FC193">
        <f ca="1"/>
      </c>
      <c r="FD193">
        <f ca="1"/>
      </c>
      <c r="FE193">
        <f ca="1"/>
      </c>
      <c r="FF193">
        <f ca="1"/>
      </c>
      <c r="FG193">
        <f ca="1"/>
      </c>
      <c r="FH193">
        <f ca="1"/>
      </c>
      <c r="FI193">
        <f ca="1"/>
      </c>
      <c r="FJ193">
        <f ca="1"/>
      </c>
      <c r="FK193">
        <f ca="1"/>
      </c>
      <c r="FL193">
        <f ca="1"/>
      </c>
      <c r="FM193">
        <f ca="1"/>
      </c>
      <c r="FN193">
        <f ca="1"/>
      </c>
      <c r="FO193">
        <f ca="1"/>
      </c>
      <c r="FP193">
        <f ca="1"/>
      </c>
      <c r="FQ193">
        <f ca="1"/>
      </c>
      <c r="FR193">
        <f ca="1"/>
      </c>
      <c r="FS193">
        <f ca="1"/>
      </c>
      <c r="FT193">
        <f ca="1"/>
      </c>
      <c r="FU193">
        <f ca="1"/>
      </c>
      <c r="FV193">
        <f ca="1"/>
      </c>
      <c r="FW193">
        <f ca="1"/>
      </c>
      <c r="FX193">
        <f ca="1"/>
      </c>
      <c r="FY193">
        <f ca="1"/>
      </c>
      <c r="FZ193">
        <f ca="1"/>
      </c>
      <c r="GA193">
        <f ca="1"/>
      </c>
      <c r="GB193">
        <f ca="1"/>
      </c>
      <c r="GC193">
        <f ca="1"/>
      </c>
      <c r="GD193">
        <f ca="1"/>
      </c>
      <c r="GE193">
        <f ca="1"/>
      </c>
      <c r="GF193">
        <f ca="1"/>
      </c>
      <c r="GG193">
        <f ca="1"/>
      </c>
      <c r="GH193">
        <f ca="1"/>
      </c>
      <c r="GI193">
        <f ca="1"/>
      </c>
      <c r="GJ193">
        <f ca="1"/>
      </c>
      <c r="GK193">
        <f ca="1"/>
      </c>
      <c r="GL193">
        <f ca="1"/>
      </c>
      <c r="GM193">
        <f ca="1"/>
      </c>
      <c r="GN193">
        <f ca="1"/>
      </c>
      <c r="GO193">
        <f ca="1"/>
      </c>
      <c r="GP193">
        <f ca="1"/>
      </c>
      <c r="GQ193">
        <f ca="1"/>
      </c>
      <c r="GR193">
        <f ca="1"/>
      </c>
      <c r="GS193">
        <f ca="1"/>
      </c>
      <c r="GT193">
        <f ca="1"/>
      </c>
      <c r="GU193">
        <f ca="1"/>
      </c>
      <c r="GV193">
        <f ca="1"/>
      </c>
      <c r="GW193">
        <f ca="1"/>
      </c>
      <c r="HI193" s="7">
        <f ca="1"/>
      </c>
      <c r="HJ193">
        <f ca="1"/>
      </c>
      <c r="HK193">
        <f ca="1"/>
      </c>
      <c r="HL193">
        <f ca="1"/>
      </c>
      <c r="HM193">
        <f ca="1"/>
      </c>
    </row>
    <row r="194" spans="63:221" x14ac:dyDescent="0.55000000000000004">
      <c r="BK194">
        <f ca="1"/>
      </c>
      <c r="BL194">
        <f ca="1"/>
      </c>
      <c r="BM194">
        <f ca="1"/>
      </c>
      <c r="BN194">
        <f ca="1"/>
      </c>
      <c r="BO194">
        <f ca="1"/>
      </c>
      <c r="BP194">
        <f ca="1"/>
      </c>
      <c r="BQ194">
        <f ca="1"/>
      </c>
      <c r="BR194">
        <f ca="1"/>
      </c>
      <c r="BS194">
        <f ca="1"/>
      </c>
      <c r="BT194">
        <f ca="1"/>
      </c>
      <c r="BU194">
        <f ca="1"/>
      </c>
      <c r="BV194">
        <f ca="1"/>
      </c>
      <c r="BW194">
        <f ca="1"/>
      </c>
      <c r="BX194">
        <f ca="1"/>
      </c>
      <c r="BY194">
        <f ca="1"/>
      </c>
      <c r="BZ194">
        <f ca="1"/>
      </c>
      <c r="CA194">
        <f ca="1"/>
      </c>
      <c r="CB194">
        <f ca="1"/>
      </c>
      <c r="CC194">
        <f ca="1"/>
      </c>
      <c r="CD194">
        <f ca="1"/>
      </c>
      <c r="CE194">
        <f ca="1"/>
      </c>
      <c r="CF194">
        <f ca="1"/>
      </c>
      <c r="CG194">
        <f ca="1"/>
      </c>
      <c r="CH194">
        <f ca="1"/>
      </c>
      <c r="CI194">
        <f ca="1"/>
      </c>
      <c r="CJ194">
        <f ca="1"/>
      </c>
      <c r="CK194">
        <f ca="1"/>
      </c>
      <c r="CL194">
        <f ca="1"/>
      </c>
      <c r="CM194">
        <f ca="1"/>
      </c>
      <c r="CN194">
        <f ca="1"/>
      </c>
      <c r="CO194">
        <f ca="1"/>
      </c>
      <c r="CP194">
        <f ca="1"/>
      </c>
      <c r="CQ194">
        <f ca="1"/>
      </c>
      <c r="CR194">
        <f ca="1"/>
      </c>
      <c r="CS194">
        <f ca="1"/>
      </c>
      <c r="CT194">
        <f ca="1"/>
      </c>
      <c r="CU194">
        <f ca="1"/>
      </c>
      <c r="CV194">
        <f ca="1"/>
      </c>
      <c r="CW194">
        <f ca="1"/>
      </c>
      <c r="CX194">
        <f ca="1"/>
      </c>
      <c r="CY194">
        <f ca="1"/>
      </c>
      <c r="CZ194">
        <f ca="1"/>
      </c>
      <c r="DA194">
        <f ca="1"/>
      </c>
      <c r="DB194">
        <f ca="1"/>
      </c>
      <c r="DC194">
        <f ca="1"/>
      </c>
      <c r="DD194">
        <f ca="1"/>
      </c>
      <c r="DE194">
        <f ca="1"/>
      </c>
      <c r="DG194">
        <f ca="1"/>
      </c>
      <c r="DH194">
        <f ca="1"/>
      </c>
      <c r="DI194">
        <f ca="1"/>
      </c>
      <c r="DJ194">
        <f ca="1"/>
      </c>
      <c r="DK194">
        <f ca="1"/>
      </c>
      <c r="DL194">
        <f ca="1"/>
      </c>
      <c r="DM194">
        <f ca="1"/>
      </c>
      <c r="DN194">
        <f ca="1"/>
      </c>
      <c r="DO194">
        <f ca="1"/>
      </c>
      <c r="DP194">
        <f ca="1"/>
      </c>
      <c r="DQ194">
        <f ca="1"/>
      </c>
      <c r="DR194">
        <f ca="1"/>
      </c>
      <c r="DS194">
        <f ca="1"/>
      </c>
      <c r="DT194">
        <f ca="1"/>
      </c>
      <c r="DU194">
        <f ca="1"/>
      </c>
      <c r="DV194">
        <f ca="1"/>
      </c>
      <c r="DW194">
        <f ca="1"/>
      </c>
      <c r="DX194">
        <f ca="1"/>
      </c>
      <c r="DY194">
        <f ca="1"/>
      </c>
      <c r="DZ194">
        <f ca="1"/>
      </c>
      <c r="EA194">
        <f ca="1"/>
      </c>
      <c r="EB194">
        <f ca="1"/>
      </c>
      <c r="EC194">
        <f ca="1"/>
      </c>
      <c r="ED194">
        <f ca="1"/>
      </c>
      <c r="EE194">
        <f ca="1"/>
      </c>
      <c r="EF194">
        <f ca="1"/>
      </c>
      <c r="EG194">
        <f ca="1"/>
      </c>
      <c r="EH194">
        <f ca="1"/>
      </c>
      <c r="EI194">
        <f ca="1"/>
      </c>
      <c r="EJ194">
        <f ca="1"/>
      </c>
      <c r="EK194">
        <f ca="1"/>
      </c>
      <c r="EL194">
        <f ca="1"/>
      </c>
      <c r="EM194">
        <f ca="1"/>
      </c>
      <c r="EN194">
        <f ca="1"/>
      </c>
      <c r="EO194">
        <f ca="1"/>
      </c>
      <c r="EP194">
        <f ca="1"/>
      </c>
      <c r="EQ194">
        <f ca="1"/>
      </c>
      <c r="ER194">
        <f ca="1"/>
      </c>
      <c r="ES194">
        <f ca="1"/>
      </c>
      <c r="ET194">
        <f ca="1"/>
      </c>
      <c r="EU194">
        <f ca="1"/>
      </c>
      <c r="EV194">
        <f ca="1"/>
      </c>
      <c r="EW194">
        <f ca="1"/>
      </c>
      <c r="EX194">
        <f ca="1"/>
      </c>
      <c r="EY194">
        <f ca="1"/>
      </c>
      <c r="EZ194">
        <f ca="1"/>
      </c>
      <c r="FA194">
        <f ca="1"/>
      </c>
      <c r="FC194">
        <f ca="1"/>
      </c>
      <c r="FD194">
        <f ca="1"/>
      </c>
      <c r="FE194">
        <f ca="1"/>
      </c>
      <c r="FF194">
        <f ca="1"/>
      </c>
      <c r="FG194">
        <f ca="1"/>
      </c>
      <c r="FH194">
        <f ca="1"/>
      </c>
      <c r="FI194">
        <f ca="1"/>
      </c>
      <c r="FJ194">
        <f ca="1"/>
      </c>
      <c r="FK194">
        <f ca="1"/>
      </c>
      <c r="FL194">
        <f ca="1"/>
      </c>
      <c r="FM194">
        <f ca="1"/>
      </c>
      <c r="FN194">
        <f ca="1"/>
      </c>
      <c r="FO194">
        <f ca="1"/>
      </c>
      <c r="FP194">
        <f ca="1"/>
      </c>
      <c r="FQ194">
        <f ca="1"/>
      </c>
      <c r="FR194">
        <f ca="1"/>
      </c>
      <c r="FS194">
        <f ca="1"/>
      </c>
      <c r="FT194">
        <f ca="1"/>
      </c>
      <c r="FU194">
        <f ca="1"/>
      </c>
      <c r="FV194">
        <f ca="1"/>
      </c>
      <c r="FW194">
        <f ca="1"/>
      </c>
      <c r="FX194">
        <f ca="1"/>
      </c>
      <c r="FY194">
        <f ca="1"/>
      </c>
      <c r="FZ194">
        <f ca="1"/>
      </c>
      <c r="GA194">
        <f ca="1"/>
      </c>
      <c r="GB194">
        <f ca="1"/>
      </c>
      <c r="GC194">
        <f ca="1"/>
      </c>
      <c r="GD194">
        <f ca="1"/>
      </c>
      <c r="GE194">
        <f ca="1"/>
      </c>
      <c r="GF194">
        <f ca="1"/>
      </c>
      <c r="GG194">
        <f ca="1"/>
      </c>
      <c r="GH194">
        <f ca="1"/>
      </c>
      <c r="GI194">
        <f ca="1"/>
      </c>
      <c r="GJ194">
        <f ca="1"/>
      </c>
      <c r="GK194">
        <f ca="1"/>
      </c>
      <c r="GL194">
        <f ca="1"/>
      </c>
      <c r="GM194">
        <f ca="1"/>
      </c>
      <c r="GN194">
        <f ca="1"/>
      </c>
      <c r="GO194">
        <f ca="1"/>
      </c>
      <c r="GP194">
        <f ca="1"/>
      </c>
      <c r="GQ194">
        <f ca="1"/>
      </c>
      <c r="GR194">
        <f ca="1"/>
      </c>
      <c r="GS194">
        <f ca="1"/>
      </c>
      <c r="GT194">
        <f ca="1"/>
      </c>
      <c r="GU194">
        <f ca="1"/>
      </c>
      <c r="GV194">
        <f ca="1"/>
      </c>
      <c r="GW194">
        <f ca="1"/>
      </c>
      <c r="HI194" s="7">
        <f ca="1"/>
      </c>
      <c r="HJ194">
        <f ca="1"/>
      </c>
      <c r="HK194">
        <f ca="1"/>
      </c>
      <c r="HL194">
        <f ca="1"/>
      </c>
      <c r="HM194">
        <f ca="1"/>
      </c>
    </row>
    <row r="195" spans="63:221" x14ac:dyDescent="0.55000000000000004">
      <c r="BK195">
        <f ca="1"/>
      </c>
      <c r="BL195">
        <f ca="1"/>
      </c>
      <c r="BM195">
        <f ca="1"/>
      </c>
      <c r="BN195">
        <f ca="1"/>
      </c>
      <c r="BO195">
        <f ca="1"/>
      </c>
      <c r="BP195">
        <f ca="1"/>
      </c>
      <c r="BQ195">
        <f ca="1"/>
      </c>
      <c r="BR195">
        <f ca="1"/>
      </c>
      <c r="BS195">
        <f ca="1"/>
      </c>
      <c r="BT195">
        <f ca="1"/>
      </c>
      <c r="BU195">
        <f ca="1"/>
      </c>
      <c r="BV195">
        <f ca="1"/>
      </c>
      <c r="BW195">
        <f ca="1"/>
      </c>
      <c r="BX195">
        <f ca="1"/>
      </c>
      <c r="BY195">
        <f ca="1"/>
      </c>
      <c r="BZ195">
        <f ca="1"/>
      </c>
      <c r="CA195">
        <f ca="1"/>
      </c>
      <c r="CB195">
        <f ca="1"/>
      </c>
      <c r="CC195">
        <f ca="1"/>
      </c>
      <c r="CD195">
        <f ca="1"/>
      </c>
      <c r="CE195">
        <f ca="1"/>
      </c>
      <c r="CF195">
        <f ca="1"/>
      </c>
      <c r="CG195">
        <f ca="1"/>
      </c>
      <c r="CH195">
        <f ca="1"/>
      </c>
      <c r="CI195">
        <f ca="1"/>
      </c>
      <c r="CJ195">
        <f ca="1"/>
      </c>
      <c r="CK195">
        <f ca="1"/>
      </c>
      <c r="CL195">
        <f ca="1"/>
      </c>
      <c r="CM195">
        <f ca="1"/>
      </c>
      <c r="CN195">
        <f ca="1"/>
      </c>
      <c r="CO195">
        <f ca="1"/>
      </c>
      <c r="CP195">
        <f ca="1"/>
      </c>
      <c r="CQ195">
        <f ca="1"/>
      </c>
      <c r="CR195">
        <f ca="1"/>
      </c>
      <c r="CS195">
        <f ca="1"/>
      </c>
      <c r="CT195">
        <f ca="1"/>
      </c>
      <c r="CU195">
        <f ca="1"/>
      </c>
      <c r="CV195">
        <f ca="1"/>
      </c>
      <c r="CW195">
        <f ca="1"/>
      </c>
      <c r="CX195">
        <f ca="1"/>
      </c>
      <c r="CY195">
        <f ca="1"/>
      </c>
      <c r="CZ195">
        <f ca="1"/>
      </c>
      <c r="DA195">
        <f ca="1"/>
      </c>
      <c r="DB195">
        <f ca="1"/>
      </c>
      <c r="DC195">
        <f ca="1"/>
      </c>
      <c r="DD195">
        <f ca="1"/>
      </c>
      <c r="DE195">
        <f ca="1"/>
      </c>
      <c r="DG195">
        <f ca="1"/>
      </c>
      <c r="DH195">
        <f ca="1"/>
      </c>
      <c r="DI195">
        <f ca="1"/>
      </c>
      <c r="DJ195">
        <f ca="1"/>
      </c>
      <c r="DK195">
        <f ca="1"/>
      </c>
      <c r="DL195">
        <f ca="1"/>
      </c>
      <c r="DM195">
        <f ca="1"/>
      </c>
      <c r="DN195">
        <f ca="1"/>
      </c>
      <c r="DO195">
        <f ca="1"/>
      </c>
      <c r="DP195">
        <f ca="1"/>
      </c>
      <c r="DQ195">
        <f ca="1"/>
      </c>
      <c r="DR195">
        <f ca="1"/>
      </c>
      <c r="DS195">
        <f ca="1"/>
      </c>
      <c r="DT195">
        <f ca="1"/>
      </c>
      <c r="DU195">
        <f ca="1"/>
      </c>
      <c r="DV195">
        <f ca="1"/>
      </c>
      <c r="DW195">
        <f ca="1"/>
      </c>
      <c r="DX195">
        <f ca="1"/>
      </c>
      <c r="DY195">
        <f ca="1"/>
      </c>
      <c r="DZ195">
        <f ca="1"/>
      </c>
      <c r="EA195">
        <f ca="1"/>
      </c>
      <c r="EB195">
        <f ca="1"/>
      </c>
      <c r="EC195">
        <f ca="1"/>
      </c>
      <c r="ED195">
        <f ca="1"/>
      </c>
      <c r="EE195">
        <f ca="1"/>
      </c>
      <c r="EF195">
        <f ca="1"/>
      </c>
      <c r="EG195">
        <f ca="1"/>
      </c>
      <c r="EH195">
        <f ca="1"/>
      </c>
      <c r="EI195">
        <f ca="1"/>
      </c>
      <c r="EJ195">
        <f ca="1"/>
      </c>
      <c r="EK195">
        <f ca="1"/>
      </c>
      <c r="EL195">
        <f ca="1"/>
      </c>
      <c r="EM195">
        <f ca="1"/>
      </c>
      <c r="EN195">
        <f ca="1"/>
      </c>
      <c r="EO195">
        <f ca="1"/>
      </c>
      <c r="EP195">
        <f ca="1"/>
      </c>
      <c r="EQ195">
        <f ca="1"/>
      </c>
      <c r="ER195">
        <f ca="1"/>
      </c>
      <c r="ES195">
        <f ca="1"/>
      </c>
      <c r="ET195">
        <f ca="1"/>
      </c>
      <c r="EU195">
        <f ca="1"/>
      </c>
      <c r="EV195">
        <f ca="1"/>
      </c>
      <c r="EW195">
        <f ca="1"/>
      </c>
      <c r="EX195">
        <f ca="1"/>
      </c>
      <c r="EY195">
        <f ca="1"/>
      </c>
      <c r="EZ195">
        <f ca="1"/>
      </c>
      <c r="FA195">
        <f ca="1"/>
      </c>
      <c r="FC195">
        <f ca="1"/>
      </c>
      <c r="FD195">
        <f ca="1"/>
      </c>
      <c r="FE195">
        <f ca="1"/>
      </c>
      <c r="FF195">
        <f ca="1"/>
      </c>
      <c r="FG195">
        <f ca="1"/>
      </c>
      <c r="FH195">
        <f ca="1"/>
      </c>
      <c r="FI195">
        <f ca="1"/>
      </c>
      <c r="FJ195">
        <f ca="1"/>
      </c>
      <c r="FK195">
        <f ca="1"/>
      </c>
      <c r="FL195">
        <f ca="1"/>
      </c>
      <c r="FM195">
        <f ca="1"/>
      </c>
      <c r="FN195">
        <f ca="1"/>
      </c>
      <c r="FO195">
        <f ca="1"/>
      </c>
      <c r="FP195">
        <f ca="1"/>
      </c>
      <c r="FQ195">
        <f ca="1"/>
      </c>
      <c r="FR195">
        <f ca="1"/>
      </c>
      <c r="FS195">
        <f ca="1"/>
      </c>
      <c r="FT195">
        <f ca="1"/>
      </c>
      <c r="FU195">
        <f ca="1"/>
      </c>
      <c r="FV195">
        <f ca="1"/>
      </c>
      <c r="FW195">
        <f ca="1"/>
      </c>
      <c r="FX195">
        <f ca="1"/>
      </c>
      <c r="FY195">
        <f ca="1"/>
      </c>
      <c r="FZ195">
        <f ca="1"/>
      </c>
      <c r="GA195">
        <f ca="1"/>
      </c>
      <c r="GB195">
        <f ca="1"/>
      </c>
      <c r="GC195">
        <f ca="1"/>
      </c>
      <c r="GD195">
        <f ca="1"/>
      </c>
      <c r="GE195">
        <f ca="1"/>
      </c>
      <c r="GF195">
        <f ca="1"/>
      </c>
      <c r="GG195">
        <f ca="1"/>
      </c>
      <c r="GH195">
        <f ca="1"/>
      </c>
      <c r="GI195">
        <f ca="1"/>
      </c>
      <c r="GJ195">
        <f ca="1"/>
      </c>
      <c r="GK195">
        <f ca="1"/>
      </c>
      <c r="GL195">
        <f ca="1"/>
      </c>
      <c r="GM195">
        <f ca="1"/>
      </c>
      <c r="GN195">
        <f ca="1"/>
      </c>
      <c r="GO195">
        <f ca="1"/>
      </c>
      <c r="GP195">
        <f ca="1"/>
      </c>
      <c r="GQ195">
        <f ca="1"/>
      </c>
      <c r="GR195">
        <f ca="1"/>
      </c>
      <c r="GS195">
        <f ca="1"/>
      </c>
      <c r="GT195">
        <f ca="1"/>
      </c>
      <c r="GU195">
        <f ca="1"/>
      </c>
      <c r="GV195">
        <f ca="1"/>
      </c>
      <c r="GW195">
        <f ca="1"/>
      </c>
      <c r="HI195" s="7">
        <f ca="1"/>
      </c>
      <c r="HJ195">
        <f ca="1"/>
      </c>
      <c r="HK195">
        <f ca="1"/>
      </c>
      <c r="HL195">
        <f ca="1"/>
      </c>
      <c r="HM195">
        <f ca="1"/>
      </c>
    </row>
    <row r="196" spans="63:221" x14ac:dyDescent="0.55000000000000004">
      <c r="BK196">
        <f ca="1"/>
      </c>
      <c r="BL196">
        <f ca="1"/>
      </c>
      <c r="BM196">
        <f ca="1"/>
      </c>
      <c r="BN196">
        <f ca="1"/>
      </c>
      <c r="BO196">
        <f ca="1"/>
      </c>
      <c r="BP196">
        <f ca="1"/>
      </c>
      <c r="BQ196">
        <f ca="1"/>
      </c>
      <c r="BR196">
        <f ca="1"/>
      </c>
      <c r="BS196">
        <f ca="1"/>
      </c>
      <c r="BT196">
        <f ca="1"/>
      </c>
      <c r="BU196">
        <f ca="1"/>
      </c>
      <c r="BV196">
        <f ca="1"/>
      </c>
      <c r="BW196">
        <f ca="1"/>
      </c>
      <c r="BX196">
        <f ca="1"/>
      </c>
      <c r="BY196">
        <f ca="1"/>
      </c>
      <c r="BZ196">
        <f ca="1"/>
      </c>
      <c r="CA196">
        <f ca="1"/>
      </c>
      <c r="CB196">
        <f ca="1"/>
      </c>
      <c r="CC196">
        <f ca="1"/>
      </c>
      <c r="CD196">
        <f ca="1"/>
      </c>
      <c r="CE196">
        <f ca="1"/>
      </c>
      <c r="CF196">
        <f ca="1"/>
      </c>
      <c r="CG196">
        <f ca="1"/>
      </c>
      <c r="CH196">
        <f ca="1"/>
      </c>
      <c r="CI196">
        <f ca="1"/>
      </c>
      <c r="CJ196">
        <f ca="1"/>
      </c>
      <c r="CK196">
        <f ca="1"/>
      </c>
      <c r="CL196">
        <f ca="1"/>
      </c>
      <c r="CM196">
        <f ca="1"/>
      </c>
      <c r="CN196">
        <f ca="1"/>
      </c>
      <c r="CO196">
        <f ca="1"/>
      </c>
      <c r="CP196">
        <f ca="1"/>
      </c>
      <c r="CQ196">
        <f ca="1"/>
      </c>
      <c r="CR196">
        <f ca="1"/>
      </c>
      <c r="CS196">
        <f ca="1"/>
      </c>
      <c r="CT196">
        <f ca="1"/>
      </c>
      <c r="CU196">
        <f ca="1"/>
      </c>
      <c r="CV196">
        <f ca="1"/>
      </c>
      <c r="CW196">
        <f ca="1"/>
      </c>
      <c r="CX196">
        <f ca="1"/>
      </c>
      <c r="CY196">
        <f ca="1"/>
      </c>
      <c r="CZ196">
        <f ca="1"/>
      </c>
      <c r="DA196">
        <f ca="1"/>
      </c>
      <c r="DB196">
        <f ca="1"/>
      </c>
      <c r="DC196">
        <f ca="1"/>
      </c>
      <c r="DD196">
        <f ca="1"/>
      </c>
      <c r="DE196">
        <f ca="1"/>
      </c>
      <c r="DG196">
        <f ca="1"/>
      </c>
      <c r="DH196">
        <f ca="1"/>
      </c>
      <c r="DI196">
        <f ca="1"/>
      </c>
      <c r="DJ196">
        <f ca="1"/>
      </c>
      <c r="DK196">
        <f ca="1"/>
      </c>
      <c r="DL196">
        <f ca="1"/>
      </c>
      <c r="DM196">
        <f ca="1"/>
      </c>
      <c r="DN196">
        <f ca="1"/>
      </c>
      <c r="DO196">
        <f ca="1"/>
      </c>
      <c r="DP196">
        <f ca="1"/>
      </c>
      <c r="DQ196">
        <f ca="1"/>
      </c>
      <c r="DR196">
        <f ca="1"/>
      </c>
      <c r="DS196">
        <f ca="1"/>
      </c>
      <c r="DT196">
        <f ca="1"/>
      </c>
      <c r="DU196">
        <f ca="1"/>
      </c>
      <c r="DV196">
        <f ca="1"/>
      </c>
      <c r="DW196">
        <f ca="1"/>
      </c>
      <c r="DX196">
        <f ca="1"/>
      </c>
      <c r="DY196">
        <f ca="1"/>
      </c>
      <c r="DZ196">
        <f ca="1"/>
      </c>
      <c r="EA196">
        <f ca="1"/>
      </c>
      <c r="EB196">
        <f ca="1"/>
      </c>
      <c r="EC196">
        <f ca="1"/>
      </c>
      <c r="ED196">
        <f ca="1"/>
      </c>
      <c r="EE196">
        <f ca="1"/>
      </c>
      <c r="EF196">
        <f ca="1"/>
      </c>
      <c r="EG196">
        <f ca="1"/>
      </c>
      <c r="EH196">
        <f ca="1"/>
      </c>
      <c r="EI196">
        <f ca="1"/>
      </c>
      <c r="EJ196">
        <f ca="1"/>
      </c>
      <c r="EK196">
        <f ca="1"/>
      </c>
      <c r="EL196">
        <f ca="1"/>
      </c>
      <c r="EM196">
        <f ca="1"/>
      </c>
      <c r="EN196">
        <f ca="1"/>
      </c>
      <c r="EO196">
        <f ca="1"/>
      </c>
      <c r="EP196">
        <f ca="1"/>
      </c>
      <c r="EQ196">
        <f ca="1"/>
      </c>
      <c r="ER196">
        <f ca="1"/>
      </c>
      <c r="ES196">
        <f ca="1"/>
      </c>
      <c r="ET196">
        <f ca="1"/>
      </c>
      <c r="EU196">
        <f ca="1"/>
      </c>
      <c r="EV196">
        <f ca="1"/>
      </c>
      <c r="EW196">
        <f ca="1"/>
      </c>
      <c r="EX196">
        <f ca="1"/>
      </c>
      <c r="EY196">
        <f ca="1"/>
      </c>
      <c r="EZ196">
        <f ca="1"/>
      </c>
      <c r="FA196">
        <f ca="1"/>
      </c>
      <c r="FC196">
        <f ca="1"/>
      </c>
      <c r="FD196">
        <f ca="1"/>
      </c>
      <c r="FE196">
        <f ca="1"/>
      </c>
      <c r="FF196">
        <f ca="1"/>
      </c>
      <c r="FG196">
        <f ca="1"/>
      </c>
      <c r="FH196">
        <f ca="1"/>
      </c>
      <c r="FI196">
        <f ca="1"/>
      </c>
      <c r="FJ196">
        <f ca="1"/>
      </c>
      <c r="FK196">
        <f ca="1"/>
      </c>
      <c r="FL196">
        <f ca="1"/>
      </c>
      <c r="FM196">
        <f ca="1"/>
      </c>
      <c r="FN196">
        <f ca="1"/>
      </c>
      <c r="FO196">
        <f ca="1"/>
      </c>
      <c r="FP196">
        <f ca="1"/>
      </c>
      <c r="FQ196">
        <f ca="1"/>
      </c>
      <c r="FR196">
        <f ca="1"/>
      </c>
      <c r="FS196">
        <f ca="1"/>
      </c>
      <c r="FT196">
        <f ca="1"/>
      </c>
      <c r="FU196">
        <f ca="1"/>
      </c>
      <c r="FV196">
        <f ca="1"/>
      </c>
      <c r="FW196">
        <f ca="1"/>
      </c>
      <c r="FX196">
        <f ca="1"/>
      </c>
      <c r="FY196">
        <f ca="1"/>
      </c>
      <c r="FZ196">
        <f ca="1"/>
      </c>
      <c r="GA196">
        <f ca="1"/>
      </c>
      <c r="GB196">
        <f ca="1"/>
      </c>
      <c r="GC196">
        <f ca="1"/>
      </c>
      <c r="GD196">
        <f ca="1"/>
      </c>
      <c r="GE196">
        <f ca="1"/>
      </c>
      <c r="GF196">
        <f ca="1"/>
      </c>
      <c r="GG196">
        <f ca="1"/>
      </c>
      <c r="GH196">
        <f ca="1"/>
      </c>
      <c r="GI196">
        <f ca="1"/>
      </c>
      <c r="GJ196">
        <f ca="1"/>
      </c>
      <c r="GK196">
        <f ca="1"/>
      </c>
      <c r="GL196">
        <f ca="1"/>
      </c>
      <c r="GM196">
        <f ca="1"/>
      </c>
      <c r="GN196">
        <f ca="1"/>
      </c>
      <c r="GO196">
        <f ca="1"/>
      </c>
      <c r="GP196">
        <f ca="1"/>
      </c>
      <c r="GQ196">
        <f ca="1"/>
      </c>
      <c r="GR196">
        <f ca="1"/>
      </c>
      <c r="GS196">
        <f ca="1"/>
      </c>
      <c r="GT196">
        <f ca="1"/>
      </c>
      <c r="GU196">
        <f ca="1"/>
      </c>
      <c r="GV196">
        <f ca="1"/>
      </c>
      <c r="GW196">
        <f ca="1"/>
      </c>
      <c r="HI196" s="7">
        <f ca="1"/>
      </c>
      <c r="HJ196">
        <f ca="1"/>
      </c>
      <c r="HK196">
        <f ca="1"/>
      </c>
      <c r="HL196">
        <f ca="1"/>
      </c>
      <c r="HM196">
        <f ca="1"/>
      </c>
    </row>
    <row r="197" spans="63:221" x14ac:dyDescent="0.55000000000000004">
      <c r="BK197">
        <f ca="1"/>
      </c>
      <c r="BL197">
        <f ca="1"/>
      </c>
      <c r="BM197">
        <f ca="1"/>
      </c>
      <c r="BN197">
        <f ca="1"/>
      </c>
      <c r="BO197">
        <f ca="1"/>
      </c>
      <c r="BP197">
        <f ca="1"/>
      </c>
      <c r="BQ197">
        <f ca="1"/>
      </c>
      <c r="BR197">
        <f ca="1"/>
      </c>
      <c r="BS197">
        <f ca="1"/>
      </c>
      <c r="BT197">
        <f ca="1"/>
      </c>
      <c r="BU197">
        <f ca="1"/>
      </c>
      <c r="BV197">
        <f ca="1"/>
      </c>
      <c r="BW197">
        <f ca="1"/>
      </c>
      <c r="BX197">
        <f ca="1"/>
      </c>
      <c r="BY197">
        <f ca="1"/>
      </c>
      <c r="BZ197">
        <f ca="1"/>
      </c>
      <c r="CA197">
        <f ca="1"/>
      </c>
      <c r="CB197">
        <f ca="1"/>
      </c>
      <c r="CC197">
        <f ca="1"/>
      </c>
      <c r="CD197">
        <f ca="1"/>
      </c>
      <c r="CE197">
        <f ca="1"/>
      </c>
      <c r="CF197">
        <f ca="1"/>
      </c>
      <c r="CG197">
        <f ca="1"/>
      </c>
      <c r="CH197">
        <f ca="1"/>
      </c>
      <c r="CI197">
        <f ca="1"/>
      </c>
      <c r="CJ197">
        <f ca="1"/>
      </c>
      <c r="CK197">
        <f ca="1"/>
      </c>
      <c r="CL197">
        <f ca="1"/>
      </c>
      <c r="CM197">
        <f ca="1"/>
      </c>
      <c r="CN197">
        <f ca="1"/>
      </c>
      <c r="CO197">
        <f ca="1"/>
      </c>
      <c r="CP197">
        <f ca="1"/>
      </c>
      <c r="CQ197">
        <f ca="1"/>
      </c>
      <c r="CR197">
        <f ca="1"/>
      </c>
      <c r="CS197">
        <f ca="1"/>
      </c>
      <c r="CT197">
        <f ca="1"/>
      </c>
      <c r="CU197">
        <f ca="1"/>
      </c>
      <c r="CV197">
        <f ca="1"/>
      </c>
      <c r="CW197">
        <f ca="1"/>
      </c>
      <c r="CX197">
        <f ca="1"/>
      </c>
      <c r="CY197">
        <f ca="1"/>
      </c>
      <c r="CZ197">
        <f ca="1"/>
      </c>
      <c r="DA197">
        <f ca="1"/>
      </c>
      <c r="DB197">
        <f ca="1"/>
      </c>
      <c r="DC197">
        <f ca="1"/>
      </c>
      <c r="DD197">
        <f ca="1"/>
      </c>
      <c r="DE197">
        <f ca="1"/>
      </c>
      <c r="DG197">
        <f ca="1"/>
      </c>
      <c r="DH197">
        <f ca="1"/>
      </c>
      <c r="DI197">
        <f ca="1"/>
      </c>
      <c r="DJ197">
        <f ca="1"/>
      </c>
      <c r="DK197">
        <f ca="1"/>
      </c>
      <c r="DL197">
        <f ca="1"/>
      </c>
      <c r="DM197">
        <f ca="1"/>
      </c>
      <c r="DN197">
        <f ca="1"/>
      </c>
      <c r="DO197">
        <f ca="1"/>
      </c>
      <c r="DP197">
        <f ca="1"/>
      </c>
      <c r="DQ197">
        <f ca="1"/>
      </c>
      <c r="DR197">
        <f ca="1"/>
      </c>
      <c r="DS197">
        <f ca="1"/>
      </c>
      <c r="DT197">
        <f ca="1"/>
      </c>
      <c r="DU197">
        <f ca="1"/>
      </c>
      <c r="DV197">
        <f ca="1"/>
      </c>
      <c r="DW197">
        <f ca="1"/>
      </c>
      <c r="DX197">
        <f ca="1"/>
      </c>
      <c r="DY197">
        <f ca="1"/>
      </c>
      <c r="DZ197">
        <f ca="1"/>
      </c>
      <c r="EA197">
        <f ca="1"/>
      </c>
      <c r="EB197">
        <f ca="1"/>
      </c>
      <c r="EC197">
        <f ca="1"/>
      </c>
      <c r="ED197">
        <f ca="1"/>
      </c>
      <c r="EE197">
        <f ca="1"/>
      </c>
      <c r="EF197">
        <f ca="1"/>
      </c>
      <c r="EG197">
        <f ca="1"/>
      </c>
      <c r="EH197">
        <f ca="1"/>
      </c>
      <c r="EI197">
        <f ca="1"/>
      </c>
      <c r="EJ197">
        <f ca="1"/>
      </c>
      <c r="EK197">
        <f ca="1"/>
      </c>
      <c r="EL197">
        <f ca="1"/>
      </c>
      <c r="EM197">
        <f ca="1"/>
      </c>
      <c r="EN197">
        <f ca="1"/>
      </c>
      <c r="EO197">
        <f ca="1"/>
      </c>
      <c r="EP197">
        <f ca="1"/>
      </c>
      <c r="EQ197">
        <f ca="1"/>
      </c>
      <c r="ER197">
        <f ca="1"/>
      </c>
      <c r="ES197">
        <f ca="1"/>
      </c>
      <c r="ET197">
        <f ca="1"/>
      </c>
      <c r="EU197">
        <f ca="1"/>
      </c>
      <c r="EV197">
        <f ca="1"/>
      </c>
      <c r="EW197">
        <f ca="1"/>
      </c>
      <c r="EX197">
        <f ca="1"/>
      </c>
      <c r="EY197">
        <f ca="1"/>
      </c>
      <c r="EZ197">
        <f ca="1"/>
      </c>
      <c r="FA197">
        <f ca="1"/>
      </c>
      <c r="FC197">
        <f ca="1"/>
      </c>
      <c r="FD197">
        <f ca="1"/>
      </c>
      <c r="FE197">
        <f ca="1"/>
      </c>
      <c r="FF197">
        <f ca="1"/>
      </c>
      <c r="FG197">
        <f ca="1"/>
      </c>
      <c r="FH197">
        <f ca="1"/>
      </c>
      <c r="FI197">
        <f ca="1"/>
      </c>
      <c r="FJ197">
        <f ca="1"/>
      </c>
      <c r="FK197">
        <f ca="1"/>
      </c>
      <c r="FL197">
        <f ca="1"/>
      </c>
      <c r="FM197">
        <f ca="1"/>
      </c>
      <c r="FN197">
        <f ca="1"/>
      </c>
      <c r="FO197">
        <f ca="1"/>
      </c>
      <c r="FP197">
        <f ca="1"/>
      </c>
      <c r="FQ197">
        <f ca="1"/>
      </c>
      <c r="FR197">
        <f ca="1"/>
      </c>
      <c r="FS197">
        <f ca="1"/>
      </c>
      <c r="FT197">
        <f ca="1"/>
      </c>
      <c r="FU197">
        <f ca="1"/>
      </c>
      <c r="FV197">
        <f ca="1"/>
      </c>
      <c r="FW197">
        <f ca="1"/>
      </c>
      <c r="FX197">
        <f ca="1"/>
      </c>
      <c r="FY197">
        <f ca="1"/>
      </c>
      <c r="FZ197">
        <f ca="1"/>
      </c>
      <c r="GA197">
        <f ca="1"/>
      </c>
      <c r="GB197">
        <f ca="1"/>
      </c>
      <c r="GC197">
        <f ca="1"/>
      </c>
      <c r="GD197">
        <f ca="1"/>
      </c>
      <c r="GE197">
        <f ca="1"/>
      </c>
      <c r="GF197">
        <f ca="1"/>
      </c>
      <c r="GG197">
        <f ca="1"/>
      </c>
      <c r="GH197">
        <f ca="1"/>
      </c>
      <c r="GI197">
        <f ca="1"/>
      </c>
      <c r="GJ197">
        <f ca="1"/>
      </c>
      <c r="GK197">
        <f ca="1"/>
      </c>
      <c r="GL197">
        <f ca="1"/>
      </c>
      <c r="GM197">
        <f ca="1"/>
      </c>
      <c r="GN197">
        <f ca="1"/>
      </c>
      <c r="GO197">
        <f ca="1"/>
      </c>
      <c r="GP197">
        <f ca="1"/>
      </c>
      <c r="GQ197">
        <f ca="1"/>
      </c>
      <c r="GR197">
        <f ca="1"/>
      </c>
      <c r="GS197">
        <f ca="1"/>
      </c>
      <c r="GT197">
        <f ca="1"/>
      </c>
      <c r="GU197">
        <f ca="1"/>
      </c>
      <c r="GV197">
        <f ca="1"/>
      </c>
      <c r="GW197">
        <f ca="1"/>
      </c>
      <c r="HI197" s="7">
        <f ca="1"/>
      </c>
      <c r="HJ197">
        <f ca="1"/>
      </c>
      <c r="HK197">
        <f ca="1"/>
      </c>
      <c r="HL197">
        <f ca="1"/>
      </c>
      <c r="HM197">
        <f ca="1"/>
      </c>
    </row>
    <row r="198" spans="63:221" x14ac:dyDescent="0.55000000000000004">
      <c r="BK198">
        <f ca="1"/>
      </c>
      <c r="BL198">
        <f ca="1"/>
      </c>
      <c r="BM198">
        <f ca="1"/>
      </c>
      <c r="BN198">
        <f ca="1"/>
      </c>
      <c r="BO198">
        <f ca="1"/>
      </c>
      <c r="BP198">
        <f ca="1"/>
      </c>
      <c r="BQ198">
        <f ca="1"/>
      </c>
      <c r="BR198">
        <f ca="1"/>
      </c>
      <c r="BS198">
        <f ca="1"/>
      </c>
      <c r="BT198">
        <f ca="1"/>
      </c>
      <c r="BU198">
        <f ca="1"/>
      </c>
      <c r="BV198">
        <f ca="1"/>
      </c>
      <c r="BW198">
        <f ca="1"/>
      </c>
      <c r="BX198">
        <f ca="1"/>
      </c>
      <c r="BY198">
        <f ca="1"/>
      </c>
      <c r="BZ198">
        <f ca="1"/>
      </c>
      <c r="CA198">
        <f ca="1"/>
      </c>
      <c r="CB198">
        <f ca="1"/>
      </c>
      <c r="CC198">
        <f ca="1"/>
      </c>
      <c r="CD198">
        <f ca="1"/>
      </c>
      <c r="CE198">
        <f ca="1"/>
      </c>
      <c r="CF198">
        <f ca="1"/>
      </c>
      <c r="CG198">
        <f ca="1"/>
      </c>
      <c r="CH198">
        <f ca="1"/>
      </c>
      <c r="CI198">
        <f ca="1"/>
      </c>
      <c r="CJ198">
        <f ca="1"/>
      </c>
      <c r="CK198">
        <f ca="1"/>
      </c>
      <c r="CL198">
        <f ca="1"/>
      </c>
      <c r="CM198">
        <f ca="1"/>
      </c>
      <c r="CN198">
        <f ca="1"/>
      </c>
      <c r="CO198">
        <f ca="1"/>
      </c>
      <c r="CP198">
        <f ca="1"/>
      </c>
      <c r="CQ198">
        <f ca="1"/>
      </c>
      <c r="CR198">
        <f ca="1"/>
      </c>
      <c r="CS198">
        <f ca="1"/>
      </c>
      <c r="CT198">
        <f ca="1"/>
      </c>
      <c r="CU198">
        <f ca="1"/>
      </c>
      <c r="CV198">
        <f ca="1"/>
      </c>
      <c r="CW198">
        <f ca="1"/>
      </c>
      <c r="CX198">
        <f ca="1"/>
      </c>
      <c r="CY198">
        <f ca="1"/>
      </c>
      <c r="CZ198">
        <f ca="1"/>
      </c>
      <c r="DA198">
        <f ca="1"/>
      </c>
      <c r="DB198">
        <f ca="1"/>
      </c>
      <c r="DC198">
        <f ca="1"/>
      </c>
      <c r="DD198">
        <f ca="1"/>
      </c>
      <c r="DE198">
        <f ca="1"/>
      </c>
      <c r="DG198">
        <f ca="1"/>
      </c>
      <c r="DH198">
        <f ca="1"/>
      </c>
      <c r="DI198">
        <f ca="1"/>
      </c>
      <c r="DJ198">
        <f ca="1"/>
      </c>
      <c r="DK198">
        <f ca="1"/>
      </c>
      <c r="DL198">
        <f ca="1"/>
      </c>
      <c r="DM198">
        <f ca="1"/>
      </c>
      <c r="DN198">
        <f ca="1"/>
      </c>
      <c r="DO198">
        <f ca="1"/>
      </c>
      <c r="DP198">
        <f ca="1"/>
      </c>
      <c r="DQ198">
        <f ca="1"/>
      </c>
      <c r="DR198">
        <f ca="1"/>
      </c>
      <c r="DS198">
        <f ca="1"/>
      </c>
      <c r="DT198">
        <f ca="1"/>
      </c>
      <c r="DU198">
        <f ca="1"/>
      </c>
      <c r="DV198">
        <f ca="1"/>
      </c>
      <c r="DW198">
        <f ca="1"/>
      </c>
      <c r="DX198">
        <f ca="1"/>
      </c>
      <c r="DY198">
        <f ca="1"/>
      </c>
      <c r="DZ198">
        <f ca="1"/>
      </c>
      <c r="EA198">
        <f ca="1"/>
      </c>
      <c r="EB198">
        <f ca="1"/>
      </c>
      <c r="EC198">
        <f ca="1"/>
      </c>
      <c r="ED198">
        <f ca="1"/>
      </c>
      <c r="EE198">
        <f ca="1"/>
      </c>
      <c r="EF198">
        <f ca="1"/>
      </c>
      <c r="EG198">
        <f ca="1"/>
      </c>
      <c r="EH198">
        <f ca="1"/>
      </c>
      <c r="EI198">
        <f ca="1"/>
      </c>
      <c r="EJ198">
        <f ca="1"/>
      </c>
      <c r="EK198">
        <f ca="1"/>
      </c>
      <c r="EL198">
        <f ca="1"/>
      </c>
      <c r="EM198">
        <f ca="1"/>
      </c>
      <c r="EN198">
        <f ca="1"/>
      </c>
      <c r="EO198">
        <f ca="1"/>
      </c>
      <c r="EP198">
        <f ca="1"/>
      </c>
      <c r="EQ198">
        <f ca="1"/>
      </c>
      <c r="ER198">
        <f ca="1"/>
      </c>
      <c r="ES198">
        <f ca="1"/>
      </c>
      <c r="ET198">
        <f ca="1"/>
      </c>
      <c r="EU198">
        <f ca="1"/>
      </c>
      <c r="EV198">
        <f ca="1"/>
      </c>
      <c r="EW198">
        <f ca="1"/>
      </c>
      <c r="EX198">
        <f ca="1"/>
      </c>
      <c r="EY198">
        <f ca="1"/>
      </c>
      <c r="EZ198">
        <f ca="1"/>
      </c>
      <c r="FA198">
        <f ca="1"/>
      </c>
      <c r="FC198">
        <f ca="1"/>
      </c>
      <c r="FD198">
        <f ca="1"/>
      </c>
      <c r="FE198">
        <f ca="1"/>
      </c>
      <c r="FF198">
        <f ca="1"/>
      </c>
      <c r="FG198">
        <f ca="1"/>
      </c>
      <c r="FH198">
        <f ca="1"/>
      </c>
      <c r="FI198">
        <f ca="1"/>
      </c>
      <c r="FJ198">
        <f ca="1"/>
      </c>
      <c r="FK198">
        <f ca="1"/>
      </c>
      <c r="FL198">
        <f ca="1"/>
      </c>
      <c r="FM198">
        <f ca="1"/>
      </c>
      <c r="FN198">
        <f ca="1"/>
      </c>
      <c r="FO198">
        <f ca="1"/>
      </c>
      <c r="FP198">
        <f ca="1"/>
      </c>
      <c r="FQ198">
        <f ca="1"/>
      </c>
      <c r="FR198">
        <f ca="1"/>
      </c>
      <c r="FS198">
        <f ca="1"/>
      </c>
      <c r="FT198">
        <f ca="1"/>
      </c>
      <c r="FU198">
        <f ca="1"/>
      </c>
      <c r="FV198">
        <f ca="1"/>
      </c>
      <c r="FW198">
        <f ca="1"/>
      </c>
      <c r="FX198">
        <f ca="1"/>
      </c>
      <c r="FY198">
        <f ca="1"/>
      </c>
      <c r="FZ198">
        <f ca="1"/>
      </c>
      <c r="GA198">
        <f ca="1"/>
      </c>
      <c r="GB198">
        <f ca="1"/>
      </c>
      <c r="GC198">
        <f ca="1"/>
      </c>
      <c r="GD198">
        <f ca="1"/>
      </c>
      <c r="GE198">
        <f ca="1"/>
      </c>
      <c r="GF198">
        <f ca="1"/>
      </c>
      <c r="GG198">
        <f ca="1"/>
      </c>
      <c r="GH198">
        <f ca="1"/>
      </c>
      <c r="GI198">
        <f ca="1"/>
      </c>
      <c r="GJ198">
        <f ca="1"/>
      </c>
      <c r="GK198">
        <f ca="1"/>
      </c>
      <c r="GL198">
        <f ca="1"/>
      </c>
      <c r="GM198">
        <f ca="1"/>
      </c>
      <c r="GN198">
        <f ca="1"/>
      </c>
      <c r="GO198">
        <f ca="1"/>
      </c>
      <c r="GP198">
        <f ca="1"/>
      </c>
      <c r="GQ198">
        <f ca="1"/>
      </c>
      <c r="GR198">
        <f ca="1"/>
      </c>
      <c r="GS198">
        <f ca="1"/>
      </c>
      <c r="GT198">
        <f ca="1"/>
      </c>
      <c r="GU198">
        <f ca="1"/>
      </c>
      <c r="GV198">
        <f ca="1"/>
      </c>
      <c r="GW198">
        <f ca="1"/>
      </c>
      <c r="HI198" s="7">
        <f ca="1"/>
      </c>
      <c r="HJ198">
        <f ca="1"/>
      </c>
      <c r="HK198">
        <f ca="1"/>
      </c>
      <c r="HL198">
        <f ca="1"/>
      </c>
      <c r="HM198">
        <f ca="1"/>
      </c>
    </row>
    <row r="199" spans="63:221" x14ac:dyDescent="0.55000000000000004">
      <c r="BK199">
        <f ca="1"/>
      </c>
      <c r="BL199">
        <f ca="1"/>
      </c>
      <c r="BM199">
        <f ca="1"/>
      </c>
      <c r="BN199">
        <f ca="1"/>
      </c>
      <c r="BO199">
        <f ca="1"/>
      </c>
      <c r="BP199">
        <f ca="1"/>
      </c>
      <c r="BQ199">
        <f ca="1"/>
      </c>
      <c r="BR199">
        <f ca="1"/>
      </c>
      <c r="BS199">
        <f ca="1"/>
      </c>
      <c r="BT199">
        <f ca="1"/>
      </c>
      <c r="BU199">
        <f ca="1"/>
      </c>
      <c r="BV199">
        <f ca="1"/>
      </c>
      <c r="BW199">
        <f ca="1"/>
      </c>
      <c r="BX199">
        <f ca="1"/>
      </c>
      <c r="BY199">
        <f ca="1"/>
      </c>
      <c r="BZ199">
        <f ca="1"/>
      </c>
      <c r="CA199">
        <f ca="1"/>
      </c>
      <c r="CB199">
        <f ca="1"/>
      </c>
      <c r="CC199">
        <f ca="1"/>
      </c>
      <c r="CD199">
        <f ca="1"/>
      </c>
      <c r="CE199">
        <f ca="1"/>
      </c>
      <c r="CF199">
        <f ca="1"/>
      </c>
      <c r="CG199">
        <f ca="1"/>
      </c>
      <c r="CH199">
        <f ca="1"/>
      </c>
      <c r="CI199">
        <f ca="1"/>
      </c>
      <c r="CJ199">
        <f ca="1"/>
      </c>
      <c r="CK199">
        <f ca="1"/>
      </c>
      <c r="CL199">
        <f ca="1"/>
      </c>
      <c r="CM199">
        <f ca="1"/>
      </c>
      <c r="CN199">
        <f ca="1"/>
      </c>
      <c r="CO199">
        <f ca="1"/>
      </c>
      <c r="CP199">
        <f ca="1"/>
      </c>
      <c r="CQ199">
        <f ca="1"/>
      </c>
      <c r="CR199">
        <f ca="1"/>
      </c>
      <c r="CS199">
        <f ca="1"/>
      </c>
      <c r="CT199">
        <f ca="1"/>
      </c>
      <c r="CU199">
        <f ca="1"/>
      </c>
      <c r="CV199">
        <f ca="1"/>
      </c>
      <c r="CW199">
        <f ca="1"/>
      </c>
      <c r="CX199">
        <f ca="1"/>
      </c>
      <c r="CY199">
        <f ca="1"/>
      </c>
      <c r="CZ199">
        <f ca="1"/>
      </c>
      <c r="DA199">
        <f ca="1"/>
      </c>
      <c r="DB199">
        <f ca="1"/>
      </c>
      <c r="DC199">
        <f ca="1"/>
      </c>
      <c r="DD199">
        <f ca="1"/>
      </c>
      <c r="DE199">
        <f ca="1"/>
      </c>
      <c r="DG199">
        <f ca="1"/>
      </c>
      <c r="DH199">
        <f ca="1"/>
      </c>
      <c r="DI199">
        <f ca="1"/>
      </c>
      <c r="DJ199">
        <f ca="1"/>
      </c>
      <c r="DK199">
        <f ca="1"/>
      </c>
      <c r="DL199">
        <f ca="1"/>
      </c>
      <c r="DM199">
        <f ca="1"/>
      </c>
      <c r="DN199">
        <f ca="1"/>
      </c>
      <c r="DO199">
        <f ca="1"/>
      </c>
      <c r="DP199">
        <f ca="1"/>
      </c>
      <c r="DQ199">
        <f ca="1"/>
      </c>
      <c r="DR199">
        <f ca="1"/>
      </c>
      <c r="DS199">
        <f ca="1"/>
      </c>
      <c r="DT199">
        <f ca="1"/>
      </c>
      <c r="DU199">
        <f ca="1"/>
      </c>
      <c r="DV199">
        <f ca="1"/>
      </c>
      <c r="DW199">
        <f ca="1"/>
      </c>
      <c r="DX199">
        <f ca="1"/>
      </c>
      <c r="DY199">
        <f ca="1"/>
      </c>
      <c r="DZ199">
        <f ca="1"/>
      </c>
      <c r="EA199">
        <f ca="1"/>
      </c>
      <c r="EB199">
        <f ca="1"/>
      </c>
      <c r="EC199">
        <f ca="1"/>
      </c>
      <c r="ED199">
        <f ca="1"/>
      </c>
      <c r="EE199">
        <f ca="1"/>
      </c>
      <c r="EF199">
        <f ca="1"/>
      </c>
      <c r="EG199">
        <f ca="1"/>
      </c>
      <c r="EH199">
        <f ca="1"/>
      </c>
      <c r="EI199">
        <f ca="1"/>
      </c>
      <c r="EJ199">
        <f ca="1"/>
      </c>
      <c r="EK199">
        <f ca="1"/>
      </c>
      <c r="EL199">
        <f ca="1"/>
      </c>
      <c r="EM199">
        <f ca="1"/>
      </c>
      <c r="EN199">
        <f ca="1"/>
      </c>
      <c r="EO199">
        <f ca="1"/>
      </c>
      <c r="EP199">
        <f ca="1"/>
      </c>
      <c r="EQ199">
        <f ca="1"/>
      </c>
      <c r="ER199">
        <f ca="1"/>
      </c>
      <c r="ES199">
        <f ca="1"/>
      </c>
      <c r="ET199">
        <f ca="1"/>
      </c>
      <c r="EU199">
        <f ca="1"/>
      </c>
      <c r="EV199">
        <f ca="1"/>
      </c>
      <c r="EW199">
        <f ca="1"/>
      </c>
      <c r="EX199">
        <f ca="1"/>
      </c>
      <c r="EY199">
        <f ca="1"/>
      </c>
      <c r="EZ199">
        <f ca="1"/>
      </c>
      <c r="FA199">
        <f ca="1"/>
      </c>
      <c r="FC199">
        <f ca="1"/>
      </c>
      <c r="FD199">
        <f ca="1"/>
      </c>
      <c r="FE199">
        <f ca="1"/>
      </c>
      <c r="FF199">
        <f ca="1"/>
      </c>
      <c r="FG199">
        <f ca="1"/>
      </c>
      <c r="FH199">
        <f ca="1"/>
      </c>
      <c r="FI199">
        <f ca="1"/>
      </c>
      <c r="FJ199">
        <f ca="1"/>
      </c>
      <c r="FK199">
        <f ca="1"/>
      </c>
      <c r="FL199">
        <f ca="1"/>
      </c>
      <c r="FM199">
        <f ca="1"/>
      </c>
      <c r="FN199">
        <f ca="1"/>
      </c>
      <c r="FO199">
        <f ca="1"/>
      </c>
      <c r="FP199">
        <f ca="1"/>
      </c>
      <c r="FQ199">
        <f ca="1"/>
      </c>
      <c r="FR199">
        <f ca="1"/>
      </c>
      <c r="FS199">
        <f ca="1"/>
      </c>
      <c r="FT199">
        <f ca="1"/>
      </c>
      <c r="FU199">
        <f ca="1"/>
      </c>
      <c r="FV199">
        <f ca="1"/>
      </c>
      <c r="FW199">
        <f ca="1"/>
      </c>
      <c r="FX199">
        <f ca="1"/>
      </c>
      <c r="FY199">
        <f ca="1"/>
      </c>
      <c r="FZ199">
        <f ca="1"/>
      </c>
      <c r="GA199">
        <f ca="1"/>
      </c>
      <c r="GB199">
        <f ca="1"/>
      </c>
      <c r="GC199">
        <f ca="1"/>
      </c>
      <c r="GD199">
        <f ca="1"/>
      </c>
      <c r="GE199">
        <f ca="1"/>
      </c>
      <c r="GF199">
        <f ca="1"/>
      </c>
      <c r="GG199">
        <f ca="1"/>
      </c>
      <c r="GH199">
        <f ca="1"/>
      </c>
      <c r="GI199">
        <f ca="1"/>
      </c>
      <c r="GJ199">
        <f ca="1"/>
      </c>
      <c r="GK199">
        <f ca="1"/>
      </c>
      <c r="GL199">
        <f ca="1"/>
      </c>
      <c r="GM199">
        <f ca="1"/>
      </c>
      <c r="GN199">
        <f ca="1"/>
      </c>
      <c r="GO199">
        <f ca="1"/>
      </c>
      <c r="GP199">
        <f ca="1"/>
      </c>
      <c r="GQ199">
        <f ca="1"/>
      </c>
      <c r="GR199">
        <f ca="1"/>
      </c>
      <c r="GS199">
        <f ca="1"/>
      </c>
      <c r="GT199">
        <f ca="1"/>
      </c>
      <c r="GU199">
        <f ca="1"/>
      </c>
      <c r="GV199">
        <f ca="1"/>
      </c>
      <c r="GW199">
        <f ca="1"/>
      </c>
      <c r="HI199" s="7">
        <f ca="1"/>
      </c>
      <c r="HJ199">
        <f ca="1"/>
      </c>
      <c r="HK199">
        <f ca="1"/>
      </c>
      <c r="HL199">
        <f ca="1"/>
      </c>
      <c r="HM199">
        <f ca="1"/>
      </c>
    </row>
    <row r="200" spans="63:221" x14ac:dyDescent="0.55000000000000004">
      <c r="BK200">
        <f ca="1"/>
      </c>
      <c r="BL200">
        <f ca="1"/>
      </c>
      <c r="BM200">
        <f ca="1"/>
      </c>
      <c r="BN200">
        <f ca="1"/>
      </c>
      <c r="BO200">
        <f ca="1"/>
      </c>
      <c r="BP200">
        <f ca="1"/>
      </c>
      <c r="BQ200">
        <f ca="1"/>
      </c>
      <c r="BR200">
        <f ca="1"/>
      </c>
      <c r="BS200">
        <f ca="1"/>
      </c>
      <c r="BT200">
        <f ca="1"/>
      </c>
      <c r="BU200">
        <f ca="1"/>
      </c>
      <c r="BV200">
        <f ca="1"/>
      </c>
      <c r="BW200">
        <f ca="1"/>
      </c>
      <c r="BX200">
        <f ca="1"/>
      </c>
      <c r="BY200">
        <f ca="1"/>
      </c>
      <c r="BZ200">
        <f ca="1"/>
      </c>
      <c r="CA200">
        <f ca="1"/>
      </c>
      <c r="CB200">
        <f ca="1"/>
      </c>
      <c r="CC200">
        <f ca="1"/>
      </c>
      <c r="CD200">
        <f ca="1"/>
      </c>
      <c r="CE200">
        <f ca="1"/>
      </c>
      <c r="CF200">
        <f ca="1"/>
      </c>
      <c r="CG200">
        <f ca="1"/>
      </c>
      <c r="CH200">
        <f ca="1"/>
      </c>
      <c r="CI200">
        <f ca="1"/>
      </c>
      <c r="CJ200">
        <f ca="1"/>
      </c>
      <c r="CK200">
        <f ca="1"/>
      </c>
      <c r="CL200">
        <f ca="1"/>
      </c>
      <c r="CM200">
        <f ca="1"/>
      </c>
      <c r="CN200">
        <f ca="1"/>
      </c>
      <c r="CO200">
        <f ca="1"/>
      </c>
      <c r="CP200">
        <f ca="1"/>
      </c>
      <c r="CQ200">
        <f ca="1"/>
      </c>
      <c r="CR200">
        <f ca="1"/>
      </c>
      <c r="CS200">
        <f ca="1"/>
      </c>
      <c r="CT200">
        <f ca="1"/>
      </c>
      <c r="CU200">
        <f ca="1"/>
      </c>
      <c r="CV200">
        <f ca="1"/>
      </c>
      <c r="CW200">
        <f ca="1"/>
      </c>
      <c r="CX200">
        <f ca="1"/>
      </c>
      <c r="CY200">
        <f ca="1"/>
      </c>
      <c r="CZ200">
        <f ca="1"/>
      </c>
      <c r="DA200">
        <f ca="1"/>
      </c>
      <c r="DB200">
        <f ca="1"/>
      </c>
      <c r="DC200">
        <f ca="1"/>
      </c>
      <c r="DD200">
        <f ca="1"/>
      </c>
      <c r="DE200">
        <f ca="1"/>
      </c>
      <c r="DG200">
        <f ca="1"/>
      </c>
      <c r="DH200">
        <f ca="1"/>
      </c>
      <c r="DI200">
        <f ca="1"/>
      </c>
      <c r="DJ200">
        <f ca="1"/>
      </c>
      <c r="DK200">
        <f ca="1"/>
      </c>
      <c r="DL200">
        <f ca="1"/>
      </c>
      <c r="DM200">
        <f ca="1"/>
      </c>
      <c r="DN200">
        <f ca="1"/>
      </c>
      <c r="DO200">
        <f ca="1"/>
      </c>
      <c r="DP200">
        <f ca="1"/>
      </c>
      <c r="DQ200">
        <f ca="1"/>
      </c>
      <c r="DR200">
        <f ca="1"/>
      </c>
      <c r="DS200">
        <f ca="1"/>
      </c>
      <c r="DT200">
        <f ca="1"/>
      </c>
      <c r="DU200">
        <f ca="1"/>
      </c>
      <c r="DV200">
        <f ca="1"/>
      </c>
      <c r="DW200">
        <f ca="1"/>
      </c>
      <c r="DX200">
        <f ca="1"/>
      </c>
      <c r="DY200">
        <f ca="1"/>
      </c>
      <c r="DZ200">
        <f ca="1"/>
      </c>
      <c r="EA200">
        <f ca="1"/>
      </c>
      <c r="EB200">
        <f ca="1"/>
      </c>
      <c r="EC200">
        <f ca="1"/>
      </c>
      <c r="ED200">
        <f ca="1"/>
      </c>
      <c r="EE200">
        <f ca="1"/>
      </c>
      <c r="EF200">
        <f ca="1"/>
      </c>
      <c r="EG200">
        <f ca="1"/>
      </c>
      <c r="EH200">
        <f ca="1"/>
      </c>
      <c r="EI200">
        <f ca="1"/>
      </c>
      <c r="EJ200">
        <f ca="1"/>
      </c>
      <c r="EK200">
        <f ca="1"/>
      </c>
      <c r="EL200">
        <f ca="1"/>
      </c>
      <c r="EM200">
        <f ca="1"/>
      </c>
      <c r="EN200">
        <f ca="1"/>
      </c>
      <c r="EO200">
        <f ca="1"/>
      </c>
      <c r="EP200">
        <f ca="1"/>
      </c>
      <c r="EQ200">
        <f ca="1"/>
      </c>
      <c r="ER200">
        <f ca="1"/>
      </c>
      <c r="ES200">
        <f ca="1"/>
      </c>
      <c r="ET200">
        <f ca="1"/>
      </c>
      <c r="EU200">
        <f ca="1"/>
      </c>
      <c r="EV200">
        <f ca="1"/>
      </c>
      <c r="EW200">
        <f ca="1"/>
      </c>
      <c r="EX200">
        <f ca="1"/>
      </c>
      <c r="EY200">
        <f ca="1"/>
      </c>
      <c r="EZ200">
        <f ca="1"/>
      </c>
      <c r="FA200">
        <f ca="1"/>
      </c>
      <c r="FC200">
        <f ca="1"/>
      </c>
      <c r="FD200">
        <f ca="1"/>
      </c>
      <c r="FE200">
        <f ca="1"/>
      </c>
      <c r="FF200">
        <f ca="1"/>
      </c>
      <c r="FG200">
        <f ca="1"/>
      </c>
      <c r="FH200">
        <f ca="1"/>
      </c>
      <c r="FI200">
        <f ca="1"/>
      </c>
      <c r="FJ200">
        <f ca="1"/>
      </c>
      <c r="FK200">
        <f ca="1"/>
      </c>
      <c r="FL200">
        <f ca="1"/>
      </c>
      <c r="FM200">
        <f ca="1"/>
      </c>
      <c r="FN200">
        <f ca="1"/>
      </c>
      <c r="FO200">
        <f ca="1"/>
      </c>
      <c r="FP200">
        <f ca="1"/>
      </c>
      <c r="FQ200">
        <f ca="1"/>
      </c>
      <c r="FR200">
        <f ca="1"/>
      </c>
      <c r="FS200">
        <f ca="1"/>
      </c>
      <c r="FT200">
        <f ca="1"/>
      </c>
      <c r="FU200">
        <f ca="1"/>
      </c>
      <c r="FV200">
        <f ca="1"/>
      </c>
      <c r="FW200">
        <f ca="1"/>
      </c>
      <c r="FX200">
        <f ca="1"/>
      </c>
      <c r="FY200">
        <f ca="1"/>
      </c>
      <c r="FZ200">
        <f ca="1"/>
      </c>
      <c r="GA200">
        <f ca="1"/>
      </c>
      <c r="GB200">
        <f ca="1"/>
      </c>
      <c r="GC200">
        <f ca="1"/>
      </c>
      <c r="GD200">
        <f ca="1"/>
      </c>
      <c r="GE200">
        <f ca="1"/>
      </c>
      <c r="GF200">
        <f ca="1"/>
      </c>
      <c r="GG200">
        <f ca="1"/>
      </c>
      <c r="GH200">
        <f ca="1"/>
      </c>
      <c r="GI200">
        <f ca="1"/>
      </c>
      <c r="GJ200">
        <f ca="1"/>
      </c>
      <c r="GK200">
        <f ca="1"/>
      </c>
      <c r="GL200">
        <f ca="1"/>
      </c>
      <c r="GM200">
        <f ca="1"/>
      </c>
      <c r="GN200">
        <f ca="1"/>
      </c>
      <c r="GO200">
        <f ca="1"/>
      </c>
      <c r="GP200">
        <f ca="1"/>
      </c>
      <c r="GQ200">
        <f ca="1"/>
      </c>
      <c r="GR200">
        <f ca="1"/>
      </c>
      <c r="GS200">
        <f ca="1"/>
      </c>
      <c r="GT200">
        <f ca="1"/>
      </c>
      <c r="GU200">
        <f ca="1"/>
      </c>
      <c r="GV200">
        <f ca="1"/>
      </c>
      <c r="GW200">
        <f ca="1"/>
      </c>
      <c r="HI200" s="7">
        <f ca="1"/>
      </c>
      <c r="HJ200">
        <f ca="1"/>
      </c>
      <c r="HK200">
        <f ca="1"/>
      </c>
      <c r="HL200">
        <f ca="1"/>
      </c>
      <c r="HM200">
        <f ca="1"/>
      </c>
    </row>
    <row r="201" spans="63:221" x14ac:dyDescent="0.55000000000000004">
      <c r="BK201">
        <f ca="1"/>
      </c>
      <c r="BL201">
        <f ca="1"/>
      </c>
      <c r="BM201">
        <f ca="1"/>
      </c>
      <c r="BN201">
        <f ca="1"/>
      </c>
      <c r="BO201">
        <f ca="1"/>
      </c>
      <c r="BP201">
        <f ca="1"/>
      </c>
      <c r="BQ201">
        <f ca="1"/>
      </c>
      <c r="BR201">
        <f ca="1"/>
      </c>
      <c r="BS201">
        <f ca="1"/>
      </c>
      <c r="BT201">
        <f ca="1"/>
      </c>
      <c r="BU201">
        <f ca="1"/>
      </c>
      <c r="BV201">
        <f ca="1"/>
      </c>
      <c r="BW201">
        <f ca="1"/>
      </c>
      <c r="BX201">
        <f ca="1"/>
      </c>
      <c r="BY201">
        <f ca="1"/>
      </c>
      <c r="BZ201">
        <f ca="1"/>
      </c>
      <c r="CA201">
        <f ca="1"/>
      </c>
      <c r="CB201">
        <f ca="1"/>
      </c>
      <c r="CC201">
        <f ca="1"/>
      </c>
      <c r="CD201">
        <f ca="1"/>
      </c>
      <c r="CE201">
        <f ca="1"/>
      </c>
      <c r="CF201">
        <f ca="1"/>
      </c>
      <c r="CG201">
        <f ca="1"/>
      </c>
      <c r="CH201">
        <f ca="1"/>
      </c>
      <c r="CI201">
        <f ca="1"/>
      </c>
      <c r="CJ201">
        <f ca="1"/>
      </c>
      <c r="CK201">
        <f ca="1"/>
      </c>
      <c r="CL201">
        <f ca="1"/>
      </c>
      <c r="CM201">
        <f ca="1"/>
      </c>
      <c r="CN201">
        <f ca="1"/>
      </c>
      <c r="CO201">
        <f ca="1"/>
      </c>
      <c r="CP201">
        <f ca="1"/>
      </c>
      <c r="CQ201">
        <f ca="1"/>
      </c>
      <c r="CR201">
        <f ca="1"/>
      </c>
      <c r="CS201">
        <f ca="1"/>
      </c>
      <c r="CT201">
        <f ca="1"/>
      </c>
      <c r="CU201">
        <f ca="1"/>
      </c>
      <c r="CV201">
        <f ca="1"/>
      </c>
      <c r="CW201">
        <f ca="1"/>
      </c>
      <c r="CX201">
        <f ca="1"/>
      </c>
      <c r="CY201">
        <f ca="1"/>
      </c>
      <c r="CZ201">
        <f ca="1"/>
      </c>
      <c r="DA201">
        <f ca="1"/>
      </c>
      <c r="DB201">
        <f ca="1"/>
      </c>
      <c r="DC201">
        <f ca="1"/>
      </c>
      <c r="DD201">
        <f ca="1"/>
      </c>
      <c r="DE201">
        <f ca="1"/>
      </c>
      <c r="DG201">
        <f ca="1"/>
      </c>
      <c r="DH201">
        <f ca="1"/>
      </c>
      <c r="DI201">
        <f ca="1"/>
      </c>
      <c r="DJ201">
        <f ca="1"/>
      </c>
      <c r="DK201">
        <f ca="1"/>
      </c>
      <c r="DL201">
        <f ca="1"/>
      </c>
      <c r="DM201">
        <f ca="1"/>
      </c>
      <c r="DN201">
        <f ca="1"/>
      </c>
      <c r="DO201">
        <f ca="1"/>
      </c>
      <c r="DP201">
        <f ca="1"/>
      </c>
      <c r="DQ201">
        <f ca="1"/>
      </c>
      <c r="DR201">
        <f ca="1"/>
      </c>
      <c r="DS201">
        <f ca="1"/>
      </c>
      <c r="DT201">
        <f ca="1"/>
      </c>
      <c r="DU201">
        <f ca="1"/>
      </c>
      <c r="DV201">
        <f ca="1"/>
      </c>
      <c r="DW201">
        <f ca="1"/>
      </c>
      <c r="DX201">
        <f ca="1"/>
      </c>
      <c r="DY201">
        <f ca="1"/>
      </c>
      <c r="DZ201">
        <f ca="1"/>
      </c>
      <c r="EA201">
        <f ca="1"/>
      </c>
      <c r="EB201">
        <f ca="1"/>
      </c>
      <c r="EC201">
        <f ca="1"/>
      </c>
      <c r="ED201">
        <f ca="1"/>
      </c>
      <c r="EE201">
        <f ca="1"/>
      </c>
      <c r="EF201">
        <f ca="1"/>
      </c>
      <c r="EG201">
        <f ca="1"/>
      </c>
      <c r="EH201">
        <f ca="1"/>
      </c>
      <c r="EI201">
        <f ca="1"/>
      </c>
      <c r="EJ201">
        <f ca="1"/>
      </c>
      <c r="EK201">
        <f ca="1"/>
      </c>
      <c r="EL201">
        <f ca="1"/>
      </c>
      <c r="EM201">
        <f ca="1"/>
      </c>
      <c r="EN201">
        <f ca="1"/>
      </c>
      <c r="EO201">
        <f ca="1"/>
      </c>
      <c r="EP201">
        <f ca="1"/>
      </c>
      <c r="EQ201">
        <f ca="1"/>
      </c>
      <c r="ER201">
        <f ca="1"/>
      </c>
      <c r="ES201">
        <f ca="1"/>
      </c>
      <c r="ET201">
        <f ca="1"/>
      </c>
      <c r="EU201">
        <f ca="1"/>
      </c>
      <c r="EV201">
        <f ca="1"/>
      </c>
      <c r="EW201">
        <f ca="1"/>
      </c>
      <c r="EX201">
        <f ca="1"/>
      </c>
      <c r="EY201">
        <f ca="1"/>
      </c>
      <c r="EZ201">
        <f ca="1"/>
      </c>
      <c r="FA201">
        <f ca="1"/>
      </c>
      <c r="FC201">
        <f ca="1"/>
      </c>
      <c r="FD201">
        <f ca="1"/>
      </c>
      <c r="FE201">
        <f ca="1"/>
      </c>
      <c r="FF201">
        <f ca="1"/>
      </c>
      <c r="FG201">
        <f ca="1"/>
      </c>
      <c r="FH201">
        <f ca="1"/>
      </c>
      <c r="FI201">
        <f ca="1"/>
      </c>
      <c r="FJ201">
        <f ca="1"/>
      </c>
      <c r="FK201">
        <f ca="1"/>
      </c>
      <c r="FL201">
        <f ca="1"/>
      </c>
      <c r="FM201">
        <f ca="1"/>
      </c>
      <c r="FN201">
        <f ca="1"/>
      </c>
      <c r="FO201">
        <f ca="1"/>
      </c>
      <c r="FP201">
        <f ca="1"/>
      </c>
      <c r="FQ201">
        <f ca="1"/>
      </c>
      <c r="FR201">
        <f ca="1"/>
      </c>
      <c r="FS201">
        <f ca="1"/>
      </c>
      <c r="FT201">
        <f ca="1"/>
      </c>
      <c r="FU201">
        <f ca="1"/>
      </c>
      <c r="FV201">
        <f ca="1"/>
      </c>
      <c r="FW201">
        <f ca="1"/>
      </c>
      <c r="FX201">
        <f ca="1"/>
      </c>
      <c r="FY201">
        <f ca="1"/>
      </c>
      <c r="FZ201">
        <f ca="1"/>
      </c>
      <c r="GA201">
        <f ca="1"/>
      </c>
      <c r="GB201">
        <f ca="1"/>
      </c>
      <c r="GC201">
        <f ca="1"/>
      </c>
      <c r="GD201">
        <f ca="1"/>
      </c>
      <c r="GE201">
        <f ca="1"/>
      </c>
      <c r="GF201">
        <f ca="1"/>
      </c>
      <c r="GG201">
        <f ca="1"/>
      </c>
      <c r="GH201">
        <f ca="1"/>
      </c>
      <c r="GI201">
        <f ca="1"/>
      </c>
      <c r="GJ201">
        <f ca="1"/>
      </c>
      <c r="GK201">
        <f ca="1"/>
      </c>
      <c r="GL201">
        <f ca="1"/>
      </c>
      <c r="GM201">
        <f ca="1"/>
      </c>
      <c r="GN201">
        <f ca="1"/>
      </c>
      <c r="GO201">
        <f ca="1"/>
      </c>
      <c r="GP201">
        <f ca="1"/>
      </c>
      <c r="GQ201">
        <f ca="1"/>
      </c>
      <c r="GR201">
        <f ca="1"/>
      </c>
      <c r="GS201">
        <f ca="1"/>
      </c>
      <c r="GT201">
        <f ca="1"/>
      </c>
      <c r="GU201">
        <f ca="1"/>
      </c>
      <c r="GV201">
        <f ca="1"/>
      </c>
      <c r="GW201">
        <f ca="1"/>
      </c>
      <c r="HI201" s="7">
        <f ca="1"/>
      </c>
      <c r="HJ201">
        <f ca="1"/>
      </c>
      <c r="HK201">
        <f ca="1"/>
      </c>
      <c r="HL201">
        <f ca="1"/>
      </c>
      <c r="HM201">
        <f ca="1"/>
      </c>
    </row>
    <row r="202" spans="63:221" x14ac:dyDescent="0.55000000000000004">
      <c r="BK202">
        <f ca="1"/>
      </c>
      <c r="BL202">
        <f ca="1"/>
      </c>
      <c r="BM202">
        <f ca="1"/>
      </c>
      <c r="BN202">
        <f ca="1"/>
      </c>
      <c r="BO202">
        <f ca="1"/>
      </c>
      <c r="BP202">
        <f ca="1"/>
      </c>
      <c r="BQ202">
        <f ca="1"/>
      </c>
      <c r="BR202">
        <f ca="1"/>
      </c>
      <c r="BS202">
        <f ca="1"/>
      </c>
      <c r="BT202">
        <f ca="1"/>
      </c>
      <c r="BU202">
        <f ca="1"/>
      </c>
      <c r="BV202">
        <f ca="1"/>
      </c>
      <c r="BW202">
        <f ca="1"/>
      </c>
      <c r="BX202">
        <f ca="1"/>
      </c>
      <c r="BY202">
        <f ca="1"/>
      </c>
      <c r="BZ202">
        <f ca="1"/>
      </c>
      <c r="CA202">
        <f ca="1"/>
      </c>
      <c r="CB202">
        <f ca="1"/>
      </c>
      <c r="CC202">
        <f ca="1"/>
      </c>
      <c r="CD202">
        <f ca="1"/>
      </c>
      <c r="CE202">
        <f ca="1"/>
      </c>
      <c r="CF202">
        <f ca="1"/>
      </c>
      <c r="CG202">
        <f ca="1"/>
      </c>
      <c r="CH202">
        <f ca="1"/>
      </c>
      <c r="CI202">
        <f ca="1"/>
      </c>
      <c r="CJ202">
        <f ca="1"/>
      </c>
      <c r="CK202">
        <f ca="1"/>
      </c>
      <c r="CL202">
        <f ca="1"/>
      </c>
      <c r="CM202">
        <f ca="1"/>
      </c>
      <c r="CN202">
        <f ca="1"/>
      </c>
      <c r="CO202">
        <f ca="1"/>
      </c>
      <c r="CP202">
        <f ca="1"/>
      </c>
      <c r="CQ202">
        <f ca="1"/>
      </c>
      <c r="CR202">
        <f ca="1"/>
      </c>
      <c r="CS202">
        <f ca="1"/>
      </c>
      <c r="CT202">
        <f ca="1"/>
      </c>
      <c r="CU202">
        <f ca="1"/>
      </c>
      <c r="CV202">
        <f ca="1"/>
      </c>
      <c r="CW202">
        <f ca="1"/>
      </c>
      <c r="CX202">
        <f ca="1"/>
      </c>
      <c r="CY202">
        <f ca="1"/>
      </c>
      <c r="CZ202">
        <f ca="1"/>
      </c>
      <c r="DA202">
        <f ca="1"/>
      </c>
      <c r="DB202">
        <f ca="1"/>
      </c>
      <c r="DC202">
        <f ca="1"/>
      </c>
      <c r="DD202">
        <f ca="1"/>
      </c>
      <c r="DE202">
        <f ca="1"/>
      </c>
      <c r="DG202">
        <f ca="1"/>
      </c>
      <c r="DH202">
        <f ca="1"/>
      </c>
      <c r="DI202">
        <f ca="1"/>
      </c>
      <c r="DJ202">
        <f ca="1"/>
      </c>
      <c r="DK202">
        <f ca="1"/>
      </c>
      <c r="DL202">
        <f ca="1"/>
      </c>
      <c r="DM202">
        <f ca="1"/>
      </c>
      <c r="DN202">
        <f ca="1"/>
      </c>
      <c r="DO202">
        <f ca="1"/>
      </c>
      <c r="DP202">
        <f ca="1"/>
      </c>
      <c r="DQ202">
        <f ca="1"/>
      </c>
      <c r="DR202">
        <f ca="1"/>
      </c>
      <c r="DS202">
        <f ca="1"/>
      </c>
      <c r="DT202">
        <f ca="1"/>
      </c>
      <c r="DU202">
        <f ca="1"/>
      </c>
      <c r="DV202">
        <f ca="1"/>
      </c>
      <c r="DW202">
        <f ca="1"/>
      </c>
      <c r="DX202">
        <f ca="1"/>
      </c>
      <c r="DY202">
        <f ca="1"/>
      </c>
      <c r="DZ202">
        <f ca="1"/>
      </c>
      <c r="EA202">
        <f ca="1"/>
      </c>
      <c r="EB202">
        <f ca="1"/>
      </c>
      <c r="EC202">
        <f ca="1"/>
      </c>
      <c r="ED202">
        <f ca="1"/>
      </c>
      <c r="EE202">
        <f ca="1"/>
      </c>
      <c r="EF202">
        <f ca="1"/>
      </c>
      <c r="EG202">
        <f ca="1"/>
      </c>
      <c r="EH202">
        <f ca="1"/>
      </c>
      <c r="EI202">
        <f ca="1"/>
      </c>
      <c r="EJ202">
        <f ca="1"/>
      </c>
      <c r="EK202">
        <f ca="1"/>
      </c>
      <c r="EL202">
        <f ca="1"/>
      </c>
      <c r="EM202">
        <f ca="1"/>
      </c>
      <c r="EN202">
        <f ca="1"/>
      </c>
      <c r="EO202">
        <f ca="1"/>
      </c>
      <c r="EP202">
        <f ca="1"/>
      </c>
      <c r="EQ202">
        <f ca="1"/>
      </c>
      <c r="ER202">
        <f ca="1"/>
      </c>
      <c r="ES202">
        <f ca="1"/>
      </c>
      <c r="ET202">
        <f ca="1"/>
      </c>
      <c r="EU202">
        <f ca="1"/>
      </c>
      <c r="EV202">
        <f ca="1"/>
      </c>
      <c r="EW202">
        <f ca="1"/>
      </c>
      <c r="EX202">
        <f ca="1"/>
      </c>
      <c r="EY202">
        <f ca="1"/>
      </c>
      <c r="EZ202">
        <f ca="1"/>
      </c>
      <c r="FA202">
        <f ca="1"/>
      </c>
      <c r="FC202">
        <f ca="1"/>
      </c>
      <c r="FD202">
        <f ca="1"/>
      </c>
      <c r="FE202">
        <f ca="1"/>
      </c>
      <c r="FF202">
        <f ca="1"/>
      </c>
      <c r="FG202">
        <f ca="1"/>
      </c>
      <c r="FH202">
        <f ca="1"/>
      </c>
      <c r="FI202">
        <f ca="1"/>
      </c>
      <c r="FJ202">
        <f ca="1"/>
      </c>
      <c r="FK202">
        <f ca="1"/>
      </c>
      <c r="FL202">
        <f ca="1"/>
      </c>
      <c r="FM202">
        <f ca="1"/>
      </c>
      <c r="FN202">
        <f ca="1"/>
      </c>
      <c r="FO202">
        <f ca="1"/>
      </c>
      <c r="FP202">
        <f ca="1"/>
      </c>
      <c r="FQ202">
        <f ca="1"/>
      </c>
      <c r="FR202">
        <f ca="1"/>
      </c>
      <c r="FS202">
        <f ca="1"/>
      </c>
      <c r="FT202">
        <f ca="1"/>
      </c>
      <c r="FU202">
        <f ca="1"/>
      </c>
      <c r="FV202">
        <f ca="1"/>
      </c>
      <c r="FW202">
        <f ca="1"/>
      </c>
      <c r="FX202">
        <f ca="1"/>
      </c>
      <c r="FY202">
        <f ca="1"/>
      </c>
      <c r="FZ202">
        <f ca="1"/>
      </c>
      <c r="GA202">
        <f ca="1"/>
      </c>
      <c r="GB202">
        <f ca="1"/>
      </c>
      <c r="GC202">
        <f ca="1"/>
      </c>
      <c r="GD202">
        <f ca="1"/>
      </c>
      <c r="GE202">
        <f ca="1"/>
      </c>
      <c r="GF202">
        <f ca="1"/>
      </c>
      <c r="GG202">
        <f ca="1"/>
      </c>
      <c r="GH202">
        <f ca="1"/>
      </c>
      <c r="GI202">
        <f ca="1"/>
      </c>
      <c r="GJ202">
        <f ca="1"/>
      </c>
      <c r="GK202">
        <f ca="1"/>
      </c>
      <c r="GL202">
        <f ca="1"/>
      </c>
      <c r="GM202">
        <f ca="1"/>
      </c>
      <c r="GN202">
        <f ca="1"/>
      </c>
      <c r="GO202">
        <f ca="1"/>
      </c>
      <c r="GP202">
        <f ca="1"/>
      </c>
      <c r="GQ202">
        <f ca="1"/>
      </c>
      <c r="GR202">
        <f ca="1"/>
      </c>
      <c r="GS202">
        <f ca="1"/>
      </c>
      <c r="GT202">
        <f ca="1"/>
      </c>
      <c r="GU202">
        <f ca="1"/>
      </c>
      <c r="GV202">
        <f ca="1"/>
      </c>
      <c r="GW202">
        <f ca="1"/>
      </c>
      <c r="HI202" s="7">
        <f ca="1"/>
      </c>
      <c r="HJ202">
        <f ca="1"/>
      </c>
      <c r="HK202">
        <f ca="1"/>
      </c>
      <c r="HL202">
        <f ca="1"/>
      </c>
      <c r="HM202">
        <f ca="1"/>
      </c>
    </row>
    <row r="203" spans="63:221" x14ac:dyDescent="0.55000000000000004">
      <c r="BK203">
        <f ca="1"/>
      </c>
      <c r="BL203">
        <f ca="1"/>
      </c>
      <c r="BM203">
        <f ca="1"/>
      </c>
      <c r="BN203">
        <f ca="1"/>
      </c>
      <c r="BO203">
        <f ca="1"/>
      </c>
      <c r="BP203">
        <f ca="1"/>
      </c>
      <c r="BQ203">
        <f ca="1"/>
      </c>
      <c r="BR203">
        <f ca="1"/>
      </c>
      <c r="BS203">
        <f ca="1"/>
      </c>
      <c r="BT203">
        <f ca="1"/>
      </c>
      <c r="BU203">
        <f ca="1"/>
      </c>
      <c r="BV203">
        <f ca="1"/>
      </c>
      <c r="BW203">
        <f ca="1"/>
      </c>
      <c r="BX203">
        <f ca="1"/>
      </c>
      <c r="BY203">
        <f ca="1"/>
      </c>
      <c r="BZ203">
        <f ca="1"/>
      </c>
      <c r="CA203">
        <f ca="1"/>
      </c>
      <c r="CB203">
        <f ca="1"/>
      </c>
      <c r="CC203">
        <f ca="1"/>
      </c>
      <c r="CD203">
        <f ca="1"/>
      </c>
      <c r="CE203">
        <f ca="1"/>
      </c>
      <c r="CF203">
        <f ca="1"/>
      </c>
      <c r="CG203">
        <f ca="1"/>
      </c>
      <c r="CH203">
        <f ca="1"/>
      </c>
      <c r="CI203">
        <f ca="1"/>
      </c>
      <c r="CJ203">
        <f ca="1"/>
      </c>
      <c r="CK203">
        <f ca="1"/>
      </c>
      <c r="CL203">
        <f ca="1"/>
      </c>
      <c r="CM203">
        <f ca="1"/>
      </c>
      <c r="CN203">
        <f ca="1"/>
      </c>
      <c r="CO203">
        <f ca="1"/>
      </c>
      <c r="CP203">
        <f ca="1"/>
      </c>
      <c r="CQ203">
        <f ca="1"/>
      </c>
      <c r="CR203">
        <f ca="1"/>
      </c>
      <c r="CS203">
        <f ca="1"/>
      </c>
      <c r="CT203">
        <f ca="1"/>
      </c>
      <c r="CU203">
        <f ca="1"/>
      </c>
      <c r="CV203">
        <f ca="1"/>
      </c>
      <c r="CW203">
        <f ca="1"/>
      </c>
      <c r="CX203">
        <f ca="1"/>
      </c>
      <c r="CY203">
        <f ca="1"/>
      </c>
      <c r="CZ203">
        <f ca="1"/>
      </c>
      <c r="DA203">
        <f ca="1"/>
      </c>
      <c r="DB203">
        <f ca="1"/>
      </c>
      <c r="DC203">
        <f ca="1"/>
      </c>
      <c r="DD203">
        <f ca="1"/>
      </c>
      <c r="DE203">
        <f ca="1"/>
      </c>
      <c r="DG203">
        <f ca="1"/>
      </c>
      <c r="DH203">
        <f ca="1"/>
      </c>
      <c r="DI203">
        <f ca="1"/>
      </c>
      <c r="DJ203">
        <f ca="1"/>
      </c>
      <c r="DK203">
        <f ca="1"/>
      </c>
      <c r="DL203">
        <f ca="1"/>
      </c>
      <c r="DM203">
        <f ca="1"/>
      </c>
      <c r="DN203">
        <f ca="1"/>
      </c>
      <c r="DO203">
        <f ca="1"/>
      </c>
      <c r="DP203">
        <f ca="1"/>
      </c>
      <c r="DQ203">
        <f ca="1"/>
      </c>
      <c r="DR203">
        <f ca="1"/>
      </c>
      <c r="DS203">
        <f ca="1"/>
      </c>
      <c r="DT203">
        <f ca="1"/>
      </c>
      <c r="DU203">
        <f ca="1"/>
      </c>
      <c r="DV203">
        <f ca="1"/>
      </c>
      <c r="DW203">
        <f ca="1"/>
      </c>
      <c r="DX203">
        <f ca="1"/>
      </c>
      <c r="DY203">
        <f ca="1"/>
      </c>
      <c r="DZ203">
        <f ca="1"/>
      </c>
      <c r="EA203">
        <f ca="1"/>
      </c>
      <c r="EB203">
        <f ca="1"/>
      </c>
      <c r="EC203">
        <f ca="1"/>
      </c>
      <c r="ED203">
        <f ca="1"/>
      </c>
      <c r="EE203">
        <f ca="1"/>
      </c>
      <c r="EF203">
        <f ca="1"/>
      </c>
      <c r="EG203">
        <f ca="1"/>
      </c>
      <c r="EH203">
        <f ca="1"/>
      </c>
      <c r="EI203">
        <f ca="1"/>
      </c>
      <c r="EJ203">
        <f ca="1"/>
      </c>
      <c r="EK203">
        <f ca="1"/>
      </c>
      <c r="EL203">
        <f ca="1"/>
      </c>
      <c r="EM203">
        <f ca="1"/>
      </c>
      <c r="EN203">
        <f ca="1"/>
      </c>
      <c r="EO203">
        <f ca="1"/>
      </c>
      <c r="EP203">
        <f ca="1"/>
      </c>
      <c r="EQ203">
        <f ca="1"/>
      </c>
      <c r="ER203">
        <f ca="1"/>
      </c>
      <c r="ES203">
        <f ca="1"/>
      </c>
      <c r="ET203">
        <f ca="1"/>
      </c>
      <c r="EU203">
        <f ca="1"/>
      </c>
      <c r="EV203">
        <f ca="1"/>
      </c>
      <c r="EW203">
        <f ca="1"/>
      </c>
      <c r="EX203">
        <f ca="1"/>
      </c>
      <c r="EY203">
        <f ca="1"/>
      </c>
      <c r="EZ203">
        <f ca="1"/>
      </c>
      <c r="FA203">
        <f ca="1"/>
      </c>
      <c r="FC203">
        <f ca="1"/>
      </c>
      <c r="FD203">
        <f ca="1"/>
      </c>
      <c r="FE203">
        <f ca="1"/>
      </c>
      <c r="FF203">
        <f ca="1"/>
      </c>
      <c r="FG203">
        <f ca="1"/>
      </c>
      <c r="FH203">
        <f ca="1"/>
      </c>
      <c r="FI203">
        <f ca="1"/>
      </c>
      <c r="FJ203">
        <f ca="1"/>
      </c>
      <c r="FK203">
        <f ca="1"/>
      </c>
      <c r="FL203">
        <f ca="1"/>
      </c>
      <c r="FM203">
        <f ca="1"/>
      </c>
      <c r="FN203">
        <f ca="1"/>
      </c>
      <c r="FO203">
        <f ca="1"/>
      </c>
      <c r="FP203">
        <f ca="1"/>
      </c>
      <c r="FQ203">
        <f ca="1"/>
      </c>
      <c r="FR203">
        <f ca="1"/>
      </c>
      <c r="FS203">
        <f ca="1"/>
      </c>
      <c r="FT203">
        <f ca="1"/>
      </c>
      <c r="FU203">
        <f ca="1"/>
      </c>
      <c r="FV203">
        <f ca="1"/>
      </c>
      <c r="FW203">
        <f ca="1"/>
      </c>
      <c r="FX203">
        <f ca="1"/>
      </c>
      <c r="FY203">
        <f ca="1"/>
      </c>
      <c r="FZ203">
        <f ca="1"/>
      </c>
      <c r="GA203">
        <f ca="1"/>
      </c>
      <c r="GB203">
        <f ca="1"/>
      </c>
      <c r="GC203">
        <f ca="1"/>
      </c>
      <c r="GD203">
        <f ca="1"/>
      </c>
      <c r="GE203">
        <f ca="1"/>
      </c>
      <c r="GF203">
        <f ca="1"/>
      </c>
      <c r="GG203">
        <f ca="1"/>
      </c>
      <c r="GH203">
        <f ca="1"/>
      </c>
      <c r="GI203">
        <f ca="1"/>
      </c>
      <c r="GJ203">
        <f ca="1"/>
      </c>
      <c r="GK203">
        <f ca="1"/>
      </c>
      <c r="GL203">
        <f ca="1"/>
      </c>
      <c r="GM203">
        <f ca="1"/>
      </c>
      <c r="GN203">
        <f ca="1"/>
      </c>
      <c r="GO203">
        <f ca="1"/>
      </c>
      <c r="GP203">
        <f ca="1"/>
      </c>
      <c r="GQ203">
        <f ca="1"/>
      </c>
      <c r="GR203">
        <f ca="1"/>
      </c>
      <c r="GS203">
        <f ca="1"/>
      </c>
      <c r="GT203">
        <f ca="1"/>
      </c>
      <c r="GU203">
        <f ca="1"/>
      </c>
      <c r="GV203">
        <f ca="1"/>
      </c>
      <c r="GW203">
        <f ca="1"/>
      </c>
      <c r="HI203" s="7">
        <f ca="1"/>
      </c>
      <c r="HJ203">
        <f ca="1"/>
      </c>
      <c r="HK203">
        <f ca="1"/>
      </c>
      <c r="HL203">
        <f ca="1"/>
      </c>
      <c r="HM203">
        <f ca="1"/>
      </c>
    </row>
    <row r="204" spans="63:221" x14ac:dyDescent="0.55000000000000004">
      <c r="BK204">
        <f ca="1"/>
      </c>
      <c r="BL204">
        <f ca="1"/>
      </c>
      <c r="BM204">
        <f ca="1"/>
      </c>
      <c r="BN204">
        <f ca="1"/>
      </c>
      <c r="BO204">
        <f ca="1"/>
      </c>
      <c r="BP204">
        <f ca="1"/>
      </c>
      <c r="BQ204">
        <f ca="1"/>
      </c>
      <c r="BR204">
        <f ca="1"/>
      </c>
      <c r="BS204">
        <f ca="1"/>
      </c>
      <c r="BT204">
        <f ca="1"/>
      </c>
      <c r="BU204">
        <f ca="1"/>
      </c>
      <c r="BV204">
        <f ca="1"/>
      </c>
      <c r="BW204">
        <f ca="1"/>
      </c>
      <c r="BX204">
        <f ca="1"/>
      </c>
      <c r="BY204">
        <f ca="1"/>
      </c>
      <c r="BZ204">
        <f ca="1"/>
      </c>
      <c r="CA204">
        <f ca="1"/>
      </c>
      <c r="CB204">
        <f ca="1"/>
      </c>
      <c r="CC204">
        <f ca="1"/>
      </c>
      <c r="CD204">
        <f ca="1"/>
      </c>
      <c r="CE204">
        <f ca="1"/>
      </c>
      <c r="CF204">
        <f ca="1"/>
      </c>
      <c r="CG204">
        <f ca="1"/>
      </c>
      <c r="CH204">
        <f ca="1"/>
      </c>
      <c r="CI204">
        <f ca="1"/>
      </c>
      <c r="CJ204">
        <f ca="1"/>
      </c>
      <c r="CK204">
        <f ca="1"/>
      </c>
      <c r="CL204">
        <f ca="1"/>
      </c>
      <c r="CM204">
        <f ca="1"/>
      </c>
      <c r="CN204">
        <f ca="1"/>
      </c>
      <c r="CO204">
        <f ca="1"/>
      </c>
      <c r="CP204">
        <f ca="1"/>
      </c>
      <c r="CQ204">
        <f ca="1"/>
      </c>
      <c r="CR204">
        <f ca="1"/>
      </c>
      <c r="CS204">
        <f ca="1"/>
      </c>
      <c r="CT204">
        <f ca="1"/>
      </c>
      <c r="CU204">
        <f ca="1"/>
      </c>
      <c r="CV204">
        <f ca="1"/>
      </c>
      <c r="CW204">
        <f ca="1"/>
      </c>
      <c r="CX204">
        <f ca="1"/>
      </c>
      <c r="CY204">
        <f ca="1"/>
      </c>
      <c r="CZ204">
        <f ca="1"/>
      </c>
      <c r="DA204">
        <f ca="1"/>
      </c>
      <c r="DB204">
        <f ca="1"/>
      </c>
      <c r="DC204">
        <f ca="1"/>
      </c>
      <c r="DD204">
        <f ca="1"/>
      </c>
      <c r="DE204">
        <f ca="1"/>
      </c>
      <c r="DG204">
        <f ca="1"/>
      </c>
      <c r="DH204">
        <f ca="1"/>
      </c>
      <c r="DI204">
        <f ca="1"/>
      </c>
      <c r="DJ204">
        <f ca="1"/>
      </c>
      <c r="DK204">
        <f ca="1"/>
      </c>
      <c r="DL204">
        <f ca="1"/>
      </c>
      <c r="DM204">
        <f ca="1"/>
      </c>
      <c r="DN204">
        <f ca="1"/>
      </c>
      <c r="DO204">
        <f ca="1"/>
      </c>
      <c r="DP204">
        <f ca="1"/>
      </c>
      <c r="DQ204">
        <f ca="1"/>
      </c>
      <c r="DR204">
        <f ca="1"/>
      </c>
      <c r="DS204">
        <f ca="1"/>
      </c>
      <c r="DT204">
        <f ca="1"/>
      </c>
      <c r="DU204">
        <f ca="1"/>
      </c>
      <c r="DV204">
        <f ca="1"/>
      </c>
      <c r="DW204">
        <f ca="1"/>
      </c>
      <c r="DX204">
        <f ca="1"/>
      </c>
      <c r="DY204">
        <f ca="1"/>
      </c>
      <c r="DZ204">
        <f ca="1"/>
      </c>
      <c r="EA204">
        <f ca="1"/>
      </c>
      <c r="EB204">
        <f ca="1"/>
      </c>
      <c r="EC204">
        <f ca="1"/>
      </c>
      <c r="ED204">
        <f ca="1"/>
      </c>
      <c r="EE204">
        <f ca="1"/>
      </c>
      <c r="EF204">
        <f ca="1"/>
      </c>
      <c r="EG204">
        <f ca="1"/>
      </c>
      <c r="EH204">
        <f ca="1"/>
      </c>
      <c r="EI204">
        <f ca="1"/>
      </c>
      <c r="EJ204">
        <f ca="1"/>
      </c>
      <c r="EK204">
        <f ca="1"/>
      </c>
      <c r="EL204">
        <f ca="1"/>
      </c>
      <c r="EM204">
        <f ca="1"/>
      </c>
      <c r="EN204">
        <f ca="1"/>
      </c>
      <c r="EO204">
        <f ca="1"/>
      </c>
      <c r="EP204">
        <f ca="1"/>
      </c>
      <c r="EQ204">
        <f ca="1"/>
      </c>
      <c r="ER204">
        <f ca="1"/>
      </c>
      <c r="ES204">
        <f ca="1"/>
      </c>
      <c r="ET204">
        <f ca="1"/>
      </c>
      <c r="EU204">
        <f ca="1"/>
      </c>
      <c r="EV204">
        <f ca="1"/>
      </c>
      <c r="EW204">
        <f ca="1"/>
      </c>
      <c r="EX204">
        <f ca="1"/>
      </c>
      <c r="EY204">
        <f ca="1"/>
      </c>
      <c r="EZ204">
        <f ca="1"/>
      </c>
      <c r="FA204">
        <f ca="1"/>
      </c>
      <c r="FC204">
        <f ca="1"/>
      </c>
      <c r="FD204">
        <f ca="1"/>
      </c>
      <c r="FE204">
        <f ca="1"/>
      </c>
      <c r="FF204">
        <f ca="1"/>
      </c>
      <c r="FG204">
        <f ca="1"/>
      </c>
      <c r="FH204">
        <f ca="1"/>
      </c>
      <c r="FI204">
        <f ca="1"/>
      </c>
      <c r="FJ204">
        <f ca="1"/>
      </c>
      <c r="FK204">
        <f ca="1"/>
      </c>
      <c r="FL204">
        <f ca="1"/>
      </c>
      <c r="FM204">
        <f ca="1"/>
      </c>
      <c r="FN204">
        <f ca="1"/>
      </c>
      <c r="FO204">
        <f ca="1"/>
      </c>
      <c r="FP204">
        <f ca="1"/>
      </c>
      <c r="FQ204">
        <f ca="1"/>
      </c>
      <c r="FR204">
        <f ca="1"/>
      </c>
      <c r="FS204">
        <f ca="1"/>
      </c>
      <c r="FT204">
        <f ca="1"/>
      </c>
      <c r="FU204">
        <f ca="1"/>
      </c>
      <c r="FV204">
        <f ca="1"/>
      </c>
      <c r="FW204">
        <f ca="1"/>
      </c>
      <c r="FX204">
        <f ca="1"/>
      </c>
      <c r="FY204">
        <f ca="1"/>
      </c>
      <c r="FZ204">
        <f ca="1"/>
      </c>
      <c r="GA204">
        <f ca="1"/>
      </c>
      <c r="GB204">
        <f ca="1"/>
      </c>
      <c r="GC204">
        <f ca="1"/>
      </c>
      <c r="GD204">
        <f ca="1"/>
      </c>
      <c r="GE204">
        <f ca="1"/>
      </c>
      <c r="GF204">
        <f ca="1"/>
      </c>
      <c r="GG204">
        <f ca="1"/>
      </c>
      <c r="GH204">
        <f ca="1"/>
      </c>
      <c r="GI204">
        <f ca="1"/>
      </c>
      <c r="GJ204">
        <f ca="1"/>
      </c>
      <c r="GK204">
        <f ca="1"/>
      </c>
      <c r="GL204">
        <f ca="1"/>
      </c>
      <c r="GM204">
        <f ca="1"/>
      </c>
      <c r="GN204">
        <f ca="1"/>
      </c>
      <c r="GO204">
        <f ca="1"/>
      </c>
      <c r="GP204">
        <f ca="1"/>
      </c>
      <c r="GQ204">
        <f ca="1"/>
      </c>
      <c r="GR204">
        <f ca="1"/>
      </c>
      <c r="GS204">
        <f ca="1"/>
      </c>
      <c r="GT204">
        <f ca="1"/>
      </c>
      <c r="GU204">
        <f ca="1"/>
      </c>
      <c r="GV204">
        <f ca="1"/>
      </c>
      <c r="GW204">
        <f ca="1"/>
      </c>
      <c r="HI204" s="7">
        <f ca="1"/>
      </c>
      <c r="HJ204">
        <f ca="1"/>
      </c>
      <c r="HK204">
        <f ca="1"/>
      </c>
      <c r="HL204">
        <f ca="1"/>
      </c>
      <c r="HM204">
        <f ca="1"/>
      </c>
    </row>
    <row r="205" spans="63:221" x14ac:dyDescent="0.55000000000000004">
      <c r="BK205">
        <f ca="1"/>
      </c>
      <c r="BL205">
        <f ca="1"/>
      </c>
      <c r="BM205">
        <f ca="1"/>
      </c>
      <c r="BN205">
        <f ca="1"/>
      </c>
      <c r="BO205">
        <f ca="1"/>
      </c>
      <c r="BP205">
        <f ca="1"/>
      </c>
      <c r="BQ205">
        <f ca="1"/>
      </c>
      <c r="BR205">
        <f ca="1"/>
      </c>
      <c r="BS205">
        <f ca="1"/>
      </c>
      <c r="BT205">
        <f ca="1"/>
      </c>
      <c r="BU205">
        <f ca="1"/>
      </c>
      <c r="BV205">
        <f ca="1"/>
      </c>
      <c r="BW205">
        <f ca="1"/>
      </c>
      <c r="BX205">
        <f ca="1"/>
      </c>
      <c r="BY205">
        <f ca="1"/>
      </c>
      <c r="BZ205">
        <f ca="1"/>
      </c>
      <c r="CA205">
        <f ca="1"/>
      </c>
      <c r="CB205">
        <f ca="1"/>
      </c>
      <c r="CC205">
        <f ca="1"/>
      </c>
      <c r="CD205">
        <f ca="1"/>
      </c>
      <c r="CE205">
        <f ca="1"/>
      </c>
      <c r="CF205">
        <f ca="1"/>
      </c>
      <c r="CG205">
        <f ca="1"/>
      </c>
      <c r="CH205">
        <f ca="1"/>
      </c>
      <c r="CI205">
        <f ca="1"/>
      </c>
      <c r="CJ205">
        <f ca="1"/>
      </c>
      <c r="CK205">
        <f ca="1"/>
      </c>
      <c r="CL205">
        <f ca="1"/>
      </c>
      <c r="CM205">
        <f ca="1"/>
      </c>
      <c r="CN205">
        <f ca="1"/>
      </c>
      <c r="CO205">
        <f ca="1"/>
      </c>
      <c r="CP205">
        <f ca="1"/>
      </c>
      <c r="CQ205">
        <f ca="1"/>
      </c>
      <c r="CR205">
        <f ca="1"/>
      </c>
      <c r="CS205">
        <f ca="1"/>
      </c>
      <c r="CT205">
        <f ca="1"/>
      </c>
      <c r="CU205">
        <f ca="1"/>
      </c>
      <c r="CV205">
        <f ca="1"/>
      </c>
      <c r="CW205">
        <f ca="1"/>
      </c>
      <c r="CX205">
        <f ca="1"/>
      </c>
      <c r="CY205">
        <f ca="1"/>
      </c>
      <c r="CZ205">
        <f ca="1"/>
      </c>
      <c r="DA205">
        <f ca="1"/>
      </c>
      <c r="DB205">
        <f ca="1"/>
      </c>
      <c r="DC205">
        <f ca="1"/>
      </c>
      <c r="DD205">
        <f ca="1"/>
      </c>
      <c r="DE205">
        <f ca="1"/>
      </c>
      <c r="DG205">
        <f ca="1"/>
      </c>
      <c r="DH205">
        <f ca="1"/>
      </c>
      <c r="DI205">
        <f ca="1"/>
      </c>
      <c r="DJ205">
        <f ca="1"/>
      </c>
      <c r="DK205">
        <f ca="1"/>
      </c>
      <c r="DL205">
        <f ca="1"/>
      </c>
      <c r="DM205">
        <f ca="1"/>
      </c>
      <c r="DN205">
        <f ca="1"/>
      </c>
      <c r="DO205">
        <f ca="1"/>
      </c>
      <c r="DP205">
        <f ca="1"/>
      </c>
      <c r="DQ205">
        <f ca="1"/>
      </c>
      <c r="DR205">
        <f ca="1"/>
      </c>
      <c r="DS205">
        <f ca="1"/>
      </c>
      <c r="DT205">
        <f ca="1"/>
      </c>
      <c r="DU205">
        <f ca="1"/>
      </c>
      <c r="DV205">
        <f ca="1"/>
      </c>
      <c r="DW205">
        <f ca="1"/>
      </c>
      <c r="DX205">
        <f ca="1"/>
      </c>
      <c r="DY205">
        <f ca="1"/>
      </c>
      <c r="DZ205">
        <f ca="1"/>
      </c>
      <c r="EA205">
        <f ca="1"/>
      </c>
      <c r="EB205">
        <f ca="1"/>
      </c>
      <c r="EC205">
        <f ca="1"/>
      </c>
      <c r="ED205">
        <f ca="1"/>
      </c>
      <c r="EE205">
        <f ca="1"/>
      </c>
      <c r="EF205">
        <f ca="1"/>
      </c>
      <c r="EG205">
        <f ca="1"/>
      </c>
      <c r="EH205">
        <f ca="1"/>
      </c>
      <c r="EI205">
        <f ca="1"/>
      </c>
      <c r="EJ205">
        <f ca="1"/>
      </c>
      <c r="EK205">
        <f ca="1"/>
      </c>
      <c r="EL205">
        <f ca="1"/>
      </c>
      <c r="EM205">
        <f ca="1"/>
      </c>
      <c r="EN205">
        <f ca="1"/>
      </c>
      <c r="EO205">
        <f ca="1"/>
      </c>
      <c r="EP205">
        <f ca="1"/>
      </c>
      <c r="EQ205">
        <f ca="1"/>
      </c>
      <c r="ER205">
        <f ca="1"/>
      </c>
      <c r="ES205">
        <f ca="1"/>
      </c>
      <c r="ET205">
        <f ca="1"/>
      </c>
      <c r="EU205">
        <f ca="1"/>
      </c>
      <c r="EV205">
        <f ca="1"/>
      </c>
      <c r="EW205">
        <f ca="1"/>
      </c>
      <c r="EX205">
        <f ca="1"/>
      </c>
      <c r="EY205">
        <f ca="1"/>
      </c>
      <c r="EZ205">
        <f ca="1"/>
      </c>
      <c r="FA205">
        <f ca="1"/>
      </c>
      <c r="FC205">
        <f ca="1"/>
      </c>
      <c r="FD205">
        <f ca="1"/>
      </c>
      <c r="FE205">
        <f ca="1"/>
      </c>
      <c r="FF205">
        <f ca="1"/>
      </c>
      <c r="FG205">
        <f ca="1"/>
      </c>
      <c r="FH205">
        <f ca="1"/>
      </c>
      <c r="FI205">
        <f ca="1"/>
      </c>
      <c r="FJ205">
        <f ca="1"/>
      </c>
      <c r="FK205">
        <f ca="1"/>
      </c>
      <c r="FL205">
        <f ca="1"/>
      </c>
      <c r="FM205">
        <f ca="1"/>
      </c>
      <c r="FN205">
        <f ca="1"/>
      </c>
      <c r="FO205">
        <f ca="1"/>
      </c>
      <c r="FP205">
        <f ca="1"/>
      </c>
      <c r="FQ205">
        <f ca="1"/>
      </c>
      <c r="FR205">
        <f ca="1"/>
      </c>
      <c r="FS205">
        <f ca="1"/>
      </c>
      <c r="FT205">
        <f ca="1"/>
      </c>
      <c r="FU205">
        <f ca="1"/>
      </c>
      <c r="FV205">
        <f ca="1"/>
      </c>
      <c r="FW205">
        <f ca="1"/>
      </c>
      <c r="FX205">
        <f ca="1"/>
      </c>
      <c r="FY205">
        <f ca="1"/>
      </c>
      <c r="FZ205">
        <f ca="1"/>
      </c>
      <c r="GA205">
        <f ca="1"/>
      </c>
      <c r="GB205">
        <f ca="1"/>
      </c>
      <c r="GC205">
        <f ca="1"/>
      </c>
      <c r="GD205">
        <f ca="1"/>
      </c>
      <c r="GE205">
        <f ca="1"/>
      </c>
      <c r="GF205">
        <f ca="1"/>
      </c>
      <c r="GG205">
        <f ca="1"/>
      </c>
      <c r="GH205">
        <f ca="1"/>
      </c>
      <c r="GI205">
        <f ca="1"/>
      </c>
      <c r="GJ205">
        <f ca="1"/>
      </c>
      <c r="GK205">
        <f ca="1"/>
      </c>
      <c r="GL205">
        <f ca="1"/>
      </c>
      <c r="GM205">
        <f ca="1"/>
      </c>
      <c r="GN205">
        <f ca="1"/>
      </c>
      <c r="GO205">
        <f ca="1"/>
      </c>
      <c r="GP205">
        <f ca="1"/>
      </c>
      <c r="GQ205">
        <f ca="1"/>
      </c>
      <c r="GR205">
        <f ca="1"/>
      </c>
      <c r="GS205">
        <f ca="1"/>
      </c>
      <c r="GT205">
        <f ca="1"/>
      </c>
      <c r="GU205">
        <f ca="1"/>
      </c>
      <c r="GV205">
        <f ca="1"/>
      </c>
      <c r="GW205">
        <f ca="1"/>
      </c>
      <c r="HI205" s="7">
        <f ca="1"/>
      </c>
      <c r="HJ205">
        <f ca="1"/>
      </c>
      <c r="HK205">
        <f ca="1"/>
      </c>
      <c r="HL205">
        <f ca="1"/>
      </c>
      <c r="HM205">
        <f ca="1"/>
      </c>
    </row>
    <row r="206" spans="63:221" x14ac:dyDescent="0.55000000000000004">
      <c r="BK206">
        <f ca="1"/>
      </c>
      <c r="BL206">
        <f ca="1"/>
      </c>
      <c r="BM206">
        <f ca="1"/>
      </c>
      <c r="BN206">
        <f ca="1"/>
      </c>
      <c r="BO206">
        <f ca="1"/>
      </c>
      <c r="BP206">
        <f ca="1"/>
      </c>
      <c r="BQ206">
        <f ca="1"/>
      </c>
      <c r="BR206">
        <f ca="1"/>
      </c>
      <c r="BS206">
        <f ca="1"/>
      </c>
      <c r="BT206">
        <f ca="1"/>
      </c>
      <c r="BU206">
        <f ca="1"/>
      </c>
      <c r="BV206">
        <f ca="1"/>
      </c>
      <c r="BW206">
        <f ca="1"/>
      </c>
      <c r="BX206">
        <f ca="1"/>
      </c>
      <c r="BY206">
        <f ca="1"/>
      </c>
      <c r="BZ206">
        <f ca="1"/>
      </c>
      <c r="CA206">
        <f ca="1"/>
      </c>
      <c r="CB206">
        <f ca="1"/>
      </c>
      <c r="CC206">
        <f ca="1"/>
      </c>
      <c r="CD206">
        <f ca="1"/>
      </c>
      <c r="CE206">
        <f ca="1"/>
      </c>
      <c r="CF206">
        <f ca="1"/>
      </c>
      <c r="CG206">
        <f ca="1"/>
      </c>
      <c r="CH206">
        <f ca="1"/>
      </c>
      <c r="CI206">
        <f ca="1"/>
      </c>
      <c r="CJ206">
        <f ca="1"/>
      </c>
      <c r="CK206">
        <f ca="1"/>
      </c>
      <c r="CL206">
        <f ca="1"/>
      </c>
      <c r="CM206">
        <f ca="1"/>
      </c>
      <c r="CN206">
        <f ca="1"/>
      </c>
      <c r="CO206">
        <f ca="1"/>
      </c>
      <c r="CP206">
        <f ca="1"/>
      </c>
      <c r="CQ206">
        <f ca="1"/>
      </c>
      <c r="CR206">
        <f ca="1"/>
      </c>
      <c r="CS206">
        <f ca="1"/>
      </c>
      <c r="CT206">
        <f ca="1"/>
      </c>
      <c r="CU206">
        <f ca="1"/>
      </c>
      <c r="CV206">
        <f ca="1"/>
      </c>
      <c r="CW206">
        <f ca="1"/>
      </c>
      <c r="CX206">
        <f ca="1"/>
      </c>
      <c r="CY206">
        <f ca="1"/>
      </c>
      <c r="CZ206">
        <f ca="1"/>
      </c>
      <c r="DA206">
        <f ca="1"/>
      </c>
      <c r="DB206">
        <f ca="1"/>
      </c>
      <c r="DC206">
        <f ca="1"/>
      </c>
      <c r="DD206">
        <f ca="1"/>
      </c>
      <c r="DE206">
        <f ca="1"/>
      </c>
      <c r="DG206">
        <f ca="1"/>
      </c>
      <c r="DH206">
        <f ca="1"/>
      </c>
      <c r="DI206">
        <f ca="1"/>
      </c>
      <c r="DJ206">
        <f ca="1"/>
      </c>
      <c r="DK206">
        <f ca="1"/>
      </c>
      <c r="DL206">
        <f ca="1"/>
      </c>
      <c r="DM206">
        <f ca="1"/>
      </c>
      <c r="DN206">
        <f ca="1"/>
      </c>
      <c r="DO206">
        <f ca="1"/>
      </c>
      <c r="DP206">
        <f ca="1"/>
      </c>
      <c r="DQ206">
        <f ca="1"/>
      </c>
      <c r="DR206">
        <f ca="1"/>
      </c>
      <c r="DS206">
        <f ca="1"/>
      </c>
      <c r="DT206">
        <f ca="1"/>
      </c>
      <c r="DU206">
        <f ca="1"/>
      </c>
      <c r="DV206">
        <f ca="1"/>
      </c>
      <c r="DW206">
        <f ca="1"/>
      </c>
      <c r="DX206">
        <f ca="1"/>
      </c>
      <c r="DY206">
        <f ca="1"/>
      </c>
      <c r="DZ206">
        <f ca="1"/>
      </c>
      <c r="EA206">
        <f ca="1"/>
      </c>
      <c r="EB206">
        <f ca="1"/>
      </c>
      <c r="EC206">
        <f ca="1"/>
      </c>
      <c r="ED206">
        <f ca="1"/>
      </c>
      <c r="EE206">
        <f ca="1"/>
      </c>
      <c r="EF206">
        <f ca="1"/>
      </c>
      <c r="EG206">
        <f ca="1"/>
      </c>
      <c r="EH206">
        <f ca="1"/>
      </c>
      <c r="EI206">
        <f ca="1"/>
      </c>
      <c r="EJ206">
        <f ca="1"/>
      </c>
      <c r="EK206">
        <f ca="1"/>
      </c>
      <c r="EL206">
        <f ca="1"/>
      </c>
      <c r="EM206">
        <f ca="1"/>
      </c>
      <c r="EN206">
        <f ca="1"/>
      </c>
      <c r="EO206">
        <f ca="1"/>
      </c>
      <c r="EP206">
        <f ca="1"/>
      </c>
      <c r="EQ206">
        <f ca="1"/>
      </c>
      <c r="ER206">
        <f ca="1"/>
      </c>
      <c r="ES206">
        <f ca="1"/>
      </c>
      <c r="ET206">
        <f ca="1"/>
      </c>
      <c r="EU206">
        <f ca="1"/>
      </c>
      <c r="EV206">
        <f ca="1"/>
      </c>
      <c r="EW206">
        <f ca="1"/>
      </c>
      <c r="EX206">
        <f ca="1"/>
      </c>
      <c r="EY206">
        <f ca="1"/>
      </c>
      <c r="EZ206">
        <f ca="1"/>
      </c>
      <c r="FA206">
        <f ca="1"/>
      </c>
      <c r="FC206">
        <f ca="1"/>
      </c>
      <c r="FD206">
        <f ca="1"/>
      </c>
      <c r="FE206">
        <f ca="1"/>
      </c>
      <c r="FF206">
        <f ca="1"/>
      </c>
      <c r="FG206">
        <f ca="1"/>
      </c>
      <c r="FH206">
        <f ca="1"/>
      </c>
      <c r="FI206">
        <f ca="1"/>
      </c>
      <c r="FJ206">
        <f ca="1"/>
      </c>
      <c r="FK206">
        <f ca="1"/>
      </c>
      <c r="FL206">
        <f ca="1"/>
      </c>
      <c r="FM206">
        <f ca="1"/>
      </c>
      <c r="FN206">
        <f ca="1"/>
      </c>
      <c r="FO206">
        <f ca="1"/>
      </c>
      <c r="FP206">
        <f ca="1"/>
      </c>
      <c r="FQ206">
        <f ca="1"/>
      </c>
      <c r="FR206">
        <f ca="1"/>
      </c>
      <c r="FS206">
        <f ca="1"/>
      </c>
      <c r="FT206">
        <f ca="1"/>
      </c>
      <c r="FU206">
        <f ca="1"/>
      </c>
      <c r="FV206">
        <f ca="1"/>
      </c>
      <c r="FW206">
        <f ca="1"/>
      </c>
      <c r="FX206">
        <f ca="1"/>
      </c>
      <c r="FY206">
        <f ca="1"/>
      </c>
      <c r="FZ206">
        <f ca="1"/>
      </c>
      <c r="GA206">
        <f ca="1"/>
      </c>
      <c r="GB206">
        <f ca="1"/>
      </c>
      <c r="GC206">
        <f ca="1"/>
      </c>
      <c r="GD206">
        <f ca="1"/>
      </c>
      <c r="GE206">
        <f ca="1"/>
      </c>
      <c r="GF206">
        <f ca="1"/>
      </c>
      <c r="GG206">
        <f ca="1"/>
      </c>
      <c r="GH206">
        <f ca="1"/>
      </c>
      <c r="GI206">
        <f ca="1"/>
      </c>
      <c r="GJ206">
        <f ca="1"/>
      </c>
      <c r="GK206">
        <f ca="1"/>
      </c>
      <c r="GL206">
        <f ca="1"/>
      </c>
      <c r="GM206">
        <f ca="1"/>
      </c>
      <c r="GN206">
        <f ca="1"/>
      </c>
      <c r="GO206">
        <f ca="1"/>
      </c>
      <c r="GP206">
        <f ca="1"/>
      </c>
      <c r="GQ206">
        <f ca="1"/>
      </c>
      <c r="GR206">
        <f ca="1"/>
      </c>
      <c r="GS206">
        <f ca="1"/>
      </c>
      <c r="GT206">
        <f ca="1"/>
      </c>
      <c r="GU206">
        <f ca="1"/>
      </c>
      <c r="GV206">
        <f ca="1"/>
      </c>
      <c r="GW206">
        <f ca="1"/>
      </c>
      <c r="HI206" s="7">
        <f ca="1"/>
      </c>
      <c r="HJ206">
        <f ca="1"/>
      </c>
      <c r="HK206">
        <f ca="1"/>
      </c>
      <c r="HL206">
        <f ca="1"/>
      </c>
      <c r="HM206">
        <f ca="1"/>
      </c>
    </row>
    <row r="207" spans="63:221" x14ac:dyDescent="0.55000000000000004">
      <c r="BK207">
        <f ca="1"/>
      </c>
      <c r="BL207">
        <f ca="1"/>
      </c>
      <c r="BM207">
        <f ca="1"/>
      </c>
      <c r="BN207">
        <f ca="1"/>
      </c>
      <c r="BO207">
        <f ca="1"/>
      </c>
      <c r="BP207">
        <f ca="1"/>
      </c>
      <c r="BQ207">
        <f ca="1"/>
      </c>
      <c r="BR207">
        <f ca="1"/>
      </c>
      <c r="BS207">
        <f ca="1"/>
      </c>
      <c r="BT207">
        <f ca="1"/>
      </c>
      <c r="BU207">
        <f ca="1"/>
      </c>
      <c r="BV207">
        <f ca="1"/>
      </c>
      <c r="BW207">
        <f ca="1"/>
      </c>
      <c r="BX207">
        <f ca="1"/>
      </c>
      <c r="BY207">
        <f ca="1"/>
      </c>
      <c r="BZ207">
        <f ca="1"/>
      </c>
      <c r="CA207">
        <f ca="1"/>
      </c>
      <c r="CB207">
        <f ca="1"/>
      </c>
      <c r="CC207">
        <f ca="1"/>
      </c>
      <c r="CD207">
        <f ca="1"/>
      </c>
      <c r="CE207">
        <f ca="1"/>
      </c>
      <c r="CF207">
        <f ca="1"/>
      </c>
      <c r="CG207">
        <f ca="1"/>
      </c>
      <c r="CH207">
        <f ca="1"/>
      </c>
      <c r="CI207">
        <f ca="1"/>
      </c>
      <c r="CJ207">
        <f ca="1"/>
      </c>
      <c r="CK207">
        <f ca="1"/>
      </c>
      <c r="CL207">
        <f ca="1"/>
      </c>
      <c r="CM207">
        <f ca="1"/>
      </c>
      <c r="CN207">
        <f ca="1"/>
      </c>
      <c r="CO207">
        <f ca="1"/>
      </c>
      <c r="CP207">
        <f ca="1"/>
      </c>
      <c r="CQ207">
        <f ca="1"/>
      </c>
      <c r="CR207">
        <f ca="1"/>
      </c>
      <c r="CS207">
        <f ca="1"/>
      </c>
      <c r="CT207">
        <f ca="1"/>
      </c>
      <c r="CU207">
        <f ca="1"/>
      </c>
      <c r="CV207">
        <f ca="1"/>
      </c>
      <c r="CW207">
        <f ca="1"/>
      </c>
      <c r="CX207">
        <f ca="1"/>
      </c>
      <c r="CY207">
        <f ca="1"/>
      </c>
      <c r="CZ207">
        <f ca="1"/>
      </c>
      <c r="DA207">
        <f ca="1"/>
      </c>
      <c r="DB207">
        <f ca="1"/>
      </c>
      <c r="DC207">
        <f ca="1"/>
      </c>
      <c r="DD207">
        <f ca="1"/>
      </c>
      <c r="DE207">
        <f ca="1"/>
      </c>
      <c r="DG207">
        <f ca="1"/>
      </c>
      <c r="DH207">
        <f ca="1"/>
      </c>
      <c r="DI207">
        <f ca="1"/>
      </c>
      <c r="DJ207">
        <f ca="1"/>
      </c>
      <c r="DK207">
        <f ca="1"/>
      </c>
      <c r="DL207">
        <f ca="1"/>
      </c>
      <c r="DM207">
        <f ca="1"/>
      </c>
      <c r="DN207">
        <f ca="1"/>
      </c>
      <c r="DO207">
        <f ca="1"/>
      </c>
      <c r="DP207">
        <f ca="1"/>
      </c>
      <c r="DQ207">
        <f ca="1"/>
      </c>
      <c r="DR207">
        <f ca="1"/>
      </c>
      <c r="DS207">
        <f ca="1"/>
      </c>
      <c r="DT207">
        <f ca="1"/>
      </c>
      <c r="DU207">
        <f ca="1"/>
      </c>
      <c r="DV207">
        <f ca="1"/>
      </c>
      <c r="DW207">
        <f ca="1"/>
      </c>
      <c r="DX207">
        <f ca="1"/>
      </c>
      <c r="DY207">
        <f ca="1"/>
      </c>
      <c r="DZ207">
        <f ca="1"/>
      </c>
      <c r="EA207">
        <f ca="1"/>
      </c>
      <c r="EB207">
        <f ca="1"/>
      </c>
      <c r="EC207">
        <f ca="1"/>
      </c>
      <c r="ED207">
        <f ca="1"/>
      </c>
      <c r="EE207">
        <f ca="1"/>
      </c>
      <c r="EF207">
        <f ca="1"/>
      </c>
      <c r="EG207">
        <f ca="1"/>
      </c>
      <c r="EH207">
        <f ca="1"/>
      </c>
      <c r="EI207">
        <f ca="1"/>
      </c>
      <c r="EJ207">
        <f ca="1"/>
      </c>
      <c r="EK207">
        <f ca="1"/>
      </c>
      <c r="EL207">
        <f ca="1"/>
      </c>
      <c r="EM207">
        <f ca="1"/>
      </c>
      <c r="EN207">
        <f ca="1"/>
      </c>
      <c r="EO207">
        <f ca="1"/>
      </c>
      <c r="EP207">
        <f ca="1"/>
      </c>
      <c r="EQ207">
        <f ca="1"/>
      </c>
      <c r="ER207">
        <f ca="1"/>
      </c>
      <c r="ES207">
        <f ca="1"/>
      </c>
      <c r="ET207">
        <f ca="1"/>
      </c>
      <c r="EU207">
        <f ca="1"/>
      </c>
      <c r="EV207">
        <f ca="1"/>
      </c>
      <c r="EW207">
        <f ca="1"/>
      </c>
      <c r="EX207">
        <f ca="1"/>
      </c>
      <c r="EY207">
        <f ca="1"/>
      </c>
      <c r="EZ207">
        <f ca="1"/>
      </c>
      <c r="FA207">
        <f ca="1"/>
      </c>
      <c r="FC207">
        <f ca="1"/>
      </c>
      <c r="FD207">
        <f ca="1"/>
      </c>
      <c r="FE207">
        <f ca="1"/>
      </c>
      <c r="FF207">
        <f ca="1"/>
      </c>
      <c r="FG207">
        <f ca="1"/>
      </c>
      <c r="FH207">
        <f ca="1"/>
      </c>
      <c r="FI207">
        <f ca="1"/>
      </c>
      <c r="FJ207">
        <f ca="1"/>
      </c>
      <c r="FK207">
        <f ca="1"/>
      </c>
      <c r="FL207">
        <f ca="1"/>
      </c>
      <c r="FM207">
        <f ca="1"/>
      </c>
      <c r="FN207">
        <f ca="1"/>
      </c>
      <c r="FO207">
        <f ca="1"/>
      </c>
      <c r="FP207">
        <f ca="1"/>
      </c>
      <c r="FQ207">
        <f ca="1"/>
      </c>
      <c r="FR207">
        <f ca="1"/>
      </c>
      <c r="FS207">
        <f ca="1"/>
      </c>
      <c r="FT207">
        <f ca="1"/>
      </c>
      <c r="FU207">
        <f ca="1"/>
      </c>
      <c r="FV207">
        <f ca="1"/>
      </c>
      <c r="FW207">
        <f ca="1"/>
      </c>
      <c r="FX207">
        <f ca="1"/>
      </c>
      <c r="FY207">
        <f ca="1"/>
      </c>
      <c r="FZ207">
        <f ca="1"/>
      </c>
      <c r="GA207">
        <f ca="1"/>
      </c>
      <c r="GB207">
        <f ca="1"/>
      </c>
      <c r="GC207">
        <f ca="1"/>
      </c>
      <c r="GD207">
        <f ca="1"/>
      </c>
      <c r="GE207">
        <f ca="1"/>
      </c>
      <c r="GF207">
        <f ca="1"/>
      </c>
      <c r="GG207">
        <f ca="1"/>
      </c>
      <c r="GH207">
        <f ca="1"/>
      </c>
      <c r="GI207">
        <f ca="1"/>
      </c>
      <c r="GJ207">
        <f ca="1"/>
      </c>
      <c r="GK207">
        <f ca="1"/>
      </c>
      <c r="GL207">
        <f ca="1"/>
      </c>
      <c r="GM207">
        <f ca="1"/>
      </c>
      <c r="GN207">
        <f ca="1"/>
      </c>
      <c r="GO207">
        <f ca="1"/>
      </c>
      <c r="GP207">
        <f ca="1"/>
      </c>
      <c r="GQ207">
        <f ca="1"/>
      </c>
      <c r="GR207">
        <f ca="1"/>
      </c>
      <c r="GS207">
        <f ca="1"/>
      </c>
      <c r="GT207">
        <f ca="1"/>
      </c>
      <c r="GU207">
        <f ca="1"/>
      </c>
      <c r="GV207">
        <f ca="1"/>
      </c>
      <c r="GW207">
        <f ca="1"/>
      </c>
      <c r="HI207" s="7">
        <f ca="1"/>
      </c>
      <c r="HJ207">
        <f ca="1"/>
      </c>
      <c r="HK207">
        <f ca="1"/>
      </c>
      <c r="HL207">
        <f ca="1"/>
      </c>
      <c r="HM207">
        <f ca="1"/>
      </c>
    </row>
    <row r="208" spans="63:221" x14ac:dyDescent="0.55000000000000004">
      <c r="BK208">
        <f ca="1"/>
      </c>
      <c r="BL208">
        <f ca="1"/>
      </c>
      <c r="BM208">
        <f ca="1"/>
      </c>
      <c r="BN208">
        <f ca="1"/>
      </c>
      <c r="BO208">
        <f ca="1"/>
      </c>
      <c r="BP208">
        <f ca="1"/>
      </c>
      <c r="BQ208">
        <f ca="1"/>
      </c>
      <c r="BR208">
        <f ca="1"/>
      </c>
      <c r="BS208">
        <f ca="1"/>
      </c>
      <c r="BT208">
        <f ca="1"/>
      </c>
      <c r="BU208">
        <f ca="1"/>
      </c>
      <c r="BV208">
        <f ca="1"/>
      </c>
      <c r="BW208">
        <f ca="1"/>
      </c>
      <c r="BX208">
        <f ca="1"/>
      </c>
      <c r="BY208">
        <f ca="1"/>
      </c>
      <c r="BZ208">
        <f ca="1"/>
      </c>
      <c r="CA208">
        <f ca="1"/>
      </c>
      <c r="CB208">
        <f ca="1"/>
      </c>
      <c r="CC208">
        <f ca="1"/>
      </c>
      <c r="CD208">
        <f ca="1"/>
      </c>
      <c r="CE208">
        <f ca="1"/>
      </c>
      <c r="CF208">
        <f ca="1"/>
      </c>
      <c r="CG208">
        <f ca="1"/>
      </c>
      <c r="CH208">
        <f ca="1"/>
      </c>
      <c r="CI208">
        <f ca="1"/>
      </c>
      <c r="CJ208">
        <f ca="1"/>
      </c>
      <c r="CK208">
        <f ca="1"/>
      </c>
      <c r="CL208">
        <f ca="1"/>
      </c>
      <c r="CM208">
        <f ca="1"/>
      </c>
      <c r="CN208">
        <f ca="1"/>
      </c>
      <c r="CO208">
        <f ca="1"/>
      </c>
      <c r="CP208">
        <f ca="1"/>
      </c>
      <c r="CQ208">
        <f ca="1"/>
      </c>
      <c r="CR208">
        <f ca="1"/>
      </c>
      <c r="CS208">
        <f ca="1"/>
      </c>
      <c r="CT208">
        <f ca="1"/>
      </c>
      <c r="CU208">
        <f ca="1"/>
      </c>
      <c r="CV208">
        <f ca="1"/>
      </c>
      <c r="CW208">
        <f ca="1"/>
      </c>
      <c r="CX208">
        <f ca="1"/>
      </c>
      <c r="CY208">
        <f ca="1"/>
      </c>
      <c r="CZ208">
        <f ca="1"/>
      </c>
      <c r="DA208">
        <f ca="1"/>
      </c>
      <c r="DB208">
        <f ca="1"/>
      </c>
      <c r="DC208">
        <f ca="1"/>
      </c>
      <c r="DD208">
        <f ca="1"/>
      </c>
      <c r="DE208">
        <f ca="1"/>
      </c>
      <c r="DG208">
        <f ca="1"/>
      </c>
      <c r="DH208">
        <f ca="1"/>
      </c>
      <c r="DI208">
        <f ca="1"/>
      </c>
      <c r="DJ208">
        <f ca="1"/>
      </c>
      <c r="DK208">
        <f ca="1"/>
      </c>
      <c r="DL208">
        <f ca="1"/>
      </c>
      <c r="DM208">
        <f ca="1"/>
      </c>
      <c r="DN208">
        <f ca="1"/>
      </c>
      <c r="DO208">
        <f ca="1"/>
      </c>
      <c r="DP208">
        <f ca="1"/>
      </c>
      <c r="DQ208">
        <f ca="1"/>
      </c>
      <c r="DR208">
        <f ca="1"/>
      </c>
      <c r="DS208">
        <f ca="1"/>
      </c>
      <c r="DT208">
        <f ca="1"/>
      </c>
      <c r="DU208">
        <f ca="1"/>
      </c>
      <c r="DV208">
        <f ca="1"/>
      </c>
      <c r="DW208">
        <f ca="1"/>
      </c>
      <c r="DX208">
        <f ca="1"/>
      </c>
      <c r="DY208">
        <f ca="1"/>
      </c>
      <c r="DZ208">
        <f ca="1"/>
      </c>
      <c r="EA208">
        <f ca="1"/>
      </c>
      <c r="EB208">
        <f ca="1"/>
      </c>
      <c r="EC208">
        <f ca="1"/>
      </c>
      <c r="ED208">
        <f ca="1"/>
      </c>
      <c r="EE208">
        <f ca="1"/>
      </c>
      <c r="EF208">
        <f ca="1"/>
      </c>
      <c r="EG208">
        <f ca="1"/>
      </c>
      <c r="EH208">
        <f ca="1"/>
      </c>
      <c r="EI208">
        <f ca="1"/>
      </c>
      <c r="EJ208">
        <f ca="1"/>
      </c>
      <c r="EK208">
        <f ca="1"/>
      </c>
      <c r="EL208">
        <f ca="1"/>
      </c>
      <c r="EM208">
        <f ca="1"/>
      </c>
      <c r="EN208">
        <f ca="1"/>
      </c>
      <c r="EO208">
        <f ca="1"/>
      </c>
      <c r="EP208">
        <f ca="1"/>
      </c>
      <c r="EQ208">
        <f ca="1"/>
      </c>
      <c r="ER208">
        <f ca="1"/>
      </c>
      <c r="ES208">
        <f ca="1"/>
      </c>
      <c r="ET208">
        <f ca="1"/>
      </c>
      <c r="EU208">
        <f ca="1"/>
      </c>
      <c r="EV208">
        <f ca="1"/>
      </c>
      <c r="EW208">
        <f ca="1"/>
      </c>
      <c r="EX208">
        <f ca="1"/>
      </c>
      <c r="EY208">
        <f ca="1"/>
      </c>
      <c r="EZ208">
        <f ca="1"/>
      </c>
      <c r="FA208">
        <f ca="1"/>
      </c>
      <c r="FC208">
        <f ca="1"/>
      </c>
      <c r="FD208">
        <f ca="1"/>
      </c>
      <c r="FE208">
        <f ca="1"/>
      </c>
      <c r="FF208">
        <f ca="1"/>
      </c>
      <c r="FG208">
        <f ca="1"/>
      </c>
      <c r="FH208">
        <f ca="1"/>
      </c>
      <c r="FI208">
        <f ca="1"/>
      </c>
      <c r="FJ208">
        <f ca="1"/>
      </c>
      <c r="FK208">
        <f ca="1"/>
      </c>
      <c r="FL208">
        <f ca="1"/>
      </c>
      <c r="FM208">
        <f ca="1"/>
      </c>
      <c r="FN208">
        <f ca="1"/>
      </c>
      <c r="FO208">
        <f ca="1"/>
      </c>
      <c r="FP208">
        <f ca="1"/>
      </c>
      <c r="FQ208">
        <f ca="1"/>
      </c>
      <c r="FR208">
        <f ca="1"/>
      </c>
      <c r="FS208">
        <f ca="1"/>
      </c>
      <c r="FT208">
        <f ca="1"/>
      </c>
      <c r="FU208">
        <f ca="1"/>
      </c>
      <c r="FV208">
        <f ca="1"/>
      </c>
      <c r="FW208">
        <f ca="1"/>
      </c>
      <c r="FX208">
        <f ca="1"/>
      </c>
      <c r="FY208">
        <f ca="1"/>
      </c>
      <c r="FZ208">
        <f ca="1"/>
      </c>
      <c r="GA208">
        <f ca="1"/>
      </c>
      <c r="GB208">
        <f ca="1"/>
      </c>
      <c r="GC208">
        <f ca="1"/>
      </c>
      <c r="GD208">
        <f ca="1"/>
      </c>
      <c r="GE208">
        <f ca="1"/>
      </c>
      <c r="GF208">
        <f ca="1"/>
      </c>
      <c r="GG208">
        <f ca="1"/>
      </c>
      <c r="GH208">
        <f ca="1"/>
      </c>
      <c r="GI208">
        <f ca="1"/>
      </c>
      <c r="GJ208">
        <f ca="1"/>
      </c>
      <c r="GK208">
        <f ca="1"/>
      </c>
      <c r="GL208">
        <f ca="1"/>
      </c>
      <c r="GM208">
        <f ca="1"/>
      </c>
      <c r="GN208">
        <f ca="1"/>
      </c>
      <c r="GO208">
        <f ca="1"/>
      </c>
      <c r="GP208">
        <f ca="1"/>
      </c>
      <c r="GQ208">
        <f ca="1"/>
      </c>
      <c r="GR208">
        <f ca="1"/>
      </c>
      <c r="GS208">
        <f ca="1"/>
      </c>
      <c r="GT208">
        <f ca="1"/>
      </c>
      <c r="GU208">
        <f ca="1"/>
      </c>
      <c r="GV208">
        <f ca="1"/>
      </c>
      <c r="GW208">
        <f ca="1"/>
      </c>
      <c r="HI208" s="7">
        <f ca="1"/>
      </c>
      <c r="HJ208">
        <f ca="1"/>
      </c>
      <c r="HK208">
        <f ca="1"/>
      </c>
      <c r="HL208">
        <f ca="1"/>
      </c>
      <c r="HM208">
        <f ca="1"/>
      </c>
    </row>
    <row r="209" spans="63:221" x14ac:dyDescent="0.55000000000000004">
      <c r="BK209">
        <f ca="1"/>
      </c>
      <c r="BL209">
        <f ca="1"/>
      </c>
      <c r="BM209">
        <f ca="1"/>
      </c>
      <c r="BN209">
        <f ca="1"/>
      </c>
      <c r="BO209">
        <f ca="1"/>
      </c>
      <c r="BP209">
        <f ca="1"/>
      </c>
      <c r="BQ209">
        <f ca="1"/>
      </c>
      <c r="BR209">
        <f ca="1"/>
      </c>
      <c r="BS209">
        <f ca="1"/>
      </c>
      <c r="BT209">
        <f ca="1"/>
      </c>
      <c r="BU209">
        <f ca="1"/>
      </c>
      <c r="BV209">
        <f ca="1"/>
      </c>
      <c r="BW209">
        <f ca="1"/>
      </c>
      <c r="BX209">
        <f ca="1"/>
      </c>
      <c r="BY209">
        <f ca="1"/>
      </c>
      <c r="BZ209">
        <f ca="1"/>
      </c>
      <c r="CA209">
        <f ca="1"/>
      </c>
      <c r="CB209">
        <f ca="1"/>
      </c>
      <c r="CC209">
        <f ca="1"/>
      </c>
      <c r="CD209">
        <f ca="1"/>
      </c>
      <c r="CE209">
        <f ca="1"/>
      </c>
      <c r="CF209">
        <f ca="1"/>
      </c>
      <c r="CG209">
        <f ca="1"/>
      </c>
      <c r="CH209">
        <f ca="1"/>
      </c>
      <c r="CI209">
        <f ca="1"/>
      </c>
      <c r="CJ209">
        <f ca="1"/>
      </c>
      <c r="CK209">
        <f ca="1"/>
      </c>
      <c r="CL209">
        <f ca="1"/>
      </c>
      <c r="CM209">
        <f ca="1"/>
      </c>
      <c r="CN209">
        <f ca="1"/>
      </c>
      <c r="CO209">
        <f ca="1"/>
      </c>
      <c r="CP209">
        <f ca="1"/>
      </c>
      <c r="CQ209">
        <f ca="1"/>
      </c>
      <c r="CR209">
        <f ca="1"/>
      </c>
      <c r="CS209">
        <f ca="1"/>
      </c>
      <c r="CT209">
        <f ca="1"/>
      </c>
      <c r="CU209">
        <f ca="1"/>
      </c>
      <c r="CV209">
        <f ca="1"/>
      </c>
      <c r="CW209">
        <f ca="1"/>
      </c>
      <c r="CX209">
        <f ca="1"/>
      </c>
      <c r="CY209">
        <f ca="1"/>
      </c>
      <c r="CZ209">
        <f ca="1"/>
      </c>
      <c r="DA209">
        <f ca="1"/>
      </c>
      <c r="DB209">
        <f ca="1"/>
      </c>
      <c r="DC209">
        <f ca="1"/>
      </c>
      <c r="DD209">
        <f ca="1"/>
      </c>
      <c r="DE209">
        <f ca="1"/>
      </c>
      <c r="DG209">
        <f ca="1"/>
      </c>
      <c r="DH209">
        <f ca="1"/>
      </c>
      <c r="DI209">
        <f ca="1"/>
      </c>
      <c r="DJ209">
        <f ca="1"/>
      </c>
      <c r="DK209">
        <f ca="1"/>
      </c>
      <c r="DL209">
        <f ca="1"/>
      </c>
      <c r="DM209">
        <f ca="1"/>
      </c>
      <c r="DN209">
        <f ca="1"/>
      </c>
      <c r="DO209">
        <f ca="1"/>
      </c>
      <c r="DP209">
        <f ca="1"/>
      </c>
      <c r="DQ209">
        <f ca="1"/>
      </c>
      <c r="DR209">
        <f ca="1"/>
      </c>
      <c r="DS209">
        <f ca="1"/>
      </c>
      <c r="DT209">
        <f ca="1"/>
      </c>
      <c r="DU209">
        <f ca="1"/>
      </c>
      <c r="DV209">
        <f ca="1"/>
      </c>
      <c r="DW209">
        <f ca="1"/>
      </c>
      <c r="DX209">
        <f ca="1"/>
      </c>
      <c r="DY209">
        <f ca="1"/>
      </c>
      <c r="DZ209">
        <f ca="1"/>
      </c>
      <c r="EA209">
        <f ca="1"/>
      </c>
      <c r="EB209">
        <f ca="1"/>
      </c>
      <c r="EC209">
        <f ca="1"/>
      </c>
      <c r="ED209">
        <f ca="1"/>
      </c>
      <c r="EE209">
        <f ca="1"/>
      </c>
      <c r="EF209">
        <f ca="1"/>
      </c>
      <c r="EG209">
        <f ca="1"/>
      </c>
      <c r="EH209">
        <f ca="1"/>
      </c>
      <c r="EI209">
        <f ca="1"/>
      </c>
      <c r="EJ209">
        <f ca="1"/>
      </c>
      <c r="EK209">
        <f ca="1"/>
      </c>
      <c r="EL209">
        <f ca="1"/>
      </c>
      <c r="EM209">
        <f ca="1"/>
      </c>
      <c r="EN209">
        <f ca="1"/>
      </c>
      <c r="EO209">
        <f ca="1"/>
      </c>
      <c r="EP209">
        <f ca="1"/>
      </c>
      <c r="EQ209">
        <f ca="1"/>
      </c>
      <c r="ER209">
        <f ca="1"/>
      </c>
      <c r="ES209">
        <f ca="1"/>
      </c>
      <c r="ET209">
        <f ca="1"/>
      </c>
      <c r="EU209">
        <f ca="1"/>
      </c>
      <c r="EV209">
        <f ca="1"/>
      </c>
      <c r="EW209">
        <f ca="1"/>
      </c>
      <c r="EX209">
        <f ca="1"/>
      </c>
      <c r="EY209">
        <f ca="1"/>
      </c>
      <c r="EZ209">
        <f ca="1"/>
      </c>
      <c r="FA209">
        <f ca="1"/>
      </c>
      <c r="FC209">
        <f ca="1"/>
      </c>
      <c r="FD209">
        <f ca="1"/>
      </c>
      <c r="FE209">
        <f ca="1"/>
      </c>
      <c r="FF209">
        <f ca="1"/>
      </c>
      <c r="FG209">
        <f ca="1"/>
      </c>
      <c r="FH209">
        <f ca="1"/>
      </c>
      <c r="FI209">
        <f ca="1"/>
      </c>
      <c r="FJ209">
        <f ca="1"/>
      </c>
      <c r="FK209">
        <f ca="1"/>
      </c>
      <c r="FL209">
        <f ca="1"/>
      </c>
      <c r="FM209">
        <f ca="1"/>
      </c>
      <c r="FN209">
        <f ca="1"/>
      </c>
      <c r="FO209">
        <f ca="1"/>
      </c>
      <c r="FP209">
        <f ca="1"/>
      </c>
      <c r="FQ209">
        <f ca="1"/>
      </c>
      <c r="FR209">
        <f ca="1"/>
      </c>
      <c r="FS209">
        <f ca="1"/>
      </c>
      <c r="FT209">
        <f ca="1"/>
      </c>
      <c r="FU209">
        <f ca="1"/>
      </c>
      <c r="FV209">
        <f ca="1"/>
      </c>
      <c r="FW209">
        <f ca="1"/>
      </c>
      <c r="FX209">
        <f ca="1"/>
      </c>
      <c r="FY209">
        <f ca="1"/>
      </c>
      <c r="FZ209">
        <f ca="1"/>
      </c>
      <c r="GA209">
        <f ca="1"/>
      </c>
      <c r="GB209">
        <f ca="1"/>
      </c>
      <c r="GC209">
        <f ca="1"/>
      </c>
      <c r="GD209">
        <f ca="1"/>
      </c>
      <c r="GE209">
        <f ca="1"/>
      </c>
      <c r="GF209">
        <f ca="1"/>
      </c>
      <c r="GG209">
        <f ca="1"/>
      </c>
      <c r="GH209">
        <f ca="1"/>
      </c>
      <c r="GI209">
        <f ca="1"/>
      </c>
      <c r="GJ209">
        <f ca="1"/>
      </c>
      <c r="GK209">
        <f ca="1"/>
      </c>
      <c r="GL209">
        <f ca="1"/>
      </c>
      <c r="GM209">
        <f ca="1"/>
      </c>
      <c r="GN209">
        <f ca="1"/>
      </c>
      <c r="GO209">
        <f ca="1"/>
      </c>
      <c r="GP209">
        <f ca="1"/>
      </c>
      <c r="GQ209">
        <f ca="1"/>
      </c>
      <c r="GR209">
        <f ca="1"/>
      </c>
      <c r="GS209">
        <f ca="1"/>
      </c>
      <c r="GT209">
        <f ca="1"/>
      </c>
      <c r="GU209">
        <f ca="1"/>
      </c>
      <c r="GV209">
        <f ca="1"/>
      </c>
      <c r="GW209">
        <f ca="1"/>
      </c>
      <c r="HI209" s="7">
        <f ca="1"/>
      </c>
      <c r="HJ209">
        <f ca="1"/>
      </c>
      <c r="HK209">
        <f ca="1"/>
      </c>
      <c r="HL209">
        <f ca="1"/>
      </c>
      <c r="HM209">
        <f ca="1"/>
      </c>
    </row>
    <row r="210" spans="63:221" x14ac:dyDescent="0.55000000000000004">
      <c r="BK210">
        <f ca="1"/>
      </c>
      <c r="BL210">
        <f ca="1"/>
      </c>
      <c r="BM210">
        <f ca="1"/>
      </c>
      <c r="BN210">
        <f ca="1"/>
      </c>
      <c r="BO210">
        <f ca="1"/>
      </c>
      <c r="BP210">
        <f ca="1"/>
      </c>
      <c r="BQ210">
        <f ca="1"/>
      </c>
      <c r="BR210">
        <f ca="1"/>
      </c>
      <c r="BS210">
        <f ca="1"/>
      </c>
      <c r="BT210">
        <f ca="1"/>
      </c>
      <c r="BU210">
        <f ca="1"/>
      </c>
      <c r="BV210">
        <f ca="1"/>
      </c>
      <c r="BW210">
        <f ca="1"/>
      </c>
      <c r="BX210">
        <f ca="1"/>
      </c>
      <c r="BY210">
        <f ca="1"/>
      </c>
      <c r="BZ210">
        <f ca="1"/>
      </c>
      <c r="CA210">
        <f ca="1"/>
      </c>
      <c r="CB210">
        <f ca="1"/>
      </c>
      <c r="CC210">
        <f ca="1"/>
      </c>
      <c r="CD210">
        <f ca="1"/>
      </c>
      <c r="CE210">
        <f ca="1"/>
      </c>
      <c r="CF210">
        <f ca="1"/>
      </c>
      <c r="CG210">
        <f ca="1"/>
      </c>
      <c r="CH210">
        <f ca="1"/>
      </c>
      <c r="CI210">
        <f ca="1"/>
      </c>
      <c r="CJ210">
        <f ca="1"/>
      </c>
      <c r="CK210">
        <f ca="1"/>
      </c>
      <c r="CL210">
        <f ca="1"/>
      </c>
      <c r="CM210">
        <f ca="1"/>
      </c>
      <c r="CN210">
        <f ca="1"/>
      </c>
      <c r="CO210">
        <f ca="1"/>
      </c>
      <c r="CP210">
        <f ca="1"/>
      </c>
      <c r="CQ210">
        <f ca="1"/>
      </c>
      <c r="CR210">
        <f ca="1"/>
      </c>
      <c r="CS210">
        <f ca="1"/>
      </c>
      <c r="CT210">
        <f ca="1"/>
      </c>
      <c r="CU210">
        <f ca="1"/>
      </c>
      <c r="CV210">
        <f ca="1"/>
      </c>
      <c r="CW210">
        <f ca="1"/>
      </c>
      <c r="CX210">
        <f ca="1"/>
      </c>
      <c r="CY210">
        <f ca="1"/>
      </c>
      <c r="CZ210">
        <f ca="1"/>
      </c>
      <c r="DA210">
        <f ca="1"/>
      </c>
      <c r="DB210">
        <f ca="1"/>
      </c>
      <c r="DC210">
        <f ca="1"/>
      </c>
      <c r="DD210">
        <f ca="1"/>
      </c>
      <c r="DE210">
        <f ca="1"/>
      </c>
      <c r="DG210">
        <f ca="1"/>
      </c>
      <c r="DH210">
        <f ca="1"/>
      </c>
      <c r="DI210">
        <f ca="1"/>
      </c>
      <c r="DJ210">
        <f ca="1"/>
      </c>
      <c r="DK210">
        <f ca="1"/>
      </c>
      <c r="DL210">
        <f ca="1"/>
      </c>
      <c r="DM210">
        <f ca="1"/>
      </c>
      <c r="DN210">
        <f ca="1"/>
      </c>
      <c r="DO210">
        <f ca="1"/>
      </c>
      <c r="DP210">
        <f ca="1"/>
      </c>
      <c r="DQ210">
        <f ca="1"/>
      </c>
      <c r="DR210">
        <f ca="1"/>
      </c>
      <c r="DS210">
        <f ca="1"/>
      </c>
      <c r="DT210">
        <f ca="1"/>
      </c>
      <c r="DU210">
        <f ca="1"/>
      </c>
      <c r="DV210">
        <f ca="1"/>
      </c>
      <c r="DW210">
        <f ca="1"/>
      </c>
      <c r="DX210">
        <f ca="1"/>
      </c>
      <c r="DY210">
        <f ca="1"/>
      </c>
      <c r="DZ210">
        <f ca="1"/>
      </c>
      <c r="EA210">
        <f ca="1"/>
      </c>
      <c r="EB210">
        <f ca="1"/>
      </c>
      <c r="EC210">
        <f ca="1"/>
      </c>
      <c r="ED210">
        <f ca="1"/>
      </c>
      <c r="EE210">
        <f ca="1"/>
      </c>
      <c r="EF210">
        <f ca="1"/>
      </c>
      <c r="EG210">
        <f ca="1"/>
      </c>
      <c r="EH210">
        <f ca="1"/>
      </c>
      <c r="EI210">
        <f ca="1"/>
      </c>
      <c r="EJ210">
        <f ca="1"/>
      </c>
      <c r="EK210">
        <f ca="1"/>
      </c>
      <c r="EL210">
        <f ca="1"/>
      </c>
      <c r="EM210">
        <f ca="1"/>
      </c>
      <c r="EN210">
        <f ca="1"/>
      </c>
      <c r="EO210">
        <f ca="1"/>
      </c>
      <c r="EP210">
        <f ca="1"/>
      </c>
      <c r="EQ210">
        <f ca="1"/>
      </c>
      <c r="ER210">
        <f ca="1"/>
      </c>
      <c r="ES210">
        <f ca="1"/>
      </c>
      <c r="ET210">
        <f ca="1"/>
      </c>
      <c r="EU210">
        <f ca="1"/>
      </c>
      <c r="EV210">
        <f ca="1"/>
      </c>
      <c r="EW210">
        <f ca="1"/>
      </c>
      <c r="EX210">
        <f ca="1"/>
      </c>
      <c r="EY210">
        <f ca="1"/>
      </c>
      <c r="EZ210">
        <f ca="1"/>
      </c>
      <c r="FA210">
        <f ca="1"/>
      </c>
      <c r="FC210">
        <f ca="1"/>
      </c>
      <c r="FD210">
        <f ca="1"/>
      </c>
      <c r="FE210">
        <f ca="1"/>
      </c>
      <c r="FF210">
        <f ca="1"/>
      </c>
      <c r="FG210">
        <f ca="1"/>
      </c>
      <c r="FH210">
        <f ca="1"/>
      </c>
      <c r="FI210">
        <f ca="1"/>
      </c>
      <c r="FJ210">
        <f ca="1"/>
      </c>
      <c r="FK210">
        <f ca="1"/>
      </c>
      <c r="FL210">
        <f ca="1"/>
      </c>
      <c r="FM210">
        <f ca="1"/>
      </c>
      <c r="FN210">
        <f ca="1"/>
      </c>
      <c r="FO210">
        <f ca="1"/>
      </c>
      <c r="FP210">
        <f ca="1"/>
      </c>
      <c r="FQ210">
        <f ca="1"/>
      </c>
      <c r="FR210">
        <f ca="1"/>
      </c>
      <c r="FS210">
        <f ca="1"/>
      </c>
      <c r="FT210">
        <f ca="1"/>
      </c>
      <c r="FU210">
        <f ca="1"/>
      </c>
      <c r="FV210">
        <f ca="1"/>
      </c>
      <c r="FW210">
        <f ca="1"/>
      </c>
      <c r="FX210">
        <f ca="1"/>
      </c>
      <c r="FY210">
        <f ca="1"/>
      </c>
      <c r="FZ210">
        <f ca="1"/>
      </c>
      <c r="GA210">
        <f ca="1"/>
      </c>
      <c r="GB210">
        <f ca="1"/>
      </c>
      <c r="GC210">
        <f ca="1"/>
      </c>
      <c r="GD210">
        <f ca="1"/>
      </c>
      <c r="GE210">
        <f ca="1"/>
      </c>
      <c r="GF210">
        <f ca="1"/>
      </c>
      <c r="GG210">
        <f ca="1"/>
      </c>
      <c r="GH210">
        <f ca="1"/>
      </c>
      <c r="GI210">
        <f ca="1"/>
      </c>
      <c r="GJ210">
        <f ca="1"/>
      </c>
      <c r="GK210">
        <f ca="1"/>
      </c>
      <c r="GL210">
        <f ca="1"/>
      </c>
      <c r="GM210">
        <f ca="1"/>
      </c>
      <c r="GN210">
        <f ca="1"/>
      </c>
      <c r="GO210">
        <f ca="1"/>
      </c>
      <c r="GP210">
        <f ca="1"/>
      </c>
      <c r="GQ210">
        <f ca="1"/>
      </c>
      <c r="GR210">
        <f ca="1"/>
      </c>
      <c r="GS210">
        <f ca="1"/>
      </c>
      <c r="GT210">
        <f ca="1"/>
      </c>
      <c r="GU210">
        <f ca="1"/>
      </c>
      <c r="GV210">
        <f ca="1"/>
      </c>
      <c r="GW210">
        <f ca="1"/>
      </c>
      <c r="HI210" s="7">
        <f ca="1"/>
      </c>
      <c r="HJ210">
        <f ca="1"/>
      </c>
      <c r="HK210">
        <f ca="1"/>
      </c>
      <c r="HL210">
        <f ca="1"/>
      </c>
      <c r="HM210">
        <f ca="1"/>
      </c>
    </row>
    <row r="211" spans="63:221" x14ac:dyDescent="0.55000000000000004">
      <c r="BK211">
        <f ca="1"/>
      </c>
      <c r="BL211">
        <f ca="1"/>
      </c>
      <c r="BM211">
        <f ca="1"/>
      </c>
      <c r="BN211">
        <f ca="1"/>
      </c>
      <c r="BO211">
        <f ca="1"/>
      </c>
      <c r="BP211">
        <f ca="1"/>
      </c>
      <c r="BQ211">
        <f ca="1"/>
      </c>
      <c r="BR211">
        <f ca="1"/>
      </c>
      <c r="BS211">
        <f ca="1"/>
      </c>
      <c r="BT211">
        <f ca="1"/>
      </c>
      <c r="BU211">
        <f ca="1"/>
      </c>
      <c r="BV211">
        <f ca="1"/>
      </c>
      <c r="BW211">
        <f ca="1"/>
      </c>
      <c r="BX211">
        <f ca="1"/>
      </c>
      <c r="BY211">
        <f ca="1"/>
      </c>
      <c r="BZ211">
        <f ca="1"/>
      </c>
      <c r="CA211">
        <f ca="1"/>
      </c>
      <c r="CB211">
        <f ca="1"/>
      </c>
      <c r="CC211">
        <f ca="1"/>
      </c>
      <c r="CD211">
        <f ca="1"/>
      </c>
      <c r="CE211">
        <f ca="1"/>
      </c>
      <c r="CF211">
        <f ca="1"/>
      </c>
      <c r="CG211">
        <f ca="1"/>
      </c>
      <c r="CH211">
        <f ca="1"/>
      </c>
      <c r="CI211">
        <f ca="1"/>
      </c>
      <c r="CJ211">
        <f ca="1"/>
      </c>
      <c r="CK211">
        <f ca="1"/>
      </c>
      <c r="CL211">
        <f ca="1"/>
      </c>
      <c r="CM211">
        <f ca="1"/>
      </c>
      <c r="CN211">
        <f ca="1"/>
      </c>
      <c r="CO211">
        <f ca="1"/>
      </c>
      <c r="CP211">
        <f ca="1"/>
      </c>
      <c r="CQ211">
        <f ca="1"/>
      </c>
      <c r="CR211">
        <f ca="1"/>
      </c>
      <c r="CS211">
        <f ca="1"/>
      </c>
      <c r="CT211">
        <f ca="1"/>
      </c>
      <c r="CU211">
        <f ca="1"/>
      </c>
      <c r="CV211">
        <f ca="1"/>
      </c>
      <c r="CW211">
        <f ca="1"/>
      </c>
      <c r="CX211">
        <f ca="1"/>
      </c>
      <c r="CY211">
        <f ca="1"/>
      </c>
      <c r="CZ211">
        <f ca="1"/>
      </c>
      <c r="DA211">
        <f ca="1"/>
      </c>
      <c r="DB211">
        <f ca="1"/>
      </c>
      <c r="DC211">
        <f ca="1"/>
      </c>
      <c r="DD211">
        <f ca="1"/>
      </c>
      <c r="DE211">
        <f ca="1"/>
      </c>
      <c r="DG211">
        <f ca="1"/>
      </c>
      <c r="DH211">
        <f ca="1"/>
      </c>
      <c r="DI211">
        <f ca="1"/>
      </c>
      <c r="DJ211">
        <f ca="1"/>
      </c>
      <c r="DK211">
        <f ca="1"/>
      </c>
      <c r="DL211">
        <f ca="1"/>
      </c>
      <c r="DM211">
        <f ca="1"/>
      </c>
      <c r="DN211">
        <f ca="1"/>
      </c>
      <c r="DO211">
        <f ca="1"/>
      </c>
      <c r="DP211">
        <f ca="1"/>
      </c>
      <c r="DQ211">
        <f ca="1"/>
      </c>
      <c r="DR211">
        <f ca="1"/>
      </c>
      <c r="DS211">
        <f ca="1"/>
      </c>
      <c r="DT211">
        <f ca="1"/>
      </c>
      <c r="DU211">
        <f ca="1"/>
      </c>
      <c r="DV211">
        <f ca="1"/>
      </c>
      <c r="DW211">
        <f ca="1"/>
      </c>
      <c r="DX211">
        <f ca="1"/>
      </c>
      <c r="DY211">
        <f ca="1"/>
      </c>
      <c r="DZ211">
        <f ca="1"/>
      </c>
      <c r="EA211">
        <f ca="1"/>
      </c>
      <c r="EB211">
        <f ca="1"/>
      </c>
      <c r="EC211">
        <f ca="1"/>
      </c>
      <c r="ED211">
        <f ca="1"/>
      </c>
      <c r="EE211">
        <f ca="1"/>
      </c>
      <c r="EF211">
        <f ca="1"/>
      </c>
      <c r="EG211">
        <f ca="1"/>
      </c>
      <c r="EH211">
        <f ca="1"/>
      </c>
      <c r="EI211">
        <f ca="1"/>
      </c>
      <c r="EJ211">
        <f ca="1"/>
      </c>
      <c r="EK211">
        <f ca="1"/>
      </c>
      <c r="EL211">
        <f ca="1"/>
      </c>
      <c r="EM211">
        <f ca="1"/>
      </c>
      <c r="EN211">
        <f ca="1"/>
      </c>
      <c r="EO211">
        <f ca="1"/>
      </c>
      <c r="EP211">
        <f ca="1"/>
      </c>
      <c r="EQ211">
        <f ca="1"/>
      </c>
      <c r="ER211">
        <f ca="1"/>
      </c>
      <c r="ES211">
        <f ca="1"/>
      </c>
      <c r="ET211">
        <f ca="1"/>
      </c>
      <c r="EU211">
        <f ca="1"/>
      </c>
      <c r="EV211">
        <f ca="1"/>
      </c>
      <c r="EW211">
        <f ca="1"/>
      </c>
      <c r="EX211">
        <f ca="1"/>
      </c>
      <c r="EY211">
        <f ca="1"/>
      </c>
      <c r="EZ211">
        <f ca="1"/>
      </c>
      <c r="FA211">
        <f ca="1"/>
      </c>
      <c r="FC211">
        <f ca="1"/>
      </c>
      <c r="FD211">
        <f ca="1"/>
      </c>
      <c r="FE211">
        <f ca="1"/>
      </c>
      <c r="FF211">
        <f ca="1"/>
      </c>
      <c r="FG211">
        <f ca="1"/>
      </c>
      <c r="FH211">
        <f ca="1"/>
      </c>
      <c r="FI211">
        <f ca="1"/>
      </c>
      <c r="FJ211">
        <f ca="1"/>
      </c>
      <c r="FK211">
        <f ca="1"/>
      </c>
      <c r="FL211">
        <f ca="1"/>
      </c>
      <c r="FM211">
        <f ca="1"/>
      </c>
      <c r="FN211">
        <f ca="1"/>
      </c>
      <c r="FO211">
        <f ca="1"/>
      </c>
      <c r="FP211">
        <f ca="1"/>
      </c>
      <c r="FQ211">
        <f ca="1"/>
      </c>
      <c r="FR211">
        <f ca="1"/>
      </c>
      <c r="FS211">
        <f ca="1"/>
      </c>
      <c r="FT211">
        <f ca="1"/>
      </c>
      <c r="FU211">
        <f ca="1"/>
      </c>
      <c r="FV211">
        <f ca="1"/>
      </c>
      <c r="FW211">
        <f ca="1"/>
      </c>
      <c r="FX211">
        <f ca="1"/>
      </c>
      <c r="FY211">
        <f ca="1"/>
      </c>
      <c r="FZ211">
        <f ca="1"/>
      </c>
      <c r="GA211">
        <f ca="1"/>
      </c>
      <c r="GB211">
        <f ca="1"/>
      </c>
      <c r="GC211">
        <f ca="1"/>
      </c>
      <c r="GD211">
        <f ca="1"/>
      </c>
      <c r="GE211">
        <f ca="1"/>
      </c>
      <c r="GF211">
        <f ca="1"/>
      </c>
      <c r="GG211">
        <f ca="1"/>
      </c>
      <c r="GH211">
        <f ca="1"/>
      </c>
      <c r="GI211">
        <f ca="1"/>
      </c>
      <c r="GJ211">
        <f ca="1"/>
      </c>
      <c r="GK211">
        <f ca="1"/>
      </c>
      <c r="GL211">
        <f ca="1"/>
      </c>
      <c r="GM211">
        <f ca="1"/>
      </c>
      <c r="GN211">
        <f ca="1"/>
      </c>
      <c r="GO211">
        <f ca="1"/>
      </c>
      <c r="GP211">
        <f ca="1"/>
      </c>
      <c r="GQ211">
        <f ca="1"/>
      </c>
      <c r="GR211">
        <f ca="1"/>
      </c>
      <c r="GS211">
        <f ca="1"/>
      </c>
      <c r="GT211">
        <f ca="1"/>
      </c>
      <c r="GU211">
        <f ca="1"/>
      </c>
      <c r="GV211">
        <f ca="1"/>
      </c>
      <c r="GW211">
        <f ca="1"/>
      </c>
      <c r="HI211" s="7">
        <f ca="1"/>
      </c>
      <c r="HJ211">
        <f ca="1"/>
      </c>
      <c r="HK211">
        <f ca="1"/>
      </c>
      <c r="HL211">
        <f ca="1"/>
      </c>
      <c r="HM211">
        <f ca="1"/>
      </c>
    </row>
    <row r="212" spans="63:221" x14ac:dyDescent="0.55000000000000004">
      <c r="BK212">
        <f ca="1"/>
      </c>
      <c r="BL212">
        <f ca="1"/>
      </c>
      <c r="BM212">
        <f ca="1"/>
      </c>
      <c r="BN212">
        <f ca="1"/>
      </c>
      <c r="BO212">
        <f ca="1"/>
      </c>
      <c r="BP212">
        <f ca="1"/>
      </c>
      <c r="BQ212">
        <f ca="1"/>
      </c>
      <c r="BR212">
        <f ca="1"/>
      </c>
      <c r="BS212">
        <f ca="1"/>
      </c>
      <c r="BT212">
        <f ca="1"/>
      </c>
      <c r="BU212">
        <f ca="1"/>
      </c>
      <c r="BV212">
        <f ca="1"/>
      </c>
      <c r="BW212">
        <f ca="1"/>
      </c>
      <c r="BX212">
        <f ca="1"/>
      </c>
      <c r="BY212">
        <f ca="1"/>
      </c>
      <c r="BZ212">
        <f ca="1"/>
      </c>
      <c r="CA212">
        <f ca="1"/>
      </c>
      <c r="CB212">
        <f ca="1"/>
      </c>
      <c r="CC212">
        <f ca="1"/>
      </c>
      <c r="CD212">
        <f ca="1"/>
      </c>
      <c r="CE212">
        <f ca="1"/>
      </c>
      <c r="CF212">
        <f ca="1"/>
      </c>
      <c r="CG212">
        <f ca="1"/>
      </c>
      <c r="CH212">
        <f ca="1"/>
      </c>
      <c r="CI212">
        <f ca="1"/>
      </c>
      <c r="CJ212">
        <f ca="1"/>
      </c>
      <c r="CK212">
        <f ca="1"/>
      </c>
      <c r="CL212">
        <f ca="1"/>
      </c>
      <c r="CM212">
        <f ca="1"/>
      </c>
      <c r="CN212">
        <f ca="1"/>
      </c>
      <c r="CO212">
        <f ca="1"/>
      </c>
      <c r="CP212">
        <f ca="1"/>
      </c>
      <c r="CQ212">
        <f ca="1"/>
      </c>
      <c r="CR212">
        <f ca="1"/>
      </c>
      <c r="CS212">
        <f ca="1"/>
      </c>
      <c r="CT212">
        <f ca="1"/>
      </c>
      <c r="CU212">
        <f ca="1"/>
      </c>
      <c r="CV212">
        <f ca="1"/>
      </c>
      <c r="CW212">
        <f ca="1"/>
      </c>
      <c r="CX212">
        <f ca="1"/>
      </c>
      <c r="CY212">
        <f ca="1"/>
      </c>
      <c r="CZ212">
        <f ca="1"/>
      </c>
      <c r="DA212">
        <f ca="1"/>
      </c>
      <c r="DB212">
        <f ca="1"/>
      </c>
      <c r="DC212">
        <f ca="1"/>
      </c>
      <c r="DD212">
        <f ca="1"/>
      </c>
      <c r="DE212">
        <f ca="1"/>
      </c>
      <c r="DG212">
        <f ca="1"/>
      </c>
      <c r="DH212">
        <f ca="1"/>
      </c>
      <c r="DI212">
        <f ca="1"/>
      </c>
      <c r="DJ212">
        <f ca="1"/>
      </c>
      <c r="DK212">
        <f ca="1"/>
      </c>
      <c r="DL212">
        <f ca="1"/>
      </c>
      <c r="DM212">
        <f ca="1"/>
      </c>
      <c r="DN212">
        <f ca="1"/>
      </c>
      <c r="DO212">
        <f ca="1"/>
      </c>
      <c r="DP212">
        <f ca="1"/>
      </c>
      <c r="DQ212">
        <f ca="1"/>
      </c>
      <c r="DR212">
        <f ca="1"/>
      </c>
      <c r="DS212">
        <f ca="1"/>
      </c>
      <c r="DT212">
        <f ca="1"/>
      </c>
      <c r="DU212">
        <f ca="1"/>
      </c>
      <c r="DV212">
        <f ca="1"/>
      </c>
      <c r="DW212">
        <f ca="1"/>
      </c>
      <c r="DX212">
        <f ca="1"/>
      </c>
      <c r="DY212">
        <f ca="1"/>
      </c>
      <c r="DZ212">
        <f ca="1"/>
      </c>
      <c r="EA212">
        <f ca="1"/>
      </c>
      <c r="EB212">
        <f ca="1"/>
      </c>
      <c r="EC212">
        <f ca="1"/>
      </c>
      <c r="ED212">
        <f ca="1"/>
      </c>
      <c r="EE212">
        <f ca="1"/>
      </c>
      <c r="EF212">
        <f ca="1"/>
      </c>
      <c r="EG212">
        <f ca="1"/>
      </c>
      <c r="EH212">
        <f ca="1"/>
      </c>
      <c r="EI212">
        <f ca="1"/>
      </c>
      <c r="EJ212">
        <f ca="1"/>
      </c>
      <c r="EK212">
        <f ca="1"/>
      </c>
      <c r="EL212">
        <f ca="1"/>
      </c>
      <c r="EM212">
        <f ca="1"/>
      </c>
      <c r="EN212">
        <f ca="1"/>
      </c>
      <c r="EO212">
        <f ca="1"/>
      </c>
      <c r="EP212">
        <f ca="1"/>
      </c>
      <c r="EQ212">
        <f ca="1"/>
      </c>
      <c r="ER212">
        <f ca="1"/>
      </c>
      <c r="ES212">
        <f ca="1"/>
      </c>
      <c r="ET212">
        <f ca="1"/>
      </c>
      <c r="EU212">
        <f ca="1"/>
      </c>
      <c r="EV212">
        <f ca="1"/>
      </c>
      <c r="EW212">
        <f ca="1"/>
      </c>
      <c r="EX212">
        <f ca="1"/>
      </c>
      <c r="EY212">
        <f ca="1"/>
      </c>
      <c r="EZ212">
        <f ca="1"/>
      </c>
      <c r="FA212">
        <f ca="1"/>
      </c>
      <c r="FC212">
        <f ca="1"/>
      </c>
      <c r="FD212">
        <f ca="1"/>
      </c>
      <c r="FE212">
        <f ca="1"/>
      </c>
      <c r="FF212">
        <f ca="1"/>
      </c>
      <c r="FG212">
        <f ca="1"/>
      </c>
      <c r="FH212">
        <f ca="1"/>
      </c>
      <c r="FI212">
        <f ca="1"/>
      </c>
      <c r="FJ212">
        <f ca="1"/>
      </c>
      <c r="FK212">
        <f ca="1"/>
      </c>
      <c r="FL212">
        <f ca="1"/>
      </c>
      <c r="FM212">
        <f ca="1"/>
      </c>
      <c r="FN212">
        <f ca="1"/>
      </c>
      <c r="FO212">
        <f ca="1"/>
      </c>
      <c r="FP212">
        <f ca="1"/>
      </c>
      <c r="FQ212">
        <f ca="1"/>
      </c>
      <c r="FR212">
        <f ca="1"/>
      </c>
      <c r="FS212">
        <f ca="1"/>
      </c>
      <c r="FT212">
        <f ca="1"/>
      </c>
      <c r="FU212">
        <f ca="1"/>
      </c>
      <c r="FV212">
        <f ca="1"/>
      </c>
      <c r="FW212">
        <f ca="1"/>
      </c>
      <c r="FX212">
        <f ca="1"/>
      </c>
      <c r="FY212">
        <f ca="1"/>
      </c>
      <c r="FZ212">
        <f ca="1"/>
      </c>
      <c r="GA212">
        <f ca="1"/>
      </c>
      <c r="GB212">
        <f ca="1"/>
      </c>
      <c r="GC212">
        <f ca="1"/>
      </c>
      <c r="GD212">
        <f ca="1"/>
      </c>
      <c r="GE212">
        <f ca="1"/>
      </c>
      <c r="GF212">
        <f ca="1"/>
      </c>
      <c r="GG212">
        <f ca="1"/>
      </c>
      <c r="GH212">
        <f ca="1"/>
      </c>
      <c r="GI212">
        <f ca="1"/>
      </c>
      <c r="GJ212">
        <f ca="1"/>
      </c>
      <c r="GK212">
        <f ca="1"/>
      </c>
      <c r="GL212">
        <f ca="1"/>
      </c>
      <c r="GM212">
        <f ca="1"/>
      </c>
      <c r="GN212">
        <f ca="1"/>
      </c>
      <c r="GO212">
        <f ca="1"/>
      </c>
      <c r="GP212">
        <f ca="1"/>
      </c>
      <c r="GQ212">
        <f ca="1"/>
      </c>
      <c r="GR212">
        <f ca="1"/>
      </c>
      <c r="GS212">
        <f ca="1"/>
      </c>
      <c r="GT212">
        <f ca="1"/>
      </c>
      <c r="GU212">
        <f ca="1"/>
      </c>
      <c r="GV212">
        <f ca="1"/>
      </c>
      <c r="GW212">
        <f ca="1"/>
      </c>
      <c r="HI212" s="7">
        <f ca="1"/>
      </c>
      <c r="HJ212">
        <f ca="1"/>
      </c>
      <c r="HK212">
        <f ca="1"/>
      </c>
      <c r="HL212">
        <f ca="1"/>
      </c>
      <c r="HM212">
        <f ca="1"/>
      </c>
    </row>
    <row r="213" spans="63:221" x14ac:dyDescent="0.55000000000000004">
      <c r="BK213">
        <f ca="1"/>
      </c>
      <c r="BL213">
        <f ca="1"/>
      </c>
      <c r="BM213">
        <f ca="1"/>
      </c>
      <c r="BN213">
        <f ca="1"/>
      </c>
      <c r="BO213">
        <f ca="1"/>
      </c>
      <c r="BP213">
        <f ca="1"/>
      </c>
      <c r="BQ213">
        <f ca="1"/>
      </c>
      <c r="BR213">
        <f ca="1"/>
      </c>
      <c r="BS213">
        <f ca="1"/>
      </c>
      <c r="BT213">
        <f ca="1"/>
      </c>
      <c r="BU213">
        <f ca="1"/>
      </c>
      <c r="BV213">
        <f ca="1"/>
      </c>
      <c r="BW213">
        <f ca="1"/>
      </c>
      <c r="BX213">
        <f ca="1"/>
      </c>
      <c r="BY213">
        <f ca="1"/>
      </c>
      <c r="BZ213">
        <f ca="1"/>
      </c>
      <c r="CA213">
        <f ca="1"/>
      </c>
      <c r="CB213">
        <f ca="1"/>
      </c>
      <c r="CC213">
        <f ca="1"/>
      </c>
      <c r="CD213">
        <f ca="1"/>
      </c>
      <c r="CE213">
        <f ca="1"/>
      </c>
      <c r="CF213">
        <f ca="1"/>
      </c>
      <c r="CG213">
        <f ca="1"/>
      </c>
      <c r="CH213">
        <f ca="1"/>
      </c>
      <c r="CI213">
        <f ca="1"/>
      </c>
      <c r="CJ213">
        <f ca="1"/>
      </c>
      <c r="CK213">
        <f ca="1"/>
      </c>
      <c r="CL213">
        <f ca="1"/>
      </c>
      <c r="CM213">
        <f ca="1"/>
      </c>
      <c r="CN213">
        <f ca="1"/>
      </c>
      <c r="CO213">
        <f ca="1"/>
      </c>
      <c r="CP213">
        <f ca="1"/>
      </c>
      <c r="CQ213">
        <f ca="1"/>
      </c>
      <c r="CR213">
        <f ca="1"/>
      </c>
      <c r="CS213">
        <f ca="1"/>
      </c>
      <c r="CT213">
        <f ca="1"/>
      </c>
      <c r="CU213">
        <f ca="1"/>
      </c>
      <c r="CV213">
        <f ca="1"/>
      </c>
      <c r="CW213">
        <f ca="1"/>
      </c>
      <c r="CX213">
        <f ca="1"/>
      </c>
      <c r="CY213">
        <f ca="1"/>
      </c>
      <c r="CZ213">
        <f ca="1"/>
      </c>
      <c r="DA213">
        <f ca="1"/>
      </c>
      <c r="DB213">
        <f ca="1"/>
      </c>
      <c r="DC213">
        <f ca="1"/>
      </c>
      <c r="DD213">
        <f ca="1"/>
      </c>
      <c r="DE213">
        <f ca="1"/>
      </c>
      <c r="DG213">
        <f ca="1"/>
      </c>
      <c r="DH213">
        <f ca="1"/>
      </c>
      <c r="DI213">
        <f ca="1"/>
      </c>
      <c r="DJ213">
        <f ca="1"/>
      </c>
      <c r="DK213">
        <f ca="1"/>
      </c>
      <c r="DL213">
        <f ca="1"/>
      </c>
      <c r="DM213">
        <f ca="1"/>
      </c>
      <c r="DN213">
        <f ca="1"/>
      </c>
      <c r="DO213">
        <f ca="1"/>
      </c>
      <c r="DP213">
        <f ca="1"/>
      </c>
      <c r="DQ213">
        <f ca="1"/>
      </c>
      <c r="DR213">
        <f ca="1"/>
      </c>
      <c r="DS213">
        <f ca="1"/>
      </c>
      <c r="DT213">
        <f ca="1"/>
      </c>
      <c r="DU213">
        <f ca="1"/>
      </c>
      <c r="DV213">
        <f ca="1"/>
      </c>
      <c r="DW213">
        <f ca="1"/>
      </c>
      <c r="DX213">
        <f ca="1"/>
      </c>
      <c r="DY213">
        <f ca="1"/>
      </c>
      <c r="DZ213">
        <f ca="1"/>
      </c>
      <c r="EA213">
        <f ca="1"/>
      </c>
      <c r="EB213">
        <f ca="1"/>
      </c>
      <c r="EC213">
        <f ca="1"/>
      </c>
      <c r="ED213">
        <f ca="1"/>
      </c>
      <c r="EE213">
        <f ca="1"/>
      </c>
      <c r="EF213">
        <f ca="1"/>
      </c>
      <c r="EG213">
        <f ca="1"/>
      </c>
      <c r="EH213">
        <f ca="1"/>
      </c>
      <c r="EI213">
        <f ca="1"/>
      </c>
      <c r="EJ213">
        <f ca="1"/>
      </c>
      <c r="EK213">
        <f ca="1"/>
      </c>
      <c r="EL213">
        <f ca="1"/>
      </c>
      <c r="EM213">
        <f ca="1"/>
      </c>
      <c r="EN213">
        <f ca="1"/>
      </c>
      <c r="EO213">
        <f ca="1"/>
      </c>
      <c r="EP213">
        <f ca="1"/>
      </c>
      <c r="EQ213">
        <f ca="1"/>
      </c>
      <c r="ER213">
        <f ca="1"/>
      </c>
      <c r="ES213">
        <f ca="1"/>
      </c>
      <c r="ET213">
        <f ca="1"/>
      </c>
      <c r="EU213">
        <f ca="1"/>
      </c>
      <c r="EV213">
        <f ca="1"/>
      </c>
      <c r="EW213">
        <f ca="1"/>
      </c>
      <c r="EX213">
        <f ca="1"/>
      </c>
      <c r="EY213">
        <f ca="1"/>
      </c>
      <c r="EZ213">
        <f ca="1"/>
      </c>
      <c r="FA213">
        <f ca="1"/>
      </c>
      <c r="FC213">
        <f ca="1"/>
      </c>
      <c r="FD213">
        <f ca="1"/>
      </c>
      <c r="FE213">
        <f ca="1"/>
      </c>
      <c r="FF213">
        <f ca="1"/>
      </c>
      <c r="FG213">
        <f ca="1"/>
      </c>
      <c r="FH213">
        <f ca="1"/>
      </c>
      <c r="FI213">
        <f ca="1"/>
      </c>
      <c r="FJ213">
        <f ca="1"/>
      </c>
      <c r="FK213">
        <f ca="1"/>
      </c>
      <c r="FL213">
        <f ca="1"/>
      </c>
      <c r="FM213">
        <f ca="1"/>
      </c>
      <c r="FN213">
        <f ca="1"/>
      </c>
      <c r="FO213">
        <f ca="1"/>
      </c>
      <c r="FP213">
        <f ca="1"/>
      </c>
      <c r="FQ213">
        <f ca="1"/>
      </c>
      <c r="FR213">
        <f ca="1"/>
      </c>
      <c r="FS213">
        <f ca="1"/>
      </c>
      <c r="FT213">
        <f ca="1"/>
      </c>
      <c r="FU213">
        <f ca="1"/>
      </c>
      <c r="FV213">
        <f ca="1"/>
      </c>
      <c r="FW213">
        <f ca="1"/>
      </c>
      <c r="FX213">
        <f ca="1"/>
      </c>
      <c r="FY213">
        <f ca="1"/>
      </c>
      <c r="FZ213">
        <f ca="1"/>
      </c>
      <c r="GA213">
        <f ca="1"/>
      </c>
      <c r="GB213">
        <f ca="1"/>
      </c>
      <c r="GC213">
        <f ca="1"/>
      </c>
      <c r="GD213">
        <f ca="1"/>
      </c>
      <c r="GE213">
        <f ca="1"/>
      </c>
      <c r="GF213">
        <f ca="1"/>
      </c>
      <c r="GG213">
        <f ca="1"/>
      </c>
      <c r="GH213">
        <f ca="1"/>
      </c>
      <c r="GI213">
        <f ca="1"/>
      </c>
      <c r="GJ213">
        <f ca="1"/>
      </c>
      <c r="GK213">
        <f ca="1"/>
      </c>
      <c r="GL213">
        <f ca="1"/>
      </c>
      <c r="GM213">
        <f ca="1"/>
      </c>
      <c r="GN213">
        <f ca="1"/>
      </c>
      <c r="GO213">
        <f ca="1"/>
      </c>
      <c r="GP213">
        <f ca="1"/>
      </c>
      <c r="GQ213">
        <f ca="1"/>
      </c>
      <c r="GR213">
        <f ca="1"/>
      </c>
      <c r="GS213">
        <f ca="1"/>
      </c>
      <c r="GT213">
        <f ca="1"/>
      </c>
      <c r="GU213">
        <f ca="1"/>
      </c>
      <c r="GV213">
        <f ca="1"/>
      </c>
      <c r="GW213">
        <f ca="1"/>
      </c>
      <c r="HI213" s="7">
        <f ca="1"/>
      </c>
      <c r="HJ213">
        <f ca="1"/>
      </c>
      <c r="HK213">
        <f ca="1"/>
      </c>
      <c r="HL213">
        <f ca="1"/>
      </c>
      <c r="HM213">
        <f ca="1"/>
      </c>
    </row>
    <row r="214" spans="63:221" x14ac:dyDescent="0.55000000000000004">
      <c r="BK214">
        <f ca="1"/>
      </c>
      <c r="BL214">
        <f ca="1"/>
      </c>
      <c r="BM214">
        <f ca="1"/>
      </c>
      <c r="BN214">
        <f ca="1"/>
      </c>
      <c r="BO214">
        <f ca="1"/>
      </c>
      <c r="BP214">
        <f ca="1"/>
      </c>
      <c r="BQ214">
        <f ca="1"/>
      </c>
      <c r="BR214">
        <f ca="1"/>
      </c>
      <c r="BS214">
        <f ca="1"/>
      </c>
      <c r="BT214">
        <f ca="1"/>
      </c>
      <c r="BU214">
        <f ca="1"/>
      </c>
      <c r="BV214">
        <f ca="1"/>
      </c>
      <c r="BW214">
        <f ca="1"/>
      </c>
      <c r="BX214">
        <f ca="1"/>
      </c>
      <c r="BY214">
        <f ca="1"/>
      </c>
      <c r="BZ214">
        <f ca="1"/>
      </c>
      <c r="CA214">
        <f ca="1"/>
      </c>
      <c r="CB214">
        <f ca="1"/>
      </c>
      <c r="CC214">
        <f ca="1"/>
      </c>
      <c r="CD214">
        <f ca="1"/>
      </c>
      <c r="CE214">
        <f ca="1"/>
      </c>
      <c r="CF214">
        <f ca="1"/>
      </c>
      <c r="CG214">
        <f ca="1"/>
      </c>
      <c r="CH214">
        <f ca="1"/>
      </c>
      <c r="CI214">
        <f ca="1"/>
      </c>
      <c r="CJ214">
        <f ca="1"/>
      </c>
      <c r="CK214">
        <f ca="1"/>
      </c>
      <c r="CL214">
        <f ca="1"/>
      </c>
      <c r="CM214">
        <f ca="1"/>
      </c>
      <c r="CN214">
        <f ca="1"/>
      </c>
      <c r="CO214">
        <f ca="1"/>
      </c>
      <c r="CP214">
        <f ca="1"/>
      </c>
      <c r="CQ214">
        <f ca="1"/>
      </c>
      <c r="CR214">
        <f ca="1"/>
      </c>
      <c r="CS214">
        <f ca="1"/>
      </c>
      <c r="CT214">
        <f ca="1"/>
      </c>
      <c r="CU214">
        <f ca="1"/>
      </c>
      <c r="CV214">
        <f ca="1"/>
      </c>
      <c r="CW214">
        <f ca="1"/>
      </c>
      <c r="CX214">
        <f ca="1"/>
      </c>
      <c r="CY214">
        <f ca="1"/>
      </c>
      <c r="CZ214">
        <f ca="1"/>
      </c>
      <c r="DA214">
        <f ca="1"/>
      </c>
      <c r="DB214">
        <f ca="1"/>
      </c>
      <c r="DC214">
        <f ca="1"/>
      </c>
      <c r="DD214">
        <f ca="1"/>
      </c>
      <c r="DE214">
        <f ca="1"/>
      </c>
      <c r="DG214">
        <f ca="1"/>
      </c>
      <c r="DH214">
        <f ca="1"/>
      </c>
      <c r="DI214">
        <f ca="1"/>
      </c>
      <c r="DJ214">
        <f ca="1"/>
      </c>
      <c r="DK214">
        <f ca="1"/>
      </c>
      <c r="DL214">
        <f ca="1"/>
      </c>
      <c r="DM214">
        <f ca="1"/>
      </c>
      <c r="DN214">
        <f ca="1"/>
      </c>
      <c r="DO214">
        <f ca="1"/>
      </c>
      <c r="DP214">
        <f ca="1"/>
      </c>
      <c r="DQ214">
        <f ca="1"/>
      </c>
      <c r="DR214">
        <f ca="1"/>
      </c>
      <c r="DS214">
        <f ca="1"/>
      </c>
      <c r="DT214">
        <f ca="1"/>
      </c>
      <c r="DU214">
        <f ca="1"/>
      </c>
      <c r="DV214">
        <f ca="1"/>
      </c>
      <c r="DW214">
        <f ca="1"/>
      </c>
      <c r="DX214">
        <f ca="1"/>
      </c>
      <c r="DY214">
        <f ca="1"/>
      </c>
      <c r="DZ214">
        <f ca="1"/>
      </c>
      <c r="EA214">
        <f ca="1"/>
      </c>
      <c r="EB214">
        <f ca="1"/>
      </c>
      <c r="EC214">
        <f ca="1"/>
      </c>
      <c r="ED214">
        <f ca="1"/>
      </c>
      <c r="EE214">
        <f ca="1"/>
      </c>
      <c r="EF214">
        <f ca="1"/>
      </c>
      <c r="EG214">
        <f ca="1"/>
      </c>
      <c r="EH214">
        <f ca="1"/>
      </c>
      <c r="EI214">
        <f ca="1"/>
      </c>
      <c r="EJ214">
        <f ca="1"/>
      </c>
      <c r="EK214">
        <f ca="1"/>
      </c>
      <c r="EL214">
        <f ca="1"/>
      </c>
      <c r="EM214">
        <f ca="1"/>
      </c>
      <c r="EN214">
        <f ca="1"/>
      </c>
      <c r="EO214">
        <f ca="1"/>
      </c>
      <c r="EP214">
        <f ca="1"/>
      </c>
      <c r="EQ214">
        <f ca="1"/>
      </c>
      <c r="ER214">
        <f ca="1"/>
      </c>
      <c r="ES214">
        <f ca="1"/>
      </c>
      <c r="ET214">
        <f ca="1"/>
      </c>
      <c r="EU214">
        <f ca="1"/>
      </c>
      <c r="EV214">
        <f ca="1"/>
      </c>
      <c r="EW214">
        <f ca="1"/>
      </c>
      <c r="EX214">
        <f ca="1"/>
      </c>
      <c r="EY214">
        <f ca="1"/>
      </c>
      <c r="EZ214">
        <f ca="1"/>
      </c>
      <c r="FA214">
        <f ca="1"/>
      </c>
      <c r="FC214">
        <f ca="1"/>
      </c>
      <c r="FD214">
        <f ca="1"/>
      </c>
      <c r="FE214">
        <f ca="1"/>
      </c>
      <c r="FF214">
        <f ca="1"/>
      </c>
      <c r="FG214">
        <f ca="1"/>
      </c>
      <c r="FH214">
        <f ca="1"/>
      </c>
      <c r="FI214">
        <f ca="1"/>
      </c>
      <c r="FJ214">
        <f ca="1"/>
      </c>
      <c r="FK214">
        <f ca="1"/>
      </c>
      <c r="FL214">
        <f ca="1"/>
      </c>
      <c r="FM214">
        <f ca="1"/>
      </c>
      <c r="FN214">
        <f ca="1"/>
      </c>
      <c r="FO214">
        <f ca="1"/>
      </c>
      <c r="FP214">
        <f ca="1"/>
      </c>
      <c r="FQ214">
        <f ca="1"/>
      </c>
      <c r="FR214">
        <f ca="1"/>
      </c>
      <c r="FS214">
        <f ca="1"/>
      </c>
      <c r="FT214">
        <f ca="1"/>
      </c>
      <c r="FU214">
        <f ca="1"/>
      </c>
      <c r="FV214">
        <f ca="1"/>
      </c>
      <c r="FW214">
        <f ca="1"/>
      </c>
      <c r="FX214">
        <f ca="1"/>
      </c>
      <c r="FY214">
        <f ca="1"/>
      </c>
      <c r="FZ214">
        <f ca="1"/>
      </c>
      <c r="GA214">
        <f ca="1"/>
      </c>
      <c r="GB214">
        <f ca="1"/>
      </c>
      <c r="GC214">
        <f ca="1"/>
      </c>
      <c r="GD214">
        <f ca="1"/>
      </c>
      <c r="GE214">
        <f ca="1"/>
      </c>
      <c r="GF214">
        <f ca="1"/>
      </c>
      <c r="GG214">
        <f ca="1"/>
      </c>
      <c r="GH214">
        <f ca="1"/>
      </c>
      <c r="GI214">
        <f ca="1"/>
      </c>
      <c r="GJ214">
        <f ca="1"/>
      </c>
      <c r="GK214">
        <f ca="1"/>
      </c>
      <c r="GL214">
        <f ca="1"/>
      </c>
      <c r="GM214">
        <f ca="1"/>
      </c>
      <c r="GN214">
        <f ca="1"/>
      </c>
      <c r="GO214">
        <f ca="1"/>
      </c>
      <c r="GP214">
        <f ca="1"/>
      </c>
      <c r="GQ214">
        <f ca="1"/>
      </c>
      <c r="GR214">
        <f ca="1"/>
      </c>
      <c r="GS214">
        <f ca="1"/>
      </c>
      <c r="GT214">
        <f ca="1"/>
      </c>
      <c r="GU214">
        <f ca="1"/>
      </c>
      <c r="GV214">
        <f ca="1"/>
      </c>
      <c r="GW214">
        <f ca="1"/>
      </c>
      <c r="HI214" s="7">
        <f ca="1"/>
      </c>
      <c r="HJ214">
        <f ca="1"/>
      </c>
      <c r="HK214">
        <f ca="1"/>
      </c>
      <c r="HL214">
        <f ca="1"/>
      </c>
      <c r="HM214">
        <f ca="1"/>
      </c>
    </row>
    <row r="215" spans="63:221" x14ac:dyDescent="0.55000000000000004">
      <c r="BK215">
        <f ca="1"/>
      </c>
      <c r="BL215">
        <f ca="1"/>
      </c>
      <c r="BM215">
        <f ca="1"/>
      </c>
      <c r="BN215">
        <f ca="1"/>
      </c>
      <c r="BO215">
        <f ca="1"/>
      </c>
      <c r="BP215">
        <f ca="1"/>
      </c>
      <c r="BQ215">
        <f ca="1"/>
      </c>
      <c r="BR215">
        <f ca="1"/>
      </c>
      <c r="BS215">
        <f ca="1"/>
      </c>
      <c r="BT215">
        <f ca="1"/>
      </c>
      <c r="BU215">
        <f ca="1"/>
      </c>
      <c r="BV215">
        <f ca="1"/>
      </c>
      <c r="BW215">
        <f ca="1"/>
      </c>
      <c r="BX215">
        <f ca="1"/>
      </c>
      <c r="BY215">
        <f ca="1"/>
      </c>
      <c r="BZ215">
        <f ca="1"/>
      </c>
      <c r="CA215">
        <f ca="1"/>
      </c>
      <c r="CB215">
        <f ca="1"/>
      </c>
      <c r="CC215">
        <f ca="1"/>
      </c>
      <c r="CD215">
        <f ca="1"/>
      </c>
      <c r="CE215">
        <f ca="1"/>
      </c>
      <c r="CF215">
        <f ca="1"/>
      </c>
      <c r="CG215">
        <f ca="1"/>
      </c>
      <c r="CH215">
        <f ca="1"/>
      </c>
      <c r="CI215">
        <f ca="1"/>
      </c>
      <c r="CJ215">
        <f ca="1"/>
      </c>
      <c r="CK215">
        <f ca="1"/>
      </c>
      <c r="CL215">
        <f ca="1"/>
      </c>
      <c r="CM215">
        <f ca="1"/>
      </c>
      <c r="CN215">
        <f ca="1"/>
      </c>
      <c r="CO215">
        <f ca="1"/>
      </c>
      <c r="CP215">
        <f ca="1"/>
      </c>
      <c r="CQ215">
        <f ca="1"/>
      </c>
      <c r="CR215">
        <f ca="1"/>
      </c>
      <c r="CS215">
        <f ca="1"/>
      </c>
      <c r="CT215">
        <f ca="1"/>
      </c>
      <c r="CU215">
        <f ca="1"/>
      </c>
      <c r="CV215">
        <f ca="1"/>
      </c>
      <c r="CW215">
        <f ca="1"/>
      </c>
      <c r="CX215">
        <f ca="1"/>
      </c>
      <c r="CY215">
        <f ca="1"/>
      </c>
      <c r="CZ215">
        <f ca="1"/>
      </c>
      <c r="DA215">
        <f ca="1"/>
      </c>
      <c r="DB215">
        <f ca="1"/>
      </c>
      <c r="DC215">
        <f ca="1"/>
      </c>
      <c r="DD215">
        <f ca="1"/>
      </c>
      <c r="DE215">
        <f ca="1"/>
      </c>
      <c r="DG215">
        <f ca="1"/>
      </c>
      <c r="DH215">
        <f ca="1"/>
      </c>
      <c r="DI215">
        <f ca="1"/>
      </c>
      <c r="DJ215">
        <f ca="1"/>
      </c>
      <c r="DK215">
        <f ca="1"/>
      </c>
      <c r="DL215">
        <f ca="1"/>
      </c>
      <c r="DM215">
        <f ca="1"/>
      </c>
      <c r="DN215">
        <f ca="1"/>
      </c>
      <c r="DO215">
        <f ca="1"/>
      </c>
      <c r="DP215">
        <f ca="1"/>
      </c>
      <c r="DQ215">
        <f ca="1"/>
      </c>
      <c r="DR215">
        <f ca="1"/>
      </c>
      <c r="DS215">
        <f ca="1"/>
      </c>
      <c r="DT215">
        <f ca="1"/>
      </c>
      <c r="DU215">
        <f ca="1"/>
      </c>
      <c r="DV215">
        <f ca="1"/>
      </c>
      <c r="DW215">
        <f ca="1"/>
      </c>
      <c r="DX215">
        <f ca="1"/>
      </c>
      <c r="DY215">
        <f ca="1"/>
      </c>
      <c r="DZ215">
        <f ca="1"/>
      </c>
      <c r="EA215">
        <f ca="1"/>
      </c>
      <c r="EB215">
        <f ca="1"/>
      </c>
      <c r="EC215">
        <f ca="1"/>
      </c>
      <c r="ED215">
        <f ca="1"/>
      </c>
      <c r="EE215">
        <f ca="1"/>
      </c>
      <c r="EF215">
        <f ca="1"/>
      </c>
      <c r="EG215">
        <f ca="1"/>
      </c>
      <c r="EH215">
        <f ca="1"/>
      </c>
      <c r="EI215">
        <f ca="1"/>
      </c>
      <c r="EJ215">
        <f ca="1"/>
      </c>
      <c r="EK215">
        <f ca="1"/>
      </c>
      <c r="EL215">
        <f ca="1"/>
      </c>
      <c r="EM215">
        <f ca="1"/>
      </c>
      <c r="EN215">
        <f ca="1"/>
      </c>
      <c r="EO215">
        <f ca="1"/>
      </c>
      <c r="EP215">
        <f ca="1"/>
      </c>
      <c r="EQ215">
        <f ca="1"/>
      </c>
      <c r="ER215">
        <f ca="1"/>
      </c>
      <c r="ES215">
        <f ca="1"/>
      </c>
      <c r="ET215">
        <f ca="1"/>
      </c>
      <c r="EU215">
        <f ca="1"/>
      </c>
      <c r="EV215">
        <f ca="1"/>
      </c>
      <c r="EW215">
        <f ca="1"/>
      </c>
      <c r="EX215">
        <f ca="1"/>
      </c>
      <c r="EY215">
        <f ca="1"/>
      </c>
      <c r="EZ215">
        <f ca="1"/>
      </c>
      <c r="FA215">
        <f ca="1"/>
      </c>
      <c r="FC215">
        <f ca="1"/>
      </c>
      <c r="FD215">
        <f ca="1"/>
      </c>
      <c r="FE215">
        <f ca="1"/>
      </c>
      <c r="FF215">
        <f ca="1"/>
      </c>
      <c r="FG215">
        <f ca="1"/>
      </c>
      <c r="FH215">
        <f ca="1"/>
      </c>
      <c r="FI215">
        <f ca="1"/>
      </c>
      <c r="FJ215">
        <f ca="1"/>
      </c>
      <c r="FK215">
        <f ca="1"/>
      </c>
      <c r="FL215">
        <f ca="1"/>
      </c>
      <c r="FM215">
        <f ca="1"/>
      </c>
      <c r="FN215">
        <f ca="1"/>
      </c>
      <c r="FO215">
        <f ca="1"/>
      </c>
      <c r="FP215">
        <f ca="1"/>
      </c>
      <c r="FQ215">
        <f ca="1"/>
      </c>
      <c r="FR215">
        <f ca="1"/>
      </c>
      <c r="FS215">
        <f ca="1"/>
      </c>
      <c r="FT215">
        <f ca="1"/>
      </c>
      <c r="FU215">
        <f ca="1"/>
      </c>
      <c r="FV215">
        <f ca="1"/>
      </c>
      <c r="FW215">
        <f ca="1"/>
      </c>
      <c r="FX215">
        <f ca="1"/>
      </c>
      <c r="FY215">
        <f ca="1"/>
      </c>
      <c r="FZ215">
        <f ca="1"/>
      </c>
      <c r="GA215">
        <f ca="1"/>
      </c>
      <c r="GB215">
        <f ca="1"/>
      </c>
      <c r="GC215">
        <f ca="1"/>
      </c>
      <c r="GD215">
        <f ca="1"/>
      </c>
      <c r="GE215">
        <f ca="1"/>
      </c>
      <c r="GF215">
        <f ca="1"/>
      </c>
      <c r="GG215">
        <f ca="1"/>
      </c>
      <c r="GH215">
        <f ca="1"/>
      </c>
      <c r="GI215">
        <f ca="1"/>
      </c>
      <c r="GJ215">
        <f ca="1"/>
      </c>
      <c r="GK215">
        <f ca="1"/>
      </c>
      <c r="GL215">
        <f ca="1"/>
      </c>
      <c r="GM215">
        <f ca="1"/>
      </c>
      <c r="GN215">
        <f ca="1"/>
      </c>
      <c r="GO215">
        <f ca="1"/>
      </c>
      <c r="GP215">
        <f ca="1"/>
      </c>
      <c r="GQ215">
        <f ca="1"/>
      </c>
      <c r="GR215">
        <f ca="1"/>
      </c>
      <c r="GS215">
        <f ca="1"/>
      </c>
      <c r="GT215">
        <f ca="1"/>
      </c>
      <c r="GU215">
        <f ca="1"/>
      </c>
      <c r="GV215">
        <f ca="1"/>
      </c>
      <c r="GW215">
        <f ca="1"/>
      </c>
      <c r="HI215" s="7">
        <f ca="1"/>
      </c>
      <c r="HJ215">
        <f ca="1"/>
      </c>
      <c r="HK215">
        <f ca="1"/>
      </c>
      <c r="HL215">
        <f ca="1"/>
      </c>
      <c r="HM215">
        <f ca="1"/>
      </c>
    </row>
    <row r="216" spans="63:221" x14ac:dyDescent="0.55000000000000004">
      <c r="BK216">
        <f ca="1"/>
      </c>
      <c r="BL216">
        <f ca="1"/>
      </c>
      <c r="BM216">
        <f ca="1"/>
      </c>
      <c r="BN216">
        <f ca="1"/>
      </c>
      <c r="BO216">
        <f ca="1"/>
      </c>
      <c r="BP216">
        <f ca="1"/>
      </c>
      <c r="BQ216">
        <f ca="1"/>
      </c>
      <c r="BR216">
        <f ca="1"/>
      </c>
      <c r="BS216">
        <f ca="1"/>
      </c>
      <c r="BT216">
        <f ca="1"/>
      </c>
      <c r="BU216">
        <f ca="1"/>
      </c>
      <c r="BV216">
        <f ca="1"/>
      </c>
      <c r="BW216">
        <f ca="1"/>
      </c>
      <c r="BX216">
        <f ca="1"/>
      </c>
      <c r="BY216">
        <f ca="1"/>
      </c>
      <c r="BZ216">
        <f ca="1"/>
      </c>
      <c r="CA216">
        <f ca="1"/>
      </c>
      <c r="CB216">
        <f ca="1"/>
      </c>
      <c r="CC216">
        <f ca="1"/>
      </c>
      <c r="CD216">
        <f ca="1"/>
      </c>
      <c r="CE216">
        <f ca="1"/>
      </c>
      <c r="CF216">
        <f ca="1"/>
      </c>
      <c r="CG216">
        <f ca="1"/>
      </c>
      <c r="CH216">
        <f ca="1"/>
      </c>
      <c r="CI216">
        <f ca="1"/>
      </c>
      <c r="CJ216">
        <f ca="1"/>
      </c>
      <c r="CK216">
        <f ca="1"/>
      </c>
      <c r="CL216">
        <f ca="1"/>
      </c>
      <c r="CM216">
        <f ca="1"/>
      </c>
      <c r="CN216">
        <f ca="1"/>
      </c>
      <c r="CO216">
        <f ca="1"/>
      </c>
      <c r="CP216">
        <f ca="1"/>
      </c>
      <c r="CQ216">
        <f ca="1"/>
      </c>
      <c r="CR216">
        <f ca="1"/>
      </c>
      <c r="CS216">
        <f ca="1"/>
      </c>
      <c r="CT216">
        <f ca="1"/>
      </c>
      <c r="CU216">
        <f ca="1"/>
      </c>
      <c r="CV216">
        <f ca="1"/>
      </c>
      <c r="CW216">
        <f ca="1"/>
      </c>
      <c r="CX216">
        <f ca="1"/>
      </c>
      <c r="CY216">
        <f ca="1"/>
      </c>
      <c r="CZ216">
        <f ca="1"/>
      </c>
      <c r="DA216">
        <f ca="1"/>
      </c>
      <c r="DB216">
        <f ca="1"/>
      </c>
      <c r="DC216">
        <f ca="1"/>
      </c>
      <c r="DD216">
        <f ca="1"/>
      </c>
      <c r="DE216">
        <f ca="1"/>
      </c>
      <c r="DG216">
        <f ca="1"/>
      </c>
      <c r="DH216">
        <f ca="1"/>
      </c>
      <c r="DI216">
        <f ca="1"/>
      </c>
      <c r="DJ216">
        <f ca="1"/>
      </c>
      <c r="DK216">
        <f ca="1"/>
      </c>
      <c r="DL216">
        <f ca="1"/>
      </c>
      <c r="DM216">
        <f ca="1"/>
      </c>
      <c r="DN216">
        <f ca="1"/>
      </c>
      <c r="DO216">
        <f ca="1"/>
      </c>
      <c r="DP216">
        <f ca="1"/>
      </c>
      <c r="DQ216">
        <f ca="1"/>
      </c>
      <c r="DR216">
        <f ca="1"/>
      </c>
      <c r="DS216">
        <f ca="1"/>
      </c>
      <c r="DT216">
        <f ca="1"/>
      </c>
      <c r="DU216">
        <f ca="1"/>
      </c>
      <c r="DV216">
        <f ca="1"/>
      </c>
      <c r="DW216">
        <f ca="1"/>
      </c>
      <c r="DX216">
        <f ca="1"/>
      </c>
      <c r="DY216">
        <f ca="1"/>
      </c>
      <c r="DZ216">
        <f ca="1"/>
      </c>
      <c r="EA216">
        <f ca="1"/>
      </c>
      <c r="EB216">
        <f ca="1"/>
      </c>
      <c r="EC216">
        <f ca="1"/>
      </c>
      <c r="ED216">
        <f ca="1"/>
      </c>
      <c r="EE216">
        <f ca="1"/>
      </c>
      <c r="EF216">
        <f ca="1"/>
      </c>
      <c r="EG216">
        <f ca="1"/>
      </c>
      <c r="EH216">
        <f ca="1"/>
      </c>
      <c r="EI216">
        <f ca="1"/>
      </c>
      <c r="EJ216">
        <f ca="1"/>
      </c>
      <c r="EK216">
        <f ca="1"/>
      </c>
      <c r="EL216">
        <f ca="1"/>
      </c>
      <c r="EM216">
        <f ca="1"/>
      </c>
      <c r="EN216">
        <f ca="1"/>
      </c>
      <c r="EO216">
        <f ca="1"/>
      </c>
      <c r="EP216">
        <f ca="1"/>
      </c>
      <c r="EQ216">
        <f ca="1"/>
      </c>
      <c r="ER216">
        <f ca="1"/>
      </c>
      <c r="ES216">
        <f ca="1"/>
      </c>
      <c r="ET216">
        <f ca="1"/>
      </c>
      <c r="EU216">
        <f ca="1"/>
      </c>
      <c r="EV216">
        <f ca="1"/>
      </c>
      <c r="EW216">
        <f ca="1"/>
      </c>
      <c r="EX216">
        <f ca="1"/>
      </c>
      <c r="EY216">
        <f ca="1"/>
      </c>
      <c r="EZ216">
        <f ca="1"/>
      </c>
      <c r="FA216">
        <f ca="1"/>
      </c>
      <c r="FC216">
        <f ca="1"/>
      </c>
      <c r="FD216">
        <f ca="1"/>
      </c>
      <c r="FE216">
        <f ca="1"/>
      </c>
      <c r="FF216">
        <f ca="1"/>
      </c>
      <c r="FG216">
        <f ca="1"/>
      </c>
      <c r="FH216">
        <f ca="1"/>
      </c>
      <c r="FI216">
        <f ca="1"/>
      </c>
      <c r="FJ216">
        <f ca="1"/>
      </c>
      <c r="FK216">
        <f ca="1"/>
      </c>
      <c r="FL216">
        <f ca="1"/>
      </c>
      <c r="FM216">
        <f ca="1"/>
      </c>
      <c r="FN216">
        <f ca="1"/>
      </c>
      <c r="FO216">
        <f ca="1"/>
      </c>
      <c r="FP216">
        <f ca="1"/>
      </c>
      <c r="FQ216">
        <f ca="1"/>
      </c>
      <c r="FR216">
        <f ca="1"/>
      </c>
      <c r="FS216">
        <f ca="1"/>
      </c>
      <c r="FT216">
        <f ca="1"/>
      </c>
      <c r="FU216">
        <f ca="1"/>
      </c>
      <c r="FV216">
        <f ca="1"/>
      </c>
      <c r="FW216">
        <f ca="1"/>
      </c>
      <c r="FX216">
        <f ca="1"/>
      </c>
      <c r="FY216">
        <f ca="1"/>
      </c>
      <c r="FZ216">
        <f ca="1"/>
      </c>
      <c r="GA216">
        <f ca="1"/>
      </c>
      <c r="GB216">
        <f ca="1"/>
      </c>
      <c r="GC216">
        <f ca="1"/>
      </c>
      <c r="GD216">
        <f ca="1"/>
      </c>
      <c r="GE216">
        <f ca="1"/>
      </c>
      <c r="GF216">
        <f ca="1"/>
      </c>
      <c r="GG216">
        <f ca="1"/>
      </c>
      <c r="GH216">
        <f ca="1"/>
      </c>
      <c r="GI216">
        <f ca="1"/>
      </c>
      <c r="GJ216">
        <f ca="1"/>
      </c>
      <c r="GK216">
        <f ca="1"/>
      </c>
      <c r="GL216">
        <f ca="1"/>
      </c>
      <c r="GM216">
        <f ca="1"/>
      </c>
      <c r="GN216">
        <f ca="1"/>
      </c>
      <c r="GO216">
        <f ca="1"/>
      </c>
      <c r="GP216">
        <f ca="1"/>
      </c>
      <c r="GQ216">
        <f ca="1"/>
      </c>
      <c r="GR216">
        <f ca="1"/>
      </c>
      <c r="GS216">
        <f ca="1"/>
      </c>
      <c r="GT216">
        <f ca="1"/>
      </c>
      <c r="GU216">
        <f ca="1"/>
      </c>
      <c r="GV216">
        <f ca="1"/>
      </c>
      <c r="GW216">
        <f ca="1"/>
      </c>
      <c r="HI216" s="7">
        <f ca="1"/>
      </c>
      <c r="HJ216">
        <f ca="1"/>
      </c>
      <c r="HK216">
        <f ca="1"/>
      </c>
      <c r="HL216">
        <f ca="1"/>
      </c>
      <c r="HM216">
        <f ca="1"/>
      </c>
    </row>
    <row r="217" spans="63:221" x14ac:dyDescent="0.55000000000000004">
      <c r="BK217">
        <f ca="1"/>
      </c>
      <c r="BL217">
        <f ca="1"/>
      </c>
      <c r="BM217">
        <f ca="1"/>
      </c>
      <c r="BN217">
        <f ca="1"/>
      </c>
      <c r="BO217">
        <f ca="1"/>
      </c>
      <c r="BP217">
        <f ca="1"/>
      </c>
      <c r="BQ217">
        <f ca="1"/>
      </c>
      <c r="BR217">
        <f ca="1"/>
      </c>
      <c r="BS217">
        <f ca="1"/>
      </c>
      <c r="BT217">
        <f ca="1"/>
      </c>
      <c r="BU217">
        <f ca="1"/>
      </c>
      <c r="BV217">
        <f ca="1"/>
      </c>
      <c r="BW217">
        <f ca="1"/>
      </c>
      <c r="BX217">
        <f ca="1"/>
      </c>
      <c r="BY217">
        <f ca="1"/>
      </c>
      <c r="BZ217">
        <f ca="1"/>
      </c>
      <c r="CA217">
        <f ca="1"/>
      </c>
      <c r="CB217">
        <f ca="1"/>
      </c>
      <c r="CC217">
        <f ca="1"/>
      </c>
      <c r="CD217">
        <f ca="1"/>
      </c>
      <c r="CE217">
        <f ca="1"/>
      </c>
      <c r="CF217">
        <f ca="1"/>
      </c>
      <c r="CG217">
        <f ca="1"/>
      </c>
      <c r="CH217">
        <f ca="1"/>
      </c>
      <c r="CI217">
        <f ca="1"/>
      </c>
      <c r="CJ217">
        <f ca="1"/>
      </c>
      <c r="CK217">
        <f ca="1"/>
      </c>
      <c r="CL217">
        <f ca="1"/>
      </c>
      <c r="CM217">
        <f ca="1"/>
      </c>
      <c r="CN217">
        <f ca="1"/>
      </c>
      <c r="CO217">
        <f ca="1"/>
      </c>
      <c r="CP217">
        <f ca="1"/>
      </c>
      <c r="CQ217">
        <f ca="1"/>
      </c>
      <c r="CR217">
        <f ca="1"/>
      </c>
      <c r="CS217">
        <f ca="1"/>
      </c>
      <c r="CT217">
        <f ca="1"/>
      </c>
      <c r="CU217">
        <f ca="1"/>
      </c>
      <c r="CV217">
        <f ca="1"/>
      </c>
      <c r="CW217">
        <f ca="1"/>
      </c>
      <c r="CX217">
        <f ca="1"/>
      </c>
      <c r="CY217">
        <f ca="1"/>
      </c>
      <c r="CZ217">
        <f ca="1"/>
      </c>
      <c r="DA217">
        <f ca="1"/>
      </c>
      <c r="DB217">
        <f ca="1"/>
      </c>
      <c r="DC217">
        <f ca="1"/>
      </c>
      <c r="DD217">
        <f ca="1"/>
      </c>
      <c r="DE217">
        <f ca="1"/>
      </c>
      <c r="DG217">
        <f ca="1"/>
      </c>
      <c r="DH217">
        <f ca="1"/>
      </c>
      <c r="DI217">
        <f ca="1"/>
      </c>
      <c r="DJ217">
        <f ca="1"/>
      </c>
      <c r="DK217">
        <f ca="1"/>
      </c>
      <c r="DL217">
        <f ca="1"/>
      </c>
      <c r="DM217">
        <f ca="1"/>
      </c>
      <c r="DN217">
        <f ca="1"/>
      </c>
      <c r="DO217">
        <f ca="1"/>
      </c>
      <c r="DP217">
        <f ca="1"/>
      </c>
      <c r="DQ217">
        <f ca="1"/>
      </c>
      <c r="DR217">
        <f ca="1"/>
      </c>
      <c r="DS217">
        <f ca="1"/>
      </c>
      <c r="DT217">
        <f ca="1"/>
      </c>
      <c r="DU217">
        <f ca="1"/>
      </c>
      <c r="DV217">
        <f ca="1"/>
      </c>
      <c r="DW217">
        <f ca="1"/>
      </c>
      <c r="DX217">
        <f ca="1"/>
      </c>
      <c r="DY217">
        <f ca="1"/>
      </c>
      <c r="DZ217">
        <f ca="1"/>
      </c>
      <c r="EA217">
        <f ca="1"/>
      </c>
      <c r="EB217">
        <f ca="1"/>
      </c>
      <c r="EC217">
        <f ca="1"/>
      </c>
      <c r="ED217">
        <f ca="1"/>
      </c>
      <c r="EE217">
        <f ca="1"/>
      </c>
      <c r="EF217">
        <f ca="1"/>
      </c>
      <c r="EG217">
        <f ca="1"/>
      </c>
      <c r="EH217">
        <f ca="1"/>
      </c>
      <c r="EI217">
        <f ca="1"/>
      </c>
      <c r="EJ217">
        <f ca="1"/>
      </c>
      <c r="EK217">
        <f ca="1"/>
      </c>
      <c r="EL217">
        <f ca="1"/>
      </c>
      <c r="EM217">
        <f ca="1"/>
      </c>
      <c r="EN217">
        <f ca="1"/>
      </c>
      <c r="EO217">
        <f ca="1"/>
      </c>
      <c r="EP217">
        <f ca="1"/>
      </c>
      <c r="EQ217">
        <f ca="1"/>
      </c>
      <c r="ER217">
        <f ca="1"/>
      </c>
      <c r="ES217">
        <f ca="1"/>
      </c>
      <c r="ET217">
        <f ca="1"/>
      </c>
      <c r="EU217">
        <f ca="1"/>
      </c>
      <c r="EV217">
        <f ca="1"/>
      </c>
      <c r="EW217">
        <f ca="1"/>
      </c>
      <c r="EX217">
        <f ca="1"/>
      </c>
      <c r="EY217">
        <f ca="1"/>
      </c>
      <c r="EZ217">
        <f ca="1"/>
      </c>
      <c r="FA217">
        <f ca="1"/>
      </c>
      <c r="FC217">
        <f ca="1"/>
      </c>
      <c r="FD217">
        <f ca="1"/>
      </c>
      <c r="FE217">
        <f ca="1"/>
      </c>
      <c r="FF217">
        <f ca="1"/>
      </c>
      <c r="FG217">
        <f ca="1"/>
      </c>
      <c r="FH217">
        <f ca="1"/>
      </c>
      <c r="FI217">
        <f ca="1"/>
      </c>
      <c r="FJ217">
        <f ca="1"/>
      </c>
      <c r="FK217">
        <f ca="1"/>
      </c>
      <c r="FL217">
        <f ca="1"/>
      </c>
      <c r="FM217">
        <f ca="1"/>
      </c>
      <c r="FN217">
        <f ca="1"/>
      </c>
      <c r="FO217">
        <f ca="1"/>
      </c>
      <c r="FP217">
        <f ca="1"/>
      </c>
      <c r="FQ217">
        <f ca="1"/>
      </c>
      <c r="FR217">
        <f ca="1"/>
      </c>
      <c r="FS217">
        <f ca="1"/>
      </c>
      <c r="FT217">
        <f ca="1"/>
      </c>
      <c r="FU217">
        <f ca="1"/>
      </c>
      <c r="FV217">
        <f ca="1"/>
      </c>
      <c r="FW217">
        <f ca="1"/>
      </c>
      <c r="FX217">
        <f ca="1"/>
      </c>
      <c r="FY217">
        <f ca="1"/>
      </c>
      <c r="FZ217">
        <f ca="1"/>
      </c>
      <c r="GA217">
        <f ca="1"/>
      </c>
      <c r="GB217">
        <f ca="1"/>
      </c>
      <c r="GC217">
        <f ca="1"/>
      </c>
      <c r="GD217">
        <f ca="1"/>
      </c>
      <c r="GE217">
        <f ca="1"/>
      </c>
      <c r="GF217">
        <f ca="1"/>
      </c>
      <c r="GG217">
        <f ca="1"/>
      </c>
      <c r="GH217">
        <f ca="1"/>
      </c>
      <c r="GI217">
        <f ca="1"/>
      </c>
      <c r="GJ217">
        <f ca="1"/>
      </c>
      <c r="GK217">
        <f ca="1"/>
      </c>
      <c r="GL217">
        <f ca="1"/>
      </c>
      <c r="GM217">
        <f ca="1"/>
      </c>
      <c r="GN217">
        <f ca="1"/>
      </c>
      <c r="GO217">
        <f ca="1"/>
      </c>
      <c r="GP217">
        <f ca="1"/>
      </c>
      <c r="GQ217">
        <f ca="1"/>
      </c>
      <c r="GR217">
        <f ca="1"/>
      </c>
      <c r="GS217">
        <f ca="1"/>
      </c>
      <c r="GT217">
        <f ca="1"/>
      </c>
      <c r="GU217">
        <f ca="1"/>
      </c>
      <c r="GV217">
        <f ca="1"/>
      </c>
      <c r="GW217">
        <f ca="1"/>
      </c>
      <c r="HI217" s="7">
        <f ca="1"/>
      </c>
      <c r="HJ217">
        <f ca="1"/>
      </c>
      <c r="HK217">
        <f ca="1"/>
      </c>
      <c r="HL217">
        <f ca="1"/>
      </c>
      <c r="HM217">
        <f ca="1"/>
      </c>
    </row>
    <row r="218" spans="63:221" x14ac:dyDescent="0.55000000000000004">
      <c r="BK218">
        <f ca="1"/>
      </c>
      <c r="BL218">
        <f ca="1"/>
      </c>
      <c r="BM218">
        <f ca="1"/>
      </c>
      <c r="BN218">
        <f ca="1"/>
      </c>
      <c r="BO218">
        <f ca="1"/>
      </c>
      <c r="BP218">
        <f ca="1"/>
      </c>
      <c r="BQ218">
        <f ca="1"/>
      </c>
      <c r="BR218">
        <f ca="1"/>
      </c>
      <c r="BS218">
        <f ca="1"/>
      </c>
      <c r="BT218">
        <f ca="1"/>
      </c>
      <c r="BU218">
        <f ca="1"/>
      </c>
      <c r="BV218">
        <f ca="1"/>
      </c>
      <c r="BW218">
        <f ca="1"/>
      </c>
      <c r="BX218">
        <f ca="1"/>
      </c>
      <c r="BY218">
        <f ca="1"/>
      </c>
      <c r="BZ218">
        <f ca="1"/>
      </c>
      <c r="CA218">
        <f ca="1"/>
      </c>
      <c r="CB218">
        <f ca="1"/>
      </c>
      <c r="CC218">
        <f ca="1"/>
      </c>
      <c r="CD218">
        <f ca="1"/>
      </c>
      <c r="CE218">
        <f ca="1"/>
      </c>
      <c r="CF218">
        <f ca="1"/>
      </c>
      <c r="CG218">
        <f ca="1"/>
      </c>
      <c r="CH218">
        <f ca="1"/>
      </c>
      <c r="CI218">
        <f ca="1"/>
      </c>
      <c r="CJ218">
        <f ca="1"/>
      </c>
      <c r="CK218">
        <f ca="1"/>
      </c>
      <c r="CL218">
        <f ca="1"/>
      </c>
      <c r="CM218">
        <f ca="1"/>
      </c>
      <c r="CN218">
        <f ca="1"/>
      </c>
      <c r="CO218">
        <f ca="1"/>
      </c>
      <c r="CP218">
        <f ca="1"/>
      </c>
      <c r="CQ218">
        <f ca="1"/>
      </c>
      <c r="CR218">
        <f ca="1"/>
      </c>
      <c r="CS218">
        <f ca="1"/>
      </c>
      <c r="CT218">
        <f ca="1"/>
      </c>
      <c r="CU218">
        <f ca="1"/>
      </c>
      <c r="CV218">
        <f ca="1"/>
      </c>
      <c r="CW218">
        <f ca="1"/>
      </c>
      <c r="CX218">
        <f ca="1"/>
      </c>
      <c r="CY218">
        <f ca="1"/>
      </c>
      <c r="CZ218">
        <f ca="1"/>
      </c>
      <c r="DA218">
        <f ca="1"/>
      </c>
      <c r="DB218">
        <f ca="1"/>
      </c>
      <c r="DC218">
        <f ca="1"/>
      </c>
      <c r="DD218">
        <f ca="1"/>
      </c>
      <c r="DE218">
        <f ca="1"/>
      </c>
      <c r="DG218">
        <f ca="1"/>
      </c>
      <c r="DH218">
        <f ca="1"/>
      </c>
      <c r="DI218">
        <f ca="1"/>
      </c>
      <c r="DJ218">
        <f ca="1"/>
      </c>
      <c r="DK218">
        <f ca="1"/>
      </c>
      <c r="DL218">
        <f ca="1"/>
      </c>
      <c r="DM218">
        <f ca="1"/>
      </c>
      <c r="DN218">
        <f ca="1"/>
      </c>
      <c r="DO218">
        <f ca="1"/>
      </c>
      <c r="DP218">
        <f ca="1"/>
      </c>
      <c r="DQ218">
        <f ca="1"/>
      </c>
      <c r="DR218">
        <f ca="1"/>
      </c>
      <c r="DS218">
        <f ca="1"/>
      </c>
      <c r="DT218">
        <f ca="1"/>
      </c>
      <c r="DU218">
        <f ca="1"/>
      </c>
      <c r="DV218">
        <f ca="1"/>
      </c>
      <c r="DW218">
        <f ca="1"/>
      </c>
      <c r="DX218">
        <f ca="1"/>
      </c>
      <c r="DY218">
        <f ca="1"/>
      </c>
      <c r="DZ218">
        <f ca="1"/>
      </c>
      <c r="EA218">
        <f ca="1"/>
      </c>
      <c r="EB218">
        <f ca="1"/>
      </c>
      <c r="EC218">
        <f ca="1"/>
      </c>
      <c r="ED218">
        <f ca="1"/>
      </c>
      <c r="EE218">
        <f ca="1"/>
      </c>
      <c r="EF218">
        <f ca="1"/>
      </c>
      <c r="EG218">
        <f ca="1"/>
      </c>
      <c r="EH218">
        <f ca="1"/>
      </c>
      <c r="EI218">
        <f ca="1"/>
      </c>
      <c r="EJ218">
        <f ca="1"/>
      </c>
      <c r="EK218">
        <f ca="1"/>
      </c>
      <c r="EL218">
        <f ca="1"/>
      </c>
      <c r="EM218">
        <f ca="1"/>
      </c>
      <c r="EN218">
        <f ca="1"/>
      </c>
      <c r="EO218">
        <f ca="1"/>
      </c>
      <c r="EP218">
        <f ca="1"/>
      </c>
      <c r="EQ218">
        <f ca="1"/>
      </c>
      <c r="ER218">
        <f ca="1"/>
      </c>
      <c r="ES218">
        <f ca="1"/>
      </c>
      <c r="ET218">
        <f ca="1"/>
      </c>
      <c r="EU218">
        <f ca="1"/>
      </c>
      <c r="EV218">
        <f ca="1"/>
      </c>
      <c r="EW218">
        <f ca="1"/>
      </c>
      <c r="EX218">
        <f ca="1"/>
      </c>
      <c r="EY218">
        <f ca="1"/>
      </c>
      <c r="EZ218">
        <f ca="1"/>
      </c>
      <c r="FA218">
        <f ca="1"/>
      </c>
      <c r="FC218">
        <f ca="1"/>
      </c>
      <c r="FD218">
        <f ca="1"/>
      </c>
      <c r="FE218">
        <f ca="1"/>
      </c>
      <c r="FF218">
        <f ca="1"/>
      </c>
      <c r="FG218">
        <f ca="1"/>
      </c>
      <c r="FH218">
        <f ca="1"/>
      </c>
      <c r="FI218">
        <f ca="1"/>
      </c>
      <c r="FJ218">
        <f ca="1"/>
      </c>
      <c r="FK218">
        <f ca="1"/>
      </c>
      <c r="FL218">
        <f ca="1"/>
      </c>
      <c r="FM218">
        <f ca="1"/>
      </c>
      <c r="FN218">
        <f ca="1"/>
      </c>
      <c r="FO218">
        <f ca="1"/>
      </c>
      <c r="FP218">
        <f ca="1"/>
      </c>
      <c r="FQ218">
        <f ca="1"/>
      </c>
      <c r="FR218">
        <f ca="1"/>
      </c>
      <c r="FS218">
        <f ca="1"/>
      </c>
      <c r="FT218">
        <f ca="1"/>
      </c>
      <c r="FU218">
        <f ca="1"/>
      </c>
      <c r="FV218">
        <f ca="1"/>
      </c>
      <c r="FW218">
        <f ca="1"/>
      </c>
      <c r="FX218">
        <f ca="1"/>
      </c>
      <c r="FY218">
        <f ca="1"/>
      </c>
      <c r="FZ218">
        <f ca="1"/>
      </c>
      <c r="GA218">
        <f ca="1"/>
      </c>
      <c r="GB218">
        <f ca="1"/>
      </c>
      <c r="GC218">
        <f ca="1"/>
      </c>
      <c r="GD218">
        <f ca="1"/>
      </c>
      <c r="GE218">
        <f ca="1"/>
      </c>
      <c r="GF218">
        <f ca="1"/>
      </c>
      <c r="GG218">
        <f ca="1"/>
      </c>
      <c r="GH218">
        <f ca="1"/>
      </c>
      <c r="GI218">
        <f ca="1"/>
      </c>
      <c r="GJ218">
        <f ca="1"/>
      </c>
      <c r="GK218">
        <f ca="1"/>
      </c>
      <c r="GL218">
        <f ca="1"/>
      </c>
      <c r="GM218">
        <f ca="1"/>
      </c>
      <c r="GN218">
        <f ca="1"/>
      </c>
      <c r="GO218">
        <f ca="1"/>
      </c>
      <c r="GP218">
        <f ca="1"/>
      </c>
      <c r="GQ218">
        <f ca="1"/>
      </c>
      <c r="GR218">
        <f ca="1"/>
      </c>
      <c r="GS218">
        <f ca="1"/>
      </c>
      <c r="GT218">
        <f ca="1"/>
      </c>
      <c r="GU218">
        <f ca="1"/>
      </c>
      <c r="GV218">
        <f ca="1"/>
      </c>
      <c r="GW218">
        <f ca="1"/>
      </c>
      <c r="HI218" s="7">
        <f ca="1"/>
      </c>
      <c r="HJ218">
        <f ca="1"/>
      </c>
      <c r="HK218">
        <f ca="1"/>
      </c>
      <c r="HL218">
        <f ca="1"/>
      </c>
      <c r="HM218">
        <f ca="1"/>
      </c>
    </row>
    <row r="219" spans="63:221" x14ac:dyDescent="0.55000000000000004">
      <c r="BK219">
        <f ca="1"/>
      </c>
      <c r="BL219">
        <f ca="1"/>
      </c>
      <c r="BM219">
        <f ca="1"/>
      </c>
      <c r="BN219">
        <f ca="1"/>
      </c>
      <c r="BO219">
        <f ca="1"/>
      </c>
      <c r="BP219">
        <f ca="1"/>
      </c>
      <c r="BQ219">
        <f ca="1"/>
      </c>
      <c r="BR219">
        <f ca="1"/>
      </c>
      <c r="BS219">
        <f ca="1"/>
      </c>
      <c r="BT219">
        <f ca="1"/>
      </c>
      <c r="BU219">
        <f ca="1"/>
      </c>
      <c r="BV219">
        <f ca="1"/>
      </c>
      <c r="BW219">
        <f ca="1"/>
      </c>
      <c r="BX219">
        <f ca="1"/>
      </c>
      <c r="BY219">
        <f ca="1"/>
      </c>
      <c r="BZ219">
        <f ca="1"/>
      </c>
      <c r="CA219">
        <f ca="1"/>
      </c>
      <c r="CB219">
        <f ca="1"/>
      </c>
      <c r="CC219">
        <f ca="1"/>
      </c>
      <c r="CD219">
        <f ca="1"/>
      </c>
      <c r="CE219">
        <f ca="1"/>
      </c>
      <c r="CF219">
        <f ca="1"/>
      </c>
      <c r="CG219">
        <f ca="1"/>
      </c>
      <c r="CH219">
        <f ca="1"/>
      </c>
      <c r="CI219">
        <f ca="1"/>
      </c>
      <c r="CJ219">
        <f ca="1"/>
      </c>
      <c r="CK219">
        <f ca="1"/>
      </c>
      <c r="CL219">
        <f ca="1"/>
      </c>
      <c r="CM219">
        <f ca="1"/>
      </c>
      <c r="CN219">
        <f ca="1"/>
      </c>
      <c r="CO219">
        <f ca="1"/>
      </c>
      <c r="CP219">
        <f ca="1"/>
      </c>
      <c r="CQ219">
        <f ca="1"/>
      </c>
      <c r="CR219">
        <f ca="1"/>
      </c>
      <c r="CS219">
        <f ca="1"/>
      </c>
      <c r="CT219">
        <f ca="1"/>
      </c>
      <c r="CU219">
        <f ca="1"/>
      </c>
      <c r="CV219">
        <f ca="1"/>
      </c>
      <c r="CW219">
        <f ca="1"/>
      </c>
      <c r="CX219">
        <f ca="1"/>
      </c>
      <c r="CY219">
        <f ca="1"/>
      </c>
      <c r="CZ219">
        <f ca="1"/>
      </c>
      <c r="DA219">
        <f ca="1"/>
      </c>
      <c r="DB219">
        <f ca="1"/>
      </c>
      <c r="DC219">
        <f ca="1"/>
      </c>
      <c r="DD219">
        <f ca="1"/>
      </c>
      <c r="DE219">
        <f ca="1"/>
      </c>
      <c r="DG219">
        <f ca="1"/>
      </c>
      <c r="DH219">
        <f ca="1"/>
      </c>
      <c r="DI219">
        <f ca="1"/>
      </c>
      <c r="DJ219">
        <f ca="1"/>
      </c>
      <c r="DK219">
        <f ca="1"/>
      </c>
      <c r="DL219">
        <f ca="1"/>
      </c>
      <c r="DM219">
        <f ca="1"/>
      </c>
      <c r="DN219">
        <f ca="1"/>
      </c>
      <c r="DO219">
        <f ca="1"/>
      </c>
      <c r="DP219">
        <f ca="1"/>
      </c>
      <c r="DQ219">
        <f ca="1"/>
      </c>
      <c r="DR219">
        <f ca="1"/>
      </c>
      <c r="DS219">
        <f ca="1"/>
      </c>
      <c r="DT219">
        <f ca="1"/>
      </c>
      <c r="DU219">
        <f ca="1"/>
      </c>
      <c r="DV219">
        <f ca="1"/>
      </c>
      <c r="DW219">
        <f ca="1"/>
      </c>
      <c r="DX219">
        <f ca="1"/>
      </c>
      <c r="DY219">
        <f ca="1"/>
      </c>
      <c r="DZ219">
        <f ca="1"/>
      </c>
      <c r="EA219">
        <f ca="1"/>
      </c>
      <c r="EB219">
        <f ca="1"/>
      </c>
      <c r="EC219">
        <f ca="1"/>
      </c>
      <c r="ED219">
        <f ca="1"/>
      </c>
      <c r="EE219">
        <f ca="1"/>
      </c>
      <c r="EF219">
        <f ca="1"/>
      </c>
      <c r="EG219">
        <f ca="1"/>
      </c>
      <c r="EH219">
        <f ca="1"/>
      </c>
      <c r="EI219">
        <f ca="1"/>
      </c>
      <c r="EJ219">
        <f ca="1"/>
      </c>
      <c r="EK219">
        <f ca="1"/>
      </c>
      <c r="EL219">
        <f ca="1"/>
      </c>
      <c r="EM219">
        <f ca="1"/>
      </c>
      <c r="EN219">
        <f ca="1"/>
      </c>
      <c r="EO219">
        <f ca="1"/>
      </c>
      <c r="EP219">
        <f ca="1"/>
      </c>
      <c r="EQ219">
        <f ca="1"/>
      </c>
      <c r="ER219">
        <f ca="1"/>
      </c>
      <c r="ES219">
        <f ca="1"/>
      </c>
      <c r="ET219">
        <f ca="1"/>
      </c>
      <c r="EU219">
        <f ca="1"/>
      </c>
      <c r="EV219">
        <f ca="1"/>
      </c>
      <c r="EW219">
        <f ca="1"/>
      </c>
      <c r="EX219">
        <f ca="1"/>
      </c>
      <c r="EY219">
        <f ca="1"/>
      </c>
      <c r="EZ219">
        <f ca="1"/>
      </c>
      <c r="FA219">
        <f ca="1"/>
      </c>
      <c r="FC219">
        <f ca="1"/>
      </c>
      <c r="FD219">
        <f ca="1"/>
      </c>
      <c r="FE219">
        <f ca="1"/>
      </c>
      <c r="FF219">
        <f ca="1"/>
      </c>
      <c r="FG219">
        <f ca="1"/>
      </c>
      <c r="FH219">
        <f ca="1"/>
      </c>
      <c r="FI219">
        <f ca="1"/>
      </c>
      <c r="FJ219">
        <f ca="1"/>
      </c>
      <c r="FK219">
        <f ca="1"/>
      </c>
      <c r="FL219">
        <f ca="1"/>
      </c>
      <c r="FM219">
        <f ca="1"/>
      </c>
      <c r="FN219">
        <f ca="1"/>
      </c>
      <c r="FO219">
        <f ca="1"/>
      </c>
      <c r="FP219">
        <f ca="1"/>
      </c>
      <c r="FQ219">
        <f ca="1"/>
      </c>
      <c r="FR219">
        <f ca="1"/>
      </c>
      <c r="FS219">
        <f ca="1"/>
      </c>
      <c r="FT219">
        <f ca="1"/>
      </c>
      <c r="FU219">
        <f ca="1"/>
      </c>
      <c r="FV219">
        <f ca="1"/>
      </c>
      <c r="FW219">
        <f ca="1"/>
      </c>
      <c r="FX219">
        <f ca="1"/>
      </c>
      <c r="FY219">
        <f ca="1"/>
      </c>
      <c r="FZ219">
        <f ca="1"/>
      </c>
      <c r="GA219">
        <f ca="1"/>
      </c>
      <c r="GB219">
        <f ca="1"/>
      </c>
      <c r="GC219">
        <f ca="1"/>
      </c>
      <c r="GD219">
        <f ca="1"/>
      </c>
      <c r="GE219">
        <f ca="1"/>
      </c>
      <c r="GF219">
        <f ca="1"/>
      </c>
      <c r="GG219">
        <f ca="1"/>
      </c>
      <c r="GH219">
        <f ca="1"/>
      </c>
      <c r="GI219">
        <f ca="1"/>
      </c>
      <c r="GJ219">
        <f ca="1"/>
      </c>
      <c r="GK219">
        <f ca="1"/>
      </c>
      <c r="GL219">
        <f ca="1"/>
      </c>
      <c r="GM219">
        <f ca="1"/>
      </c>
      <c r="GN219">
        <f ca="1"/>
      </c>
      <c r="GO219">
        <f ca="1"/>
      </c>
      <c r="GP219">
        <f ca="1"/>
      </c>
      <c r="GQ219">
        <f ca="1"/>
      </c>
      <c r="GR219">
        <f ca="1"/>
      </c>
      <c r="GS219">
        <f ca="1"/>
      </c>
      <c r="GT219">
        <f ca="1"/>
      </c>
      <c r="GU219">
        <f ca="1"/>
      </c>
      <c r="GV219">
        <f ca="1"/>
      </c>
      <c r="GW219">
        <f ca="1"/>
      </c>
      <c r="HI219" s="7">
        <f ca="1"/>
      </c>
      <c r="HJ219">
        <f ca="1"/>
      </c>
      <c r="HK219">
        <f ca="1"/>
      </c>
      <c r="HL219">
        <f ca="1"/>
      </c>
      <c r="HM219">
        <f ca="1"/>
      </c>
    </row>
    <row r="220" spans="63:221" x14ac:dyDescent="0.55000000000000004">
      <c r="BK220">
        <f ca="1"/>
      </c>
      <c r="BL220">
        <f ca="1"/>
      </c>
      <c r="BM220">
        <f ca="1"/>
      </c>
      <c r="BN220">
        <f ca="1"/>
      </c>
      <c r="BO220">
        <f ca="1"/>
      </c>
      <c r="BP220">
        <f ca="1"/>
      </c>
      <c r="BQ220">
        <f ca="1"/>
      </c>
      <c r="BR220">
        <f ca="1"/>
      </c>
      <c r="BS220">
        <f ca="1"/>
      </c>
      <c r="BT220">
        <f ca="1"/>
      </c>
      <c r="BU220">
        <f ca="1"/>
      </c>
      <c r="BV220">
        <f ca="1"/>
      </c>
      <c r="BW220">
        <f ca="1"/>
      </c>
      <c r="BX220">
        <f ca="1"/>
      </c>
      <c r="BY220">
        <f ca="1"/>
      </c>
      <c r="BZ220">
        <f ca="1"/>
      </c>
      <c r="CA220">
        <f ca="1"/>
      </c>
      <c r="CB220">
        <f ca="1"/>
      </c>
      <c r="CC220">
        <f ca="1"/>
      </c>
      <c r="CD220">
        <f ca="1"/>
      </c>
      <c r="CE220">
        <f ca="1"/>
      </c>
      <c r="CF220">
        <f ca="1"/>
      </c>
      <c r="CG220">
        <f ca="1"/>
      </c>
      <c r="CH220">
        <f ca="1"/>
      </c>
      <c r="CI220">
        <f ca="1"/>
      </c>
      <c r="CJ220">
        <f ca="1"/>
      </c>
      <c r="CK220">
        <f ca="1"/>
      </c>
      <c r="CL220">
        <f ca="1"/>
      </c>
      <c r="CM220">
        <f ca="1"/>
      </c>
      <c r="CN220">
        <f ca="1"/>
      </c>
      <c r="CO220">
        <f ca="1"/>
      </c>
      <c r="CP220">
        <f ca="1"/>
      </c>
      <c r="CQ220">
        <f ca="1"/>
      </c>
      <c r="CR220">
        <f ca="1"/>
      </c>
      <c r="CS220">
        <f ca="1"/>
      </c>
      <c r="CT220">
        <f ca="1"/>
      </c>
      <c r="CU220">
        <f ca="1"/>
      </c>
      <c r="CV220">
        <f ca="1"/>
      </c>
      <c r="CW220">
        <f ca="1"/>
      </c>
      <c r="CX220">
        <f ca="1"/>
      </c>
      <c r="CY220">
        <f ca="1"/>
      </c>
      <c r="CZ220">
        <f ca="1"/>
      </c>
      <c r="DA220">
        <f ca="1"/>
      </c>
      <c r="DB220">
        <f ca="1"/>
      </c>
      <c r="DC220">
        <f ca="1"/>
      </c>
      <c r="DD220">
        <f ca="1"/>
      </c>
      <c r="DE220">
        <f ca="1"/>
      </c>
      <c r="DG220">
        <f ca="1"/>
      </c>
      <c r="DH220">
        <f ca="1"/>
      </c>
      <c r="DI220">
        <f ca="1"/>
      </c>
      <c r="DJ220">
        <f ca="1"/>
      </c>
      <c r="DK220">
        <f ca="1"/>
      </c>
      <c r="DL220">
        <f ca="1"/>
      </c>
      <c r="DM220">
        <f ca="1"/>
      </c>
      <c r="DN220">
        <f ca="1"/>
      </c>
      <c r="DO220">
        <f ca="1"/>
      </c>
      <c r="DP220">
        <f ca="1"/>
      </c>
      <c r="DQ220">
        <f ca="1"/>
      </c>
      <c r="DR220">
        <f ca="1"/>
      </c>
      <c r="DS220">
        <f ca="1"/>
      </c>
      <c r="DT220">
        <f ca="1"/>
      </c>
      <c r="DU220">
        <f ca="1"/>
      </c>
      <c r="DV220">
        <f ca="1"/>
      </c>
      <c r="DW220">
        <f ca="1"/>
      </c>
      <c r="DX220">
        <f ca="1"/>
      </c>
      <c r="DY220">
        <f ca="1"/>
      </c>
      <c r="DZ220">
        <f ca="1"/>
      </c>
      <c r="EA220">
        <f ca="1"/>
      </c>
      <c r="EB220">
        <f ca="1"/>
      </c>
      <c r="EC220">
        <f ca="1"/>
      </c>
      <c r="ED220">
        <f ca="1"/>
      </c>
      <c r="EE220">
        <f ca="1"/>
      </c>
      <c r="EF220">
        <f ca="1"/>
      </c>
      <c r="EG220">
        <f ca="1"/>
      </c>
      <c r="EH220">
        <f ca="1"/>
      </c>
      <c r="EI220">
        <f ca="1"/>
      </c>
      <c r="EJ220">
        <f ca="1"/>
      </c>
      <c r="EK220">
        <f ca="1"/>
      </c>
      <c r="EL220">
        <f ca="1"/>
      </c>
      <c r="EM220">
        <f ca="1"/>
      </c>
      <c r="EN220">
        <f ca="1"/>
      </c>
      <c r="EO220">
        <f ca="1"/>
      </c>
      <c r="EP220">
        <f ca="1"/>
      </c>
      <c r="EQ220">
        <f ca="1"/>
      </c>
      <c r="ER220">
        <f ca="1"/>
      </c>
      <c r="ES220">
        <f ca="1"/>
      </c>
      <c r="ET220">
        <f ca="1"/>
      </c>
      <c r="EU220">
        <f ca="1"/>
      </c>
      <c r="EV220">
        <f ca="1"/>
      </c>
      <c r="EW220">
        <f ca="1"/>
      </c>
      <c r="EX220">
        <f ca="1"/>
      </c>
      <c r="EY220">
        <f ca="1"/>
      </c>
      <c r="EZ220">
        <f ca="1"/>
      </c>
      <c r="FA220">
        <f ca="1"/>
      </c>
      <c r="FC220">
        <f ca="1"/>
      </c>
      <c r="FD220">
        <f ca="1"/>
      </c>
      <c r="FE220">
        <f ca="1"/>
      </c>
      <c r="FF220">
        <f ca="1"/>
      </c>
      <c r="FG220">
        <f ca="1"/>
      </c>
      <c r="FH220">
        <f ca="1"/>
      </c>
      <c r="FI220">
        <f ca="1"/>
      </c>
      <c r="FJ220">
        <f ca="1"/>
      </c>
      <c r="FK220">
        <f ca="1"/>
      </c>
      <c r="FL220">
        <f ca="1"/>
      </c>
      <c r="FM220">
        <f ca="1"/>
      </c>
      <c r="FN220">
        <f ca="1"/>
      </c>
      <c r="FO220">
        <f ca="1"/>
      </c>
      <c r="FP220">
        <f ca="1"/>
      </c>
      <c r="FQ220">
        <f ca="1"/>
      </c>
      <c r="FR220">
        <f ca="1"/>
      </c>
      <c r="FS220">
        <f ca="1"/>
      </c>
      <c r="FT220">
        <f ca="1"/>
      </c>
      <c r="FU220">
        <f ca="1"/>
      </c>
      <c r="FV220">
        <f ca="1"/>
      </c>
      <c r="FW220">
        <f ca="1"/>
      </c>
      <c r="FX220">
        <f ca="1"/>
      </c>
      <c r="FY220">
        <f ca="1"/>
      </c>
      <c r="FZ220">
        <f ca="1"/>
      </c>
      <c r="GA220">
        <f ca="1"/>
      </c>
      <c r="GB220">
        <f ca="1"/>
      </c>
      <c r="GC220">
        <f ca="1"/>
      </c>
      <c r="GD220">
        <f ca="1"/>
      </c>
      <c r="GE220">
        <f ca="1"/>
      </c>
      <c r="GF220">
        <f ca="1"/>
      </c>
      <c r="GG220">
        <f ca="1"/>
      </c>
      <c r="GH220">
        <f ca="1"/>
      </c>
      <c r="GI220">
        <f ca="1"/>
      </c>
      <c r="GJ220">
        <f ca="1"/>
      </c>
      <c r="GK220">
        <f ca="1"/>
      </c>
      <c r="GL220">
        <f ca="1"/>
      </c>
      <c r="GM220">
        <f ca="1"/>
      </c>
      <c r="GN220">
        <f ca="1"/>
      </c>
      <c r="GO220">
        <f ca="1"/>
      </c>
      <c r="GP220">
        <f ca="1"/>
      </c>
      <c r="GQ220">
        <f ca="1"/>
      </c>
      <c r="GR220">
        <f ca="1"/>
      </c>
      <c r="GS220">
        <f ca="1"/>
      </c>
      <c r="GT220">
        <f ca="1"/>
      </c>
      <c r="GU220">
        <f ca="1"/>
      </c>
      <c r="GV220">
        <f ca="1"/>
      </c>
      <c r="GW220">
        <f ca="1"/>
      </c>
      <c r="HI220" s="7">
        <f ca="1"/>
      </c>
      <c r="HJ220">
        <f ca="1"/>
      </c>
      <c r="HK220">
        <f ca="1"/>
      </c>
      <c r="HL220">
        <f ca="1"/>
      </c>
      <c r="HM220">
        <f ca="1"/>
      </c>
    </row>
    <row r="221" spans="63:221" x14ac:dyDescent="0.55000000000000004">
      <c r="BK221">
        <f ca="1"/>
      </c>
      <c r="BL221">
        <f ca="1"/>
      </c>
      <c r="BM221">
        <f ca="1"/>
      </c>
      <c r="BN221">
        <f ca="1"/>
      </c>
      <c r="BO221">
        <f ca="1"/>
      </c>
      <c r="BP221">
        <f ca="1"/>
      </c>
      <c r="BQ221">
        <f ca="1"/>
      </c>
      <c r="BR221">
        <f ca="1"/>
      </c>
      <c r="BS221">
        <f ca="1"/>
      </c>
      <c r="BT221">
        <f ca="1"/>
      </c>
      <c r="BU221">
        <f ca="1"/>
      </c>
      <c r="BV221">
        <f ca="1"/>
      </c>
      <c r="BW221">
        <f ca="1"/>
      </c>
      <c r="BX221">
        <f ca="1"/>
      </c>
      <c r="BY221">
        <f ca="1"/>
      </c>
      <c r="BZ221">
        <f ca="1"/>
      </c>
      <c r="CA221">
        <f ca="1"/>
      </c>
      <c r="CB221">
        <f ca="1"/>
      </c>
      <c r="CC221">
        <f ca="1"/>
      </c>
      <c r="CD221">
        <f ca="1"/>
      </c>
      <c r="CE221">
        <f ca="1"/>
      </c>
      <c r="CF221">
        <f ca="1"/>
      </c>
      <c r="CG221">
        <f ca="1"/>
      </c>
      <c r="CH221">
        <f ca="1"/>
      </c>
      <c r="CI221">
        <f ca="1"/>
      </c>
      <c r="CJ221">
        <f ca="1"/>
      </c>
      <c r="CK221">
        <f ca="1"/>
      </c>
      <c r="CL221">
        <f ca="1"/>
      </c>
      <c r="CM221">
        <f ca="1"/>
      </c>
      <c r="CN221">
        <f ca="1"/>
      </c>
      <c r="CO221">
        <f ca="1"/>
      </c>
      <c r="CP221">
        <f ca="1"/>
      </c>
      <c r="CQ221">
        <f ca="1"/>
      </c>
      <c r="CR221">
        <f ca="1"/>
      </c>
      <c r="CS221">
        <f ca="1"/>
      </c>
      <c r="CT221">
        <f ca="1"/>
      </c>
      <c r="CU221">
        <f ca="1"/>
      </c>
      <c r="CV221">
        <f ca="1"/>
      </c>
      <c r="CW221">
        <f ca="1"/>
      </c>
      <c r="CX221">
        <f ca="1"/>
      </c>
      <c r="CY221">
        <f ca="1"/>
      </c>
      <c r="CZ221">
        <f ca="1"/>
      </c>
      <c r="DA221">
        <f ca="1"/>
      </c>
      <c r="DB221">
        <f ca="1"/>
      </c>
      <c r="DC221">
        <f ca="1"/>
      </c>
      <c r="DD221">
        <f ca="1"/>
      </c>
      <c r="DE221">
        <f ca="1"/>
      </c>
      <c r="DG221">
        <f ca="1"/>
      </c>
      <c r="DH221">
        <f ca="1"/>
      </c>
      <c r="DI221">
        <f ca="1"/>
      </c>
      <c r="DJ221">
        <f ca="1"/>
      </c>
      <c r="DK221">
        <f ca="1"/>
      </c>
      <c r="DL221">
        <f ca="1"/>
      </c>
      <c r="DM221">
        <f ca="1"/>
      </c>
      <c r="DN221">
        <f ca="1"/>
      </c>
      <c r="DO221">
        <f ca="1"/>
      </c>
      <c r="DP221">
        <f ca="1"/>
      </c>
      <c r="DQ221">
        <f ca="1"/>
      </c>
      <c r="DR221">
        <f ca="1"/>
      </c>
      <c r="DS221">
        <f ca="1"/>
      </c>
      <c r="DT221">
        <f ca="1"/>
      </c>
      <c r="DU221">
        <f ca="1"/>
      </c>
      <c r="DV221">
        <f ca="1"/>
      </c>
      <c r="DW221">
        <f ca="1"/>
      </c>
      <c r="DX221">
        <f ca="1"/>
      </c>
      <c r="DY221">
        <f ca="1"/>
      </c>
      <c r="DZ221">
        <f ca="1"/>
      </c>
      <c r="EA221">
        <f ca="1"/>
      </c>
      <c r="EB221">
        <f ca="1"/>
      </c>
      <c r="EC221">
        <f ca="1"/>
      </c>
      <c r="ED221">
        <f ca="1"/>
      </c>
      <c r="EE221">
        <f ca="1"/>
      </c>
      <c r="EF221">
        <f ca="1"/>
      </c>
      <c r="EG221">
        <f ca="1"/>
      </c>
      <c r="EH221">
        <f ca="1"/>
      </c>
      <c r="EI221">
        <f ca="1"/>
      </c>
      <c r="EJ221">
        <f ca="1"/>
      </c>
      <c r="EK221">
        <f ca="1"/>
      </c>
      <c r="EL221">
        <f ca="1"/>
      </c>
      <c r="EM221">
        <f ca="1"/>
      </c>
      <c r="EN221">
        <f ca="1"/>
      </c>
      <c r="EO221">
        <f ca="1"/>
      </c>
      <c r="EP221">
        <f ca="1"/>
      </c>
      <c r="EQ221">
        <f ca="1"/>
      </c>
      <c r="ER221">
        <f ca="1"/>
      </c>
      <c r="ES221">
        <f ca="1"/>
      </c>
      <c r="ET221">
        <f ca="1"/>
      </c>
      <c r="EU221">
        <f ca="1"/>
      </c>
      <c r="EV221">
        <f ca="1"/>
      </c>
      <c r="EW221">
        <f ca="1"/>
      </c>
      <c r="EX221">
        <f ca="1"/>
      </c>
      <c r="EY221">
        <f ca="1"/>
      </c>
      <c r="EZ221">
        <f ca="1"/>
      </c>
      <c r="FA221">
        <f ca="1"/>
      </c>
      <c r="FC221">
        <f ca="1"/>
      </c>
      <c r="FD221">
        <f ca="1"/>
      </c>
      <c r="FE221">
        <f ca="1"/>
      </c>
      <c r="FF221">
        <f ca="1"/>
      </c>
      <c r="FG221">
        <f ca="1"/>
      </c>
      <c r="FH221">
        <f ca="1"/>
      </c>
      <c r="FI221">
        <f ca="1"/>
      </c>
      <c r="FJ221">
        <f ca="1"/>
      </c>
      <c r="FK221">
        <f ca="1"/>
      </c>
      <c r="FL221">
        <f ca="1"/>
      </c>
      <c r="FM221">
        <f ca="1"/>
      </c>
      <c r="FN221">
        <f ca="1"/>
      </c>
      <c r="FO221">
        <f ca="1"/>
      </c>
      <c r="FP221">
        <f ca="1"/>
      </c>
      <c r="FQ221">
        <f ca="1"/>
      </c>
      <c r="FR221">
        <f ca="1"/>
      </c>
      <c r="FS221">
        <f ca="1"/>
      </c>
      <c r="FT221">
        <f ca="1"/>
      </c>
      <c r="FU221">
        <f ca="1"/>
      </c>
      <c r="FV221">
        <f ca="1"/>
      </c>
      <c r="FW221">
        <f ca="1"/>
      </c>
      <c r="FX221">
        <f ca="1"/>
      </c>
      <c r="FY221">
        <f ca="1"/>
      </c>
      <c r="FZ221">
        <f ca="1"/>
      </c>
      <c r="GA221">
        <f ca="1"/>
      </c>
      <c r="GB221">
        <f ca="1"/>
      </c>
      <c r="GC221">
        <f ca="1"/>
      </c>
      <c r="GD221">
        <f ca="1"/>
      </c>
      <c r="GE221">
        <f ca="1"/>
      </c>
      <c r="GF221">
        <f ca="1"/>
      </c>
      <c r="GG221">
        <f ca="1"/>
      </c>
      <c r="GH221">
        <f ca="1"/>
      </c>
      <c r="GI221">
        <f ca="1"/>
      </c>
      <c r="GJ221">
        <f ca="1"/>
      </c>
      <c r="GK221">
        <f ca="1"/>
      </c>
      <c r="GL221">
        <f ca="1"/>
      </c>
      <c r="GM221">
        <f ca="1"/>
      </c>
      <c r="GN221">
        <f ca="1"/>
      </c>
      <c r="GO221">
        <f ca="1"/>
      </c>
      <c r="GP221">
        <f ca="1"/>
      </c>
      <c r="GQ221">
        <f ca="1"/>
      </c>
      <c r="GR221">
        <f ca="1"/>
      </c>
      <c r="GS221">
        <f ca="1"/>
      </c>
      <c r="GT221">
        <f ca="1"/>
      </c>
      <c r="GU221">
        <f ca="1"/>
      </c>
      <c r="GV221">
        <f ca="1"/>
      </c>
      <c r="GW221">
        <f ca="1"/>
      </c>
      <c r="HI221" s="7">
        <f ca="1"/>
      </c>
      <c r="HJ221">
        <f ca="1"/>
      </c>
      <c r="HK221">
        <f ca="1"/>
      </c>
      <c r="HL221">
        <f ca="1"/>
      </c>
      <c r="HM221">
        <f ca="1"/>
      </c>
    </row>
    <row r="222" spans="63:221" x14ac:dyDescent="0.55000000000000004">
      <c r="BK222">
        <f ca="1"/>
      </c>
      <c r="BL222">
        <f ca="1"/>
      </c>
      <c r="BM222">
        <f ca="1"/>
      </c>
      <c r="BN222">
        <f ca="1"/>
      </c>
      <c r="BO222">
        <f ca="1"/>
      </c>
      <c r="BP222">
        <f ca="1"/>
      </c>
      <c r="BQ222">
        <f ca="1"/>
      </c>
      <c r="BR222">
        <f ca="1"/>
      </c>
      <c r="BS222">
        <f ca="1"/>
      </c>
      <c r="BT222">
        <f ca="1"/>
      </c>
      <c r="BU222">
        <f ca="1"/>
      </c>
      <c r="BV222">
        <f ca="1"/>
      </c>
      <c r="BW222">
        <f ca="1"/>
      </c>
      <c r="BX222">
        <f ca="1"/>
      </c>
      <c r="BY222">
        <f ca="1"/>
      </c>
      <c r="BZ222">
        <f ca="1"/>
      </c>
      <c r="CA222">
        <f ca="1"/>
      </c>
      <c r="CB222">
        <f ca="1"/>
      </c>
      <c r="CC222">
        <f ca="1"/>
      </c>
      <c r="CD222">
        <f ca="1"/>
      </c>
      <c r="CE222">
        <f ca="1"/>
      </c>
      <c r="CF222">
        <f ca="1"/>
      </c>
      <c r="CG222">
        <f ca="1"/>
      </c>
      <c r="CH222">
        <f ca="1"/>
      </c>
      <c r="CI222">
        <f ca="1"/>
      </c>
      <c r="CJ222">
        <f ca="1"/>
      </c>
      <c r="CK222">
        <f ca="1"/>
      </c>
      <c r="CL222">
        <f ca="1"/>
      </c>
      <c r="CM222">
        <f ca="1"/>
      </c>
      <c r="CN222">
        <f ca="1"/>
      </c>
      <c r="CO222">
        <f ca="1"/>
      </c>
      <c r="CP222">
        <f ca="1"/>
      </c>
      <c r="CQ222">
        <f ca="1"/>
      </c>
      <c r="CR222">
        <f ca="1"/>
      </c>
      <c r="CS222">
        <f ca="1"/>
      </c>
      <c r="CT222">
        <f ca="1"/>
      </c>
      <c r="CU222">
        <f ca="1"/>
      </c>
      <c r="CV222">
        <f ca="1"/>
      </c>
      <c r="CW222">
        <f ca="1"/>
      </c>
      <c r="CX222">
        <f ca="1"/>
      </c>
      <c r="CY222">
        <f ca="1"/>
      </c>
      <c r="CZ222">
        <f ca="1"/>
      </c>
      <c r="DA222">
        <f ca="1"/>
      </c>
      <c r="DB222">
        <f ca="1"/>
      </c>
      <c r="DC222">
        <f ca="1"/>
      </c>
      <c r="DD222">
        <f ca="1"/>
      </c>
      <c r="DE222">
        <f ca="1"/>
      </c>
      <c r="DG222">
        <f ca="1"/>
      </c>
      <c r="DH222">
        <f ca="1"/>
      </c>
      <c r="DI222">
        <f ca="1"/>
      </c>
      <c r="DJ222">
        <f ca="1"/>
      </c>
      <c r="DK222">
        <f ca="1"/>
      </c>
      <c r="DL222">
        <f ca="1"/>
      </c>
      <c r="DM222">
        <f ca="1"/>
      </c>
      <c r="DN222">
        <f ca="1"/>
      </c>
      <c r="DO222">
        <f ca="1"/>
      </c>
      <c r="DP222">
        <f ca="1"/>
      </c>
      <c r="DQ222">
        <f ca="1"/>
      </c>
      <c r="DR222">
        <f ca="1"/>
      </c>
      <c r="DS222">
        <f ca="1"/>
      </c>
      <c r="DT222">
        <f ca="1"/>
      </c>
      <c r="DU222">
        <f ca="1"/>
      </c>
      <c r="DV222">
        <f ca="1"/>
      </c>
      <c r="DW222">
        <f ca="1"/>
      </c>
      <c r="DX222">
        <f ca="1"/>
      </c>
      <c r="DY222">
        <f ca="1"/>
      </c>
      <c r="DZ222">
        <f ca="1"/>
      </c>
      <c r="EA222">
        <f ca="1"/>
      </c>
      <c r="EB222">
        <f ca="1"/>
      </c>
      <c r="EC222">
        <f ca="1"/>
      </c>
      <c r="ED222">
        <f ca="1"/>
      </c>
      <c r="EE222">
        <f ca="1"/>
      </c>
      <c r="EF222">
        <f ca="1"/>
      </c>
      <c r="EG222">
        <f ca="1"/>
      </c>
      <c r="EH222">
        <f ca="1"/>
      </c>
      <c r="EI222">
        <f ca="1"/>
      </c>
      <c r="EJ222">
        <f ca="1"/>
      </c>
      <c r="EK222">
        <f ca="1"/>
      </c>
      <c r="EL222">
        <f ca="1"/>
      </c>
      <c r="EM222">
        <f ca="1"/>
      </c>
      <c r="EN222">
        <f ca="1"/>
      </c>
      <c r="EO222">
        <f ca="1"/>
      </c>
      <c r="EP222">
        <f ca="1"/>
      </c>
      <c r="EQ222">
        <f ca="1"/>
      </c>
      <c r="ER222">
        <f ca="1"/>
      </c>
      <c r="ES222">
        <f ca="1"/>
      </c>
      <c r="ET222">
        <f ca="1"/>
      </c>
      <c r="EU222">
        <f ca="1"/>
      </c>
      <c r="EV222">
        <f ca="1"/>
      </c>
      <c r="EW222">
        <f ca="1"/>
      </c>
      <c r="EX222">
        <f ca="1"/>
      </c>
      <c r="EY222">
        <f ca="1"/>
      </c>
      <c r="EZ222">
        <f ca="1"/>
      </c>
      <c r="FA222">
        <f ca="1"/>
      </c>
      <c r="FC222">
        <f ca="1"/>
      </c>
      <c r="FD222">
        <f ca="1"/>
      </c>
      <c r="FE222">
        <f ca="1"/>
      </c>
      <c r="FF222">
        <f ca="1"/>
      </c>
      <c r="FG222">
        <f ca="1"/>
      </c>
      <c r="FH222">
        <f ca="1"/>
      </c>
      <c r="FI222">
        <f ca="1"/>
      </c>
      <c r="FJ222">
        <f ca="1"/>
      </c>
      <c r="FK222">
        <f ca="1"/>
      </c>
      <c r="FL222">
        <f ca="1"/>
      </c>
      <c r="FM222">
        <f ca="1"/>
      </c>
      <c r="FN222">
        <f ca="1"/>
      </c>
      <c r="FO222">
        <f ca="1"/>
      </c>
      <c r="FP222">
        <f ca="1"/>
      </c>
      <c r="FQ222">
        <f ca="1"/>
      </c>
      <c r="FR222">
        <f ca="1"/>
      </c>
      <c r="FS222">
        <f ca="1"/>
      </c>
      <c r="FT222">
        <f ca="1"/>
      </c>
      <c r="FU222">
        <f ca="1"/>
      </c>
      <c r="FV222">
        <f ca="1"/>
      </c>
      <c r="FW222">
        <f ca="1"/>
      </c>
      <c r="FX222">
        <f ca="1"/>
      </c>
      <c r="FY222">
        <f ca="1"/>
      </c>
      <c r="FZ222">
        <f ca="1"/>
      </c>
      <c r="GA222">
        <f ca="1"/>
      </c>
      <c r="GB222">
        <f ca="1"/>
      </c>
      <c r="GC222">
        <f ca="1"/>
      </c>
      <c r="GD222">
        <f ca="1"/>
      </c>
      <c r="GE222">
        <f ca="1"/>
      </c>
      <c r="GF222">
        <f ca="1"/>
      </c>
      <c r="GG222">
        <f ca="1"/>
      </c>
      <c r="GH222">
        <f ca="1"/>
      </c>
      <c r="GI222">
        <f ca="1"/>
      </c>
      <c r="GJ222">
        <f ca="1"/>
      </c>
      <c r="GK222">
        <f ca="1"/>
      </c>
      <c r="GL222">
        <f ca="1"/>
      </c>
      <c r="GM222">
        <f ca="1"/>
      </c>
      <c r="GN222">
        <f ca="1"/>
      </c>
      <c r="GO222">
        <f ca="1"/>
      </c>
      <c r="GP222">
        <f ca="1"/>
      </c>
      <c r="GQ222">
        <f ca="1"/>
      </c>
      <c r="GR222">
        <f ca="1"/>
      </c>
      <c r="GS222">
        <f ca="1"/>
      </c>
      <c r="GT222">
        <f ca="1"/>
      </c>
      <c r="GU222">
        <f ca="1"/>
      </c>
      <c r="GV222">
        <f ca="1"/>
      </c>
      <c r="GW222">
        <f ca="1"/>
      </c>
      <c r="HI222" s="7">
        <f ca="1"/>
      </c>
      <c r="HJ222">
        <f ca="1"/>
      </c>
      <c r="HK222">
        <f ca="1"/>
      </c>
      <c r="HL222">
        <f ca="1"/>
      </c>
      <c r="HM222">
        <f ca="1"/>
      </c>
    </row>
    <row r="223" spans="63:221" x14ac:dyDescent="0.55000000000000004">
      <c r="BK223">
        <f ca="1"/>
      </c>
      <c r="BL223">
        <f ca="1"/>
      </c>
      <c r="BM223">
        <f ca="1"/>
      </c>
      <c r="BN223">
        <f ca="1"/>
      </c>
      <c r="BO223">
        <f ca="1"/>
      </c>
      <c r="BP223">
        <f ca="1"/>
      </c>
      <c r="BQ223">
        <f ca="1"/>
      </c>
      <c r="BR223">
        <f ca="1"/>
      </c>
      <c r="BS223">
        <f ca="1"/>
      </c>
      <c r="BT223">
        <f ca="1"/>
      </c>
      <c r="BU223">
        <f ca="1"/>
      </c>
      <c r="BV223">
        <f ca="1"/>
      </c>
      <c r="BW223">
        <f ca="1"/>
      </c>
      <c r="BX223">
        <f ca="1"/>
      </c>
      <c r="BY223">
        <f ca="1"/>
      </c>
      <c r="BZ223">
        <f ca="1"/>
      </c>
      <c r="CA223">
        <f ca="1"/>
      </c>
      <c r="CB223">
        <f ca="1"/>
      </c>
      <c r="CC223">
        <f ca="1"/>
      </c>
      <c r="CD223">
        <f ca="1"/>
      </c>
      <c r="CE223">
        <f ca="1"/>
      </c>
      <c r="CF223">
        <f ca="1"/>
      </c>
      <c r="CG223">
        <f ca="1"/>
      </c>
      <c r="CH223">
        <f ca="1"/>
      </c>
      <c r="CI223">
        <f ca="1"/>
      </c>
      <c r="CJ223">
        <f ca="1"/>
      </c>
      <c r="CK223">
        <f ca="1"/>
      </c>
      <c r="CL223">
        <f ca="1"/>
      </c>
      <c r="CM223">
        <f ca="1"/>
      </c>
      <c r="CN223">
        <f ca="1"/>
      </c>
      <c r="CO223">
        <f ca="1"/>
      </c>
      <c r="CP223">
        <f ca="1"/>
      </c>
      <c r="CQ223">
        <f ca="1"/>
      </c>
      <c r="CR223">
        <f ca="1"/>
      </c>
      <c r="CS223">
        <f ca="1"/>
      </c>
      <c r="CT223">
        <f ca="1"/>
      </c>
      <c r="CU223">
        <f ca="1"/>
      </c>
      <c r="CV223">
        <f ca="1"/>
      </c>
      <c r="CW223">
        <f ca="1"/>
      </c>
      <c r="CX223">
        <f ca="1"/>
      </c>
      <c r="CY223">
        <f ca="1"/>
      </c>
      <c r="CZ223">
        <f ca="1"/>
      </c>
      <c r="DA223">
        <f ca="1"/>
      </c>
      <c r="DB223">
        <f ca="1"/>
      </c>
      <c r="DC223">
        <f ca="1"/>
      </c>
      <c r="DD223">
        <f ca="1"/>
      </c>
      <c r="DE223">
        <f ca="1"/>
      </c>
      <c r="DG223">
        <f ca="1"/>
      </c>
      <c r="DH223">
        <f ca="1"/>
      </c>
      <c r="DI223">
        <f ca="1"/>
      </c>
      <c r="DJ223">
        <f ca="1"/>
      </c>
      <c r="DK223">
        <f ca="1"/>
      </c>
      <c r="DL223">
        <f ca="1"/>
      </c>
      <c r="DM223">
        <f ca="1"/>
      </c>
      <c r="DN223">
        <f ca="1"/>
      </c>
      <c r="DO223">
        <f ca="1"/>
      </c>
      <c r="DP223">
        <f ca="1"/>
      </c>
      <c r="DQ223">
        <f ca="1"/>
      </c>
      <c r="DR223">
        <f ca="1"/>
      </c>
      <c r="DS223">
        <f ca="1"/>
      </c>
      <c r="DT223">
        <f ca="1"/>
      </c>
      <c r="DU223">
        <f ca="1"/>
      </c>
      <c r="DV223">
        <f ca="1"/>
      </c>
      <c r="DW223">
        <f ca="1"/>
      </c>
      <c r="DX223">
        <f ca="1"/>
      </c>
      <c r="DY223">
        <f ca="1"/>
      </c>
      <c r="DZ223">
        <f ca="1"/>
      </c>
      <c r="EA223">
        <f ca="1"/>
      </c>
      <c r="EB223">
        <f ca="1"/>
      </c>
      <c r="EC223">
        <f ca="1"/>
      </c>
      <c r="ED223">
        <f ca="1"/>
      </c>
      <c r="EE223">
        <f ca="1"/>
      </c>
      <c r="EF223">
        <f ca="1"/>
      </c>
      <c r="EG223">
        <f ca="1"/>
      </c>
      <c r="EH223">
        <f ca="1"/>
      </c>
      <c r="EI223">
        <f ca="1"/>
      </c>
      <c r="EJ223">
        <f ca="1"/>
      </c>
      <c r="EK223">
        <f ca="1"/>
      </c>
      <c r="EL223">
        <f ca="1"/>
      </c>
      <c r="EM223">
        <f ca="1"/>
      </c>
      <c r="EN223">
        <f ca="1"/>
      </c>
      <c r="EO223">
        <f ca="1"/>
      </c>
      <c r="EP223">
        <f ca="1"/>
      </c>
      <c r="EQ223">
        <f ca="1"/>
      </c>
      <c r="ER223">
        <f ca="1"/>
      </c>
      <c r="ES223">
        <f ca="1"/>
      </c>
      <c r="ET223">
        <f ca="1"/>
      </c>
      <c r="EU223">
        <f ca="1"/>
      </c>
      <c r="EV223">
        <f ca="1"/>
      </c>
      <c r="EW223">
        <f ca="1"/>
      </c>
      <c r="EX223">
        <f ca="1"/>
      </c>
      <c r="EY223">
        <f ca="1"/>
      </c>
      <c r="EZ223">
        <f ca="1"/>
      </c>
      <c r="FA223">
        <f ca="1"/>
      </c>
      <c r="FC223">
        <f ca="1"/>
      </c>
      <c r="FD223">
        <f ca="1"/>
      </c>
      <c r="FE223">
        <f ca="1"/>
      </c>
      <c r="FF223">
        <f ca="1"/>
      </c>
      <c r="FG223">
        <f ca="1"/>
      </c>
      <c r="FH223">
        <f ca="1"/>
      </c>
      <c r="FI223">
        <f ca="1"/>
      </c>
      <c r="FJ223">
        <f ca="1"/>
      </c>
      <c r="FK223">
        <f ca="1"/>
      </c>
      <c r="FL223">
        <f ca="1"/>
      </c>
      <c r="FM223">
        <f ca="1"/>
      </c>
      <c r="FN223">
        <f ca="1"/>
      </c>
      <c r="FO223">
        <f ca="1"/>
      </c>
      <c r="FP223">
        <f ca="1"/>
      </c>
      <c r="FQ223">
        <f ca="1"/>
      </c>
      <c r="FR223">
        <f ca="1"/>
      </c>
      <c r="FS223">
        <f ca="1"/>
      </c>
      <c r="FT223">
        <f ca="1"/>
      </c>
      <c r="FU223">
        <f ca="1"/>
      </c>
      <c r="FV223">
        <f ca="1"/>
      </c>
      <c r="FW223">
        <f ca="1"/>
      </c>
      <c r="FX223">
        <f ca="1"/>
      </c>
      <c r="FY223">
        <f ca="1"/>
      </c>
      <c r="FZ223">
        <f ca="1"/>
      </c>
      <c r="GA223">
        <f ca="1"/>
      </c>
      <c r="GB223">
        <f ca="1"/>
      </c>
      <c r="GC223">
        <f ca="1"/>
      </c>
      <c r="GD223">
        <f ca="1"/>
      </c>
      <c r="GE223">
        <f ca="1"/>
      </c>
      <c r="GF223">
        <f ca="1"/>
      </c>
      <c r="GG223">
        <f ca="1"/>
      </c>
      <c r="GH223">
        <f ca="1"/>
      </c>
      <c r="GI223">
        <f ca="1"/>
      </c>
      <c r="GJ223">
        <f ca="1"/>
      </c>
      <c r="GK223">
        <f ca="1"/>
      </c>
      <c r="GL223">
        <f ca="1"/>
      </c>
      <c r="GM223">
        <f ca="1"/>
      </c>
      <c r="GN223">
        <f ca="1"/>
      </c>
      <c r="GO223">
        <f ca="1"/>
      </c>
      <c r="GP223">
        <f ca="1"/>
      </c>
      <c r="GQ223">
        <f ca="1"/>
      </c>
      <c r="GR223">
        <f ca="1"/>
      </c>
      <c r="GS223">
        <f ca="1"/>
      </c>
      <c r="GT223">
        <f ca="1"/>
      </c>
      <c r="GU223">
        <f ca="1"/>
      </c>
      <c r="GV223">
        <f ca="1"/>
      </c>
      <c r="GW223">
        <f ca="1"/>
      </c>
      <c r="HI223" s="7">
        <f ca="1"/>
      </c>
      <c r="HJ223">
        <f ca="1"/>
      </c>
      <c r="HK223">
        <f ca="1"/>
      </c>
      <c r="HL223">
        <f ca="1"/>
      </c>
      <c r="HM223">
        <f ca="1"/>
      </c>
    </row>
    <row r="224" spans="63:221" x14ac:dyDescent="0.55000000000000004">
      <c r="BK224">
        <f ca="1"/>
      </c>
      <c r="BL224">
        <f ca="1"/>
      </c>
      <c r="BM224">
        <f ca="1"/>
      </c>
      <c r="BN224">
        <f ca="1"/>
      </c>
      <c r="BO224">
        <f ca="1"/>
      </c>
      <c r="BP224">
        <f ca="1"/>
      </c>
      <c r="BQ224">
        <f ca="1"/>
      </c>
      <c r="BR224">
        <f ca="1"/>
      </c>
      <c r="BS224">
        <f ca="1"/>
      </c>
      <c r="BT224">
        <f ca="1"/>
      </c>
      <c r="BU224">
        <f ca="1"/>
      </c>
      <c r="BV224">
        <f ca="1"/>
      </c>
      <c r="BW224">
        <f ca="1"/>
      </c>
      <c r="BX224">
        <f ca="1"/>
      </c>
      <c r="BY224">
        <f ca="1"/>
      </c>
      <c r="BZ224">
        <f ca="1"/>
      </c>
      <c r="CA224">
        <f ca="1"/>
      </c>
      <c r="CB224">
        <f ca="1"/>
      </c>
      <c r="CC224">
        <f ca="1"/>
      </c>
      <c r="CD224">
        <f ca="1"/>
      </c>
      <c r="CE224">
        <f ca="1"/>
      </c>
      <c r="CF224">
        <f ca="1"/>
      </c>
      <c r="CG224">
        <f ca="1"/>
      </c>
      <c r="CH224">
        <f ca="1"/>
      </c>
      <c r="CI224">
        <f ca="1"/>
      </c>
      <c r="CJ224">
        <f ca="1"/>
      </c>
      <c r="CK224">
        <f ca="1"/>
      </c>
      <c r="CL224">
        <f ca="1"/>
      </c>
      <c r="CM224">
        <f ca="1"/>
      </c>
      <c r="CN224">
        <f ca="1"/>
      </c>
      <c r="CO224">
        <f ca="1"/>
      </c>
      <c r="CP224">
        <f ca="1"/>
      </c>
      <c r="CQ224">
        <f ca="1"/>
      </c>
      <c r="CR224">
        <f ca="1"/>
      </c>
      <c r="CS224">
        <f ca="1"/>
      </c>
      <c r="CT224">
        <f ca="1"/>
      </c>
      <c r="CU224">
        <f ca="1"/>
      </c>
      <c r="CV224">
        <f ca="1"/>
      </c>
      <c r="CW224">
        <f ca="1"/>
      </c>
      <c r="CX224">
        <f ca="1"/>
      </c>
      <c r="CY224">
        <f ca="1"/>
      </c>
      <c r="CZ224">
        <f ca="1"/>
      </c>
      <c r="DA224">
        <f ca="1"/>
      </c>
      <c r="DB224">
        <f ca="1"/>
      </c>
      <c r="DC224">
        <f ca="1"/>
      </c>
      <c r="DD224">
        <f ca="1"/>
      </c>
      <c r="DE224">
        <f ca="1"/>
      </c>
      <c r="DG224">
        <f ca="1"/>
      </c>
      <c r="DH224">
        <f ca="1"/>
      </c>
      <c r="DI224">
        <f ca="1"/>
      </c>
      <c r="DJ224">
        <f ca="1"/>
      </c>
      <c r="DK224">
        <f ca="1"/>
      </c>
      <c r="DL224">
        <f ca="1"/>
      </c>
      <c r="DM224">
        <f ca="1"/>
      </c>
      <c r="DN224">
        <f ca="1"/>
      </c>
      <c r="DO224">
        <f ca="1"/>
      </c>
      <c r="DP224">
        <f ca="1"/>
      </c>
      <c r="DQ224">
        <f ca="1"/>
      </c>
      <c r="DR224">
        <f ca="1"/>
      </c>
      <c r="DS224">
        <f ca="1"/>
      </c>
      <c r="DT224">
        <f ca="1"/>
      </c>
      <c r="DU224">
        <f ca="1"/>
      </c>
      <c r="DV224">
        <f ca="1"/>
      </c>
      <c r="DW224">
        <f ca="1"/>
      </c>
      <c r="DX224">
        <f ca="1"/>
      </c>
      <c r="DY224">
        <f ca="1"/>
      </c>
      <c r="DZ224">
        <f ca="1"/>
      </c>
      <c r="EA224">
        <f ca="1"/>
      </c>
      <c r="EB224">
        <f ca="1"/>
      </c>
      <c r="EC224">
        <f ca="1"/>
      </c>
      <c r="ED224">
        <f ca="1"/>
      </c>
      <c r="EE224">
        <f ca="1"/>
      </c>
      <c r="EF224">
        <f ca="1"/>
      </c>
      <c r="EG224">
        <f ca="1"/>
      </c>
      <c r="EH224">
        <f ca="1"/>
      </c>
      <c r="EI224">
        <f ca="1"/>
      </c>
      <c r="EJ224">
        <f ca="1"/>
      </c>
      <c r="EK224">
        <f ca="1"/>
      </c>
      <c r="EL224">
        <f ca="1"/>
      </c>
      <c r="EM224">
        <f ca="1"/>
      </c>
      <c r="EN224">
        <f ca="1"/>
      </c>
      <c r="EO224">
        <f ca="1"/>
      </c>
      <c r="EP224">
        <f ca="1"/>
      </c>
      <c r="EQ224">
        <f ca="1"/>
      </c>
      <c r="ER224">
        <f ca="1"/>
      </c>
      <c r="ES224">
        <f ca="1"/>
      </c>
      <c r="ET224">
        <f ca="1"/>
      </c>
      <c r="EU224">
        <f ca="1"/>
      </c>
      <c r="EV224">
        <f ca="1"/>
      </c>
      <c r="EW224">
        <f ca="1"/>
      </c>
      <c r="EX224">
        <f ca="1"/>
      </c>
      <c r="EY224">
        <f ca="1"/>
      </c>
      <c r="EZ224">
        <f ca="1"/>
      </c>
      <c r="FA224">
        <f ca="1"/>
      </c>
      <c r="FC224">
        <f ca="1"/>
      </c>
      <c r="FD224">
        <f ca="1"/>
      </c>
      <c r="FE224">
        <f ca="1"/>
      </c>
      <c r="FF224">
        <f ca="1"/>
      </c>
      <c r="FG224">
        <f ca="1"/>
      </c>
      <c r="FH224">
        <f ca="1"/>
      </c>
      <c r="FI224">
        <f ca="1"/>
      </c>
      <c r="FJ224">
        <f ca="1"/>
      </c>
      <c r="FK224">
        <f ca="1"/>
      </c>
      <c r="FL224">
        <f ca="1"/>
      </c>
      <c r="FM224">
        <f ca="1"/>
      </c>
      <c r="FN224">
        <f ca="1"/>
      </c>
      <c r="FO224">
        <f ca="1"/>
      </c>
      <c r="FP224">
        <f ca="1"/>
      </c>
      <c r="FQ224">
        <f ca="1"/>
      </c>
      <c r="FR224">
        <f ca="1"/>
      </c>
      <c r="FS224">
        <f ca="1"/>
      </c>
      <c r="FT224">
        <f ca="1"/>
      </c>
      <c r="FU224">
        <f ca="1"/>
      </c>
      <c r="FV224">
        <f ca="1"/>
      </c>
      <c r="FW224">
        <f ca="1"/>
      </c>
      <c r="FX224">
        <f ca="1"/>
      </c>
      <c r="FY224">
        <f ca="1"/>
      </c>
      <c r="FZ224">
        <f ca="1"/>
      </c>
      <c r="GA224">
        <f ca="1"/>
      </c>
      <c r="GB224">
        <f ca="1"/>
      </c>
      <c r="GC224">
        <f ca="1"/>
      </c>
      <c r="GD224">
        <f ca="1"/>
      </c>
      <c r="GE224">
        <f ca="1"/>
      </c>
      <c r="GF224">
        <f ca="1"/>
      </c>
      <c r="GG224">
        <f ca="1"/>
      </c>
      <c r="GH224">
        <f ca="1"/>
      </c>
      <c r="GI224">
        <f ca="1"/>
      </c>
      <c r="GJ224">
        <f ca="1"/>
      </c>
      <c r="GK224">
        <f ca="1"/>
      </c>
      <c r="GL224">
        <f ca="1"/>
      </c>
      <c r="GM224">
        <f ca="1"/>
      </c>
      <c r="GN224">
        <f ca="1"/>
      </c>
      <c r="GO224">
        <f ca="1"/>
      </c>
      <c r="GP224">
        <f ca="1"/>
      </c>
      <c r="GQ224">
        <f ca="1"/>
      </c>
      <c r="GR224">
        <f ca="1"/>
      </c>
      <c r="GS224">
        <f ca="1"/>
      </c>
      <c r="GT224">
        <f ca="1"/>
      </c>
      <c r="GU224">
        <f ca="1"/>
      </c>
      <c r="GV224">
        <f ca="1"/>
      </c>
      <c r="GW224">
        <f ca="1"/>
      </c>
      <c r="HI224" s="7">
        <f ca="1"/>
      </c>
      <c r="HJ224">
        <f ca="1"/>
      </c>
      <c r="HK224">
        <f ca="1"/>
      </c>
      <c r="HL224">
        <f ca="1"/>
      </c>
      <c r="HM224">
        <f ca="1"/>
      </c>
    </row>
    <row r="225" spans="63:221" x14ac:dyDescent="0.55000000000000004">
      <c r="BK225">
        <f ca="1"/>
      </c>
      <c r="BL225">
        <f ca="1"/>
      </c>
      <c r="BM225">
        <f ca="1"/>
      </c>
      <c r="BN225">
        <f ca="1"/>
      </c>
      <c r="BO225">
        <f ca="1"/>
      </c>
      <c r="BP225">
        <f ca="1"/>
      </c>
      <c r="BQ225">
        <f ca="1"/>
      </c>
      <c r="BR225">
        <f ca="1"/>
      </c>
      <c r="BS225">
        <f ca="1"/>
      </c>
      <c r="BT225">
        <f ca="1"/>
      </c>
      <c r="BU225">
        <f ca="1"/>
      </c>
      <c r="BV225">
        <f ca="1"/>
      </c>
      <c r="BW225">
        <f ca="1"/>
      </c>
      <c r="BX225">
        <f ca="1"/>
      </c>
      <c r="BY225">
        <f ca="1"/>
      </c>
      <c r="BZ225">
        <f ca="1"/>
      </c>
      <c r="CA225">
        <f ca="1"/>
      </c>
      <c r="CB225">
        <f ca="1"/>
      </c>
      <c r="CC225">
        <f ca="1"/>
      </c>
      <c r="CD225">
        <f ca="1"/>
      </c>
      <c r="CE225">
        <f ca="1"/>
      </c>
      <c r="CF225">
        <f ca="1"/>
      </c>
      <c r="CG225">
        <f ca="1"/>
      </c>
      <c r="CH225">
        <f ca="1"/>
      </c>
      <c r="CI225">
        <f ca="1"/>
      </c>
      <c r="CJ225">
        <f ca="1"/>
      </c>
      <c r="CK225">
        <f ca="1"/>
      </c>
      <c r="CL225">
        <f ca="1"/>
      </c>
      <c r="CM225">
        <f ca="1"/>
      </c>
      <c r="CN225">
        <f ca="1"/>
      </c>
      <c r="CO225">
        <f ca="1"/>
      </c>
      <c r="CP225">
        <f ca="1"/>
      </c>
      <c r="CQ225">
        <f ca="1"/>
      </c>
      <c r="CR225">
        <f ca="1"/>
      </c>
      <c r="CS225">
        <f ca="1"/>
      </c>
      <c r="CT225">
        <f ca="1"/>
      </c>
      <c r="CU225">
        <f ca="1"/>
      </c>
      <c r="CV225">
        <f ca="1"/>
      </c>
      <c r="CW225">
        <f ca="1"/>
      </c>
      <c r="CX225">
        <f ca="1"/>
      </c>
      <c r="CY225">
        <f ca="1"/>
      </c>
      <c r="CZ225">
        <f ca="1"/>
      </c>
      <c r="DA225">
        <f ca="1"/>
      </c>
      <c r="DB225">
        <f ca="1"/>
      </c>
      <c r="DC225">
        <f ca="1"/>
      </c>
      <c r="DD225">
        <f ca="1"/>
      </c>
      <c r="DE225">
        <f ca="1"/>
      </c>
      <c r="DG225">
        <f ca="1"/>
      </c>
      <c r="DH225">
        <f ca="1"/>
      </c>
      <c r="DI225">
        <f ca="1"/>
      </c>
      <c r="DJ225">
        <f ca="1"/>
      </c>
      <c r="DK225">
        <f ca="1"/>
      </c>
      <c r="DL225">
        <f ca="1"/>
      </c>
      <c r="DM225">
        <f ca="1"/>
      </c>
      <c r="DN225">
        <f ca="1"/>
      </c>
      <c r="DO225">
        <f ca="1"/>
      </c>
      <c r="DP225">
        <f ca="1"/>
      </c>
      <c r="DQ225">
        <f ca="1"/>
      </c>
      <c r="DR225">
        <f ca="1"/>
      </c>
      <c r="DS225">
        <f ca="1"/>
      </c>
      <c r="DT225">
        <f ca="1"/>
      </c>
      <c r="DU225">
        <f ca="1"/>
      </c>
      <c r="DV225">
        <f ca="1"/>
      </c>
      <c r="DW225">
        <f ca="1"/>
      </c>
      <c r="DX225">
        <f ca="1"/>
      </c>
      <c r="DY225">
        <f ca="1"/>
      </c>
      <c r="DZ225">
        <f ca="1"/>
      </c>
      <c r="EA225">
        <f ca="1"/>
      </c>
      <c r="EB225">
        <f ca="1"/>
      </c>
      <c r="EC225">
        <f ca="1"/>
      </c>
      <c r="ED225">
        <f ca="1"/>
      </c>
      <c r="EE225">
        <f ca="1"/>
      </c>
      <c r="EF225">
        <f ca="1"/>
      </c>
      <c r="EG225">
        <f ca="1"/>
      </c>
      <c r="EH225">
        <f ca="1"/>
      </c>
      <c r="EI225">
        <f ca="1"/>
      </c>
      <c r="EJ225">
        <f ca="1"/>
      </c>
      <c r="EK225">
        <f ca="1"/>
      </c>
      <c r="EL225">
        <f ca="1"/>
      </c>
      <c r="EM225">
        <f ca="1"/>
      </c>
      <c r="EN225">
        <f ca="1"/>
      </c>
      <c r="EO225">
        <f ca="1"/>
      </c>
      <c r="EP225">
        <f ca="1"/>
      </c>
      <c r="EQ225">
        <f ca="1"/>
      </c>
      <c r="ER225">
        <f ca="1"/>
      </c>
      <c r="ES225">
        <f ca="1"/>
      </c>
      <c r="ET225">
        <f ca="1"/>
      </c>
      <c r="EU225">
        <f ca="1"/>
      </c>
      <c r="EV225">
        <f ca="1"/>
      </c>
      <c r="EW225">
        <f ca="1"/>
      </c>
      <c r="EX225">
        <f ca="1"/>
      </c>
      <c r="EY225">
        <f ca="1"/>
      </c>
      <c r="EZ225">
        <f ca="1"/>
      </c>
      <c r="FA225">
        <f ca="1"/>
      </c>
      <c r="FC225">
        <f ca="1"/>
      </c>
      <c r="FD225">
        <f ca="1"/>
      </c>
      <c r="FE225">
        <f ca="1"/>
      </c>
      <c r="FF225">
        <f ca="1"/>
      </c>
      <c r="FG225">
        <f ca="1"/>
      </c>
      <c r="FH225">
        <f ca="1"/>
      </c>
      <c r="FI225">
        <f ca="1"/>
      </c>
      <c r="FJ225">
        <f ca="1"/>
      </c>
      <c r="FK225">
        <f ca="1"/>
      </c>
      <c r="FL225">
        <f ca="1"/>
      </c>
      <c r="FM225">
        <f ca="1"/>
      </c>
      <c r="FN225">
        <f ca="1"/>
      </c>
      <c r="FO225">
        <f ca="1"/>
      </c>
      <c r="FP225">
        <f ca="1"/>
      </c>
      <c r="FQ225">
        <f ca="1"/>
      </c>
      <c r="FR225">
        <f ca="1"/>
      </c>
      <c r="FS225">
        <f ca="1"/>
      </c>
      <c r="FT225">
        <f ca="1"/>
      </c>
      <c r="FU225">
        <f ca="1"/>
      </c>
      <c r="FV225">
        <f ca="1"/>
      </c>
      <c r="FW225">
        <f ca="1"/>
      </c>
      <c r="FX225">
        <f ca="1"/>
      </c>
      <c r="FY225">
        <f ca="1"/>
      </c>
      <c r="FZ225">
        <f ca="1"/>
      </c>
      <c r="GA225">
        <f ca="1"/>
      </c>
      <c r="GB225">
        <f ca="1"/>
      </c>
      <c r="GC225">
        <f ca="1"/>
      </c>
      <c r="GD225">
        <f ca="1"/>
      </c>
      <c r="GE225">
        <f ca="1"/>
      </c>
      <c r="GF225">
        <f ca="1"/>
      </c>
      <c r="GG225">
        <f ca="1"/>
      </c>
      <c r="GH225">
        <f ca="1"/>
      </c>
      <c r="GI225">
        <f ca="1"/>
      </c>
      <c r="GJ225">
        <f ca="1"/>
      </c>
      <c r="GK225">
        <f ca="1"/>
      </c>
      <c r="GL225">
        <f ca="1"/>
      </c>
      <c r="GM225">
        <f ca="1"/>
      </c>
      <c r="GN225">
        <f ca="1"/>
      </c>
      <c r="GO225">
        <f ca="1"/>
      </c>
      <c r="GP225">
        <f ca="1"/>
      </c>
      <c r="GQ225">
        <f ca="1"/>
      </c>
      <c r="GR225">
        <f ca="1"/>
      </c>
      <c r="GS225">
        <f ca="1"/>
      </c>
      <c r="GT225">
        <f ca="1"/>
      </c>
      <c r="GU225">
        <f ca="1"/>
      </c>
      <c r="GV225">
        <f ca="1"/>
      </c>
      <c r="GW225">
        <f ca="1"/>
      </c>
      <c r="HI225" s="7">
        <f ca="1"/>
      </c>
      <c r="HJ225">
        <f ca="1"/>
      </c>
      <c r="HK225">
        <f ca="1"/>
      </c>
      <c r="HL225">
        <f ca="1"/>
      </c>
      <c r="HM225">
        <f ca="1"/>
      </c>
    </row>
    <row r="226" spans="63:221" x14ac:dyDescent="0.55000000000000004">
      <c r="BK226">
        <f ca="1"/>
      </c>
      <c r="BL226">
        <f ca="1"/>
      </c>
      <c r="BM226">
        <f ca="1"/>
      </c>
      <c r="BN226">
        <f ca="1"/>
      </c>
      <c r="BO226">
        <f ca="1"/>
      </c>
      <c r="BP226">
        <f ca="1"/>
      </c>
      <c r="BQ226">
        <f ca="1"/>
      </c>
      <c r="BR226">
        <f ca="1"/>
      </c>
      <c r="BS226">
        <f ca="1"/>
      </c>
      <c r="BT226">
        <f ca="1"/>
      </c>
      <c r="BU226">
        <f ca="1"/>
      </c>
      <c r="BV226">
        <f ca="1"/>
      </c>
      <c r="BW226">
        <f ca="1"/>
      </c>
      <c r="BX226">
        <f ca="1"/>
      </c>
      <c r="BY226">
        <f ca="1"/>
      </c>
      <c r="BZ226">
        <f ca="1"/>
      </c>
      <c r="CA226">
        <f ca="1"/>
      </c>
      <c r="CB226">
        <f ca="1"/>
      </c>
      <c r="CC226">
        <f ca="1"/>
      </c>
      <c r="CD226">
        <f ca="1"/>
      </c>
      <c r="CE226">
        <f ca="1"/>
      </c>
      <c r="CF226">
        <f ca="1"/>
      </c>
      <c r="CG226">
        <f ca="1"/>
      </c>
      <c r="CH226">
        <f ca="1"/>
      </c>
      <c r="CI226">
        <f ca="1"/>
      </c>
      <c r="CJ226">
        <f ca="1"/>
      </c>
      <c r="CK226">
        <f ca="1"/>
      </c>
      <c r="CL226">
        <f ca="1"/>
      </c>
      <c r="CM226">
        <f ca="1"/>
      </c>
      <c r="CN226">
        <f ca="1"/>
      </c>
      <c r="CO226">
        <f ca="1"/>
      </c>
      <c r="CP226">
        <f ca="1"/>
      </c>
      <c r="CQ226">
        <f ca="1"/>
      </c>
      <c r="CR226">
        <f ca="1"/>
      </c>
      <c r="CS226">
        <f ca="1"/>
      </c>
      <c r="CT226">
        <f ca="1"/>
      </c>
      <c r="CU226">
        <f ca="1"/>
      </c>
      <c r="CV226">
        <f ca="1"/>
      </c>
      <c r="CW226">
        <f ca="1"/>
      </c>
      <c r="CX226">
        <f ca="1"/>
      </c>
      <c r="CY226">
        <f ca="1"/>
      </c>
      <c r="CZ226">
        <f ca="1"/>
      </c>
      <c r="DA226">
        <f ca="1"/>
      </c>
      <c r="DB226">
        <f ca="1"/>
      </c>
      <c r="DC226">
        <f ca="1"/>
      </c>
      <c r="DD226">
        <f ca="1"/>
      </c>
      <c r="DE226">
        <f ca="1"/>
      </c>
      <c r="DG226">
        <f ca="1"/>
      </c>
      <c r="DH226">
        <f ca="1"/>
      </c>
      <c r="DI226">
        <f ca="1"/>
      </c>
      <c r="DJ226">
        <f ca="1"/>
      </c>
      <c r="DK226">
        <f ca="1"/>
      </c>
      <c r="DL226">
        <f ca="1"/>
      </c>
      <c r="DM226">
        <f ca="1"/>
      </c>
      <c r="DN226">
        <f ca="1"/>
      </c>
      <c r="DO226">
        <f ca="1"/>
      </c>
      <c r="DP226">
        <f ca="1"/>
      </c>
      <c r="DQ226">
        <f ca="1"/>
      </c>
      <c r="DR226">
        <f ca="1"/>
      </c>
      <c r="DS226">
        <f ca="1"/>
      </c>
      <c r="DT226">
        <f ca="1"/>
      </c>
      <c r="DU226">
        <f ca="1"/>
      </c>
      <c r="DV226">
        <f ca="1"/>
      </c>
      <c r="DW226">
        <f ca="1"/>
      </c>
      <c r="DX226">
        <f ca="1"/>
      </c>
      <c r="DY226">
        <f ca="1"/>
      </c>
      <c r="DZ226">
        <f ca="1"/>
      </c>
      <c r="EA226">
        <f ca="1"/>
      </c>
      <c r="EB226">
        <f ca="1"/>
      </c>
      <c r="EC226">
        <f ca="1"/>
      </c>
      <c r="ED226">
        <f ca="1"/>
      </c>
      <c r="EE226">
        <f ca="1"/>
      </c>
      <c r="EF226">
        <f ca="1"/>
      </c>
      <c r="EG226">
        <f ca="1"/>
      </c>
      <c r="EH226">
        <f ca="1"/>
      </c>
      <c r="EI226">
        <f ca="1"/>
      </c>
      <c r="EJ226">
        <f ca="1"/>
      </c>
      <c r="EK226">
        <f ca="1"/>
      </c>
      <c r="EL226">
        <f ca="1"/>
      </c>
      <c r="EM226">
        <f ca="1"/>
      </c>
      <c r="EN226">
        <f ca="1"/>
      </c>
      <c r="EO226">
        <f ca="1"/>
      </c>
      <c r="EP226">
        <f ca="1"/>
      </c>
      <c r="EQ226">
        <f ca="1"/>
      </c>
      <c r="ER226">
        <f ca="1"/>
      </c>
      <c r="ES226">
        <f ca="1"/>
      </c>
      <c r="ET226">
        <f ca="1"/>
      </c>
      <c r="EU226">
        <f ca="1"/>
      </c>
      <c r="EV226">
        <f ca="1"/>
      </c>
      <c r="EW226">
        <f ca="1"/>
      </c>
      <c r="EX226">
        <f ca="1"/>
      </c>
      <c r="EY226">
        <f ca="1"/>
      </c>
      <c r="EZ226">
        <f ca="1"/>
      </c>
      <c r="FA226">
        <f ca="1"/>
      </c>
      <c r="FC226">
        <f ca="1"/>
      </c>
      <c r="FD226">
        <f ca="1"/>
      </c>
      <c r="FE226">
        <f ca="1"/>
      </c>
      <c r="FF226">
        <f ca="1"/>
      </c>
      <c r="FG226">
        <f ca="1"/>
      </c>
      <c r="FH226">
        <f ca="1"/>
      </c>
      <c r="FI226">
        <f ca="1"/>
      </c>
      <c r="FJ226">
        <f ca="1"/>
      </c>
      <c r="FK226">
        <f ca="1"/>
      </c>
      <c r="FL226">
        <f ca="1"/>
      </c>
      <c r="FM226">
        <f ca="1"/>
      </c>
      <c r="FN226">
        <f ca="1"/>
      </c>
      <c r="FO226">
        <f ca="1"/>
      </c>
      <c r="FP226">
        <f ca="1"/>
      </c>
      <c r="FQ226">
        <f ca="1"/>
      </c>
      <c r="FR226">
        <f ca="1"/>
      </c>
      <c r="FS226">
        <f ca="1"/>
      </c>
      <c r="FT226">
        <f ca="1"/>
      </c>
      <c r="FU226">
        <f ca="1"/>
      </c>
      <c r="FV226">
        <f ca="1"/>
      </c>
      <c r="FW226">
        <f ca="1"/>
      </c>
      <c r="FX226">
        <f ca="1"/>
      </c>
      <c r="FY226">
        <f ca="1"/>
      </c>
      <c r="FZ226">
        <f ca="1"/>
      </c>
      <c r="GA226">
        <f ca="1"/>
      </c>
      <c r="GB226">
        <f ca="1"/>
      </c>
      <c r="GC226">
        <f ca="1"/>
      </c>
      <c r="GD226">
        <f ca="1"/>
      </c>
      <c r="GE226">
        <f ca="1"/>
      </c>
      <c r="GF226">
        <f ca="1"/>
      </c>
      <c r="GG226">
        <f ca="1"/>
      </c>
      <c r="GH226">
        <f ca="1"/>
      </c>
      <c r="GI226">
        <f ca="1"/>
      </c>
      <c r="GJ226">
        <f ca="1"/>
      </c>
      <c r="GK226">
        <f ca="1"/>
      </c>
      <c r="GL226">
        <f ca="1"/>
      </c>
      <c r="GM226">
        <f ca="1"/>
      </c>
      <c r="GN226">
        <f ca="1"/>
      </c>
      <c r="GO226">
        <f ca="1"/>
      </c>
      <c r="GP226">
        <f ca="1"/>
      </c>
      <c r="GQ226">
        <f ca="1"/>
      </c>
      <c r="GR226">
        <f ca="1"/>
      </c>
      <c r="GS226">
        <f ca="1"/>
      </c>
      <c r="GT226">
        <f ca="1"/>
      </c>
      <c r="GU226">
        <f ca="1"/>
      </c>
      <c r="GV226">
        <f ca="1"/>
      </c>
      <c r="GW226">
        <f ca="1"/>
      </c>
      <c r="HI226" s="7">
        <f ca="1"/>
      </c>
      <c r="HJ226">
        <f ca="1"/>
      </c>
      <c r="HK226">
        <f ca="1"/>
      </c>
      <c r="HL226">
        <f ca="1"/>
      </c>
      <c r="HM226">
        <f ca="1"/>
      </c>
    </row>
    <row r="227" spans="63:221" x14ac:dyDescent="0.55000000000000004">
      <c r="BK227">
        <f ca="1"/>
      </c>
      <c r="BL227">
        <f ca="1"/>
      </c>
      <c r="BM227">
        <f ca="1"/>
      </c>
      <c r="BN227">
        <f ca="1"/>
      </c>
      <c r="BO227">
        <f ca="1"/>
      </c>
      <c r="BP227">
        <f ca="1"/>
      </c>
      <c r="BQ227">
        <f ca="1"/>
      </c>
      <c r="BR227">
        <f ca="1"/>
      </c>
      <c r="BS227">
        <f ca="1"/>
      </c>
      <c r="BT227">
        <f ca="1"/>
      </c>
      <c r="BU227">
        <f ca="1"/>
      </c>
      <c r="BV227">
        <f ca="1"/>
      </c>
      <c r="BW227">
        <f ca="1"/>
      </c>
      <c r="BX227">
        <f ca="1"/>
      </c>
      <c r="BY227">
        <f ca="1"/>
      </c>
      <c r="BZ227">
        <f ca="1"/>
      </c>
      <c r="CA227">
        <f ca="1"/>
      </c>
      <c r="CB227">
        <f ca="1"/>
      </c>
      <c r="CC227">
        <f ca="1"/>
      </c>
      <c r="CD227">
        <f ca="1"/>
      </c>
      <c r="CE227">
        <f ca="1"/>
      </c>
      <c r="CF227">
        <f ca="1"/>
      </c>
      <c r="CG227">
        <f ca="1"/>
      </c>
      <c r="CH227">
        <f ca="1"/>
      </c>
      <c r="CI227">
        <f ca="1"/>
      </c>
      <c r="CJ227">
        <f ca="1"/>
      </c>
      <c r="CK227">
        <f ca="1"/>
      </c>
      <c r="CL227">
        <f ca="1"/>
      </c>
      <c r="CM227">
        <f ca="1"/>
      </c>
      <c r="CN227">
        <f ca="1"/>
      </c>
      <c r="CO227">
        <f ca="1"/>
      </c>
      <c r="CP227">
        <f ca="1"/>
      </c>
      <c r="CQ227">
        <f ca="1"/>
      </c>
      <c r="CR227">
        <f ca="1"/>
      </c>
      <c r="CS227">
        <f ca="1"/>
      </c>
      <c r="CT227">
        <f ca="1"/>
      </c>
      <c r="CU227">
        <f ca="1"/>
      </c>
      <c r="CV227">
        <f ca="1"/>
      </c>
      <c r="CW227">
        <f ca="1"/>
      </c>
      <c r="CX227">
        <f ca="1"/>
      </c>
      <c r="CY227">
        <f ca="1"/>
      </c>
      <c r="CZ227">
        <f ca="1"/>
      </c>
      <c r="DA227">
        <f ca="1"/>
      </c>
      <c r="DB227">
        <f ca="1"/>
      </c>
      <c r="DC227">
        <f ca="1"/>
      </c>
      <c r="DD227">
        <f ca="1"/>
      </c>
      <c r="DE227">
        <f ca="1"/>
      </c>
      <c r="DG227">
        <f ca="1"/>
      </c>
      <c r="DH227">
        <f ca="1"/>
      </c>
      <c r="DI227">
        <f ca="1"/>
      </c>
      <c r="DJ227">
        <f ca="1"/>
      </c>
      <c r="DK227">
        <f ca="1"/>
      </c>
      <c r="DL227">
        <f ca="1"/>
      </c>
      <c r="DM227">
        <f ca="1"/>
      </c>
      <c r="DN227">
        <f ca="1"/>
      </c>
      <c r="DO227">
        <f ca="1"/>
      </c>
      <c r="DP227">
        <f ca="1"/>
      </c>
      <c r="DQ227">
        <f ca="1"/>
      </c>
      <c r="DR227">
        <f ca="1"/>
      </c>
      <c r="DS227">
        <f ca="1"/>
      </c>
      <c r="DT227">
        <f ca="1"/>
      </c>
      <c r="DU227">
        <f ca="1"/>
      </c>
      <c r="DV227">
        <f ca="1"/>
      </c>
      <c r="DW227">
        <f ca="1"/>
      </c>
      <c r="DX227">
        <f ca="1"/>
      </c>
      <c r="DY227">
        <f ca="1"/>
      </c>
      <c r="DZ227">
        <f ca="1"/>
      </c>
      <c r="EA227">
        <f ca="1"/>
      </c>
      <c r="EB227">
        <f ca="1"/>
      </c>
      <c r="EC227">
        <f ca="1"/>
      </c>
      <c r="ED227">
        <f ca="1"/>
      </c>
      <c r="EE227">
        <f ca="1"/>
      </c>
      <c r="EF227">
        <f ca="1"/>
      </c>
      <c r="EG227">
        <f ca="1"/>
      </c>
      <c r="EH227">
        <f ca="1"/>
      </c>
      <c r="EI227">
        <f ca="1"/>
      </c>
      <c r="EJ227">
        <f ca="1"/>
      </c>
      <c r="EK227">
        <f ca="1"/>
      </c>
      <c r="EL227">
        <f ca="1"/>
      </c>
      <c r="EM227">
        <f ca="1"/>
      </c>
      <c r="EN227">
        <f ca="1"/>
      </c>
      <c r="EO227">
        <f ca="1"/>
      </c>
      <c r="EP227">
        <f ca="1"/>
      </c>
      <c r="EQ227">
        <f ca="1"/>
      </c>
      <c r="ER227">
        <f ca="1"/>
      </c>
      <c r="ES227">
        <f ca="1"/>
      </c>
      <c r="ET227">
        <f ca="1"/>
      </c>
      <c r="EU227">
        <f ca="1"/>
      </c>
      <c r="EV227">
        <f ca="1"/>
      </c>
      <c r="EW227">
        <f ca="1"/>
      </c>
      <c r="EX227">
        <f ca="1"/>
      </c>
      <c r="EY227">
        <f ca="1"/>
      </c>
      <c r="EZ227">
        <f ca="1"/>
      </c>
      <c r="FA227">
        <f ca="1"/>
      </c>
      <c r="FC227">
        <f ca="1"/>
      </c>
      <c r="FD227">
        <f ca="1"/>
      </c>
      <c r="FE227">
        <f ca="1"/>
      </c>
      <c r="FF227">
        <f ca="1"/>
      </c>
      <c r="FG227">
        <f ca="1"/>
      </c>
      <c r="FH227">
        <f ca="1"/>
      </c>
      <c r="FI227">
        <f ca="1"/>
      </c>
      <c r="FJ227">
        <f ca="1"/>
      </c>
      <c r="FK227">
        <f ca="1"/>
      </c>
      <c r="FL227">
        <f ca="1"/>
      </c>
      <c r="FM227">
        <f ca="1"/>
      </c>
      <c r="FN227">
        <f ca="1"/>
      </c>
      <c r="FO227">
        <f ca="1"/>
      </c>
      <c r="FP227">
        <f ca="1"/>
      </c>
      <c r="FQ227">
        <f ca="1"/>
      </c>
      <c r="FR227">
        <f ca="1"/>
      </c>
      <c r="FS227">
        <f ca="1"/>
      </c>
      <c r="FT227">
        <f ca="1"/>
      </c>
      <c r="FU227">
        <f ca="1"/>
      </c>
      <c r="FV227">
        <f ca="1"/>
      </c>
      <c r="FW227">
        <f ca="1"/>
      </c>
      <c r="FX227">
        <f ca="1"/>
      </c>
      <c r="FY227">
        <f ca="1"/>
      </c>
      <c r="FZ227">
        <f ca="1"/>
      </c>
      <c r="GA227">
        <f ca="1"/>
      </c>
      <c r="GB227">
        <f ca="1"/>
      </c>
      <c r="GC227">
        <f ca="1"/>
      </c>
      <c r="GD227">
        <f ca="1"/>
      </c>
      <c r="GE227">
        <f ca="1"/>
      </c>
      <c r="GF227">
        <f ca="1"/>
      </c>
      <c r="GG227">
        <f ca="1"/>
      </c>
      <c r="GH227">
        <f ca="1"/>
      </c>
      <c r="GI227">
        <f ca="1"/>
      </c>
      <c r="GJ227">
        <f ca="1"/>
      </c>
      <c r="GK227">
        <f ca="1"/>
      </c>
      <c r="GL227">
        <f ca="1"/>
      </c>
      <c r="GM227">
        <f ca="1"/>
      </c>
      <c r="GN227">
        <f ca="1"/>
      </c>
      <c r="GO227">
        <f ca="1"/>
      </c>
      <c r="GP227">
        <f ca="1"/>
      </c>
      <c r="GQ227">
        <f ca="1"/>
      </c>
      <c r="GR227">
        <f ca="1"/>
      </c>
      <c r="GS227">
        <f ca="1"/>
      </c>
      <c r="GT227">
        <f ca="1"/>
      </c>
      <c r="GU227">
        <f ca="1"/>
      </c>
      <c r="GV227">
        <f ca="1"/>
      </c>
      <c r="GW227">
        <f ca="1"/>
      </c>
      <c r="HI227" s="7">
        <f ca="1"/>
      </c>
      <c r="HJ227">
        <f ca="1"/>
      </c>
      <c r="HK227">
        <f ca="1"/>
      </c>
      <c r="HL227">
        <f ca="1"/>
      </c>
      <c r="HM227">
        <f ca="1"/>
      </c>
    </row>
    <row r="228" spans="63:221" x14ac:dyDescent="0.55000000000000004">
      <c r="BK228">
        <f ca="1"/>
      </c>
      <c r="BL228">
        <f ca="1"/>
      </c>
      <c r="BM228">
        <f ca="1"/>
      </c>
      <c r="BN228">
        <f ca="1"/>
      </c>
      <c r="BO228">
        <f ca="1"/>
      </c>
      <c r="BP228">
        <f ca="1"/>
      </c>
      <c r="BQ228">
        <f ca="1"/>
      </c>
      <c r="BR228">
        <f ca="1"/>
      </c>
      <c r="BS228">
        <f ca="1"/>
      </c>
      <c r="BT228">
        <f ca="1"/>
      </c>
      <c r="BU228">
        <f ca="1"/>
      </c>
      <c r="BV228">
        <f ca="1"/>
      </c>
      <c r="BW228">
        <f ca="1"/>
      </c>
      <c r="BX228">
        <f ca="1"/>
      </c>
      <c r="BY228">
        <f ca="1"/>
      </c>
      <c r="BZ228">
        <f ca="1"/>
      </c>
      <c r="CA228">
        <f ca="1"/>
      </c>
      <c r="CB228">
        <f ca="1"/>
      </c>
      <c r="CC228">
        <f ca="1"/>
      </c>
      <c r="CD228">
        <f ca="1"/>
      </c>
      <c r="CE228">
        <f ca="1"/>
      </c>
      <c r="CF228">
        <f ca="1"/>
      </c>
      <c r="CG228">
        <f ca="1"/>
      </c>
      <c r="CH228">
        <f ca="1"/>
      </c>
      <c r="CI228">
        <f ca="1"/>
      </c>
      <c r="CJ228">
        <f ca="1"/>
      </c>
      <c r="CK228">
        <f ca="1"/>
      </c>
      <c r="CL228">
        <f ca="1"/>
      </c>
      <c r="CM228">
        <f ca="1"/>
      </c>
      <c r="CN228">
        <f ca="1"/>
      </c>
      <c r="CO228">
        <f ca="1"/>
      </c>
      <c r="CP228">
        <f ca="1"/>
      </c>
      <c r="CQ228">
        <f ca="1"/>
      </c>
      <c r="CR228">
        <f ca="1"/>
      </c>
      <c r="CS228">
        <f ca="1"/>
      </c>
      <c r="CT228">
        <f ca="1"/>
      </c>
      <c r="CU228">
        <f ca="1"/>
      </c>
      <c r="CV228">
        <f ca="1"/>
      </c>
      <c r="CW228">
        <f ca="1"/>
      </c>
      <c r="CX228">
        <f ca="1"/>
      </c>
      <c r="CY228">
        <f ca="1"/>
      </c>
      <c r="CZ228">
        <f ca="1"/>
      </c>
      <c r="DA228">
        <f ca="1"/>
      </c>
      <c r="DB228">
        <f ca="1"/>
      </c>
      <c r="DC228">
        <f ca="1"/>
      </c>
      <c r="DD228">
        <f ca="1"/>
      </c>
      <c r="DE228">
        <f ca="1"/>
      </c>
      <c r="DG228">
        <f ca="1"/>
      </c>
      <c r="DH228">
        <f ca="1"/>
      </c>
      <c r="DI228">
        <f ca="1"/>
      </c>
      <c r="DJ228">
        <f ca="1"/>
      </c>
      <c r="DK228">
        <f ca="1"/>
      </c>
      <c r="DL228">
        <f ca="1"/>
      </c>
      <c r="DM228">
        <f ca="1"/>
      </c>
      <c r="DN228">
        <f ca="1"/>
      </c>
      <c r="DO228">
        <f ca="1"/>
      </c>
      <c r="DP228">
        <f ca="1"/>
      </c>
      <c r="DQ228">
        <f ca="1"/>
      </c>
      <c r="DR228">
        <f ca="1"/>
      </c>
      <c r="DS228">
        <f ca="1"/>
      </c>
      <c r="DT228">
        <f ca="1"/>
      </c>
      <c r="DU228">
        <f ca="1"/>
      </c>
      <c r="DV228">
        <f ca="1"/>
      </c>
      <c r="DW228">
        <f ca="1"/>
      </c>
      <c r="DX228">
        <f ca="1"/>
      </c>
      <c r="DY228">
        <f ca="1"/>
      </c>
      <c r="DZ228">
        <f ca="1"/>
      </c>
      <c r="EA228">
        <f ca="1"/>
      </c>
      <c r="EB228">
        <f ca="1"/>
      </c>
      <c r="EC228">
        <f ca="1"/>
      </c>
      <c r="ED228">
        <f ca="1"/>
      </c>
      <c r="EE228">
        <f ca="1"/>
      </c>
      <c r="EF228">
        <f ca="1"/>
      </c>
      <c r="EG228">
        <f ca="1"/>
      </c>
      <c r="EH228">
        <f ca="1"/>
      </c>
      <c r="EI228">
        <f ca="1"/>
      </c>
      <c r="EJ228">
        <f ca="1"/>
      </c>
      <c r="EK228">
        <f ca="1"/>
      </c>
      <c r="EL228">
        <f ca="1"/>
      </c>
      <c r="EM228">
        <f ca="1"/>
      </c>
      <c r="EN228">
        <f ca="1"/>
      </c>
      <c r="EO228">
        <f ca="1"/>
      </c>
      <c r="EP228">
        <f ca="1"/>
      </c>
      <c r="EQ228">
        <f ca="1"/>
      </c>
      <c r="ER228">
        <f ca="1"/>
      </c>
      <c r="ES228">
        <f ca="1"/>
      </c>
      <c r="ET228">
        <f ca="1"/>
      </c>
      <c r="EU228">
        <f ca="1"/>
      </c>
      <c r="EV228">
        <f ca="1"/>
      </c>
      <c r="EW228">
        <f ca="1"/>
      </c>
      <c r="EX228">
        <f ca="1"/>
      </c>
      <c r="EY228">
        <f ca="1"/>
      </c>
      <c r="EZ228">
        <f ca="1"/>
      </c>
      <c r="FA228">
        <f ca="1"/>
      </c>
      <c r="FC228">
        <f ca="1"/>
      </c>
      <c r="FD228">
        <f ca="1"/>
      </c>
      <c r="FE228">
        <f ca="1"/>
      </c>
      <c r="FF228">
        <f ca="1"/>
      </c>
      <c r="FG228">
        <f ca="1"/>
      </c>
      <c r="FH228">
        <f ca="1"/>
      </c>
      <c r="FI228">
        <f ca="1"/>
      </c>
      <c r="FJ228">
        <f ca="1"/>
      </c>
      <c r="FK228">
        <f ca="1"/>
      </c>
      <c r="FL228">
        <f ca="1"/>
      </c>
      <c r="FM228">
        <f ca="1"/>
      </c>
      <c r="FN228">
        <f ca="1"/>
      </c>
      <c r="FO228">
        <f ca="1"/>
      </c>
      <c r="FP228">
        <f ca="1"/>
      </c>
      <c r="FQ228">
        <f ca="1"/>
      </c>
      <c r="FR228">
        <f ca="1"/>
      </c>
      <c r="FS228">
        <f ca="1"/>
      </c>
      <c r="FT228">
        <f ca="1"/>
      </c>
      <c r="FU228">
        <f ca="1"/>
      </c>
      <c r="FV228">
        <f ca="1"/>
      </c>
      <c r="FW228">
        <f ca="1"/>
      </c>
      <c r="FX228">
        <f ca="1"/>
      </c>
      <c r="FY228">
        <f ca="1"/>
      </c>
      <c r="FZ228">
        <f ca="1"/>
      </c>
      <c r="GA228">
        <f ca="1"/>
      </c>
      <c r="GB228">
        <f ca="1"/>
      </c>
      <c r="GC228">
        <f ca="1"/>
      </c>
      <c r="GD228">
        <f ca="1"/>
      </c>
      <c r="GE228">
        <f ca="1"/>
      </c>
      <c r="GF228">
        <f ca="1"/>
      </c>
      <c r="GG228">
        <f ca="1"/>
      </c>
      <c r="GH228">
        <f ca="1"/>
      </c>
      <c r="GI228">
        <f ca="1"/>
      </c>
      <c r="GJ228">
        <f ca="1"/>
      </c>
      <c r="GK228">
        <f ca="1"/>
      </c>
      <c r="GL228">
        <f ca="1"/>
      </c>
      <c r="GM228">
        <f ca="1"/>
      </c>
      <c r="GN228">
        <f ca="1"/>
      </c>
      <c r="GO228">
        <f ca="1"/>
      </c>
      <c r="GP228">
        <f ca="1"/>
      </c>
      <c r="GQ228">
        <f ca="1"/>
      </c>
      <c r="GR228">
        <f ca="1"/>
      </c>
      <c r="GS228">
        <f ca="1"/>
      </c>
      <c r="GT228">
        <f ca="1"/>
      </c>
      <c r="GU228">
        <f ca="1"/>
      </c>
      <c r="GV228">
        <f ca="1"/>
      </c>
      <c r="GW228">
        <f ca="1"/>
      </c>
      <c r="HI228" s="7">
        <f ca="1"/>
      </c>
      <c r="HJ228">
        <f ca="1"/>
      </c>
      <c r="HK228">
        <f ca="1"/>
      </c>
      <c r="HL228">
        <f ca="1"/>
      </c>
      <c r="HM228">
        <f ca="1"/>
      </c>
    </row>
    <row r="229" spans="63:221" x14ac:dyDescent="0.55000000000000004">
      <c r="BK229">
        <f ca="1"/>
      </c>
      <c r="BL229">
        <f ca="1"/>
      </c>
      <c r="BM229">
        <f ca="1"/>
      </c>
      <c r="BN229">
        <f ca="1"/>
      </c>
      <c r="BO229">
        <f ca="1"/>
      </c>
      <c r="BP229">
        <f ca="1"/>
      </c>
      <c r="BQ229">
        <f ca="1"/>
      </c>
      <c r="BR229">
        <f ca="1"/>
      </c>
      <c r="BS229">
        <f ca="1"/>
      </c>
      <c r="BT229">
        <f ca="1"/>
      </c>
      <c r="BU229">
        <f ca="1"/>
      </c>
      <c r="BV229">
        <f ca="1"/>
      </c>
      <c r="BW229">
        <f ca="1"/>
      </c>
      <c r="BX229">
        <f ca="1"/>
      </c>
      <c r="BY229">
        <f ca="1"/>
      </c>
      <c r="BZ229">
        <f ca="1"/>
      </c>
      <c r="CA229">
        <f ca="1"/>
      </c>
      <c r="CB229">
        <f ca="1"/>
      </c>
      <c r="CC229">
        <f ca="1"/>
      </c>
      <c r="CD229">
        <f ca="1"/>
      </c>
      <c r="CE229">
        <f ca="1"/>
      </c>
      <c r="CF229">
        <f ca="1"/>
      </c>
      <c r="CG229">
        <f ca="1"/>
      </c>
      <c r="CH229">
        <f ca="1"/>
      </c>
      <c r="CI229">
        <f ca="1"/>
      </c>
      <c r="CJ229">
        <f ca="1"/>
      </c>
      <c r="CK229">
        <f ca="1"/>
      </c>
      <c r="CL229">
        <f ca="1"/>
      </c>
      <c r="CM229">
        <f ca="1"/>
      </c>
      <c r="CN229">
        <f ca="1"/>
      </c>
      <c r="CO229">
        <f ca="1"/>
      </c>
      <c r="CP229">
        <f ca="1"/>
      </c>
      <c r="CQ229">
        <f ca="1"/>
      </c>
      <c r="CR229">
        <f ca="1"/>
      </c>
      <c r="CS229">
        <f ca="1"/>
      </c>
      <c r="CT229">
        <f ca="1"/>
      </c>
      <c r="CU229">
        <f ca="1"/>
      </c>
      <c r="CV229">
        <f ca="1"/>
      </c>
      <c r="CW229">
        <f ca="1"/>
      </c>
      <c r="CX229">
        <f ca="1"/>
      </c>
      <c r="CY229">
        <f ca="1"/>
      </c>
      <c r="CZ229">
        <f ca="1"/>
      </c>
      <c r="DA229">
        <f ca="1"/>
      </c>
      <c r="DB229">
        <f ca="1"/>
      </c>
      <c r="DC229">
        <f ca="1"/>
      </c>
      <c r="DD229">
        <f ca="1"/>
      </c>
      <c r="DE229">
        <f ca="1"/>
      </c>
      <c r="DG229">
        <f ca="1"/>
      </c>
      <c r="DH229">
        <f ca="1"/>
      </c>
      <c r="DI229">
        <f ca="1"/>
      </c>
      <c r="DJ229">
        <f ca="1"/>
      </c>
      <c r="DK229">
        <f ca="1"/>
      </c>
      <c r="DL229">
        <f ca="1"/>
      </c>
      <c r="DM229">
        <f ca="1"/>
      </c>
      <c r="DN229">
        <f ca="1"/>
      </c>
      <c r="DO229">
        <f ca="1"/>
      </c>
      <c r="DP229">
        <f ca="1"/>
      </c>
      <c r="DQ229">
        <f ca="1"/>
      </c>
      <c r="DR229">
        <f ca="1"/>
      </c>
      <c r="DS229">
        <f ca="1"/>
      </c>
      <c r="DT229">
        <f ca="1"/>
      </c>
      <c r="DU229">
        <f ca="1"/>
      </c>
      <c r="DV229">
        <f ca="1"/>
      </c>
      <c r="DW229">
        <f ca="1"/>
      </c>
      <c r="DX229">
        <f ca="1"/>
      </c>
      <c r="DY229">
        <f ca="1"/>
      </c>
      <c r="DZ229">
        <f ca="1"/>
      </c>
      <c r="EA229">
        <f ca="1"/>
      </c>
      <c r="EB229">
        <f ca="1"/>
      </c>
      <c r="EC229">
        <f ca="1"/>
      </c>
      <c r="ED229">
        <f ca="1"/>
      </c>
      <c r="EE229">
        <f ca="1"/>
      </c>
      <c r="EF229">
        <f ca="1"/>
      </c>
      <c r="EG229">
        <f ca="1"/>
      </c>
      <c r="EH229">
        <f ca="1"/>
      </c>
      <c r="EI229">
        <f ca="1"/>
      </c>
      <c r="EJ229">
        <f ca="1"/>
      </c>
      <c r="EK229">
        <f ca="1"/>
      </c>
      <c r="EL229">
        <f ca="1"/>
      </c>
      <c r="EM229">
        <f ca="1"/>
      </c>
      <c r="EN229">
        <f ca="1"/>
      </c>
      <c r="EO229">
        <f ca="1"/>
      </c>
      <c r="EP229">
        <f ca="1"/>
      </c>
      <c r="EQ229">
        <f ca="1"/>
      </c>
      <c r="ER229">
        <f ca="1"/>
      </c>
      <c r="ES229">
        <f ca="1"/>
      </c>
      <c r="ET229">
        <f ca="1"/>
      </c>
      <c r="EU229">
        <f ca="1"/>
      </c>
      <c r="EV229">
        <f ca="1"/>
      </c>
      <c r="EW229">
        <f ca="1"/>
      </c>
      <c r="EX229">
        <f ca="1"/>
      </c>
      <c r="EY229">
        <f ca="1"/>
      </c>
      <c r="EZ229">
        <f ca="1"/>
      </c>
      <c r="FA229">
        <f ca="1"/>
      </c>
      <c r="FC229">
        <f ca="1"/>
      </c>
      <c r="FD229">
        <f ca="1"/>
      </c>
      <c r="FE229">
        <f ca="1"/>
      </c>
      <c r="FF229">
        <f ca="1"/>
      </c>
      <c r="FG229">
        <f ca="1"/>
      </c>
      <c r="FH229">
        <f ca="1"/>
      </c>
      <c r="FI229">
        <f ca="1"/>
      </c>
      <c r="FJ229">
        <f ca="1"/>
      </c>
      <c r="FK229">
        <f ca="1"/>
      </c>
      <c r="FL229">
        <f ca="1"/>
      </c>
      <c r="FM229">
        <f ca="1"/>
      </c>
      <c r="FN229">
        <f ca="1"/>
      </c>
      <c r="FO229">
        <f ca="1"/>
      </c>
      <c r="FP229">
        <f ca="1"/>
      </c>
      <c r="FQ229">
        <f ca="1"/>
      </c>
      <c r="FR229">
        <f ca="1"/>
      </c>
      <c r="FS229">
        <f ca="1"/>
      </c>
      <c r="FT229">
        <f ca="1"/>
      </c>
      <c r="FU229">
        <f ca="1"/>
      </c>
      <c r="FV229">
        <f ca="1"/>
      </c>
      <c r="FW229">
        <f ca="1"/>
      </c>
      <c r="FX229">
        <f ca="1"/>
      </c>
      <c r="FY229">
        <f ca="1"/>
      </c>
      <c r="FZ229">
        <f ca="1"/>
      </c>
      <c r="GA229">
        <f ca="1"/>
      </c>
      <c r="GB229">
        <f ca="1"/>
      </c>
      <c r="GC229">
        <f ca="1"/>
      </c>
      <c r="GD229">
        <f ca="1"/>
      </c>
      <c r="GE229">
        <f ca="1"/>
      </c>
      <c r="GF229">
        <f ca="1"/>
      </c>
      <c r="GG229">
        <f ca="1"/>
      </c>
      <c r="GH229">
        <f ca="1"/>
      </c>
      <c r="GI229">
        <f ca="1"/>
      </c>
      <c r="GJ229">
        <f ca="1"/>
      </c>
      <c r="GK229">
        <f ca="1"/>
      </c>
      <c r="GL229">
        <f ca="1"/>
      </c>
      <c r="GM229">
        <f ca="1"/>
      </c>
      <c r="GN229">
        <f ca="1"/>
      </c>
      <c r="GO229">
        <f ca="1"/>
      </c>
      <c r="GP229">
        <f ca="1"/>
      </c>
      <c r="GQ229">
        <f ca="1"/>
      </c>
      <c r="GR229">
        <f ca="1"/>
      </c>
      <c r="GS229">
        <f ca="1"/>
      </c>
      <c r="GT229">
        <f ca="1"/>
      </c>
      <c r="GU229">
        <f ca="1"/>
      </c>
      <c r="GV229">
        <f ca="1"/>
      </c>
      <c r="GW229">
        <f ca="1"/>
      </c>
      <c r="HI229" s="7">
        <f ca="1"/>
      </c>
      <c r="HJ229">
        <f ca="1"/>
      </c>
      <c r="HK229">
        <f ca="1"/>
      </c>
      <c r="HL229">
        <f ca="1"/>
      </c>
      <c r="HM229">
        <f ca="1"/>
      </c>
    </row>
    <row r="230" spans="63:221" x14ac:dyDescent="0.55000000000000004">
      <c r="BK230">
        <f ca="1"/>
      </c>
      <c r="BL230">
        <f ca="1"/>
      </c>
      <c r="BM230">
        <f ca="1"/>
      </c>
      <c r="BN230">
        <f ca="1"/>
      </c>
      <c r="BO230">
        <f ca="1"/>
      </c>
      <c r="BP230">
        <f ca="1"/>
      </c>
      <c r="BQ230">
        <f ca="1"/>
      </c>
      <c r="BR230">
        <f ca="1"/>
      </c>
      <c r="BS230">
        <f ca="1"/>
      </c>
      <c r="BT230">
        <f ca="1"/>
      </c>
      <c r="BU230">
        <f ca="1"/>
      </c>
      <c r="BV230">
        <f ca="1"/>
      </c>
      <c r="BW230">
        <f ca="1"/>
      </c>
      <c r="BX230">
        <f ca="1"/>
      </c>
      <c r="BY230">
        <f ca="1"/>
      </c>
      <c r="BZ230">
        <f ca="1"/>
      </c>
      <c r="CA230">
        <f ca="1"/>
      </c>
      <c r="CB230">
        <f ca="1"/>
      </c>
      <c r="CC230">
        <f ca="1"/>
      </c>
      <c r="CD230">
        <f ca="1"/>
      </c>
      <c r="CE230">
        <f ca="1"/>
      </c>
      <c r="CF230">
        <f ca="1"/>
      </c>
      <c r="CG230">
        <f ca="1"/>
      </c>
      <c r="CH230">
        <f ca="1"/>
      </c>
      <c r="CI230">
        <f ca="1"/>
      </c>
      <c r="CJ230">
        <f ca="1"/>
      </c>
      <c r="CK230">
        <f ca="1"/>
      </c>
      <c r="CL230">
        <f ca="1"/>
      </c>
      <c r="CM230">
        <f ca="1"/>
      </c>
      <c r="CN230">
        <f ca="1"/>
      </c>
      <c r="CO230">
        <f ca="1"/>
      </c>
      <c r="CP230">
        <f ca="1"/>
      </c>
      <c r="CQ230">
        <f ca="1"/>
      </c>
      <c r="CR230">
        <f ca="1"/>
      </c>
      <c r="CS230">
        <f ca="1"/>
      </c>
      <c r="CT230">
        <f ca="1"/>
      </c>
      <c r="CU230">
        <f ca="1"/>
      </c>
      <c r="CV230">
        <f ca="1"/>
      </c>
      <c r="CW230">
        <f ca="1"/>
      </c>
      <c r="CX230">
        <f ca="1"/>
      </c>
      <c r="CY230">
        <f ca="1"/>
      </c>
      <c r="CZ230">
        <f ca="1"/>
      </c>
      <c r="DA230">
        <f ca="1"/>
      </c>
      <c r="DB230">
        <f ca="1"/>
      </c>
      <c r="DC230">
        <f ca="1"/>
      </c>
      <c r="DD230">
        <f ca="1"/>
      </c>
      <c r="DE230">
        <f ca="1"/>
      </c>
      <c r="DG230">
        <f ca="1"/>
      </c>
      <c r="DH230">
        <f ca="1"/>
      </c>
      <c r="DI230">
        <f ca="1"/>
      </c>
      <c r="DJ230">
        <f ca="1"/>
      </c>
      <c r="DK230">
        <f ca="1"/>
      </c>
      <c r="DL230">
        <f ca="1"/>
      </c>
      <c r="DM230">
        <f ca="1"/>
      </c>
      <c r="DN230">
        <f ca="1"/>
      </c>
      <c r="DO230">
        <f ca="1"/>
      </c>
      <c r="DP230">
        <f ca="1"/>
      </c>
      <c r="DQ230">
        <f ca="1"/>
      </c>
      <c r="DR230">
        <f ca="1"/>
      </c>
      <c r="DS230">
        <f ca="1"/>
      </c>
      <c r="DT230">
        <f ca="1"/>
      </c>
      <c r="DU230">
        <f ca="1"/>
      </c>
      <c r="DV230">
        <f ca="1"/>
      </c>
      <c r="DW230">
        <f ca="1"/>
      </c>
      <c r="DX230">
        <f ca="1"/>
      </c>
      <c r="DY230">
        <f ca="1"/>
      </c>
      <c r="DZ230">
        <f ca="1"/>
      </c>
      <c r="EA230">
        <f ca="1"/>
      </c>
      <c r="EB230">
        <f ca="1"/>
      </c>
      <c r="EC230">
        <f ca="1"/>
      </c>
      <c r="ED230">
        <f ca="1"/>
      </c>
      <c r="EE230">
        <f ca="1"/>
      </c>
      <c r="EF230">
        <f ca="1"/>
      </c>
      <c r="EG230">
        <f ca="1"/>
      </c>
      <c r="EH230">
        <f ca="1"/>
      </c>
      <c r="EI230">
        <f ca="1"/>
      </c>
      <c r="EJ230">
        <f ca="1"/>
      </c>
      <c r="EK230">
        <f ca="1"/>
      </c>
      <c r="EL230">
        <f ca="1"/>
      </c>
      <c r="EM230">
        <f ca="1"/>
      </c>
      <c r="EN230">
        <f ca="1"/>
      </c>
      <c r="EO230">
        <f ca="1"/>
      </c>
      <c r="EP230">
        <f ca="1"/>
      </c>
      <c r="EQ230">
        <f ca="1"/>
      </c>
      <c r="ER230">
        <f ca="1"/>
      </c>
      <c r="ES230">
        <f ca="1"/>
      </c>
      <c r="ET230">
        <f ca="1"/>
      </c>
      <c r="EU230">
        <f ca="1"/>
      </c>
      <c r="EV230">
        <f ca="1"/>
      </c>
      <c r="EW230">
        <f ca="1"/>
      </c>
      <c r="EX230">
        <f ca="1"/>
      </c>
      <c r="EY230">
        <f ca="1"/>
      </c>
      <c r="EZ230">
        <f ca="1"/>
      </c>
      <c r="FA230">
        <f ca="1"/>
      </c>
      <c r="FC230">
        <f ca="1"/>
      </c>
      <c r="FD230">
        <f ca="1"/>
      </c>
      <c r="FE230">
        <f ca="1"/>
      </c>
      <c r="FF230">
        <f ca="1"/>
      </c>
      <c r="FG230">
        <f ca="1"/>
      </c>
      <c r="FH230">
        <f ca="1"/>
      </c>
      <c r="FI230">
        <f ca="1"/>
      </c>
      <c r="FJ230">
        <f ca="1"/>
      </c>
      <c r="FK230">
        <f ca="1"/>
      </c>
      <c r="FL230">
        <f ca="1"/>
      </c>
      <c r="FM230">
        <f ca="1"/>
      </c>
      <c r="FN230">
        <f ca="1"/>
      </c>
      <c r="FO230">
        <f ca="1"/>
      </c>
      <c r="FP230">
        <f ca="1"/>
      </c>
      <c r="FQ230">
        <f ca="1"/>
      </c>
      <c r="FR230">
        <f ca="1"/>
      </c>
      <c r="FS230">
        <f ca="1"/>
      </c>
      <c r="FT230">
        <f ca="1"/>
      </c>
      <c r="FU230">
        <f ca="1"/>
      </c>
      <c r="FV230">
        <f ca="1"/>
      </c>
      <c r="FW230">
        <f ca="1"/>
      </c>
      <c r="FX230">
        <f ca="1"/>
      </c>
      <c r="FY230">
        <f ca="1"/>
      </c>
      <c r="FZ230">
        <f ca="1"/>
      </c>
      <c r="GA230">
        <f ca="1"/>
      </c>
      <c r="GB230">
        <f ca="1"/>
      </c>
      <c r="GC230">
        <f ca="1"/>
      </c>
      <c r="GD230">
        <f ca="1"/>
      </c>
      <c r="GE230">
        <f ca="1"/>
      </c>
      <c r="GF230">
        <f ca="1"/>
      </c>
      <c r="GG230">
        <f ca="1"/>
      </c>
      <c r="GH230">
        <f ca="1"/>
      </c>
      <c r="GI230">
        <f ca="1"/>
      </c>
      <c r="GJ230">
        <f ca="1"/>
      </c>
      <c r="GK230">
        <f ca="1"/>
      </c>
      <c r="GL230">
        <f ca="1"/>
      </c>
      <c r="GM230">
        <f ca="1"/>
      </c>
      <c r="GN230">
        <f ca="1"/>
      </c>
      <c r="GO230">
        <f ca="1"/>
      </c>
      <c r="GP230">
        <f ca="1"/>
      </c>
      <c r="GQ230">
        <f ca="1"/>
      </c>
      <c r="GR230">
        <f ca="1"/>
      </c>
      <c r="GS230">
        <f ca="1"/>
      </c>
      <c r="GT230">
        <f ca="1"/>
      </c>
      <c r="GU230">
        <f ca="1"/>
      </c>
      <c r="GV230">
        <f ca="1"/>
      </c>
      <c r="GW230">
        <f ca="1"/>
      </c>
      <c r="HI230" s="7">
        <f ca="1"/>
      </c>
      <c r="HJ230">
        <f ca="1"/>
      </c>
      <c r="HK230">
        <f ca="1"/>
      </c>
      <c r="HL230">
        <f ca="1"/>
      </c>
      <c r="HM230">
        <f ca="1"/>
      </c>
    </row>
    <row r="231" spans="63:221" x14ac:dyDescent="0.55000000000000004">
      <c r="BK231">
        <f ca="1"/>
      </c>
      <c r="BL231">
        <f ca="1"/>
      </c>
      <c r="BM231">
        <f ca="1"/>
      </c>
      <c r="BN231">
        <f ca="1"/>
      </c>
      <c r="BO231">
        <f ca="1"/>
      </c>
      <c r="BP231">
        <f ca="1"/>
      </c>
      <c r="BQ231">
        <f ca="1"/>
      </c>
      <c r="BR231">
        <f ca="1"/>
      </c>
      <c r="BS231">
        <f ca="1"/>
      </c>
      <c r="BT231">
        <f ca="1"/>
      </c>
      <c r="BU231">
        <f ca="1"/>
      </c>
      <c r="BV231">
        <f ca="1"/>
      </c>
      <c r="BW231">
        <f ca="1"/>
      </c>
      <c r="BX231">
        <f ca="1"/>
      </c>
      <c r="BY231">
        <f ca="1"/>
      </c>
      <c r="BZ231">
        <f ca="1"/>
      </c>
      <c r="CA231">
        <f ca="1"/>
      </c>
      <c r="CB231">
        <f ca="1"/>
      </c>
      <c r="CC231">
        <f ca="1"/>
      </c>
      <c r="CD231">
        <f ca="1"/>
      </c>
      <c r="CE231">
        <f ca="1"/>
      </c>
      <c r="CF231">
        <f ca="1"/>
      </c>
      <c r="CG231">
        <f ca="1"/>
      </c>
      <c r="CH231">
        <f ca="1"/>
      </c>
      <c r="CI231">
        <f ca="1"/>
      </c>
      <c r="CJ231">
        <f ca="1"/>
      </c>
      <c r="CK231">
        <f ca="1"/>
      </c>
      <c r="CL231">
        <f ca="1"/>
      </c>
      <c r="CM231">
        <f ca="1"/>
      </c>
      <c r="CN231">
        <f ca="1"/>
      </c>
      <c r="CO231">
        <f ca="1"/>
      </c>
      <c r="CP231">
        <f ca="1"/>
      </c>
      <c r="CQ231">
        <f ca="1"/>
      </c>
      <c r="CR231">
        <f ca="1"/>
      </c>
      <c r="CS231">
        <f ca="1"/>
      </c>
      <c r="CT231">
        <f ca="1"/>
      </c>
      <c r="CU231">
        <f ca="1"/>
      </c>
      <c r="CV231">
        <f ca="1"/>
      </c>
      <c r="CW231">
        <f ca="1"/>
      </c>
      <c r="CX231">
        <f ca="1"/>
      </c>
      <c r="CY231">
        <f ca="1"/>
      </c>
      <c r="CZ231">
        <f ca="1"/>
      </c>
      <c r="DA231">
        <f ca="1"/>
      </c>
      <c r="DB231">
        <f ca="1"/>
      </c>
      <c r="DC231">
        <f ca="1"/>
      </c>
      <c r="DD231">
        <f ca="1"/>
      </c>
      <c r="DE231">
        <f ca="1"/>
      </c>
      <c r="DG231">
        <f ca="1"/>
      </c>
      <c r="DH231">
        <f ca="1"/>
      </c>
      <c r="DI231">
        <f ca="1"/>
      </c>
      <c r="DJ231">
        <f ca="1"/>
      </c>
      <c r="DK231">
        <f ca="1"/>
      </c>
      <c r="DL231">
        <f ca="1"/>
      </c>
      <c r="DM231">
        <f ca="1"/>
      </c>
      <c r="DN231">
        <f ca="1"/>
      </c>
      <c r="DO231">
        <f ca="1"/>
      </c>
      <c r="DP231">
        <f ca="1"/>
      </c>
      <c r="DQ231">
        <f ca="1"/>
      </c>
      <c r="DR231">
        <f ca="1"/>
      </c>
      <c r="DS231">
        <f ca="1"/>
      </c>
      <c r="DT231">
        <f ca="1"/>
      </c>
      <c r="DU231">
        <f ca="1"/>
      </c>
      <c r="DV231">
        <f ca="1"/>
      </c>
      <c r="DW231">
        <f ca="1"/>
      </c>
      <c r="DX231">
        <f ca="1"/>
      </c>
      <c r="DY231">
        <f ca="1"/>
      </c>
      <c r="DZ231">
        <f ca="1"/>
      </c>
      <c r="EA231">
        <f ca="1"/>
      </c>
      <c r="EB231">
        <f ca="1"/>
      </c>
      <c r="EC231">
        <f ca="1"/>
      </c>
      <c r="ED231">
        <f ca="1"/>
      </c>
      <c r="EE231">
        <f ca="1"/>
      </c>
      <c r="EF231">
        <f ca="1"/>
      </c>
      <c r="EG231">
        <f ca="1"/>
      </c>
      <c r="EH231">
        <f ca="1"/>
      </c>
      <c r="EI231">
        <f ca="1"/>
      </c>
      <c r="EJ231">
        <f ca="1"/>
      </c>
      <c r="EK231">
        <f ca="1"/>
      </c>
      <c r="EL231">
        <f ca="1"/>
      </c>
      <c r="EM231">
        <f ca="1"/>
      </c>
      <c r="EN231">
        <f ca="1"/>
      </c>
      <c r="EO231">
        <f ca="1"/>
      </c>
      <c r="EP231">
        <f ca="1"/>
      </c>
      <c r="EQ231">
        <f ca="1"/>
      </c>
      <c r="ER231">
        <f ca="1"/>
      </c>
      <c r="ES231">
        <f ca="1"/>
      </c>
      <c r="ET231">
        <f ca="1"/>
      </c>
      <c r="EU231">
        <f ca="1"/>
      </c>
      <c r="EV231">
        <f ca="1"/>
      </c>
      <c r="EW231">
        <f ca="1"/>
      </c>
      <c r="EX231">
        <f ca="1"/>
      </c>
      <c r="EY231">
        <f ca="1"/>
      </c>
      <c r="EZ231">
        <f ca="1"/>
      </c>
      <c r="FA231">
        <f ca="1"/>
      </c>
      <c r="FC231">
        <f ca="1"/>
      </c>
      <c r="FD231">
        <f ca="1"/>
      </c>
      <c r="FE231">
        <f ca="1"/>
      </c>
      <c r="FF231">
        <f ca="1"/>
      </c>
      <c r="FG231">
        <f ca="1"/>
      </c>
      <c r="FH231">
        <f ca="1"/>
      </c>
      <c r="FI231">
        <f ca="1"/>
      </c>
      <c r="FJ231">
        <f ca="1"/>
      </c>
      <c r="FK231">
        <f ca="1"/>
      </c>
      <c r="FL231">
        <f ca="1"/>
      </c>
      <c r="FM231">
        <f ca="1"/>
      </c>
      <c r="FN231">
        <f ca="1"/>
      </c>
      <c r="FO231">
        <f ca="1"/>
      </c>
      <c r="FP231">
        <f ca="1"/>
      </c>
      <c r="FQ231">
        <f ca="1"/>
      </c>
      <c r="FR231">
        <f ca="1"/>
      </c>
      <c r="FS231">
        <f ca="1"/>
      </c>
      <c r="FT231">
        <f ca="1"/>
      </c>
      <c r="FU231">
        <f ca="1"/>
      </c>
      <c r="FV231">
        <f ca="1"/>
      </c>
      <c r="FW231">
        <f ca="1"/>
      </c>
      <c r="FX231">
        <f ca="1"/>
      </c>
      <c r="FY231">
        <f ca="1"/>
      </c>
      <c r="FZ231">
        <f ca="1"/>
      </c>
      <c r="GA231">
        <f ca="1"/>
      </c>
      <c r="GB231">
        <f ca="1"/>
      </c>
      <c r="GC231">
        <f ca="1"/>
      </c>
      <c r="GD231">
        <f ca="1"/>
      </c>
      <c r="GE231">
        <f ca="1"/>
      </c>
      <c r="GF231">
        <f ca="1"/>
      </c>
      <c r="GG231">
        <f ca="1"/>
      </c>
      <c r="GH231">
        <f ca="1"/>
      </c>
      <c r="GI231">
        <f ca="1"/>
      </c>
      <c r="GJ231">
        <f ca="1"/>
      </c>
      <c r="GK231">
        <f ca="1"/>
      </c>
      <c r="GL231">
        <f ca="1"/>
      </c>
      <c r="GM231">
        <f ca="1"/>
      </c>
      <c r="GN231">
        <f ca="1"/>
      </c>
      <c r="GO231">
        <f ca="1"/>
      </c>
      <c r="GP231">
        <f ca="1"/>
      </c>
      <c r="GQ231">
        <f ca="1"/>
      </c>
      <c r="GR231">
        <f ca="1"/>
      </c>
      <c r="GS231">
        <f ca="1"/>
      </c>
      <c r="GT231">
        <f ca="1"/>
      </c>
      <c r="GU231">
        <f ca="1"/>
      </c>
      <c r="GV231">
        <f ca="1"/>
      </c>
      <c r="GW231">
        <f ca="1"/>
      </c>
      <c r="HI231" s="7">
        <f ca="1"/>
      </c>
      <c r="HJ231">
        <f ca="1"/>
      </c>
      <c r="HK231">
        <f ca="1"/>
      </c>
      <c r="HL231">
        <f ca="1"/>
      </c>
      <c r="HM231">
        <f ca="1"/>
      </c>
    </row>
    <row r="232" spans="63:221" x14ac:dyDescent="0.55000000000000004">
      <c r="BK232">
        <f ca="1"/>
      </c>
      <c r="BL232">
        <f ca="1"/>
      </c>
      <c r="BM232">
        <f ca="1"/>
      </c>
      <c r="BN232">
        <f ca="1"/>
      </c>
      <c r="BO232">
        <f ca="1"/>
      </c>
      <c r="BP232">
        <f ca="1"/>
      </c>
      <c r="BQ232">
        <f ca="1"/>
      </c>
      <c r="BR232">
        <f ca="1"/>
      </c>
      <c r="BS232">
        <f ca="1"/>
      </c>
      <c r="BT232">
        <f ca="1"/>
      </c>
      <c r="BU232">
        <f ca="1"/>
      </c>
      <c r="BV232">
        <f ca="1"/>
      </c>
      <c r="BW232">
        <f ca="1"/>
      </c>
      <c r="BX232">
        <f ca="1"/>
      </c>
      <c r="BY232">
        <f ca="1"/>
      </c>
      <c r="BZ232">
        <f ca="1"/>
      </c>
      <c r="CA232">
        <f ca="1"/>
      </c>
      <c r="CB232">
        <f ca="1"/>
      </c>
      <c r="CC232">
        <f ca="1"/>
      </c>
      <c r="CD232">
        <f ca="1"/>
      </c>
      <c r="CE232">
        <f ca="1"/>
      </c>
      <c r="CF232">
        <f ca="1"/>
      </c>
      <c r="CG232">
        <f ca="1"/>
      </c>
      <c r="CH232">
        <f ca="1"/>
      </c>
      <c r="CI232">
        <f ca="1"/>
      </c>
      <c r="CJ232">
        <f ca="1"/>
      </c>
      <c r="CK232">
        <f ca="1"/>
      </c>
      <c r="CL232">
        <f ca="1"/>
      </c>
      <c r="CM232">
        <f ca="1"/>
      </c>
      <c r="CN232">
        <f ca="1"/>
      </c>
      <c r="CO232">
        <f ca="1"/>
      </c>
      <c r="CP232">
        <f ca="1"/>
      </c>
      <c r="CQ232">
        <f ca="1"/>
      </c>
      <c r="CR232">
        <f ca="1"/>
      </c>
      <c r="CS232">
        <f ca="1"/>
      </c>
      <c r="CT232">
        <f ca="1"/>
      </c>
      <c r="CU232">
        <f ca="1"/>
      </c>
      <c r="CV232">
        <f ca="1"/>
      </c>
      <c r="CW232">
        <f ca="1"/>
      </c>
      <c r="CX232">
        <f ca="1"/>
      </c>
      <c r="CY232">
        <f ca="1"/>
      </c>
      <c r="CZ232">
        <f ca="1"/>
      </c>
      <c r="DA232">
        <f ca="1"/>
      </c>
      <c r="DB232">
        <f ca="1"/>
      </c>
      <c r="DC232">
        <f ca="1"/>
      </c>
      <c r="DD232">
        <f ca="1"/>
      </c>
      <c r="DE232">
        <f ca="1"/>
      </c>
      <c r="DG232">
        <f ca="1"/>
      </c>
      <c r="DH232">
        <f ca="1"/>
      </c>
      <c r="DI232">
        <f ca="1"/>
      </c>
      <c r="DJ232">
        <f ca="1"/>
      </c>
      <c r="DK232">
        <f ca="1"/>
      </c>
      <c r="DL232">
        <f ca="1"/>
      </c>
      <c r="DM232">
        <f ca="1"/>
      </c>
      <c r="DN232">
        <f ca="1"/>
      </c>
      <c r="DO232">
        <f ca="1"/>
      </c>
      <c r="DP232">
        <f ca="1"/>
      </c>
      <c r="DQ232">
        <f ca="1"/>
      </c>
      <c r="DR232">
        <f ca="1"/>
      </c>
      <c r="DS232">
        <f ca="1"/>
      </c>
      <c r="DT232">
        <f ca="1"/>
      </c>
      <c r="DU232">
        <f ca="1"/>
      </c>
      <c r="DV232">
        <f ca="1"/>
      </c>
      <c r="DW232">
        <f ca="1"/>
      </c>
      <c r="DX232">
        <f ca="1"/>
      </c>
      <c r="DY232">
        <f ca="1"/>
      </c>
      <c r="DZ232">
        <f ca="1"/>
      </c>
      <c r="EA232">
        <f ca="1"/>
      </c>
      <c r="EB232">
        <f ca="1"/>
      </c>
      <c r="EC232">
        <f ca="1"/>
      </c>
      <c r="ED232">
        <f ca="1"/>
      </c>
      <c r="EE232">
        <f ca="1"/>
      </c>
      <c r="EF232">
        <f ca="1"/>
      </c>
      <c r="EG232">
        <f ca="1"/>
      </c>
      <c r="EH232">
        <f ca="1"/>
      </c>
      <c r="EI232">
        <f ca="1"/>
      </c>
      <c r="EJ232">
        <f ca="1"/>
      </c>
      <c r="EK232">
        <f ca="1"/>
      </c>
      <c r="EL232">
        <f ca="1"/>
      </c>
      <c r="EM232">
        <f ca="1"/>
      </c>
      <c r="EN232">
        <f ca="1"/>
      </c>
      <c r="EO232">
        <f ca="1"/>
      </c>
      <c r="EP232">
        <f ca="1"/>
      </c>
      <c r="EQ232">
        <f ca="1"/>
      </c>
      <c r="ER232">
        <f ca="1"/>
      </c>
      <c r="ES232">
        <f ca="1"/>
      </c>
      <c r="ET232">
        <f ca="1"/>
      </c>
      <c r="EU232">
        <f ca="1"/>
      </c>
      <c r="EV232">
        <f ca="1"/>
      </c>
      <c r="EW232">
        <f ca="1"/>
      </c>
      <c r="EX232">
        <f ca="1"/>
      </c>
      <c r="EY232">
        <f ca="1"/>
      </c>
      <c r="EZ232">
        <f ca="1"/>
      </c>
      <c r="FA232">
        <f ca="1"/>
      </c>
      <c r="FC232">
        <f ca="1"/>
      </c>
      <c r="FD232">
        <f ca="1"/>
      </c>
      <c r="FE232">
        <f ca="1"/>
      </c>
      <c r="FF232">
        <f ca="1"/>
      </c>
      <c r="FG232">
        <f ca="1"/>
      </c>
      <c r="FH232">
        <f ca="1"/>
      </c>
      <c r="FI232">
        <f ca="1"/>
      </c>
      <c r="FJ232">
        <f ca="1"/>
      </c>
      <c r="FK232">
        <f ca="1"/>
      </c>
      <c r="FL232">
        <f ca="1"/>
      </c>
      <c r="FM232">
        <f ca="1"/>
      </c>
      <c r="FN232">
        <f ca="1"/>
      </c>
      <c r="FO232">
        <f ca="1"/>
      </c>
      <c r="FP232">
        <f ca="1"/>
      </c>
      <c r="FQ232">
        <f ca="1"/>
      </c>
      <c r="FR232">
        <f ca="1"/>
      </c>
      <c r="FS232">
        <f ca="1"/>
      </c>
      <c r="FT232">
        <f ca="1"/>
      </c>
      <c r="FU232">
        <f ca="1"/>
      </c>
      <c r="FV232">
        <f ca="1"/>
      </c>
      <c r="FW232">
        <f ca="1"/>
      </c>
      <c r="FX232">
        <f ca="1"/>
      </c>
      <c r="FY232">
        <f ca="1"/>
      </c>
      <c r="FZ232">
        <f ca="1"/>
      </c>
      <c r="GA232">
        <f ca="1"/>
      </c>
      <c r="GB232">
        <f ca="1"/>
      </c>
      <c r="GC232">
        <f ca="1"/>
      </c>
      <c r="GD232">
        <f ca="1"/>
      </c>
      <c r="GE232">
        <f ca="1"/>
      </c>
      <c r="GF232">
        <f ca="1"/>
      </c>
      <c r="GG232">
        <f ca="1"/>
      </c>
      <c r="GH232">
        <f ca="1"/>
      </c>
      <c r="GI232">
        <f ca="1"/>
      </c>
      <c r="GJ232">
        <f ca="1"/>
      </c>
      <c r="GK232">
        <f ca="1"/>
      </c>
      <c r="GL232">
        <f ca="1"/>
      </c>
      <c r="GM232">
        <f ca="1"/>
      </c>
      <c r="GN232">
        <f ca="1"/>
      </c>
      <c r="GO232">
        <f ca="1"/>
      </c>
      <c r="GP232">
        <f ca="1"/>
      </c>
      <c r="GQ232">
        <f ca="1"/>
      </c>
      <c r="GR232">
        <f ca="1"/>
      </c>
      <c r="GS232">
        <f ca="1"/>
      </c>
      <c r="GT232">
        <f ca="1"/>
      </c>
      <c r="GU232">
        <f ca="1"/>
      </c>
      <c r="GV232">
        <f ca="1"/>
      </c>
      <c r="GW232">
        <f ca="1"/>
      </c>
      <c r="HI232" s="7">
        <f ca="1"/>
      </c>
      <c r="HJ232">
        <f ca="1"/>
      </c>
      <c r="HK232">
        <f ca="1"/>
      </c>
      <c r="HL232">
        <f ca="1"/>
      </c>
      <c r="HM232">
        <f ca="1"/>
      </c>
    </row>
    <row r="233" spans="63:221" x14ac:dyDescent="0.55000000000000004">
      <c r="BK233">
        <f ca="1"/>
      </c>
      <c r="BL233">
        <f ca="1"/>
      </c>
      <c r="BM233">
        <f ca="1"/>
      </c>
      <c r="BN233">
        <f ca="1"/>
      </c>
      <c r="BO233">
        <f ca="1"/>
      </c>
      <c r="BP233">
        <f ca="1"/>
      </c>
      <c r="BQ233">
        <f ca="1"/>
      </c>
      <c r="BR233">
        <f ca="1"/>
      </c>
      <c r="BS233">
        <f ca="1"/>
      </c>
      <c r="BT233">
        <f ca="1"/>
      </c>
      <c r="BU233">
        <f ca="1"/>
      </c>
      <c r="BV233">
        <f ca="1"/>
      </c>
      <c r="BW233">
        <f ca="1"/>
      </c>
      <c r="BX233">
        <f ca="1"/>
      </c>
      <c r="BY233">
        <f ca="1"/>
      </c>
      <c r="BZ233">
        <f ca="1"/>
      </c>
      <c r="CA233">
        <f ca="1"/>
      </c>
      <c r="CB233">
        <f ca="1"/>
      </c>
      <c r="CC233">
        <f ca="1"/>
      </c>
      <c r="CD233">
        <f ca="1"/>
      </c>
      <c r="CE233">
        <f ca="1"/>
      </c>
      <c r="CF233">
        <f ca="1"/>
      </c>
      <c r="CG233">
        <f ca="1"/>
      </c>
      <c r="CH233">
        <f ca="1"/>
      </c>
      <c r="CI233">
        <f ca="1"/>
      </c>
      <c r="CJ233">
        <f ca="1"/>
      </c>
      <c r="CK233">
        <f ca="1"/>
      </c>
      <c r="CL233">
        <f ca="1"/>
      </c>
      <c r="CM233">
        <f ca="1"/>
      </c>
      <c r="CN233">
        <f ca="1"/>
      </c>
      <c r="CO233">
        <f ca="1"/>
      </c>
      <c r="CP233">
        <f ca="1"/>
      </c>
      <c r="CQ233">
        <f ca="1"/>
      </c>
      <c r="CR233">
        <f ca="1"/>
      </c>
      <c r="CS233">
        <f ca="1"/>
      </c>
      <c r="CT233">
        <f ca="1"/>
      </c>
      <c r="CU233">
        <f ca="1"/>
      </c>
      <c r="CV233">
        <f ca="1"/>
      </c>
      <c r="CW233">
        <f ca="1"/>
      </c>
      <c r="CX233">
        <f ca="1"/>
      </c>
      <c r="CY233">
        <f ca="1"/>
      </c>
      <c r="CZ233">
        <f ca="1"/>
      </c>
      <c r="DA233">
        <f ca="1"/>
      </c>
      <c r="DB233">
        <f ca="1"/>
      </c>
      <c r="DC233">
        <f ca="1"/>
      </c>
      <c r="DD233">
        <f ca="1"/>
      </c>
      <c r="DE233">
        <f ca="1"/>
      </c>
      <c r="DG233">
        <f ca="1"/>
      </c>
      <c r="DH233">
        <f ca="1"/>
      </c>
      <c r="DI233">
        <f ca="1"/>
      </c>
      <c r="DJ233">
        <f ca="1"/>
      </c>
      <c r="DK233">
        <f ca="1"/>
      </c>
      <c r="DL233">
        <f ca="1"/>
      </c>
      <c r="DM233">
        <f ca="1"/>
      </c>
      <c r="DN233">
        <f ca="1"/>
      </c>
      <c r="DO233">
        <f ca="1"/>
      </c>
      <c r="DP233">
        <f ca="1"/>
      </c>
      <c r="DQ233">
        <f ca="1"/>
      </c>
      <c r="DR233">
        <f ca="1"/>
      </c>
      <c r="DS233">
        <f ca="1"/>
      </c>
      <c r="DT233">
        <f ca="1"/>
      </c>
      <c r="DU233">
        <f ca="1"/>
      </c>
      <c r="DV233">
        <f ca="1"/>
      </c>
      <c r="DW233">
        <f ca="1"/>
      </c>
      <c r="DX233">
        <f ca="1"/>
      </c>
      <c r="DY233">
        <f ca="1"/>
      </c>
      <c r="DZ233">
        <f ca="1"/>
      </c>
      <c r="EA233">
        <f ca="1"/>
      </c>
      <c r="EB233">
        <f ca="1"/>
      </c>
      <c r="EC233">
        <f ca="1"/>
      </c>
      <c r="ED233">
        <f ca="1"/>
      </c>
      <c r="EE233">
        <f ca="1"/>
      </c>
      <c r="EF233">
        <f ca="1"/>
      </c>
      <c r="EG233">
        <f ca="1"/>
      </c>
      <c r="EH233">
        <f ca="1"/>
      </c>
      <c r="EI233">
        <f ca="1"/>
      </c>
      <c r="EJ233">
        <f ca="1"/>
      </c>
      <c r="EK233">
        <f ca="1"/>
      </c>
      <c r="EL233">
        <f ca="1"/>
      </c>
      <c r="EM233">
        <f ca="1"/>
      </c>
      <c r="EN233">
        <f ca="1"/>
      </c>
      <c r="EO233">
        <f ca="1"/>
      </c>
      <c r="EP233">
        <f ca="1"/>
      </c>
      <c r="EQ233">
        <f ca="1"/>
      </c>
      <c r="ER233">
        <f ca="1"/>
      </c>
      <c r="ES233">
        <f ca="1"/>
      </c>
      <c r="ET233">
        <f ca="1"/>
      </c>
      <c r="EU233">
        <f ca="1"/>
      </c>
      <c r="EV233">
        <f ca="1"/>
      </c>
      <c r="EW233">
        <f ca="1"/>
      </c>
      <c r="EX233">
        <f ca="1"/>
      </c>
      <c r="EY233">
        <f ca="1"/>
      </c>
      <c r="EZ233">
        <f ca="1"/>
      </c>
      <c r="FA233">
        <f ca="1"/>
      </c>
      <c r="FC233">
        <f ca="1"/>
      </c>
      <c r="FD233">
        <f ca="1"/>
      </c>
      <c r="FE233">
        <f ca="1"/>
      </c>
      <c r="FF233">
        <f ca="1"/>
      </c>
      <c r="FG233">
        <f ca="1"/>
      </c>
      <c r="FH233">
        <f ca="1"/>
      </c>
      <c r="FI233">
        <f ca="1"/>
      </c>
      <c r="FJ233">
        <f ca="1"/>
      </c>
      <c r="FK233">
        <f ca="1"/>
      </c>
      <c r="FL233">
        <f ca="1"/>
      </c>
      <c r="FM233">
        <f ca="1"/>
      </c>
      <c r="FN233">
        <f ca="1"/>
      </c>
      <c r="FO233">
        <f ca="1"/>
      </c>
      <c r="FP233">
        <f ca="1"/>
      </c>
      <c r="FQ233">
        <f ca="1"/>
      </c>
      <c r="FR233">
        <f ca="1"/>
      </c>
      <c r="FS233">
        <f ca="1"/>
      </c>
      <c r="FT233">
        <f ca="1"/>
      </c>
      <c r="FU233">
        <f ca="1"/>
      </c>
      <c r="FV233">
        <f ca="1"/>
      </c>
      <c r="FW233">
        <f ca="1"/>
      </c>
      <c r="FX233">
        <f ca="1"/>
      </c>
      <c r="FY233">
        <f ca="1"/>
      </c>
      <c r="FZ233">
        <f ca="1"/>
      </c>
      <c r="GA233">
        <f ca="1"/>
      </c>
      <c r="GB233">
        <f ca="1"/>
      </c>
      <c r="GC233">
        <f ca="1"/>
      </c>
      <c r="GD233">
        <f ca="1"/>
      </c>
      <c r="GE233">
        <f ca="1"/>
      </c>
      <c r="GF233">
        <f ca="1"/>
      </c>
      <c r="GG233">
        <f ca="1"/>
      </c>
      <c r="GH233">
        <f ca="1"/>
      </c>
      <c r="GI233">
        <f ca="1"/>
      </c>
      <c r="GJ233">
        <f ca="1"/>
      </c>
      <c r="GK233">
        <f ca="1"/>
      </c>
      <c r="GL233">
        <f ca="1"/>
      </c>
      <c r="GM233">
        <f ca="1"/>
      </c>
      <c r="GN233">
        <f ca="1"/>
      </c>
      <c r="GO233">
        <f ca="1"/>
      </c>
      <c r="GP233">
        <f ca="1"/>
      </c>
      <c r="GQ233">
        <f ca="1"/>
      </c>
      <c r="GR233">
        <f ca="1"/>
      </c>
      <c r="GS233">
        <f ca="1"/>
      </c>
      <c r="GT233">
        <f ca="1"/>
      </c>
      <c r="GU233">
        <f ca="1"/>
      </c>
      <c r="GV233">
        <f ca="1"/>
      </c>
      <c r="GW233">
        <f ca="1"/>
      </c>
      <c r="HI233" s="7">
        <f ca="1"/>
      </c>
      <c r="HJ233">
        <f ca="1"/>
      </c>
      <c r="HK233">
        <f ca="1"/>
      </c>
      <c r="HL233">
        <f ca="1"/>
      </c>
      <c r="HM233">
        <f ca="1"/>
      </c>
    </row>
    <row r="234" spans="63:221" x14ac:dyDescent="0.55000000000000004">
      <c r="BK234">
        <f ca="1"/>
      </c>
      <c r="BL234">
        <f ca="1"/>
      </c>
      <c r="BM234">
        <f ca="1"/>
      </c>
      <c r="BN234">
        <f ca="1"/>
      </c>
      <c r="BO234">
        <f ca="1"/>
      </c>
      <c r="BP234">
        <f ca="1"/>
      </c>
      <c r="BQ234">
        <f ca="1"/>
      </c>
      <c r="BR234">
        <f ca="1"/>
      </c>
      <c r="BS234">
        <f ca="1"/>
      </c>
      <c r="BT234">
        <f ca="1"/>
      </c>
      <c r="BU234">
        <f ca="1"/>
      </c>
      <c r="BV234">
        <f ca="1"/>
      </c>
      <c r="BW234">
        <f ca="1"/>
      </c>
      <c r="BX234">
        <f ca="1"/>
      </c>
      <c r="BY234">
        <f ca="1"/>
      </c>
      <c r="BZ234">
        <f ca="1"/>
      </c>
      <c r="CA234">
        <f ca="1"/>
      </c>
      <c r="CB234">
        <f ca="1"/>
      </c>
      <c r="CC234">
        <f ca="1"/>
      </c>
      <c r="CD234">
        <f ca="1"/>
      </c>
      <c r="CE234">
        <f ca="1"/>
      </c>
      <c r="CF234">
        <f ca="1"/>
      </c>
      <c r="CG234">
        <f ca="1"/>
      </c>
      <c r="CH234">
        <f ca="1"/>
      </c>
      <c r="CI234">
        <f ca="1"/>
      </c>
      <c r="CJ234">
        <f ca="1"/>
      </c>
      <c r="CK234">
        <f ca="1"/>
      </c>
      <c r="CL234">
        <f ca="1"/>
      </c>
      <c r="CM234">
        <f ca="1"/>
      </c>
      <c r="CN234">
        <f ca="1"/>
      </c>
      <c r="CO234">
        <f ca="1"/>
      </c>
      <c r="CP234">
        <f ca="1"/>
      </c>
      <c r="CQ234">
        <f ca="1"/>
      </c>
      <c r="CR234">
        <f ca="1"/>
      </c>
      <c r="CS234">
        <f ca="1"/>
      </c>
      <c r="CT234">
        <f ca="1"/>
      </c>
      <c r="CU234">
        <f ca="1"/>
      </c>
      <c r="CV234">
        <f ca="1"/>
      </c>
      <c r="CW234">
        <f ca="1"/>
      </c>
      <c r="CX234">
        <f ca="1"/>
      </c>
      <c r="CY234">
        <f ca="1"/>
      </c>
      <c r="CZ234">
        <f ca="1"/>
      </c>
      <c r="DA234">
        <f ca="1"/>
      </c>
      <c r="DB234">
        <f ca="1"/>
      </c>
      <c r="DC234">
        <f ca="1"/>
      </c>
      <c r="DD234">
        <f ca="1"/>
      </c>
      <c r="DE234">
        <f ca="1"/>
      </c>
      <c r="DG234">
        <f ca="1"/>
      </c>
      <c r="DH234">
        <f ca="1"/>
      </c>
      <c r="DI234">
        <f ca="1"/>
      </c>
      <c r="DJ234">
        <f ca="1"/>
      </c>
      <c r="DK234">
        <f ca="1"/>
      </c>
      <c r="DL234">
        <f ca="1"/>
      </c>
      <c r="DM234">
        <f ca="1"/>
      </c>
      <c r="DN234">
        <f ca="1"/>
      </c>
      <c r="DO234">
        <f ca="1"/>
      </c>
      <c r="DP234">
        <f ca="1"/>
      </c>
      <c r="DQ234">
        <f ca="1"/>
      </c>
      <c r="DR234">
        <f ca="1"/>
      </c>
      <c r="DS234">
        <f ca="1"/>
      </c>
      <c r="DT234">
        <f ca="1"/>
      </c>
      <c r="DU234">
        <f ca="1"/>
      </c>
      <c r="DV234">
        <f ca="1"/>
      </c>
      <c r="DW234">
        <f ca="1"/>
      </c>
      <c r="DX234">
        <f ca="1"/>
      </c>
      <c r="DY234">
        <f ca="1"/>
      </c>
      <c r="DZ234">
        <f ca="1"/>
      </c>
      <c r="EA234">
        <f ca="1"/>
      </c>
      <c r="EB234">
        <f ca="1"/>
      </c>
      <c r="EC234">
        <f ca="1"/>
      </c>
      <c r="ED234">
        <f ca="1"/>
      </c>
      <c r="EE234">
        <f ca="1"/>
      </c>
      <c r="EF234">
        <f ca="1"/>
      </c>
      <c r="EG234">
        <f ca="1"/>
      </c>
      <c r="EH234">
        <f ca="1"/>
      </c>
      <c r="EI234">
        <f ca="1"/>
      </c>
      <c r="EJ234">
        <f ca="1"/>
      </c>
      <c r="EK234">
        <f ca="1"/>
      </c>
      <c r="EL234">
        <f ca="1"/>
      </c>
      <c r="EM234">
        <f ca="1"/>
      </c>
      <c r="EN234">
        <f ca="1"/>
      </c>
      <c r="EO234">
        <f ca="1"/>
      </c>
      <c r="EP234">
        <f ca="1"/>
      </c>
      <c r="EQ234">
        <f ca="1"/>
      </c>
      <c r="ER234">
        <f ca="1"/>
      </c>
      <c r="ES234">
        <f ca="1"/>
      </c>
      <c r="ET234">
        <f ca="1"/>
      </c>
      <c r="EU234">
        <f ca="1"/>
      </c>
      <c r="EV234">
        <f ca="1"/>
      </c>
      <c r="EW234">
        <f ca="1"/>
      </c>
      <c r="EX234">
        <f ca="1"/>
      </c>
      <c r="EY234">
        <f ca="1"/>
      </c>
      <c r="EZ234">
        <f ca="1"/>
      </c>
      <c r="FA234">
        <f ca="1"/>
      </c>
      <c r="FC234">
        <f ca="1"/>
      </c>
      <c r="FD234">
        <f ca="1"/>
      </c>
      <c r="FE234">
        <f ca="1"/>
      </c>
      <c r="FF234">
        <f ca="1"/>
      </c>
      <c r="FG234">
        <f ca="1"/>
      </c>
      <c r="FH234">
        <f ca="1"/>
      </c>
      <c r="FI234">
        <f ca="1"/>
      </c>
      <c r="FJ234">
        <f ca="1"/>
      </c>
      <c r="FK234">
        <f ca="1"/>
      </c>
      <c r="FL234">
        <f ca="1"/>
      </c>
      <c r="FM234">
        <f ca="1"/>
      </c>
      <c r="FN234">
        <f ca="1"/>
      </c>
      <c r="FO234">
        <f ca="1"/>
      </c>
      <c r="FP234">
        <f ca="1"/>
      </c>
      <c r="FQ234">
        <f ca="1"/>
      </c>
      <c r="FR234">
        <f ca="1"/>
      </c>
      <c r="FS234">
        <f ca="1"/>
      </c>
      <c r="FT234">
        <f ca="1"/>
      </c>
      <c r="FU234">
        <f ca="1"/>
      </c>
      <c r="FV234">
        <f ca="1"/>
      </c>
      <c r="FW234">
        <f ca="1"/>
      </c>
      <c r="FX234">
        <f ca="1"/>
      </c>
      <c r="FY234">
        <f ca="1"/>
      </c>
      <c r="FZ234">
        <f ca="1"/>
      </c>
      <c r="GA234">
        <f ca="1"/>
      </c>
      <c r="GB234">
        <f ca="1"/>
      </c>
      <c r="GC234">
        <f ca="1"/>
      </c>
      <c r="GD234">
        <f ca="1"/>
      </c>
      <c r="GE234">
        <f ca="1"/>
      </c>
      <c r="GF234">
        <f ca="1"/>
      </c>
      <c r="GG234">
        <f ca="1"/>
      </c>
      <c r="GH234">
        <f ca="1"/>
      </c>
      <c r="GI234">
        <f ca="1"/>
      </c>
      <c r="GJ234">
        <f ca="1"/>
      </c>
      <c r="GK234">
        <f ca="1"/>
      </c>
      <c r="GL234">
        <f ca="1"/>
      </c>
      <c r="GM234">
        <f ca="1"/>
      </c>
      <c r="GN234">
        <f ca="1"/>
      </c>
      <c r="GO234">
        <f ca="1"/>
      </c>
      <c r="GP234">
        <f ca="1"/>
      </c>
      <c r="GQ234">
        <f ca="1"/>
      </c>
      <c r="GR234">
        <f ca="1"/>
      </c>
      <c r="GS234">
        <f ca="1"/>
      </c>
      <c r="GT234">
        <f ca="1"/>
      </c>
      <c r="GU234">
        <f ca="1"/>
      </c>
      <c r="GV234">
        <f ca="1"/>
      </c>
      <c r="GW234">
        <f ca="1"/>
      </c>
      <c r="HI234" s="7">
        <f ca="1"/>
      </c>
      <c r="HJ234">
        <f ca="1"/>
      </c>
      <c r="HK234">
        <f ca="1"/>
      </c>
      <c r="HL234">
        <f ca="1"/>
      </c>
      <c r="HM234">
        <f ca="1"/>
      </c>
    </row>
    <row r="235" spans="63:221" x14ac:dyDescent="0.55000000000000004">
      <c r="BK235">
        <f ca="1"/>
      </c>
      <c r="BL235">
        <f ca="1"/>
      </c>
      <c r="BM235">
        <f ca="1"/>
      </c>
      <c r="BN235">
        <f ca="1"/>
      </c>
      <c r="BO235">
        <f ca="1"/>
      </c>
      <c r="BP235">
        <f ca="1"/>
      </c>
      <c r="BQ235">
        <f ca="1"/>
      </c>
      <c r="BR235">
        <f ca="1"/>
      </c>
      <c r="BS235">
        <f ca="1"/>
      </c>
      <c r="BT235">
        <f ca="1"/>
      </c>
      <c r="BU235">
        <f ca="1"/>
      </c>
      <c r="BV235">
        <f ca="1"/>
      </c>
      <c r="BW235">
        <f ca="1"/>
      </c>
      <c r="BX235">
        <f ca="1"/>
      </c>
      <c r="BY235">
        <f ca="1"/>
      </c>
      <c r="BZ235">
        <f ca="1"/>
      </c>
      <c r="CA235">
        <f ca="1"/>
      </c>
      <c r="CB235">
        <f ca="1"/>
      </c>
      <c r="CC235">
        <f ca="1"/>
      </c>
      <c r="CD235">
        <f ca="1"/>
      </c>
      <c r="CE235">
        <f ca="1"/>
      </c>
      <c r="CF235">
        <f ca="1"/>
      </c>
      <c r="CG235">
        <f ca="1"/>
      </c>
      <c r="CH235">
        <f ca="1"/>
      </c>
      <c r="CI235">
        <f ca="1"/>
      </c>
      <c r="CJ235">
        <f ca="1"/>
      </c>
      <c r="CK235">
        <f ca="1"/>
      </c>
      <c r="CL235">
        <f ca="1"/>
      </c>
      <c r="CM235">
        <f ca="1"/>
      </c>
      <c r="CN235">
        <f ca="1"/>
      </c>
      <c r="CO235">
        <f ca="1"/>
      </c>
      <c r="CP235">
        <f ca="1"/>
      </c>
      <c r="CQ235">
        <f ca="1"/>
      </c>
      <c r="CR235">
        <f ca="1"/>
      </c>
      <c r="CS235">
        <f ca="1"/>
      </c>
      <c r="CT235">
        <f ca="1"/>
      </c>
      <c r="CU235">
        <f ca="1"/>
      </c>
      <c r="CV235">
        <f ca="1"/>
      </c>
      <c r="CW235">
        <f ca="1"/>
      </c>
      <c r="CX235">
        <f ca="1"/>
      </c>
      <c r="CY235">
        <f ca="1"/>
      </c>
      <c r="CZ235">
        <f ca="1"/>
      </c>
      <c r="DA235">
        <f ca="1"/>
      </c>
      <c r="DB235">
        <f ca="1"/>
      </c>
      <c r="DC235">
        <f ca="1"/>
      </c>
      <c r="DD235">
        <f ca="1"/>
      </c>
      <c r="DE235">
        <f ca="1"/>
      </c>
      <c r="DG235">
        <f ca="1"/>
      </c>
      <c r="DH235">
        <f ca="1"/>
      </c>
      <c r="DI235">
        <f ca="1"/>
      </c>
      <c r="DJ235">
        <f ca="1"/>
      </c>
      <c r="DK235">
        <f ca="1"/>
      </c>
      <c r="DL235">
        <f ca="1"/>
      </c>
      <c r="DM235">
        <f ca="1"/>
      </c>
      <c r="DN235">
        <f ca="1"/>
      </c>
      <c r="DO235">
        <f ca="1"/>
      </c>
      <c r="DP235">
        <f ca="1"/>
      </c>
      <c r="DQ235">
        <f ca="1"/>
      </c>
      <c r="DR235">
        <f ca="1"/>
      </c>
      <c r="DS235">
        <f ca="1"/>
      </c>
      <c r="DT235">
        <f ca="1"/>
      </c>
      <c r="DU235">
        <f ca="1"/>
      </c>
      <c r="DV235">
        <f ca="1"/>
      </c>
      <c r="DW235">
        <f ca="1"/>
      </c>
      <c r="DX235">
        <f ca="1"/>
      </c>
      <c r="DY235">
        <f ca="1"/>
      </c>
      <c r="DZ235">
        <f ca="1"/>
      </c>
      <c r="EA235">
        <f ca="1"/>
      </c>
      <c r="EB235">
        <f ca="1"/>
      </c>
      <c r="EC235">
        <f ca="1"/>
      </c>
      <c r="ED235">
        <f ca="1"/>
      </c>
      <c r="EE235">
        <f ca="1"/>
      </c>
      <c r="EF235">
        <f ca="1"/>
      </c>
      <c r="EG235">
        <f ca="1"/>
      </c>
      <c r="EH235">
        <f ca="1"/>
      </c>
      <c r="EI235">
        <f ca="1"/>
      </c>
      <c r="EJ235">
        <f ca="1"/>
      </c>
      <c r="EK235">
        <f ca="1"/>
      </c>
      <c r="EL235">
        <f ca="1"/>
      </c>
      <c r="EM235">
        <f ca="1"/>
      </c>
      <c r="EN235">
        <f ca="1"/>
      </c>
      <c r="EO235">
        <f ca="1"/>
      </c>
      <c r="EP235">
        <f ca="1"/>
      </c>
      <c r="EQ235">
        <f ca="1"/>
      </c>
      <c r="ER235">
        <f ca="1"/>
      </c>
      <c r="ES235">
        <f ca="1"/>
      </c>
      <c r="ET235">
        <f ca="1"/>
      </c>
      <c r="EU235">
        <f ca="1"/>
      </c>
      <c r="EV235">
        <f ca="1"/>
      </c>
      <c r="EW235">
        <f ca="1"/>
      </c>
      <c r="EX235">
        <f ca="1"/>
      </c>
      <c r="EY235">
        <f ca="1"/>
      </c>
      <c r="EZ235">
        <f ca="1"/>
      </c>
      <c r="FA235">
        <f ca="1"/>
      </c>
      <c r="FC235">
        <f ca="1"/>
      </c>
      <c r="FD235">
        <f ca="1"/>
      </c>
      <c r="FE235">
        <f ca="1"/>
      </c>
      <c r="FF235">
        <f ca="1"/>
      </c>
      <c r="FG235">
        <f ca="1"/>
      </c>
      <c r="FH235">
        <f ca="1"/>
      </c>
      <c r="FI235">
        <f ca="1"/>
      </c>
      <c r="FJ235">
        <f ca="1"/>
      </c>
      <c r="FK235">
        <f ca="1"/>
      </c>
      <c r="FL235">
        <f ca="1"/>
      </c>
      <c r="FM235">
        <f ca="1"/>
      </c>
      <c r="FN235">
        <f ca="1"/>
      </c>
      <c r="FO235">
        <f ca="1"/>
      </c>
      <c r="FP235">
        <f ca="1"/>
      </c>
      <c r="FQ235">
        <f ca="1"/>
      </c>
      <c r="FR235">
        <f ca="1"/>
      </c>
      <c r="FS235">
        <f ca="1"/>
      </c>
      <c r="FT235">
        <f ca="1"/>
      </c>
      <c r="FU235">
        <f ca="1"/>
      </c>
      <c r="FV235">
        <f ca="1"/>
      </c>
      <c r="FW235">
        <f ca="1"/>
      </c>
      <c r="FX235">
        <f ca="1"/>
      </c>
      <c r="FY235">
        <f ca="1"/>
      </c>
      <c r="FZ235">
        <f ca="1"/>
      </c>
      <c r="GA235">
        <f ca="1"/>
      </c>
      <c r="GB235">
        <f ca="1"/>
      </c>
      <c r="GC235">
        <f ca="1"/>
      </c>
      <c r="GD235">
        <f ca="1"/>
      </c>
      <c r="GE235">
        <f ca="1"/>
      </c>
      <c r="GF235">
        <f ca="1"/>
      </c>
      <c r="GG235">
        <f ca="1"/>
      </c>
      <c r="GH235">
        <f ca="1"/>
      </c>
      <c r="GI235">
        <f ca="1"/>
      </c>
      <c r="GJ235">
        <f ca="1"/>
      </c>
      <c r="GK235">
        <f ca="1"/>
      </c>
      <c r="GL235">
        <f ca="1"/>
      </c>
      <c r="GM235">
        <f ca="1"/>
      </c>
      <c r="GN235">
        <f ca="1"/>
      </c>
      <c r="GO235">
        <f ca="1"/>
      </c>
      <c r="GP235">
        <f ca="1"/>
      </c>
      <c r="GQ235">
        <f ca="1"/>
      </c>
      <c r="GR235">
        <f ca="1"/>
      </c>
      <c r="GS235">
        <f ca="1"/>
      </c>
      <c r="GT235">
        <f ca="1"/>
      </c>
      <c r="GU235">
        <f ca="1"/>
      </c>
      <c r="GV235">
        <f ca="1"/>
      </c>
      <c r="GW235">
        <f ca="1"/>
      </c>
      <c r="HI235" s="7">
        <f ca="1"/>
      </c>
      <c r="HJ235">
        <f ca="1"/>
      </c>
      <c r="HK235">
        <f ca="1"/>
      </c>
      <c r="HL235">
        <f ca="1"/>
      </c>
      <c r="HM235">
        <f ca="1"/>
      </c>
    </row>
    <row r="236" spans="63:221" x14ac:dyDescent="0.55000000000000004">
      <c r="BK236">
        <f ca="1"/>
      </c>
      <c r="BL236">
        <f ca="1"/>
      </c>
      <c r="BM236">
        <f ca="1"/>
      </c>
      <c r="BN236">
        <f ca="1"/>
      </c>
      <c r="BO236">
        <f ca="1"/>
      </c>
      <c r="BP236">
        <f ca="1"/>
      </c>
      <c r="BQ236">
        <f ca="1"/>
      </c>
      <c r="BR236">
        <f ca="1"/>
      </c>
      <c r="BS236">
        <f ca="1"/>
      </c>
      <c r="BT236">
        <f ca="1"/>
      </c>
      <c r="BU236">
        <f ca="1"/>
      </c>
      <c r="BV236">
        <f ca="1"/>
      </c>
      <c r="BW236">
        <f ca="1"/>
      </c>
      <c r="BX236">
        <f ca="1"/>
      </c>
      <c r="BY236">
        <f ca="1"/>
      </c>
      <c r="BZ236">
        <f ca="1"/>
      </c>
      <c r="CA236">
        <f ca="1"/>
      </c>
      <c r="CB236">
        <f ca="1"/>
      </c>
      <c r="CC236">
        <f ca="1"/>
      </c>
      <c r="CD236">
        <f ca="1"/>
      </c>
      <c r="CE236">
        <f ca="1"/>
      </c>
      <c r="CF236">
        <f ca="1"/>
      </c>
      <c r="CG236">
        <f ca="1"/>
      </c>
      <c r="CH236">
        <f ca="1"/>
      </c>
      <c r="CI236">
        <f ca="1"/>
      </c>
      <c r="CJ236">
        <f ca="1"/>
      </c>
      <c r="CK236">
        <f ca="1"/>
      </c>
      <c r="CL236">
        <f ca="1"/>
      </c>
      <c r="CM236">
        <f ca="1"/>
      </c>
      <c r="CN236">
        <f ca="1"/>
      </c>
      <c r="CO236">
        <f ca="1"/>
      </c>
      <c r="CP236">
        <f ca="1"/>
      </c>
      <c r="CQ236">
        <f ca="1"/>
      </c>
      <c r="CR236">
        <f ca="1"/>
      </c>
      <c r="CS236">
        <f ca="1"/>
      </c>
      <c r="CT236">
        <f ca="1"/>
      </c>
      <c r="CU236">
        <f ca="1"/>
      </c>
      <c r="CV236">
        <f ca="1"/>
      </c>
      <c r="CW236">
        <f ca="1"/>
      </c>
      <c r="CX236">
        <f ca="1"/>
      </c>
      <c r="CY236">
        <f ca="1"/>
      </c>
      <c r="CZ236">
        <f ca="1"/>
      </c>
      <c r="DA236">
        <f ca="1"/>
      </c>
      <c r="DB236">
        <f ca="1"/>
      </c>
      <c r="DC236">
        <f ca="1"/>
      </c>
      <c r="DD236">
        <f ca="1"/>
      </c>
      <c r="DE236">
        <f ca="1"/>
      </c>
      <c r="DG236">
        <f ca="1"/>
      </c>
      <c r="DH236">
        <f ca="1"/>
      </c>
      <c r="DI236">
        <f ca="1"/>
      </c>
      <c r="DJ236">
        <f ca="1"/>
      </c>
      <c r="DK236">
        <f ca="1"/>
      </c>
      <c r="DL236">
        <f ca="1"/>
      </c>
      <c r="DM236">
        <f ca="1"/>
      </c>
      <c r="DN236">
        <f ca="1"/>
      </c>
      <c r="DO236">
        <f ca="1"/>
      </c>
      <c r="DP236">
        <f ca="1"/>
      </c>
      <c r="DQ236">
        <f ca="1"/>
      </c>
      <c r="DR236">
        <f ca="1"/>
      </c>
      <c r="DS236">
        <f ca="1"/>
      </c>
      <c r="DT236">
        <f ca="1"/>
      </c>
      <c r="DU236">
        <f ca="1"/>
      </c>
      <c r="DV236">
        <f ca="1"/>
      </c>
      <c r="DW236">
        <f ca="1"/>
      </c>
      <c r="DX236">
        <f ca="1"/>
      </c>
      <c r="DY236">
        <f ca="1"/>
      </c>
      <c r="DZ236">
        <f ca="1"/>
      </c>
      <c r="EA236">
        <f ca="1"/>
      </c>
      <c r="EB236">
        <f ca="1"/>
      </c>
      <c r="EC236">
        <f ca="1"/>
      </c>
      <c r="ED236">
        <f ca="1"/>
      </c>
      <c r="EE236">
        <f ca="1"/>
      </c>
      <c r="EF236">
        <f ca="1"/>
      </c>
      <c r="EG236">
        <f ca="1"/>
      </c>
      <c r="EH236">
        <f ca="1"/>
      </c>
      <c r="EI236">
        <f ca="1"/>
      </c>
      <c r="EJ236">
        <f ca="1"/>
      </c>
      <c r="EK236">
        <f ca="1"/>
      </c>
      <c r="EL236">
        <f ca="1"/>
      </c>
      <c r="EM236">
        <f ca="1"/>
      </c>
      <c r="EN236">
        <f ca="1"/>
      </c>
      <c r="EO236">
        <f ca="1"/>
      </c>
      <c r="EP236">
        <f ca="1"/>
      </c>
      <c r="EQ236">
        <f ca="1"/>
      </c>
      <c r="ER236">
        <f ca="1"/>
      </c>
      <c r="ES236">
        <f ca="1"/>
      </c>
      <c r="ET236">
        <f ca="1"/>
      </c>
      <c r="EU236">
        <f ca="1"/>
      </c>
      <c r="EV236">
        <f ca="1"/>
      </c>
      <c r="EW236">
        <f ca="1"/>
      </c>
      <c r="EX236">
        <f ca="1"/>
      </c>
      <c r="EY236">
        <f ca="1"/>
      </c>
      <c r="EZ236">
        <f ca="1"/>
      </c>
      <c r="FA236">
        <f ca="1"/>
      </c>
      <c r="FC236">
        <f ca="1"/>
      </c>
      <c r="FD236">
        <f ca="1"/>
      </c>
      <c r="FE236">
        <f ca="1"/>
      </c>
      <c r="FF236">
        <f ca="1"/>
      </c>
      <c r="FG236">
        <f ca="1"/>
      </c>
      <c r="FH236">
        <f ca="1"/>
      </c>
      <c r="FI236">
        <f ca="1"/>
      </c>
      <c r="FJ236">
        <f ca="1"/>
      </c>
      <c r="FK236">
        <f ca="1"/>
      </c>
      <c r="FL236">
        <f ca="1"/>
      </c>
      <c r="FM236">
        <f ca="1"/>
      </c>
      <c r="FN236">
        <f ca="1"/>
      </c>
      <c r="FO236">
        <f ca="1"/>
      </c>
      <c r="FP236">
        <f ca="1"/>
      </c>
      <c r="FQ236">
        <f ca="1"/>
      </c>
      <c r="FR236">
        <f ca="1"/>
      </c>
      <c r="FS236">
        <f ca="1"/>
      </c>
      <c r="FT236">
        <f ca="1"/>
      </c>
      <c r="FU236">
        <f ca="1"/>
      </c>
      <c r="FV236">
        <f ca="1"/>
      </c>
      <c r="FW236">
        <f ca="1"/>
      </c>
      <c r="FX236">
        <f ca="1"/>
      </c>
      <c r="FY236">
        <f ca="1"/>
      </c>
      <c r="FZ236">
        <f ca="1"/>
      </c>
      <c r="GA236">
        <f ca="1"/>
      </c>
      <c r="GB236">
        <f ca="1"/>
      </c>
      <c r="GC236">
        <f ca="1"/>
      </c>
      <c r="GD236">
        <f ca="1"/>
      </c>
      <c r="GE236">
        <f ca="1"/>
      </c>
      <c r="GF236">
        <f ca="1"/>
      </c>
      <c r="GG236">
        <f ca="1"/>
      </c>
      <c r="GH236">
        <f ca="1"/>
      </c>
      <c r="GI236">
        <f ca="1"/>
      </c>
      <c r="GJ236">
        <f ca="1"/>
      </c>
      <c r="GK236">
        <f ca="1"/>
      </c>
      <c r="GL236">
        <f ca="1"/>
      </c>
      <c r="GM236">
        <f ca="1"/>
      </c>
      <c r="GN236">
        <f ca="1"/>
      </c>
      <c r="GO236">
        <f ca="1"/>
      </c>
      <c r="GP236">
        <f ca="1"/>
      </c>
      <c r="GQ236">
        <f ca="1"/>
      </c>
      <c r="GR236">
        <f ca="1"/>
      </c>
      <c r="GS236">
        <f ca="1"/>
      </c>
      <c r="GT236">
        <f ca="1"/>
      </c>
      <c r="GU236">
        <f ca="1"/>
      </c>
      <c r="GV236">
        <f ca="1"/>
      </c>
      <c r="GW236">
        <f ca="1"/>
      </c>
      <c r="HI236" s="7">
        <f ca="1"/>
      </c>
      <c r="HJ236">
        <f ca="1"/>
      </c>
      <c r="HK236">
        <f ca="1"/>
      </c>
      <c r="HL236">
        <f ca="1"/>
      </c>
      <c r="HM236">
        <f ca="1"/>
      </c>
    </row>
    <row r="237" spans="63:221" x14ac:dyDescent="0.55000000000000004">
      <c r="BK237">
        <f ca="1"/>
      </c>
      <c r="BL237">
        <f ca="1"/>
      </c>
      <c r="BM237">
        <f ca="1"/>
      </c>
      <c r="BN237">
        <f ca="1"/>
      </c>
      <c r="BO237">
        <f ca="1"/>
      </c>
      <c r="BP237">
        <f ca="1"/>
      </c>
      <c r="BQ237">
        <f ca="1"/>
      </c>
      <c r="BR237">
        <f ca="1"/>
      </c>
      <c r="BS237">
        <f ca="1"/>
      </c>
      <c r="BT237">
        <f ca="1"/>
      </c>
      <c r="BU237">
        <f ca="1"/>
      </c>
      <c r="BV237">
        <f ca="1"/>
      </c>
      <c r="BW237">
        <f ca="1"/>
      </c>
      <c r="BX237">
        <f ca="1"/>
      </c>
      <c r="BY237">
        <f ca="1"/>
      </c>
      <c r="BZ237">
        <f ca="1"/>
      </c>
      <c r="CA237">
        <f ca="1"/>
      </c>
      <c r="CB237">
        <f ca="1"/>
      </c>
      <c r="CC237">
        <f ca="1"/>
      </c>
      <c r="CD237">
        <f ca="1"/>
      </c>
      <c r="CE237">
        <f ca="1"/>
      </c>
      <c r="CF237">
        <f ca="1"/>
      </c>
      <c r="CG237">
        <f ca="1"/>
      </c>
      <c r="CH237">
        <f ca="1"/>
      </c>
      <c r="CI237">
        <f ca="1"/>
      </c>
      <c r="CJ237">
        <f ca="1"/>
      </c>
      <c r="CK237">
        <f ca="1"/>
      </c>
      <c r="CL237">
        <f ca="1"/>
      </c>
      <c r="CM237">
        <f ca="1"/>
      </c>
      <c r="CN237">
        <f ca="1"/>
      </c>
      <c r="CO237">
        <f ca="1"/>
      </c>
      <c r="CP237">
        <f ca="1"/>
      </c>
      <c r="CQ237">
        <f ca="1"/>
      </c>
      <c r="CR237">
        <f ca="1"/>
      </c>
      <c r="CS237">
        <f ca="1"/>
      </c>
      <c r="CT237">
        <f ca="1"/>
      </c>
      <c r="CU237">
        <f ca="1"/>
      </c>
      <c r="CV237">
        <f ca="1"/>
      </c>
      <c r="CW237">
        <f ca="1"/>
      </c>
      <c r="CX237">
        <f ca="1"/>
      </c>
      <c r="CY237">
        <f ca="1"/>
      </c>
      <c r="CZ237">
        <f ca="1"/>
      </c>
      <c r="DA237">
        <f ca="1"/>
      </c>
      <c r="DB237">
        <f ca="1"/>
      </c>
      <c r="DC237">
        <f ca="1"/>
      </c>
      <c r="DD237">
        <f ca="1"/>
      </c>
      <c r="DE237">
        <f ca="1"/>
      </c>
      <c r="DG237">
        <f ca="1"/>
      </c>
      <c r="DH237">
        <f ca="1"/>
      </c>
      <c r="DI237">
        <f ca="1"/>
      </c>
      <c r="DJ237">
        <f ca="1"/>
      </c>
      <c r="DK237">
        <f ca="1"/>
      </c>
      <c r="DL237">
        <f ca="1"/>
      </c>
      <c r="DM237">
        <f ca="1"/>
      </c>
      <c r="DN237">
        <f ca="1"/>
      </c>
      <c r="DO237">
        <f ca="1"/>
      </c>
      <c r="DP237">
        <f ca="1"/>
      </c>
      <c r="DQ237">
        <f ca="1"/>
      </c>
      <c r="DR237">
        <f ca="1"/>
      </c>
      <c r="DS237">
        <f ca="1"/>
      </c>
      <c r="DT237">
        <f ca="1"/>
      </c>
      <c r="DU237">
        <f ca="1"/>
      </c>
      <c r="DV237">
        <f ca="1"/>
      </c>
      <c r="DW237">
        <f ca="1"/>
      </c>
      <c r="DX237">
        <f ca="1"/>
      </c>
      <c r="DY237">
        <f ca="1"/>
      </c>
      <c r="DZ237">
        <f ca="1"/>
      </c>
      <c r="EA237">
        <f ca="1"/>
      </c>
      <c r="EB237">
        <f ca="1"/>
      </c>
      <c r="EC237">
        <f ca="1"/>
      </c>
      <c r="ED237">
        <f ca="1"/>
      </c>
      <c r="EE237">
        <f ca="1"/>
      </c>
      <c r="EF237">
        <f ca="1"/>
      </c>
      <c r="EG237">
        <f ca="1"/>
      </c>
      <c r="EH237">
        <f ca="1"/>
      </c>
      <c r="EI237">
        <f ca="1"/>
      </c>
      <c r="EJ237">
        <f ca="1"/>
      </c>
      <c r="EK237">
        <f ca="1"/>
      </c>
      <c r="EL237">
        <f ca="1"/>
      </c>
      <c r="EM237">
        <f ca="1"/>
      </c>
      <c r="EN237">
        <f ca="1"/>
      </c>
      <c r="EO237">
        <f ca="1"/>
      </c>
      <c r="EP237">
        <f ca="1"/>
      </c>
      <c r="EQ237">
        <f ca="1"/>
      </c>
      <c r="ER237">
        <f ca="1"/>
      </c>
      <c r="ES237">
        <f ca="1"/>
      </c>
      <c r="ET237">
        <f ca="1"/>
      </c>
      <c r="EU237">
        <f ca="1"/>
      </c>
      <c r="EV237">
        <f ca="1"/>
      </c>
      <c r="EW237">
        <f ca="1"/>
      </c>
      <c r="EX237">
        <f ca="1"/>
      </c>
      <c r="EY237">
        <f ca="1"/>
      </c>
      <c r="EZ237">
        <f ca="1"/>
      </c>
      <c r="FA237">
        <f ca="1"/>
      </c>
      <c r="FC237">
        <f ca="1"/>
      </c>
      <c r="FD237">
        <f ca="1"/>
      </c>
      <c r="FE237">
        <f ca="1"/>
      </c>
      <c r="FF237">
        <f ca="1"/>
      </c>
      <c r="FG237">
        <f ca="1"/>
      </c>
      <c r="FH237">
        <f ca="1"/>
      </c>
      <c r="FI237">
        <f ca="1"/>
      </c>
      <c r="FJ237">
        <f ca="1"/>
      </c>
      <c r="FK237">
        <f ca="1"/>
      </c>
      <c r="FL237">
        <f ca="1"/>
      </c>
      <c r="FM237">
        <f ca="1"/>
      </c>
      <c r="FN237">
        <f ca="1"/>
      </c>
      <c r="FO237">
        <f ca="1"/>
      </c>
      <c r="FP237">
        <f ca="1"/>
      </c>
      <c r="FQ237">
        <f ca="1"/>
      </c>
      <c r="FR237">
        <f ca="1"/>
      </c>
      <c r="FS237">
        <f ca="1"/>
      </c>
      <c r="FT237">
        <f ca="1"/>
      </c>
      <c r="FU237">
        <f ca="1"/>
      </c>
      <c r="FV237">
        <f ca="1"/>
      </c>
      <c r="FW237">
        <f ca="1"/>
      </c>
      <c r="FX237">
        <f ca="1"/>
      </c>
      <c r="FY237">
        <f ca="1"/>
      </c>
      <c r="FZ237">
        <f ca="1"/>
      </c>
      <c r="GA237">
        <f ca="1"/>
      </c>
      <c r="GB237">
        <f ca="1"/>
      </c>
      <c r="GC237">
        <f ca="1"/>
      </c>
      <c r="GD237">
        <f ca="1"/>
      </c>
      <c r="GE237">
        <f ca="1"/>
      </c>
      <c r="GF237">
        <f ca="1"/>
      </c>
      <c r="GG237">
        <f ca="1"/>
      </c>
      <c r="GH237">
        <f ca="1"/>
      </c>
      <c r="GI237">
        <f ca="1"/>
      </c>
      <c r="GJ237">
        <f ca="1"/>
      </c>
      <c r="GK237">
        <f ca="1"/>
      </c>
      <c r="GL237">
        <f ca="1"/>
      </c>
      <c r="GM237">
        <f ca="1"/>
      </c>
      <c r="GN237">
        <f ca="1"/>
      </c>
      <c r="GO237">
        <f ca="1"/>
      </c>
      <c r="GP237">
        <f ca="1"/>
      </c>
      <c r="GQ237">
        <f ca="1"/>
      </c>
      <c r="GR237">
        <f ca="1"/>
      </c>
      <c r="GS237">
        <f ca="1"/>
      </c>
      <c r="GT237">
        <f ca="1"/>
      </c>
      <c r="GU237">
        <f ca="1"/>
      </c>
      <c r="GV237">
        <f ca="1"/>
      </c>
      <c r="GW237">
        <f ca="1"/>
      </c>
      <c r="HI237" s="7">
        <f ca="1"/>
      </c>
      <c r="HJ237">
        <f ca="1"/>
      </c>
      <c r="HK237">
        <f ca="1"/>
      </c>
      <c r="HL237">
        <f ca="1"/>
      </c>
      <c r="HM237">
        <f ca="1"/>
      </c>
    </row>
    <row r="238" spans="63:221" x14ac:dyDescent="0.55000000000000004">
      <c r="BK238">
        <f ca="1"/>
      </c>
      <c r="BL238">
        <f ca="1"/>
      </c>
      <c r="BM238">
        <f ca="1"/>
      </c>
      <c r="BN238">
        <f ca="1"/>
      </c>
      <c r="BO238">
        <f ca="1"/>
      </c>
      <c r="BP238">
        <f ca="1"/>
      </c>
      <c r="BQ238">
        <f ca="1"/>
      </c>
      <c r="BR238">
        <f ca="1"/>
      </c>
      <c r="BS238">
        <f ca="1"/>
      </c>
      <c r="BT238">
        <f ca="1"/>
      </c>
      <c r="BU238">
        <f ca="1"/>
      </c>
      <c r="BV238">
        <f ca="1"/>
      </c>
      <c r="BW238">
        <f ca="1"/>
      </c>
      <c r="BX238">
        <f ca="1"/>
      </c>
      <c r="BY238">
        <f ca="1"/>
      </c>
      <c r="BZ238">
        <f ca="1"/>
      </c>
      <c r="CA238">
        <f ca="1"/>
      </c>
      <c r="CB238">
        <f ca="1"/>
      </c>
      <c r="CC238">
        <f ca="1"/>
      </c>
      <c r="CD238">
        <f ca="1"/>
      </c>
      <c r="CE238">
        <f ca="1"/>
      </c>
      <c r="CF238">
        <f ca="1"/>
      </c>
      <c r="CG238">
        <f ca="1"/>
      </c>
      <c r="CH238">
        <f ca="1"/>
      </c>
      <c r="CI238">
        <f ca="1"/>
      </c>
      <c r="CJ238">
        <f ca="1"/>
      </c>
      <c r="CK238">
        <f ca="1"/>
      </c>
      <c r="CL238">
        <f ca="1"/>
      </c>
      <c r="CM238">
        <f ca="1"/>
      </c>
      <c r="CN238">
        <f ca="1"/>
      </c>
      <c r="CO238">
        <f ca="1"/>
      </c>
      <c r="CP238">
        <f ca="1"/>
      </c>
      <c r="CQ238">
        <f ca="1"/>
      </c>
      <c r="CR238">
        <f ca="1"/>
      </c>
      <c r="CS238">
        <f ca="1"/>
      </c>
      <c r="CT238">
        <f ca="1"/>
      </c>
      <c r="CU238">
        <f ca="1"/>
      </c>
      <c r="CV238">
        <f ca="1"/>
      </c>
      <c r="CW238">
        <f ca="1"/>
      </c>
      <c r="CX238">
        <f ca="1"/>
      </c>
      <c r="CY238">
        <f ca="1"/>
      </c>
      <c r="CZ238">
        <f ca="1"/>
      </c>
      <c r="DA238">
        <f ca="1"/>
      </c>
      <c r="DB238">
        <f ca="1"/>
      </c>
      <c r="DC238">
        <f ca="1"/>
      </c>
      <c r="DD238">
        <f ca="1"/>
      </c>
      <c r="DE238">
        <f ca="1"/>
      </c>
      <c r="DG238">
        <f ca="1"/>
      </c>
      <c r="DH238">
        <f ca="1"/>
      </c>
      <c r="DI238">
        <f ca="1"/>
      </c>
      <c r="DJ238">
        <f ca="1"/>
      </c>
      <c r="DK238">
        <f ca="1"/>
      </c>
      <c r="DL238">
        <f ca="1"/>
      </c>
      <c r="DM238">
        <f ca="1"/>
      </c>
      <c r="DN238">
        <f ca="1"/>
      </c>
      <c r="DO238">
        <f ca="1"/>
      </c>
      <c r="DP238">
        <f ca="1"/>
      </c>
      <c r="DQ238">
        <f ca="1"/>
      </c>
      <c r="DR238">
        <f ca="1"/>
      </c>
      <c r="DS238">
        <f ca="1"/>
      </c>
      <c r="DT238">
        <f ca="1"/>
      </c>
      <c r="DU238">
        <f ca="1"/>
      </c>
      <c r="DV238">
        <f ca="1"/>
      </c>
      <c r="DW238">
        <f ca="1"/>
      </c>
      <c r="DX238">
        <f ca="1"/>
      </c>
      <c r="DY238">
        <f ca="1"/>
      </c>
      <c r="DZ238">
        <f ca="1"/>
      </c>
      <c r="EA238">
        <f ca="1"/>
      </c>
      <c r="EB238">
        <f ca="1"/>
      </c>
      <c r="EC238">
        <f ca="1"/>
      </c>
      <c r="ED238">
        <f ca="1"/>
      </c>
      <c r="EE238">
        <f ca="1"/>
      </c>
      <c r="EF238">
        <f ca="1"/>
      </c>
      <c r="EG238">
        <f ca="1"/>
      </c>
      <c r="EH238">
        <f ca="1"/>
      </c>
      <c r="EI238">
        <f ca="1"/>
      </c>
      <c r="EJ238">
        <f ca="1"/>
      </c>
      <c r="EK238">
        <f ca="1"/>
      </c>
      <c r="EL238">
        <f ca="1"/>
      </c>
      <c r="EM238">
        <f ca="1"/>
      </c>
      <c r="EN238">
        <f ca="1"/>
      </c>
      <c r="EO238">
        <f ca="1"/>
      </c>
      <c r="EP238">
        <f ca="1"/>
      </c>
      <c r="EQ238">
        <f ca="1"/>
      </c>
      <c r="ER238">
        <f ca="1"/>
      </c>
      <c r="ES238">
        <f ca="1"/>
      </c>
      <c r="ET238">
        <f ca="1"/>
      </c>
      <c r="EU238">
        <f ca="1"/>
      </c>
      <c r="EV238">
        <f ca="1"/>
      </c>
      <c r="EW238">
        <f ca="1"/>
      </c>
      <c r="EX238">
        <f ca="1"/>
      </c>
      <c r="EY238">
        <f ca="1"/>
      </c>
      <c r="EZ238">
        <f ca="1"/>
      </c>
      <c r="FA238">
        <f ca="1"/>
      </c>
      <c r="FC238">
        <f ca="1"/>
      </c>
      <c r="FD238">
        <f ca="1"/>
      </c>
      <c r="FE238">
        <f ca="1"/>
      </c>
      <c r="FF238">
        <f ca="1"/>
      </c>
      <c r="FG238">
        <f ca="1"/>
      </c>
      <c r="FH238">
        <f ca="1"/>
      </c>
      <c r="FI238">
        <f ca="1"/>
      </c>
      <c r="FJ238">
        <f ca="1"/>
      </c>
      <c r="FK238">
        <f ca="1"/>
      </c>
      <c r="FL238">
        <f ca="1"/>
      </c>
      <c r="FM238">
        <f ca="1"/>
      </c>
      <c r="FN238">
        <f ca="1"/>
      </c>
      <c r="FO238">
        <f ca="1"/>
      </c>
      <c r="FP238">
        <f ca="1"/>
      </c>
      <c r="FQ238">
        <f ca="1"/>
      </c>
      <c r="FR238">
        <f ca="1"/>
      </c>
      <c r="FS238">
        <f ca="1"/>
      </c>
      <c r="FT238">
        <f ca="1"/>
      </c>
      <c r="FU238">
        <f ca="1"/>
      </c>
      <c r="FV238">
        <f ca="1"/>
      </c>
      <c r="FW238">
        <f ca="1"/>
      </c>
      <c r="FX238">
        <f ca="1"/>
      </c>
      <c r="FY238">
        <f ca="1"/>
      </c>
      <c r="FZ238">
        <f ca="1"/>
      </c>
      <c r="GA238">
        <f ca="1"/>
      </c>
      <c r="GB238">
        <f ca="1"/>
      </c>
      <c r="GC238">
        <f ca="1"/>
      </c>
      <c r="GD238">
        <f ca="1"/>
      </c>
      <c r="GE238">
        <f ca="1"/>
      </c>
      <c r="GF238">
        <f ca="1"/>
      </c>
      <c r="GG238">
        <f ca="1"/>
      </c>
      <c r="GH238">
        <f ca="1"/>
      </c>
      <c r="GI238">
        <f ca="1"/>
      </c>
      <c r="GJ238">
        <f ca="1"/>
      </c>
      <c r="GK238">
        <f ca="1"/>
      </c>
      <c r="GL238">
        <f ca="1"/>
      </c>
      <c r="GM238">
        <f ca="1"/>
      </c>
      <c r="GN238">
        <f ca="1"/>
      </c>
      <c r="GO238">
        <f ca="1"/>
      </c>
      <c r="GP238">
        <f ca="1"/>
      </c>
      <c r="GQ238">
        <f ca="1"/>
      </c>
      <c r="GR238">
        <f ca="1"/>
      </c>
      <c r="GS238">
        <f ca="1"/>
      </c>
      <c r="GT238">
        <f ca="1"/>
      </c>
      <c r="GU238">
        <f ca="1"/>
      </c>
      <c r="GV238">
        <f ca="1"/>
      </c>
      <c r="GW238">
        <f ca="1"/>
      </c>
      <c r="HI238" s="7">
        <f ca="1"/>
      </c>
      <c r="HJ238">
        <f ca="1"/>
      </c>
      <c r="HK238">
        <f ca="1"/>
      </c>
      <c r="HL238">
        <f ca="1"/>
      </c>
      <c r="HM238">
        <f ca="1"/>
      </c>
    </row>
    <row r="239" spans="63:221" x14ac:dyDescent="0.55000000000000004">
      <c r="BK239">
        <f ca="1"/>
      </c>
      <c r="BL239">
        <f ca="1"/>
      </c>
      <c r="BM239">
        <f ca="1"/>
      </c>
      <c r="BN239">
        <f ca="1"/>
      </c>
      <c r="BO239">
        <f ca="1"/>
      </c>
      <c r="BP239">
        <f ca="1"/>
      </c>
      <c r="BQ239">
        <f ca="1"/>
      </c>
      <c r="BR239">
        <f ca="1"/>
      </c>
      <c r="BS239">
        <f ca="1"/>
      </c>
      <c r="BT239">
        <f ca="1"/>
      </c>
      <c r="BU239">
        <f ca="1"/>
      </c>
      <c r="BV239">
        <f ca="1"/>
      </c>
      <c r="BW239">
        <f ca="1"/>
      </c>
      <c r="BX239">
        <f ca="1"/>
      </c>
      <c r="BY239">
        <f ca="1"/>
      </c>
      <c r="BZ239">
        <f ca="1"/>
      </c>
      <c r="CA239">
        <f ca="1"/>
      </c>
      <c r="CB239">
        <f ca="1"/>
      </c>
      <c r="CC239">
        <f ca="1"/>
      </c>
      <c r="CD239">
        <f ca="1"/>
      </c>
      <c r="CE239">
        <f ca="1"/>
      </c>
      <c r="CF239">
        <f ca="1"/>
      </c>
      <c r="CG239">
        <f ca="1"/>
      </c>
      <c r="CH239">
        <f ca="1"/>
      </c>
      <c r="CI239">
        <f ca="1"/>
      </c>
      <c r="CJ239">
        <f ca="1"/>
      </c>
      <c r="CK239">
        <f ca="1"/>
      </c>
      <c r="CL239">
        <f ca="1"/>
      </c>
      <c r="CM239">
        <f ca="1"/>
      </c>
      <c r="CN239">
        <f ca="1"/>
      </c>
      <c r="CO239">
        <f ca="1"/>
      </c>
      <c r="CP239">
        <f ca="1"/>
      </c>
      <c r="CQ239">
        <f ca="1"/>
      </c>
      <c r="CR239">
        <f ca="1"/>
      </c>
      <c r="CS239">
        <f ca="1"/>
      </c>
      <c r="CT239">
        <f ca="1"/>
      </c>
      <c r="CU239">
        <f ca="1"/>
      </c>
      <c r="CV239">
        <f ca="1"/>
      </c>
      <c r="CW239">
        <f ca="1"/>
      </c>
      <c r="CX239">
        <f ca="1"/>
      </c>
      <c r="CY239">
        <f ca="1"/>
      </c>
      <c r="CZ239">
        <f ca="1"/>
      </c>
      <c r="DA239">
        <f ca="1"/>
      </c>
      <c r="DB239">
        <f ca="1"/>
      </c>
      <c r="DC239">
        <f ca="1"/>
      </c>
      <c r="DD239">
        <f ca="1"/>
      </c>
      <c r="DE239">
        <f ca="1"/>
      </c>
      <c r="DG239">
        <f ca="1"/>
      </c>
      <c r="DH239">
        <f ca="1"/>
      </c>
      <c r="DI239">
        <f ca="1"/>
      </c>
      <c r="DJ239">
        <f ca="1"/>
      </c>
      <c r="DK239">
        <f ca="1"/>
      </c>
      <c r="DL239">
        <f ca="1"/>
      </c>
      <c r="DM239">
        <f ca="1"/>
      </c>
      <c r="DN239">
        <f ca="1"/>
      </c>
      <c r="DO239">
        <f ca="1"/>
      </c>
      <c r="DP239">
        <f ca="1"/>
      </c>
      <c r="DQ239">
        <f ca="1"/>
      </c>
      <c r="DR239">
        <f ca="1"/>
      </c>
      <c r="DS239">
        <f ca="1"/>
      </c>
      <c r="DT239">
        <f ca="1"/>
      </c>
      <c r="DU239">
        <f ca="1"/>
      </c>
      <c r="DV239">
        <f ca="1"/>
      </c>
      <c r="DW239">
        <f ca="1"/>
      </c>
      <c r="DX239">
        <f ca="1"/>
      </c>
      <c r="DY239">
        <f ca="1"/>
      </c>
      <c r="DZ239">
        <f ca="1"/>
      </c>
      <c r="EA239">
        <f ca="1"/>
      </c>
      <c r="EB239">
        <f ca="1"/>
      </c>
      <c r="EC239">
        <f ca="1"/>
      </c>
      <c r="ED239">
        <f ca="1"/>
      </c>
      <c r="EE239">
        <f ca="1"/>
      </c>
      <c r="EF239">
        <f ca="1"/>
      </c>
      <c r="EG239">
        <f ca="1"/>
      </c>
      <c r="EH239">
        <f ca="1"/>
      </c>
      <c r="EI239">
        <f ca="1"/>
      </c>
      <c r="EJ239">
        <f ca="1"/>
      </c>
      <c r="EK239">
        <f ca="1"/>
      </c>
      <c r="EL239">
        <f ca="1"/>
      </c>
      <c r="EM239">
        <f ca="1"/>
      </c>
      <c r="EN239">
        <f ca="1"/>
      </c>
      <c r="EO239">
        <f ca="1"/>
      </c>
      <c r="EP239">
        <f ca="1"/>
      </c>
      <c r="EQ239">
        <f ca="1"/>
      </c>
      <c r="ER239">
        <f ca="1"/>
      </c>
      <c r="ES239">
        <f ca="1"/>
      </c>
      <c r="ET239">
        <f ca="1"/>
      </c>
      <c r="EU239">
        <f ca="1"/>
      </c>
      <c r="EV239">
        <f ca="1"/>
      </c>
      <c r="EW239">
        <f ca="1"/>
      </c>
      <c r="EX239">
        <f ca="1"/>
      </c>
      <c r="EY239">
        <f ca="1"/>
      </c>
      <c r="EZ239">
        <f ca="1"/>
      </c>
      <c r="FA239">
        <f ca="1"/>
      </c>
      <c r="FC239">
        <f ca="1"/>
      </c>
      <c r="FD239">
        <f ca="1"/>
      </c>
      <c r="FE239">
        <f ca="1"/>
      </c>
      <c r="FF239">
        <f ca="1"/>
      </c>
      <c r="FG239">
        <f ca="1"/>
      </c>
      <c r="FH239">
        <f ca="1"/>
      </c>
      <c r="FI239">
        <f ca="1"/>
      </c>
      <c r="FJ239">
        <f ca="1"/>
      </c>
      <c r="FK239">
        <f ca="1"/>
      </c>
      <c r="FL239">
        <f ca="1"/>
      </c>
      <c r="FM239">
        <f ca="1"/>
      </c>
      <c r="FN239">
        <f ca="1"/>
      </c>
      <c r="FO239">
        <f ca="1"/>
      </c>
      <c r="FP239">
        <f ca="1"/>
      </c>
      <c r="FQ239">
        <f ca="1"/>
      </c>
      <c r="FR239">
        <f ca="1"/>
      </c>
      <c r="FS239">
        <f ca="1"/>
      </c>
      <c r="FT239">
        <f ca="1"/>
      </c>
      <c r="FU239">
        <f ca="1"/>
      </c>
      <c r="FV239">
        <f ca="1"/>
      </c>
      <c r="FW239">
        <f ca="1"/>
      </c>
      <c r="FX239">
        <f ca="1"/>
      </c>
      <c r="FY239">
        <f ca="1"/>
      </c>
      <c r="FZ239">
        <f ca="1"/>
      </c>
      <c r="GA239">
        <f ca="1"/>
      </c>
      <c r="GB239">
        <f ca="1"/>
      </c>
      <c r="GC239">
        <f ca="1"/>
      </c>
      <c r="GD239">
        <f ca="1"/>
      </c>
      <c r="GE239">
        <f ca="1"/>
      </c>
      <c r="GF239">
        <f ca="1"/>
      </c>
      <c r="GG239">
        <f ca="1"/>
      </c>
      <c r="GH239">
        <f ca="1"/>
      </c>
      <c r="GI239">
        <f ca="1"/>
      </c>
      <c r="GJ239">
        <f ca="1"/>
      </c>
      <c r="GK239">
        <f ca="1"/>
      </c>
      <c r="GL239">
        <f ca="1"/>
      </c>
      <c r="GM239">
        <f ca="1"/>
      </c>
      <c r="GN239">
        <f ca="1"/>
      </c>
      <c r="GO239">
        <f ca="1"/>
      </c>
      <c r="GP239">
        <f ca="1"/>
      </c>
      <c r="GQ239">
        <f ca="1"/>
      </c>
      <c r="GR239">
        <f ca="1"/>
      </c>
      <c r="GS239">
        <f ca="1"/>
      </c>
      <c r="GT239">
        <f ca="1"/>
      </c>
      <c r="GU239">
        <f ca="1"/>
      </c>
      <c r="GV239">
        <f ca="1"/>
      </c>
      <c r="GW239">
        <f ca="1"/>
      </c>
      <c r="HI239" s="7">
        <f ca="1"/>
      </c>
      <c r="HJ239">
        <f ca="1"/>
      </c>
      <c r="HK239">
        <f ca="1"/>
      </c>
      <c r="HL239">
        <f ca="1"/>
      </c>
      <c r="HM239">
        <f ca="1"/>
      </c>
    </row>
    <row r="240" spans="63:221" x14ac:dyDescent="0.55000000000000004">
      <c r="BK240">
        <f ca="1"/>
      </c>
      <c r="BL240">
        <f ca="1"/>
      </c>
      <c r="BM240">
        <f ca="1"/>
      </c>
      <c r="BN240">
        <f ca="1"/>
      </c>
      <c r="BO240">
        <f ca="1"/>
      </c>
      <c r="BP240">
        <f ca="1"/>
      </c>
      <c r="BQ240">
        <f ca="1"/>
      </c>
      <c r="BR240">
        <f ca="1"/>
      </c>
      <c r="BS240">
        <f ca="1"/>
      </c>
      <c r="BT240">
        <f ca="1"/>
      </c>
      <c r="BU240">
        <f ca="1"/>
      </c>
      <c r="BV240">
        <f ca="1"/>
      </c>
      <c r="BW240">
        <f ca="1"/>
      </c>
      <c r="BX240">
        <f ca="1"/>
      </c>
      <c r="BY240">
        <f ca="1"/>
      </c>
      <c r="BZ240">
        <f ca="1"/>
      </c>
      <c r="CA240">
        <f ca="1"/>
      </c>
      <c r="CB240">
        <f ca="1"/>
      </c>
      <c r="CC240">
        <f ca="1"/>
      </c>
      <c r="CD240">
        <f ca="1"/>
      </c>
      <c r="CE240">
        <f ca="1"/>
      </c>
      <c r="CF240">
        <f ca="1"/>
      </c>
      <c r="CG240">
        <f ca="1"/>
      </c>
      <c r="CH240">
        <f ca="1"/>
      </c>
      <c r="CI240">
        <f ca="1"/>
      </c>
      <c r="CJ240">
        <f ca="1"/>
      </c>
      <c r="CK240">
        <f ca="1"/>
      </c>
      <c r="CL240">
        <f ca="1"/>
      </c>
      <c r="CM240">
        <f ca="1"/>
      </c>
      <c r="CN240">
        <f ca="1"/>
      </c>
      <c r="CO240">
        <f ca="1"/>
      </c>
      <c r="CP240">
        <f ca="1"/>
      </c>
      <c r="CQ240">
        <f ca="1"/>
      </c>
      <c r="CR240">
        <f ca="1"/>
      </c>
      <c r="CS240">
        <f ca="1"/>
      </c>
      <c r="CT240">
        <f ca="1"/>
      </c>
      <c r="CU240">
        <f ca="1"/>
      </c>
      <c r="CV240">
        <f ca="1"/>
      </c>
      <c r="CW240">
        <f ca="1"/>
      </c>
      <c r="CX240">
        <f ca="1"/>
      </c>
      <c r="CY240">
        <f ca="1"/>
      </c>
      <c r="CZ240">
        <f ca="1"/>
      </c>
      <c r="DA240">
        <f ca="1"/>
      </c>
      <c r="DB240">
        <f ca="1"/>
      </c>
      <c r="DC240">
        <f ca="1"/>
      </c>
      <c r="DD240">
        <f ca="1"/>
      </c>
      <c r="DE240">
        <f ca="1"/>
      </c>
      <c r="DG240">
        <f ca="1"/>
      </c>
      <c r="DH240">
        <f ca="1"/>
      </c>
      <c r="DI240">
        <f ca="1"/>
      </c>
      <c r="DJ240">
        <f ca="1"/>
      </c>
      <c r="DK240">
        <f ca="1"/>
      </c>
      <c r="DL240">
        <f ca="1"/>
      </c>
      <c r="DM240">
        <f ca="1"/>
      </c>
      <c r="DN240">
        <f ca="1"/>
      </c>
      <c r="DO240">
        <f ca="1"/>
      </c>
      <c r="DP240">
        <f ca="1"/>
      </c>
      <c r="DQ240">
        <f ca="1"/>
      </c>
      <c r="DR240">
        <f ca="1"/>
      </c>
      <c r="DS240">
        <f ca="1"/>
      </c>
      <c r="DT240">
        <f ca="1"/>
      </c>
      <c r="DU240">
        <f ca="1"/>
      </c>
      <c r="DV240">
        <f ca="1"/>
      </c>
      <c r="DW240">
        <f ca="1"/>
      </c>
      <c r="DX240">
        <f ca="1"/>
      </c>
      <c r="DY240">
        <f ca="1"/>
      </c>
      <c r="DZ240">
        <f ca="1"/>
      </c>
      <c r="EA240">
        <f ca="1"/>
      </c>
      <c r="EB240">
        <f ca="1"/>
      </c>
      <c r="EC240">
        <f ca="1"/>
      </c>
      <c r="ED240">
        <f ca="1"/>
      </c>
      <c r="EE240">
        <f ca="1"/>
      </c>
      <c r="EF240">
        <f ca="1"/>
      </c>
      <c r="EG240">
        <f ca="1"/>
      </c>
      <c r="EH240">
        <f ca="1"/>
      </c>
      <c r="EI240">
        <f ca="1"/>
      </c>
      <c r="EJ240">
        <f ca="1"/>
      </c>
      <c r="EK240">
        <f ca="1"/>
      </c>
      <c r="EL240">
        <f ca="1"/>
      </c>
      <c r="EM240">
        <f ca="1"/>
      </c>
      <c r="EN240">
        <f ca="1"/>
      </c>
      <c r="EO240">
        <f ca="1"/>
      </c>
      <c r="EP240">
        <f ca="1"/>
      </c>
      <c r="EQ240">
        <f ca="1"/>
      </c>
      <c r="ER240">
        <f ca="1"/>
      </c>
      <c r="ES240">
        <f ca="1"/>
      </c>
      <c r="ET240">
        <f ca="1"/>
      </c>
      <c r="EU240">
        <f ca="1"/>
      </c>
      <c r="EV240">
        <f ca="1"/>
      </c>
      <c r="EW240">
        <f ca="1"/>
      </c>
      <c r="EX240">
        <f ca="1"/>
      </c>
      <c r="EY240">
        <f ca="1"/>
      </c>
      <c r="EZ240">
        <f ca="1"/>
      </c>
      <c r="FA240">
        <f ca="1"/>
      </c>
      <c r="FC240">
        <f ca="1"/>
      </c>
      <c r="FD240">
        <f ca="1"/>
      </c>
      <c r="FE240">
        <f ca="1"/>
      </c>
      <c r="FF240">
        <f ca="1"/>
      </c>
      <c r="FG240">
        <f ca="1"/>
      </c>
      <c r="FH240">
        <f ca="1"/>
      </c>
      <c r="FI240">
        <f ca="1"/>
      </c>
      <c r="FJ240">
        <f ca="1"/>
      </c>
      <c r="FK240">
        <f ca="1"/>
      </c>
      <c r="FL240">
        <f ca="1"/>
      </c>
      <c r="FM240">
        <f ca="1"/>
      </c>
      <c r="FN240">
        <f ca="1"/>
      </c>
      <c r="FO240">
        <f ca="1"/>
      </c>
      <c r="FP240">
        <f ca="1"/>
      </c>
      <c r="FQ240">
        <f ca="1"/>
      </c>
      <c r="FR240">
        <f ca="1"/>
      </c>
      <c r="FS240">
        <f ca="1"/>
      </c>
      <c r="FT240">
        <f ca="1"/>
      </c>
      <c r="FU240">
        <f ca="1"/>
      </c>
      <c r="FV240">
        <f ca="1"/>
      </c>
      <c r="FW240">
        <f ca="1"/>
      </c>
      <c r="FX240">
        <f ca="1"/>
      </c>
      <c r="FY240">
        <f ca="1"/>
      </c>
      <c r="FZ240">
        <f ca="1"/>
      </c>
      <c r="GA240">
        <f ca="1"/>
      </c>
      <c r="GB240">
        <f ca="1"/>
      </c>
      <c r="GC240">
        <f ca="1"/>
      </c>
      <c r="GD240">
        <f ca="1"/>
      </c>
      <c r="GE240">
        <f ca="1"/>
      </c>
      <c r="GF240">
        <f ca="1"/>
      </c>
      <c r="GG240">
        <f ca="1"/>
      </c>
      <c r="GH240">
        <f ca="1"/>
      </c>
      <c r="GI240">
        <f ca="1"/>
      </c>
      <c r="GJ240">
        <f ca="1"/>
      </c>
      <c r="GK240">
        <f ca="1"/>
      </c>
      <c r="GL240">
        <f ca="1"/>
      </c>
      <c r="GM240">
        <f ca="1"/>
      </c>
      <c r="GN240">
        <f ca="1"/>
      </c>
      <c r="GO240">
        <f ca="1"/>
      </c>
      <c r="GP240">
        <f ca="1"/>
      </c>
      <c r="GQ240">
        <f ca="1"/>
      </c>
      <c r="GR240">
        <f ca="1"/>
      </c>
      <c r="GS240">
        <f ca="1"/>
      </c>
      <c r="GT240">
        <f ca="1"/>
      </c>
      <c r="GU240">
        <f ca="1"/>
      </c>
      <c r="GV240">
        <f ca="1"/>
      </c>
      <c r="GW240">
        <f ca="1"/>
      </c>
      <c r="HI240" s="7">
        <f ca="1"/>
      </c>
      <c r="HJ240">
        <f ca="1"/>
      </c>
      <c r="HK240">
        <f ca="1"/>
      </c>
      <c r="HL240">
        <f ca="1"/>
      </c>
      <c r="HM240">
        <f ca="1"/>
      </c>
    </row>
    <row r="241" spans="63:221" x14ac:dyDescent="0.55000000000000004">
      <c r="BK241">
        <f ca="1"/>
      </c>
      <c r="BL241">
        <f ca="1"/>
      </c>
      <c r="BM241">
        <f ca="1"/>
      </c>
      <c r="BN241">
        <f ca="1"/>
      </c>
      <c r="BO241">
        <f ca="1"/>
      </c>
      <c r="BP241">
        <f ca="1"/>
      </c>
      <c r="BQ241">
        <f ca="1"/>
      </c>
      <c r="BR241">
        <f ca="1"/>
      </c>
      <c r="BS241">
        <f ca="1"/>
      </c>
      <c r="BT241">
        <f ca="1"/>
      </c>
      <c r="BU241">
        <f ca="1"/>
      </c>
      <c r="BV241">
        <f ca="1"/>
      </c>
      <c r="BW241">
        <f ca="1"/>
      </c>
      <c r="BX241">
        <f ca="1"/>
      </c>
      <c r="BY241">
        <f ca="1"/>
      </c>
      <c r="BZ241">
        <f ca="1"/>
      </c>
      <c r="CA241">
        <f ca="1"/>
      </c>
      <c r="CB241">
        <f ca="1"/>
      </c>
      <c r="CC241">
        <f ca="1"/>
      </c>
      <c r="CD241">
        <f ca="1"/>
      </c>
      <c r="CE241">
        <f ca="1"/>
      </c>
      <c r="CF241">
        <f ca="1"/>
      </c>
      <c r="CG241">
        <f ca="1"/>
      </c>
      <c r="CH241">
        <f ca="1"/>
      </c>
      <c r="CI241">
        <f ca="1"/>
      </c>
      <c r="CJ241">
        <f ca="1"/>
      </c>
      <c r="CK241">
        <f ca="1"/>
      </c>
      <c r="CL241">
        <f ca="1"/>
      </c>
      <c r="CM241">
        <f ca="1"/>
      </c>
      <c r="CN241">
        <f ca="1"/>
      </c>
      <c r="CO241">
        <f ca="1"/>
      </c>
      <c r="CP241">
        <f ca="1"/>
      </c>
      <c r="CQ241">
        <f ca="1"/>
      </c>
      <c r="CR241">
        <f ca="1"/>
      </c>
      <c r="CS241">
        <f ca="1"/>
      </c>
      <c r="CT241">
        <f ca="1"/>
      </c>
      <c r="CU241">
        <f ca="1"/>
      </c>
      <c r="CV241">
        <f ca="1"/>
      </c>
      <c r="CW241">
        <f ca="1"/>
      </c>
      <c r="CX241">
        <f ca="1"/>
      </c>
      <c r="CY241">
        <f ca="1"/>
      </c>
      <c r="CZ241">
        <f ca="1"/>
      </c>
      <c r="DA241">
        <f ca="1"/>
      </c>
      <c r="DB241">
        <f ca="1"/>
      </c>
      <c r="DC241">
        <f ca="1"/>
      </c>
      <c r="DD241">
        <f ca="1"/>
      </c>
      <c r="DE241">
        <f ca="1"/>
      </c>
      <c r="DG241">
        <f ca="1"/>
      </c>
      <c r="DH241">
        <f ca="1"/>
      </c>
      <c r="DI241">
        <f ca="1"/>
      </c>
      <c r="DJ241">
        <f ca="1"/>
      </c>
      <c r="DK241">
        <f ca="1"/>
      </c>
      <c r="DL241">
        <f ca="1"/>
      </c>
      <c r="DM241">
        <f ca="1"/>
      </c>
      <c r="DN241">
        <f ca="1"/>
      </c>
      <c r="DO241">
        <f ca="1"/>
      </c>
      <c r="DP241">
        <f ca="1"/>
      </c>
      <c r="DQ241">
        <f ca="1"/>
      </c>
      <c r="DR241">
        <f ca="1"/>
      </c>
      <c r="DS241">
        <f ca="1"/>
      </c>
      <c r="DT241">
        <f ca="1"/>
      </c>
      <c r="DU241">
        <f ca="1"/>
      </c>
      <c r="DV241">
        <f ca="1"/>
      </c>
      <c r="DW241">
        <f ca="1"/>
      </c>
      <c r="DX241">
        <f ca="1"/>
      </c>
      <c r="DY241">
        <f ca="1"/>
      </c>
      <c r="DZ241">
        <f ca="1"/>
      </c>
      <c r="EA241">
        <f ca="1"/>
      </c>
      <c r="EB241">
        <f ca="1"/>
      </c>
      <c r="EC241">
        <f ca="1"/>
      </c>
      <c r="ED241">
        <f ca="1"/>
      </c>
      <c r="EE241">
        <f ca="1"/>
      </c>
      <c r="EF241">
        <f ca="1"/>
      </c>
      <c r="EG241">
        <f ca="1"/>
      </c>
      <c r="EH241">
        <f ca="1"/>
      </c>
      <c r="EI241">
        <f ca="1"/>
      </c>
      <c r="EJ241">
        <f ca="1"/>
      </c>
      <c r="EK241">
        <f ca="1"/>
      </c>
      <c r="EL241">
        <f ca="1"/>
      </c>
      <c r="EM241">
        <f ca="1"/>
      </c>
      <c r="EN241">
        <f ca="1"/>
      </c>
      <c r="EO241">
        <f ca="1"/>
      </c>
      <c r="EP241">
        <f ca="1"/>
      </c>
      <c r="EQ241">
        <f ca="1"/>
      </c>
      <c r="ER241">
        <f ca="1"/>
      </c>
      <c r="ES241">
        <f ca="1"/>
      </c>
      <c r="ET241">
        <f ca="1"/>
      </c>
      <c r="EU241">
        <f ca="1"/>
      </c>
      <c r="EV241">
        <f ca="1"/>
      </c>
      <c r="EW241">
        <f ca="1"/>
      </c>
      <c r="EX241">
        <f ca="1"/>
      </c>
      <c r="EY241">
        <f ca="1"/>
      </c>
      <c r="EZ241">
        <f ca="1"/>
      </c>
      <c r="FA241">
        <f ca="1"/>
      </c>
      <c r="FC241">
        <f ca="1"/>
      </c>
      <c r="FD241">
        <f ca="1"/>
      </c>
      <c r="FE241">
        <f ca="1"/>
      </c>
      <c r="FF241">
        <f ca="1"/>
      </c>
      <c r="FG241">
        <f ca="1"/>
      </c>
      <c r="FH241">
        <f ca="1"/>
      </c>
      <c r="FI241">
        <f ca="1"/>
      </c>
      <c r="FJ241">
        <f ca="1"/>
      </c>
      <c r="FK241">
        <f ca="1"/>
      </c>
      <c r="FL241">
        <f ca="1"/>
      </c>
      <c r="FM241">
        <f ca="1"/>
      </c>
      <c r="FN241">
        <f ca="1"/>
      </c>
      <c r="FO241">
        <f ca="1"/>
      </c>
      <c r="FP241">
        <f ca="1"/>
      </c>
      <c r="FQ241">
        <f ca="1"/>
      </c>
      <c r="FR241">
        <f ca="1"/>
      </c>
      <c r="FS241">
        <f ca="1"/>
      </c>
      <c r="FT241">
        <f ca="1"/>
      </c>
      <c r="FU241">
        <f ca="1"/>
      </c>
      <c r="FV241">
        <f ca="1"/>
      </c>
      <c r="FW241">
        <f ca="1"/>
      </c>
      <c r="FX241">
        <f ca="1"/>
      </c>
      <c r="FY241">
        <f ca="1"/>
      </c>
      <c r="FZ241">
        <f ca="1"/>
      </c>
      <c r="GA241">
        <f ca="1"/>
      </c>
      <c r="GB241">
        <f ca="1"/>
      </c>
      <c r="GC241">
        <f ca="1"/>
      </c>
      <c r="GD241">
        <f ca="1"/>
      </c>
      <c r="GE241">
        <f ca="1"/>
      </c>
      <c r="GF241">
        <f ca="1"/>
      </c>
      <c r="GG241">
        <f ca="1"/>
      </c>
      <c r="GH241">
        <f ca="1"/>
      </c>
      <c r="GI241">
        <f ca="1"/>
      </c>
      <c r="GJ241">
        <f ca="1"/>
      </c>
      <c r="GK241">
        <f ca="1"/>
      </c>
      <c r="GL241">
        <f ca="1"/>
      </c>
      <c r="GM241">
        <f ca="1"/>
      </c>
      <c r="GN241">
        <f ca="1"/>
      </c>
      <c r="GO241">
        <f ca="1"/>
      </c>
      <c r="GP241">
        <f ca="1"/>
      </c>
      <c r="GQ241">
        <f ca="1"/>
      </c>
      <c r="GR241">
        <f ca="1"/>
      </c>
      <c r="GS241">
        <f ca="1"/>
      </c>
      <c r="GT241">
        <f ca="1"/>
      </c>
      <c r="GU241">
        <f ca="1"/>
      </c>
      <c r="GV241">
        <f ca="1"/>
      </c>
      <c r="GW241">
        <f ca="1"/>
      </c>
      <c r="HI241" s="7">
        <f ca="1"/>
      </c>
      <c r="HJ241">
        <f ca="1"/>
      </c>
      <c r="HK241">
        <f ca="1"/>
      </c>
      <c r="HL241">
        <f ca="1"/>
      </c>
      <c r="HM241">
        <f ca="1"/>
      </c>
    </row>
    <row r="242" spans="63:221" x14ac:dyDescent="0.55000000000000004">
      <c r="BK242">
        <f ca="1"/>
      </c>
      <c r="BL242">
        <f ca="1"/>
      </c>
      <c r="BM242">
        <f ca="1"/>
      </c>
      <c r="BN242">
        <f ca="1"/>
      </c>
      <c r="BO242">
        <f ca="1"/>
      </c>
      <c r="BP242">
        <f ca="1"/>
      </c>
      <c r="BQ242">
        <f ca="1"/>
      </c>
      <c r="BR242">
        <f ca="1"/>
      </c>
      <c r="BS242">
        <f ca="1"/>
      </c>
      <c r="BT242">
        <f ca="1"/>
      </c>
      <c r="BU242">
        <f ca="1"/>
      </c>
      <c r="BV242">
        <f ca="1"/>
      </c>
      <c r="BW242">
        <f ca="1"/>
      </c>
      <c r="BX242">
        <f ca="1"/>
      </c>
      <c r="BY242">
        <f ca="1"/>
      </c>
      <c r="BZ242">
        <f ca="1"/>
      </c>
      <c r="CA242">
        <f ca="1"/>
      </c>
      <c r="CB242">
        <f ca="1"/>
      </c>
      <c r="CC242">
        <f ca="1"/>
      </c>
      <c r="CD242">
        <f ca="1"/>
      </c>
      <c r="CE242">
        <f ca="1"/>
      </c>
      <c r="CF242">
        <f ca="1"/>
      </c>
      <c r="CG242">
        <f ca="1"/>
      </c>
      <c r="CH242">
        <f ca="1"/>
      </c>
      <c r="CI242">
        <f ca="1"/>
      </c>
      <c r="CJ242">
        <f ca="1"/>
      </c>
      <c r="CK242">
        <f ca="1"/>
      </c>
      <c r="CL242">
        <f ca="1"/>
      </c>
      <c r="CM242">
        <f ca="1"/>
      </c>
      <c r="CN242">
        <f ca="1"/>
      </c>
      <c r="CO242">
        <f ca="1"/>
      </c>
      <c r="CP242">
        <f ca="1"/>
      </c>
      <c r="CQ242">
        <f ca="1"/>
      </c>
      <c r="CR242">
        <f ca="1"/>
      </c>
      <c r="CS242">
        <f ca="1"/>
      </c>
      <c r="CT242">
        <f ca="1"/>
      </c>
      <c r="CU242">
        <f ca="1"/>
      </c>
      <c r="CV242">
        <f ca="1"/>
      </c>
      <c r="CW242">
        <f ca="1"/>
      </c>
      <c r="CX242">
        <f ca="1"/>
      </c>
      <c r="CY242">
        <f ca="1"/>
      </c>
      <c r="CZ242">
        <f ca="1"/>
      </c>
      <c r="DA242">
        <f ca="1"/>
      </c>
      <c r="DB242">
        <f ca="1"/>
      </c>
      <c r="DC242">
        <f ca="1"/>
      </c>
      <c r="DD242">
        <f ca="1"/>
      </c>
      <c r="DE242">
        <f ca="1"/>
      </c>
      <c r="DG242">
        <f ca="1"/>
      </c>
      <c r="DH242">
        <f ca="1"/>
      </c>
      <c r="DI242">
        <f ca="1"/>
      </c>
      <c r="DJ242">
        <f ca="1"/>
      </c>
      <c r="DK242">
        <f ca="1"/>
      </c>
      <c r="DL242">
        <f ca="1"/>
      </c>
      <c r="DM242">
        <f ca="1"/>
      </c>
      <c r="DN242">
        <f ca="1"/>
      </c>
      <c r="DO242">
        <f ca="1"/>
      </c>
      <c r="DP242">
        <f ca="1"/>
      </c>
      <c r="DQ242">
        <f ca="1"/>
      </c>
      <c r="DR242">
        <f ca="1"/>
      </c>
      <c r="DS242">
        <f ca="1"/>
      </c>
      <c r="DT242">
        <f ca="1"/>
      </c>
      <c r="DU242">
        <f ca="1"/>
      </c>
      <c r="DV242">
        <f ca="1"/>
      </c>
      <c r="DW242">
        <f ca="1"/>
      </c>
      <c r="DX242">
        <f ca="1"/>
      </c>
      <c r="DY242">
        <f ca="1"/>
      </c>
      <c r="DZ242">
        <f ca="1"/>
      </c>
      <c r="EA242">
        <f ca="1"/>
      </c>
      <c r="EB242">
        <f ca="1"/>
      </c>
      <c r="EC242">
        <f ca="1"/>
      </c>
      <c r="ED242">
        <f ca="1"/>
      </c>
      <c r="EE242">
        <f ca="1"/>
      </c>
      <c r="EF242">
        <f ca="1"/>
      </c>
      <c r="EG242">
        <f ca="1"/>
      </c>
      <c r="EH242">
        <f ca="1"/>
      </c>
      <c r="EI242">
        <f ca="1"/>
      </c>
      <c r="EJ242">
        <f ca="1"/>
      </c>
      <c r="EK242">
        <f ca="1"/>
      </c>
      <c r="EL242">
        <f ca="1"/>
      </c>
      <c r="EM242">
        <f ca="1"/>
      </c>
      <c r="EN242">
        <f ca="1"/>
      </c>
      <c r="EO242">
        <f ca="1"/>
      </c>
      <c r="EP242">
        <f ca="1"/>
      </c>
      <c r="EQ242">
        <f ca="1"/>
      </c>
      <c r="ER242">
        <f ca="1"/>
      </c>
      <c r="ES242">
        <f ca="1"/>
      </c>
      <c r="ET242">
        <f ca="1"/>
      </c>
      <c r="EU242">
        <f ca="1"/>
      </c>
      <c r="EV242">
        <f ca="1"/>
      </c>
      <c r="EW242">
        <f ca="1"/>
      </c>
      <c r="EX242">
        <f ca="1"/>
      </c>
      <c r="EY242">
        <f ca="1"/>
      </c>
      <c r="EZ242">
        <f ca="1"/>
      </c>
      <c r="FA242">
        <f ca="1"/>
      </c>
      <c r="FC242">
        <f ca="1"/>
      </c>
      <c r="FD242">
        <f ca="1"/>
      </c>
      <c r="FE242">
        <f ca="1"/>
      </c>
      <c r="FF242">
        <f ca="1"/>
      </c>
      <c r="FG242">
        <f ca="1"/>
      </c>
      <c r="FH242">
        <f ca="1"/>
      </c>
      <c r="FI242">
        <f ca="1"/>
      </c>
      <c r="FJ242">
        <f ca="1"/>
      </c>
      <c r="FK242">
        <f ca="1"/>
      </c>
      <c r="FL242">
        <f ca="1"/>
      </c>
      <c r="FM242">
        <f ca="1"/>
      </c>
      <c r="FN242">
        <f ca="1"/>
      </c>
      <c r="FO242">
        <f ca="1"/>
      </c>
      <c r="FP242">
        <f ca="1"/>
      </c>
      <c r="FQ242">
        <f ca="1"/>
      </c>
      <c r="FR242">
        <f ca="1"/>
      </c>
      <c r="FS242">
        <f ca="1"/>
      </c>
      <c r="FT242">
        <f ca="1"/>
      </c>
      <c r="FU242">
        <f ca="1"/>
      </c>
      <c r="FV242">
        <f ca="1"/>
      </c>
      <c r="FW242">
        <f ca="1"/>
      </c>
      <c r="FX242">
        <f ca="1"/>
      </c>
      <c r="FY242">
        <f ca="1"/>
      </c>
      <c r="FZ242">
        <f ca="1"/>
      </c>
      <c r="GA242">
        <f ca="1"/>
      </c>
      <c r="GB242">
        <f ca="1"/>
      </c>
      <c r="GC242">
        <f ca="1"/>
      </c>
      <c r="GD242">
        <f ca="1"/>
      </c>
      <c r="GE242">
        <f ca="1"/>
      </c>
      <c r="GF242">
        <f ca="1"/>
      </c>
      <c r="GG242">
        <f ca="1"/>
      </c>
      <c r="GH242">
        <f ca="1"/>
      </c>
      <c r="GI242">
        <f ca="1"/>
      </c>
      <c r="GJ242">
        <f ca="1"/>
      </c>
      <c r="GK242">
        <f ca="1"/>
      </c>
      <c r="GL242">
        <f ca="1"/>
      </c>
      <c r="GM242">
        <f ca="1"/>
      </c>
      <c r="GN242">
        <f ca="1"/>
      </c>
      <c r="GO242">
        <f ca="1"/>
      </c>
      <c r="GP242">
        <f ca="1"/>
      </c>
      <c r="GQ242">
        <f ca="1"/>
      </c>
      <c r="GR242">
        <f ca="1"/>
      </c>
      <c r="GS242">
        <f ca="1"/>
      </c>
      <c r="GT242">
        <f ca="1"/>
      </c>
      <c r="GU242">
        <f ca="1"/>
      </c>
      <c r="GV242">
        <f ca="1"/>
      </c>
      <c r="GW242">
        <f ca="1"/>
      </c>
      <c r="HI242" s="7">
        <f ca="1"/>
      </c>
      <c r="HJ242">
        <f ca="1"/>
      </c>
      <c r="HK242">
        <f ca="1"/>
      </c>
      <c r="HL242">
        <f ca="1"/>
      </c>
      <c r="HM242">
        <f ca="1"/>
      </c>
    </row>
    <row r="243" spans="63:221" x14ac:dyDescent="0.55000000000000004">
      <c r="BK243">
        <f ca="1"/>
      </c>
      <c r="BL243">
        <f ca="1"/>
      </c>
      <c r="BM243">
        <f ca="1"/>
      </c>
      <c r="BN243">
        <f ca="1"/>
      </c>
      <c r="BO243">
        <f ca="1"/>
      </c>
      <c r="BP243">
        <f ca="1"/>
      </c>
      <c r="BQ243">
        <f ca="1"/>
      </c>
      <c r="BR243">
        <f ca="1"/>
      </c>
      <c r="BS243">
        <f ca="1"/>
      </c>
      <c r="BT243">
        <f ca="1"/>
      </c>
      <c r="BU243">
        <f ca="1"/>
      </c>
      <c r="BV243">
        <f ca="1"/>
      </c>
      <c r="BW243">
        <f ca="1"/>
      </c>
      <c r="BX243">
        <f ca="1"/>
      </c>
      <c r="BY243">
        <f ca="1"/>
      </c>
      <c r="BZ243">
        <f ca="1"/>
      </c>
      <c r="CA243">
        <f ca="1"/>
      </c>
      <c r="CB243">
        <f ca="1"/>
      </c>
      <c r="CC243">
        <f ca="1"/>
      </c>
      <c r="CD243">
        <f ca="1"/>
      </c>
      <c r="CE243">
        <f ca="1"/>
      </c>
      <c r="CF243">
        <f ca="1"/>
      </c>
      <c r="CG243">
        <f ca="1"/>
      </c>
      <c r="CH243">
        <f ca="1"/>
      </c>
      <c r="CI243">
        <f ca="1"/>
      </c>
      <c r="CJ243">
        <f ca="1"/>
      </c>
      <c r="CK243">
        <f ca="1"/>
      </c>
      <c r="CL243">
        <f ca="1"/>
      </c>
      <c r="CM243">
        <f ca="1"/>
      </c>
      <c r="CN243">
        <f ca="1"/>
      </c>
      <c r="CO243">
        <f ca="1"/>
      </c>
      <c r="CP243">
        <f ca="1"/>
      </c>
      <c r="CQ243">
        <f ca="1"/>
      </c>
      <c r="CR243">
        <f ca="1"/>
      </c>
      <c r="CS243">
        <f ca="1"/>
      </c>
      <c r="CT243">
        <f ca="1"/>
      </c>
      <c r="CU243">
        <f ca="1"/>
      </c>
      <c r="CV243">
        <f ca="1"/>
      </c>
      <c r="CW243">
        <f ca="1"/>
      </c>
      <c r="CX243">
        <f ca="1"/>
      </c>
      <c r="CY243">
        <f ca="1"/>
      </c>
      <c r="CZ243">
        <f ca="1"/>
      </c>
      <c r="DA243">
        <f ca="1"/>
      </c>
      <c r="DB243">
        <f ca="1"/>
      </c>
      <c r="DC243">
        <f ca="1"/>
      </c>
      <c r="DD243">
        <f ca="1"/>
      </c>
      <c r="DE243">
        <f ca="1"/>
      </c>
      <c r="DG243">
        <f ca="1"/>
      </c>
      <c r="DH243">
        <f ca="1"/>
      </c>
      <c r="DI243">
        <f ca="1"/>
      </c>
      <c r="DJ243">
        <f ca="1"/>
      </c>
      <c r="DK243">
        <f ca="1"/>
      </c>
      <c r="DL243">
        <f ca="1"/>
      </c>
      <c r="DM243">
        <f ca="1"/>
      </c>
      <c r="DN243">
        <f ca="1"/>
      </c>
      <c r="DO243">
        <f ca="1"/>
      </c>
      <c r="DP243">
        <f ca="1"/>
      </c>
      <c r="DQ243">
        <f ca="1"/>
      </c>
      <c r="DR243">
        <f ca="1"/>
      </c>
      <c r="DS243">
        <f ca="1"/>
      </c>
      <c r="DT243">
        <f ca="1"/>
      </c>
      <c r="DU243">
        <f ca="1"/>
      </c>
      <c r="DV243">
        <f ca="1"/>
      </c>
      <c r="DW243">
        <f ca="1"/>
      </c>
      <c r="DX243">
        <f ca="1"/>
      </c>
      <c r="DY243">
        <f ca="1"/>
      </c>
      <c r="DZ243">
        <f ca="1"/>
      </c>
      <c r="EA243">
        <f ca="1"/>
      </c>
      <c r="EB243">
        <f ca="1"/>
      </c>
      <c r="EC243">
        <f ca="1"/>
      </c>
      <c r="ED243">
        <f ca="1"/>
      </c>
      <c r="EE243">
        <f ca="1"/>
      </c>
      <c r="EF243">
        <f ca="1"/>
      </c>
      <c r="EG243">
        <f ca="1"/>
      </c>
      <c r="EH243">
        <f ca="1"/>
      </c>
      <c r="EI243">
        <f ca="1"/>
      </c>
      <c r="EJ243">
        <f ca="1"/>
      </c>
      <c r="EK243">
        <f ca="1"/>
      </c>
      <c r="EL243">
        <f ca="1"/>
      </c>
      <c r="EM243">
        <f ca="1"/>
      </c>
      <c r="EN243">
        <f ca="1"/>
      </c>
      <c r="EO243">
        <f ca="1"/>
      </c>
      <c r="EP243">
        <f ca="1"/>
      </c>
      <c r="EQ243">
        <f ca="1"/>
      </c>
      <c r="ER243">
        <f ca="1"/>
      </c>
      <c r="ES243">
        <f ca="1"/>
      </c>
      <c r="ET243">
        <f ca="1"/>
      </c>
      <c r="EU243">
        <f ca="1"/>
      </c>
      <c r="EV243">
        <f ca="1"/>
      </c>
      <c r="EW243">
        <f ca="1"/>
      </c>
      <c r="EX243">
        <f ca="1"/>
      </c>
      <c r="EY243">
        <f ca="1"/>
      </c>
      <c r="EZ243">
        <f ca="1"/>
      </c>
      <c r="FA243">
        <f ca="1"/>
      </c>
      <c r="FC243">
        <f ca="1"/>
      </c>
      <c r="FD243">
        <f ca="1"/>
      </c>
      <c r="FE243">
        <f ca="1"/>
      </c>
      <c r="FF243">
        <f ca="1"/>
      </c>
      <c r="FG243">
        <f ca="1"/>
      </c>
      <c r="FH243">
        <f ca="1"/>
      </c>
      <c r="FI243">
        <f ca="1"/>
      </c>
      <c r="FJ243">
        <f ca="1"/>
      </c>
      <c r="FK243">
        <f ca="1"/>
      </c>
      <c r="FL243">
        <f ca="1"/>
      </c>
      <c r="FM243">
        <f ca="1"/>
      </c>
      <c r="FN243">
        <f ca="1"/>
      </c>
      <c r="FO243">
        <f ca="1"/>
      </c>
      <c r="FP243">
        <f ca="1"/>
      </c>
      <c r="FQ243">
        <f ca="1"/>
      </c>
      <c r="FR243">
        <f ca="1"/>
      </c>
      <c r="FS243">
        <f ca="1"/>
      </c>
      <c r="FT243">
        <f ca="1"/>
      </c>
      <c r="FU243">
        <f ca="1"/>
      </c>
      <c r="FV243">
        <f ca="1"/>
      </c>
      <c r="FW243">
        <f ca="1"/>
      </c>
      <c r="FX243">
        <f ca="1"/>
      </c>
      <c r="FY243">
        <f ca="1"/>
      </c>
      <c r="FZ243">
        <f ca="1"/>
      </c>
      <c r="GA243">
        <f ca="1"/>
      </c>
      <c r="GB243">
        <f ca="1"/>
      </c>
      <c r="GC243">
        <f ca="1"/>
      </c>
      <c r="GD243">
        <f ca="1"/>
      </c>
      <c r="GE243">
        <f ca="1"/>
      </c>
      <c r="GF243">
        <f ca="1"/>
      </c>
      <c r="GG243">
        <f ca="1"/>
      </c>
      <c r="GH243">
        <f ca="1"/>
      </c>
      <c r="GI243">
        <f ca="1"/>
      </c>
      <c r="GJ243">
        <f ca="1"/>
      </c>
      <c r="GK243">
        <f ca="1"/>
      </c>
      <c r="GL243">
        <f ca="1"/>
      </c>
      <c r="GM243">
        <f ca="1"/>
      </c>
      <c r="GN243">
        <f ca="1"/>
      </c>
      <c r="GO243">
        <f ca="1"/>
      </c>
      <c r="GP243">
        <f ca="1"/>
      </c>
      <c r="GQ243">
        <f ca="1"/>
      </c>
      <c r="GR243">
        <f ca="1"/>
      </c>
      <c r="GS243">
        <f ca="1"/>
      </c>
      <c r="GT243">
        <f ca="1"/>
      </c>
      <c r="GU243">
        <f ca="1"/>
      </c>
      <c r="GV243">
        <f ca="1"/>
      </c>
      <c r="GW243">
        <f ca="1"/>
      </c>
      <c r="HI243" s="7">
        <f ca="1"/>
      </c>
      <c r="HJ243">
        <f ca="1"/>
      </c>
      <c r="HK243">
        <f ca="1"/>
      </c>
      <c r="HL243">
        <f ca="1"/>
      </c>
      <c r="HM243">
        <f ca="1"/>
      </c>
    </row>
    <row r="244" spans="63:221" x14ac:dyDescent="0.55000000000000004">
      <c r="BK244">
        <f ca="1"/>
      </c>
      <c r="BL244">
        <f ca="1"/>
      </c>
      <c r="BM244">
        <f ca="1"/>
      </c>
      <c r="BN244">
        <f ca="1"/>
      </c>
      <c r="BO244">
        <f ca="1"/>
      </c>
      <c r="BP244">
        <f ca="1"/>
      </c>
      <c r="BQ244">
        <f ca="1"/>
      </c>
      <c r="BR244">
        <f ca="1"/>
      </c>
      <c r="BS244">
        <f ca="1"/>
      </c>
      <c r="BT244">
        <f ca="1"/>
      </c>
      <c r="BU244">
        <f ca="1"/>
      </c>
      <c r="BV244">
        <f ca="1"/>
      </c>
      <c r="BW244">
        <f ca="1"/>
      </c>
      <c r="BX244">
        <f ca="1"/>
      </c>
      <c r="BY244">
        <f ca="1"/>
      </c>
      <c r="BZ244">
        <f ca="1"/>
      </c>
      <c r="CA244">
        <f ca="1"/>
      </c>
      <c r="CB244">
        <f ca="1"/>
      </c>
      <c r="CC244">
        <f ca="1"/>
      </c>
      <c r="CD244">
        <f ca="1"/>
      </c>
      <c r="CE244">
        <f ca="1"/>
      </c>
      <c r="CF244">
        <f ca="1"/>
      </c>
      <c r="CG244">
        <f ca="1"/>
      </c>
      <c r="CH244">
        <f ca="1"/>
      </c>
      <c r="CI244">
        <f ca="1"/>
      </c>
      <c r="CJ244">
        <f ca="1"/>
      </c>
      <c r="CK244">
        <f ca="1"/>
      </c>
      <c r="CL244">
        <f ca="1"/>
      </c>
      <c r="CM244">
        <f ca="1"/>
      </c>
      <c r="CN244">
        <f ca="1"/>
      </c>
      <c r="CO244">
        <f ca="1"/>
      </c>
      <c r="CP244">
        <f ca="1"/>
      </c>
      <c r="CQ244">
        <f ca="1"/>
      </c>
      <c r="CR244">
        <f ca="1"/>
      </c>
      <c r="CS244">
        <f ca="1"/>
      </c>
      <c r="CT244">
        <f ca="1"/>
      </c>
      <c r="CU244">
        <f ca="1"/>
      </c>
      <c r="CV244">
        <f ca="1"/>
      </c>
      <c r="CW244">
        <f ca="1"/>
      </c>
      <c r="CX244">
        <f ca="1"/>
      </c>
      <c r="CY244">
        <f ca="1"/>
      </c>
      <c r="CZ244">
        <f ca="1"/>
      </c>
      <c r="DA244">
        <f ca="1"/>
      </c>
      <c r="DB244">
        <f ca="1"/>
      </c>
      <c r="DC244">
        <f ca="1"/>
      </c>
      <c r="DD244">
        <f ca="1"/>
      </c>
      <c r="DE244">
        <f ca="1"/>
      </c>
      <c r="DG244">
        <f ca="1"/>
      </c>
      <c r="DH244">
        <f ca="1"/>
      </c>
      <c r="DI244">
        <f ca="1"/>
      </c>
      <c r="DJ244">
        <f ca="1"/>
      </c>
      <c r="DK244">
        <f ca="1"/>
      </c>
      <c r="DL244">
        <f ca="1"/>
      </c>
      <c r="DM244">
        <f ca="1"/>
      </c>
      <c r="DN244">
        <f ca="1"/>
      </c>
      <c r="DO244">
        <f ca="1"/>
      </c>
      <c r="DP244">
        <f ca="1"/>
      </c>
      <c r="DQ244">
        <f ca="1"/>
      </c>
      <c r="DR244">
        <f ca="1"/>
      </c>
      <c r="DS244">
        <f ca="1"/>
      </c>
      <c r="DT244">
        <f ca="1"/>
      </c>
      <c r="DU244">
        <f ca="1"/>
      </c>
      <c r="DV244">
        <f ca="1"/>
      </c>
      <c r="DW244">
        <f ca="1"/>
      </c>
      <c r="DX244">
        <f ca="1"/>
      </c>
      <c r="DY244">
        <f ca="1"/>
      </c>
      <c r="DZ244">
        <f ca="1"/>
      </c>
      <c r="EA244">
        <f ca="1"/>
      </c>
      <c r="EB244">
        <f ca="1"/>
      </c>
      <c r="EC244">
        <f ca="1"/>
      </c>
      <c r="ED244">
        <f ca="1"/>
      </c>
      <c r="EE244">
        <f ca="1"/>
      </c>
      <c r="EF244">
        <f ca="1"/>
      </c>
      <c r="EG244">
        <f ca="1"/>
      </c>
      <c r="EH244">
        <f ca="1"/>
      </c>
      <c r="EI244">
        <f ca="1"/>
      </c>
      <c r="EJ244">
        <f ca="1"/>
      </c>
      <c r="EK244">
        <f ca="1"/>
      </c>
      <c r="EL244">
        <f ca="1"/>
      </c>
      <c r="EM244">
        <f ca="1"/>
      </c>
      <c r="EN244">
        <f ca="1"/>
      </c>
      <c r="EO244">
        <f ca="1"/>
      </c>
      <c r="EP244">
        <f ca="1"/>
      </c>
      <c r="EQ244">
        <f ca="1"/>
      </c>
      <c r="ER244">
        <f ca="1"/>
      </c>
      <c r="ES244">
        <f ca="1"/>
      </c>
      <c r="ET244">
        <f ca="1"/>
      </c>
      <c r="EU244">
        <f ca="1"/>
      </c>
      <c r="EV244">
        <f ca="1"/>
      </c>
      <c r="EW244">
        <f ca="1"/>
      </c>
      <c r="EX244">
        <f ca="1"/>
      </c>
      <c r="EY244">
        <f ca="1"/>
      </c>
      <c r="EZ244">
        <f ca="1"/>
      </c>
      <c r="FA244">
        <f ca="1"/>
      </c>
      <c r="FC244">
        <f ca="1"/>
      </c>
      <c r="FD244">
        <f ca="1"/>
      </c>
      <c r="FE244">
        <f ca="1"/>
      </c>
      <c r="FF244">
        <f ca="1"/>
      </c>
      <c r="FG244">
        <f ca="1"/>
      </c>
      <c r="FH244">
        <f ca="1"/>
      </c>
      <c r="FI244">
        <f ca="1"/>
      </c>
      <c r="FJ244">
        <f ca="1"/>
      </c>
      <c r="FK244">
        <f ca="1"/>
      </c>
      <c r="FL244">
        <f ca="1"/>
      </c>
      <c r="FM244">
        <f ca="1"/>
      </c>
      <c r="FN244">
        <f ca="1"/>
      </c>
      <c r="FO244">
        <f ca="1"/>
      </c>
      <c r="FP244">
        <f ca="1"/>
      </c>
      <c r="FQ244">
        <f ca="1"/>
      </c>
      <c r="FR244">
        <f ca="1"/>
      </c>
      <c r="FS244">
        <f ca="1"/>
      </c>
      <c r="FT244">
        <f ca="1"/>
      </c>
      <c r="FU244">
        <f ca="1"/>
      </c>
      <c r="FV244">
        <f ca="1"/>
      </c>
      <c r="FW244">
        <f ca="1"/>
      </c>
      <c r="FX244">
        <f ca="1"/>
      </c>
      <c r="FY244">
        <f ca="1"/>
      </c>
      <c r="FZ244">
        <f ca="1"/>
      </c>
      <c r="GA244">
        <f ca="1"/>
      </c>
      <c r="GB244">
        <f ca="1"/>
      </c>
      <c r="GC244">
        <f ca="1"/>
      </c>
      <c r="GD244">
        <f ca="1"/>
      </c>
      <c r="GE244">
        <f ca="1"/>
      </c>
      <c r="GF244">
        <f ca="1"/>
      </c>
      <c r="GG244">
        <f ca="1"/>
      </c>
      <c r="GH244">
        <f ca="1"/>
      </c>
      <c r="GI244">
        <f ca="1"/>
      </c>
      <c r="GJ244">
        <f ca="1"/>
      </c>
      <c r="GK244">
        <f ca="1"/>
      </c>
      <c r="GL244">
        <f ca="1"/>
      </c>
      <c r="GM244">
        <f ca="1"/>
      </c>
      <c r="GN244">
        <f ca="1"/>
      </c>
      <c r="GO244">
        <f ca="1"/>
      </c>
      <c r="GP244">
        <f ca="1"/>
      </c>
      <c r="GQ244">
        <f ca="1"/>
      </c>
      <c r="GR244">
        <f ca="1"/>
      </c>
      <c r="GS244">
        <f ca="1"/>
      </c>
      <c r="GT244">
        <f ca="1"/>
      </c>
      <c r="GU244">
        <f ca="1"/>
      </c>
      <c r="GV244">
        <f ca="1"/>
      </c>
      <c r="GW244">
        <f ca="1"/>
      </c>
      <c r="HI244" s="7">
        <f ca="1"/>
      </c>
      <c r="HJ244">
        <f ca="1"/>
      </c>
      <c r="HK244">
        <f ca="1"/>
      </c>
      <c r="HL244">
        <f ca="1"/>
      </c>
      <c r="HM244">
        <f ca="1"/>
      </c>
    </row>
    <row r="245" spans="63:221" x14ac:dyDescent="0.55000000000000004">
      <c r="BK245">
        <f ca="1"/>
      </c>
      <c r="BL245">
        <f ca="1"/>
      </c>
      <c r="BM245">
        <f ca="1"/>
      </c>
      <c r="BN245">
        <f ca="1"/>
      </c>
      <c r="BO245">
        <f ca="1"/>
      </c>
      <c r="BP245">
        <f ca="1"/>
      </c>
      <c r="BQ245">
        <f ca="1"/>
      </c>
      <c r="BR245">
        <f ca="1"/>
      </c>
      <c r="BS245">
        <f ca="1"/>
      </c>
      <c r="BT245">
        <f ca="1"/>
      </c>
      <c r="BU245">
        <f ca="1"/>
      </c>
      <c r="BV245">
        <f ca="1"/>
      </c>
      <c r="BW245">
        <f ca="1"/>
      </c>
      <c r="BX245">
        <f ca="1"/>
      </c>
      <c r="BY245">
        <f ca="1"/>
      </c>
      <c r="BZ245">
        <f ca="1"/>
      </c>
      <c r="CA245">
        <f ca="1"/>
      </c>
      <c r="CB245">
        <f ca="1"/>
      </c>
      <c r="CC245">
        <f ca="1"/>
      </c>
      <c r="CD245">
        <f ca="1"/>
      </c>
      <c r="CE245">
        <f ca="1"/>
      </c>
      <c r="CF245">
        <f ca="1"/>
      </c>
      <c r="CG245">
        <f ca="1"/>
      </c>
      <c r="CH245">
        <f ca="1"/>
      </c>
      <c r="CI245">
        <f ca="1"/>
      </c>
      <c r="CJ245">
        <f ca="1"/>
      </c>
      <c r="CK245">
        <f ca="1"/>
      </c>
      <c r="CL245">
        <f ca="1"/>
      </c>
      <c r="CM245">
        <f ca="1"/>
      </c>
      <c r="CN245">
        <f ca="1"/>
      </c>
      <c r="CO245">
        <f ca="1"/>
      </c>
      <c r="CP245">
        <f ca="1"/>
      </c>
      <c r="CQ245">
        <f ca="1"/>
      </c>
      <c r="CR245">
        <f ca="1"/>
      </c>
      <c r="CS245">
        <f ca="1"/>
      </c>
      <c r="CT245">
        <f ca="1"/>
      </c>
      <c r="CU245">
        <f ca="1"/>
      </c>
      <c r="CV245">
        <f ca="1"/>
      </c>
      <c r="CW245">
        <f ca="1"/>
      </c>
      <c r="CX245">
        <f ca="1"/>
      </c>
      <c r="CY245">
        <f ca="1"/>
      </c>
      <c r="CZ245">
        <f ca="1"/>
      </c>
      <c r="DA245">
        <f ca="1"/>
      </c>
      <c r="DB245">
        <f ca="1"/>
      </c>
      <c r="DC245">
        <f ca="1"/>
      </c>
      <c r="DD245">
        <f ca="1"/>
      </c>
      <c r="DE245">
        <f ca="1"/>
      </c>
      <c r="DG245">
        <f ca="1"/>
      </c>
      <c r="DH245">
        <f ca="1"/>
      </c>
      <c r="DI245">
        <f ca="1"/>
      </c>
      <c r="DJ245">
        <f ca="1"/>
      </c>
      <c r="DK245">
        <f ca="1"/>
      </c>
      <c r="DL245">
        <f ca="1"/>
      </c>
      <c r="DM245">
        <f ca="1"/>
      </c>
      <c r="DN245">
        <f ca="1"/>
      </c>
      <c r="DO245">
        <f ca="1"/>
      </c>
      <c r="DP245">
        <f ca="1"/>
      </c>
      <c r="DQ245">
        <f ca="1"/>
      </c>
      <c r="DR245">
        <f ca="1"/>
      </c>
      <c r="DS245">
        <f ca="1"/>
      </c>
      <c r="DT245">
        <f ca="1"/>
      </c>
      <c r="DU245">
        <f ca="1"/>
      </c>
      <c r="DV245">
        <f ca="1"/>
      </c>
      <c r="DW245">
        <f ca="1"/>
      </c>
      <c r="DX245">
        <f ca="1"/>
      </c>
      <c r="DY245">
        <f ca="1"/>
      </c>
      <c r="DZ245">
        <f ca="1"/>
      </c>
      <c r="EA245">
        <f ca="1"/>
      </c>
      <c r="EB245">
        <f ca="1"/>
      </c>
      <c r="EC245">
        <f ca="1"/>
      </c>
      <c r="ED245">
        <f ca="1"/>
      </c>
      <c r="EE245">
        <f ca="1"/>
      </c>
      <c r="EF245">
        <f ca="1"/>
      </c>
      <c r="EG245">
        <f ca="1"/>
      </c>
      <c r="EH245">
        <f ca="1"/>
      </c>
      <c r="EI245">
        <f ca="1"/>
      </c>
      <c r="EJ245">
        <f ca="1"/>
      </c>
      <c r="EK245">
        <f ca="1"/>
      </c>
      <c r="EL245">
        <f ca="1"/>
      </c>
      <c r="EM245">
        <f ca="1"/>
      </c>
      <c r="EN245">
        <f ca="1"/>
      </c>
      <c r="EO245">
        <f ca="1"/>
      </c>
      <c r="EP245">
        <f ca="1"/>
      </c>
      <c r="EQ245">
        <f ca="1"/>
      </c>
      <c r="ER245">
        <f ca="1"/>
      </c>
      <c r="ES245">
        <f ca="1"/>
      </c>
      <c r="ET245">
        <f ca="1"/>
      </c>
      <c r="EU245">
        <f ca="1"/>
      </c>
      <c r="EV245">
        <f ca="1"/>
      </c>
      <c r="EW245">
        <f ca="1"/>
      </c>
      <c r="EX245">
        <f ca="1"/>
      </c>
      <c r="EY245">
        <f ca="1"/>
      </c>
      <c r="EZ245">
        <f ca="1"/>
      </c>
      <c r="FA245">
        <f ca="1"/>
      </c>
      <c r="FC245">
        <f ca="1"/>
      </c>
      <c r="FD245">
        <f ca="1"/>
      </c>
      <c r="FE245">
        <f ca="1"/>
      </c>
      <c r="FF245">
        <f ca="1"/>
      </c>
      <c r="FG245">
        <f ca="1"/>
      </c>
      <c r="FH245">
        <f ca="1"/>
      </c>
      <c r="FI245">
        <f ca="1"/>
      </c>
      <c r="FJ245">
        <f ca="1"/>
      </c>
      <c r="FK245">
        <f ca="1"/>
      </c>
      <c r="FL245">
        <f ca="1"/>
      </c>
      <c r="FM245">
        <f ca="1"/>
      </c>
      <c r="FN245">
        <f ca="1"/>
      </c>
      <c r="FO245">
        <f ca="1"/>
      </c>
      <c r="FP245">
        <f ca="1"/>
      </c>
      <c r="FQ245">
        <f ca="1"/>
      </c>
      <c r="FR245">
        <f ca="1"/>
      </c>
      <c r="FS245">
        <f ca="1"/>
      </c>
      <c r="FT245">
        <f ca="1"/>
      </c>
      <c r="FU245">
        <f ca="1"/>
      </c>
      <c r="FV245">
        <f ca="1"/>
      </c>
      <c r="FW245">
        <f ca="1"/>
      </c>
      <c r="FX245">
        <f ca="1"/>
      </c>
      <c r="FY245">
        <f ca="1"/>
      </c>
      <c r="FZ245">
        <f ca="1"/>
      </c>
      <c r="GA245">
        <f ca="1"/>
      </c>
      <c r="GB245">
        <f ca="1"/>
      </c>
      <c r="GC245">
        <f ca="1"/>
      </c>
      <c r="GD245">
        <f ca="1"/>
      </c>
      <c r="GE245">
        <f ca="1"/>
      </c>
      <c r="GF245">
        <f ca="1"/>
      </c>
      <c r="GG245">
        <f ca="1"/>
      </c>
      <c r="GH245">
        <f ca="1"/>
      </c>
      <c r="GI245">
        <f ca="1"/>
      </c>
      <c r="GJ245">
        <f ca="1"/>
      </c>
      <c r="GK245">
        <f ca="1"/>
      </c>
      <c r="GL245">
        <f ca="1"/>
      </c>
      <c r="GM245">
        <f ca="1"/>
      </c>
      <c r="GN245">
        <f ca="1"/>
      </c>
      <c r="GO245">
        <f ca="1"/>
      </c>
      <c r="GP245">
        <f ca="1"/>
      </c>
      <c r="GQ245">
        <f ca="1"/>
      </c>
      <c r="GR245">
        <f ca="1"/>
      </c>
      <c r="GS245">
        <f ca="1"/>
      </c>
      <c r="GT245">
        <f ca="1"/>
      </c>
      <c r="GU245">
        <f ca="1"/>
      </c>
      <c r="GV245">
        <f ca="1"/>
      </c>
      <c r="GW245">
        <f ca="1"/>
      </c>
      <c r="HI245" s="7"/>
    </row>
    <row r="246" spans="63:221" x14ac:dyDescent="0.55000000000000004">
      <c r="BK246">
        <f ca="1"/>
      </c>
      <c r="BL246">
        <f ca="1"/>
      </c>
      <c r="BM246">
        <f ca="1"/>
      </c>
      <c r="BN246">
        <f ca="1"/>
      </c>
      <c r="BO246">
        <f ca="1"/>
      </c>
      <c r="BP246">
        <f ca="1"/>
      </c>
      <c r="BQ246">
        <f ca="1"/>
      </c>
      <c r="BR246">
        <f ca="1"/>
      </c>
      <c r="BS246">
        <f ca="1"/>
      </c>
      <c r="BT246">
        <f ca="1"/>
      </c>
      <c r="BU246">
        <f ca="1"/>
      </c>
      <c r="BV246">
        <f ca="1"/>
      </c>
      <c r="BW246">
        <f ca="1"/>
      </c>
      <c r="BX246">
        <f ca="1"/>
      </c>
      <c r="BY246">
        <f ca="1"/>
      </c>
      <c r="BZ246">
        <f ca="1"/>
      </c>
      <c r="CA246">
        <f ca="1"/>
      </c>
      <c r="CB246">
        <f ca="1"/>
      </c>
      <c r="CC246">
        <f ca="1"/>
      </c>
      <c r="CD246">
        <f ca="1"/>
      </c>
      <c r="CE246">
        <f ca="1"/>
      </c>
      <c r="CF246">
        <f ca="1"/>
      </c>
      <c r="CG246">
        <f ca="1"/>
      </c>
      <c r="CH246">
        <f ca="1"/>
      </c>
      <c r="CI246">
        <f ca="1"/>
      </c>
      <c r="CJ246">
        <f ca="1"/>
      </c>
      <c r="CK246">
        <f ca="1"/>
      </c>
      <c r="CL246">
        <f ca="1"/>
      </c>
      <c r="CM246">
        <f ca="1"/>
      </c>
      <c r="CN246">
        <f ca="1"/>
      </c>
      <c r="CO246">
        <f ca="1"/>
      </c>
      <c r="CP246">
        <f ca="1"/>
      </c>
      <c r="CQ246">
        <f ca="1"/>
      </c>
      <c r="CR246">
        <f ca="1"/>
      </c>
      <c r="CS246">
        <f ca="1"/>
      </c>
      <c r="CT246">
        <f ca="1"/>
      </c>
      <c r="CU246">
        <f ca="1"/>
      </c>
      <c r="CV246">
        <f ca="1"/>
      </c>
      <c r="CW246">
        <f ca="1"/>
      </c>
      <c r="CX246">
        <f ca="1"/>
      </c>
      <c r="CY246">
        <f ca="1"/>
      </c>
      <c r="CZ246">
        <f ca="1"/>
      </c>
      <c r="DA246">
        <f ca="1"/>
      </c>
      <c r="DB246">
        <f ca="1"/>
      </c>
      <c r="DC246">
        <f ca="1"/>
      </c>
      <c r="DD246">
        <f ca="1"/>
      </c>
      <c r="DE246">
        <f ca="1"/>
      </c>
      <c r="DG246">
        <f ca="1"/>
      </c>
      <c r="DH246">
        <f ca="1"/>
      </c>
      <c r="DI246">
        <f ca="1"/>
      </c>
      <c r="DJ246">
        <f ca="1"/>
      </c>
      <c r="DK246">
        <f ca="1"/>
      </c>
      <c r="DL246">
        <f ca="1"/>
      </c>
      <c r="DM246">
        <f ca="1"/>
      </c>
      <c r="DN246">
        <f ca="1"/>
      </c>
      <c r="DO246">
        <f ca="1"/>
      </c>
      <c r="DP246">
        <f ca="1"/>
      </c>
      <c r="DQ246">
        <f ca="1"/>
      </c>
      <c r="DR246">
        <f ca="1"/>
      </c>
      <c r="DS246">
        <f ca="1"/>
      </c>
      <c r="DT246">
        <f ca="1"/>
      </c>
      <c r="DU246">
        <f ca="1"/>
      </c>
      <c r="DV246">
        <f ca="1"/>
      </c>
      <c r="DW246">
        <f ca="1"/>
      </c>
      <c r="DX246">
        <f ca="1"/>
      </c>
      <c r="DY246">
        <f ca="1"/>
      </c>
      <c r="DZ246">
        <f ca="1"/>
      </c>
      <c r="EA246">
        <f ca="1"/>
      </c>
      <c r="EB246">
        <f ca="1"/>
      </c>
      <c r="EC246">
        <f ca="1"/>
      </c>
      <c r="ED246">
        <f ca="1"/>
      </c>
      <c r="EE246">
        <f ca="1"/>
      </c>
      <c r="EF246">
        <f ca="1"/>
      </c>
      <c r="EG246">
        <f ca="1"/>
      </c>
      <c r="EH246">
        <f ca="1"/>
      </c>
      <c r="EI246">
        <f ca="1"/>
      </c>
      <c r="EJ246">
        <f ca="1"/>
      </c>
      <c r="EK246">
        <f ca="1"/>
      </c>
      <c r="EL246">
        <f ca="1"/>
      </c>
      <c r="EM246">
        <f ca="1"/>
      </c>
      <c r="EN246">
        <f ca="1"/>
      </c>
      <c r="EO246">
        <f ca="1"/>
      </c>
      <c r="EP246">
        <f ca="1"/>
      </c>
      <c r="EQ246">
        <f ca="1"/>
      </c>
      <c r="ER246">
        <f ca="1"/>
      </c>
      <c r="ES246">
        <f ca="1"/>
      </c>
      <c r="ET246">
        <f ca="1"/>
      </c>
      <c r="EU246">
        <f ca="1"/>
      </c>
      <c r="EV246">
        <f ca="1"/>
      </c>
      <c r="EW246">
        <f ca="1"/>
      </c>
      <c r="EX246">
        <f ca="1"/>
      </c>
      <c r="EY246">
        <f ca="1"/>
      </c>
      <c r="EZ246">
        <f ca="1"/>
      </c>
      <c r="FA246">
        <f ca="1"/>
      </c>
      <c r="FC246">
        <f ca="1"/>
      </c>
      <c r="FD246">
        <f ca="1"/>
      </c>
      <c r="FE246">
        <f ca="1"/>
      </c>
      <c r="FF246">
        <f ca="1"/>
      </c>
      <c r="FG246">
        <f ca="1"/>
      </c>
      <c r="FH246">
        <f ca="1"/>
      </c>
      <c r="FI246">
        <f ca="1"/>
      </c>
      <c r="FJ246">
        <f ca="1"/>
      </c>
      <c r="FK246">
        <f ca="1"/>
      </c>
      <c r="FL246">
        <f ca="1"/>
      </c>
      <c r="FM246">
        <f ca="1"/>
      </c>
      <c r="FN246">
        <f ca="1"/>
      </c>
      <c r="FO246">
        <f ca="1"/>
      </c>
      <c r="FP246">
        <f ca="1"/>
      </c>
      <c r="FQ246">
        <f ca="1"/>
      </c>
      <c r="FR246">
        <f ca="1"/>
      </c>
      <c r="FS246">
        <f ca="1"/>
      </c>
      <c r="FT246">
        <f ca="1"/>
      </c>
      <c r="FU246">
        <f ca="1"/>
      </c>
      <c r="FV246">
        <f ca="1"/>
      </c>
      <c r="FW246">
        <f ca="1"/>
      </c>
      <c r="FX246">
        <f ca="1"/>
      </c>
      <c r="FY246">
        <f ca="1"/>
      </c>
      <c r="FZ246">
        <f ca="1"/>
      </c>
      <c r="GA246">
        <f ca="1"/>
      </c>
      <c r="GB246">
        <f ca="1"/>
      </c>
      <c r="GC246">
        <f ca="1"/>
      </c>
      <c r="GD246">
        <f ca="1"/>
      </c>
      <c r="GE246">
        <f ca="1"/>
      </c>
      <c r="GF246">
        <f ca="1"/>
      </c>
      <c r="GG246">
        <f ca="1"/>
      </c>
      <c r="GH246">
        <f ca="1"/>
      </c>
      <c r="GI246">
        <f ca="1"/>
      </c>
      <c r="GJ246">
        <f ca="1"/>
      </c>
      <c r="GK246">
        <f ca="1"/>
      </c>
      <c r="GL246">
        <f ca="1"/>
      </c>
      <c r="GM246">
        <f ca="1"/>
      </c>
      <c r="GN246">
        <f ca="1"/>
      </c>
      <c r="GO246">
        <f ca="1"/>
      </c>
      <c r="GP246">
        <f ca="1"/>
      </c>
      <c r="GQ246">
        <f ca="1"/>
      </c>
      <c r="GR246">
        <f ca="1"/>
      </c>
      <c r="GS246">
        <f ca="1"/>
      </c>
      <c r="GT246">
        <f ca="1"/>
      </c>
      <c r="GU246">
        <f ca="1"/>
      </c>
      <c r="GV246">
        <f ca="1"/>
      </c>
      <c r="GW246">
        <f ca="1"/>
      </c>
      <c r="HI246" s="7"/>
    </row>
    <row r="247" spans="63:221" x14ac:dyDescent="0.55000000000000004">
      <c r="BK247">
        <f ca="1"/>
      </c>
      <c r="BL247">
        <f ca="1"/>
      </c>
      <c r="BM247">
        <f ca="1"/>
      </c>
      <c r="BN247">
        <f ca="1"/>
      </c>
      <c r="BO247">
        <f ca="1"/>
      </c>
      <c r="BP247">
        <f ca="1"/>
      </c>
      <c r="BQ247">
        <f ca="1"/>
      </c>
      <c r="BR247">
        <f ca="1"/>
      </c>
      <c r="BS247">
        <f ca="1"/>
      </c>
      <c r="BT247">
        <f ca="1"/>
      </c>
      <c r="BU247">
        <f ca="1"/>
      </c>
      <c r="BV247">
        <f ca="1"/>
      </c>
      <c r="BW247">
        <f ca="1"/>
      </c>
      <c r="BX247">
        <f ca="1"/>
      </c>
      <c r="BY247">
        <f ca="1"/>
      </c>
      <c r="BZ247">
        <f ca="1"/>
      </c>
      <c r="CA247">
        <f ca="1"/>
      </c>
      <c r="CB247">
        <f ca="1"/>
      </c>
      <c r="CC247">
        <f ca="1"/>
      </c>
      <c r="CD247">
        <f ca="1"/>
      </c>
      <c r="CE247">
        <f ca="1"/>
      </c>
      <c r="CF247">
        <f ca="1"/>
      </c>
      <c r="CG247">
        <f ca="1"/>
      </c>
      <c r="CH247">
        <f ca="1"/>
      </c>
      <c r="CI247">
        <f ca="1"/>
      </c>
      <c r="CJ247">
        <f ca="1"/>
      </c>
      <c r="CK247">
        <f ca="1"/>
      </c>
      <c r="CL247">
        <f ca="1"/>
      </c>
      <c r="CM247">
        <f ca="1"/>
      </c>
      <c r="CN247">
        <f ca="1"/>
      </c>
      <c r="CO247">
        <f ca="1"/>
      </c>
      <c r="CP247">
        <f ca="1"/>
      </c>
      <c r="CQ247">
        <f ca="1"/>
      </c>
      <c r="CR247">
        <f ca="1"/>
      </c>
      <c r="CS247">
        <f ca="1"/>
      </c>
      <c r="CT247">
        <f ca="1"/>
      </c>
      <c r="CU247">
        <f ca="1"/>
      </c>
      <c r="CV247">
        <f ca="1"/>
      </c>
      <c r="CW247">
        <f ca="1"/>
      </c>
      <c r="CX247">
        <f ca="1"/>
      </c>
      <c r="CY247">
        <f ca="1"/>
      </c>
      <c r="CZ247">
        <f ca="1"/>
      </c>
      <c r="DA247">
        <f ca="1"/>
      </c>
      <c r="DB247">
        <f ca="1"/>
      </c>
      <c r="DC247">
        <f ca="1"/>
      </c>
      <c r="DD247">
        <f ca="1"/>
      </c>
      <c r="DE247">
        <f ca="1"/>
      </c>
      <c r="DG247">
        <f ca="1"/>
      </c>
      <c r="DH247">
        <f ca="1"/>
      </c>
      <c r="DI247">
        <f ca="1"/>
      </c>
      <c r="DJ247">
        <f ca="1"/>
      </c>
      <c r="DK247">
        <f ca="1"/>
      </c>
      <c r="DL247">
        <f ca="1"/>
      </c>
      <c r="DM247">
        <f ca="1"/>
      </c>
      <c r="DN247">
        <f ca="1"/>
      </c>
      <c r="DO247">
        <f ca="1"/>
      </c>
      <c r="DP247">
        <f ca="1"/>
      </c>
      <c r="DQ247">
        <f ca="1"/>
      </c>
      <c r="DR247">
        <f ca="1"/>
      </c>
      <c r="DS247">
        <f ca="1"/>
      </c>
      <c r="DT247">
        <f ca="1"/>
      </c>
      <c r="DU247">
        <f ca="1"/>
      </c>
      <c r="DV247">
        <f ca="1"/>
      </c>
      <c r="DW247">
        <f ca="1"/>
      </c>
      <c r="DX247">
        <f ca="1"/>
      </c>
      <c r="DY247">
        <f ca="1"/>
      </c>
      <c r="DZ247">
        <f ca="1"/>
      </c>
      <c r="EA247">
        <f ca="1"/>
      </c>
      <c r="EB247">
        <f ca="1"/>
      </c>
      <c r="EC247">
        <f ca="1"/>
      </c>
      <c r="ED247">
        <f ca="1"/>
      </c>
      <c r="EE247">
        <f ca="1"/>
      </c>
      <c r="EF247">
        <f ca="1"/>
      </c>
      <c r="EG247">
        <f ca="1"/>
      </c>
      <c r="EH247">
        <f ca="1"/>
      </c>
      <c r="EI247">
        <f ca="1"/>
      </c>
      <c r="EJ247">
        <f ca="1"/>
      </c>
      <c r="EK247">
        <f ca="1"/>
      </c>
      <c r="EL247">
        <f ca="1"/>
      </c>
      <c r="EM247">
        <f ca="1"/>
      </c>
      <c r="EN247">
        <f ca="1"/>
      </c>
      <c r="EO247">
        <f ca="1"/>
      </c>
      <c r="EP247">
        <f ca="1"/>
      </c>
      <c r="EQ247">
        <f ca="1"/>
      </c>
      <c r="ER247">
        <f ca="1"/>
      </c>
      <c r="ES247">
        <f ca="1"/>
      </c>
      <c r="ET247">
        <f ca="1"/>
      </c>
      <c r="EU247">
        <f ca="1"/>
      </c>
      <c r="EV247">
        <f ca="1"/>
      </c>
      <c r="EW247">
        <f ca="1"/>
      </c>
      <c r="EX247">
        <f ca="1"/>
      </c>
      <c r="EY247">
        <f ca="1"/>
      </c>
      <c r="EZ247">
        <f ca="1"/>
      </c>
      <c r="FA247">
        <f ca="1"/>
      </c>
      <c r="FC247">
        <f ca="1"/>
      </c>
      <c r="FD247">
        <f ca="1"/>
      </c>
      <c r="FE247">
        <f ca="1"/>
      </c>
      <c r="FF247">
        <f ca="1"/>
      </c>
      <c r="FG247">
        <f ca="1"/>
      </c>
      <c r="FH247">
        <f ca="1"/>
      </c>
      <c r="FI247">
        <f ca="1"/>
      </c>
      <c r="FJ247">
        <f ca="1"/>
      </c>
      <c r="FK247">
        <f ca="1"/>
      </c>
      <c r="FL247">
        <f ca="1"/>
      </c>
      <c r="FM247">
        <f ca="1"/>
      </c>
      <c r="FN247">
        <f ca="1"/>
      </c>
      <c r="FO247">
        <f ca="1"/>
      </c>
      <c r="FP247">
        <f ca="1"/>
      </c>
      <c r="FQ247">
        <f ca="1"/>
      </c>
      <c r="FR247">
        <f ca="1"/>
      </c>
      <c r="FS247">
        <f ca="1"/>
      </c>
      <c r="FT247">
        <f ca="1"/>
      </c>
      <c r="FU247">
        <f ca="1"/>
      </c>
      <c r="FV247">
        <f ca="1"/>
      </c>
      <c r="FW247">
        <f ca="1"/>
      </c>
      <c r="FX247">
        <f ca="1"/>
      </c>
      <c r="FY247">
        <f ca="1"/>
      </c>
      <c r="FZ247">
        <f ca="1"/>
      </c>
      <c r="GA247">
        <f ca="1"/>
      </c>
      <c r="GB247">
        <f ca="1"/>
      </c>
      <c r="GC247">
        <f ca="1"/>
      </c>
      <c r="GD247">
        <f ca="1"/>
      </c>
      <c r="GE247">
        <f ca="1"/>
      </c>
      <c r="GF247">
        <f ca="1"/>
      </c>
      <c r="GG247">
        <f ca="1"/>
      </c>
      <c r="GH247">
        <f ca="1"/>
      </c>
      <c r="GI247">
        <f ca="1"/>
      </c>
      <c r="GJ247">
        <f ca="1"/>
      </c>
      <c r="GK247">
        <f ca="1"/>
      </c>
      <c r="GL247">
        <f ca="1"/>
      </c>
      <c r="GM247">
        <f ca="1"/>
      </c>
      <c r="GN247">
        <f ca="1"/>
      </c>
      <c r="GO247">
        <f ca="1"/>
      </c>
      <c r="GP247">
        <f ca="1"/>
      </c>
      <c r="GQ247">
        <f ca="1"/>
      </c>
      <c r="GR247">
        <f ca="1"/>
      </c>
      <c r="GS247">
        <f ca="1"/>
      </c>
      <c r="GT247">
        <f ca="1"/>
      </c>
      <c r="GU247">
        <f ca="1"/>
      </c>
      <c r="GV247">
        <f ca="1"/>
      </c>
      <c r="GW247">
        <f ca="1"/>
      </c>
      <c r="HI247" s="7"/>
    </row>
    <row r="248" spans="63:221" x14ac:dyDescent="0.55000000000000004">
      <c r="BK248">
        <f ca="1"/>
      </c>
      <c r="BL248">
        <f ca="1"/>
      </c>
      <c r="BM248">
        <f ca="1"/>
      </c>
      <c r="BN248">
        <f ca="1"/>
      </c>
      <c r="BO248">
        <f ca="1"/>
      </c>
      <c r="BP248">
        <f ca="1"/>
      </c>
      <c r="BQ248">
        <f ca="1"/>
      </c>
      <c r="BR248">
        <f ca="1"/>
      </c>
      <c r="BS248">
        <f ca="1"/>
      </c>
      <c r="BT248">
        <f ca="1"/>
      </c>
      <c r="BU248">
        <f ca="1"/>
      </c>
      <c r="BV248">
        <f ca="1"/>
      </c>
      <c r="BW248">
        <f ca="1"/>
      </c>
      <c r="BX248">
        <f ca="1"/>
      </c>
      <c r="BY248">
        <f ca="1"/>
      </c>
      <c r="BZ248">
        <f ca="1"/>
      </c>
      <c r="CA248">
        <f ca="1"/>
      </c>
      <c r="CB248">
        <f ca="1"/>
      </c>
      <c r="CC248">
        <f ca="1"/>
      </c>
      <c r="CD248">
        <f ca="1"/>
      </c>
      <c r="CE248">
        <f ca="1"/>
      </c>
      <c r="CF248">
        <f ca="1"/>
      </c>
      <c r="CG248">
        <f ca="1"/>
      </c>
      <c r="CH248">
        <f ca="1"/>
      </c>
      <c r="CI248">
        <f ca="1"/>
      </c>
      <c r="CJ248">
        <f ca="1"/>
      </c>
      <c r="CK248">
        <f ca="1"/>
      </c>
      <c r="CL248">
        <f ca="1"/>
      </c>
      <c r="CM248">
        <f ca="1"/>
      </c>
      <c r="CN248">
        <f ca="1"/>
      </c>
      <c r="CO248">
        <f ca="1"/>
      </c>
      <c r="CP248">
        <f ca="1"/>
      </c>
      <c r="CQ248">
        <f ca="1"/>
      </c>
      <c r="CR248">
        <f ca="1"/>
      </c>
      <c r="CS248">
        <f ca="1"/>
      </c>
      <c r="CT248">
        <f ca="1"/>
      </c>
      <c r="CU248">
        <f ca="1"/>
      </c>
      <c r="CV248">
        <f ca="1"/>
      </c>
      <c r="CW248">
        <f ca="1"/>
      </c>
      <c r="CX248">
        <f ca="1"/>
      </c>
      <c r="CY248">
        <f ca="1"/>
      </c>
      <c r="CZ248">
        <f ca="1"/>
      </c>
      <c r="DA248">
        <f ca="1"/>
      </c>
      <c r="DB248">
        <f ca="1"/>
      </c>
      <c r="DC248">
        <f ca="1"/>
      </c>
      <c r="DD248">
        <f ca="1"/>
      </c>
      <c r="DE248">
        <f ca="1"/>
      </c>
      <c r="DG248">
        <f ca="1"/>
      </c>
      <c r="DH248">
        <f ca="1"/>
      </c>
      <c r="DI248">
        <f ca="1"/>
      </c>
      <c r="DJ248">
        <f ca="1"/>
      </c>
      <c r="DK248">
        <f ca="1"/>
      </c>
      <c r="DL248">
        <f ca="1"/>
      </c>
      <c r="DM248">
        <f ca="1"/>
      </c>
      <c r="DN248">
        <f ca="1"/>
      </c>
      <c r="DO248">
        <f ca="1"/>
      </c>
      <c r="DP248">
        <f ca="1"/>
      </c>
      <c r="DQ248">
        <f ca="1"/>
      </c>
      <c r="DR248">
        <f ca="1"/>
      </c>
      <c r="DS248">
        <f ca="1"/>
      </c>
      <c r="DT248">
        <f ca="1"/>
      </c>
      <c r="DU248">
        <f ca="1"/>
      </c>
      <c r="DV248">
        <f ca="1"/>
      </c>
      <c r="DW248">
        <f ca="1"/>
      </c>
      <c r="DX248">
        <f ca="1"/>
      </c>
      <c r="DY248">
        <f ca="1"/>
      </c>
      <c r="DZ248">
        <f ca="1"/>
      </c>
      <c r="EA248">
        <f ca="1"/>
      </c>
      <c r="EB248">
        <f ca="1"/>
      </c>
      <c r="EC248">
        <f ca="1"/>
      </c>
      <c r="ED248">
        <f ca="1"/>
      </c>
      <c r="EE248">
        <f ca="1"/>
      </c>
      <c r="EF248">
        <f ca="1"/>
      </c>
      <c r="EG248">
        <f ca="1"/>
      </c>
      <c r="EH248">
        <f ca="1"/>
      </c>
      <c r="EI248">
        <f ca="1"/>
      </c>
      <c r="EJ248">
        <f ca="1"/>
      </c>
      <c r="EK248">
        <f ca="1"/>
      </c>
      <c r="EL248">
        <f ca="1"/>
      </c>
      <c r="EM248">
        <f ca="1"/>
      </c>
      <c r="EN248">
        <f ca="1"/>
      </c>
      <c r="EO248">
        <f ca="1"/>
      </c>
      <c r="EP248">
        <f ca="1"/>
      </c>
      <c r="EQ248">
        <f ca="1"/>
      </c>
      <c r="ER248">
        <f ca="1"/>
      </c>
      <c r="ES248">
        <f ca="1"/>
      </c>
      <c r="ET248">
        <f ca="1"/>
      </c>
      <c r="EU248">
        <f ca="1"/>
      </c>
      <c r="EV248">
        <f ca="1"/>
      </c>
      <c r="EW248">
        <f ca="1"/>
      </c>
      <c r="EX248">
        <f ca="1"/>
      </c>
      <c r="EY248">
        <f ca="1"/>
      </c>
      <c r="EZ248">
        <f ca="1"/>
      </c>
      <c r="FA248">
        <f ca="1"/>
      </c>
      <c r="FC248">
        <f ca="1"/>
      </c>
      <c r="FD248">
        <f ca="1"/>
      </c>
      <c r="FE248">
        <f ca="1"/>
      </c>
      <c r="FF248">
        <f ca="1"/>
      </c>
      <c r="FG248">
        <f ca="1"/>
      </c>
      <c r="FH248">
        <f ca="1"/>
      </c>
      <c r="FI248">
        <f ca="1"/>
      </c>
      <c r="FJ248">
        <f ca="1"/>
      </c>
      <c r="FK248">
        <f ca="1"/>
      </c>
      <c r="FL248">
        <f ca="1"/>
      </c>
      <c r="FM248">
        <f ca="1"/>
      </c>
      <c r="FN248">
        <f ca="1"/>
      </c>
      <c r="FO248">
        <f ca="1"/>
      </c>
      <c r="FP248">
        <f ca="1"/>
      </c>
      <c r="FQ248">
        <f ca="1"/>
      </c>
      <c r="FR248">
        <f ca="1"/>
      </c>
      <c r="FS248">
        <f ca="1"/>
      </c>
      <c r="FT248">
        <f ca="1"/>
      </c>
      <c r="FU248">
        <f ca="1"/>
      </c>
      <c r="FV248">
        <f ca="1"/>
      </c>
      <c r="FW248">
        <f ca="1"/>
      </c>
      <c r="FX248">
        <f ca="1"/>
      </c>
      <c r="FY248">
        <f ca="1"/>
      </c>
      <c r="FZ248">
        <f ca="1"/>
      </c>
      <c r="GA248">
        <f ca="1"/>
      </c>
      <c r="GB248">
        <f ca="1"/>
      </c>
      <c r="GC248">
        <f ca="1"/>
      </c>
      <c r="GD248">
        <f ca="1"/>
      </c>
      <c r="GE248">
        <f ca="1"/>
      </c>
      <c r="GF248">
        <f ca="1"/>
      </c>
      <c r="GG248">
        <f ca="1"/>
      </c>
      <c r="GH248">
        <f ca="1"/>
      </c>
      <c r="GI248">
        <f ca="1"/>
      </c>
      <c r="GJ248">
        <f ca="1"/>
      </c>
      <c r="GK248">
        <f ca="1"/>
      </c>
      <c r="GL248">
        <f ca="1"/>
      </c>
      <c r="GM248">
        <f ca="1"/>
      </c>
      <c r="GN248">
        <f ca="1"/>
      </c>
      <c r="GO248">
        <f ca="1"/>
      </c>
      <c r="GP248">
        <f ca="1"/>
      </c>
      <c r="GQ248">
        <f ca="1"/>
      </c>
      <c r="GR248">
        <f ca="1"/>
      </c>
      <c r="GS248">
        <f ca="1"/>
      </c>
      <c r="GT248">
        <f ca="1"/>
      </c>
      <c r="GU248">
        <f ca="1"/>
      </c>
      <c r="GV248">
        <f ca="1"/>
      </c>
      <c r="GW248">
        <f ca="1"/>
      </c>
      <c r="HI248" s="7"/>
    </row>
    <row r="249" spans="63:221" x14ac:dyDescent="0.55000000000000004">
      <c r="BK249">
        <f ca="1"/>
      </c>
      <c r="BL249">
        <f ca="1"/>
      </c>
      <c r="BM249">
        <f ca="1"/>
      </c>
      <c r="BN249">
        <f ca="1"/>
      </c>
      <c r="BO249">
        <f ca="1"/>
      </c>
      <c r="BP249">
        <f ca="1"/>
      </c>
      <c r="BQ249">
        <f ca="1"/>
      </c>
      <c r="BR249">
        <f ca="1"/>
      </c>
      <c r="BS249">
        <f ca="1"/>
      </c>
      <c r="BT249">
        <f ca="1"/>
      </c>
      <c r="BU249">
        <f ca="1"/>
      </c>
      <c r="BV249">
        <f ca="1"/>
      </c>
      <c r="BW249">
        <f ca="1"/>
      </c>
      <c r="BX249">
        <f ca="1"/>
      </c>
      <c r="BY249">
        <f ca="1"/>
      </c>
      <c r="BZ249">
        <f ca="1"/>
      </c>
      <c r="CA249">
        <f ca="1"/>
      </c>
      <c r="CB249">
        <f ca="1"/>
      </c>
      <c r="CC249">
        <f ca="1"/>
      </c>
      <c r="CD249">
        <f ca="1"/>
      </c>
      <c r="CE249">
        <f ca="1"/>
      </c>
      <c r="CF249">
        <f ca="1"/>
      </c>
      <c r="CG249">
        <f ca="1"/>
      </c>
      <c r="CH249">
        <f ca="1"/>
      </c>
      <c r="CI249">
        <f ca="1"/>
      </c>
      <c r="CJ249">
        <f ca="1"/>
      </c>
      <c r="CK249">
        <f ca="1"/>
      </c>
      <c r="CL249">
        <f ca="1"/>
      </c>
      <c r="CM249">
        <f ca="1"/>
      </c>
      <c r="CN249">
        <f ca="1"/>
      </c>
      <c r="CO249">
        <f ca="1"/>
      </c>
      <c r="CP249">
        <f ca="1"/>
      </c>
      <c r="CQ249">
        <f ca="1"/>
      </c>
      <c r="CR249">
        <f ca="1"/>
      </c>
      <c r="CS249">
        <f ca="1"/>
      </c>
      <c r="CT249">
        <f ca="1"/>
      </c>
      <c r="CU249">
        <f ca="1"/>
      </c>
      <c r="CV249">
        <f ca="1"/>
      </c>
      <c r="CW249">
        <f ca="1"/>
      </c>
      <c r="CX249">
        <f ca="1"/>
      </c>
      <c r="CY249">
        <f ca="1"/>
      </c>
      <c r="CZ249">
        <f ca="1"/>
      </c>
      <c r="DA249">
        <f ca="1"/>
      </c>
      <c r="DB249">
        <f ca="1"/>
      </c>
      <c r="DC249">
        <f ca="1"/>
      </c>
      <c r="DD249">
        <f ca="1"/>
      </c>
      <c r="DE249">
        <f ca="1"/>
      </c>
      <c r="DG249">
        <f ca="1"/>
      </c>
      <c r="DH249">
        <f ca="1"/>
      </c>
      <c r="DI249">
        <f ca="1"/>
      </c>
      <c r="DJ249">
        <f ca="1"/>
      </c>
      <c r="DK249">
        <f ca="1"/>
      </c>
      <c r="DL249">
        <f ca="1"/>
      </c>
      <c r="DM249">
        <f ca="1"/>
      </c>
      <c r="DN249">
        <f ca="1"/>
      </c>
      <c r="DO249">
        <f ca="1"/>
      </c>
      <c r="DP249">
        <f ca="1"/>
      </c>
      <c r="DQ249">
        <f ca="1"/>
      </c>
      <c r="DR249">
        <f ca="1"/>
      </c>
      <c r="DS249">
        <f ca="1"/>
      </c>
      <c r="DT249">
        <f ca="1"/>
      </c>
      <c r="DU249">
        <f ca="1"/>
      </c>
      <c r="DV249">
        <f ca="1"/>
      </c>
      <c r="DW249">
        <f ca="1"/>
      </c>
      <c r="DX249">
        <f ca="1"/>
      </c>
      <c r="DY249">
        <f ca="1"/>
      </c>
      <c r="DZ249">
        <f ca="1"/>
      </c>
      <c r="EA249">
        <f ca="1"/>
      </c>
      <c r="EB249">
        <f ca="1"/>
      </c>
      <c r="EC249">
        <f ca="1"/>
      </c>
      <c r="ED249">
        <f ca="1"/>
      </c>
      <c r="EE249">
        <f ca="1"/>
      </c>
      <c r="EF249">
        <f ca="1"/>
      </c>
      <c r="EG249">
        <f ca="1"/>
      </c>
      <c r="EH249">
        <f ca="1"/>
      </c>
      <c r="EI249">
        <f ca="1"/>
      </c>
      <c r="EJ249">
        <f ca="1"/>
      </c>
      <c r="EK249">
        <f ca="1"/>
      </c>
      <c r="EL249">
        <f ca="1"/>
      </c>
      <c r="EM249">
        <f ca="1"/>
      </c>
      <c r="EN249">
        <f ca="1"/>
      </c>
      <c r="EO249">
        <f ca="1"/>
      </c>
      <c r="EP249">
        <f ca="1"/>
      </c>
      <c r="EQ249">
        <f ca="1"/>
      </c>
      <c r="ER249">
        <f ca="1"/>
      </c>
      <c r="ES249">
        <f ca="1"/>
      </c>
      <c r="ET249">
        <f ca="1"/>
      </c>
      <c r="EU249">
        <f ca="1"/>
      </c>
      <c r="EV249">
        <f ca="1"/>
      </c>
      <c r="EW249">
        <f ca="1"/>
      </c>
      <c r="EX249">
        <f ca="1"/>
      </c>
      <c r="EY249">
        <f ca="1"/>
      </c>
      <c r="EZ249">
        <f ca="1"/>
      </c>
      <c r="FA249">
        <f ca="1"/>
      </c>
      <c r="FC249">
        <f ca="1"/>
      </c>
      <c r="FD249">
        <f ca="1"/>
      </c>
      <c r="FE249">
        <f ca="1"/>
      </c>
      <c r="FF249">
        <f ca="1"/>
      </c>
      <c r="FG249">
        <f ca="1"/>
      </c>
      <c r="FH249">
        <f ca="1"/>
      </c>
      <c r="FI249">
        <f ca="1"/>
      </c>
      <c r="FJ249">
        <f ca="1"/>
      </c>
      <c r="FK249">
        <f ca="1"/>
      </c>
      <c r="FL249">
        <f ca="1"/>
      </c>
      <c r="FM249">
        <f ca="1"/>
      </c>
      <c r="FN249">
        <f ca="1"/>
      </c>
      <c r="FO249">
        <f ca="1"/>
      </c>
      <c r="FP249">
        <f ca="1"/>
      </c>
      <c r="FQ249">
        <f ca="1"/>
      </c>
      <c r="FR249">
        <f ca="1"/>
      </c>
      <c r="FS249">
        <f ca="1"/>
      </c>
      <c r="FT249">
        <f ca="1"/>
      </c>
      <c r="FU249">
        <f ca="1"/>
      </c>
      <c r="FV249">
        <f ca="1"/>
      </c>
      <c r="FW249">
        <f ca="1"/>
      </c>
      <c r="FX249">
        <f ca="1"/>
      </c>
      <c r="FY249">
        <f ca="1"/>
      </c>
      <c r="FZ249">
        <f ca="1"/>
      </c>
      <c r="GA249">
        <f ca="1"/>
      </c>
      <c r="GB249">
        <f ca="1"/>
      </c>
      <c r="GC249">
        <f ca="1"/>
      </c>
      <c r="GD249">
        <f ca="1"/>
      </c>
      <c r="GE249">
        <f ca="1"/>
      </c>
      <c r="GF249">
        <f ca="1"/>
      </c>
      <c r="GG249">
        <f ca="1"/>
      </c>
      <c r="GH249">
        <f ca="1"/>
      </c>
      <c r="GI249">
        <f ca="1"/>
      </c>
      <c r="GJ249">
        <f ca="1"/>
      </c>
      <c r="GK249">
        <f ca="1"/>
      </c>
      <c r="GL249">
        <f ca="1"/>
      </c>
      <c r="GM249">
        <f ca="1"/>
      </c>
      <c r="GN249">
        <f ca="1"/>
      </c>
      <c r="GO249">
        <f ca="1"/>
      </c>
      <c r="GP249">
        <f ca="1"/>
      </c>
      <c r="GQ249">
        <f ca="1"/>
      </c>
      <c r="GR249">
        <f ca="1"/>
      </c>
      <c r="GS249">
        <f ca="1"/>
      </c>
      <c r="GT249">
        <f ca="1"/>
      </c>
      <c r="GU249">
        <f ca="1"/>
      </c>
      <c r="GV249">
        <f ca="1"/>
      </c>
      <c r="GW249">
        <f ca="1"/>
      </c>
      <c r="HI249" s="7"/>
    </row>
    <row r="250" spans="63:221" x14ac:dyDescent="0.55000000000000004">
      <c r="BK250">
        <f ca="1"/>
      </c>
      <c r="BL250">
        <f ca="1"/>
      </c>
      <c r="BM250">
        <f ca="1"/>
      </c>
      <c r="BN250">
        <f ca="1"/>
      </c>
      <c r="BO250">
        <f ca="1"/>
      </c>
      <c r="BP250">
        <f ca="1"/>
      </c>
      <c r="BQ250">
        <f ca="1"/>
      </c>
      <c r="BR250">
        <f ca="1"/>
      </c>
      <c r="BS250">
        <f ca="1"/>
      </c>
      <c r="BT250">
        <f ca="1"/>
      </c>
      <c r="BU250">
        <f ca="1"/>
      </c>
      <c r="BV250">
        <f ca="1"/>
      </c>
      <c r="BW250">
        <f ca="1"/>
      </c>
      <c r="BX250">
        <f ca="1"/>
      </c>
      <c r="BY250">
        <f ca="1"/>
      </c>
      <c r="BZ250">
        <f ca="1"/>
      </c>
      <c r="CA250">
        <f ca="1"/>
      </c>
      <c r="CB250">
        <f ca="1"/>
      </c>
      <c r="CC250">
        <f ca="1"/>
      </c>
      <c r="CD250">
        <f ca="1"/>
      </c>
      <c r="CE250">
        <f ca="1"/>
      </c>
      <c r="CF250">
        <f ca="1"/>
      </c>
      <c r="CG250">
        <f ca="1"/>
      </c>
      <c r="CH250">
        <f ca="1"/>
      </c>
      <c r="CI250">
        <f ca="1"/>
      </c>
      <c r="CJ250">
        <f ca="1"/>
      </c>
      <c r="CK250">
        <f ca="1"/>
      </c>
      <c r="CL250">
        <f ca="1"/>
      </c>
      <c r="CM250">
        <f ca="1"/>
      </c>
      <c r="CN250">
        <f ca="1"/>
      </c>
      <c r="CO250">
        <f ca="1"/>
      </c>
      <c r="CP250">
        <f ca="1"/>
      </c>
      <c r="CQ250">
        <f ca="1"/>
      </c>
      <c r="CR250">
        <f ca="1"/>
      </c>
      <c r="CS250">
        <f ca="1"/>
      </c>
      <c r="CT250">
        <f ca="1"/>
      </c>
      <c r="CU250">
        <f ca="1"/>
      </c>
      <c r="CV250">
        <f ca="1"/>
      </c>
      <c r="CW250">
        <f ca="1"/>
      </c>
      <c r="CX250">
        <f ca="1"/>
      </c>
      <c r="CY250">
        <f ca="1"/>
      </c>
      <c r="CZ250">
        <f ca="1"/>
      </c>
      <c r="DA250">
        <f ca="1"/>
      </c>
      <c r="DB250">
        <f ca="1"/>
      </c>
      <c r="DC250">
        <f ca="1"/>
      </c>
      <c r="DD250">
        <f ca="1"/>
      </c>
      <c r="DE250">
        <f ca="1"/>
      </c>
      <c r="DG250">
        <f ca="1"/>
      </c>
      <c r="DH250">
        <f ca="1"/>
      </c>
      <c r="DI250">
        <f ca="1"/>
      </c>
      <c r="DJ250">
        <f ca="1"/>
      </c>
      <c r="DK250">
        <f ca="1"/>
      </c>
      <c r="DL250">
        <f ca="1"/>
      </c>
      <c r="DM250">
        <f ca="1"/>
      </c>
      <c r="DN250">
        <f ca="1"/>
      </c>
      <c r="DO250">
        <f ca="1"/>
      </c>
      <c r="DP250">
        <f ca="1"/>
      </c>
      <c r="DQ250">
        <f ca="1"/>
      </c>
      <c r="DR250">
        <f ca="1"/>
      </c>
      <c r="DS250">
        <f ca="1"/>
      </c>
      <c r="DT250">
        <f ca="1"/>
      </c>
      <c r="DU250">
        <f ca="1"/>
      </c>
      <c r="DV250">
        <f ca="1"/>
      </c>
      <c r="DW250">
        <f ca="1"/>
      </c>
      <c r="DX250">
        <f ca="1"/>
      </c>
      <c r="DY250">
        <f ca="1"/>
      </c>
      <c r="DZ250">
        <f ca="1"/>
      </c>
      <c r="EA250">
        <f ca="1"/>
      </c>
      <c r="EB250">
        <f ca="1"/>
      </c>
      <c r="EC250">
        <f ca="1"/>
      </c>
      <c r="ED250">
        <f ca="1"/>
      </c>
      <c r="EE250">
        <f ca="1"/>
      </c>
      <c r="EF250">
        <f ca="1"/>
      </c>
      <c r="EG250">
        <f ca="1"/>
      </c>
      <c r="EH250">
        <f ca="1"/>
      </c>
      <c r="EI250">
        <f ca="1"/>
      </c>
      <c r="EJ250">
        <f ca="1"/>
      </c>
      <c r="EK250">
        <f ca="1"/>
      </c>
      <c r="EL250">
        <f ca="1"/>
      </c>
      <c r="EM250">
        <f ca="1"/>
      </c>
      <c r="EN250">
        <f ca="1"/>
      </c>
      <c r="EO250">
        <f ca="1"/>
      </c>
      <c r="EP250">
        <f ca="1"/>
      </c>
      <c r="EQ250">
        <f ca="1"/>
      </c>
      <c r="ER250">
        <f ca="1"/>
      </c>
      <c r="ES250">
        <f ca="1"/>
      </c>
      <c r="ET250">
        <f ca="1"/>
      </c>
      <c r="EU250">
        <f ca="1"/>
      </c>
      <c r="EV250">
        <f ca="1"/>
      </c>
      <c r="EW250">
        <f ca="1"/>
      </c>
      <c r="EX250">
        <f ca="1"/>
      </c>
      <c r="EY250">
        <f ca="1"/>
      </c>
      <c r="EZ250">
        <f ca="1"/>
      </c>
      <c r="FA250">
        <f ca="1"/>
      </c>
      <c r="FC250">
        <f ca="1"/>
      </c>
      <c r="FD250">
        <f ca="1"/>
      </c>
      <c r="FE250">
        <f ca="1"/>
      </c>
      <c r="FF250">
        <f ca="1"/>
      </c>
      <c r="FG250">
        <f ca="1"/>
      </c>
      <c r="FH250">
        <f ca="1"/>
      </c>
      <c r="FI250">
        <f ca="1"/>
      </c>
      <c r="FJ250">
        <f ca="1"/>
      </c>
      <c r="FK250">
        <f ca="1"/>
      </c>
      <c r="FL250">
        <f ca="1"/>
      </c>
      <c r="FM250">
        <f ca="1"/>
      </c>
      <c r="FN250">
        <f ca="1"/>
      </c>
      <c r="FO250">
        <f ca="1"/>
      </c>
      <c r="FP250">
        <f ca="1"/>
      </c>
      <c r="FQ250">
        <f ca="1"/>
      </c>
      <c r="FR250">
        <f ca="1"/>
      </c>
      <c r="FS250">
        <f ca="1"/>
      </c>
      <c r="FT250">
        <f ca="1"/>
      </c>
      <c r="FU250">
        <f ca="1"/>
      </c>
      <c r="FV250">
        <f ca="1"/>
      </c>
      <c r="FW250">
        <f ca="1"/>
      </c>
      <c r="FX250">
        <f ca="1"/>
      </c>
      <c r="FY250">
        <f ca="1"/>
      </c>
      <c r="FZ250">
        <f ca="1"/>
      </c>
      <c r="GA250">
        <f ca="1"/>
      </c>
      <c r="GB250">
        <f ca="1"/>
      </c>
      <c r="GC250">
        <f ca="1"/>
      </c>
      <c r="GD250">
        <f ca="1"/>
      </c>
      <c r="GE250">
        <f ca="1"/>
      </c>
      <c r="GF250">
        <f ca="1"/>
      </c>
      <c r="GG250">
        <f ca="1"/>
      </c>
      <c r="GH250">
        <f ca="1"/>
      </c>
      <c r="GI250">
        <f ca="1"/>
      </c>
      <c r="GJ250">
        <f ca="1"/>
      </c>
      <c r="GK250">
        <f ca="1"/>
      </c>
      <c r="GL250">
        <f ca="1"/>
      </c>
      <c r="GM250">
        <f ca="1"/>
      </c>
      <c r="GN250">
        <f ca="1"/>
      </c>
      <c r="GO250">
        <f ca="1"/>
      </c>
      <c r="GP250">
        <f ca="1"/>
      </c>
      <c r="GQ250">
        <f ca="1"/>
      </c>
      <c r="GR250">
        <f ca="1"/>
      </c>
      <c r="GS250">
        <f ca="1"/>
      </c>
      <c r="GT250">
        <f ca="1"/>
      </c>
      <c r="GU250">
        <f ca="1"/>
      </c>
      <c r="GV250">
        <f ca="1"/>
      </c>
      <c r="GW250">
        <f ca="1"/>
      </c>
      <c r="HI250" s="7"/>
    </row>
    <row r="251" spans="63:221" x14ac:dyDescent="0.55000000000000004">
      <c r="BK251">
        <f ca="1"/>
      </c>
      <c r="BL251">
        <f ca="1"/>
      </c>
      <c r="BM251">
        <f ca="1"/>
      </c>
      <c r="BN251">
        <f ca="1"/>
      </c>
      <c r="BO251">
        <f ca="1"/>
      </c>
      <c r="BP251">
        <f ca="1"/>
      </c>
      <c r="BQ251">
        <f ca="1"/>
      </c>
      <c r="BR251">
        <f ca="1"/>
      </c>
      <c r="BS251">
        <f ca="1"/>
      </c>
      <c r="BT251">
        <f ca="1"/>
      </c>
      <c r="BU251">
        <f ca="1"/>
      </c>
      <c r="BV251">
        <f ca="1"/>
      </c>
      <c r="BW251">
        <f ca="1"/>
      </c>
      <c r="BX251">
        <f ca="1"/>
      </c>
      <c r="BY251">
        <f ca="1"/>
      </c>
      <c r="BZ251">
        <f ca="1"/>
      </c>
      <c r="CA251">
        <f ca="1"/>
      </c>
      <c r="CB251">
        <f ca="1"/>
      </c>
      <c r="CC251">
        <f ca="1"/>
      </c>
      <c r="CD251">
        <f ca="1"/>
      </c>
      <c r="CE251">
        <f ca="1"/>
      </c>
      <c r="CF251">
        <f ca="1"/>
      </c>
      <c r="CG251">
        <f ca="1"/>
      </c>
      <c r="CH251">
        <f ca="1"/>
      </c>
      <c r="CI251">
        <f ca="1"/>
      </c>
      <c r="CJ251">
        <f ca="1"/>
      </c>
      <c r="CK251">
        <f ca="1"/>
      </c>
      <c r="CL251">
        <f ca="1"/>
      </c>
      <c r="CM251">
        <f ca="1"/>
      </c>
      <c r="CN251">
        <f ca="1"/>
      </c>
      <c r="CO251">
        <f ca="1"/>
      </c>
      <c r="CP251">
        <f ca="1"/>
      </c>
      <c r="CQ251">
        <f ca="1"/>
      </c>
      <c r="CR251">
        <f ca="1"/>
      </c>
      <c r="CS251">
        <f ca="1"/>
      </c>
      <c r="CT251">
        <f ca="1"/>
      </c>
      <c r="CU251">
        <f ca="1"/>
      </c>
      <c r="CV251">
        <f ca="1"/>
      </c>
      <c r="CW251">
        <f ca="1"/>
      </c>
      <c r="CX251">
        <f ca="1"/>
      </c>
      <c r="CY251">
        <f ca="1"/>
      </c>
      <c r="CZ251">
        <f ca="1"/>
      </c>
      <c r="DA251">
        <f ca="1"/>
      </c>
      <c r="DB251">
        <f ca="1"/>
      </c>
      <c r="DC251">
        <f ca="1"/>
      </c>
      <c r="DD251">
        <f ca="1"/>
      </c>
      <c r="DE251">
        <f ca="1"/>
      </c>
      <c r="DG251">
        <f ca="1"/>
      </c>
      <c r="DH251">
        <f ca="1"/>
      </c>
      <c r="DI251">
        <f ca="1"/>
      </c>
      <c r="DJ251">
        <f ca="1"/>
      </c>
      <c r="DK251">
        <f ca="1"/>
      </c>
      <c r="DL251">
        <f ca="1"/>
      </c>
      <c r="DM251">
        <f ca="1"/>
      </c>
      <c r="DN251">
        <f ca="1"/>
      </c>
      <c r="DO251">
        <f ca="1"/>
      </c>
      <c r="DP251">
        <f ca="1"/>
      </c>
      <c r="DQ251">
        <f ca="1"/>
      </c>
      <c r="DR251">
        <f ca="1"/>
      </c>
      <c r="DS251">
        <f ca="1"/>
      </c>
      <c r="DT251">
        <f ca="1"/>
      </c>
      <c r="DU251">
        <f ca="1"/>
      </c>
      <c r="DV251">
        <f ca="1"/>
      </c>
      <c r="DW251">
        <f ca="1"/>
      </c>
      <c r="DX251">
        <f ca="1"/>
      </c>
      <c r="DY251">
        <f ca="1"/>
      </c>
      <c r="DZ251">
        <f ca="1"/>
      </c>
      <c r="EA251">
        <f ca="1"/>
      </c>
      <c r="EB251">
        <f ca="1"/>
      </c>
      <c r="EC251">
        <f ca="1"/>
      </c>
      <c r="ED251">
        <f ca="1"/>
      </c>
      <c r="EE251">
        <f ca="1"/>
      </c>
      <c r="EF251">
        <f ca="1"/>
      </c>
      <c r="EG251">
        <f ca="1"/>
      </c>
      <c r="EH251">
        <f ca="1"/>
      </c>
      <c r="EI251">
        <f ca="1"/>
      </c>
      <c r="EJ251">
        <f ca="1"/>
      </c>
      <c r="EK251">
        <f ca="1"/>
      </c>
      <c r="EL251">
        <f ca="1"/>
      </c>
      <c r="EM251">
        <f ca="1"/>
      </c>
      <c r="EN251">
        <f ca="1"/>
      </c>
      <c r="EO251">
        <f ca="1"/>
      </c>
      <c r="EP251">
        <f ca="1"/>
      </c>
      <c r="EQ251">
        <f ca="1"/>
      </c>
      <c r="ER251">
        <f ca="1"/>
      </c>
      <c r="ES251">
        <f ca="1"/>
      </c>
      <c r="ET251">
        <f ca="1"/>
      </c>
      <c r="EU251">
        <f ca="1"/>
      </c>
      <c r="EV251">
        <f ca="1"/>
      </c>
      <c r="EW251">
        <f ca="1"/>
      </c>
      <c r="EX251">
        <f ca="1"/>
      </c>
      <c r="EY251">
        <f ca="1"/>
      </c>
      <c r="EZ251">
        <f ca="1"/>
      </c>
      <c r="FA251">
        <f ca="1"/>
      </c>
      <c r="FC251">
        <f ca="1"/>
      </c>
      <c r="FD251">
        <f ca="1"/>
      </c>
      <c r="FE251">
        <f ca="1"/>
      </c>
      <c r="FF251">
        <f ca="1"/>
      </c>
      <c r="FG251">
        <f ca="1"/>
      </c>
      <c r="FH251">
        <f ca="1"/>
      </c>
      <c r="FI251">
        <f ca="1"/>
      </c>
      <c r="FJ251">
        <f ca="1"/>
      </c>
      <c r="FK251">
        <f ca="1"/>
      </c>
      <c r="FL251">
        <f ca="1"/>
      </c>
      <c r="FM251">
        <f ca="1"/>
      </c>
      <c r="FN251">
        <f ca="1"/>
      </c>
      <c r="FO251">
        <f ca="1"/>
      </c>
      <c r="FP251">
        <f ca="1"/>
      </c>
      <c r="FQ251">
        <f ca="1"/>
      </c>
      <c r="FR251">
        <f ca="1"/>
      </c>
      <c r="FS251">
        <f ca="1"/>
      </c>
      <c r="FT251">
        <f ca="1"/>
      </c>
      <c r="FU251">
        <f ca="1"/>
      </c>
      <c r="FV251">
        <f ca="1"/>
      </c>
      <c r="FW251">
        <f ca="1"/>
      </c>
      <c r="FX251">
        <f ca="1"/>
      </c>
      <c r="FY251">
        <f ca="1"/>
      </c>
      <c r="FZ251">
        <f ca="1"/>
      </c>
      <c r="GA251">
        <f ca="1"/>
      </c>
      <c r="GB251">
        <f ca="1"/>
      </c>
      <c r="GC251">
        <f ca="1"/>
      </c>
      <c r="GD251">
        <f ca="1"/>
      </c>
      <c r="GE251">
        <f ca="1"/>
      </c>
      <c r="GF251">
        <f ca="1"/>
      </c>
      <c r="GG251">
        <f ca="1"/>
      </c>
      <c r="GH251">
        <f ca="1"/>
      </c>
      <c r="GI251">
        <f ca="1"/>
      </c>
      <c r="GJ251">
        <f ca="1"/>
      </c>
      <c r="GK251">
        <f ca="1"/>
      </c>
      <c r="GL251">
        <f ca="1"/>
      </c>
      <c r="GM251">
        <f ca="1"/>
      </c>
      <c r="GN251">
        <f ca="1"/>
      </c>
      <c r="GO251">
        <f ca="1"/>
      </c>
      <c r="GP251">
        <f ca="1"/>
      </c>
      <c r="GQ251">
        <f ca="1"/>
      </c>
      <c r="GR251">
        <f ca="1"/>
      </c>
      <c r="GS251">
        <f ca="1"/>
      </c>
      <c r="GT251">
        <f ca="1"/>
      </c>
      <c r="GU251">
        <f ca="1"/>
      </c>
      <c r="GV251">
        <f ca="1"/>
      </c>
      <c r="GW251">
        <f ca="1"/>
      </c>
      <c r="HI251" s="7"/>
    </row>
    <row r="252" spans="63:221" x14ac:dyDescent="0.55000000000000004">
      <c r="BK252">
        <f ca="1"/>
      </c>
      <c r="BL252">
        <f ca="1"/>
      </c>
      <c r="BM252">
        <f ca="1"/>
      </c>
      <c r="BN252">
        <f ca="1"/>
      </c>
      <c r="BO252">
        <f ca="1"/>
      </c>
      <c r="BP252">
        <f ca="1"/>
      </c>
      <c r="BQ252">
        <f ca="1"/>
      </c>
      <c r="BR252">
        <f ca="1"/>
      </c>
      <c r="BS252">
        <f ca="1"/>
      </c>
      <c r="BT252">
        <f ca="1"/>
      </c>
      <c r="BU252">
        <f ca="1"/>
      </c>
      <c r="BV252">
        <f ca="1"/>
      </c>
      <c r="BW252">
        <f ca="1"/>
      </c>
      <c r="BX252">
        <f ca="1"/>
      </c>
      <c r="BY252">
        <f ca="1"/>
      </c>
      <c r="BZ252">
        <f ca="1"/>
      </c>
      <c r="CA252">
        <f ca="1"/>
      </c>
      <c r="CB252">
        <f ca="1"/>
      </c>
      <c r="CC252">
        <f ca="1"/>
      </c>
      <c r="CD252">
        <f ca="1"/>
      </c>
      <c r="CE252">
        <f ca="1"/>
      </c>
      <c r="CF252">
        <f ca="1"/>
      </c>
      <c r="CG252">
        <f ca="1"/>
      </c>
      <c r="CH252">
        <f ca="1"/>
      </c>
      <c r="CI252">
        <f ca="1"/>
      </c>
      <c r="CJ252">
        <f ca="1"/>
      </c>
      <c r="CK252">
        <f ca="1"/>
      </c>
      <c r="CL252">
        <f ca="1"/>
      </c>
      <c r="CM252">
        <f ca="1"/>
      </c>
      <c r="CN252">
        <f ca="1"/>
      </c>
      <c r="CO252">
        <f ca="1"/>
      </c>
      <c r="CP252">
        <f ca="1"/>
      </c>
      <c r="CQ252">
        <f ca="1"/>
      </c>
      <c r="CR252">
        <f ca="1"/>
      </c>
      <c r="CS252">
        <f ca="1"/>
      </c>
      <c r="CT252">
        <f ca="1"/>
      </c>
      <c r="CU252">
        <f ca="1"/>
      </c>
      <c r="CV252">
        <f ca="1"/>
      </c>
      <c r="CW252">
        <f ca="1"/>
      </c>
      <c r="CX252">
        <f ca="1"/>
      </c>
      <c r="CY252">
        <f ca="1"/>
      </c>
      <c r="CZ252">
        <f ca="1"/>
      </c>
      <c r="DA252">
        <f ca="1"/>
      </c>
      <c r="DB252">
        <f ca="1"/>
      </c>
      <c r="DC252">
        <f ca="1"/>
      </c>
      <c r="DD252">
        <f ca="1"/>
      </c>
      <c r="DE252">
        <f ca="1"/>
      </c>
      <c r="DG252">
        <f ca="1"/>
      </c>
      <c r="DH252">
        <f ca="1"/>
      </c>
      <c r="DI252">
        <f ca="1"/>
      </c>
      <c r="DJ252">
        <f ca="1"/>
      </c>
      <c r="DK252">
        <f ca="1"/>
      </c>
      <c r="DL252">
        <f ca="1"/>
      </c>
      <c r="DM252">
        <f ca="1"/>
      </c>
      <c r="DN252">
        <f ca="1"/>
      </c>
      <c r="DO252">
        <f ca="1"/>
      </c>
      <c r="DP252">
        <f ca="1"/>
      </c>
      <c r="DQ252">
        <f ca="1"/>
      </c>
      <c r="DR252">
        <f ca="1"/>
      </c>
      <c r="DS252">
        <f ca="1"/>
      </c>
      <c r="DT252">
        <f ca="1"/>
      </c>
      <c r="DU252">
        <f ca="1"/>
      </c>
      <c r="DV252">
        <f ca="1"/>
      </c>
      <c r="DW252">
        <f ca="1"/>
      </c>
      <c r="DX252">
        <f ca="1"/>
      </c>
      <c r="DY252">
        <f ca="1"/>
      </c>
      <c r="DZ252">
        <f ca="1"/>
      </c>
      <c r="EA252">
        <f ca="1"/>
      </c>
      <c r="EB252">
        <f ca="1"/>
      </c>
      <c r="EC252">
        <f ca="1"/>
      </c>
      <c r="ED252">
        <f ca="1"/>
      </c>
      <c r="EE252">
        <f ca="1"/>
      </c>
      <c r="EF252">
        <f ca="1"/>
      </c>
      <c r="EG252">
        <f ca="1"/>
      </c>
      <c r="EH252">
        <f ca="1"/>
      </c>
      <c r="EI252">
        <f ca="1"/>
      </c>
      <c r="EJ252">
        <f ca="1"/>
      </c>
      <c r="EK252">
        <f ca="1"/>
      </c>
      <c r="EL252">
        <f ca="1"/>
      </c>
      <c r="EM252">
        <f ca="1"/>
      </c>
      <c r="EN252">
        <f ca="1"/>
      </c>
      <c r="EO252">
        <f ca="1"/>
      </c>
      <c r="EP252">
        <f ca="1"/>
      </c>
      <c r="EQ252">
        <f ca="1"/>
      </c>
      <c r="ER252">
        <f ca="1"/>
      </c>
      <c r="ES252">
        <f ca="1"/>
      </c>
      <c r="ET252">
        <f ca="1"/>
      </c>
      <c r="EU252">
        <f ca="1"/>
      </c>
      <c r="EV252">
        <f ca="1"/>
      </c>
      <c r="EW252">
        <f ca="1"/>
      </c>
      <c r="EX252">
        <f ca="1"/>
      </c>
      <c r="EY252">
        <f ca="1"/>
      </c>
      <c r="EZ252">
        <f ca="1"/>
      </c>
      <c r="FA252">
        <f ca="1"/>
      </c>
      <c r="FC252">
        <f ca="1"/>
      </c>
      <c r="FD252">
        <f ca="1"/>
      </c>
      <c r="FE252">
        <f ca="1"/>
      </c>
      <c r="FF252">
        <f ca="1"/>
      </c>
      <c r="FG252">
        <f ca="1"/>
      </c>
      <c r="FH252">
        <f ca="1"/>
      </c>
      <c r="FI252">
        <f ca="1"/>
      </c>
      <c r="FJ252">
        <f ca="1"/>
      </c>
      <c r="FK252">
        <f ca="1"/>
      </c>
      <c r="FL252">
        <f ca="1"/>
      </c>
      <c r="FM252">
        <f ca="1"/>
      </c>
      <c r="FN252">
        <f ca="1"/>
      </c>
      <c r="FO252">
        <f ca="1"/>
      </c>
      <c r="FP252">
        <f ca="1"/>
      </c>
      <c r="FQ252">
        <f ca="1"/>
      </c>
      <c r="FR252">
        <f ca="1"/>
      </c>
      <c r="FS252">
        <f ca="1"/>
      </c>
      <c r="FT252">
        <f ca="1"/>
      </c>
      <c r="FU252">
        <f ca="1"/>
      </c>
      <c r="FV252">
        <f ca="1"/>
      </c>
      <c r="FW252">
        <f ca="1"/>
      </c>
      <c r="FX252">
        <f ca="1"/>
      </c>
      <c r="FY252">
        <f ca="1"/>
      </c>
      <c r="FZ252">
        <f ca="1"/>
      </c>
      <c r="GA252">
        <f ca="1"/>
      </c>
      <c r="GB252">
        <f ca="1"/>
      </c>
      <c r="GC252">
        <f ca="1"/>
      </c>
      <c r="GD252">
        <f ca="1"/>
      </c>
      <c r="GE252">
        <f ca="1"/>
      </c>
      <c r="GF252">
        <f ca="1"/>
      </c>
      <c r="GG252">
        <f ca="1"/>
      </c>
      <c r="GH252">
        <f ca="1"/>
      </c>
      <c r="GI252">
        <f ca="1"/>
      </c>
      <c r="GJ252">
        <f ca="1"/>
      </c>
      <c r="GK252">
        <f ca="1"/>
      </c>
      <c r="GL252">
        <f ca="1"/>
      </c>
      <c r="GM252">
        <f ca="1"/>
      </c>
      <c r="GN252">
        <f ca="1"/>
      </c>
      <c r="GO252">
        <f ca="1"/>
      </c>
      <c r="GP252">
        <f ca="1"/>
      </c>
      <c r="GQ252">
        <f ca="1"/>
      </c>
      <c r="GR252">
        <f ca="1"/>
      </c>
      <c r="GS252">
        <f ca="1"/>
      </c>
      <c r="GT252">
        <f ca="1"/>
      </c>
      <c r="GU252">
        <f ca="1"/>
      </c>
      <c r="GV252">
        <f ca="1"/>
      </c>
      <c r="GW252">
        <f ca="1"/>
      </c>
      <c r="HI252" s="7"/>
    </row>
    <row r="253" spans="63:221" x14ac:dyDescent="0.55000000000000004">
      <c r="BK253">
        <f ca="1"/>
      </c>
      <c r="BL253">
        <f ca="1"/>
      </c>
      <c r="BM253">
        <f ca="1"/>
      </c>
      <c r="BN253">
        <f ca="1"/>
      </c>
      <c r="BO253">
        <f ca="1"/>
      </c>
      <c r="BP253">
        <f ca="1"/>
      </c>
      <c r="BQ253">
        <f ca="1"/>
      </c>
      <c r="BR253">
        <f ca="1"/>
      </c>
      <c r="BS253">
        <f ca="1"/>
      </c>
      <c r="BT253">
        <f ca="1"/>
      </c>
      <c r="BU253">
        <f ca="1"/>
      </c>
      <c r="BV253">
        <f ca="1"/>
      </c>
      <c r="BW253">
        <f ca="1"/>
      </c>
      <c r="BX253">
        <f ca="1"/>
      </c>
      <c r="BY253">
        <f ca="1"/>
      </c>
      <c r="BZ253">
        <f ca="1"/>
      </c>
      <c r="CA253">
        <f ca="1"/>
      </c>
      <c r="CB253">
        <f ca="1"/>
      </c>
      <c r="CC253">
        <f ca="1"/>
      </c>
      <c r="CD253">
        <f ca="1"/>
      </c>
      <c r="CE253">
        <f ca="1"/>
      </c>
      <c r="CF253">
        <f ca="1"/>
      </c>
      <c r="CG253">
        <f ca="1"/>
      </c>
      <c r="CH253">
        <f ca="1"/>
      </c>
      <c r="CI253">
        <f ca="1"/>
      </c>
      <c r="CJ253">
        <f ca="1"/>
      </c>
      <c r="CK253">
        <f ca="1"/>
      </c>
      <c r="CL253">
        <f ca="1"/>
      </c>
      <c r="CM253">
        <f ca="1"/>
      </c>
      <c r="CN253">
        <f ca="1"/>
      </c>
      <c r="CO253">
        <f ca="1"/>
      </c>
      <c r="CP253">
        <f ca="1"/>
      </c>
      <c r="CQ253">
        <f ca="1"/>
      </c>
      <c r="CR253">
        <f ca="1"/>
      </c>
      <c r="CS253">
        <f ca="1"/>
      </c>
      <c r="CT253">
        <f ca="1"/>
      </c>
      <c r="CU253">
        <f ca="1"/>
      </c>
      <c r="CV253">
        <f ca="1"/>
      </c>
      <c r="CW253">
        <f ca="1"/>
      </c>
      <c r="CX253">
        <f ca="1"/>
      </c>
      <c r="CY253">
        <f ca="1"/>
      </c>
      <c r="CZ253">
        <f ca="1"/>
      </c>
      <c r="DA253">
        <f ca="1"/>
      </c>
      <c r="DB253">
        <f ca="1"/>
      </c>
      <c r="DC253">
        <f ca="1"/>
      </c>
      <c r="DD253">
        <f ca="1"/>
      </c>
      <c r="DE253">
        <f ca="1"/>
      </c>
      <c r="DG253">
        <f ca="1"/>
      </c>
      <c r="DH253">
        <f ca="1"/>
      </c>
      <c r="DI253">
        <f ca="1"/>
      </c>
      <c r="DJ253">
        <f ca="1"/>
      </c>
      <c r="DK253">
        <f ca="1"/>
      </c>
      <c r="DL253">
        <f ca="1"/>
      </c>
      <c r="DM253">
        <f ca="1"/>
      </c>
      <c r="DN253">
        <f ca="1"/>
      </c>
      <c r="DO253">
        <f ca="1"/>
      </c>
      <c r="DP253">
        <f ca="1"/>
      </c>
      <c r="DQ253">
        <f ca="1"/>
      </c>
      <c r="DR253">
        <f ca="1"/>
      </c>
      <c r="DS253">
        <f ca="1"/>
      </c>
      <c r="DT253">
        <f ca="1"/>
      </c>
      <c r="DU253">
        <f ca="1"/>
      </c>
      <c r="DV253">
        <f ca="1"/>
      </c>
      <c r="DW253">
        <f ca="1"/>
      </c>
      <c r="DX253">
        <f ca="1"/>
      </c>
      <c r="DY253">
        <f ca="1"/>
      </c>
      <c r="DZ253">
        <f ca="1"/>
      </c>
      <c r="EA253">
        <f ca="1"/>
      </c>
      <c r="EB253">
        <f ca="1"/>
      </c>
      <c r="EC253">
        <f ca="1"/>
      </c>
      <c r="ED253">
        <f ca="1"/>
      </c>
      <c r="EE253">
        <f ca="1"/>
      </c>
      <c r="EF253">
        <f ca="1"/>
      </c>
      <c r="EG253">
        <f ca="1"/>
      </c>
      <c r="EH253">
        <f ca="1"/>
      </c>
      <c r="EI253">
        <f ca="1"/>
      </c>
      <c r="EJ253">
        <f ca="1"/>
      </c>
      <c r="EK253">
        <f ca="1"/>
      </c>
      <c r="EL253">
        <f ca="1"/>
      </c>
      <c r="EM253">
        <f ca="1"/>
      </c>
      <c r="EN253">
        <f ca="1"/>
      </c>
      <c r="EO253">
        <f ca="1"/>
      </c>
      <c r="EP253">
        <f ca="1"/>
      </c>
      <c r="EQ253">
        <f ca="1"/>
      </c>
      <c r="ER253">
        <f ca="1"/>
      </c>
      <c r="ES253">
        <f ca="1"/>
      </c>
      <c r="ET253">
        <f ca="1"/>
      </c>
      <c r="EU253">
        <f ca="1"/>
      </c>
      <c r="EV253">
        <f ca="1"/>
      </c>
      <c r="EW253">
        <f ca="1"/>
      </c>
      <c r="EX253">
        <f ca="1"/>
      </c>
      <c r="EY253">
        <f ca="1"/>
      </c>
      <c r="EZ253">
        <f ca="1"/>
      </c>
      <c r="FA253">
        <f ca="1"/>
      </c>
      <c r="FC253">
        <f ca="1"/>
      </c>
      <c r="FD253">
        <f ca="1"/>
      </c>
      <c r="FE253">
        <f ca="1"/>
      </c>
      <c r="FF253">
        <f ca="1"/>
      </c>
      <c r="FG253">
        <f ca="1"/>
      </c>
      <c r="FH253">
        <f ca="1"/>
      </c>
      <c r="FI253">
        <f ca="1"/>
      </c>
      <c r="FJ253">
        <f ca="1"/>
      </c>
      <c r="FK253">
        <f ca="1"/>
      </c>
      <c r="FL253">
        <f ca="1"/>
      </c>
      <c r="FM253">
        <f ca="1"/>
      </c>
      <c r="FN253">
        <f ca="1"/>
      </c>
      <c r="FO253">
        <f ca="1"/>
      </c>
      <c r="FP253">
        <f ca="1"/>
      </c>
      <c r="FQ253">
        <f ca="1"/>
      </c>
      <c r="FR253">
        <f ca="1"/>
      </c>
      <c r="FS253">
        <f ca="1"/>
      </c>
      <c r="FT253">
        <f ca="1"/>
      </c>
      <c r="FU253">
        <f ca="1"/>
      </c>
      <c r="FV253">
        <f ca="1"/>
      </c>
      <c r="FW253">
        <f ca="1"/>
      </c>
      <c r="FX253">
        <f ca="1"/>
      </c>
      <c r="FY253">
        <f ca="1"/>
      </c>
      <c r="FZ253">
        <f ca="1"/>
      </c>
      <c r="GA253">
        <f ca="1"/>
      </c>
      <c r="GB253">
        <f ca="1"/>
      </c>
      <c r="GC253">
        <f ca="1"/>
      </c>
      <c r="GD253">
        <f ca="1"/>
      </c>
      <c r="GE253">
        <f ca="1"/>
      </c>
      <c r="GF253">
        <f ca="1"/>
      </c>
      <c r="GG253">
        <f ca="1"/>
      </c>
      <c r="GH253">
        <f ca="1"/>
      </c>
      <c r="GI253">
        <f ca="1"/>
      </c>
      <c r="GJ253">
        <f ca="1"/>
      </c>
      <c r="GK253">
        <f ca="1"/>
      </c>
      <c r="GL253">
        <f ca="1"/>
      </c>
      <c r="GM253">
        <f ca="1"/>
      </c>
      <c r="GN253">
        <f ca="1"/>
      </c>
      <c r="GO253">
        <f ca="1"/>
      </c>
      <c r="GP253">
        <f ca="1"/>
      </c>
      <c r="GQ253">
        <f ca="1"/>
      </c>
      <c r="GR253">
        <f ca="1"/>
      </c>
      <c r="GS253">
        <f ca="1"/>
      </c>
      <c r="GT253">
        <f ca="1"/>
      </c>
      <c r="GU253">
        <f ca="1"/>
      </c>
      <c r="GV253">
        <f ca="1"/>
      </c>
      <c r="GW253">
        <f ca="1"/>
      </c>
      <c r="HI253" s="7"/>
    </row>
    <row r="254" spans="63:221" x14ac:dyDescent="0.55000000000000004">
      <c r="BK254">
        <f ca="1"/>
      </c>
      <c r="BL254">
        <f ca="1"/>
      </c>
      <c r="BM254">
        <f ca="1"/>
      </c>
      <c r="BN254">
        <f ca="1"/>
      </c>
      <c r="BO254">
        <f ca="1"/>
      </c>
      <c r="BP254">
        <f ca="1"/>
      </c>
      <c r="BQ254">
        <f ca="1"/>
      </c>
      <c r="BR254">
        <f ca="1"/>
      </c>
      <c r="BS254">
        <f ca="1"/>
      </c>
      <c r="BT254">
        <f ca="1"/>
      </c>
      <c r="BU254">
        <f ca="1"/>
      </c>
      <c r="BV254">
        <f ca="1"/>
      </c>
      <c r="BW254">
        <f ca="1"/>
      </c>
      <c r="BX254">
        <f ca="1"/>
      </c>
      <c r="BY254">
        <f ca="1"/>
      </c>
      <c r="BZ254">
        <f ca="1"/>
      </c>
      <c r="CA254">
        <f ca="1"/>
      </c>
      <c r="CB254">
        <f ca="1"/>
      </c>
      <c r="CC254">
        <f ca="1"/>
      </c>
      <c r="CD254">
        <f ca="1"/>
      </c>
      <c r="CE254">
        <f ca="1"/>
      </c>
      <c r="CF254">
        <f ca="1"/>
      </c>
      <c r="CG254">
        <f ca="1"/>
      </c>
      <c r="CH254">
        <f ca="1"/>
      </c>
      <c r="CI254">
        <f ca="1"/>
      </c>
      <c r="CJ254">
        <f ca="1"/>
      </c>
      <c r="CK254">
        <f ca="1"/>
      </c>
      <c r="CL254">
        <f ca="1"/>
      </c>
      <c r="CM254">
        <f ca="1"/>
      </c>
      <c r="CN254">
        <f ca="1"/>
      </c>
      <c r="CO254">
        <f ca="1"/>
      </c>
      <c r="CP254">
        <f ca="1"/>
      </c>
      <c r="CQ254">
        <f ca="1"/>
      </c>
      <c r="CR254">
        <f ca="1"/>
      </c>
      <c r="CS254">
        <f ca="1"/>
      </c>
      <c r="CT254">
        <f ca="1"/>
      </c>
      <c r="CU254">
        <f ca="1"/>
      </c>
      <c r="CV254">
        <f ca="1"/>
      </c>
      <c r="CW254">
        <f ca="1"/>
      </c>
      <c r="CX254">
        <f ca="1"/>
      </c>
      <c r="CY254">
        <f ca="1"/>
      </c>
      <c r="CZ254">
        <f ca="1"/>
      </c>
      <c r="DA254">
        <f ca="1"/>
      </c>
      <c r="DB254">
        <f ca="1"/>
      </c>
      <c r="DC254">
        <f ca="1"/>
      </c>
      <c r="DD254">
        <f ca="1"/>
      </c>
      <c r="DE254">
        <f ca="1"/>
      </c>
      <c r="DG254">
        <f ca="1"/>
      </c>
      <c r="DH254">
        <f ca="1"/>
      </c>
      <c r="DI254">
        <f ca="1"/>
      </c>
      <c r="DJ254">
        <f ca="1"/>
      </c>
      <c r="DK254">
        <f ca="1"/>
      </c>
      <c r="DL254">
        <f ca="1"/>
      </c>
      <c r="DM254">
        <f ca="1"/>
      </c>
      <c r="DN254">
        <f ca="1"/>
      </c>
      <c r="DO254">
        <f ca="1"/>
      </c>
      <c r="DP254">
        <f ca="1"/>
      </c>
      <c r="DQ254">
        <f ca="1"/>
      </c>
      <c r="DR254">
        <f ca="1"/>
      </c>
      <c r="DS254">
        <f ca="1"/>
      </c>
      <c r="DT254">
        <f ca="1"/>
      </c>
      <c r="DU254">
        <f ca="1"/>
      </c>
      <c r="DV254">
        <f ca="1"/>
      </c>
      <c r="DW254">
        <f ca="1"/>
      </c>
      <c r="DX254">
        <f ca="1"/>
      </c>
      <c r="DY254">
        <f ca="1"/>
      </c>
      <c r="DZ254">
        <f ca="1"/>
      </c>
      <c r="EA254">
        <f ca="1"/>
      </c>
      <c r="EB254">
        <f ca="1"/>
      </c>
      <c r="EC254">
        <f ca="1"/>
      </c>
      <c r="ED254">
        <f ca="1"/>
      </c>
      <c r="EE254">
        <f ca="1"/>
      </c>
      <c r="EF254">
        <f ca="1"/>
      </c>
      <c r="EG254">
        <f ca="1"/>
      </c>
      <c r="EH254">
        <f ca="1"/>
      </c>
      <c r="EI254">
        <f ca="1"/>
      </c>
      <c r="EJ254">
        <f ca="1"/>
      </c>
      <c r="EK254">
        <f ca="1"/>
      </c>
      <c r="EL254">
        <f ca="1"/>
      </c>
      <c r="EM254">
        <f ca="1"/>
      </c>
      <c r="EN254">
        <f ca="1"/>
      </c>
      <c r="EO254">
        <f ca="1"/>
      </c>
      <c r="EP254">
        <f ca="1"/>
      </c>
      <c r="EQ254">
        <f ca="1"/>
      </c>
      <c r="ER254">
        <f ca="1"/>
      </c>
      <c r="ES254">
        <f ca="1"/>
      </c>
      <c r="ET254">
        <f ca="1"/>
      </c>
      <c r="EU254">
        <f ca="1"/>
      </c>
      <c r="EV254">
        <f ca="1"/>
      </c>
      <c r="EW254">
        <f ca="1"/>
      </c>
      <c r="EX254">
        <f ca="1"/>
      </c>
      <c r="EY254">
        <f ca="1"/>
      </c>
      <c r="EZ254">
        <f ca="1"/>
      </c>
      <c r="FA254">
        <f ca="1"/>
      </c>
      <c r="FC254">
        <f ca="1"/>
      </c>
      <c r="FD254">
        <f ca="1"/>
      </c>
      <c r="FE254">
        <f ca="1"/>
      </c>
      <c r="FF254">
        <f ca="1"/>
      </c>
      <c r="FG254">
        <f ca="1"/>
      </c>
      <c r="FH254">
        <f ca="1"/>
      </c>
      <c r="FI254">
        <f ca="1"/>
      </c>
      <c r="FJ254">
        <f ca="1"/>
      </c>
      <c r="FK254">
        <f ca="1"/>
      </c>
      <c r="FL254">
        <f ca="1"/>
      </c>
      <c r="FM254">
        <f ca="1"/>
      </c>
      <c r="FN254">
        <f ca="1"/>
      </c>
      <c r="FO254">
        <f ca="1"/>
      </c>
      <c r="FP254">
        <f ca="1"/>
      </c>
      <c r="FQ254">
        <f ca="1"/>
      </c>
      <c r="FR254">
        <f ca="1"/>
      </c>
      <c r="FS254">
        <f ca="1"/>
      </c>
      <c r="FT254">
        <f ca="1"/>
      </c>
      <c r="FU254">
        <f ca="1"/>
      </c>
      <c r="FV254">
        <f ca="1"/>
      </c>
      <c r="FW254">
        <f ca="1"/>
      </c>
      <c r="FX254">
        <f ca="1"/>
      </c>
      <c r="FY254">
        <f ca="1"/>
      </c>
      <c r="FZ254">
        <f ca="1"/>
      </c>
      <c r="GA254">
        <f ca="1"/>
      </c>
      <c r="GB254">
        <f ca="1"/>
      </c>
      <c r="GC254">
        <f ca="1"/>
      </c>
      <c r="GD254">
        <f ca="1"/>
      </c>
      <c r="GE254">
        <f ca="1"/>
      </c>
      <c r="GF254">
        <f ca="1"/>
      </c>
      <c r="GG254">
        <f ca="1"/>
      </c>
      <c r="GH254">
        <f ca="1"/>
      </c>
      <c r="GI254">
        <f ca="1"/>
      </c>
      <c r="GJ254">
        <f ca="1"/>
      </c>
      <c r="GK254">
        <f ca="1"/>
      </c>
      <c r="GL254">
        <f ca="1"/>
      </c>
      <c r="GM254">
        <f ca="1"/>
      </c>
      <c r="GN254">
        <f ca="1"/>
      </c>
      <c r="GO254">
        <f ca="1"/>
      </c>
      <c r="GP254">
        <f ca="1"/>
      </c>
      <c r="GQ254">
        <f ca="1"/>
      </c>
      <c r="GR254">
        <f ca="1"/>
      </c>
      <c r="GS254">
        <f ca="1"/>
      </c>
      <c r="GT254">
        <f ca="1"/>
      </c>
      <c r="GU254">
        <f ca="1"/>
      </c>
      <c r="GV254">
        <f ca="1"/>
      </c>
      <c r="GW254">
        <f ca="1"/>
      </c>
      <c r="HI254" s="7"/>
    </row>
    <row r="255" spans="63:221" x14ac:dyDescent="0.55000000000000004">
      <c r="BK255">
        <f ca="1"/>
      </c>
      <c r="BL255">
        <f ca="1"/>
      </c>
      <c r="BM255">
        <f ca="1"/>
      </c>
      <c r="BN255">
        <f ca="1"/>
      </c>
      <c r="BO255">
        <f ca="1"/>
      </c>
      <c r="BP255">
        <f ca="1"/>
      </c>
      <c r="BQ255">
        <f ca="1"/>
      </c>
      <c r="BR255">
        <f ca="1"/>
      </c>
      <c r="BS255">
        <f ca="1"/>
      </c>
      <c r="BT255">
        <f ca="1"/>
      </c>
      <c r="BU255">
        <f ca="1"/>
      </c>
      <c r="BV255">
        <f ca="1"/>
      </c>
      <c r="BW255">
        <f ca="1"/>
      </c>
      <c r="BX255">
        <f ca="1"/>
      </c>
      <c r="BY255">
        <f ca="1"/>
      </c>
      <c r="BZ255">
        <f ca="1"/>
      </c>
      <c r="CA255">
        <f ca="1"/>
      </c>
      <c r="CB255">
        <f ca="1"/>
      </c>
      <c r="CC255">
        <f ca="1"/>
      </c>
      <c r="CD255">
        <f ca="1"/>
      </c>
      <c r="CE255">
        <f ca="1"/>
      </c>
      <c r="CF255">
        <f ca="1"/>
      </c>
      <c r="CG255">
        <f ca="1"/>
      </c>
      <c r="CH255">
        <f ca="1"/>
      </c>
      <c r="CI255">
        <f ca="1"/>
      </c>
      <c r="CJ255">
        <f ca="1"/>
      </c>
      <c r="CK255">
        <f ca="1"/>
      </c>
      <c r="CL255">
        <f ca="1"/>
      </c>
      <c r="CM255">
        <f ca="1"/>
      </c>
      <c r="CN255">
        <f ca="1"/>
      </c>
      <c r="CO255">
        <f ca="1"/>
      </c>
      <c r="CP255">
        <f ca="1"/>
      </c>
      <c r="CQ255">
        <f ca="1"/>
      </c>
      <c r="CR255">
        <f ca="1"/>
      </c>
      <c r="CS255">
        <f ca="1"/>
      </c>
      <c r="CT255">
        <f ca="1"/>
      </c>
      <c r="CU255">
        <f ca="1"/>
      </c>
      <c r="CV255">
        <f ca="1"/>
      </c>
      <c r="CW255">
        <f ca="1"/>
      </c>
      <c r="CX255">
        <f ca="1"/>
      </c>
      <c r="CY255">
        <f ca="1"/>
      </c>
      <c r="CZ255">
        <f ca="1"/>
      </c>
      <c r="DA255">
        <f ca="1"/>
      </c>
      <c r="DB255">
        <f ca="1"/>
      </c>
      <c r="DC255">
        <f ca="1"/>
      </c>
      <c r="DD255">
        <f ca="1"/>
      </c>
      <c r="DE255">
        <f ca="1"/>
      </c>
      <c r="DG255">
        <f ca="1"/>
      </c>
      <c r="DH255">
        <f ca="1"/>
      </c>
      <c r="DI255">
        <f ca="1"/>
      </c>
      <c r="DJ255">
        <f ca="1"/>
      </c>
      <c r="DK255">
        <f ca="1"/>
      </c>
      <c r="DL255">
        <f ca="1"/>
      </c>
      <c r="DM255">
        <f ca="1"/>
      </c>
      <c r="DN255">
        <f ca="1"/>
      </c>
      <c r="DO255">
        <f ca="1"/>
      </c>
      <c r="DP255">
        <f ca="1"/>
      </c>
      <c r="DQ255">
        <f ca="1"/>
      </c>
      <c r="DR255">
        <f ca="1"/>
      </c>
      <c r="DS255">
        <f ca="1"/>
      </c>
      <c r="DT255">
        <f ca="1"/>
      </c>
      <c r="DU255">
        <f ca="1"/>
      </c>
      <c r="DV255">
        <f ca="1"/>
      </c>
      <c r="DW255">
        <f ca="1"/>
      </c>
      <c r="DX255">
        <f ca="1"/>
      </c>
      <c r="DY255">
        <f ca="1"/>
      </c>
      <c r="DZ255">
        <f ca="1"/>
      </c>
      <c r="EA255">
        <f ca="1"/>
      </c>
      <c r="EB255">
        <f ca="1"/>
      </c>
      <c r="EC255">
        <f ca="1"/>
      </c>
      <c r="ED255">
        <f ca="1"/>
      </c>
      <c r="EE255">
        <f ca="1"/>
      </c>
      <c r="EF255">
        <f ca="1"/>
      </c>
      <c r="EG255">
        <f ca="1"/>
      </c>
      <c r="EH255">
        <f ca="1"/>
      </c>
      <c r="EI255">
        <f ca="1"/>
      </c>
      <c r="EJ255">
        <f ca="1"/>
      </c>
      <c r="EK255">
        <f ca="1"/>
      </c>
      <c r="EL255">
        <f ca="1"/>
      </c>
      <c r="EM255">
        <f ca="1"/>
      </c>
      <c r="EN255">
        <f ca="1"/>
      </c>
      <c r="EO255">
        <f ca="1"/>
      </c>
      <c r="EP255">
        <f ca="1"/>
      </c>
      <c r="EQ255">
        <f ca="1"/>
      </c>
      <c r="ER255">
        <f ca="1"/>
      </c>
      <c r="ES255">
        <f ca="1"/>
      </c>
      <c r="ET255">
        <f ca="1"/>
      </c>
      <c r="EU255">
        <f ca="1"/>
      </c>
      <c r="EV255">
        <f ca="1"/>
      </c>
      <c r="EW255">
        <f ca="1"/>
      </c>
      <c r="EX255">
        <f ca="1"/>
      </c>
      <c r="EY255">
        <f ca="1"/>
      </c>
      <c r="EZ255">
        <f ca="1"/>
      </c>
      <c r="FA255">
        <f ca="1"/>
      </c>
      <c r="FC255">
        <f ca="1"/>
      </c>
      <c r="FD255">
        <f ca="1"/>
      </c>
      <c r="FE255">
        <f ca="1"/>
      </c>
      <c r="FF255">
        <f ca="1"/>
      </c>
      <c r="FG255">
        <f ca="1"/>
      </c>
      <c r="FH255">
        <f ca="1"/>
      </c>
      <c r="FI255">
        <f ca="1"/>
      </c>
      <c r="FJ255">
        <f ca="1"/>
      </c>
      <c r="FK255">
        <f ca="1"/>
      </c>
      <c r="FL255">
        <f ca="1"/>
      </c>
      <c r="FM255">
        <f ca="1"/>
      </c>
      <c r="FN255">
        <f ca="1"/>
      </c>
      <c r="FO255">
        <f ca="1"/>
      </c>
      <c r="FP255">
        <f ca="1"/>
      </c>
      <c r="FQ255">
        <f ca="1"/>
      </c>
      <c r="FR255">
        <f ca="1"/>
      </c>
      <c r="FS255">
        <f ca="1"/>
      </c>
      <c r="FT255">
        <f ca="1"/>
      </c>
      <c r="FU255">
        <f ca="1"/>
      </c>
      <c r="FV255">
        <f ca="1"/>
      </c>
      <c r="FW255">
        <f ca="1"/>
      </c>
      <c r="FX255">
        <f ca="1"/>
      </c>
      <c r="FY255">
        <f ca="1"/>
      </c>
      <c r="FZ255">
        <f ca="1"/>
      </c>
      <c r="GA255">
        <f ca="1"/>
      </c>
      <c r="GB255">
        <f ca="1"/>
      </c>
      <c r="GC255">
        <f ca="1"/>
      </c>
      <c r="GD255">
        <f ca="1"/>
      </c>
      <c r="GE255">
        <f ca="1"/>
      </c>
      <c r="GF255">
        <f ca="1"/>
      </c>
      <c r="GG255">
        <f ca="1"/>
      </c>
      <c r="GH255">
        <f ca="1"/>
      </c>
      <c r="GI255">
        <f ca="1"/>
      </c>
      <c r="GJ255">
        <f ca="1"/>
      </c>
      <c r="GK255">
        <f ca="1"/>
      </c>
      <c r="GL255">
        <f ca="1"/>
      </c>
      <c r="GM255">
        <f ca="1"/>
      </c>
      <c r="GN255">
        <f ca="1"/>
      </c>
      <c r="GO255">
        <f ca="1"/>
      </c>
      <c r="GP255">
        <f ca="1"/>
      </c>
      <c r="GQ255">
        <f ca="1"/>
      </c>
      <c r="GR255">
        <f ca="1"/>
      </c>
      <c r="GS255">
        <f ca="1"/>
      </c>
      <c r="GT255">
        <f ca="1"/>
      </c>
      <c r="GU255">
        <f ca="1"/>
      </c>
      <c r="GV255">
        <f ca="1"/>
      </c>
      <c r="GW255">
        <f ca="1"/>
      </c>
      <c r="HI255" s="7"/>
    </row>
    <row r="256" spans="63:221" x14ac:dyDescent="0.55000000000000004">
      <c r="BK256">
        <f ca="1"/>
      </c>
      <c r="BL256">
        <f ca="1"/>
      </c>
      <c r="BM256">
        <f ca="1"/>
      </c>
      <c r="BN256">
        <f ca="1"/>
      </c>
      <c r="BO256">
        <f ca="1"/>
      </c>
      <c r="BP256">
        <f ca="1"/>
      </c>
      <c r="BQ256">
        <f ca="1"/>
      </c>
      <c r="BR256">
        <f ca="1"/>
      </c>
      <c r="BS256">
        <f ca="1"/>
      </c>
      <c r="BT256">
        <f ca="1"/>
      </c>
      <c r="BU256">
        <f ca="1"/>
      </c>
      <c r="BV256">
        <f ca="1"/>
      </c>
      <c r="BW256">
        <f ca="1"/>
      </c>
      <c r="BX256">
        <f ca="1"/>
      </c>
      <c r="BY256">
        <f ca="1"/>
      </c>
      <c r="BZ256">
        <f ca="1"/>
      </c>
      <c r="CA256">
        <f ca="1"/>
      </c>
      <c r="CB256">
        <f ca="1"/>
      </c>
      <c r="CC256">
        <f ca="1"/>
      </c>
      <c r="CD256">
        <f ca="1"/>
      </c>
      <c r="CE256">
        <f ca="1"/>
      </c>
      <c r="CF256">
        <f ca="1"/>
      </c>
      <c r="CG256">
        <f ca="1"/>
      </c>
      <c r="CH256">
        <f ca="1"/>
      </c>
      <c r="CI256">
        <f ca="1"/>
      </c>
      <c r="CJ256">
        <f ca="1"/>
      </c>
      <c r="CK256">
        <f ca="1"/>
      </c>
      <c r="CL256">
        <f ca="1"/>
      </c>
      <c r="CM256">
        <f ca="1"/>
      </c>
      <c r="CN256">
        <f ca="1"/>
      </c>
      <c r="CO256">
        <f ca="1"/>
      </c>
      <c r="CP256">
        <f ca="1"/>
      </c>
      <c r="CQ256">
        <f ca="1"/>
      </c>
      <c r="CR256">
        <f ca="1"/>
      </c>
      <c r="CS256">
        <f ca="1"/>
      </c>
      <c r="CT256">
        <f ca="1"/>
      </c>
      <c r="CU256">
        <f ca="1"/>
      </c>
      <c r="CV256">
        <f ca="1"/>
      </c>
      <c r="CW256">
        <f ca="1"/>
      </c>
      <c r="CX256">
        <f ca="1"/>
      </c>
      <c r="CY256">
        <f ca="1"/>
      </c>
      <c r="CZ256">
        <f ca="1"/>
      </c>
      <c r="DA256">
        <f ca="1"/>
      </c>
      <c r="DB256">
        <f ca="1"/>
      </c>
      <c r="DC256">
        <f ca="1"/>
      </c>
      <c r="DD256">
        <f ca="1"/>
      </c>
      <c r="DE256">
        <f ca="1"/>
      </c>
      <c r="DG256">
        <f ca="1"/>
      </c>
      <c r="DH256">
        <f ca="1"/>
      </c>
      <c r="DI256">
        <f ca="1"/>
      </c>
      <c r="DJ256">
        <f ca="1"/>
      </c>
      <c r="DK256">
        <f ca="1"/>
      </c>
      <c r="DL256">
        <f ca="1"/>
      </c>
      <c r="DM256">
        <f ca="1"/>
      </c>
      <c r="DN256">
        <f ca="1"/>
      </c>
      <c r="DO256">
        <f ca="1"/>
      </c>
      <c r="DP256">
        <f ca="1"/>
      </c>
      <c r="DQ256">
        <f ca="1"/>
      </c>
      <c r="DR256">
        <f ca="1"/>
      </c>
      <c r="DS256">
        <f ca="1"/>
      </c>
      <c r="DT256">
        <f ca="1"/>
      </c>
      <c r="DU256">
        <f ca="1"/>
      </c>
      <c r="DV256">
        <f ca="1"/>
      </c>
      <c r="DW256">
        <f ca="1"/>
      </c>
      <c r="DX256">
        <f ca="1"/>
      </c>
      <c r="DY256">
        <f ca="1"/>
      </c>
      <c r="DZ256">
        <f ca="1"/>
      </c>
      <c r="EA256">
        <f ca="1"/>
      </c>
      <c r="EB256">
        <f ca="1"/>
      </c>
      <c r="EC256">
        <f ca="1"/>
      </c>
      <c r="ED256">
        <f ca="1"/>
      </c>
      <c r="EE256">
        <f ca="1"/>
      </c>
      <c r="EF256">
        <f ca="1"/>
      </c>
      <c r="EG256">
        <f ca="1"/>
      </c>
      <c r="EH256">
        <f ca="1"/>
      </c>
      <c r="EI256">
        <f ca="1"/>
      </c>
      <c r="EJ256">
        <f ca="1"/>
      </c>
      <c r="EK256">
        <f ca="1"/>
      </c>
      <c r="EL256">
        <f ca="1"/>
      </c>
      <c r="EM256">
        <f ca="1"/>
      </c>
      <c r="EN256">
        <f ca="1"/>
      </c>
      <c r="EO256">
        <f ca="1"/>
      </c>
      <c r="EP256">
        <f ca="1"/>
      </c>
      <c r="EQ256">
        <f ca="1"/>
      </c>
      <c r="ER256">
        <f ca="1"/>
      </c>
      <c r="ES256">
        <f ca="1"/>
      </c>
      <c r="ET256">
        <f ca="1"/>
      </c>
      <c r="EU256">
        <f ca="1"/>
      </c>
      <c r="EV256">
        <f ca="1"/>
      </c>
      <c r="EW256">
        <f ca="1"/>
      </c>
      <c r="EX256">
        <f ca="1"/>
      </c>
      <c r="EY256">
        <f ca="1"/>
      </c>
      <c r="EZ256">
        <f ca="1"/>
      </c>
      <c r="FA256">
        <f ca="1"/>
      </c>
      <c r="FC256">
        <f ca="1"/>
      </c>
      <c r="FD256">
        <f ca="1"/>
      </c>
      <c r="FE256">
        <f ca="1"/>
      </c>
      <c r="FF256">
        <f ca="1"/>
      </c>
      <c r="FG256">
        <f ca="1"/>
      </c>
      <c r="FH256">
        <f ca="1"/>
      </c>
      <c r="FI256">
        <f ca="1"/>
      </c>
      <c r="FJ256">
        <f ca="1"/>
      </c>
      <c r="FK256">
        <f ca="1"/>
      </c>
      <c r="FL256">
        <f ca="1"/>
      </c>
      <c r="FM256">
        <f ca="1"/>
      </c>
      <c r="FN256">
        <f ca="1"/>
      </c>
      <c r="FO256">
        <f ca="1"/>
      </c>
      <c r="FP256">
        <f ca="1"/>
      </c>
      <c r="FQ256">
        <f ca="1"/>
      </c>
      <c r="FR256">
        <f ca="1"/>
      </c>
      <c r="FS256">
        <f ca="1"/>
      </c>
      <c r="FT256">
        <f ca="1"/>
      </c>
      <c r="FU256">
        <f ca="1"/>
      </c>
      <c r="FV256">
        <f ca="1"/>
      </c>
      <c r="FW256">
        <f ca="1"/>
      </c>
      <c r="FX256">
        <f ca="1"/>
      </c>
      <c r="FY256">
        <f ca="1"/>
      </c>
      <c r="FZ256">
        <f ca="1"/>
      </c>
      <c r="GA256">
        <f ca="1"/>
      </c>
      <c r="GB256">
        <f ca="1"/>
      </c>
      <c r="GC256">
        <f ca="1"/>
      </c>
      <c r="GD256">
        <f ca="1"/>
      </c>
      <c r="GE256">
        <f ca="1"/>
      </c>
      <c r="GF256">
        <f ca="1"/>
      </c>
      <c r="GG256">
        <f ca="1"/>
      </c>
      <c r="GH256">
        <f ca="1"/>
      </c>
      <c r="GI256">
        <f ca="1"/>
      </c>
      <c r="GJ256">
        <f ca="1"/>
      </c>
      <c r="GK256">
        <f ca="1"/>
      </c>
      <c r="GL256">
        <f ca="1"/>
      </c>
      <c r="GM256">
        <f ca="1"/>
      </c>
      <c r="GN256">
        <f ca="1"/>
      </c>
      <c r="GO256">
        <f ca="1"/>
      </c>
      <c r="GP256">
        <f ca="1"/>
      </c>
      <c r="GQ256">
        <f ca="1"/>
      </c>
      <c r="GR256">
        <f ca="1"/>
      </c>
      <c r="GS256">
        <f ca="1"/>
      </c>
      <c r="GT256">
        <f ca="1"/>
      </c>
      <c r="GU256">
        <f ca="1"/>
      </c>
      <c r="GV256">
        <f ca="1"/>
      </c>
      <c r="GW256">
        <f ca="1"/>
      </c>
      <c r="HI256" s="7"/>
    </row>
    <row r="257" spans="63:217" x14ac:dyDescent="0.55000000000000004">
      <c r="BK257">
        <f ca="1"/>
      </c>
      <c r="BL257">
        <f ca="1"/>
      </c>
      <c r="BM257">
        <f ca="1"/>
      </c>
      <c r="BN257">
        <f ca="1"/>
      </c>
      <c r="BO257">
        <f ca="1"/>
      </c>
      <c r="BP257">
        <f ca="1"/>
      </c>
      <c r="BQ257">
        <f ca="1"/>
      </c>
      <c r="BR257">
        <f ca="1"/>
      </c>
      <c r="BS257">
        <f ca="1"/>
      </c>
      <c r="BT257">
        <f ca="1"/>
      </c>
      <c r="BU257">
        <f ca="1"/>
      </c>
      <c r="BV257">
        <f ca="1"/>
      </c>
      <c r="BW257">
        <f ca="1"/>
      </c>
      <c r="BX257">
        <f ca="1"/>
      </c>
      <c r="BY257">
        <f ca="1"/>
      </c>
      <c r="BZ257">
        <f ca="1"/>
      </c>
      <c r="CA257">
        <f ca="1"/>
      </c>
      <c r="CB257">
        <f ca="1"/>
      </c>
      <c r="CC257">
        <f ca="1"/>
      </c>
      <c r="CD257">
        <f ca="1"/>
      </c>
      <c r="CE257">
        <f ca="1"/>
      </c>
      <c r="CF257">
        <f ca="1"/>
      </c>
      <c r="CG257">
        <f ca="1"/>
      </c>
      <c r="CH257">
        <f ca="1"/>
      </c>
      <c r="CI257">
        <f ca="1"/>
      </c>
      <c r="CJ257">
        <f ca="1"/>
      </c>
      <c r="CK257">
        <f ca="1"/>
      </c>
      <c r="CL257">
        <f ca="1"/>
      </c>
      <c r="CM257">
        <f ca="1"/>
      </c>
      <c r="CN257">
        <f ca="1"/>
      </c>
      <c r="CO257">
        <f ca="1"/>
      </c>
      <c r="CP257">
        <f ca="1"/>
      </c>
      <c r="CQ257">
        <f ca="1"/>
      </c>
      <c r="CR257">
        <f ca="1"/>
      </c>
      <c r="CS257">
        <f ca="1"/>
      </c>
      <c r="CT257">
        <f ca="1"/>
      </c>
      <c r="CU257">
        <f ca="1"/>
      </c>
      <c r="CV257">
        <f ca="1"/>
      </c>
      <c r="CW257">
        <f ca="1"/>
      </c>
      <c r="CX257">
        <f ca="1"/>
      </c>
      <c r="CY257">
        <f ca="1"/>
      </c>
      <c r="CZ257">
        <f ca="1"/>
      </c>
      <c r="DA257">
        <f ca="1"/>
      </c>
      <c r="DB257">
        <f ca="1"/>
      </c>
      <c r="DC257">
        <f ca="1"/>
      </c>
      <c r="DD257">
        <f ca="1"/>
      </c>
      <c r="DE257">
        <f ca="1"/>
      </c>
      <c r="DG257">
        <f ca="1"/>
      </c>
      <c r="DH257">
        <f ca="1"/>
      </c>
      <c r="DI257">
        <f ca="1"/>
      </c>
      <c r="DJ257">
        <f ca="1"/>
      </c>
      <c r="DK257">
        <f ca="1"/>
      </c>
      <c r="DL257">
        <f ca="1"/>
      </c>
      <c r="DM257">
        <f ca="1"/>
      </c>
      <c r="DN257">
        <f ca="1"/>
      </c>
      <c r="DO257">
        <f ca="1"/>
      </c>
      <c r="DP257">
        <f ca="1"/>
      </c>
      <c r="DQ257">
        <f ca="1"/>
      </c>
      <c r="DR257">
        <f ca="1"/>
      </c>
      <c r="DS257">
        <f ca="1"/>
      </c>
      <c r="DT257">
        <f ca="1"/>
      </c>
      <c r="DU257">
        <f ca="1"/>
      </c>
      <c r="DV257">
        <f ca="1"/>
      </c>
      <c r="DW257">
        <f ca="1"/>
      </c>
      <c r="DX257">
        <f ca="1"/>
      </c>
      <c r="DY257">
        <f ca="1"/>
      </c>
      <c r="DZ257">
        <f ca="1"/>
      </c>
      <c r="EA257">
        <f ca="1"/>
      </c>
      <c r="EB257">
        <f ca="1"/>
      </c>
      <c r="EC257">
        <f ca="1"/>
      </c>
      <c r="ED257">
        <f ca="1"/>
      </c>
      <c r="EE257">
        <f ca="1"/>
      </c>
      <c r="EF257">
        <f ca="1"/>
      </c>
      <c r="EG257">
        <f ca="1"/>
      </c>
      <c r="EH257">
        <f ca="1"/>
      </c>
      <c r="EI257">
        <f ca="1"/>
      </c>
      <c r="EJ257">
        <f ca="1"/>
      </c>
      <c r="EK257">
        <f ca="1"/>
      </c>
      <c r="EL257">
        <f ca="1"/>
      </c>
      <c r="EM257">
        <f ca="1"/>
      </c>
      <c r="EN257">
        <f ca="1"/>
      </c>
      <c r="EO257">
        <f ca="1"/>
      </c>
      <c r="EP257">
        <f ca="1"/>
      </c>
      <c r="EQ257">
        <f ca="1"/>
      </c>
      <c r="ER257">
        <f ca="1"/>
      </c>
      <c r="ES257">
        <f ca="1"/>
      </c>
      <c r="ET257">
        <f ca="1"/>
      </c>
      <c r="EU257">
        <f ca="1"/>
      </c>
      <c r="EV257">
        <f ca="1"/>
      </c>
      <c r="EW257">
        <f ca="1"/>
      </c>
      <c r="EX257">
        <f ca="1"/>
      </c>
      <c r="EY257">
        <f ca="1"/>
      </c>
      <c r="EZ257">
        <f ca="1"/>
      </c>
      <c r="FA257">
        <f ca="1"/>
      </c>
      <c r="FC257">
        <f ca="1"/>
      </c>
      <c r="FD257">
        <f ca="1"/>
      </c>
      <c r="FE257">
        <f ca="1"/>
      </c>
      <c r="FF257">
        <f ca="1"/>
      </c>
      <c r="FG257">
        <f ca="1"/>
      </c>
      <c r="FH257">
        <f ca="1"/>
      </c>
      <c r="FI257">
        <f ca="1"/>
      </c>
      <c r="FJ257">
        <f ca="1"/>
      </c>
      <c r="FK257">
        <f ca="1"/>
      </c>
      <c r="FL257">
        <f ca="1"/>
      </c>
      <c r="FM257">
        <f ca="1"/>
      </c>
      <c r="FN257">
        <f ca="1"/>
      </c>
      <c r="FO257">
        <f ca="1"/>
      </c>
      <c r="FP257">
        <f ca="1"/>
      </c>
      <c r="FQ257">
        <f ca="1"/>
      </c>
      <c r="FR257">
        <f ca="1"/>
      </c>
      <c r="FS257">
        <f ca="1"/>
      </c>
      <c r="FT257">
        <f ca="1"/>
      </c>
      <c r="FU257">
        <f ca="1"/>
      </c>
      <c r="FV257">
        <f ca="1"/>
      </c>
      <c r="FW257">
        <f ca="1"/>
      </c>
      <c r="FX257">
        <f ca="1"/>
      </c>
      <c r="FY257">
        <f ca="1"/>
      </c>
      <c r="FZ257">
        <f ca="1"/>
      </c>
      <c r="GA257">
        <f ca="1"/>
      </c>
      <c r="GB257">
        <f ca="1"/>
      </c>
      <c r="GC257">
        <f ca="1"/>
      </c>
      <c r="GD257">
        <f ca="1"/>
      </c>
      <c r="GE257">
        <f ca="1"/>
      </c>
      <c r="GF257">
        <f ca="1"/>
      </c>
      <c r="GG257">
        <f ca="1"/>
      </c>
      <c r="GH257">
        <f ca="1"/>
      </c>
      <c r="GI257">
        <f ca="1"/>
      </c>
      <c r="GJ257">
        <f ca="1"/>
      </c>
      <c r="GK257">
        <f ca="1"/>
      </c>
      <c r="GL257">
        <f ca="1"/>
      </c>
      <c r="GM257">
        <f ca="1"/>
      </c>
      <c r="GN257">
        <f ca="1"/>
      </c>
      <c r="GO257">
        <f ca="1"/>
      </c>
      <c r="GP257">
        <f ca="1"/>
      </c>
      <c r="GQ257">
        <f ca="1"/>
      </c>
      <c r="GR257">
        <f ca="1"/>
      </c>
      <c r="GS257">
        <f ca="1"/>
      </c>
      <c r="GT257">
        <f ca="1"/>
      </c>
      <c r="GU257">
        <f ca="1"/>
      </c>
      <c r="GV257">
        <f ca="1"/>
      </c>
      <c r="GW257">
        <f ca="1"/>
      </c>
      <c r="HI257" s="7"/>
    </row>
    <row r="258" spans="63:217" x14ac:dyDescent="0.55000000000000004">
      <c r="BK258">
        <f ca="1"/>
      </c>
      <c r="BL258">
        <f ca="1"/>
      </c>
      <c r="BM258">
        <f ca="1"/>
      </c>
      <c r="BN258">
        <f ca="1"/>
      </c>
      <c r="BO258">
        <f ca="1"/>
      </c>
      <c r="BP258">
        <f ca="1"/>
      </c>
      <c r="BQ258">
        <f ca="1"/>
      </c>
      <c r="BR258">
        <f ca="1"/>
      </c>
      <c r="BS258">
        <f ca="1"/>
      </c>
      <c r="BT258">
        <f ca="1"/>
      </c>
      <c r="BU258">
        <f ca="1"/>
      </c>
      <c r="BV258">
        <f ca="1"/>
      </c>
      <c r="BW258">
        <f ca="1"/>
      </c>
      <c r="BX258">
        <f ca="1"/>
      </c>
      <c r="BY258">
        <f ca="1"/>
      </c>
      <c r="BZ258">
        <f ca="1"/>
      </c>
      <c r="CA258">
        <f ca="1"/>
      </c>
      <c r="CB258">
        <f ca="1"/>
      </c>
      <c r="CC258">
        <f ca="1"/>
      </c>
      <c r="CD258">
        <f ca="1"/>
      </c>
      <c r="CE258">
        <f ca="1"/>
      </c>
      <c r="CF258">
        <f ca="1"/>
      </c>
      <c r="CG258">
        <f ca="1"/>
      </c>
      <c r="CH258">
        <f ca="1"/>
      </c>
      <c r="CI258">
        <f ca="1"/>
      </c>
      <c r="CJ258">
        <f ca="1"/>
      </c>
      <c r="CK258">
        <f ca="1"/>
      </c>
      <c r="CL258">
        <f ca="1"/>
      </c>
      <c r="CM258">
        <f ca="1"/>
      </c>
      <c r="CN258">
        <f ca="1"/>
      </c>
      <c r="CO258">
        <f ca="1"/>
      </c>
      <c r="CP258">
        <f ca="1"/>
      </c>
      <c r="CQ258">
        <f ca="1"/>
      </c>
      <c r="CR258">
        <f ca="1"/>
      </c>
      <c r="CS258">
        <f ca="1"/>
      </c>
      <c r="CT258">
        <f ca="1"/>
      </c>
      <c r="CU258">
        <f ca="1"/>
      </c>
      <c r="CV258">
        <f ca="1"/>
      </c>
      <c r="CW258">
        <f ca="1"/>
      </c>
      <c r="CX258">
        <f ca="1"/>
      </c>
      <c r="CY258">
        <f ca="1"/>
      </c>
      <c r="CZ258">
        <f ca="1"/>
      </c>
      <c r="DA258">
        <f ca="1"/>
      </c>
      <c r="DB258">
        <f ca="1"/>
      </c>
      <c r="DC258">
        <f ca="1"/>
      </c>
      <c r="DD258">
        <f ca="1"/>
      </c>
      <c r="DE258">
        <f ca="1"/>
      </c>
      <c r="DG258">
        <f ca="1"/>
      </c>
      <c r="DH258">
        <f ca="1"/>
      </c>
      <c r="DI258">
        <f ca="1"/>
      </c>
      <c r="DJ258">
        <f ca="1"/>
      </c>
      <c r="DK258">
        <f ca="1"/>
      </c>
      <c r="DL258">
        <f ca="1"/>
      </c>
      <c r="DM258">
        <f ca="1"/>
      </c>
      <c r="DN258">
        <f ca="1"/>
      </c>
      <c r="DO258">
        <f ca="1"/>
      </c>
      <c r="DP258">
        <f ca="1"/>
      </c>
      <c r="DQ258">
        <f ca="1"/>
      </c>
      <c r="DR258">
        <f ca="1"/>
      </c>
      <c r="DS258">
        <f ca="1"/>
      </c>
      <c r="DT258">
        <f ca="1"/>
      </c>
      <c r="DU258">
        <f ca="1"/>
      </c>
      <c r="DV258">
        <f ca="1"/>
      </c>
      <c r="DW258">
        <f ca="1"/>
      </c>
      <c r="DX258">
        <f ca="1"/>
      </c>
      <c r="DY258">
        <f ca="1"/>
      </c>
      <c r="DZ258">
        <f ca="1"/>
      </c>
      <c r="EA258">
        <f ca="1"/>
      </c>
      <c r="EB258">
        <f ca="1"/>
      </c>
      <c r="EC258">
        <f ca="1"/>
      </c>
      <c r="ED258">
        <f ca="1"/>
      </c>
      <c r="EE258">
        <f ca="1"/>
      </c>
      <c r="EF258">
        <f ca="1"/>
      </c>
      <c r="EG258">
        <f ca="1"/>
      </c>
      <c r="EH258">
        <f ca="1"/>
      </c>
      <c r="EI258">
        <f ca="1"/>
      </c>
      <c r="EJ258">
        <f ca="1"/>
      </c>
      <c r="EK258">
        <f ca="1"/>
      </c>
      <c r="EL258">
        <f ca="1"/>
      </c>
      <c r="EM258">
        <f ca="1"/>
      </c>
      <c r="EN258">
        <f ca="1"/>
      </c>
      <c r="EO258">
        <f ca="1"/>
      </c>
      <c r="EP258">
        <f ca="1"/>
      </c>
      <c r="EQ258">
        <f ca="1"/>
      </c>
      <c r="ER258">
        <f ca="1"/>
      </c>
      <c r="ES258">
        <f ca="1"/>
      </c>
      <c r="ET258">
        <f ca="1"/>
      </c>
      <c r="EU258">
        <f ca="1"/>
      </c>
      <c r="EV258">
        <f ca="1"/>
      </c>
      <c r="EW258">
        <f ca="1"/>
      </c>
      <c r="EX258">
        <f ca="1"/>
      </c>
      <c r="EY258">
        <f ca="1"/>
      </c>
      <c r="EZ258">
        <f ca="1"/>
      </c>
      <c r="FA258">
        <f ca="1"/>
      </c>
      <c r="FC258">
        <f ca="1"/>
      </c>
      <c r="FD258">
        <f ca="1"/>
      </c>
      <c r="FE258">
        <f ca="1"/>
      </c>
      <c r="FF258">
        <f ca="1"/>
      </c>
      <c r="FG258">
        <f ca="1"/>
      </c>
      <c r="FH258">
        <f ca="1"/>
      </c>
      <c r="FI258">
        <f ca="1"/>
      </c>
      <c r="FJ258">
        <f ca="1"/>
      </c>
      <c r="FK258">
        <f ca="1"/>
      </c>
      <c r="FL258">
        <f ca="1"/>
      </c>
      <c r="FM258">
        <f ca="1"/>
      </c>
      <c r="FN258">
        <f ca="1"/>
      </c>
      <c r="FO258">
        <f ca="1"/>
      </c>
      <c r="FP258">
        <f ca="1"/>
      </c>
      <c r="FQ258">
        <f ca="1"/>
      </c>
      <c r="FR258">
        <f ca="1"/>
      </c>
      <c r="FS258">
        <f ca="1"/>
      </c>
      <c r="FT258">
        <f ca="1"/>
      </c>
      <c r="FU258">
        <f ca="1"/>
      </c>
      <c r="FV258">
        <f ca="1"/>
      </c>
      <c r="FW258">
        <f ca="1"/>
      </c>
      <c r="FX258">
        <f ca="1"/>
      </c>
      <c r="FY258">
        <f ca="1"/>
      </c>
      <c r="FZ258">
        <f ca="1"/>
      </c>
      <c r="GA258">
        <f ca="1"/>
      </c>
      <c r="GB258">
        <f ca="1"/>
      </c>
      <c r="GC258">
        <f ca="1"/>
      </c>
      <c r="GD258">
        <f ca="1"/>
      </c>
      <c r="GE258">
        <f ca="1"/>
      </c>
      <c r="GF258">
        <f ca="1"/>
      </c>
      <c r="GG258">
        <f ca="1"/>
      </c>
      <c r="GH258">
        <f ca="1"/>
      </c>
      <c r="GI258">
        <f ca="1"/>
      </c>
      <c r="GJ258">
        <f ca="1"/>
      </c>
      <c r="GK258">
        <f ca="1"/>
      </c>
      <c r="GL258">
        <f ca="1"/>
      </c>
      <c r="GM258">
        <f ca="1"/>
      </c>
      <c r="GN258">
        <f ca="1"/>
      </c>
      <c r="GO258">
        <f ca="1"/>
      </c>
      <c r="GP258">
        <f ca="1"/>
      </c>
      <c r="GQ258">
        <f ca="1"/>
      </c>
      <c r="GR258">
        <f ca="1"/>
      </c>
      <c r="GS258">
        <f ca="1"/>
      </c>
      <c r="GT258">
        <f ca="1"/>
      </c>
      <c r="GU258">
        <f ca="1"/>
      </c>
      <c r="GV258">
        <f ca="1"/>
      </c>
      <c r="GW258">
        <f ca="1"/>
      </c>
      <c r="HI258" s="7"/>
    </row>
    <row r="259" spans="63:217" x14ac:dyDescent="0.55000000000000004">
      <c r="BK259">
        <f ca="1"/>
      </c>
      <c r="BL259">
        <f ca="1"/>
      </c>
      <c r="BM259">
        <f ca="1"/>
      </c>
      <c r="BN259">
        <f ca="1"/>
      </c>
      <c r="BO259">
        <f ca="1"/>
      </c>
      <c r="BP259">
        <f ca="1"/>
      </c>
      <c r="BQ259">
        <f ca="1"/>
      </c>
      <c r="BR259">
        <f ca="1"/>
      </c>
      <c r="BS259">
        <f ca="1"/>
      </c>
      <c r="BT259">
        <f ca="1"/>
      </c>
      <c r="BU259">
        <f ca="1"/>
      </c>
      <c r="BV259">
        <f ca="1"/>
      </c>
      <c r="BW259">
        <f ca="1"/>
      </c>
      <c r="BX259">
        <f ca="1"/>
      </c>
      <c r="BY259">
        <f ca="1"/>
      </c>
      <c r="BZ259">
        <f ca="1"/>
      </c>
      <c r="CA259">
        <f ca="1"/>
      </c>
      <c r="CB259">
        <f ca="1"/>
      </c>
      <c r="CC259">
        <f ca="1"/>
      </c>
      <c r="CD259">
        <f ca="1"/>
      </c>
      <c r="CE259">
        <f ca="1"/>
      </c>
      <c r="CF259">
        <f ca="1"/>
      </c>
      <c r="CG259">
        <f ca="1"/>
      </c>
      <c r="CH259">
        <f ca="1"/>
      </c>
      <c r="CI259">
        <f ca="1"/>
      </c>
      <c r="CJ259">
        <f ca="1"/>
      </c>
      <c r="CK259">
        <f ca="1"/>
      </c>
      <c r="CL259">
        <f ca="1"/>
      </c>
      <c r="CM259">
        <f ca="1"/>
      </c>
      <c r="CN259">
        <f ca="1"/>
      </c>
      <c r="CO259">
        <f ca="1"/>
      </c>
      <c r="CP259">
        <f ca="1"/>
      </c>
      <c r="CQ259">
        <f ca="1"/>
      </c>
      <c r="CR259">
        <f ca="1"/>
      </c>
      <c r="CS259">
        <f ca="1"/>
      </c>
      <c r="CT259">
        <f ca="1"/>
      </c>
      <c r="CU259">
        <f ca="1"/>
      </c>
      <c r="CV259">
        <f ca="1"/>
      </c>
      <c r="CW259">
        <f ca="1"/>
      </c>
      <c r="CX259">
        <f ca="1"/>
      </c>
      <c r="CY259">
        <f ca="1"/>
      </c>
      <c r="CZ259">
        <f ca="1"/>
      </c>
      <c r="DA259">
        <f ca="1"/>
      </c>
      <c r="DB259">
        <f ca="1"/>
      </c>
      <c r="DC259">
        <f ca="1"/>
      </c>
      <c r="DD259">
        <f ca="1"/>
      </c>
      <c r="DE259">
        <f ca="1"/>
      </c>
      <c r="DG259">
        <f ca="1"/>
      </c>
      <c r="DH259">
        <f ca="1"/>
      </c>
      <c r="DI259">
        <f ca="1"/>
      </c>
      <c r="DJ259">
        <f ca="1"/>
      </c>
      <c r="DK259">
        <f ca="1"/>
      </c>
      <c r="DL259">
        <f ca="1"/>
      </c>
      <c r="DM259">
        <f ca="1"/>
      </c>
      <c r="DN259">
        <f ca="1"/>
      </c>
      <c r="DO259">
        <f ca="1"/>
      </c>
      <c r="DP259">
        <f ca="1"/>
      </c>
      <c r="DQ259">
        <f ca="1"/>
      </c>
      <c r="DR259">
        <f ca="1"/>
      </c>
      <c r="DS259">
        <f ca="1"/>
      </c>
      <c r="DT259">
        <f ca="1"/>
      </c>
      <c r="DU259">
        <f ca="1"/>
      </c>
      <c r="DV259">
        <f ca="1"/>
      </c>
      <c r="DW259">
        <f ca="1"/>
      </c>
      <c r="DX259">
        <f ca="1"/>
      </c>
      <c r="DY259">
        <f ca="1"/>
      </c>
      <c r="DZ259">
        <f ca="1"/>
      </c>
      <c r="EA259">
        <f ca="1"/>
      </c>
      <c r="EB259">
        <f ca="1"/>
      </c>
      <c r="EC259">
        <f ca="1"/>
      </c>
      <c r="ED259">
        <f ca="1"/>
      </c>
      <c r="EE259">
        <f ca="1"/>
      </c>
      <c r="EF259">
        <f ca="1"/>
      </c>
      <c r="EG259">
        <f ca="1"/>
      </c>
      <c r="EH259">
        <f ca="1"/>
      </c>
      <c r="EI259">
        <f ca="1"/>
      </c>
      <c r="EJ259">
        <f ca="1"/>
      </c>
      <c r="EK259">
        <f ca="1"/>
      </c>
      <c r="EL259">
        <f ca="1"/>
      </c>
      <c r="EM259">
        <f ca="1"/>
      </c>
      <c r="EN259">
        <f ca="1"/>
      </c>
      <c r="EO259">
        <f ca="1"/>
      </c>
      <c r="EP259">
        <f ca="1"/>
      </c>
      <c r="EQ259">
        <f ca="1"/>
      </c>
      <c r="ER259">
        <f ca="1"/>
      </c>
      <c r="ES259">
        <f ca="1"/>
      </c>
      <c r="ET259">
        <f ca="1"/>
      </c>
      <c r="EU259">
        <f ca="1"/>
      </c>
      <c r="EV259">
        <f ca="1"/>
      </c>
      <c r="EW259">
        <f ca="1"/>
      </c>
      <c r="EX259">
        <f ca="1"/>
      </c>
      <c r="EY259">
        <f ca="1"/>
      </c>
      <c r="EZ259">
        <f ca="1"/>
      </c>
      <c r="FA259">
        <f ca="1"/>
      </c>
      <c r="FC259">
        <f ca="1"/>
      </c>
      <c r="FD259">
        <f ca="1"/>
      </c>
      <c r="FE259">
        <f ca="1"/>
      </c>
      <c r="FF259">
        <f ca="1"/>
      </c>
      <c r="FG259">
        <f ca="1"/>
      </c>
      <c r="FH259">
        <f ca="1"/>
      </c>
      <c r="FI259">
        <f ca="1"/>
      </c>
      <c r="FJ259">
        <f ca="1"/>
      </c>
      <c r="FK259">
        <f ca="1"/>
      </c>
      <c r="FL259">
        <f ca="1"/>
      </c>
      <c r="FM259">
        <f ca="1"/>
      </c>
      <c r="FN259">
        <f ca="1"/>
      </c>
      <c r="FO259">
        <f ca="1"/>
      </c>
      <c r="FP259">
        <f ca="1"/>
      </c>
      <c r="FQ259">
        <f ca="1"/>
      </c>
      <c r="FR259">
        <f ca="1"/>
      </c>
      <c r="FS259">
        <f ca="1"/>
      </c>
      <c r="FT259">
        <f ca="1"/>
      </c>
      <c r="FU259">
        <f ca="1"/>
      </c>
      <c r="FV259">
        <f ca="1"/>
      </c>
      <c r="FW259">
        <f ca="1"/>
      </c>
      <c r="FX259">
        <f ca="1"/>
      </c>
      <c r="FY259">
        <f ca="1"/>
      </c>
      <c r="FZ259">
        <f ca="1"/>
      </c>
      <c r="GA259">
        <f ca="1"/>
      </c>
      <c r="GB259">
        <f ca="1"/>
      </c>
      <c r="GC259">
        <f ca="1"/>
      </c>
      <c r="GD259">
        <f ca="1"/>
      </c>
      <c r="GE259">
        <f ca="1"/>
      </c>
      <c r="GF259">
        <f ca="1"/>
      </c>
      <c r="GG259">
        <f ca="1"/>
      </c>
      <c r="GH259">
        <f ca="1"/>
      </c>
      <c r="GI259">
        <f ca="1"/>
      </c>
      <c r="GJ259">
        <f ca="1"/>
      </c>
      <c r="GK259">
        <f ca="1"/>
      </c>
      <c r="GL259">
        <f ca="1"/>
      </c>
      <c r="GM259">
        <f ca="1"/>
      </c>
      <c r="GN259">
        <f ca="1"/>
      </c>
      <c r="GO259">
        <f ca="1"/>
      </c>
      <c r="GP259">
        <f ca="1"/>
      </c>
      <c r="GQ259">
        <f ca="1"/>
      </c>
      <c r="GR259">
        <f ca="1"/>
      </c>
      <c r="GS259">
        <f ca="1"/>
      </c>
      <c r="GT259">
        <f ca="1"/>
      </c>
      <c r="GU259">
        <f ca="1"/>
      </c>
      <c r="GV259">
        <f ca="1"/>
      </c>
      <c r="GW259">
        <f ca="1"/>
      </c>
      <c r="HI259" s="7"/>
    </row>
    <row r="260" spans="63:217" x14ac:dyDescent="0.55000000000000004">
      <c r="BK260">
        <f ca="1"/>
      </c>
      <c r="BL260">
        <f ca="1"/>
      </c>
      <c r="BM260">
        <f ca="1"/>
      </c>
      <c r="BN260">
        <f ca="1"/>
      </c>
      <c r="BO260">
        <f ca="1"/>
      </c>
      <c r="BP260">
        <f ca="1"/>
      </c>
      <c r="BQ260">
        <f ca="1"/>
      </c>
      <c r="BR260">
        <f ca="1"/>
      </c>
      <c r="BS260">
        <f ca="1"/>
      </c>
      <c r="BT260">
        <f ca="1"/>
      </c>
      <c r="BU260">
        <f ca="1"/>
      </c>
      <c r="BV260">
        <f ca="1"/>
      </c>
      <c r="BW260">
        <f ca="1"/>
      </c>
      <c r="BX260">
        <f ca="1"/>
      </c>
      <c r="BY260">
        <f ca="1"/>
      </c>
      <c r="BZ260">
        <f ca="1"/>
      </c>
      <c r="CA260">
        <f ca="1"/>
      </c>
      <c r="CB260">
        <f ca="1"/>
      </c>
      <c r="CC260">
        <f ca="1"/>
      </c>
      <c r="CD260">
        <f ca="1"/>
      </c>
      <c r="CE260">
        <f ca="1"/>
      </c>
      <c r="CF260">
        <f ca="1"/>
      </c>
      <c r="CG260">
        <f ca="1"/>
      </c>
      <c r="CH260">
        <f ca="1"/>
      </c>
      <c r="CI260">
        <f ca="1"/>
      </c>
      <c r="CJ260">
        <f ca="1"/>
      </c>
      <c r="CK260">
        <f ca="1"/>
      </c>
      <c r="CL260">
        <f ca="1"/>
      </c>
      <c r="CM260">
        <f ca="1"/>
      </c>
      <c r="CN260">
        <f ca="1"/>
      </c>
      <c r="CO260">
        <f ca="1"/>
      </c>
      <c r="CP260">
        <f ca="1"/>
      </c>
      <c r="CQ260">
        <f ca="1"/>
      </c>
      <c r="CR260">
        <f ca="1"/>
      </c>
      <c r="CS260">
        <f ca="1"/>
      </c>
      <c r="CT260">
        <f ca="1"/>
      </c>
      <c r="CU260">
        <f ca="1"/>
      </c>
      <c r="CV260">
        <f ca="1"/>
      </c>
      <c r="CW260">
        <f ca="1"/>
      </c>
      <c r="CX260">
        <f ca="1"/>
      </c>
      <c r="CY260">
        <f ca="1"/>
      </c>
      <c r="CZ260">
        <f ca="1"/>
      </c>
      <c r="DA260">
        <f ca="1"/>
      </c>
      <c r="DB260">
        <f ca="1"/>
      </c>
      <c r="DC260">
        <f ca="1"/>
      </c>
      <c r="DD260">
        <f ca="1"/>
      </c>
      <c r="DE260">
        <f ca="1"/>
      </c>
      <c r="DG260">
        <f ca="1"/>
      </c>
      <c r="DH260">
        <f ca="1"/>
      </c>
      <c r="DI260">
        <f ca="1"/>
      </c>
      <c r="DJ260">
        <f ca="1"/>
      </c>
      <c r="DK260">
        <f ca="1"/>
      </c>
      <c r="DL260">
        <f ca="1"/>
      </c>
      <c r="DM260">
        <f ca="1"/>
      </c>
      <c r="DN260">
        <f ca="1"/>
      </c>
      <c r="DO260">
        <f ca="1"/>
      </c>
      <c r="DP260">
        <f ca="1"/>
      </c>
      <c r="DQ260">
        <f ca="1"/>
      </c>
      <c r="DR260">
        <f ca="1"/>
      </c>
      <c r="DS260">
        <f ca="1"/>
      </c>
      <c r="DT260">
        <f ca="1"/>
      </c>
      <c r="DU260">
        <f ca="1"/>
      </c>
      <c r="DV260">
        <f ca="1"/>
      </c>
      <c r="DW260">
        <f ca="1"/>
      </c>
      <c r="DX260">
        <f ca="1"/>
      </c>
      <c r="DY260">
        <f ca="1"/>
      </c>
      <c r="DZ260">
        <f ca="1"/>
      </c>
      <c r="EA260">
        <f ca="1"/>
      </c>
      <c r="EB260">
        <f ca="1"/>
      </c>
      <c r="EC260">
        <f ca="1"/>
      </c>
      <c r="ED260">
        <f ca="1"/>
      </c>
      <c r="EE260">
        <f ca="1"/>
      </c>
      <c r="EF260">
        <f ca="1"/>
      </c>
      <c r="EG260">
        <f ca="1"/>
      </c>
      <c r="EH260">
        <f ca="1"/>
      </c>
      <c r="EI260">
        <f ca="1"/>
      </c>
      <c r="EJ260">
        <f ca="1"/>
      </c>
      <c r="EK260">
        <f ca="1"/>
      </c>
      <c r="EL260">
        <f ca="1"/>
      </c>
      <c r="EM260">
        <f ca="1"/>
      </c>
      <c r="EN260">
        <f ca="1"/>
      </c>
      <c r="EO260">
        <f ca="1"/>
      </c>
      <c r="EP260">
        <f ca="1"/>
      </c>
      <c r="EQ260">
        <f ca="1"/>
      </c>
      <c r="ER260">
        <f ca="1"/>
      </c>
      <c r="ES260">
        <f ca="1"/>
      </c>
      <c r="ET260">
        <f ca="1"/>
      </c>
      <c r="EU260">
        <f ca="1"/>
      </c>
      <c r="EV260">
        <f ca="1"/>
      </c>
      <c r="EW260">
        <f ca="1"/>
      </c>
      <c r="EX260">
        <f ca="1"/>
      </c>
      <c r="EY260">
        <f ca="1"/>
      </c>
      <c r="EZ260">
        <f ca="1"/>
      </c>
      <c r="FA260">
        <f ca="1"/>
      </c>
      <c r="FC260">
        <f ca="1"/>
      </c>
      <c r="FD260">
        <f ca="1"/>
      </c>
      <c r="FE260">
        <f ca="1"/>
      </c>
      <c r="FF260">
        <f ca="1"/>
      </c>
      <c r="FG260">
        <f ca="1"/>
      </c>
      <c r="FH260">
        <f ca="1"/>
      </c>
      <c r="FI260">
        <f ca="1"/>
      </c>
      <c r="FJ260">
        <f ca="1"/>
      </c>
      <c r="FK260">
        <f ca="1"/>
      </c>
      <c r="FL260">
        <f ca="1"/>
      </c>
      <c r="FM260">
        <f ca="1"/>
      </c>
      <c r="FN260">
        <f ca="1"/>
      </c>
      <c r="FO260">
        <f ca="1"/>
      </c>
      <c r="FP260">
        <f ca="1"/>
      </c>
      <c r="FQ260">
        <f ca="1"/>
      </c>
      <c r="FR260">
        <f ca="1"/>
      </c>
      <c r="FS260">
        <f ca="1"/>
      </c>
      <c r="FT260">
        <f ca="1"/>
      </c>
      <c r="FU260">
        <f ca="1"/>
      </c>
      <c r="FV260">
        <f ca="1"/>
      </c>
      <c r="FW260">
        <f ca="1"/>
      </c>
      <c r="FX260">
        <f ca="1"/>
      </c>
      <c r="FY260">
        <f ca="1"/>
      </c>
      <c r="FZ260">
        <f ca="1"/>
      </c>
      <c r="GA260">
        <f ca="1"/>
      </c>
      <c r="GB260">
        <f ca="1"/>
      </c>
      <c r="GC260">
        <f ca="1"/>
      </c>
      <c r="GD260">
        <f ca="1"/>
      </c>
      <c r="GE260">
        <f ca="1"/>
      </c>
      <c r="GF260">
        <f ca="1"/>
      </c>
      <c r="GG260">
        <f ca="1"/>
      </c>
      <c r="GH260">
        <f ca="1"/>
      </c>
      <c r="GI260">
        <f ca="1"/>
      </c>
      <c r="GJ260">
        <f ca="1"/>
      </c>
      <c r="GK260">
        <f ca="1"/>
      </c>
      <c r="GL260">
        <f ca="1"/>
      </c>
      <c r="GM260">
        <f ca="1"/>
      </c>
      <c r="GN260">
        <f ca="1"/>
      </c>
      <c r="GO260">
        <f ca="1"/>
      </c>
      <c r="GP260">
        <f ca="1"/>
      </c>
      <c r="GQ260">
        <f ca="1"/>
      </c>
      <c r="GR260">
        <f ca="1"/>
      </c>
      <c r="GS260">
        <f ca="1"/>
      </c>
      <c r="GT260">
        <f ca="1"/>
      </c>
      <c r="GU260">
        <f ca="1"/>
      </c>
      <c r="GV260">
        <f ca="1"/>
      </c>
      <c r="GW260">
        <f ca="1"/>
      </c>
      <c r="HI260" s="7"/>
    </row>
    <row r="261" spans="63:217" x14ac:dyDescent="0.55000000000000004">
      <c r="BK261">
        <f ca="1"/>
      </c>
      <c r="BL261">
        <f ca="1"/>
      </c>
      <c r="BM261">
        <f ca="1"/>
      </c>
      <c r="BN261">
        <f ca="1"/>
      </c>
      <c r="BO261">
        <f ca="1"/>
      </c>
      <c r="BP261">
        <f ca="1"/>
      </c>
      <c r="BQ261">
        <f ca="1"/>
      </c>
      <c r="BR261">
        <f ca="1"/>
      </c>
      <c r="BS261">
        <f ca="1"/>
      </c>
      <c r="BT261">
        <f ca="1"/>
      </c>
      <c r="BU261">
        <f ca="1"/>
      </c>
      <c r="BV261">
        <f ca="1"/>
      </c>
      <c r="BW261">
        <f ca="1"/>
      </c>
      <c r="BX261">
        <f ca="1"/>
      </c>
      <c r="BY261">
        <f ca="1"/>
      </c>
      <c r="BZ261">
        <f ca="1"/>
      </c>
      <c r="CA261">
        <f ca="1"/>
      </c>
      <c r="CB261">
        <f ca="1"/>
      </c>
      <c r="CC261">
        <f ca="1"/>
      </c>
      <c r="CD261">
        <f ca="1"/>
      </c>
      <c r="CE261">
        <f ca="1"/>
      </c>
      <c r="CF261">
        <f ca="1"/>
      </c>
      <c r="CG261">
        <f ca="1"/>
      </c>
      <c r="CH261">
        <f ca="1"/>
      </c>
      <c r="CI261">
        <f ca="1"/>
      </c>
      <c r="CJ261">
        <f ca="1"/>
      </c>
      <c r="CK261">
        <f ca="1"/>
      </c>
      <c r="CL261">
        <f ca="1"/>
      </c>
      <c r="CM261">
        <f ca="1"/>
      </c>
      <c r="CN261">
        <f ca="1"/>
      </c>
      <c r="CO261">
        <f ca="1"/>
      </c>
      <c r="CP261">
        <f ca="1"/>
      </c>
      <c r="CQ261">
        <f ca="1"/>
      </c>
      <c r="CR261">
        <f ca="1"/>
      </c>
      <c r="CS261">
        <f ca="1"/>
      </c>
      <c r="CT261">
        <f ca="1"/>
      </c>
      <c r="CU261">
        <f ca="1"/>
      </c>
      <c r="CV261">
        <f ca="1"/>
      </c>
      <c r="CW261">
        <f ca="1"/>
      </c>
      <c r="CX261">
        <f ca="1"/>
      </c>
      <c r="CY261">
        <f ca="1"/>
      </c>
      <c r="CZ261">
        <f ca="1"/>
      </c>
      <c r="DA261">
        <f ca="1"/>
      </c>
      <c r="DB261">
        <f ca="1"/>
      </c>
      <c r="DC261">
        <f ca="1"/>
      </c>
      <c r="DD261">
        <f ca="1"/>
      </c>
      <c r="DE261">
        <f ca="1"/>
      </c>
      <c r="DG261">
        <f ca="1"/>
      </c>
      <c r="DH261">
        <f ca="1"/>
      </c>
      <c r="DI261">
        <f ca="1"/>
      </c>
      <c r="DJ261">
        <f ca="1"/>
      </c>
      <c r="DK261">
        <f ca="1"/>
      </c>
      <c r="DL261">
        <f ca="1"/>
      </c>
      <c r="DM261">
        <f ca="1"/>
      </c>
      <c r="DN261">
        <f ca="1"/>
      </c>
      <c r="DO261">
        <f ca="1"/>
      </c>
      <c r="DP261">
        <f ca="1"/>
      </c>
      <c r="DQ261">
        <f ca="1"/>
      </c>
      <c r="DR261">
        <f ca="1"/>
      </c>
      <c r="DS261">
        <f ca="1"/>
      </c>
      <c r="DT261">
        <f ca="1"/>
      </c>
      <c r="DU261">
        <f ca="1"/>
      </c>
      <c r="DV261">
        <f ca="1"/>
      </c>
      <c r="DW261">
        <f ca="1"/>
      </c>
      <c r="DX261">
        <f ca="1"/>
      </c>
      <c r="DY261">
        <f ca="1"/>
      </c>
      <c r="DZ261">
        <f ca="1"/>
      </c>
      <c r="EA261">
        <f ca="1"/>
      </c>
      <c r="EB261">
        <f ca="1"/>
      </c>
      <c r="EC261">
        <f ca="1"/>
      </c>
      <c r="ED261">
        <f ca="1"/>
      </c>
      <c r="EE261">
        <f ca="1"/>
      </c>
      <c r="EF261">
        <f ca="1"/>
      </c>
      <c r="EG261">
        <f ca="1"/>
      </c>
      <c r="EH261">
        <f ca="1"/>
      </c>
      <c r="EI261">
        <f ca="1"/>
      </c>
      <c r="EJ261">
        <f ca="1"/>
      </c>
      <c r="EK261">
        <f ca="1"/>
      </c>
      <c r="EL261">
        <f ca="1"/>
      </c>
      <c r="EM261">
        <f ca="1"/>
      </c>
      <c r="EN261">
        <f ca="1"/>
      </c>
      <c r="EO261">
        <f ca="1"/>
      </c>
      <c r="EP261">
        <f ca="1"/>
      </c>
      <c r="EQ261">
        <f ca="1"/>
      </c>
      <c r="ER261">
        <f ca="1"/>
      </c>
      <c r="ES261">
        <f ca="1"/>
      </c>
      <c r="ET261">
        <f ca="1"/>
      </c>
      <c r="EU261">
        <f ca="1"/>
      </c>
      <c r="EV261">
        <f ca="1"/>
      </c>
      <c r="EW261">
        <f ca="1"/>
      </c>
      <c r="EX261">
        <f ca="1"/>
      </c>
      <c r="EY261">
        <f ca="1"/>
      </c>
      <c r="EZ261">
        <f ca="1"/>
      </c>
      <c r="FA261">
        <f ca="1"/>
      </c>
      <c r="FC261">
        <f ca="1"/>
      </c>
      <c r="FD261">
        <f ca="1"/>
      </c>
      <c r="FE261">
        <f ca="1"/>
      </c>
      <c r="FF261">
        <f ca="1"/>
      </c>
      <c r="FG261">
        <f ca="1"/>
      </c>
      <c r="FH261">
        <f ca="1"/>
      </c>
      <c r="FI261">
        <f ca="1"/>
      </c>
      <c r="FJ261">
        <f ca="1"/>
      </c>
      <c r="FK261">
        <f ca="1"/>
      </c>
      <c r="FL261">
        <f ca="1"/>
      </c>
      <c r="FM261">
        <f ca="1"/>
      </c>
      <c r="FN261">
        <f ca="1"/>
      </c>
      <c r="FO261">
        <f ca="1"/>
      </c>
      <c r="FP261">
        <f ca="1"/>
      </c>
      <c r="FQ261">
        <f ca="1"/>
      </c>
      <c r="FR261">
        <f ca="1"/>
      </c>
      <c r="FS261">
        <f ca="1"/>
      </c>
      <c r="FT261">
        <f ca="1"/>
      </c>
      <c r="FU261">
        <f ca="1"/>
      </c>
      <c r="FV261">
        <f ca="1"/>
      </c>
      <c r="FW261">
        <f ca="1"/>
      </c>
      <c r="FX261">
        <f ca="1"/>
      </c>
      <c r="FY261">
        <f ca="1"/>
      </c>
      <c r="FZ261">
        <f ca="1"/>
      </c>
      <c r="GA261">
        <f ca="1"/>
      </c>
      <c r="GB261">
        <f ca="1"/>
      </c>
      <c r="GC261">
        <f ca="1"/>
      </c>
      <c r="GD261">
        <f ca="1"/>
      </c>
      <c r="GE261">
        <f ca="1"/>
      </c>
      <c r="GF261">
        <f ca="1"/>
      </c>
      <c r="GG261">
        <f ca="1"/>
      </c>
      <c r="GH261">
        <f ca="1"/>
      </c>
      <c r="GI261">
        <f ca="1"/>
      </c>
      <c r="GJ261">
        <f ca="1"/>
      </c>
      <c r="GK261">
        <f ca="1"/>
      </c>
      <c r="GL261">
        <f ca="1"/>
      </c>
      <c r="GM261">
        <f ca="1"/>
      </c>
      <c r="GN261">
        <f ca="1"/>
      </c>
      <c r="GO261">
        <f ca="1"/>
      </c>
      <c r="GP261">
        <f ca="1"/>
      </c>
      <c r="GQ261">
        <f ca="1"/>
      </c>
      <c r="GR261">
        <f ca="1"/>
      </c>
      <c r="GS261">
        <f ca="1"/>
      </c>
      <c r="GT261">
        <f ca="1"/>
      </c>
      <c r="GU261">
        <f ca="1"/>
      </c>
      <c r="GV261">
        <f ca="1"/>
      </c>
      <c r="GW261">
        <f ca="1"/>
      </c>
      <c r="HI261" s="7"/>
    </row>
    <row r="262" spans="63:217" x14ac:dyDescent="0.55000000000000004">
      <c r="BK262">
        <f ca="1"/>
      </c>
      <c r="BL262">
        <f ca="1"/>
      </c>
      <c r="BM262">
        <f ca="1"/>
      </c>
      <c r="BN262">
        <f ca="1"/>
      </c>
      <c r="BO262">
        <f ca="1"/>
      </c>
      <c r="BP262">
        <f ca="1"/>
      </c>
      <c r="BQ262">
        <f ca="1"/>
      </c>
      <c r="BR262">
        <f ca="1"/>
      </c>
      <c r="BS262">
        <f ca="1"/>
      </c>
      <c r="BT262">
        <f ca="1"/>
      </c>
      <c r="BU262">
        <f ca="1"/>
      </c>
      <c r="BV262">
        <f ca="1"/>
      </c>
      <c r="BW262">
        <f ca="1"/>
      </c>
      <c r="BX262">
        <f ca="1"/>
      </c>
      <c r="BY262">
        <f ca="1"/>
      </c>
      <c r="BZ262">
        <f ca="1"/>
      </c>
      <c r="CA262">
        <f ca="1"/>
      </c>
      <c r="CB262">
        <f ca="1"/>
      </c>
      <c r="CC262">
        <f ca="1"/>
      </c>
      <c r="CD262">
        <f ca="1"/>
      </c>
      <c r="CE262">
        <f ca="1"/>
      </c>
      <c r="CF262">
        <f ca="1"/>
      </c>
      <c r="CG262">
        <f ca="1"/>
      </c>
      <c r="CH262">
        <f ca="1"/>
      </c>
      <c r="CI262">
        <f ca="1"/>
      </c>
      <c r="CJ262">
        <f ca="1"/>
      </c>
      <c r="CK262">
        <f ca="1"/>
      </c>
      <c r="CL262">
        <f ca="1"/>
      </c>
      <c r="CM262">
        <f ca="1"/>
      </c>
      <c r="CN262">
        <f ca="1"/>
      </c>
      <c r="CO262">
        <f ca="1"/>
      </c>
      <c r="CP262">
        <f ca="1"/>
      </c>
      <c r="CQ262">
        <f ca="1"/>
      </c>
      <c r="CR262">
        <f ca="1"/>
      </c>
      <c r="CS262">
        <f ca="1"/>
      </c>
      <c r="CT262">
        <f ca="1"/>
      </c>
      <c r="CU262">
        <f ca="1"/>
      </c>
      <c r="CV262">
        <f ca="1"/>
      </c>
      <c r="CW262">
        <f ca="1"/>
      </c>
      <c r="CX262">
        <f ca="1"/>
      </c>
      <c r="CY262">
        <f ca="1"/>
      </c>
      <c r="CZ262">
        <f ca="1"/>
      </c>
      <c r="DA262">
        <f ca="1"/>
      </c>
      <c r="DB262">
        <f ca="1"/>
      </c>
      <c r="DC262">
        <f ca="1"/>
      </c>
      <c r="DD262">
        <f ca="1"/>
      </c>
      <c r="DE262">
        <f ca="1"/>
      </c>
      <c r="DG262">
        <f ca="1"/>
      </c>
      <c r="DH262">
        <f ca="1"/>
      </c>
      <c r="DI262">
        <f ca="1"/>
      </c>
      <c r="DJ262">
        <f ca="1"/>
      </c>
      <c r="DK262">
        <f ca="1"/>
      </c>
      <c r="DL262">
        <f ca="1"/>
      </c>
      <c r="DM262">
        <f ca="1"/>
      </c>
      <c r="DN262">
        <f ca="1"/>
      </c>
      <c r="DO262">
        <f ca="1"/>
      </c>
      <c r="DP262">
        <f ca="1"/>
      </c>
      <c r="DQ262">
        <f ca="1"/>
      </c>
      <c r="DR262">
        <f ca="1"/>
      </c>
      <c r="DS262">
        <f ca="1"/>
      </c>
      <c r="DT262">
        <f ca="1"/>
      </c>
      <c r="DU262">
        <f ca="1"/>
      </c>
      <c r="DV262">
        <f ca="1"/>
      </c>
      <c r="DW262">
        <f ca="1"/>
      </c>
      <c r="DX262">
        <f ca="1"/>
      </c>
      <c r="DY262">
        <f ca="1"/>
      </c>
      <c r="DZ262">
        <f ca="1"/>
      </c>
      <c r="EA262">
        <f ca="1"/>
      </c>
      <c r="EB262">
        <f ca="1"/>
      </c>
      <c r="EC262">
        <f ca="1"/>
      </c>
      <c r="ED262">
        <f ca="1"/>
      </c>
      <c r="EE262">
        <f ca="1"/>
      </c>
      <c r="EF262">
        <f ca="1"/>
      </c>
      <c r="EG262">
        <f ca="1"/>
      </c>
      <c r="EH262">
        <f ca="1"/>
      </c>
      <c r="EI262">
        <f ca="1"/>
      </c>
      <c r="EJ262">
        <f ca="1"/>
      </c>
      <c r="EK262">
        <f ca="1"/>
      </c>
      <c r="EL262">
        <f ca="1"/>
      </c>
      <c r="EM262">
        <f ca="1"/>
      </c>
      <c r="EN262">
        <f ca="1"/>
      </c>
      <c r="EO262">
        <f ca="1"/>
      </c>
      <c r="EP262">
        <f ca="1"/>
      </c>
      <c r="EQ262">
        <f ca="1"/>
      </c>
      <c r="ER262">
        <f ca="1"/>
      </c>
      <c r="ES262">
        <f ca="1"/>
      </c>
      <c r="ET262">
        <f ca="1"/>
      </c>
      <c r="EU262">
        <f ca="1"/>
      </c>
      <c r="EV262">
        <f ca="1"/>
      </c>
      <c r="EW262">
        <f ca="1"/>
      </c>
      <c r="EX262">
        <f ca="1"/>
      </c>
      <c r="EY262">
        <f ca="1"/>
      </c>
      <c r="EZ262">
        <f ca="1"/>
      </c>
      <c r="FA262">
        <f ca="1"/>
      </c>
      <c r="FC262">
        <f ca="1"/>
      </c>
      <c r="FD262">
        <f ca="1"/>
      </c>
      <c r="FE262">
        <f ca="1"/>
      </c>
      <c r="FF262">
        <f ca="1"/>
      </c>
      <c r="FG262">
        <f ca="1"/>
      </c>
      <c r="FH262">
        <f ca="1"/>
      </c>
      <c r="FI262">
        <f ca="1"/>
      </c>
      <c r="FJ262">
        <f ca="1"/>
      </c>
      <c r="FK262">
        <f ca="1"/>
      </c>
      <c r="FL262">
        <f ca="1"/>
      </c>
      <c r="FM262">
        <f ca="1"/>
      </c>
      <c r="FN262">
        <f ca="1"/>
      </c>
      <c r="FO262">
        <f ca="1"/>
      </c>
      <c r="FP262">
        <f ca="1"/>
      </c>
      <c r="FQ262">
        <f ca="1"/>
      </c>
      <c r="FR262">
        <f ca="1"/>
      </c>
      <c r="FS262">
        <f ca="1"/>
      </c>
      <c r="FT262">
        <f ca="1"/>
      </c>
      <c r="FU262">
        <f ca="1"/>
      </c>
      <c r="FV262">
        <f ca="1"/>
      </c>
      <c r="FW262">
        <f ca="1"/>
      </c>
      <c r="FX262">
        <f ca="1"/>
      </c>
      <c r="FY262">
        <f ca="1"/>
      </c>
      <c r="FZ262">
        <f ca="1"/>
      </c>
      <c r="GA262">
        <f ca="1"/>
      </c>
      <c r="GB262">
        <f ca="1"/>
      </c>
      <c r="GC262">
        <f ca="1"/>
      </c>
      <c r="GD262">
        <f ca="1"/>
      </c>
      <c r="GE262">
        <f ca="1"/>
      </c>
      <c r="GF262">
        <f ca="1"/>
      </c>
      <c r="GG262">
        <f ca="1"/>
      </c>
      <c r="GH262">
        <f ca="1"/>
      </c>
      <c r="GI262">
        <f ca="1"/>
      </c>
      <c r="GJ262">
        <f ca="1"/>
      </c>
      <c r="GK262">
        <f ca="1"/>
      </c>
      <c r="GL262">
        <f ca="1"/>
      </c>
      <c r="GM262">
        <f ca="1"/>
      </c>
      <c r="GN262">
        <f ca="1"/>
      </c>
      <c r="GO262">
        <f ca="1"/>
      </c>
      <c r="GP262">
        <f ca="1"/>
      </c>
      <c r="GQ262">
        <f ca="1"/>
      </c>
      <c r="GR262">
        <f ca="1"/>
      </c>
      <c r="GS262">
        <f ca="1"/>
      </c>
      <c r="GT262">
        <f ca="1"/>
      </c>
      <c r="GU262">
        <f ca="1"/>
      </c>
      <c r="GV262">
        <f ca="1"/>
      </c>
      <c r="GW262">
        <f ca="1"/>
      </c>
      <c r="HI262" s="7"/>
    </row>
    <row r="263" spans="63:217" x14ac:dyDescent="0.55000000000000004">
      <c r="BK263">
        <f ca="1"/>
      </c>
      <c r="BL263">
        <f ca="1"/>
      </c>
      <c r="BM263">
        <f ca="1"/>
      </c>
      <c r="BN263">
        <f ca="1"/>
      </c>
      <c r="BO263">
        <f ca="1"/>
      </c>
      <c r="BP263">
        <f ca="1"/>
      </c>
      <c r="BQ263">
        <f ca="1"/>
      </c>
      <c r="BR263">
        <f ca="1"/>
      </c>
      <c r="BS263">
        <f ca="1"/>
      </c>
      <c r="BT263">
        <f ca="1"/>
      </c>
      <c r="BU263">
        <f ca="1"/>
      </c>
      <c r="BV263">
        <f ca="1"/>
      </c>
      <c r="BW263">
        <f ca="1"/>
      </c>
      <c r="BX263">
        <f ca="1"/>
      </c>
      <c r="BY263">
        <f ca="1"/>
      </c>
      <c r="BZ263">
        <f ca="1"/>
      </c>
      <c r="CA263">
        <f ca="1"/>
      </c>
      <c r="CB263">
        <f ca="1"/>
      </c>
      <c r="CC263">
        <f ca="1"/>
      </c>
      <c r="CD263">
        <f ca="1"/>
      </c>
      <c r="CE263">
        <f ca="1"/>
      </c>
      <c r="CF263">
        <f ca="1"/>
      </c>
      <c r="CG263">
        <f ca="1"/>
      </c>
      <c r="CH263">
        <f ca="1"/>
      </c>
      <c r="CI263">
        <f ca="1"/>
      </c>
      <c r="CJ263">
        <f ca="1"/>
      </c>
      <c r="CK263">
        <f ca="1"/>
      </c>
      <c r="CL263">
        <f ca="1"/>
      </c>
      <c r="CM263">
        <f ca="1"/>
      </c>
      <c r="CN263">
        <f ca="1"/>
      </c>
      <c r="CO263">
        <f ca="1"/>
      </c>
      <c r="CP263">
        <f ca="1"/>
      </c>
      <c r="CQ263">
        <f ca="1"/>
      </c>
      <c r="CR263">
        <f ca="1"/>
      </c>
      <c r="CS263">
        <f ca="1"/>
      </c>
      <c r="CT263">
        <f ca="1"/>
      </c>
      <c r="CU263">
        <f ca="1"/>
      </c>
      <c r="CV263">
        <f ca="1"/>
      </c>
      <c r="CW263">
        <f ca="1"/>
      </c>
      <c r="CX263">
        <f ca="1"/>
      </c>
      <c r="CY263">
        <f ca="1"/>
      </c>
      <c r="CZ263">
        <f ca="1"/>
      </c>
      <c r="DA263">
        <f ca="1"/>
      </c>
      <c r="DB263">
        <f ca="1"/>
      </c>
      <c r="DC263">
        <f ca="1"/>
      </c>
      <c r="DD263">
        <f ca="1"/>
      </c>
      <c r="DE263">
        <f ca="1"/>
      </c>
      <c r="DG263">
        <f ca="1"/>
      </c>
      <c r="DH263">
        <f ca="1"/>
      </c>
      <c r="DI263">
        <f ca="1"/>
      </c>
      <c r="DJ263">
        <f ca="1"/>
      </c>
      <c r="DK263">
        <f ca="1"/>
      </c>
      <c r="DL263">
        <f ca="1"/>
      </c>
      <c r="DM263">
        <f ca="1"/>
      </c>
      <c r="DN263">
        <f ca="1"/>
      </c>
      <c r="DO263">
        <f ca="1"/>
      </c>
      <c r="DP263">
        <f ca="1"/>
      </c>
      <c r="DQ263">
        <f ca="1"/>
      </c>
      <c r="DR263">
        <f ca="1"/>
      </c>
      <c r="DS263">
        <f ca="1"/>
      </c>
      <c r="DT263">
        <f ca="1"/>
      </c>
      <c r="DU263">
        <f ca="1"/>
      </c>
      <c r="DV263">
        <f ca="1"/>
      </c>
      <c r="DW263">
        <f ca="1"/>
      </c>
      <c r="DX263">
        <f ca="1"/>
      </c>
      <c r="DY263">
        <f ca="1"/>
      </c>
      <c r="DZ263">
        <f ca="1"/>
      </c>
      <c r="EA263">
        <f ca="1"/>
      </c>
      <c r="EB263">
        <f ca="1"/>
      </c>
      <c r="EC263">
        <f ca="1"/>
      </c>
      <c r="ED263">
        <f ca="1"/>
      </c>
      <c r="EE263">
        <f ca="1"/>
      </c>
      <c r="EF263">
        <f ca="1"/>
      </c>
      <c r="EG263">
        <f ca="1"/>
      </c>
      <c r="EH263">
        <f ca="1"/>
      </c>
      <c r="EI263">
        <f ca="1"/>
      </c>
      <c r="EJ263">
        <f ca="1"/>
      </c>
      <c r="EK263">
        <f ca="1"/>
      </c>
      <c r="EL263">
        <f ca="1"/>
      </c>
      <c r="EM263">
        <f ca="1"/>
      </c>
      <c r="EN263">
        <f ca="1"/>
      </c>
      <c r="EO263">
        <f ca="1"/>
      </c>
      <c r="EP263">
        <f ca="1"/>
      </c>
      <c r="EQ263">
        <f ca="1"/>
      </c>
      <c r="ER263">
        <f ca="1"/>
      </c>
      <c r="ES263">
        <f ca="1"/>
      </c>
      <c r="ET263">
        <f ca="1"/>
      </c>
      <c r="EU263">
        <f ca="1"/>
      </c>
      <c r="EV263">
        <f ca="1"/>
      </c>
      <c r="EW263">
        <f ca="1"/>
      </c>
      <c r="EX263">
        <f ca="1"/>
      </c>
      <c r="EY263">
        <f ca="1"/>
      </c>
      <c r="EZ263">
        <f ca="1"/>
      </c>
      <c r="FA263">
        <f ca="1"/>
      </c>
      <c r="FC263">
        <f ca="1"/>
      </c>
      <c r="FD263">
        <f ca="1"/>
      </c>
      <c r="FE263">
        <f ca="1"/>
      </c>
      <c r="FF263">
        <f ca="1"/>
      </c>
      <c r="FG263">
        <f ca="1"/>
      </c>
      <c r="FH263">
        <f ca="1"/>
      </c>
      <c r="FI263">
        <f ca="1"/>
      </c>
      <c r="FJ263">
        <f ca="1"/>
      </c>
      <c r="FK263">
        <f ca="1"/>
      </c>
      <c r="FL263">
        <f ca="1"/>
      </c>
      <c r="FM263">
        <f ca="1"/>
      </c>
      <c r="FN263">
        <f ca="1"/>
      </c>
      <c r="FO263">
        <f ca="1"/>
      </c>
      <c r="FP263">
        <f ca="1"/>
      </c>
      <c r="FQ263">
        <f ca="1"/>
      </c>
      <c r="FR263">
        <f ca="1"/>
      </c>
      <c r="FS263">
        <f ca="1"/>
      </c>
      <c r="FT263">
        <f ca="1"/>
      </c>
      <c r="FU263">
        <f ca="1"/>
      </c>
      <c r="FV263">
        <f ca="1"/>
      </c>
      <c r="FW263">
        <f ca="1"/>
      </c>
      <c r="FX263">
        <f ca="1"/>
      </c>
      <c r="FY263">
        <f ca="1"/>
      </c>
      <c r="FZ263">
        <f ca="1"/>
      </c>
      <c r="GA263">
        <f ca="1"/>
      </c>
      <c r="GB263">
        <f ca="1"/>
      </c>
      <c r="GC263">
        <f ca="1"/>
      </c>
      <c r="GD263">
        <f ca="1"/>
      </c>
      <c r="GE263">
        <f ca="1"/>
      </c>
      <c r="GF263">
        <f ca="1"/>
      </c>
      <c r="GG263">
        <f ca="1"/>
      </c>
      <c r="GH263">
        <f ca="1"/>
      </c>
      <c r="GI263">
        <f ca="1"/>
      </c>
      <c r="GJ263">
        <f ca="1"/>
      </c>
      <c r="GK263">
        <f ca="1"/>
      </c>
      <c r="GL263">
        <f ca="1"/>
      </c>
      <c r="GM263">
        <f ca="1"/>
      </c>
      <c r="GN263">
        <f ca="1"/>
      </c>
      <c r="GO263">
        <f ca="1"/>
      </c>
      <c r="GP263">
        <f ca="1"/>
      </c>
      <c r="GQ263">
        <f ca="1"/>
      </c>
      <c r="GR263">
        <f ca="1"/>
      </c>
      <c r="GS263">
        <f ca="1"/>
      </c>
      <c r="GT263">
        <f ca="1"/>
      </c>
      <c r="GU263">
        <f ca="1"/>
      </c>
      <c r="GV263">
        <f ca="1"/>
      </c>
      <c r="GW263">
        <f ca="1"/>
      </c>
      <c r="HI263" s="7"/>
    </row>
    <row r="264" spans="63:217" x14ac:dyDescent="0.55000000000000004">
      <c r="BK264">
        <f ca="1"/>
      </c>
      <c r="BL264">
        <f ca="1"/>
      </c>
      <c r="BM264">
        <f ca="1"/>
      </c>
      <c r="BN264">
        <f ca="1"/>
      </c>
      <c r="BO264">
        <f ca="1"/>
      </c>
      <c r="BP264">
        <f ca="1"/>
      </c>
      <c r="BQ264">
        <f ca="1"/>
      </c>
      <c r="BR264">
        <f ca="1"/>
      </c>
      <c r="BS264">
        <f ca="1"/>
      </c>
      <c r="BT264">
        <f ca="1"/>
      </c>
      <c r="BU264">
        <f ca="1"/>
      </c>
      <c r="BV264">
        <f ca="1"/>
      </c>
      <c r="BW264">
        <f ca="1"/>
      </c>
      <c r="BX264">
        <f ca="1"/>
      </c>
      <c r="BY264">
        <f ca="1"/>
      </c>
      <c r="BZ264">
        <f ca="1"/>
      </c>
      <c r="CA264">
        <f ca="1"/>
      </c>
      <c r="CB264">
        <f ca="1"/>
      </c>
      <c r="CC264">
        <f ca="1"/>
      </c>
      <c r="CD264">
        <f ca="1"/>
      </c>
      <c r="CE264">
        <f ca="1"/>
      </c>
      <c r="CF264">
        <f ca="1"/>
      </c>
      <c r="CG264">
        <f ca="1"/>
      </c>
      <c r="CH264">
        <f ca="1"/>
      </c>
      <c r="CI264">
        <f ca="1"/>
      </c>
      <c r="CJ264">
        <f ca="1"/>
      </c>
      <c r="CK264">
        <f ca="1"/>
      </c>
      <c r="CL264">
        <f ca="1"/>
      </c>
      <c r="CM264">
        <f ca="1"/>
      </c>
      <c r="CN264">
        <f ca="1"/>
      </c>
      <c r="CO264">
        <f ca="1"/>
      </c>
      <c r="CP264">
        <f ca="1"/>
      </c>
      <c r="CQ264">
        <f ca="1"/>
      </c>
      <c r="CR264">
        <f ca="1"/>
      </c>
      <c r="CS264">
        <f ca="1"/>
      </c>
      <c r="CT264">
        <f ca="1"/>
      </c>
      <c r="CU264">
        <f ca="1"/>
      </c>
      <c r="CV264">
        <f ca="1"/>
      </c>
      <c r="CW264">
        <f ca="1"/>
      </c>
      <c r="CX264">
        <f ca="1"/>
      </c>
      <c r="CY264">
        <f ca="1"/>
      </c>
      <c r="CZ264">
        <f ca="1"/>
      </c>
      <c r="DA264">
        <f ca="1"/>
      </c>
      <c r="DB264">
        <f ca="1"/>
      </c>
      <c r="DC264">
        <f ca="1"/>
      </c>
      <c r="DD264">
        <f ca="1"/>
      </c>
      <c r="DE264">
        <f ca="1"/>
      </c>
      <c r="DG264">
        <f ca="1"/>
      </c>
      <c r="DH264">
        <f ca="1"/>
      </c>
      <c r="DI264">
        <f ca="1"/>
      </c>
      <c r="DJ264">
        <f ca="1"/>
      </c>
      <c r="DK264">
        <f ca="1"/>
      </c>
      <c r="DL264">
        <f ca="1"/>
      </c>
      <c r="DM264">
        <f ca="1"/>
      </c>
      <c r="DN264">
        <f ca="1"/>
      </c>
      <c r="DO264">
        <f ca="1"/>
      </c>
      <c r="DP264">
        <f ca="1"/>
      </c>
      <c r="DQ264">
        <f ca="1"/>
      </c>
      <c r="DR264">
        <f ca="1"/>
      </c>
      <c r="DS264">
        <f ca="1"/>
      </c>
      <c r="DT264">
        <f ca="1"/>
      </c>
      <c r="DU264">
        <f ca="1"/>
      </c>
      <c r="DV264">
        <f ca="1"/>
      </c>
      <c r="DW264">
        <f ca="1"/>
      </c>
      <c r="DX264">
        <f ca="1"/>
      </c>
      <c r="DY264">
        <f ca="1"/>
      </c>
      <c r="DZ264">
        <f ca="1"/>
      </c>
      <c r="EA264">
        <f ca="1"/>
      </c>
      <c r="EB264">
        <f ca="1"/>
      </c>
      <c r="EC264">
        <f ca="1"/>
      </c>
      <c r="ED264">
        <f ca="1"/>
      </c>
      <c r="EE264">
        <f ca="1"/>
      </c>
      <c r="EF264">
        <f ca="1"/>
      </c>
      <c r="EG264">
        <f ca="1"/>
      </c>
      <c r="EH264">
        <f ca="1"/>
      </c>
      <c r="EI264">
        <f ca="1"/>
      </c>
      <c r="EJ264">
        <f ca="1"/>
      </c>
      <c r="EK264">
        <f ca="1"/>
      </c>
      <c r="EL264">
        <f ca="1"/>
      </c>
      <c r="EM264">
        <f ca="1"/>
      </c>
      <c r="EN264">
        <f ca="1"/>
      </c>
      <c r="EO264">
        <f ca="1"/>
      </c>
      <c r="EP264">
        <f ca="1"/>
      </c>
      <c r="EQ264">
        <f ca="1"/>
      </c>
      <c r="ER264">
        <f ca="1"/>
      </c>
      <c r="ES264">
        <f ca="1"/>
      </c>
      <c r="ET264">
        <f ca="1"/>
      </c>
      <c r="EU264">
        <f ca="1"/>
      </c>
      <c r="EV264">
        <f ca="1"/>
      </c>
      <c r="EW264">
        <f ca="1"/>
      </c>
      <c r="EX264">
        <f ca="1"/>
      </c>
      <c r="EY264">
        <f ca="1"/>
      </c>
      <c r="EZ264">
        <f ca="1"/>
      </c>
      <c r="FA264">
        <f ca="1"/>
      </c>
      <c r="FC264">
        <f ca="1"/>
      </c>
      <c r="FD264">
        <f ca="1"/>
      </c>
      <c r="FE264">
        <f ca="1"/>
      </c>
      <c r="FF264">
        <f ca="1"/>
      </c>
      <c r="FG264">
        <f ca="1"/>
      </c>
      <c r="FH264">
        <f ca="1"/>
      </c>
      <c r="FI264">
        <f ca="1"/>
      </c>
      <c r="FJ264">
        <f ca="1"/>
      </c>
      <c r="FK264">
        <f ca="1"/>
      </c>
      <c r="FL264">
        <f ca="1"/>
      </c>
      <c r="FM264">
        <f ca="1"/>
      </c>
      <c r="FN264">
        <f ca="1"/>
      </c>
      <c r="FO264">
        <f ca="1"/>
      </c>
      <c r="FP264">
        <f ca="1"/>
      </c>
      <c r="FQ264">
        <f ca="1"/>
      </c>
      <c r="FR264">
        <f ca="1"/>
      </c>
      <c r="FS264">
        <f ca="1"/>
      </c>
      <c r="FT264">
        <f ca="1"/>
      </c>
      <c r="FU264">
        <f ca="1"/>
      </c>
      <c r="FV264">
        <f ca="1"/>
      </c>
      <c r="FW264">
        <f ca="1"/>
      </c>
      <c r="FX264">
        <f ca="1"/>
      </c>
      <c r="FY264">
        <f ca="1"/>
      </c>
      <c r="FZ264">
        <f ca="1"/>
      </c>
      <c r="GA264">
        <f ca="1"/>
      </c>
      <c r="GB264">
        <f ca="1"/>
      </c>
      <c r="GC264">
        <f ca="1"/>
      </c>
      <c r="GD264">
        <f ca="1"/>
      </c>
      <c r="GE264">
        <f ca="1"/>
      </c>
      <c r="GF264">
        <f ca="1"/>
      </c>
      <c r="GG264">
        <f ca="1"/>
      </c>
      <c r="GH264">
        <f ca="1"/>
      </c>
      <c r="GI264">
        <f ca="1"/>
      </c>
      <c r="GJ264">
        <f ca="1"/>
      </c>
      <c r="GK264">
        <f ca="1"/>
      </c>
      <c r="GL264">
        <f ca="1"/>
      </c>
      <c r="GM264">
        <f ca="1"/>
      </c>
      <c r="GN264">
        <f ca="1"/>
      </c>
      <c r="GO264">
        <f ca="1"/>
      </c>
      <c r="GP264">
        <f ca="1"/>
      </c>
      <c r="GQ264">
        <f ca="1"/>
      </c>
      <c r="GR264">
        <f ca="1"/>
      </c>
      <c r="GS264">
        <f ca="1"/>
      </c>
      <c r="GT264">
        <f ca="1"/>
      </c>
      <c r="GU264">
        <f ca="1"/>
      </c>
      <c r="GV264">
        <f ca="1"/>
      </c>
      <c r="GW264">
        <f ca="1"/>
      </c>
      <c r="HI264" s="7"/>
    </row>
    <row r="265" spans="63:217" x14ac:dyDescent="0.55000000000000004">
      <c r="BK265">
        <f ca="1"/>
      </c>
      <c r="BL265">
        <f ca="1"/>
      </c>
      <c r="BM265">
        <f ca="1"/>
      </c>
      <c r="BN265">
        <f ca="1"/>
      </c>
      <c r="BO265">
        <f ca="1"/>
      </c>
      <c r="BP265">
        <f ca="1"/>
      </c>
      <c r="BQ265">
        <f ca="1"/>
      </c>
      <c r="BR265">
        <f ca="1"/>
      </c>
      <c r="BS265">
        <f ca="1"/>
      </c>
      <c r="BT265">
        <f ca="1"/>
      </c>
      <c r="BU265">
        <f ca="1"/>
      </c>
      <c r="BV265">
        <f ca="1"/>
      </c>
      <c r="BW265">
        <f ca="1"/>
      </c>
      <c r="BX265">
        <f ca="1"/>
      </c>
      <c r="BY265">
        <f ca="1"/>
      </c>
      <c r="BZ265">
        <f ca="1"/>
      </c>
      <c r="CA265">
        <f ca="1"/>
      </c>
      <c r="CB265">
        <f ca="1"/>
      </c>
      <c r="CC265">
        <f ca="1"/>
      </c>
      <c r="CD265">
        <f ca="1"/>
      </c>
      <c r="CE265">
        <f ca="1"/>
      </c>
      <c r="CF265">
        <f ca="1"/>
      </c>
      <c r="CG265">
        <f ca="1"/>
      </c>
      <c r="CH265">
        <f ca="1"/>
      </c>
      <c r="CI265">
        <f ca="1"/>
      </c>
      <c r="CJ265">
        <f ca="1"/>
      </c>
      <c r="CK265">
        <f ca="1"/>
      </c>
      <c r="CL265">
        <f ca="1"/>
      </c>
      <c r="CM265">
        <f ca="1"/>
      </c>
      <c r="CN265">
        <f ca="1"/>
      </c>
      <c r="CO265">
        <f ca="1"/>
      </c>
      <c r="CP265">
        <f ca="1"/>
      </c>
      <c r="CQ265">
        <f ca="1"/>
      </c>
      <c r="CR265">
        <f ca="1"/>
      </c>
      <c r="CS265">
        <f ca="1"/>
      </c>
      <c r="CT265">
        <f ca="1"/>
      </c>
      <c r="CU265">
        <f ca="1"/>
      </c>
      <c r="CV265">
        <f ca="1"/>
      </c>
      <c r="CW265">
        <f ca="1"/>
      </c>
      <c r="CX265">
        <f ca="1"/>
      </c>
      <c r="CY265">
        <f ca="1"/>
      </c>
      <c r="CZ265">
        <f ca="1"/>
      </c>
      <c r="DA265">
        <f ca="1"/>
      </c>
      <c r="DB265">
        <f ca="1"/>
      </c>
      <c r="DC265">
        <f ca="1"/>
      </c>
      <c r="DD265">
        <f ca="1"/>
      </c>
      <c r="DE265">
        <f ca="1"/>
      </c>
      <c r="DG265">
        <f ca="1"/>
      </c>
      <c r="DH265">
        <f ca="1"/>
      </c>
      <c r="DI265">
        <f ca="1"/>
      </c>
      <c r="DJ265">
        <f ca="1"/>
      </c>
      <c r="DK265">
        <f ca="1"/>
      </c>
      <c r="DL265">
        <f ca="1"/>
      </c>
      <c r="DM265">
        <f ca="1"/>
      </c>
      <c r="DN265">
        <f ca="1"/>
      </c>
      <c r="DO265">
        <f ca="1"/>
      </c>
      <c r="DP265">
        <f ca="1"/>
      </c>
      <c r="DQ265">
        <f ca="1"/>
      </c>
      <c r="DR265">
        <f ca="1"/>
      </c>
      <c r="DS265">
        <f ca="1"/>
      </c>
      <c r="DT265">
        <f ca="1"/>
      </c>
      <c r="DU265">
        <f ca="1"/>
      </c>
      <c r="DV265">
        <f ca="1"/>
      </c>
      <c r="DW265">
        <f ca="1"/>
      </c>
      <c r="DX265">
        <f ca="1"/>
      </c>
      <c r="DY265">
        <f ca="1"/>
      </c>
      <c r="DZ265">
        <f ca="1"/>
      </c>
      <c r="EA265">
        <f ca="1"/>
      </c>
      <c r="EB265">
        <f ca="1"/>
      </c>
      <c r="EC265">
        <f ca="1"/>
      </c>
      <c r="ED265">
        <f ca="1"/>
      </c>
      <c r="EE265">
        <f ca="1"/>
      </c>
      <c r="EF265">
        <f ca="1"/>
      </c>
      <c r="EG265">
        <f ca="1"/>
      </c>
      <c r="EH265">
        <f ca="1"/>
      </c>
      <c r="EI265">
        <f ca="1"/>
      </c>
      <c r="EJ265">
        <f ca="1"/>
      </c>
      <c r="EK265">
        <f ca="1"/>
      </c>
      <c r="EL265">
        <f ca="1"/>
      </c>
      <c r="EM265">
        <f ca="1"/>
      </c>
      <c r="EN265">
        <f ca="1"/>
      </c>
      <c r="EO265">
        <f ca="1"/>
      </c>
      <c r="EP265">
        <f ca="1"/>
      </c>
      <c r="EQ265">
        <f ca="1"/>
      </c>
      <c r="ER265">
        <f ca="1"/>
      </c>
      <c r="ES265">
        <f ca="1"/>
      </c>
      <c r="ET265">
        <f ca="1"/>
      </c>
      <c r="EU265">
        <f ca="1"/>
      </c>
      <c r="EV265">
        <f ca="1"/>
      </c>
      <c r="EW265">
        <f ca="1"/>
      </c>
      <c r="EX265">
        <f ca="1"/>
      </c>
      <c r="EY265">
        <f ca="1"/>
      </c>
      <c r="EZ265">
        <f ca="1"/>
      </c>
      <c r="FA265">
        <f ca="1"/>
      </c>
      <c r="FC265">
        <f ca="1"/>
      </c>
      <c r="FD265">
        <f ca="1"/>
      </c>
      <c r="FE265">
        <f ca="1"/>
      </c>
      <c r="FF265">
        <f ca="1"/>
      </c>
      <c r="FG265">
        <f ca="1"/>
      </c>
      <c r="FH265">
        <f ca="1"/>
      </c>
      <c r="FI265">
        <f ca="1"/>
      </c>
      <c r="FJ265">
        <f ca="1"/>
      </c>
      <c r="FK265">
        <f ca="1"/>
      </c>
      <c r="FL265">
        <f ca="1"/>
      </c>
      <c r="FM265">
        <f ca="1"/>
      </c>
      <c r="FN265">
        <f ca="1"/>
      </c>
      <c r="FO265">
        <f ca="1"/>
      </c>
      <c r="FP265">
        <f ca="1"/>
      </c>
      <c r="FQ265">
        <f ca="1"/>
      </c>
      <c r="FR265">
        <f ca="1"/>
      </c>
      <c r="FS265">
        <f ca="1"/>
      </c>
      <c r="FT265">
        <f ca="1"/>
      </c>
      <c r="FU265">
        <f ca="1"/>
      </c>
      <c r="FV265">
        <f ca="1"/>
      </c>
      <c r="FW265">
        <f ca="1"/>
      </c>
      <c r="FX265">
        <f ca="1"/>
      </c>
      <c r="FY265">
        <f ca="1"/>
      </c>
      <c r="FZ265">
        <f ca="1"/>
      </c>
      <c r="GA265">
        <f ca="1"/>
      </c>
      <c r="GB265">
        <f ca="1"/>
      </c>
      <c r="GC265">
        <f ca="1"/>
      </c>
      <c r="GD265">
        <f ca="1"/>
      </c>
      <c r="GE265">
        <f ca="1"/>
      </c>
      <c r="GF265">
        <f ca="1"/>
      </c>
      <c r="GG265">
        <f ca="1"/>
      </c>
      <c r="GH265">
        <f ca="1"/>
      </c>
      <c r="GI265">
        <f ca="1"/>
      </c>
      <c r="GJ265">
        <f ca="1"/>
      </c>
      <c r="GK265">
        <f ca="1"/>
      </c>
      <c r="GL265">
        <f ca="1"/>
      </c>
      <c r="GM265">
        <f ca="1"/>
      </c>
      <c r="GN265">
        <f ca="1"/>
      </c>
      <c r="GO265">
        <f ca="1"/>
      </c>
      <c r="GP265">
        <f ca="1"/>
      </c>
      <c r="GQ265">
        <f ca="1"/>
      </c>
      <c r="GR265">
        <f ca="1"/>
      </c>
      <c r="GS265">
        <f ca="1"/>
      </c>
      <c r="GT265">
        <f ca="1"/>
      </c>
      <c r="GU265">
        <f ca="1"/>
      </c>
      <c r="GV265">
        <f ca="1"/>
      </c>
      <c r="GW265">
        <f ca="1"/>
      </c>
      <c r="HI265" s="7"/>
    </row>
    <row r="266" spans="63:217" x14ac:dyDescent="0.55000000000000004">
      <c r="BK266">
        <f ca="1"/>
      </c>
      <c r="BL266">
        <f ca="1"/>
      </c>
      <c r="BM266">
        <f ca="1"/>
      </c>
      <c r="BN266">
        <f ca="1"/>
      </c>
      <c r="BO266">
        <f ca="1"/>
      </c>
      <c r="BP266">
        <f ca="1"/>
      </c>
      <c r="BQ266">
        <f ca="1"/>
      </c>
      <c r="BR266">
        <f ca="1"/>
      </c>
      <c r="BS266">
        <f ca="1"/>
      </c>
      <c r="BT266">
        <f ca="1"/>
      </c>
      <c r="BU266">
        <f ca="1"/>
      </c>
      <c r="BV266">
        <f ca="1"/>
      </c>
      <c r="BW266">
        <f ca="1"/>
      </c>
      <c r="BX266">
        <f ca="1"/>
      </c>
      <c r="BY266">
        <f ca="1"/>
      </c>
      <c r="BZ266">
        <f ca="1"/>
      </c>
      <c r="CA266">
        <f ca="1"/>
      </c>
      <c r="CB266">
        <f ca="1"/>
      </c>
      <c r="CC266">
        <f ca="1"/>
      </c>
      <c r="CD266">
        <f ca="1"/>
      </c>
      <c r="CE266">
        <f ca="1"/>
      </c>
      <c r="CF266">
        <f ca="1"/>
      </c>
      <c r="CG266">
        <f ca="1"/>
      </c>
      <c r="CH266">
        <f ca="1"/>
      </c>
      <c r="CI266">
        <f ca="1"/>
      </c>
      <c r="CJ266">
        <f ca="1"/>
      </c>
      <c r="CK266">
        <f ca="1"/>
      </c>
      <c r="CL266">
        <f ca="1"/>
      </c>
      <c r="CM266">
        <f ca="1"/>
      </c>
      <c r="CN266">
        <f ca="1"/>
      </c>
      <c r="CO266">
        <f ca="1"/>
      </c>
      <c r="CP266">
        <f ca="1"/>
      </c>
      <c r="CQ266">
        <f ca="1"/>
      </c>
      <c r="CR266">
        <f ca="1"/>
      </c>
      <c r="CS266">
        <f ca="1"/>
      </c>
      <c r="CT266">
        <f ca="1"/>
      </c>
      <c r="CU266">
        <f ca="1"/>
      </c>
      <c r="CV266">
        <f ca="1"/>
      </c>
      <c r="CW266">
        <f ca="1"/>
      </c>
      <c r="CX266">
        <f ca="1"/>
      </c>
      <c r="CY266">
        <f ca="1"/>
      </c>
      <c r="CZ266">
        <f ca="1"/>
      </c>
      <c r="DA266">
        <f ca="1"/>
      </c>
      <c r="DB266">
        <f ca="1"/>
      </c>
      <c r="DC266">
        <f ca="1"/>
      </c>
      <c r="DD266">
        <f ca="1"/>
      </c>
      <c r="DE266">
        <f ca="1"/>
      </c>
      <c r="DG266">
        <f ca="1"/>
      </c>
      <c r="DH266">
        <f ca="1"/>
      </c>
      <c r="DI266">
        <f ca="1"/>
      </c>
      <c r="DJ266">
        <f ca="1"/>
      </c>
      <c r="DK266">
        <f ca="1"/>
      </c>
      <c r="DL266">
        <f ca="1"/>
      </c>
      <c r="DM266">
        <f ca="1"/>
      </c>
      <c r="DN266">
        <f ca="1"/>
      </c>
      <c r="DO266">
        <f ca="1"/>
      </c>
      <c r="DP266">
        <f ca="1"/>
      </c>
      <c r="DQ266">
        <f ca="1"/>
      </c>
      <c r="DR266">
        <f ca="1"/>
      </c>
      <c r="DS266">
        <f ca="1"/>
      </c>
      <c r="DT266">
        <f ca="1"/>
      </c>
      <c r="DU266">
        <f ca="1"/>
      </c>
      <c r="DV266">
        <f ca="1"/>
      </c>
      <c r="DW266">
        <f ca="1"/>
      </c>
      <c r="DX266">
        <f ca="1"/>
      </c>
      <c r="DY266">
        <f ca="1"/>
      </c>
      <c r="DZ266">
        <f ca="1"/>
      </c>
      <c r="EA266">
        <f ca="1"/>
      </c>
      <c r="EB266">
        <f ca="1"/>
      </c>
      <c r="EC266">
        <f ca="1"/>
      </c>
      <c r="ED266">
        <f ca="1"/>
      </c>
      <c r="EE266">
        <f ca="1"/>
      </c>
      <c r="EF266">
        <f ca="1"/>
      </c>
      <c r="EG266">
        <f ca="1"/>
      </c>
      <c r="EH266">
        <f ca="1"/>
      </c>
      <c r="EI266">
        <f ca="1"/>
      </c>
      <c r="EJ266">
        <f ca="1"/>
      </c>
      <c r="EK266">
        <f ca="1"/>
      </c>
      <c r="EL266">
        <f ca="1"/>
      </c>
      <c r="EM266">
        <f ca="1"/>
      </c>
      <c r="EN266">
        <f ca="1"/>
      </c>
      <c r="EO266">
        <f ca="1"/>
      </c>
      <c r="EP266">
        <f ca="1"/>
      </c>
      <c r="EQ266">
        <f ca="1"/>
      </c>
      <c r="ER266">
        <f ca="1"/>
      </c>
      <c r="ES266">
        <f ca="1"/>
      </c>
      <c r="ET266">
        <f ca="1"/>
      </c>
      <c r="EU266">
        <f ca="1"/>
      </c>
      <c r="EV266">
        <f ca="1"/>
      </c>
      <c r="EW266">
        <f ca="1"/>
      </c>
      <c r="EX266">
        <f ca="1"/>
      </c>
      <c r="EY266">
        <f ca="1"/>
      </c>
      <c r="EZ266">
        <f ca="1"/>
      </c>
      <c r="FA266">
        <f ca="1"/>
      </c>
      <c r="FC266">
        <f ca="1"/>
      </c>
      <c r="FD266">
        <f ca="1"/>
      </c>
      <c r="FE266">
        <f ca="1"/>
      </c>
      <c r="FF266">
        <f ca="1"/>
      </c>
      <c r="FG266">
        <f ca="1"/>
      </c>
      <c r="FH266">
        <f ca="1"/>
      </c>
      <c r="FI266">
        <f ca="1"/>
      </c>
      <c r="FJ266">
        <f ca="1"/>
      </c>
      <c r="FK266">
        <f ca="1"/>
      </c>
      <c r="FL266">
        <f ca="1"/>
      </c>
      <c r="FM266">
        <f ca="1"/>
      </c>
      <c r="FN266">
        <f ca="1"/>
      </c>
      <c r="FO266">
        <f ca="1"/>
      </c>
      <c r="FP266">
        <f ca="1"/>
      </c>
      <c r="FQ266">
        <f ca="1"/>
      </c>
      <c r="FR266">
        <f ca="1"/>
      </c>
      <c r="FS266">
        <f ca="1"/>
      </c>
      <c r="FT266">
        <f ca="1"/>
      </c>
      <c r="FU266">
        <f ca="1"/>
      </c>
      <c r="FV266">
        <f ca="1"/>
      </c>
      <c r="FW266">
        <f ca="1"/>
      </c>
      <c r="FX266">
        <f ca="1"/>
      </c>
      <c r="FY266">
        <f ca="1"/>
      </c>
      <c r="FZ266">
        <f ca="1"/>
      </c>
      <c r="GA266">
        <f ca="1"/>
      </c>
      <c r="GB266">
        <f ca="1"/>
      </c>
      <c r="GC266">
        <f ca="1"/>
      </c>
      <c r="GD266">
        <f ca="1"/>
      </c>
      <c r="GE266">
        <f ca="1"/>
      </c>
      <c r="GF266">
        <f ca="1"/>
      </c>
      <c r="GG266">
        <f ca="1"/>
      </c>
      <c r="GH266">
        <f ca="1"/>
      </c>
      <c r="GI266">
        <f ca="1"/>
      </c>
      <c r="GJ266">
        <f ca="1"/>
      </c>
      <c r="GK266">
        <f ca="1"/>
      </c>
      <c r="GL266">
        <f ca="1"/>
      </c>
      <c r="GM266">
        <f ca="1"/>
      </c>
      <c r="GN266">
        <f ca="1"/>
      </c>
      <c r="GO266">
        <f ca="1"/>
      </c>
      <c r="GP266">
        <f ca="1"/>
      </c>
      <c r="GQ266">
        <f ca="1"/>
      </c>
      <c r="GR266">
        <f ca="1"/>
      </c>
      <c r="GS266">
        <f ca="1"/>
      </c>
      <c r="GT266">
        <f ca="1"/>
      </c>
      <c r="GU266">
        <f ca="1"/>
      </c>
      <c r="GV266">
        <f ca="1"/>
      </c>
      <c r="GW266">
        <f ca="1"/>
      </c>
      <c r="HI266" s="7"/>
    </row>
    <row r="267" spans="63:217" x14ac:dyDescent="0.55000000000000004">
      <c r="BK267">
        <f ca="1"/>
      </c>
      <c r="BL267">
        <f ca="1"/>
      </c>
      <c r="BM267">
        <f ca="1"/>
      </c>
      <c r="BN267">
        <f ca="1"/>
      </c>
      <c r="BO267">
        <f ca="1"/>
      </c>
      <c r="BP267">
        <f ca="1"/>
      </c>
      <c r="BQ267">
        <f ca="1"/>
      </c>
      <c r="BR267">
        <f ca="1"/>
      </c>
      <c r="BS267">
        <f ca="1"/>
      </c>
      <c r="BT267">
        <f ca="1"/>
      </c>
      <c r="BU267">
        <f ca="1"/>
      </c>
      <c r="BV267">
        <f ca="1"/>
      </c>
      <c r="BW267">
        <f ca="1"/>
      </c>
      <c r="BX267">
        <f ca="1"/>
      </c>
      <c r="BY267">
        <f ca="1"/>
      </c>
      <c r="BZ267">
        <f ca="1"/>
      </c>
      <c r="CA267">
        <f ca="1"/>
      </c>
      <c r="CB267">
        <f ca="1"/>
      </c>
      <c r="CC267">
        <f ca="1"/>
      </c>
      <c r="CD267">
        <f ca="1"/>
      </c>
      <c r="CE267">
        <f ca="1"/>
      </c>
      <c r="CF267">
        <f ca="1"/>
      </c>
      <c r="CG267">
        <f ca="1"/>
      </c>
      <c r="CH267">
        <f ca="1"/>
      </c>
      <c r="CI267">
        <f ca="1"/>
      </c>
      <c r="CJ267">
        <f ca="1"/>
      </c>
      <c r="CK267">
        <f ca="1"/>
      </c>
      <c r="CL267">
        <f ca="1"/>
      </c>
      <c r="CM267">
        <f ca="1"/>
      </c>
      <c r="CN267">
        <f ca="1"/>
      </c>
      <c r="CO267">
        <f ca="1"/>
      </c>
      <c r="CP267">
        <f ca="1"/>
      </c>
      <c r="CQ267">
        <f ca="1"/>
      </c>
      <c r="CR267">
        <f ca="1"/>
      </c>
      <c r="CS267">
        <f ca="1"/>
      </c>
      <c r="CT267">
        <f ca="1"/>
      </c>
      <c r="CU267">
        <f ca="1"/>
      </c>
      <c r="CV267">
        <f ca="1"/>
      </c>
      <c r="CW267">
        <f ca="1"/>
      </c>
      <c r="CX267">
        <f ca="1"/>
      </c>
      <c r="CY267">
        <f ca="1"/>
      </c>
      <c r="CZ267">
        <f ca="1"/>
      </c>
      <c r="DA267">
        <f ca="1"/>
      </c>
      <c r="DB267">
        <f ca="1"/>
      </c>
      <c r="DC267">
        <f ca="1"/>
      </c>
      <c r="DD267">
        <f ca="1"/>
      </c>
      <c r="DE267">
        <f ca="1"/>
      </c>
      <c r="DG267">
        <f ca="1"/>
      </c>
      <c r="DH267">
        <f ca="1"/>
      </c>
      <c r="DI267">
        <f ca="1"/>
      </c>
      <c r="DJ267">
        <f ca="1"/>
      </c>
      <c r="DK267">
        <f ca="1"/>
      </c>
      <c r="DL267">
        <f ca="1"/>
      </c>
      <c r="DM267">
        <f ca="1"/>
      </c>
      <c r="DN267">
        <f ca="1"/>
      </c>
      <c r="DO267">
        <f ca="1"/>
      </c>
      <c r="DP267">
        <f ca="1"/>
      </c>
      <c r="DQ267">
        <f ca="1"/>
      </c>
      <c r="DR267">
        <f ca="1"/>
      </c>
      <c r="DS267">
        <f ca="1"/>
      </c>
      <c r="DT267">
        <f ca="1"/>
      </c>
      <c r="DU267">
        <f ca="1"/>
      </c>
      <c r="DV267">
        <f ca="1"/>
      </c>
      <c r="DW267">
        <f ca="1"/>
      </c>
      <c r="DX267">
        <f ca="1"/>
      </c>
      <c r="DY267">
        <f ca="1"/>
      </c>
      <c r="DZ267">
        <f ca="1"/>
      </c>
      <c r="EA267">
        <f ca="1"/>
      </c>
      <c r="EB267">
        <f ca="1"/>
      </c>
      <c r="EC267">
        <f ca="1"/>
      </c>
      <c r="ED267">
        <f ca="1"/>
      </c>
      <c r="EE267">
        <f ca="1"/>
      </c>
      <c r="EF267">
        <f ca="1"/>
      </c>
      <c r="EG267">
        <f ca="1"/>
      </c>
      <c r="EH267">
        <f ca="1"/>
      </c>
      <c r="EI267">
        <f ca="1"/>
      </c>
      <c r="EJ267">
        <f ca="1"/>
      </c>
      <c r="EK267">
        <f ca="1"/>
      </c>
      <c r="EL267">
        <f ca="1"/>
      </c>
      <c r="EM267">
        <f ca="1"/>
      </c>
      <c r="EN267">
        <f ca="1"/>
      </c>
      <c r="EO267">
        <f ca="1"/>
      </c>
      <c r="EP267">
        <f ca="1"/>
      </c>
      <c r="EQ267">
        <f ca="1"/>
      </c>
      <c r="ER267">
        <f ca="1"/>
      </c>
      <c r="ES267">
        <f ca="1"/>
      </c>
      <c r="ET267">
        <f ca="1"/>
      </c>
      <c r="EU267">
        <f ca="1"/>
      </c>
      <c r="EV267">
        <f ca="1"/>
      </c>
      <c r="EW267">
        <f ca="1"/>
      </c>
      <c r="EX267">
        <f ca="1"/>
      </c>
      <c r="EY267">
        <f ca="1"/>
      </c>
      <c r="EZ267">
        <f ca="1"/>
      </c>
      <c r="FA267">
        <f ca="1"/>
      </c>
      <c r="FC267">
        <f ca="1"/>
      </c>
      <c r="FD267">
        <f ca="1"/>
      </c>
      <c r="FE267">
        <f ca="1"/>
      </c>
      <c r="FF267">
        <f ca="1"/>
      </c>
      <c r="FG267">
        <f ca="1"/>
      </c>
      <c r="FH267">
        <f ca="1"/>
      </c>
      <c r="FI267">
        <f ca="1"/>
      </c>
      <c r="FJ267">
        <f ca="1"/>
      </c>
      <c r="FK267">
        <f ca="1"/>
      </c>
      <c r="FL267">
        <f ca="1"/>
      </c>
      <c r="FM267">
        <f ca="1"/>
      </c>
      <c r="FN267">
        <f ca="1"/>
      </c>
      <c r="FO267">
        <f ca="1"/>
      </c>
      <c r="FP267">
        <f ca="1"/>
      </c>
      <c r="FQ267">
        <f ca="1"/>
      </c>
      <c r="FR267">
        <f ca="1"/>
      </c>
      <c r="FS267">
        <f ca="1"/>
      </c>
      <c r="FT267">
        <f ca="1"/>
      </c>
      <c r="FU267">
        <f ca="1"/>
      </c>
      <c r="FV267">
        <f ca="1"/>
      </c>
      <c r="FW267">
        <f ca="1"/>
      </c>
      <c r="FX267">
        <f ca="1"/>
      </c>
      <c r="FY267">
        <f ca="1"/>
      </c>
      <c r="FZ267">
        <f ca="1"/>
      </c>
      <c r="GA267">
        <f ca="1"/>
      </c>
      <c r="GB267">
        <f ca="1"/>
      </c>
      <c r="GC267">
        <f ca="1"/>
      </c>
      <c r="GD267">
        <f ca="1"/>
      </c>
      <c r="GE267">
        <f ca="1"/>
      </c>
      <c r="GF267">
        <f ca="1"/>
      </c>
      <c r="GG267">
        <f ca="1"/>
      </c>
      <c r="GH267">
        <f ca="1"/>
      </c>
      <c r="GI267">
        <f ca="1"/>
      </c>
      <c r="GJ267">
        <f ca="1"/>
      </c>
      <c r="GK267">
        <f ca="1"/>
      </c>
      <c r="GL267">
        <f ca="1"/>
      </c>
      <c r="GM267">
        <f ca="1"/>
      </c>
      <c r="GN267">
        <f ca="1"/>
      </c>
      <c r="GO267">
        <f ca="1"/>
      </c>
      <c r="GP267">
        <f ca="1"/>
      </c>
      <c r="GQ267">
        <f ca="1"/>
      </c>
      <c r="GR267">
        <f ca="1"/>
      </c>
      <c r="GS267">
        <f ca="1"/>
      </c>
      <c r="GT267">
        <f ca="1"/>
      </c>
      <c r="GU267">
        <f ca="1"/>
      </c>
      <c r="GV267">
        <f ca="1"/>
      </c>
      <c r="GW267">
        <f ca="1"/>
      </c>
      <c r="HI267" s="7"/>
    </row>
    <row r="268" spans="63:217" x14ac:dyDescent="0.55000000000000004">
      <c r="BK268">
        <f ca="1"/>
      </c>
      <c r="BL268">
        <f ca="1"/>
      </c>
      <c r="BM268">
        <f ca="1"/>
      </c>
      <c r="BN268">
        <f ca="1"/>
      </c>
      <c r="BO268">
        <f ca="1"/>
      </c>
      <c r="BP268">
        <f ca="1"/>
      </c>
      <c r="BQ268">
        <f ca="1"/>
      </c>
      <c r="BR268">
        <f ca="1"/>
      </c>
      <c r="BS268">
        <f ca="1"/>
      </c>
      <c r="BT268">
        <f ca="1"/>
      </c>
      <c r="BU268">
        <f ca="1"/>
      </c>
      <c r="BV268">
        <f ca="1"/>
      </c>
      <c r="BW268">
        <f ca="1"/>
      </c>
      <c r="BX268">
        <f ca="1"/>
      </c>
      <c r="BY268">
        <f ca="1"/>
      </c>
      <c r="BZ268">
        <f ca="1"/>
      </c>
      <c r="CA268">
        <f ca="1"/>
      </c>
      <c r="CB268">
        <f ca="1"/>
      </c>
      <c r="CC268">
        <f ca="1"/>
      </c>
      <c r="CD268">
        <f ca="1"/>
      </c>
      <c r="CE268">
        <f ca="1"/>
      </c>
      <c r="CF268">
        <f ca="1"/>
      </c>
      <c r="CG268">
        <f ca="1"/>
      </c>
      <c r="CH268">
        <f ca="1"/>
      </c>
      <c r="CI268">
        <f ca="1"/>
      </c>
      <c r="CJ268">
        <f ca="1"/>
      </c>
      <c r="CK268">
        <f ca="1"/>
      </c>
      <c r="CL268">
        <f ca="1"/>
      </c>
      <c r="CM268">
        <f ca="1"/>
      </c>
      <c r="CN268">
        <f ca="1"/>
      </c>
      <c r="CO268">
        <f ca="1"/>
      </c>
      <c r="CP268">
        <f ca="1"/>
      </c>
      <c r="CQ268">
        <f ca="1"/>
      </c>
      <c r="CR268">
        <f ca="1"/>
      </c>
      <c r="CS268">
        <f ca="1"/>
      </c>
      <c r="CT268">
        <f ca="1"/>
      </c>
      <c r="CU268">
        <f ca="1"/>
      </c>
      <c r="CV268">
        <f ca="1"/>
      </c>
      <c r="CW268">
        <f ca="1"/>
      </c>
      <c r="CX268">
        <f ca="1"/>
      </c>
      <c r="CY268">
        <f ca="1"/>
      </c>
      <c r="CZ268">
        <f ca="1"/>
      </c>
      <c r="DA268">
        <f ca="1"/>
      </c>
      <c r="DB268">
        <f ca="1"/>
      </c>
      <c r="DC268">
        <f ca="1"/>
      </c>
      <c r="DD268">
        <f ca="1"/>
      </c>
      <c r="DE268">
        <f ca="1"/>
      </c>
      <c r="DG268">
        <f ca="1"/>
      </c>
      <c r="DH268">
        <f ca="1"/>
      </c>
      <c r="DI268">
        <f ca="1"/>
      </c>
      <c r="DJ268">
        <f ca="1"/>
      </c>
      <c r="DK268">
        <f ca="1"/>
      </c>
      <c r="DL268">
        <f ca="1"/>
      </c>
      <c r="DM268">
        <f ca="1"/>
      </c>
      <c r="DN268">
        <f ca="1"/>
      </c>
      <c r="DO268">
        <f ca="1"/>
      </c>
      <c r="DP268">
        <f ca="1"/>
      </c>
      <c r="DQ268">
        <f ca="1"/>
      </c>
      <c r="DR268">
        <f ca="1"/>
      </c>
      <c r="DS268">
        <f ca="1"/>
      </c>
      <c r="DT268">
        <f ca="1"/>
      </c>
      <c r="DU268">
        <f ca="1"/>
      </c>
      <c r="DV268">
        <f ca="1"/>
      </c>
      <c r="DW268">
        <f ca="1"/>
      </c>
      <c r="DX268">
        <f ca="1"/>
      </c>
      <c r="DY268">
        <f ca="1"/>
      </c>
      <c r="DZ268">
        <f ca="1"/>
      </c>
      <c r="EA268">
        <f ca="1"/>
      </c>
      <c r="EB268">
        <f ca="1"/>
      </c>
      <c r="EC268">
        <f ca="1"/>
      </c>
      <c r="ED268">
        <f ca="1"/>
      </c>
      <c r="EE268">
        <f ca="1"/>
      </c>
      <c r="EF268">
        <f ca="1"/>
      </c>
      <c r="EG268">
        <f ca="1"/>
      </c>
      <c r="EH268">
        <f ca="1"/>
      </c>
      <c r="EI268">
        <f ca="1"/>
      </c>
      <c r="EJ268">
        <f ca="1"/>
      </c>
      <c r="EK268">
        <f ca="1"/>
      </c>
      <c r="EL268">
        <f ca="1"/>
      </c>
      <c r="EM268">
        <f ca="1"/>
      </c>
      <c r="EN268">
        <f ca="1"/>
      </c>
      <c r="EO268">
        <f ca="1"/>
      </c>
      <c r="EP268">
        <f ca="1"/>
      </c>
      <c r="EQ268">
        <f ca="1"/>
      </c>
      <c r="ER268">
        <f ca="1"/>
      </c>
      <c r="ES268">
        <f ca="1"/>
      </c>
      <c r="ET268">
        <f ca="1"/>
      </c>
      <c r="EU268">
        <f ca="1"/>
      </c>
      <c r="EV268">
        <f ca="1"/>
      </c>
      <c r="EW268">
        <f ca="1"/>
      </c>
      <c r="EX268">
        <f ca="1"/>
      </c>
      <c r="EY268">
        <f ca="1"/>
      </c>
      <c r="EZ268">
        <f ca="1"/>
      </c>
      <c r="FA268">
        <f ca="1"/>
      </c>
      <c r="FC268">
        <f ca="1"/>
      </c>
      <c r="FD268">
        <f ca="1"/>
      </c>
      <c r="FE268">
        <f ca="1"/>
      </c>
      <c r="FF268">
        <f ca="1"/>
      </c>
      <c r="FG268">
        <f ca="1"/>
      </c>
      <c r="FH268">
        <f ca="1"/>
      </c>
      <c r="FI268">
        <f ca="1"/>
      </c>
      <c r="FJ268">
        <f ca="1"/>
      </c>
      <c r="FK268">
        <f ca="1"/>
      </c>
      <c r="FL268">
        <f ca="1"/>
      </c>
      <c r="FM268">
        <f ca="1"/>
      </c>
      <c r="FN268">
        <f ca="1"/>
      </c>
      <c r="FO268">
        <f ca="1"/>
      </c>
      <c r="FP268">
        <f ca="1"/>
      </c>
      <c r="FQ268">
        <f ca="1"/>
      </c>
      <c r="FR268">
        <f ca="1"/>
      </c>
      <c r="FS268">
        <f ca="1"/>
      </c>
      <c r="FT268">
        <f ca="1"/>
      </c>
      <c r="FU268">
        <f ca="1"/>
      </c>
      <c r="FV268">
        <f ca="1"/>
      </c>
      <c r="FW268">
        <f ca="1"/>
      </c>
      <c r="FX268">
        <f ca="1"/>
      </c>
      <c r="FY268">
        <f ca="1"/>
      </c>
      <c r="FZ268">
        <f ca="1"/>
      </c>
      <c r="GA268">
        <f ca="1"/>
      </c>
      <c r="GB268">
        <f ca="1"/>
      </c>
      <c r="GC268">
        <f ca="1"/>
      </c>
      <c r="GD268">
        <f ca="1"/>
      </c>
      <c r="GE268">
        <f ca="1"/>
      </c>
      <c r="GF268">
        <f ca="1"/>
      </c>
      <c r="GG268">
        <f ca="1"/>
      </c>
      <c r="GH268">
        <f ca="1"/>
      </c>
      <c r="GI268">
        <f ca="1"/>
      </c>
      <c r="GJ268">
        <f ca="1"/>
      </c>
      <c r="GK268">
        <f ca="1"/>
      </c>
      <c r="GL268">
        <f ca="1"/>
      </c>
      <c r="GM268">
        <f ca="1"/>
      </c>
      <c r="GN268">
        <f ca="1"/>
      </c>
      <c r="GO268">
        <f ca="1"/>
      </c>
      <c r="GP268">
        <f ca="1"/>
      </c>
      <c r="GQ268">
        <f ca="1"/>
      </c>
      <c r="GR268">
        <f ca="1"/>
      </c>
      <c r="GS268">
        <f ca="1"/>
      </c>
      <c r="GT268">
        <f ca="1"/>
      </c>
      <c r="GU268">
        <f ca="1"/>
      </c>
      <c r="GV268">
        <f ca="1"/>
      </c>
      <c r="GW268">
        <f ca="1"/>
      </c>
      <c r="HI268" s="7"/>
    </row>
    <row r="269" spans="63:217" x14ac:dyDescent="0.55000000000000004">
      <c r="BK269">
        <f ca="1"/>
      </c>
      <c r="BL269">
        <f ca="1"/>
      </c>
      <c r="BM269">
        <f ca="1"/>
      </c>
      <c r="BN269">
        <f ca="1"/>
      </c>
      <c r="BO269">
        <f ca="1"/>
      </c>
      <c r="BP269">
        <f ca="1"/>
      </c>
      <c r="BQ269">
        <f ca="1"/>
      </c>
      <c r="BR269">
        <f ca="1"/>
      </c>
      <c r="BS269">
        <f ca="1"/>
      </c>
      <c r="BT269">
        <f ca="1"/>
      </c>
      <c r="BU269">
        <f ca="1"/>
      </c>
      <c r="BV269">
        <f ca="1"/>
      </c>
      <c r="BW269">
        <f ca="1"/>
      </c>
      <c r="BX269">
        <f ca="1"/>
      </c>
      <c r="BY269">
        <f ca="1"/>
      </c>
      <c r="BZ269">
        <f ca="1"/>
      </c>
      <c r="CA269">
        <f ca="1"/>
      </c>
      <c r="CB269">
        <f ca="1"/>
      </c>
      <c r="CC269">
        <f ca="1"/>
      </c>
      <c r="CD269">
        <f ca="1"/>
      </c>
      <c r="CE269">
        <f ca="1"/>
      </c>
      <c r="CF269">
        <f ca="1"/>
      </c>
      <c r="CG269">
        <f ca="1"/>
      </c>
      <c r="CH269">
        <f ca="1"/>
      </c>
      <c r="CI269">
        <f ca="1"/>
      </c>
      <c r="CJ269">
        <f ca="1"/>
      </c>
      <c r="CK269">
        <f ca="1"/>
      </c>
      <c r="CL269">
        <f ca="1"/>
      </c>
      <c r="CM269">
        <f ca="1"/>
      </c>
      <c r="CN269">
        <f ca="1"/>
      </c>
      <c r="CO269">
        <f ca="1"/>
      </c>
      <c r="CP269">
        <f ca="1"/>
      </c>
      <c r="CQ269">
        <f ca="1"/>
      </c>
      <c r="CR269">
        <f ca="1"/>
      </c>
      <c r="CS269">
        <f ca="1"/>
      </c>
      <c r="CT269">
        <f ca="1"/>
      </c>
      <c r="CU269">
        <f ca="1"/>
      </c>
      <c r="CV269">
        <f ca="1"/>
      </c>
      <c r="CW269">
        <f ca="1"/>
      </c>
      <c r="CX269">
        <f ca="1"/>
      </c>
      <c r="CY269">
        <f ca="1"/>
      </c>
      <c r="CZ269">
        <f ca="1"/>
      </c>
      <c r="DA269">
        <f ca="1"/>
      </c>
      <c r="DB269">
        <f ca="1"/>
      </c>
      <c r="DC269">
        <f ca="1"/>
      </c>
      <c r="DD269">
        <f ca="1"/>
      </c>
      <c r="DE269">
        <f ca="1"/>
      </c>
      <c r="DG269">
        <f ca="1"/>
      </c>
      <c r="DH269">
        <f ca="1"/>
      </c>
      <c r="DI269">
        <f ca="1"/>
      </c>
      <c r="DJ269">
        <f ca="1"/>
      </c>
      <c r="DK269">
        <f ca="1"/>
      </c>
      <c r="DL269">
        <f ca="1"/>
      </c>
      <c r="DM269">
        <f ca="1"/>
      </c>
      <c r="DN269">
        <f ca="1"/>
      </c>
      <c r="DO269">
        <f ca="1"/>
      </c>
      <c r="DP269">
        <f ca="1"/>
      </c>
      <c r="DQ269">
        <f ca="1"/>
      </c>
      <c r="DR269">
        <f ca="1"/>
      </c>
      <c r="DS269">
        <f ca="1"/>
      </c>
      <c r="DT269">
        <f ca="1"/>
      </c>
      <c r="DU269">
        <f ca="1"/>
      </c>
      <c r="DV269">
        <f ca="1"/>
      </c>
      <c r="DW269">
        <f ca="1"/>
      </c>
      <c r="DX269">
        <f ca="1"/>
      </c>
      <c r="DY269">
        <f ca="1"/>
      </c>
      <c r="DZ269">
        <f ca="1"/>
      </c>
      <c r="EA269">
        <f ca="1"/>
      </c>
      <c r="EB269">
        <f ca="1"/>
      </c>
      <c r="EC269">
        <f ca="1"/>
      </c>
      <c r="ED269">
        <f ca="1"/>
      </c>
      <c r="EE269">
        <f ca="1"/>
      </c>
      <c r="EF269">
        <f ca="1"/>
      </c>
      <c r="EG269">
        <f ca="1"/>
      </c>
      <c r="EH269">
        <f ca="1"/>
      </c>
      <c r="EI269">
        <f ca="1"/>
      </c>
      <c r="EJ269">
        <f ca="1"/>
      </c>
      <c r="EK269">
        <f ca="1"/>
      </c>
      <c r="EL269">
        <f ca="1"/>
      </c>
      <c r="EM269">
        <f ca="1"/>
      </c>
      <c r="EN269">
        <f ca="1"/>
      </c>
      <c r="EO269">
        <f ca="1"/>
      </c>
      <c r="EP269">
        <f ca="1"/>
      </c>
      <c r="EQ269">
        <f ca="1"/>
      </c>
      <c r="ER269">
        <f ca="1"/>
      </c>
      <c r="ES269">
        <f ca="1"/>
      </c>
      <c r="ET269">
        <f ca="1"/>
      </c>
      <c r="EU269">
        <f ca="1"/>
      </c>
      <c r="EV269">
        <f ca="1"/>
      </c>
      <c r="EW269">
        <f ca="1"/>
      </c>
      <c r="EX269">
        <f ca="1"/>
      </c>
      <c r="EY269">
        <f ca="1"/>
      </c>
      <c r="EZ269">
        <f ca="1"/>
      </c>
      <c r="FA269">
        <f ca="1"/>
      </c>
      <c r="FC269">
        <f ca="1"/>
      </c>
      <c r="FD269">
        <f ca="1"/>
      </c>
      <c r="FE269">
        <f ca="1"/>
      </c>
      <c r="FF269">
        <f ca="1"/>
      </c>
      <c r="FG269">
        <f ca="1"/>
      </c>
      <c r="FH269">
        <f ca="1"/>
      </c>
      <c r="FI269">
        <f ca="1"/>
      </c>
      <c r="FJ269">
        <f ca="1"/>
      </c>
      <c r="FK269">
        <f ca="1"/>
      </c>
      <c r="FL269">
        <f ca="1"/>
      </c>
      <c r="FM269">
        <f ca="1"/>
      </c>
      <c r="FN269">
        <f ca="1"/>
      </c>
      <c r="FO269">
        <f ca="1"/>
      </c>
      <c r="FP269">
        <f ca="1"/>
      </c>
      <c r="FQ269">
        <f ca="1"/>
      </c>
      <c r="FR269">
        <f ca="1"/>
      </c>
      <c r="FS269">
        <f ca="1"/>
      </c>
      <c r="FT269">
        <f ca="1"/>
      </c>
      <c r="FU269">
        <f ca="1"/>
      </c>
      <c r="FV269">
        <f ca="1"/>
      </c>
      <c r="FW269">
        <f ca="1"/>
      </c>
      <c r="FX269">
        <f ca="1"/>
      </c>
      <c r="FY269">
        <f ca="1"/>
      </c>
      <c r="FZ269">
        <f ca="1"/>
      </c>
      <c r="GA269">
        <f ca="1"/>
      </c>
      <c r="GB269">
        <f ca="1"/>
      </c>
      <c r="GC269">
        <f ca="1"/>
      </c>
      <c r="GD269">
        <f ca="1"/>
      </c>
      <c r="GE269">
        <f ca="1"/>
      </c>
      <c r="GF269">
        <f ca="1"/>
      </c>
      <c r="GG269">
        <f ca="1"/>
      </c>
      <c r="GH269">
        <f ca="1"/>
      </c>
      <c r="GI269">
        <f ca="1"/>
      </c>
      <c r="GJ269">
        <f ca="1"/>
      </c>
      <c r="GK269">
        <f ca="1"/>
      </c>
      <c r="GL269">
        <f ca="1"/>
      </c>
      <c r="GM269">
        <f ca="1"/>
      </c>
      <c r="GN269">
        <f ca="1"/>
      </c>
      <c r="GO269">
        <f ca="1"/>
      </c>
      <c r="GP269">
        <f ca="1"/>
      </c>
      <c r="GQ269">
        <f ca="1"/>
      </c>
      <c r="GR269">
        <f ca="1"/>
      </c>
      <c r="GS269">
        <f ca="1"/>
      </c>
      <c r="GT269">
        <f ca="1"/>
      </c>
      <c r="GU269">
        <f ca="1"/>
      </c>
      <c r="GV269">
        <f ca="1"/>
      </c>
      <c r="GW269">
        <f ca="1"/>
      </c>
      <c r="HI269" s="7"/>
    </row>
    <row r="270" spans="63:217" x14ac:dyDescent="0.55000000000000004">
      <c r="BK270">
        <f ca="1"/>
      </c>
      <c r="BL270">
        <f ca="1"/>
      </c>
      <c r="BM270">
        <f ca="1"/>
      </c>
      <c r="BN270">
        <f ca="1"/>
      </c>
      <c r="BO270">
        <f ca="1"/>
      </c>
      <c r="BP270">
        <f ca="1"/>
      </c>
      <c r="BQ270">
        <f ca="1"/>
      </c>
      <c r="BR270">
        <f ca="1"/>
      </c>
      <c r="BS270">
        <f ca="1"/>
      </c>
      <c r="BT270">
        <f ca="1"/>
      </c>
      <c r="BU270">
        <f ca="1"/>
      </c>
      <c r="BV270">
        <f ca="1"/>
      </c>
      <c r="BW270">
        <f ca="1"/>
      </c>
      <c r="BX270">
        <f ca="1"/>
      </c>
      <c r="BY270">
        <f ca="1"/>
      </c>
      <c r="BZ270">
        <f ca="1"/>
      </c>
      <c r="CA270">
        <f ca="1"/>
      </c>
      <c r="CB270">
        <f ca="1"/>
      </c>
      <c r="CC270">
        <f ca="1"/>
      </c>
      <c r="CD270">
        <f ca="1"/>
      </c>
      <c r="CE270">
        <f ca="1"/>
      </c>
      <c r="CF270">
        <f ca="1"/>
      </c>
      <c r="CG270">
        <f ca="1"/>
      </c>
      <c r="CH270">
        <f ca="1"/>
      </c>
      <c r="CI270">
        <f ca="1"/>
      </c>
      <c r="CJ270">
        <f ca="1"/>
      </c>
      <c r="CK270">
        <f ca="1"/>
      </c>
      <c r="CL270">
        <f ca="1"/>
      </c>
      <c r="CM270">
        <f ca="1"/>
      </c>
      <c r="CN270">
        <f ca="1"/>
      </c>
      <c r="CO270">
        <f ca="1"/>
      </c>
      <c r="CP270">
        <f ca="1"/>
      </c>
      <c r="CQ270">
        <f ca="1"/>
      </c>
      <c r="CR270">
        <f ca="1"/>
      </c>
      <c r="CS270">
        <f ca="1"/>
      </c>
      <c r="CT270">
        <f ca="1"/>
      </c>
      <c r="CU270">
        <f ca="1"/>
      </c>
      <c r="CV270">
        <f ca="1"/>
      </c>
      <c r="CW270">
        <f ca="1"/>
      </c>
      <c r="CX270">
        <f ca="1"/>
      </c>
      <c r="CY270">
        <f ca="1"/>
      </c>
      <c r="CZ270">
        <f ca="1"/>
      </c>
      <c r="DA270">
        <f ca="1"/>
      </c>
      <c r="DB270">
        <f ca="1"/>
      </c>
      <c r="DC270">
        <f ca="1"/>
      </c>
      <c r="DD270">
        <f ca="1"/>
      </c>
      <c r="DE270">
        <f ca="1"/>
      </c>
      <c r="DG270">
        <f ca="1"/>
      </c>
      <c r="DH270">
        <f ca="1"/>
      </c>
      <c r="DI270">
        <f ca="1"/>
      </c>
      <c r="DJ270">
        <f ca="1"/>
      </c>
      <c r="DK270">
        <f ca="1"/>
      </c>
      <c r="DL270">
        <f ca="1"/>
      </c>
      <c r="DM270">
        <f ca="1"/>
      </c>
      <c r="DN270">
        <f ca="1"/>
      </c>
      <c r="DO270">
        <f ca="1"/>
      </c>
      <c r="DP270">
        <f ca="1"/>
      </c>
      <c r="DQ270">
        <f ca="1"/>
      </c>
      <c r="DR270">
        <f ca="1"/>
      </c>
      <c r="DS270">
        <f ca="1"/>
      </c>
      <c r="DT270">
        <f ca="1"/>
      </c>
      <c r="DU270">
        <f ca="1"/>
      </c>
      <c r="DV270">
        <f ca="1"/>
      </c>
      <c r="DW270">
        <f ca="1"/>
      </c>
      <c r="DX270">
        <f ca="1"/>
      </c>
      <c r="DY270">
        <f ca="1"/>
      </c>
      <c r="DZ270">
        <f ca="1"/>
      </c>
      <c r="EA270">
        <f ca="1"/>
      </c>
      <c r="EB270">
        <f ca="1"/>
      </c>
      <c r="EC270">
        <f ca="1"/>
      </c>
      <c r="ED270">
        <f ca="1"/>
      </c>
      <c r="EE270">
        <f ca="1"/>
      </c>
      <c r="EF270">
        <f ca="1"/>
      </c>
      <c r="EG270">
        <f ca="1"/>
      </c>
      <c r="EH270">
        <f ca="1"/>
      </c>
      <c r="EI270">
        <f ca="1"/>
      </c>
      <c r="EJ270">
        <f ca="1"/>
      </c>
      <c r="EK270">
        <f ca="1"/>
      </c>
      <c r="EL270">
        <f ca="1"/>
      </c>
      <c r="EM270">
        <f ca="1"/>
      </c>
      <c r="EN270">
        <f ca="1"/>
      </c>
      <c r="EO270">
        <f ca="1"/>
      </c>
      <c r="EP270">
        <f ca="1"/>
      </c>
      <c r="EQ270">
        <f ca="1"/>
      </c>
      <c r="ER270">
        <f ca="1"/>
      </c>
      <c r="ES270">
        <f ca="1"/>
      </c>
      <c r="ET270">
        <f ca="1"/>
      </c>
      <c r="EU270">
        <f ca="1"/>
      </c>
      <c r="EV270">
        <f ca="1"/>
      </c>
      <c r="EW270">
        <f ca="1"/>
      </c>
      <c r="EX270">
        <f ca="1"/>
      </c>
      <c r="EY270">
        <f ca="1"/>
      </c>
      <c r="EZ270">
        <f ca="1"/>
      </c>
      <c r="FA270">
        <f ca="1"/>
      </c>
      <c r="FC270">
        <f ca="1"/>
      </c>
      <c r="FD270">
        <f ca="1"/>
      </c>
      <c r="FE270">
        <f ca="1"/>
      </c>
      <c r="FF270">
        <f ca="1"/>
      </c>
      <c r="FG270">
        <f ca="1"/>
      </c>
      <c r="FH270">
        <f ca="1"/>
      </c>
      <c r="FI270">
        <f ca="1"/>
      </c>
      <c r="FJ270">
        <f ca="1"/>
      </c>
      <c r="FK270">
        <f ca="1"/>
      </c>
      <c r="FL270">
        <f ca="1"/>
      </c>
      <c r="FM270">
        <f ca="1"/>
      </c>
      <c r="FN270">
        <f ca="1"/>
      </c>
      <c r="FO270">
        <f ca="1"/>
      </c>
      <c r="FP270">
        <f ca="1"/>
      </c>
      <c r="FQ270">
        <f ca="1"/>
      </c>
      <c r="FR270">
        <f ca="1"/>
      </c>
      <c r="FS270">
        <f ca="1"/>
      </c>
      <c r="FT270">
        <f ca="1"/>
      </c>
      <c r="FU270">
        <f ca="1"/>
      </c>
      <c r="FV270">
        <f ca="1"/>
      </c>
      <c r="FW270">
        <f ca="1"/>
      </c>
      <c r="FX270">
        <f ca="1"/>
      </c>
      <c r="FY270">
        <f ca="1"/>
      </c>
      <c r="FZ270">
        <f ca="1"/>
      </c>
      <c r="GA270">
        <f ca="1"/>
      </c>
      <c r="GB270">
        <f ca="1"/>
      </c>
      <c r="GC270">
        <f ca="1"/>
      </c>
      <c r="GD270">
        <f ca="1"/>
      </c>
      <c r="GE270">
        <f ca="1"/>
      </c>
      <c r="GF270">
        <f ca="1"/>
      </c>
      <c r="GG270">
        <f ca="1"/>
      </c>
      <c r="GH270">
        <f ca="1"/>
      </c>
      <c r="GI270">
        <f ca="1"/>
      </c>
      <c r="GJ270">
        <f ca="1"/>
      </c>
      <c r="GK270">
        <f ca="1"/>
      </c>
      <c r="GL270">
        <f ca="1"/>
      </c>
      <c r="GM270">
        <f ca="1"/>
      </c>
      <c r="GN270">
        <f ca="1"/>
      </c>
      <c r="GO270">
        <f ca="1"/>
      </c>
      <c r="GP270">
        <f ca="1"/>
      </c>
      <c r="GQ270">
        <f ca="1"/>
      </c>
      <c r="GR270">
        <f ca="1"/>
      </c>
      <c r="GS270">
        <f ca="1"/>
      </c>
      <c r="GT270">
        <f ca="1"/>
      </c>
      <c r="GU270">
        <f ca="1"/>
      </c>
      <c r="GV270">
        <f ca="1"/>
      </c>
      <c r="GW270">
        <f ca="1"/>
      </c>
      <c r="HI270" s="7"/>
    </row>
    <row r="271" spans="63:217" x14ac:dyDescent="0.55000000000000004">
      <c r="BK271">
        <f ca="1"/>
      </c>
      <c r="BL271">
        <f ca="1"/>
      </c>
      <c r="BM271">
        <f ca="1"/>
      </c>
      <c r="BN271">
        <f ca="1"/>
      </c>
      <c r="BO271">
        <f ca="1"/>
      </c>
      <c r="BP271">
        <f ca="1"/>
      </c>
      <c r="BQ271">
        <f ca="1"/>
      </c>
      <c r="BR271">
        <f ca="1"/>
      </c>
      <c r="BS271">
        <f ca="1"/>
      </c>
      <c r="BT271">
        <f ca="1"/>
      </c>
      <c r="BU271">
        <f ca="1"/>
      </c>
      <c r="BV271">
        <f ca="1"/>
      </c>
      <c r="BW271">
        <f ca="1"/>
      </c>
      <c r="BX271">
        <f ca="1"/>
      </c>
      <c r="BY271">
        <f ca="1"/>
      </c>
      <c r="BZ271">
        <f ca="1"/>
      </c>
      <c r="CA271">
        <f ca="1"/>
      </c>
      <c r="CB271">
        <f ca="1"/>
      </c>
      <c r="CC271">
        <f ca="1"/>
      </c>
      <c r="CD271">
        <f ca="1"/>
      </c>
      <c r="CE271">
        <f ca="1"/>
      </c>
      <c r="CF271">
        <f ca="1"/>
      </c>
      <c r="CG271">
        <f ca="1"/>
      </c>
      <c r="CH271">
        <f ca="1"/>
      </c>
      <c r="CI271">
        <f ca="1"/>
      </c>
      <c r="CJ271">
        <f ca="1"/>
      </c>
      <c r="CK271">
        <f ca="1"/>
      </c>
      <c r="CL271">
        <f ca="1"/>
      </c>
      <c r="CM271">
        <f ca="1"/>
      </c>
      <c r="CN271">
        <f ca="1"/>
      </c>
      <c r="CO271">
        <f ca="1"/>
      </c>
      <c r="CP271">
        <f ca="1"/>
      </c>
      <c r="CQ271">
        <f ca="1"/>
      </c>
      <c r="CR271">
        <f ca="1"/>
      </c>
      <c r="CS271">
        <f ca="1"/>
      </c>
      <c r="CT271">
        <f ca="1"/>
      </c>
      <c r="CU271">
        <f ca="1"/>
      </c>
      <c r="CV271">
        <f ca="1"/>
      </c>
      <c r="CW271">
        <f ca="1"/>
      </c>
      <c r="CX271">
        <f ca="1"/>
      </c>
      <c r="CY271">
        <f ca="1"/>
      </c>
      <c r="CZ271">
        <f ca="1"/>
      </c>
      <c r="DA271">
        <f ca="1"/>
      </c>
      <c r="DB271">
        <f ca="1"/>
      </c>
      <c r="DC271">
        <f ca="1"/>
      </c>
      <c r="DD271">
        <f ca="1"/>
      </c>
      <c r="DE271">
        <f ca="1"/>
      </c>
      <c r="DG271">
        <f ca="1"/>
      </c>
      <c r="DH271">
        <f ca="1"/>
      </c>
      <c r="DI271">
        <f ca="1"/>
      </c>
      <c r="DJ271">
        <f ca="1"/>
      </c>
      <c r="DK271">
        <f ca="1"/>
      </c>
      <c r="DL271">
        <f ca="1"/>
      </c>
      <c r="DM271">
        <f ca="1"/>
      </c>
      <c r="DN271">
        <f ca="1"/>
      </c>
      <c r="DO271">
        <f ca="1"/>
      </c>
      <c r="DP271">
        <f ca="1"/>
      </c>
      <c r="DQ271">
        <f ca="1"/>
      </c>
      <c r="DR271">
        <f ca="1"/>
      </c>
      <c r="DS271">
        <f ca="1"/>
      </c>
      <c r="DT271">
        <f ca="1"/>
      </c>
      <c r="DU271">
        <f ca="1"/>
      </c>
      <c r="DV271">
        <f ca="1"/>
      </c>
      <c r="DW271">
        <f ca="1"/>
      </c>
      <c r="DX271">
        <f ca="1"/>
      </c>
      <c r="DY271">
        <f ca="1"/>
      </c>
      <c r="DZ271">
        <f ca="1"/>
      </c>
      <c r="EA271">
        <f ca="1"/>
      </c>
      <c r="EB271">
        <f ca="1"/>
      </c>
      <c r="EC271">
        <f ca="1"/>
      </c>
      <c r="ED271">
        <f ca="1"/>
      </c>
      <c r="EE271">
        <f ca="1"/>
      </c>
      <c r="EF271">
        <f ca="1"/>
      </c>
      <c r="EG271">
        <f ca="1"/>
      </c>
      <c r="EH271">
        <f ca="1"/>
      </c>
      <c r="EI271">
        <f ca="1"/>
      </c>
      <c r="EJ271">
        <f ca="1"/>
      </c>
      <c r="EK271">
        <f ca="1"/>
      </c>
      <c r="EL271">
        <f ca="1"/>
      </c>
      <c r="EM271">
        <f ca="1"/>
      </c>
      <c r="EN271">
        <f ca="1"/>
      </c>
      <c r="EO271">
        <f ca="1"/>
      </c>
      <c r="EP271">
        <f ca="1"/>
      </c>
      <c r="EQ271">
        <f ca="1"/>
      </c>
      <c r="ER271">
        <f ca="1"/>
      </c>
      <c r="ES271">
        <f ca="1"/>
      </c>
      <c r="ET271">
        <f ca="1"/>
      </c>
      <c r="EU271">
        <f ca="1"/>
      </c>
      <c r="EV271">
        <f ca="1"/>
      </c>
      <c r="EW271">
        <f ca="1"/>
      </c>
      <c r="EX271">
        <f ca="1"/>
      </c>
      <c r="EY271">
        <f ca="1"/>
      </c>
      <c r="EZ271">
        <f ca="1"/>
      </c>
      <c r="FA271">
        <f ca="1"/>
      </c>
      <c r="FC271">
        <f ca="1"/>
      </c>
      <c r="FD271">
        <f ca="1"/>
      </c>
      <c r="FE271">
        <f ca="1"/>
      </c>
      <c r="FF271">
        <f ca="1"/>
      </c>
      <c r="FG271">
        <f ca="1"/>
      </c>
      <c r="FH271">
        <f ca="1"/>
      </c>
      <c r="FI271">
        <f ca="1"/>
      </c>
      <c r="FJ271">
        <f ca="1"/>
      </c>
      <c r="FK271">
        <f ca="1"/>
      </c>
      <c r="FL271">
        <f ca="1"/>
      </c>
      <c r="FM271">
        <f ca="1"/>
      </c>
      <c r="FN271">
        <f ca="1"/>
      </c>
      <c r="FO271">
        <f ca="1"/>
      </c>
      <c r="FP271">
        <f ca="1"/>
      </c>
      <c r="FQ271">
        <f ca="1"/>
      </c>
      <c r="FR271">
        <f ca="1"/>
      </c>
      <c r="FS271">
        <f ca="1"/>
      </c>
      <c r="FT271">
        <f ca="1"/>
      </c>
      <c r="FU271">
        <f ca="1"/>
      </c>
      <c r="FV271">
        <f ca="1"/>
      </c>
      <c r="FW271">
        <f ca="1"/>
      </c>
      <c r="FX271">
        <f ca="1"/>
      </c>
      <c r="FY271">
        <f ca="1"/>
      </c>
      <c r="FZ271">
        <f ca="1"/>
      </c>
      <c r="GA271">
        <f ca="1"/>
      </c>
      <c r="GB271">
        <f ca="1"/>
      </c>
      <c r="GC271">
        <f ca="1"/>
      </c>
      <c r="GD271">
        <f ca="1"/>
      </c>
      <c r="GE271">
        <f ca="1"/>
      </c>
      <c r="GF271">
        <f ca="1"/>
      </c>
      <c r="GG271">
        <f ca="1"/>
      </c>
      <c r="GH271">
        <f ca="1"/>
      </c>
      <c r="GI271">
        <f ca="1"/>
      </c>
      <c r="GJ271">
        <f ca="1"/>
      </c>
      <c r="GK271">
        <f ca="1"/>
      </c>
      <c r="GL271">
        <f ca="1"/>
      </c>
      <c r="GM271">
        <f ca="1"/>
      </c>
      <c r="GN271">
        <f ca="1"/>
      </c>
      <c r="GO271">
        <f ca="1"/>
      </c>
      <c r="GP271">
        <f ca="1"/>
      </c>
      <c r="GQ271">
        <f ca="1"/>
      </c>
      <c r="GR271">
        <f ca="1"/>
      </c>
      <c r="GS271">
        <f ca="1"/>
      </c>
      <c r="GT271">
        <f ca="1"/>
      </c>
      <c r="GU271">
        <f ca="1"/>
      </c>
      <c r="GV271">
        <f ca="1"/>
      </c>
      <c r="GW271">
        <f ca="1"/>
      </c>
      <c r="HI271" s="7"/>
    </row>
    <row r="272" spans="63:217" x14ac:dyDescent="0.55000000000000004">
      <c r="BK272">
        <f ca="1"/>
      </c>
      <c r="BL272">
        <f ca="1"/>
      </c>
      <c r="BM272">
        <f ca="1"/>
      </c>
      <c r="BN272">
        <f ca="1"/>
      </c>
      <c r="BO272">
        <f ca="1"/>
      </c>
      <c r="BP272">
        <f ca="1"/>
      </c>
      <c r="BQ272">
        <f ca="1"/>
      </c>
      <c r="BR272">
        <f ca="1"/>
      </c>
      <c r="BS272">
        <f ca="1"/>
      </c>
      <c r="BT272">
        <f ca="1"/>
      </c>
      <c r="BU272">
        <f ca="1"/>
      </c>
      <c r="BV272">
        <f ca="1"/>
      </c>
      <c r="BW272">
        <f ca="1"/>
      </c>
      <c r="BX272">
        <f ca="1"/>
      </c>
      <c r="BY272">
        <f ca="1"/>
      </c>
      <c r="BZ272">
        <f ca="1"/>
      </c>
      <c r="CA272">
        <f ca="1"/>
      </c>
      <c r="CB272">
        <f ca="1"/>
      </c>
      <c r="CC272">
        <f ca="1"/>
      </c>
      <c r="CD272">
        <f ca="1"/>
      </c>
      <c r="CE272">
        <f ca="1"/>
      </c>
      <c r="CF272">
        <f ca="1"/>
      </c>
      <c r="CG272">
        <f ca="1"/>
      </c>
      <c r="CH272">
        <f ca="1"/>
      </c>
      <c r="CI272">
        <f ca="1"/>
      </c>
      <c r="CJ272">
        <f ca="1"/>
      </c>
      <c r="CK272">
        <f ca="1"/>
      </c>
      <c r="CL272">
        <f ca="1"/>
      </c>
      <c r="CM272">
        <f ca="1"/>
      </c>
      <c r="CN272">
        <f ca="1"/>
      </c>
      <c r="CO272">
        <f ca="1"/>
      </c>
      <c r="CP272">
        <f ca="1"/>
      </c>
      <c r="CQ272">
        <f ca="1"/>
      </c>
      <c r="CR272">
        <f ca="1"/>
      </c>
      <c r="CS272">
        <f ca="1"/>
      </c>
      <c r="CT272">
        <f ca="1"/>
      </c>
      <c r="CU272">
        <f ca="1"/>
      </c>
      <c r="CV272">
        <f ca="1"/>
      </c>
      <c r="CW272">
        <f ca="1"/>
      </c>
      <c r="CX272">
        <f ca="1"/>
      </c>
      <c r="CY272">
        <f ca="1"/>
      </c>
      <c r="CZ272">
        <f ca="1"/>
      </c>
      <c r="DA272">
        <f ca="1"/>
      </c>
      <c r="DB272">
        <f ca="1"/>
      </c>
      <c r="DC272">
        <f ca="1"/>
      </c>
      <c r="DD272">
        <f ca="1"/>
      </c>
      <c r="DE272">
        <f ca="1"/>
      </c>
      <c r="DG272">
        <f ca="1"/>
      </c>
      <c r="DH272">
        <f ca="1"/>
      </c>
      <c r="DI272">
        <f ca="1"/>
      </c>
      <c r="DJ272">
        <f ca="1"/>
      </c>
      <c r="DK272">
        <f ca="1"/>
      </c>
      <c r="DL272">
        <f ca="1"/>
      </c>
      <c r="DM272">
        <f ca="1"/>
      </c>
      <c r="DN272">
        <f ca="1"/>
      </c>
      <c r="DO272">
        <f ca="1"/>
      </c>
      <c r="DP272">
        <f ca="1"/>
      </c>
      <c r="DQ272">
        <f ca="1"/>
      </c>
      <c r="DR272">
        <f ca="1"/>
      </c>
      <c r="DS272">
        <f ca="1"/>
      </c>
      <c r="DT272">
        <f ca="1"/>
      </c>
      <c r="DU272">
        <f ca="1"/>
      </c>
      <c r="DV272">
        <f ca="1"/>
      </c>
      <c r="DW272">
        <f ca="1"/>
      </c>
      <c r="DX272">
        <f ca="1"/>
      </c>
      <c r="DY272">
        <f ca="1"/>
      </c>
      <c r="DZ272">
        <f ca="1"/>
      </c>
      <c r="EA272">
        <f ca="1"/>
      </c>
      <c r="EB272">
        <f ca="1"/>
      </c>
      <c r="EC272">
        <f ca="1"/>
      </c>
      <c r="ED272">
        <f ca="1"/>
      </c>
      <c r="EE272">
        <f ca="1"/>
      </c>
      <c r="EF272">
        <f ca="1"/>
      </c>
      <c r="EG272">
        <f ca="1"/>
      </c>
      <c r="EH272">
        <f ca="1"/>
      </c>
      <c r="EI272">
        <f ca="1"/>
      </c>
      <c r="EJ272">
        <f ca="1"/>
      </c>
      <c r="EK272">
        <f ca="1"/>
      </c>
      <c r="EL272">
        <f ca="1"/>
      </c>
      <c r="EM272">
        <f ca="1"/>
      </c>
      <c r="EN272">
        <f ca="1"/>
      </c>
      <c r="EO272">
        <f ca="1"/>
      </c>
      <c r="EP272">
        <f ca="1"/>
      </c>
      <c r="EQ272">
        <f ca="1"/>
      </c>
      <c r="ER272">
        <f ca="1"/>
      </c>
      <c r="ES272">
        <f ca="1"/>
      </c>
      <c r="ET272">
        <f ca="1"/>
      </c>
      <c r="EU272">
        <f ca="1"/>
      </c>
      <c r="EV272">
        <f ca="1"/>
      </c>
      <c r="EW272">
        <f ca="1"/>
      </c>
      <c r="EX272">
        <f ca="1"/>
      </c>
      <c r="EY272">
        <f ca="1"/>
      </c>
      <c r="EZ272">
        <f ca="1"/>
      </c>
      <c r="FA272">
        <f ca="1"/>
      </c>
      <c r="FC272">
        <f ca="1"/>
      </c>
      <c r="FD272">
        <f ca="1"/>
      </c>
      <c r="FE272">
        <f ca="1"/>
      </c>
      <c r="FF272">
        <f ca="1"/>
      </c>
      <c r="FG272">
        <f ca="1"/>
      </c>
      <c r="FH272">
        <f ca="1"/>
      </c>
      <c r="FI272">
        <f ca="1"/>
      </c>
      <c r="FJ272">
        <f ca="1"/>
      </c>
      <c r="FK272">
        <f ca="1"/>
      </c>
      <c r="FL272">
        <f ca="1"/>
      </c>
      <c r="FM272">
        <f ca="1"/>
      </c>
      <c r="FN272">
        <f ca="1"/>
      </c>
      <c r="FO272">
        <f ca="1"/>
      </c>
      <c r="FP272">
        <f ca="1"/>
      </c>
      <c r="FQ272">
        <f ca="1"/>
      </c>
      <c r="FR272">
        <f ca="1"/>
      </c>
      <c r="FS272">
        <f ca="1"/>
      </c>
      <c r="FT272">
        <f ca="1"/>
      </c>
      <c r="FU272">
        <f ca="1"/>
      </c>
      <c r="FV272">
        <f ca="1"/>
      </c>
      <c r="FW272">
        <f ca="1"/>
      </c>
      <c r="FX272">
        <f ca="1"/>
      </c>
      <c r="FY272">
        <f ca="1"/>
      </c>
      <c r="FZ272">
        <f ca="1"/>
      </c>
      <c r="GA272">
        <f ca="1"/>
      </c>
      <c r="GB272">
        <f ca="1"/>
      </c>
      <c r="GC272">
        <f ca="1"/>
      </c>
      <c r="GD272">
        <f ca="1"/>
      </c>
      <c r="GE272">
        <f ca="1"/>
      </c>
      <c r="GF272">
        <f ca="1"/>
      </c>
      <c r="GG272">
        <f ca="1"/>
      </c>
      <c r="GH272">
        <f ca="1"/>
      </c>
      <c r="GI272">
        <f ca="1"/>
      </c>
      <c r="GJ272">
        <f ca="1"/>
      </c>
      <c r="GK272">
        <f ca="1"/>
      </c>
      <c r="GL272">
        <f ca="1"/>
      </c>
      <c r="GM272">
        <f ca="1"/>
      </c>
      <c r="GN272">
        <f ca="1"/>
      </c>
      <c r="GO272">
        <f ca="1"/>
      </c>
      <c r="GP272">
        <f ca="1"/>
      </c>
      <c r="GQ272">
        <f ca="1"/>
      </c>
      <c r="GR272">
        <f ca="1"/>
      </c>
      <c r="GS272">
        <f ca="1"/>
      </c>
      <c r="GT272">
        <f ca="1"/>
      </c>
      <c r="GU272">
        <f ca="1"/>
      </c>
      <c r="GV272">
        <f ca="1"/>
      </c>
      <c r="GW272">
        <f ca="1"/>
      </c>
      <c r="HI272" s="7"/>
    </row>
    <row r="273" spans="63:217" x14ac:dyDescent="0.55000000000000004">
      <c r="BK273">
        <f ca="1"/>
      </c>
      <c r="BL273">
        <f ca="1"/>
      </c>
      <c r="BM273">
        <f ca="1"/>
      </c>
      <c r="BN273">
        <f ca="1"/>
      </c>
      <c r="BO273">
        <f ca="1"/>
      </c>
      <c r="BP273">
        <f ca="1"/>
      </c>
      <c r="BQ273">
        <f ca="1"/>
      </c>
      <c r="BR273">
        <f ca="1"/>
      </c>
      <c r="BS273">
        <f ca="1"/>
      </c>
      <c r="BT273">
        <f ca="1"/>
      </c>
      <c r="BU273">
        <f ca="1"/>
      </c>
      <c r="BV273">
        <f ca="1"/>
      </c>
      <c r="BW273">
        <f ca="1"/>
      </c>
      <c r="BX273">
        <f ca="1"/>
      </c>
      <c r="BY273">
        <f ca="1"/>
      </c>
      <c r="BZ273">
        <f ca="1"/>
      </c>
      <c r="CA273">
        <f ca="1"/>
      </c>
      <c r="CB273">
        <f ca="1"/>
      </c>
      <c r="CC273">
        <f ca="1"/>
      </c>
      <c r="CD273">
        <f ca="1"/>
      </c>
      <c r="CE273">
        <f ca="1"/>
      </c>
      <c r="CF273">
        <f ca="1"/>
      </c>
      <c r="CG273">
        <f ca="1"/>
      </c>
      <c r="CH273">
        <f ca="1"/>
      </c>
      <c r="CI273">
        <f ca="1"/>
      </c>
      <c r="CJ273">
        <f ca="1"/>
      </c>
      <c r="CK273">
        <f ca="1"/>
      </c>
      <c r="CL273">
        <f ca="1"/>
      </c>
      <c r="CM273">
        <f ca="1"/>
      </c>
      <c r="CN273">
        <f ca="1"/>
      </c>
      <c r="CO273">
        <f ca="1"/>
      </c>
      <c r="CP273">
        <f ca="1"/>
      </c>
      <c r="CQ273">
        <f ca="1"/>
      </c>
      <c r="CR273">
        <f ca="1"/>
      </c>
      <c r="CS273">
        <f ca="1"/>
      </c>
      <c r="CT273">
        <f ca="1"/>
      </c>
      <c r="CU273">
        <f ca="1"/>
      </c>
      <c r="CV273">
        <f ca="1"/>
      </c>
      <c r="CW273">
        <f ca="1"/>
      </c>
      <c r="CX273">
        <f ca="1"/>
      </c>
      <c r="CY273">
        <f ca="1"/>
      </c>
      <c r="CZ273">
        <f ca="1"/>
      </c>
      <c r="DA273">
        <f ca="1"/>
      </c>
      <c r="DB273">
        <f ca="1"/>
      </c>
      <c r="DC273">
        <f ca="1"/>
      </c>
      <c r="DD273">
        <f ca="1"/>
      </c>
      <c r="DE273">
        <f ca="1"/>
      </c>
      <c r="DG273">
        <f ca="1"/>
      </c>
      <c r="DH273">
        <f ca="1"/>
      </c>
      <c r="DI273">
        <f ca="1"/>
      </c>
      <c r="DJ273">
        <f ca="1"/>
      </c>
      <c r="DK273">
        <f ca="1"/>
      </c>
      <c r="DL273">
        <f ca="1"/>
      </c>
      <c r="DM273">
        <f ca="1"/>
      </c>
      <c r="DN273">
        <f ca="1"/>
      </c>
      <c r="DO273">
        <f ca="1"/>
      </c>
      <c r="DP273">
        <f ca="1"/>
      </c>
      <c r="DQ273">
        <f ca="1"/>
      </c>
      <c r="DR273">
        <f ca="1"/>
      </c>
      <c r="DS273">
        <f ca="1"/>
      </c>
      <c r="DT273">
        <f ca="1"/>
      </c>
      <c r="DU273">
        <f ca="1"/>
      </c>
      <c r="DV273">
        <f ca="1"/>
      </c>
      <c r="DW273">
        <f ca="1"/>
      </c>
      <c r="DX273">
        <f ca="1"/>
      </c>
      <c r="DY273">
        <f ca="1"/>
      </c>
      <c r="DZ273">
        <f ca="1"/>
      </c>
      <c r="EA273">
        <f ca="1"/>
      </c>
      <c r="EB273">
        <f ca="1"/>
      </c>
      <c r="EC273">
        <f ca="1"/>
      </c>
      <c r="ED273">
        <f ca="1"/>
      </c>
      <c r="EE273">
        <f ca="1"/>
      </c>
      <c r="EF273">
        <f ca="1"/>
      </c>
      <c r="EG273">
        <f ca="1"/>
      </c>
      <c r="EH273">
        <f ca="1"/>
      </c>
      <c r="EI273">
        <f ca="1"/>
      </c>
      <c r="EJ273">
        <f ca="1"/>
      </c>
      <c r="EK273">
        <f ca="1"/>
      </c>
      <c r="EL273">
        <f ca="1"/>
      </c>
      <c r="EM273">
        <f ca="1"/>
      </c>
      <c r="EN273">
        <f ca="1"/>
      </c>
      <c r="EO273">
        <f ca="1"/>
      </c>
      <c r="EP273">
        <f ca="1"/>
      </c>
      <c r="EQ273">
        <f ca="1"/>
      </c>
      <c r="ER273">
        <f ca="1"/>
      </c>
      <c r="ES273">
        <f ca="1"/>
      </c>
      <c r="ET273">
        <f ca="1"/>
      </c>
      <c r="EU273">
        <f ca="1"/>
      </c>
      <c r="EV273">
        <f ca="1"/>
      </c>
      <c r="EW273">
        <f ca="1"/>
      </c>
      <c r="EX273">
        <f ca="1"/>
      </c>
      <c r="EY273">
        <f ca="1"/>
      </c>
      <c r="EZ273">
        <f ca="1"/>
      </c>
      <c r="FA273">
        <f ca="1"/>
      </c>
      <c r="FC273">
        <f ca="1"/>
      </c>
      <c r="FD273">
        <f ca="1"/>
      </c>
      <c r="FE273">
        <f ca="1"/>
      </c>
      <c r="FF273">
        <f ca="1"/>
      </c>
      <c r="FG273">
        <f ca="1"/>
      </c>
      <c r="FH273">
        <f ca="1"/>
      </c>
      <c r="FI273">
        <f ca="1"/>
      </c>
      <c r="FJ273">
        <f ca="1"/>
      </c>
      <c r="FK273">
        <f ca="1"/>
      </c>
      <c r="FL273">
        <f ca="1"/>
      </c>
      <c r="FM273">
        <f ca="1"/>
      </c>
      <c r="FN273">
        <f ca="1"/>
      </c>
      <c r="FO273">
        <f ca="1"/>
      </c>
      <c r="FP273">
        <f ca="1"/>
      </c>
      <c r="FQ273">
        <f ca="1"/>
      </c>
      <c r="FR273">
        <f ca="1"/>
      </c>
      <c r="FS273">
        <f ca="1"/>
      </c>
      <c r="FT273">
        <f ca="1"/>
      </c>
      <c r="FU273">
        <f ca="1"/>
      </c>
      <c r="FV273">
        <f ca="1"/>
      </c>
      <c r="FW273">
        <f ca="1"/>
      </c>
      <c r="FX273">
        <f ca="1"/>
      </c>
      <c r="FY273">
        <f ca="1"/>
      </c>
      <c r="FZ273">
        <f ca="1"/>
      </c>
      <c r="GA273">
        <f ca="1"/>
      </c>
      <c r="GB273">
        <f ca="1"/>
      </c>
      <c r="GC273">
        <f ca="1"/>
      </c>
      <c r="GD273">
        <f ca="1"/>
      </c>
      <c r="GE273">
        <f ca="1"/>
      </c>
      <c r="GF273">
        <f ca="1"/>
      </c>
      <c r="GG273">
        <f ca="1"/>
      </c>
      <c r="GH273">
        <f ca="1"/>
      </c>
      <c r="GI273">
        <f ca="1"/>
      </c>
      <c r="GJ273">
        <f ca="1"/>
      </c>
      <c r="GK273">
        <f ca="1"/>
      </c>
      <c r="GL273">
        <f ca="1"/>
      </c>
      <c r="GM273">
        <f ca="1"/>
      </c>
      <c r="GN273">
        <f ca="1"/>
      </c>
      <c r="GO273">
        <f ca="1"/>
      </c>
      <c r="GP273">
        <f ca="1"/>
      </c>
      <c r="GQ273">
        <f ca="1"/>
      </c>
      <c r="GR273">
        <f ca="1"/>
      </c>
      <c r="GS273">
        <f ca="1"/>
      </c>
      <c r="GT273">
        <f ca="1"/>
      </c>
      <c r="GU273">
        <f ca="1"/>
      </c>
      <c r="GV273">
        <f ca="1"/>
      </c>
      <c r="GW273">
        <f ca="1"/>
      </c>
      <c r="HI273" s="7"/>
    </row>
    <row r="274" spans="63:217" x14ac:dyDescent="0.55000000000000004">
      <c r="BK274">
        <f ca="1"/>
      </c>
      <c r="BL274">
        <f ca="1"/>
      </c>
      <c r="BM274">
        <f ca="1"/>
      </c>
      <c r="BN274">
        <f ca="1"/>
      </c>
      <c r="BO274">
        <f ca="1"/>
      </c>
      <c r="BP274">
        <f ca="1"/>
      </c>
      <c r="BQ274">
        <f ca="1"/>
      </c>
      <c r="BR274">
        <f ca="1"/>
      </c>
      <c r="BS274">
        <f ca="1"/>
      </c>
      <c r="BT274">
        <f ca="1"/>
      </c>
      <c r="BU274">
        <f ca="1"/>
      </c>
      <c r="BV274">
        <f ca="1"/>
      </c>
      <c r="BW274">
        <f ca="1"/>
      </c>
      <c r="BX274">
        <f ca="1"/>
      </c>
      <c r="BY274">
        <f ca="1"/>
      </c>
      <c r="BZ274">
        <f ca="1"/>
      </c>
      <c r="CA274">
        <f ca="1"/>
      </c>
      <c r="CB274">
        <f ca="1"/>
      </c>
      <c r="CC274">
        <f ca="1"/>
      </c>
      <c r="CD274">
        <f ca="1"/>
      </c>
      <c r="CE274">
        <f ca="1"/>
      </c>
      <c r="CF274">
        <f ca="1"/>
      </c>
      <c r="CG274">
        <f ca="1"/>
      </c>
      <c r="CH274">
        <f ca="1"/>
      </c>
      <c r="CI274">
        <f ca="1"/>
      </c>
      <c r="CJ274">
        <f ca="1"/>
      </c>
      <c r="CK274">
        <f ca="1"/>
      </c>
      <c r="CL274">
        <f ca="1"/>
      </c>
      <c r="CM274">
        <f ca="1"/>
      </c>
      <c r="CN274">
        <f ca="1"/>
      </c>
      <c r="CO274">
        <f ca="1"/>
      </c>
      <c r="CP274">
        <f ca="1"/>
      </c>
      <c r="CQ274">
        <f ca="1"/>
      </c>
      <c r="CR274">
        <f ca="1"/>
      </c>
      <c r="CS274">
        <f ca="1"/>
      </c>
      <c r="CT274">
        <f ca="1"/>
      </c>
      <c r="CU274">
        <f ca="1"/>
      </c>
      <c r="CV274">
        <f ca="1"/>
      </c>
      <c r="CW274">
        <f ca="1"/>
      </c>
      <c r="CX274">
        <f ca="1"/>
      </c>
      <c r="CY274">
        <f ca="1"/>
      </c>
      <c r="CZ274">
        <f ca="1"/>
      </c>
      <c r="DA274">
        <f ca="1"/>
      </c>
      <c r="DB274">
        <f ca="1"/>
      </c>
      <c r="DC274">
        <f ca="1"/>
      </c>
      <c r="DD274">
        <f ca="1"/>
      </c>
      <c r="DE274">
        <f ca="1"/>
      </c>
      <c r="DG274">
        <f ca="1"/>
      </c>
      <c r="DH274">
        <f ca="1"/>
      </c>
      <c r="DI274">
        <f ca="1"/>
      </c>
      <c r="DJ274">
        <f ca="1"/>
      </c>
      <c r="DK274">
        <f ca="1"/>
      </c>
      <c r="DL274">
        <f ca="1"/>
      </c>
      <c r="DM274">
        <f ca="1"/>
      </c>
      <c r="DN274">
        <f ca="1"/>
      </c>
      <c r="DO274">
        <f ca="1"/>
      </c>
      <c r="DP274">
        <f ca="1"/>
      </c>
      <c r="DQ274">
        <f ca="1"/>
      </c>
      <c r="DR274">
        <f ca="1"/>
      </c>
      <c r="DS274">
        <f ca="1"/>
      </c>
      <c r="DT274">
        <f ca="1"/>
      </c>
      <c r="DU274">
        <f ca="1"/>
      </c>
      <c r="DV274">
        <f ca="1"/>
      </c>
      <c r="DW274">
        <f ca="1"/>
      </c>
      <c r="DX274">
        <f ca="1"/>
      </c>
      <c r="DY274">
        <f ca="1"/>
      </c>
      <c r="DZ274">
        <f ca="1"/>
      </c>
      <c r="EA274">
        <f ca="1"/>
      </c>
      <c r="EB274">
        <f ca="1"/>
      </c>
      <c r="EC274">
        <f ca="1"/>
      </c>
      <c r="ED274">
        <f ca="1"/>
      </c>
      <c r="EE274">
        <f ca="1"/>
      </c>
      <c r="EF274">
        <f ca="1"/>
      </c>
      <c r="EG274">
        <f ca="1"/>
      </c>
      <c r="EH274">
        <f ca="1"/>
      </c>
      <c r="EI274">
        <f ca="1"/>
      </c>
      <c r="EJ274">
        <f ca="1"/>
      </c>
      <c r="EK274">
        <f ca="1"/>
      </c>
      <c r="EL274">
        <f ca="1"/>
      </c>
      <c r="EM274">
        <f ca="1"/>
      </c>
      <c r="EN274">
        <f ca="1"/>
      </c>
      <c r="EO274">
        <f ca="1"/>
      </c>
      <c r="EP274">
        <f ca="1"/>
      </c>
      <c r="EQ274">
        <f ca="1"/>
      </c>
      <c r="ER274">
        <f ca="1"/>
      </c>
      <c r="ES274">
        <f ca="1"/>
      </c>
      <c r="ET274">
        <f ca="1"/>
      </c>
      <c r="EU274">
        <f ca="1"/>
      </c>
      <c r="EV274">
        <f ca="1"/>
      </c>
      <c r="EW274">
        <f ca="1"/>
      </c>
      <c r="EX274">
        <f ca="1"/>
      </c>
      <c r="EY274">
        <f ca="1"/>
      </c>
      <c r="EZ274">
        <f ca="1"/>
      </c>
      <c r="FA274">
        <f ca="1"/>
      </c>
      <c r="FC274">
        <f ca="1"/>
      </c>
      <c r="FD274">
        <f ca="1"/>
      </c>
      <c r="FE274">
        <f ca="1"/>
      </c>
      <c r="FF274">
        <f ca="1"/>
      </c>
      <c r="FG274">
        <f ca="1"/>
      </c>
      <c r="FH274">
        <f ca="1"/>
      </c>
      <c r="FI274">
        <f ca="1"/>
      </c>
      <c r="FJ274">
        <f ca="1"/>
      </c>
      <c r="FK274">
        <f ca="1"/>
      </c>
      <c r="FL274">
        <f ca="1"/>
      </c>
      <c r="FM274">
        <f ca="1"/>
      </c>
      <c r="FN274">
        <f ca="1"/>
      </c>
      <c r="FO274">
        <f ca="1"/>
      </c>
      <c r="FP274">
        <f ca="1"/>
      </c>
      <c r="FQ274">
        <f ca="1"/>
      </c>
      <c r="FR274">
        <f ca="1"/>
      </c>
      <c r="FS274">
        <f ca="1"/>
      </c>
      <c r="FT274">
        <f ca="1"/>
      </c>
      <c r="FU274">
        <f ca="1"/>
      </c>
      <c r="FV274">
        <f ca="1"/>
      </c>
      <c r="FW274">
        <f ca="1"/>
      </c>
      <c r="FX274">
        <f ca="1"/>
      </c>
      <c r="FY274">
        <f ca="1"/>
      </c>
      <c r="FZ274">
        <f ca="1"/>
      </c>
      <c r="GA274">
        <f ca="1"/>
      </c>
      <c r="GB274">
        <f ca="1"/>
      </c>
      <c r="GC274">
        <f ca="1"/>
      </c>
      <c r="GD274">
        <f ca="1"/>
      </c>
      <c r="GE274">
        <f ca="1"/>
      </c>
      <c r="GF274">
        <f ca="1"/>
      </c>
      <c r="GG274">
        <f ca="1"/>
      </c>
      <c r="GH274">
        <f ca="1"/>
      </c>
      <c r="GI274">
        <f ca="1"/>
      </c>
      <c r="GJ274">
        <f ca="1"/>
      </c>
      <c r="GK274">
        <f ca="1"/>
      </c>
      <c r="GL274">
        <f ca="1"/>
      </c>
      <c r="GM274">
        <f ca="1"/>
      </c>
      <c r="GN274">
        <f ca="1"/>
      </c>
      <c r="GO274">
        <f ca="1"/>
      </c>
      <c r="GP274">
        <f ca="1"/>
      </c>
      <c r="GQ274">
        <f ca="1"/>
      </c>
      <c r="GR274">
        <f ca="1"/>
      </c>
      <c r="GS274">
        <f ca="1"/>
      </c>
      <c r="GT274">
        <f ca="1"/>
      </c>
      <c r="GU274">
        <f ca="1"/>
      </c>
      <c r="GV274">
        <f ca="1"/>
      </c>
      <c r="GW274">
        <f ca="1"/>
      </c>
      <c r="HI274" s="7"/>
    </row>
    <row r="275" spans="63:217" x14ac:dyDescent="0.55000000000000004">
      <c r="BK275">
        <f ca="1"/>
      </c>
      <c r="BL275">
        <f ca="1"/>
      </c>
      <c r="BM275">
        <f ca="1"/>
      </c>
      <c r="BN275">
        <f ca="1"/>
      </c>
      <c r="BO275">
        <f ca="1"/>
      </c>
      <c r="BP275">
        <f ca="1"/>
      </c>
      <c r="BQ275">
        <f ca="1"/>
      </c>
      <c r="BR275">
        <f ca="1"/>
      </c>
      <c r="BS275">
        <f ca="1"/>
      </c>
      <c r="BT275">
        <f ca="1"/>
      </c>
      <c r="BU275">
        <f ca="1"/>
      </c>
      <c r="BV275">
        <f ca="1"/>
      </c>
      <c r="BW275">
        <f ca="1"/>
      </c>
      <c r="BX275">
        <f ca="1"/>
      </c>
      <c r="BY275">
        <f ca="1"/>
      </c>
      <c r="BZ275">
        <f ca="1"/>
      </c>
      <c r="CA275">
        <f ca="1"/>
      </c>
      <c r="CB275">
        <f ca="1"/>
      </c>
      <c r="CC275">
        <f ca="1"/>
      </c>
      <c r="CD275">
        <f ca="1"/>
      </c>
      <c r="CE275">
        <f ca="1"/>
      </c>
      <c r="CF275">
        <f ca="1"/>
      </c>
      <c r="CG275">
        <f ca="1"/>
      </c>
      <c r="CH275">
        <f ca="1"/>
      </c>
      <c r="CI275">
        <f ca="1"/>
      </c>
      <c r="CJ275">
        <f ca="1"/>
      </c>
      <c r="CK275">
        <f ca="1"/>
      </c>
      <c r="CL275">
        <f ca="1"/>
      </c>
      <c r="CM275">
        <f ca="1"/>
      </c>
      <c r="CN275">
        <f ca="1"/>
      </c>
      <c r="CO275">
        <f ca="1"/>
      </c>
      <c r="CP275">
        <f ca="1"/>
      </c>
      <c r="CQ275">
        <f ca="1"/>
      </c>
      <c r="CR275">
        <f ca="1"/>
      </c>
      <c r="CS275">
        <f ca="1"/>
      </c>
      <c r="CT275">
        <f ca="1"/>
      </c>
      <c r="CU275">
        <f ca="1"/>
      </c>
      <c r="CV275">
        <f ca="1"/>
      </c>
      <c r="CW275">
        <f ca="1"/>
      </c>
      <c r="CX275">
        <f ca="1"/>
      </c>
      <c r="CY275">
        <f ca="1"/>
      </c>
      <c r="CZ275">
        <f ca="1"/>
      </c>
      <c r="DA275">
        <f ca="1"/>
      </c>
      <c r="DB275">
        <f ca="1"/>
      </c>
      <c r="DC275">
        <f ca="1"/>
      </c>
      <c r="DD275">
        <f ca="1"/>
      </c>
      <c r="DE275">
        <f ca="1"/>
      </c>
      <c r="DG275">
        <f ca="1"/>
      </c>
      <c r="DH275">
        <f ca="1"/>
      </c>
      <c r="DI275">
        <f ca="1"/>
      </c>
      <c r="DJ275">
        <f ca="1"/>
      </c>
      <c r="DK275">
        <f ca="1"/>
      </c>
      <c r="DL275">
        <f ca="1"/>
      </c>
      <c r="DM275">
        <f ca="1"/>
      </c>
      <c r="DN275">
        <f ca="1"/>
      </c>
      <c r="DO275">
        <f ca="1"/>
      </c>
      <c r="DP275">
        <f ca="1"/>
      </c>
      <c r="DQ275">
        <f ca="1"/>
      </c>
      <c r="DR275">
        <f ca="1"/>
      </c>
      <c r="DS275">
        <f ca="1"/>
      </c>
      <c r="DT275">
        <f ca="1"/>
      </c>
      <c r="DU275">
        <f ca="1"/>
      </c>
      <c r="DV275">
        <f ca="1"/>
      </c>
      <c r="DW275">
        <f ca="1"/>
      </c>
      <c r="DX275">
        <f ca="1"/>
      </c>
      <c r="DY275">
        <f ca="1"/>
      </c>
      <c r="DZ275">
        <f ca="1"/>
      </c>
      <c r="EA275">
        <f ca="1"/>
      </c>
      <c r="EB275">
        <f ca="1"/>
      </c>
      <c r="EC275">
        <f ca="1"/>
      </c>
      <c r="ED275">
        <f ca="1"/>
      </c>
      <c r="EE275">
        <f ca="1"/>
      </c>
      <c r="EF275">
        <f ca="1"/>
      </c>
      <c r="EG275">
        <f ca="1"/>
      </c>
      <c r="EH275">
        <f ca="1"/>
      </c>
      <c r="EI275">
        <f ca="1"/>
      </c>
      <c r="EJ275">
        <f ca="1"/>
      </c>
      <c r="EK275">
        <f ca="1"/>
      </c>
      <c r="EL275">
        <f ca="1"/>
      </c>
      <c r="EM275">
        <f ca="1"/>
      </c>
      <c r="EN275">
        <f ca="1"/>
      </c>
      <c r="EO275">
        <f ca="1"/>
      </c>
      <c r="EP275">
        <f ca="1"/>
      </c>
      <c r="EQ275">
        <f ca="1"/>
      </c>
      <c r="ER275">
        <f ca="1"/>
      </c>
      <c r="ES275">
        <f ca="1"/>
      </c>
      <c r="ET275">
        <f ca="1"/>
      </c>
      <c r="EU275">
        <f ca="1"/>
      </c>
      <c r="EV275">
        <f ca="1"/>
      </c>
      <c r="EW275">
        <f ca="1"/>
      </c>
      <c r="EX275">
        <f ca="1"/>
      </c>
      <c r="EY275">
        <f ca="1"/>
      </c>
      <c r="EZ275">
        <f ca="1"/>
      </c>
      <c r="FA275">
        <f ca="1"/>
      </c>
      <c r="FC275">
        <f ca="1"/>
      </c>
      <c r="FD275">
        <f ca="1"/>
      </c>
      <c r="FE275">
        <f ca="1"/>
      </c>
      <c r="FF275">
        <f ca="1"/>
      </c>
      <c r="FG275">
        <f ca="1"/>
      </c>
      <c r="FH275">
        <f ca="1"/>
      </c>
      <c r="FI275">
        <f ca="1"/>
      </c>
      <c r="FJ275">
        <f ca="1"/>
      </c>
      <c r="FK275">
        <f ca="1"/>
      </c>
      <c r="FL275">
        <f ca="1"/>
      </c>
      <c r="FM275">
        <f ca="1"/>
      </c>
      <c r="FN275">
        <f ca="1"/>
      </c>
      <c r="FO275">
        <f ca="1"/>
      </c>
      <c r="FP275">
        <f ca="1"/>
      </c>
      <c r="FQ275">
        <f ca="1"/>
      </c>
      <c r="FR275">
        <f ca="1"/>
      </c>
      <c r="FS275">
        <f ca="1"/>
      </c>
      <c r="FT275">
        <f ca="1"/>
      </c>
      <c r="FU275">
        <f ca="1"/>
      </c>
      <c r="FV275">
        <f ca="1"/>
      </c>
      <c r="FW275">
        <f ca="1"/>
      </c>
      <c r="FX275">
        <f ca="1"/>
      </c>
      <c r="FY275">
        <f ca="1"/>
      </c>
      <c r="FZ275">
        <f ca="1"/>
      </c>
      <c r="GA275">
        <f ca="1"/>
      </c>
      <c r="GB275">
        <f ca="1"/>
      </c>
      <c r="GC275">
        <f ca="1"/>
      </c>
      <c r="GD275">
        <f ca="1"/>
      </c>
      <c r="GE275">
        <f ca="1"/>
      </c>
      <c r="GF275">
        <f ca="1"/>
      </c>
      <c r="GG275">
        <f ca="1"/>
      </c>
      <c r="GH275">
        <f ca="1"/>
      </c>
      <c r="GI275">
        <f ca="1"/>
      </c>
      <c r="GJ275">
        <f ca="1"/>
      </c>
      <c r="GK275">
        <f ca="1"/>
      </c>
      <c r="GL275">
        <f ca="1"/>
      </c>
      <c r="GM275">
        <f ca="1"/>
      </c>
      <c r="GN275">
        <f ca="1"/>
      </c>
      <c r="GO275">
        <f ca="1"/>
      </c>
      <c r="GP275">
        <f ca="1"/>
      </c>
      <c r="GQ275">
        <f ca="1"/>
      </c>
      <c r="GR275">
        <f ca="1"/>
      </c>
      <c r="GS275">
        <f ca="1"/>
      </c>
      <c r="GT275">
        <f ca="1"/>
      </c>
      <c r="GU275">
        <f ca="1"/>
      </c>
      <c r="GV275">
        <f ca="1"/>
      </c>
      <c r="GW275">
        <f ca="1"/>
      </c>
      <c r="HI275" s="7"/>
    </row>
    <row r="276" spans="63:217" x14ac:dyDescent="0.55000000000000004">
      <c r="BK276">
        <f ca="1"/>
      </c>
      <c r="BL276">
        <f ca="1"/>
      </c>
      <c r="BM276">
        <f ca="1"/>
      </c>
      <c r="BN276">
        <f ca="1"/>
      </c>
      <c r="BO276">
        <f ca="1"/>
      </c>
      <c r="BP276">
        <f ca="1"/>
      </c>
      <c r="BQ276">
        <f ca="1"/>
      </c>
      <c r="BR276">
        <f ca="1"/>
      </c>
      <c r="BS276">
        <f ca="1"/>
      </c>
      <c r="BT276">
        <f ca="1"/>
      </c>
      <c r="BU276">
        <f ca="1"/>
      </c>
      <c r="BV276">
        <f ca="1"/>
      </c>
      <c r="BW276">
        <f ca="1"/>
      </c>
      <c r="BX276">
        <f ca="1"/>
      </c>
      <c r="BY276">
        <f ca="1"/>
      </c>
      <c r="BZ276">
        <f ca="1"/>
      </c>
      <c r="CA276">
        <f ca="1"/>
      </c>
      <c r="CB276">
        <f ca="1"/>
      </c>
      <c r="CC276">
        <f ca="1"/>
      </c>
      <c r="CD276">
        <f ca="1"/>
      </c>
      <c r="CE276">
        <f ca="1"/>
      </c>
      <c r="CF276">
        <f ca="1"/>
      </c>
      <c r="CG276">
        <f ca="1"/>
      </c>
      <c r="CH276">
        <f ca="1"/>
      </c>
      <c r="CI276">
        <f ca="1"/>
      </c>
      <c r="CJ276">
        <f ca="1"/>
      </c>
      <c r="CK276">
        <f ca="1"/>
      </c>
      <c r="CL276">
        <f ca="1"/>
      </c>
      <c r="CM276">
        <f ca="1"/>
      </c>
      <c r="CN276">
        <f ca="1"/>
      </c>
      <c r="CO276">
        <f ca="1"/>
      </c>
      <c r="CP276">
        <f ca="1"/>
      </c>
      <c r="CQ276">
        <f ca="1"/>
      </c>
      <c r="CR276">
        <f ca="1"/>
      </c>
      <c r="CS276">
        <f ca="1"/>
      </c>
      <c r="CT276">
        <f ca="1"/>
      </c>
      <c r="CU276">
        <f ca="1"/>
      </c>
      <c r="CV276">
        <f ca="1"/>
      </c>
      <c r="CW276">
        <f ca="1"/>
      </c>
      <c r="CX276">
        <f ca="1"/>
      </c>
      <c r="CY276">
        <f ca="1"/>
      </c>
      <c r="CZ276">
        <f ca="1"/>
      </c>
      <c r="DA276">
        <f ca="1"/>
      </c>
      <c r="DB276">
        <f ca="1"/>
      </c>
      <c r="DC276">
        <f ca="1"/>
      </c>
      <c r="DD276">
        <f ca="1"/>
      </c>
      <c r="DE276">
        <f ca="1"/>
      </c>
      <c r="DG276">
        <f ca="1"/>
      </c>
      <c r="DH276">
        <f ca="1"/>
      </c>
      <c r="DI276">
        <f ca="1"/>
      </c>
      <c r="DJ276">
        <f ca="1"/>
      </c>
      <c r="DK276">
        <f ca="1"/>
      </c>
      <c r="DL276">
        <f ca="1"/>
      </c>
      <c r="DM276">
        <f ca="1"/>
      </c>
      <c r="DN276">
        <f ca="1"/>
      </c>
      <c r="DO276">
        <f ca="1"/>
      </c>
      <c r="DP276">
        <f ca="1"/>
      </c>
      <c r="DQ276">
        <f ca="1"/>
      </c>
      <c r="DR276">
        <f ca="1"/>
      </c>
      <c r="DS276">
        <f ca="1"/>
      </c>
      <c r="DT276">
        <f ca="1"/>
      </c>
      <c r="DU276">
        <f ca="1"/>
      </c>
      <c r="DV276">
        <f ca="1"/>
      </c>
      <c r="DW276">
        <f ca="1"/>
      </c>
      <c r="DX276">
        <f ca="1"/>
      </c>
      <c r="DY276">
        <f ca="1"/>
      </c>
      <c r="DZ276">
        <f ca="1"/>
      </c>
      <c r="EA276">
        <f ca="1"/>
      </c>
      <c r="EB276">
        <f ca="1"/>
      </c>
      <c r="EC276">
        <f ca="1"/>
      </c>
      <c r="ED276">
        <f ca="1"/>
      </c>
      <c r="EE276">
        <f ca="1"/>
      </c>
      <c r="EF276">
        <f ca="1"/>
      </c>
      <c r="EG276">
        <f ca="1"/>
      </c>
      <c r="EH276">
        <f ca="1"/>
      </c>
      <c r="EI276">
        <f ca="1"/>
      </c>
      <c r="EJ276">
        <f ca="1"/>
      </c>
      <c r="EK276">
        <f ca="1"/>
      </c>
      <c r="EL276">
        <f ca="1"/>
      </c>
      <c r="EM276">
        <f ca="1"/>
      </c>
      <c r="EN276">
        <f ca="1"/>
      </c>
      <c r="EO276">
        <f ca="1"/>
      </c>
      <c r="EP276">
        <f ca="1"/>
      </c>
      <c r="EQ276">
        <f ca="1"/>
      </c>
      <c r="ER276">
        <f ca="1"/>
      </c>
      <c r="ES276">
        <f ca="1"/>
      </c>
      <c r="ET276">
        <f ca="1"/>
      </c>
      <c r="EU276">
        <f ca="1"/>
      </c>
      <c r="EV276">
        <f ca="1"/>
      </c>
      <c r="EW276">
        <f ca="1"/>
      </c>
      <c r="EX276">
        <f ca="1"/>
      </c>
      <c r="EY276">
        <f ca="1"/>
      </c>
      <c r="EZ276">
        <f ca="1"/>
      </c>
      <c r="FA276">
        <f ca="1"/>
      </c>
      <c r="FC276">
        <f ca="1"/>
      </c>
      <c r="FD276">
        <f ca="1"/>
      </c>
      <c r="FE276">
        <f ca="1"/>
      </c>
      <c r="FF276">
        <f ca="1"/>
      </c>
      <c r="FG276">
        <f ca="1"/>
      </c>
      <c r="FH276">
        <f ca="1"/>
      </c>
      <c r="FI276">
        <f ca="1"/>
      </c>
      <c r="FJ276">
        <f ca="1"/>
      </c>
      <c r="FK276">
        <f ca="1"/>
      </c>
      <c r="FL276">
        <f ca="1"/>
      </c>
      <c r="FM276">
        <f ca="1"/>
      </c>
      <c r="FN276">
        <f ca="1"/>
      </c>
      <c r="FO276">
        <f ca="1"/>
      </c>
      <c r="FP276">
        <f ca="1"/>
      </c>
      <c r="FQ276">
        <f ca="1"/>
      </c>
      <c r="FR276">
        <f ca="1"/>
      </c>
      <c r="FS276">
        <f ca="1"/>
      </c>
      <c r="FT276">
        <f ca="1"/>
      </c>
      <c r="FU276">
        <f ca="1"/>
      </c>
      <c r="FV276">
        <f ca="1"/>
      </c>
      <c r="FW276">
        <f ca="1"/>
      </c>
      <c r="FX276">
        <f ca="1"/>
      </c>
      <c r="FY276">
        <f ca="1"/>
      </c>
      <c r="FZ276">
        <f ca="1"/>
      </c>
      <c r="GA276">
        <f ca="1"/>
      </c>
      <c r="GB276">
        <f ca="1"/>
      </c>
      <c r="GC276">
        <f ca="1"/>
      </c>
      <c r="GD276">
        <f ca="1"/>
      </c>
      <c r="GE276">
        <f ca="1"/>
      </c>
      <c r="GF276">
        <f ca="1"/>
      </c>
      <c r="GG276">
        <f ca="1"/>
      </c>
      <c r="GH276">
        <f ca="1"/>
      </c>
      <c r="GI276">
        <f ca="1"/>
      </c>
      <c r="GJ276">
        <f ca="1"/>
      </c>
      <c r="GK276">
        <f ca="1"/>
      </c>
      <c r="GL276">
        <f ca="1"/>
      </c>
      <c r="GM276">
        <f ca="1"/>
      </c>
      <c r="GN276">
        <f ca="1"/>
      </c>
      <c r="GO276">
        <f ca="1"/>
      </c>
      <c r="GP276">
        <f ca="1"/>
      </c>
      <c r="GQ276">
        <f ca="1"/>
      </c>
      <c r="GR276">
        <f ca="1"/>
      </c>
      <c r="GS276">
        <f ca="1"/>
      </c>
      <c r="GT276">
        <f ca="1"/>
      </c>
      <c r="GU276">
        <f ca="1"/>
      </c>
      <c r="GV276">
        <f ca="1"/>
      </c>
      <c r="GW276">
        <f ca="1"/>
      </c>
      <c r="HI276" s="7"/>
    </row>
    <row r="277" spans="63:217" x14ac:dyDescent="0.55000000000000004">
      <c r="BK277">
        <f ca="1"/>
      </c>
      <c r="BL277">
        <f ca="1"/>
      </c>
      <c r="BM277">
        <f ca="1"/>
      </c>
      <c r="BN277">
        <f ca="1"/>
      </c>
      <c r="BO277">
        <f ca="1"/>
      </c>
      <c r="BP277">
        <f ca="1"/>
      </c>
      <c r="BQ277">
        <f ca="1"/>
      </c>
      <c r="BR277">
        <f ca="1"/>
      </c>
      <c r="BS277">
        <f ca="1"/>
      </c>
      <c r="BT277">
        <f ca="1"/>
      </c>
      <c r="BU277">
        <f ca="1"/>
      </c>
      <c r="BV277">
        <f ca="1"/>
      </c>
      <c r="BW277">
        <f ca="1"/>
      </c>
      <c r="BX277">
        <f ca="1"/>
      </c>
      <c r="BY277">
        <f ca="1"/>
      </c>
      <c r="BZ277">
        <f ca="1"/>
      </c>
      <c r="CA277">
        <f ca="1"/>
      </c>
      <c r="CB277">
        <f ca="1"/>
      </c>
      <c r="CC277">
        <f ca="1"/>
      </c>
      <c r="CD277">
        <f ca="1"/>
      </c>
      <c r="CE277">
        <f ca="1"/>
      </c>
      <c r="CF277">
        <f ca="1"/>
      </c>
      <c r="CG277">
        <f ca="1"/>
      </c>
      <c r="CH277">
        <f ca="1"/>
      </c>
      <c r="CI277">
        <f ca="1"/>
      </c>
      <c r="CJ277">
        <f ca="1"/>
      </c>
      <c r="CK277">
        <f ca="1"/>
      </c>
      <c r="CL277">
        <f ca="1"/>
      </c>
      <c r="CM277">
        <f ca="1"/>
      </c>
      <c r="CN277">
        <f ca="1"/>
      </c>
      <c r="CO277">
        <f ca="1"/>
      </c>
      <c r="CP277">
        <f ca="1"/>
      </c>
      <c r="CQ277">
        <f ca="1"/>
      </c>
      <c r="CR277">
        <f ca="1"/>
      </c>
      <c r="CS277">
        <f ca="1"/>
      </c>
      <c r="CT277">
        <f ca="1"/>
      </c>
      <c r="CU277">
        <f ca="1"/>
      </c>
      <c r="CV277">
        <f ca="1"/>
      </c>
      <c r="CW277">
        <f ca="1"/>
      </c>
      <c r="CX277">
        <f ca="1"/>
      </c>
      <c r="CY277">
        <f ca="1"/>
      </c>
      <c r="CZ277">
        <f ca="1"/>
      </c>
      <c r="DA277">
        <f ca="1"/>
      </c>
      <c r="DB277">
        <f ca="1"/>
      </c>
      <c r="DC277">
        <f ca="1"/>
      </c>
      <c r="DD277">
        <f ca="1"/>
      </c>
      <c r="DE277">
        <f ca="1"/>
      </c>
      <c r="DG277">
        <f ca="1"/>
      </c>
      <c r="DH277">
        <f ca="1"/>
      </c>
      <c r="DI277">
        <f ca="1"/>
      </c>
      <c r="DJ277">
        <f ca="1"/>
      </c>
      <c r="DK277">
        <f ca="1"/>
      </c>
      <c r="DL277">
        <f ca="1"/>
      </c>
      <c r="DM277">
        <f ca="1"/>
      </c>
      <c r="DN277">
        <f ca="1"/>
      </c>
      <c r="DO277">
        <f ca="1"/>
      </c>
      <c r="DP277">
        <f ca="1"/>
      </c>
      <c r="DQ277">
        <f ca="1"/>
      </c>
      <c r="DR277">
        <f ca="1"/>
      </c>
      <c r="DS277">
        <f ca="1"/>
      </c>
      <c r="DT277">
        <f ca="1"/>
      </c>
      <c r="DU277">
        <f ca="1"/>
      </c>
      <c r="DV277">
        <f ca="1"/>
      </c>
      <c r="DW277">
        <f ca="1"/>
      </c>
      <c r="DX277">
        <f ca="1"/>
      </c>
      <c r="DY277">
        <f ca="1"/>
      </c>
      <c r="DZ277">
        <f ca="1"/>
      </c>
      <c r="EA277">
        <f ca="1"/>
      </c>
      <c r="EB277">
        <f ca="1"/>
      </c>
      <c r="EC277">
        <f ca="1"/>
      </c>
      <c r="ED277">
        <f ca="1"/>
      </c>
      <c r="EE277">
        <f ca="1"/>
      </c>
      <c r="EF277">
        <f ca="1"/>
      </c>
      <c r="EG277">
        <f ca="1"/>
      </c>
      <c r="EH277">
        <f ca="1"/>
      </c>
      <c r="EI277">
        <f ca="1"/>
      </c>
      <c r="EJ277">
        <f ca="1"/>
      </c>
      <c r="EK277">
        <f ca="1"/>
      </c>
      <c r="EL277">
        <f ca="1"/>
      </c>
      <c r="EM277">
        <f ca="1"/>
      </c>
      <c r="EN277">
        <f ca="1"/>
      </c>
      <c r="EO277">
        <f ca="1"/>
      </c>
      <c r="EP277">
        <f ca="1"/>
      </c>
      <c r="EQ277">
        <f ca="1"/>
      </c>
      <c r="ER277">
        <f ca="1"/>
      </c>
      <c r="ES277">
        <f ca="1"/>
      </c>
      <c r="ET277">
        <f ca="1"/>
      </c>
      <c r="EU277">
        <f ca="1"/>
      </c>
      <c r="EV277">
        <f ca="1"/>
      </c>
      <c r="EW277">
        <f ca="1"/>
      </c>
      <c r="EX277">
        <f ca="1"/>
      </c>
      <c r="EY277">
        <f ca="1"/>
      </c>
      <c r="EZ277">
        <f ca="1"/>
      </c>
      <c r="FA277">
        <f ca="1"/>
      </c>
      <c r="FC277">
        <f ca="1"/>
      </c>
      <c r="FD277">
        <f ca="1"/>
      </c>
      <c r="FE277">
        <f ca="1"/>
      </c>
      <c r="FF277">
        <f ca="1"/>
      </c>
      <c r="FG277">
        <f ca="1"/>
      </c>
      <c r="FH277">
        <f ca="1"/>
      </c>
      <c r="FI277">
        <f ca="1"/>
      </c>
      <c r="FJ277">
        <f ca="1"/>
      </c>
      <c r="FK277">
        <f ca="1"/>
      </c>
      <c r="FL277">
        <f ca="1"/>
      </c>
      <c r="FM277">
        <f ca="1"/>
      </c>
      <c r="FN277">
        <f ca="1"/>
      </c>
      <c r="FO277">
        <f ca="1"/>
      </c>
      <c r="FP277">
        <f ca="1"/>
      </c>
      <c r="FQ277">
        <f ca="1"/>
      </c>
      <c r="FR277">
        <f ca="1"/>
      </c>
      <c r="FS277">
        <f ca="1"/>
      </c>
      <c r="FT277">
        <f ca="1"/>
      </c>
      <c r="FU277">
        <f ca="1"/>
      </c>
      <c r="FV277">
        <f ca="1"/>
      </c>
      <c r="FW277">
        <f ca="1"/>
      </c>
      <c r="FX277">
        <f ca="1"/>
      </c>
      <c r="FY277">
        <f ca="1"/>
      </c>
      <c r="FZ277">
        <f ca="1"/>
      </c>
      <c r="GA277">
        <f ca="1"/>
      </c>
      <c r="GB277">
        <f ca="1"/>
      </c>
      <c r="GC277">
        <f ca="1"/>
      </c>
      <c r="GD277">
        <f ca="1"/>
      </c>
      <c r="GE277">
        <f ca="1"/>
      </c>
      <c r="GF277">
        <f ca="1"/>
      </c>
      <c r="GG277">
        <f ca="1"/>
      </c>
      <c r="GH277">
        <f ca="1"/>
      </c>
      <c r="GI277">
        <f ca="1"/>
      </c>
      <c r="GJ277">
        <f ca="1"/>
      </c>
      <c r="GK277">
        <f ca="1"/>
      </c>
      <c r="GL277">
        <f ca="1"/>
      </c>
      <c r="GM277">
        <f ca="1"/>
      </c>
      <c r="GN277">
        <f ca="1"/>
      </c>
      <c r="GO277">
        <f ca="1"/>
      </c>
      <c r="GP277">
        <f ca="1"/>
      </c>
      <c r="GQ277">
        <f ca="1"/>
      </c>
      <c r="GR277">
        <f ca="1"/>
      </c>
      <c r="GS277">
        <f ca="1"/>
      </c>
      <c r="GT277">
        <f ca="1"/>
      </c>
      <c r="GU277">
        <f ca="1"/>
      </c>
      <c r="GV277">
        <f ca="1"/>
      </c>
      <c r="GW277">
        <f ca="1"/>
      </c>
      <c r="HI277" s="7"/>
    </row>
    <row r="278" spans="63:217" x14ac:dyDescent="0.55000000000000004">
      <c r="BK278">
        <f ca="1"/>
      </c>
      <c r="BL278">
        <f ca="1"/>
      </c>
      <c r="BM278">
        <f ca="1"/>
      </c>
      <c r="BN278">
        <f ca="1"/>
      </c>
      <c r="BO278">
        <f ca="1"/>
      </c>
      <c r="BP278">
        <f ca="1"/>
      </c>
      <c r="BQ278">
        <f ca="1"/>
      </c>
      <c r="BR278">
        <f ca="1"/>
      </c>
      <c r="BS278">
        <f ca="1"/>
      </c>
      <c r="BT278">
        <f ca="1"/>
      </c>
      <c r="BU278">
        <f ca="1"/>
      </c>
      <c r="BV278">
        <f ca="1"/>
      </c>
      <c r="BW278">
        <f ca="1"/>
      </c>
      <c r="BX278">
        <f ca="1"/>
      </c>
      <c r="BY278">
        <f ca="1"/>
      </c>
      <c r="BZ278">
        <f ca="1"/>
      </c>
      <c r="CA278">
        <f ca="1"/>
      </c>
      <c r="CB278">
        <f ca="1"/>
      </c>
      <c r="CC278">
        <f ca="1"/>
      </c>
      <c r="CD278">
        <f ca="1"/>
      </c>
      <c r="CE278">
        <f ca="1"/>
      </c>
      <c r="CF278">
        <f ca="1"/>
      </c>
      <c r="CG278">
        <f ca="1"/>
      </c>
      <c r="CH278">
        <f ca="1"/>
      </c>
      <c r="CI278">
        <f ca="1"/>
      </c>
      <c r="CJ278">
        <f ca="1"/>
      </c>
      <c r="CK278">
        <f ca="1"/>
      </c>
      <c r="CL278">
        <f ca="1"/>
      </c>
      <c r="CM278">
        <f ca="1"/>
      </c>
      <c r="CN278">
        <f ca="1"/>
      </c>
      <c r="CO278">
        <f ca="1"/>
      </c>
      <c r="CP278">
        <f ca="1"/>
      </c>
      <c r="CQ278">
        <f ca="1"/>
      </c>
      <c r="CR278">
        <f ca="1"/>
      </c>
      <c r="CS278">
        <f ca="1"/>
      </c>
      <c r="CT278">
        <f ca="1"/>
      </c>
      <c r="CU278">
        <f ca="1"/>
      </c>
      <c r="CV278">
        <f ca="1"/>
      </c>
      <c r="CW278">
        <f ca="1"/>
      </c>
      <c r="CX278">
        <f ca="1"/>
      </c>
      <c r="CY278">
        <f ca="1"/>
      </c>
      <c r="CZ278">
        <f ca="1"/>
      </c>
      <c r="DA278">
        <f ca="1"/>
      </c>
      <c r="DB278">
        <f ca="1"/>
      </c>
      <c r="DC278">
        <f ca="1"/>
      </c>
      <c r="DD278">
        <f ca="1"/>
      </c>
      <c r="DE278">
        <f ca="1"/>
      </c>
      <c r="DG278">
        <f ca="1"/>
      </c>
      <c r="DH278">
        <f ca="1"/>
      </c>
      <c r="DI278">
        <f ca="1"/>
      </c>
      <c r="DJ278">
        <f ca="1"/>
      </c>
      <c r="DK278">
        <f ca="1"/>
      </c>
      <c r="DL278">
        <f ca="1"/>
      </c>
      <c r="DM278">
        <f ca="1"/>
      </c>
      <c r="DN278">
        <f ca="1"/>
      </c>
      <c r="DO278">
        <f ca="1"/>
      </c>
      <c r="DP278">
        <f ca="1"/>
      </c>
      <c r="DQ278">
        <f ca="1"/>
      </c>
      <c r="DR278">
        <f ca="1"/>
      </c>
      <c r="DS278">
        <f ca="1"/>
      </c>
      <c r="DT278">
        <f ca="1"/>
      </c>
      <c r="DU278">
        <f ca="1"/>
      </c>
      <c r="DV278">
        <f ca="1"/>
      </c>
      <c r="DW278">
        <f ca="1"/>
      </c>
      <c r="DX278">
        <f ca="1"/>
      </c>
      <c r="DY278">
        <f ca="1"/>
      </c>
      <c r="DZ278">
        <f ca="1"/>
      </c>
      <c r="EA278">
        <f ca="1"/>
      </c>
      <c r="EB278">
        <f ca="1"/>
      </c>
      <c r="EC278">
        <f ca="1"/>
      </c>
      <c r="ED278">
        <f ca="1"/>
      </c>
      <c r="EE278">
        <f ca="1"/>
      </c>
      <c r="EF278">
        <f ca="1"/>
      </c>
      <c r="EG278">
        <f ca="1"/>
      </c>
      <c r="EH278">
        <f ca="1"/>
      </c>
      <c r="EI278">
        <f ca="1"/>
      </c>
      <c r="EJ278">
        <f ca="1"/>
      </c>
      <c r="EK278">
        <f ca="1"/>
      </c>
      <c r="EL278">
        <f ca="1"/>
      </c>
      <c r="EM278">
        <f ca="1"/>
      </c>
      <c r="EN278">
        <f ca="1"/>
      </c>
      <c r="EO278">
        <f ca="1"/>
      </c>
      <c r="EP278">
        <f ca="1"/>
      </c>
      <c r="EQ278">
        <f ca="1"/>
      </c>
      <c r="ER278">
        <f ca="1"/>
      </c>
      <c r="ES278">
        <f ca="1"/>
      </c>
      <c r="ET278">
        <f ca="1"/>
      </c>
      <c r="EU278">
        <f ca="1"/>
      </c>
      <c r="EV278">
        <f ca="1"/>
      </c>
      <c r="EW278">
        <f ca="1"/>
      </c>
      <c r="EX278">
        <f ca="1"/>
      </c>
      <c r="EY278">
        <f ca="1"/>
      </c>
      <c r="EZ278">
        <f ca="1"/>
      </c>
      <c r="FA278">
        <f ca="1"/>
      </c>
      <c r="FC278">
        <f ca="1"/>
      </c>
      <c r="FD278">
        <f ca="1"/>
      </c>
      <c r="FE278">
        <f ca="1"/>
      </c>
      <c r="FF278">
        <f ca="1"/>
      </c>
      <c r="FG278">
        <f ca="1"/>
      </c>
      <c r="FH278">
        <f ca="1"/>
      </c>
      <c r="FI278">
        <f ca="1"/>
      </c>
      <c r="FJ278">
        <f ca="1"/>
      </c>
      <c r="FK278">
        <f ca="1"/>
      </c>
      <c r="FL278">
        <f ca="1"/>
      </c>
      <c r="FM278">
        <f ca="1"/>
      </c>
      <c r="FN278">
        <f ca="1"/>
      </c>
      <c r="FO278">
        <f ca="1"/>
      </c>
      <c r="FP278">
        <f ca="1"/>
      </c>
      <c r="FQ278">
        <f ca="1"/>
      </c>
      <c r="FR278">
        <f ca="1"/>
      </c>
      <c r="FS278">
        <f ca="1"/>
      </c>
      <c r="FT278">
        <f ca="1"/>
      </c>
      <c r="FU278">
        <f ca="1"/>
      </c>
      <c r="FV278">
        <f ca="1"/>
      </c>
      <c r="FW278">
        <f ca="1"/>
      </c>
      <c r="FX278">
        <f ca="1"/>
      </c>
      <c r="FY278">
        <f ca="1"/>
      </c>
      <c r="FZ278">
        <f ca="1"/>
      </c>
      <c r="GA278">
        <f ca="1"/>
      </c>
      <c r="GB278">
        <f ca="1"/>
      </c>
      <c r="GC278">
        <f ca="1"/>
      </c>
      <c r="GD278">
        <f ca="1"/>
      </c>
      <c r="GE278">
        <f ca="1"/>
      </c>
      <c r="GF278">
        <f ca="1"/>
      </c>
      <c r="GG278">
        <f ca="1"/>
      </c>
      <c r="GH278">
        <f ca="1"/>
      </c>
      <c r="GI278">
        <f ca="1"/>
      </c>
      <c r="GJ278">
        <f ca="1"/>
      </c>
      <c r="GK278">
        <f ca="1"/>
      </c>
      <c r="GL278">
        <f ca="1"/>
      </c>
      <c r="GM278">
        <f ca="1"/>
      </c>
      <c r="GN278">
        <f ca="1"/>
      </c>
      <c r="GO278">
        <f ca="1"/>
      </c>
      <c r="GP278">
        <f ca="1"/>
      </c>
      <c r="GQ278">
        <f ca="1"/>
      </c>
      <c r="GR278">
        <f ca="1"/>
      </c>
      <c r="GS278">
        <f ca="1"/>
      </c>
      <c r="GT278">
        <f ca="1"/>
      </c>
      <c r="GU278">
        <f ca="1"/>
      </c>
      <c r="GV278">
        <f ca="1"/>
      </c>
      <c r="GW278">
        <f ca="1"/>
      </c>
      <c r="HI278" s="7"/>
    </row>
    <row r="279" spans="63:217" x14ac:dyDescent="0.55000000000000004">
      <c r="BK279">
        <f ca="1"/>
      </c>
      <c r="BL279">
        <f ca="1"/>
      </c>
      <c r="BM279">
        <f ca="1"/>
      </c>
      <c r="BN279">
        <f ca="1"/>
      </c>
      <c r="BO279">
        <f ca="1"/>
      </c>
      <c r="BP279">
        <f ca="1"/>
      </c>
      <c r="BQ279">
        <f ca="1"/>
      </c>
      <c r="BR279">
        <f ca="1"/>
      </c>
      <c r="BS279">
        <f ca="1"/>
      </c>
      <c r="BT279">
        <f ca="1"/>
      </c>
      <c r="BU279">
        <f ca="1"/>
      </c>
      <c r="BV279">
        <f ca="1"/>
      </c>
      <c r="BW279">
        <f ca="1"/>
      </c>
      <c r="BX279">
        <f ca="1"/>
      </c>
      <c r="BY279">
        <f ca="1"/>
      </c>
      <c r="BZ279">
        <f ca="1"/>
      </c>
      <c r="CA279">
        <f ca="1"/>
      </c>
      <c r="CB279">
        <f ca="1"/>
      </c>
      <c r="CC279">
        <f ca="1"/>
      </c>
      <c r="CD279">
        <f ca="1"/>
      </c>
      <c r="CE279">
        <f ca="1"/>
      </c>
      <c r="CF279">
        <f ca="1"/>
      </c>
      <c r="CG279">
        <f ca="1"/>
      </c>
      <c r="CH279">
        <f ca="1"/>
      </c>
      <c r="CI279">
        <f ca="1"/>
      </c>
      <c r="CJ279">
        <f ca="1"/>
      </c>
      <c r="CK279">
        <f ca="1"/>
      </c>
      <c r="CL279">
        <f ca="1"/>
      </c>
      <c r="CM279">
        <f ca="1"/>
      </c>
      <c r="CN279">
        <f ca="1"/>
      </c>
      <c r="CO279">
        <f ca="1"/>
      </c>
      <c r="CP279">
        <f ca="1"/>
      </c>
      <c r="CQ279">
        <f ca="1"/>
      </c>
      <c r="CR279">
        <f ca="1"/>
      </c>
      <c r="CS279">
        <f ca="1"/>
      </c>
      <c r="CT279">
        <f ca="1"/>
      </c>
      <c r="CU279">
        <f ca="1"/>
      </c>
      <c r="CV279">
        <f ca="1"/>
      </c>
      <c r="CW279">
        <f ca="1"/>
      </c>
      <c r="CX279">
        <f ca="1"/>
      </c>
      <c r="CY279">
        <f ca="1"/>
      </c>
      <c r="CZ279">
        <f ca="1"/>
      </c>
      <c r="DA279">
        <f ca="1"/>
      </c>
      <c r="DB279">
        <f ca="1"/>
      </c>
      <c r="DC279">
        <f ca="1"/>
      </c>
      <c r="DD279">
        <f ca="1"/>
      </c>
      <c r="DE279">
        <f ca="1"/>
      </c>
      <c r="DG279">
        <f ca="1"/>
      </c>
      <c r="DH279">
        <f ca="1"/>
      </c>
      <c r="DI279">
        <f ca="1"/>
      </c>
      <c r="DJ279">
        <f ca="1"/>
      </c>
      <c r="DK279">
        <f ca="1"/>
      </c>
      <c r="DL279">
        <f ca="1"/>
      </c>
      <c r="DM279">
        <f ca="1"/>
      </c>
      <c r="DN279">
        <f ca="1"/>
      </c>
      <c r="DO279">
        <f ca="1"/>
      </c>
      <c r="DP279">
        <f ca="1"/>
      </c>
      <c r="DQ279">
        <f ca="1"/>
      </c>
      <c r="DR279">
        <f ca="1"/>
      </c>
      <c r="DS279">
        <f ca="1"/>
      </c>
      <c r="DT279">
        <f ca="1"/>
      </c>
      <c r="DU279">
        <f ca="1"/>
      </c>
      <c r="DV279">
        <f ca="1"/>
      </c>
      <c r="DW279">
        <f ca="1"/>
      </c>
      <c r="DX279">
        <f ca="1"/>
      </c>
      <c r="DY279">
        <f ca="1"/>
      </c>
      <c r="DZ279">
        <f ca="1"/>
      </c>
      <c r="EA279">
        <f ca="1"/>
      </c>
      <c r="EB279">
        <f ca="1"/>
      </c>
      <c r="EC279">
        <f ca="1"/>
      </c>
      <c r="ED279">
        <f ca="1"/>
      </c>
      <c r="EE279">
        <f ca="1"/>
      </c>
      <c r="EF279">
        <f ca="1"/>
      </c>
      <c r="EG279">
        <f ca="1"/>
      </c>
      <c r="EH279">
        <f ca="1"/>
      </c>
      <c r="EI279">
        <f ca="1"/>
      </c>
      <c r="EJ279">
        <f ca="1"/>
      </c>
      <c r="EK279">
        <f ca="1"/>
      </c>
      <c r="EL279">
        <f ca="1"/>
      </c>
      <c r="EM279">
        <f ca="1"/>
      </c>
      <c r="EN279">
        <f ca="1"/>
      </c>
      <c r="EO279">
        <f ca="1"/>
      </c>
      <c r="EP279">
        <f ca="1"/>
      </c>
      <c r="EQ279">
        <f ca="1"/>
      </c>
      <c r="ER279">
        <f ca="1"/>
      </c>
      <c r="ES279">
        <f ca="1"/>
      </c>
      <c r="ET279">
        <f ca="1"/>
      </c>
      <c r="EU279">
        <f ca="1"/>
      </c>
      <c r="EV279">
        <f ca="1"/>
      </c>
      <c r="EW279">
        <f ca="1"/>
      </c>
      <c r="EX279">
        <f ca="1"/>
      </c>
      <c r="EY279">
        <f ca="1"/>
      </c>
      <c r="EZ279">
        <f ca="1"/>
      </c>
      <c r="FA279">
        <f ca="1"/>
      </c>
      <c r="FC279">
        <f ca="1"/>
      </c>
      <c r="FD279">
        <f ca="1"/>
      </c>
      <c r="FE279">
        <f ca="1"/>
      </c>
      <c r="FF279">
        <f ca="1"/>
      </c>
      <c r="FG279">
        <f ca="1"/>
      </c>
      <c r="FH279">
        <f ca="1"/>
      </c>
      <c r="FI279">
        <f ca="1"/>
      </c>
      <c r="FJ279">
        <f ca="1"/>
      </c>
      <c r="FK279">
        <f ca="1"/>
      </c>
      <c r="FL279">
        <f ca="1"/>
      </c>
      <c r="FM279">
        <f ca="1"/>
      </c>
      <c r="FN279">
        <f ca="1"/>
      </c>
      <c r="FO279">
        <f ca="1"/>
      </c>
      <c r="FP279">
        <f ca="1"/>
      </c>
      <c r="FQ279">
        <f ca="1"/>
      </c>
      <c r="FR279">
        <f ca="1"/>
      </c>
      <c r="FS279">
        <f ca="1"/>
      </c>
      <c r="FT279">
        <f ca="1"/>
      </c>
      <c r="FU279">
        <f ca="1"/>
      </c>
      <c r="FV279">
        <f ca="1"/>
      </c>
      <c r="FW279">
        <f ca="1"/>
      </c>
      <c r="FX279">
        <f ca="1"/>
      </c>
      <c r="FY279">
        <f ca="1"/>
      </c>
      <c r="FZ279">
        <f ca="1"/>
      </c>
      <c r="GA279">
        <f ca="1"/>
      </c>
      <c r="GB279">
        <f ca="1"/>
      </c>
      <c r="GC279">
        <f ca="1"/>
      </c>
      <c r="GD279">
        <f ca="1"/>
      </c>
      <c r="GE279">
        <f ca="1"/>
      </c>
      <c r="GF279">
        <f ca="1"/>
      </c>
      <c r="GG279">
        <f ca="1"/>
      </c>
      <c r="GH279">
        <f ca="1"/>
      </c>
      <c r="GI279">
        <f ca="1"/>
      </c>
      <c r="GJ279">
        <f ca="1"/>
      </c>
      <c r="GK279">
        <f ca="1"/>
      </c>
      <c r="GL279">
        <f ca="1"/>
      </c>
      <c r="GM279">
        <f ca="1"/>
      </c>
      <c r="GN279">
        <f ca="1"/>
      </c>
      <c r="GO279">
        <f ca="1"/>
      </c>
      <c r="GP279">
        <f ca="1"/>
      </c>
      <c r="GQ279">
        <f ca="1"/>
      </c>
      <c r="GR279">
        <f ca="1"/>
      </c>
      <c r="GS279">
        <f ca="1"/>
      </c>
      <c r="GT279">
        <f ca="1"/>
      </c>
      <c r="GU279">
        <f ca="1"/>
      </c>
      <c r="GV279">
        <f ca="1"/>
      </c>
      <c r="GW279">
        <f ca="1"/>
      </c>
      <c r="HI279" s="7"/>
    </row>
    <row r="280" spans="63:217" x14ac:dyDescent="0.55000000000000004">
      <c r="BK280">
        <f ca="1"/>
      </c>
      <c r="BL280">
        <f ca="1"/>
      </c>
      <c r="BM280">
        <f ca="1"/>
      </c>
      <c r="BN280">
        <f ca="1"/>
      </c>
      <c r="BO280">
        <f ca="1"/>
      </c>
      <c r="BP280">
        <f ca="1"/>
      </c>
      <c r="BQ280">
        <f ca="1"/>
      </c>
      <c r="BR280">
        <f ca="1"/>
      </c>
      <c r="BS280">
        <f ca="1"/>
      </c>
      <c r="BT280">
        <f ca="1"/>
      </c>
      <c r="BU280">
        <f ca="1"/>
      </c>
      <c r="BV280">
        <f ca="1"/>
      </c>
      <c r="BW280">
        <f ca="1"/>
      </c>
      <c r="BX280">
        <f ca="1"/>
      </c>
      <c r="BY280">
        <f ca="1"/>
      </c>
      <c r="BZ280">
        <f ca="1"/>
      </c>
      <c r="CA280">
        <f ca="1"/>
      </c>
      <c r="CB280">
        <f ca="1"/>
      </c>
      <c r="CC280">
        <f ca="1"/>
      </c>
      <c r="CD280">
        <f ca="1"/>
      </c>
      <c r="CE280">
        <f ca="1"/>
      </c>
      <c r="CF280">
        <f ca="1"/>
      </c>
      <c r="CG280">
        <f ca="1"/>
      </c>
      <c r="CH280">
        <f ca="1"/>
      </c>
      <c r="CI280">
        <f ca="1"/>
      </c>
      <c r="CJ280">
        <f ca="1"/>
      </c>
      <c r="CK280">
        <f ca="1"/>
      </c>
      <c r="CL280">
        <f ca="1"/>
      </c>
      <c r="CM280">
        <f ca="1"/>
      </c>
      <c r="CN280">
        <f ca="1"/>
      </c>
      <c r="CO280">
        <f ca="1"/>
      </c>
      <c r="CP280">
        <f ca="1"/>
      </c>
      <c r="CQ280">
        <f ca="1"/>
      </c>
      <c r="CR280">
        <f ca="1"/>
      </c>
      <c r="CS280">
        <f ca="1"/>
      </c>
      <c r="CT280">
        <f ca="1"/>
      </c>
      <c r="CU280">
        <f ca="1"/>
      </c>
      <c r="CV280">
        <f ca="1"/>
      </c>
      <c r="CW280">
        <f ca="1"/>
      </c>
      <c r="CX280">
        <f ca="1"/>
      </c>
      <c r="CY280">
        <f ca="1"/>
      </c>
      <c r="CZ280">
        <f ca="1"/>
      </c>
      <c r="DA280">
        <f ca="1"/>
      </c>
      <c r="DB280">
        <f ca="1"/>
      </c>
      <c r="DC280">
        <f ca="1"/>
      </c>
      <c r="DD280">
        <f ca="1"/>
      </c>
      <c r="DE280">
        <f ca="1"/>
      </c>
      <c r="DG280">
        <f ca="1"/>
      </c>
      <c r="DH280">
        <f ca="1"/>
      </c>
      <c r="DI280">
        <f ca="1"/>
      </c>
      <c r="DJ280">
        <f ca="1"/>
      </c>
      <c r="DK280">
        <f ca="1"/>
      </c>
      <c r="DL280">
        <f ca="1"/>
      </c>
      <c r="DM280">
        <f ca="1"/>
      </c>
      <c r="DN280">
        <f ca="1"/>
      </c>
      <c r="DO280">
        <f ca="1"/>
      </c>
      <c r="DP280">
        <f ca="1"/>
      </c>
      <c r="DQ280">
        <f ca="1"/>
      </c>
      <c r="DR280">
        <f ca="1"/>
      </c>
      <c r="DS280">
        <f ca="1"/>
      </c>
      <c r="DT280">
        <f ca="1"/>
      </c>
      <c r="DU280">
        <f ca="1"/>
      </c>
      <c r="DV280">
        <f ca="1"/>
      </c>
      <c r="DW280">
        <f ca="1"/>
      </c>
      <c r="DX280">
        <f ca="1"/>
      </c>
      <c r="DY280">
        <f ca="1"/>
      </c>
      <c r="DZ280">
        <f ca="1"/>
      </c>
      <c r="EA280">
        <f ca="1"/>
      </c>
      <c r="EB280">
        <f ca="1"/>
      </c>
      <c r="EC280">
        <f ca="1"/>
      </c>
      <c r="ED280">
        <f ca="1"/>
      </c>
      <c r="EE280">
        <f ca="1"/>
      </c>
      <c r="EF280">
        <f ca="1"/>
      </c>
      <c r="EG280">
        <f ca="1"/>
      </c>
      <c r="EH280">
        <f ca="1"/>
      </c>
      <c r="EI280">
        <f ca="1"/>
      </c>
      <c r="EJ280">
        <f ca="1"/>
      </c>
      <c r="EK280">
        <f ca="1"/>
      </c>
      <c r="EL280">
        <f ca="1"/>
      </c>
      <c r="EM280">
        <f ca="1"/>
      </c>
      <c r="EN280">
        <f ca="1"/>
      </c>
      <c r="EO280">
        <f ca="1"/>
      </c>
      <c r="EP280">
        <f ca="1"/>
      </c>
      <c r="EQ280">
        <f ca="1"/>
      </c>
      <c r="ER280">
        <f ca="1"/>
      </c>
      <c r="ES280">
        <f ca="1"/>
      </c>
      <c r="ET280">
        <f ca="1"/>
      </c>
      <c r="EU280">
        <f ca="1"/>
      </c>
      <c r="EV280">
        <f ca="1"/>
      </c>
      <c r="EW280">
        <f ca="1"/>
      </c>
      <c r="EX280">
        <f ca="1"/>
      </c>
      <c r="EY280">
        <f ca="1"/>
      </c>
      <c r="EZ280">
        <f ca="1"/>
      </c>
      <c r="FA280">
        <f ca="1"/>
      </c>
      <c r="FC280">
        <f ca="1"/>
      </c>
      <c r="FD280">
        <f ca="1"/>
      </c>
      <c r="FE280">
        <f ca="1"/>
      </c>
      <c r="FF280">
        <f ca="1"/>
      </c>
      <c r="FG280">
        <f ca="1"/>
      </c>
      <c r="FH280">
        <f ca="1"/>
      </c>
      <c r="FI280">
        <f ca="1"/>
      </c>
      <c r="FJ280">
        <f ca="1"/>
      </c>
      <c r="FK280">
        <f ca="1"/>
      </c>
      <c r="FL280">
        <f ca="1"/>
      </c>
      <c r="FM280">
        <f ca="1"/>
      </c>
      <c r="FN280">
        <f ca="1"/>
      </c>
      <c r="FO280">
        <f ca="1"/>
      </c>
      <c r="FP280">
        <f ca="1"/>
      </c>
      <c r="FQ280">
        <f ca="1"/>
      </c>
      <c r="FR280">
        <f ca="1"/>
      </c>
      <c r="FS280">
        <f ca="1"/>
      </c>
      <c r="FT280">
        <f ca="1"/>
      </c>
      <c r="FU280">
        <f ca="1"/>
      </c>
      <c r="FV280">
        <f ca="1"/>
      </c>
      <c r="FW280">
        <f ca="1"/>
      </c>
      <c r="FX280">
        <f ca="1"/>
      </c>
      <c r="FY280">
        <f ca="1"/>
      </c>
      <c r="FZ280">
        <f ca="1"/>
      </c>
      <c r="GA280">
        <f ca="1"/>
      </c>
      <c r="GB280">
        <f ca="1"/>
      </c>
      <c r="GC280">
        <f ca="1"/>
      </c>
      <c r="GD280">
        <f ca="1"/>
      </c>
      <c r="GE280">
        <f ca="1"/>
      </c>
      <c r="GF280">
        <f ca="1"/>
      </c>
      <c r="GG280">
        <f ca="1"/>
      </c>
      <c r="GH280">
        <f ca="1"/>
      </c>
      <c r="GI280">
        <f ca="1"/>
      </c>
      <c r="GJ280">
        <f ca="1"/>
      </c>
      <c r="GK280">
        <f ca="1"/>
      </c>
      <c r="GL280">
        <f ca="1"/>
      </c>
      <c r="GM280">
        <f ca="1"/>
      </c>
      <c r="GN280">
        <f ca="1"/>
      </c>
      <c r="GO280">
        <f ca="1"/>
      </c>
      <c r="GP280">
        <f ca="1"/>
      </c>
      <c r="GQ280">
        <f ca="1"/>
      </c>
      <c r="GR280">
        <f ca="1"/>
      </c>
      <c r="GS280">
        <f ca="1"/>
      </c>
      <c r="GT280">
        <f ca="1"/>
      </c>
      <c r="GU280">
        <f ca="1"/>
      </c>
      <c r="GV280">
        <f ca="1"/>
      </c>
      <c r="GW280">
        <f ca="1"/>
      </c>
      <c r="HI280" s="7"/>
    </row>
    <row r="281" spans="63:217" x14ac:dyDescent="0.55000000000000004">
      <c r="BK281">
        <f ca="1"/>
      </c>
      <c r="BL281">
        <f ca="1"/>
      </c>
      <c r="BM281">
        <f ca="1"/>
      </c>
      <c r="BN281">
        <f ca="1"/>
      </c>
      <c r="BO281">
        <f ca="1"/>
      </c>
      <c r="BP281">
        <f ca="1"/>
      </c>
      <c r="BQ281">
        <f ca="1"/>
      </c>
      <c r="BR281">
        <f ca="1"/>
      </c>
      <c r="BS281">
        <f ca="1"/>
      </c>
      <c r="BT281">
        <f ca="1"/>
      </c>
      <c r="BU281">
        <f ca="1"/>
      </c>
      <c r="BV281">
        <f ca="1"/>
      </c>
      <c r="BW281">
        <f ca="1"/>
      </c>
      <c r="BX281">
        <f ca="1"/>
      </c>
      <c r="BY281">
        <f ca="1"/>
      </c>
      <c r="BZ281">
        <f ca="1"/>
      </c>
      <c r="CA281">
        <f ca="1"/>
      </c>
      <c r="CB281">
        <f ca="1"/>
      </c>
      <c r="CC281">
        <f ca="1"/>
      </c>
      <c r="CD281">
        <f ca="1"/>
      </c>
      <c r="CE281">
        <f ca="1"/>
      </c>
      <c r="CF281">
        <f ca="1"/>
      </c>
      <c r="CG281">
        <f ca="1"/>
      </c>
      <c r="CH281">
        <f ca="1"/>
      </c>
      <c r="CI281">
        <f ca="1"/>
      </c>
      <c r="CJ281">
        <f ca="1"/>
      </c>
      <c r="CK281">
        <f ca="1"/>
      </c>
      <c r="CL281">
        <f ca="1"/>
      </c>
      <c r="CM281">
        <f ca="1"/>
      </c>
      <c r="CN281">
        <f ca="1"/>
      </c>
      <c r="CO281">
        <f ca="1"/>
      </c>
      <c r="CP281">
        <f ca="1"/>
      </c>
      <c r="CQ281">
        <f ca="1"/>
      </c>
      <c r="CR281">
        <f ca="1"/>
      </c>
      <c r="CS281">
        <f ca="1"/>
      </c>
      <c r="CT281">
        <f ca="1"/>
      </c>
      <c r="CU281">
        <f ca="1"/>
      </c>
      <c r="CV281">
        <f ca="1"/>
      </c>
      <c r="CW281">
        <f ca="1"/>
      </c>
      <c r="CX281">
        <f ca="1"/>
      </c>
      <c r="CY281">
        <f ca="1"/>
      </c>
      <c r="CZ281">
        <f ca="1"/>
      </c>
      <c r="DA281">
        <f ca="1"/>
      </c>
      <c r="DB281">
        <f ca="1"/>
      </c>
      <c r="DC281">
        <f ca="1"/>
      </c>
      <c r="DD281">
        <f ca="1"/>
      </c>
      <c r="DE281">
        <f ca="1"/>
      </c>
      <c r="DG281">
        <f ca="1"/>
      </c>
      <c r="DH281">
        <f ca="1"/>
      </c>
      <c r="DI281">
        <f ca="1"/>
      </c>
      <c r="DJ281">
        <f ca="1"/>
      </c>
      <c r="DK281">
        <f ca="1"/>
      </c>
      <c r="DL281">
        <f ca="1"/>
      </c>
      <c r="DM281">
        <f ca="1"/>
      </c>
      <c r="DN281">
        <f ca="1"/>
      </c>
      <c r="DO281">
        <f ca="1"/>
      </c>
      <c r="DP281">
        <f ca="1"/>
      </c>
      <c r="DQ281">
        <f ca="1"/>
      </c>
      <c r="DR281">
        <f ca="1"/>
      </c>
      <c r="DS281">
        <f ca="1"/>
      </c>
      <c r="DT281">
        <f ca="1"/>
      </c>
      <c r="DU281">
        <f ca="1"/>
      </c>
      <c r="DV281">
        <f ca="1"/>
      </c>
      <c r="DW281">
        <f ca="1"/>
      </c>
      <c r="DX281">
        <f ca="1"/>
      </c>
      <c r="DY281">
        <f ca="1"/>
      </c>
      <c r="DZ281">
        <f ca="1"/>
      </c>
      <c r="EA281">
        <f ca="1"/>
      </c>
      <c r="EB281">
        <f ca="1"/>
      </c>
      <c r="EC281">
        <f ca="1"/>
      </c>
      <c r="ED281">
        <f ca="1"/>
      </c>
      <c r="EE281">
        <f ca="1"/>
      </c>
      <c r="EF281">
        <f ca="1"/>
      </c>
      <c r="EG281">
        <f ca="1"/>
      </c>
      <c r="EH281">
        <f ca="1"/>
      </c>
      <c r="EI281">
        <f ca="1"/>
      </c>
      <c r="EJ281">
        <f ca="1"/>
      </c>
      <c r="EK281">
        <f ca="1"/>
      </c>
      <c r="EL281">
        <f ca="1"/>
      </c>
      <c r="EM281">
        <f ca="1"/>
      </c>
      <c r="EN281">
        <f ca="1"/>
      </c>
      <c r="EO281">
        <f ca="1"/>
      </c>
      <c r="EP281">
        <f ca="1"/>
      </c>
      <c r="EQ281">
        <f ca="1"/>
      </c>
      <c r="ER281">
        <f ca="1"/>
      </c>
      <c r="ES281">
        <f ca="1"/>
      </c>
      <c r="ET281">
        <f ca="1"/>
      </c>
      <c r="EU281">
        <f ca="1"/>
      </c>
      <c r="EV281">
        <f ca="1"/>
      </c>
      <c r="EW281">
        <f ca="1"/>
      </c>
      <c r="EX281">
        <f ca="1"/>
      </c>
      <c r="EY281">
        <f ca="1"/>
      </c>
      <c r="EZ281">
        <f ca="1"/>
      </c>
      <c r="FA281">
        <f ca="1"/>
      </c>
      <c r="FC281">
        <f ca="1"/>
      </c>
      <c r="FD281">
        <f ca="1"/>
      </c>
      <c r="FE281">
        <f ca="1"/>
      </c>
      <c r="FF281">
        <f ca="1"/>
      </c>
      <c r="FG281">
        <f ca="1"/>
      </c>
      <c r="FH281">
        <f ca="1"/>
      </c>
      <c r="FI281">
        <f ca="1"/>
      </c>
      <c r="FJ281">
        <f ca="1"/>
      </c>
      <c r="FK281">
        <f ca="1"/>
      </c>
      <c r="FL281">
        <f ca="1"/>
      </c>
      <c r="FM281">
        <f ca="1"/>
      </c>
      <c r="FN281">
        <f ca="1"/>
      </c>
      <c r="FO281">
        <f ca="1"/>
      </c>
      <c r="FP281">
        <f ca="1"/>
      </c>
      <c r="FQ281">
        <f ca="1"/>
      </c>
      <c r="FR281">
        <f ca="1"/>
      </c>
      <c r="FS281">
        <f ca="1"/>
      </c>
      <c r="FT281">
        <f ca="1"/>
      </c>
      <c r="FU281">
        <f ca="1"/>
      </c>
      <c r="FV281">
        <f ca="1"/>
      </c>
      <c r="FW281">
        <f ca="1"/>
      </c>
      <c r="FX281">
        <f ca="1"/>
      </c>
      <c r="FY281">
        <f ca="1"/>
      </c>
      <c r="FZ281">
        <f ca="1"/>
      </c>
      <c r="GA281">
        <f ca="1"/>
      </c>
      <c r="GB281">
        <f ca="1"/>
      </c>
      <c r="GC281">
        <f ca="1"/>
      </c>
      <c r="GD281">
        <f ca="1"/>
      </c>
      <c r="GE281">
        <f ca="1"/>
      </c>
      <c r="GF281">
        <f ca="1"/>
      </c>
      <c r="GG281">
        <f ca="1"/>
      </c>
      <c r="GH281">
        <f ca="1"/>
      </c>
      <c r="GI281">
        <f ca="1"/>
      </c>
      <c r="GJ281">
        <f ca="1"/>
      </c>
      <c r="GK281">
        <f ca="1"/>
      </c>
      <c r="GL281">
        <f ca="1"/>
      </c>
      <c r="GM281">
        <f ca="1"/>
      </c>
      <c r="GN281">
        <f ca="1"/>
      </c>
      <c r="GO281">
        <f ca="1"/>
      </c>
      <c r="GP281">
        <f ca="1"/>
      </c>
      <c r="GQ281">
        <f ca="1"/>
      </c>
      <c r="GR281">
        <f ca="1"/>
      </c>
      <c r="GS281">
        <f ca="1"/>
      </c>
      <c r="GT281">
        <f ca="1"/>
      </c>
      <c r="GU281">
        <f ca="1"/>
      </c>
      <c r="GV281">
        <f ca="1"/>
      </c>
      <c r="GW281">
        <f ca="1"/>
      </c>
      <c r="HI281" s="7"/>
    </row>
    <row r="282" spans="63:217" x14ac:dyDescent="0.55000000000000004">
      <c r="BK282">
        <f ca="1"/>
      </c>
      <c r="BL282">
        <f ca="1"/>
      </c>
      <c r="BM282">
        <f ca="1"/>
      </c>
      <c r="BN282">
        <f ca="1"/>
      </c>
      <c r="BO282">
        <f ca="1"/>
      </c>
      <c r="BP282">
        <f ca="1"/>
      </c>
      <c r="BQ282">
        <f ca="1"/>
      </c>
      <c r="BR282">
        <f ca="1"/>
      </c>
      <c r="BS282">
        <f ca="1"/>
      </c>
      <c r="BT282">
        <f ca="1"/>
      </c>
      <c r="BU282">
        <f ca="1"/>
      </c>
      <c r="BV282">
        <f ca="1"/>
      </c>
      <c r="BW282">
        <f ca="1"/>
      </c>
      <c r="BX282">
        <f ca="1"/>
      </c>
      <c r="BY282">
        <f ca="1"/>
      </c>
      <c r="BZ282">
        <f ca="1"/>
      </c>
      <c r="CA282">
        <f ca="1"/>
      </c>
      <c r="CB282">
        <f ca="1"/>
      </c>
      <c r="CC282">
        <f ca="1"/>
      </c>
      <c r="CD282">
        <f ca="1"/>
      </c>
      <c r="CE282">
        <f ca="1"/>
      </c>
      <c r="CF282">
        <f ca="1"/>
      </c>
      <c r="CG282">
        <f ca="1"/>
      </c>
      <c r="CH282">
        <f ca="1"/>
      </c>
      <c r="CI282">
        <f ca="1"/>
      </c>
      <c r="CJ282">
        <f ca="1"/>
      </c>
      <c r="CK282">
        <f ca="1"/>
      </c>
      <c r="CL282">
        <f ca="1"/>
      </c>
      <c r="CM282">
        <f ca="1"/>
      </c>
      <c r="CN282">
        <f ca="1"/>
      </c>
      <c r="CO282">
        <f ca="1"/>
      </c>
      <c r="CP282">
        <f ca="1"/>
      </c>
      <c r="CQ282">
        <f ca="1"/>
      </c>
      <c r="CR282">
        <f ca="1"/>
      </c>
      <c r="CS282">
        <f ca="1"/>
      </c>
      <c r="CT282">
        <f ca="1"/>
      </c>
      <c r="CU282">
        <f ca="1"/>
      </c>
      <c r="CV282">
        <f ca="1"/>
      </c>
      <c r="CW282">
        <f ca="1"/>
      </c>
      <c r="CX282">
        <f ca="1"/>
      </c>
      <c r="CY282">
        <f ca="1"/>
      </c>
      <c r="CZ282">
        <f ca="1"/>
      </c>
      <c r="DA282">
        <f ca="1"/>
      </c>
      <c r="DB282">
        <f ca="1"/>
      </c>
      <c r="DC282">
        <f ca="1"/>
      </c>
      <c r="DD282">
        <f ca="1"/>
      </c>
      <c r="DE282">
        <f ca="1"/>
      </c>
      <c r="DG282">
        <f ca="1"/>
      </c>
      <c r="DH282">
        <f ca="1"/>
      </c>
      <c r="DI282">
        <f ca="1"/>
      </c>
      <c r="DJ282">
        <f ca="1"/>
      </c>
      <c r="DK282">
        <f ca="1"/>
      </c>
      <c r="DL282">
        <f ca="1"/>
      </c>
      <c r="DM282">
        <f ca="1"/>
      </c>
      <c r="DN282">
        <f ca="1"/>
      </c>
      <c r="DO282">
        <f ca="1"/>
      </c>
      <c r="DP282">
        <f ca="1"/>
      </c>
      <c r="DQ282">
        <f ca="1"/>
      </c>
      <c r="DR282">
        <f ca="1"/>
      </c>
      <c r="DS282">
        <f ca="1"/>
      </c>
      <c r="DT282">
        <f ca="1"/>
      </c>
      <c r="DU282">
        <f ca="1"/>
      </c>
      <c r="DV282">
        <f ca="1"/>
      </c>
      <c r="DW282">
        <f ca="1"/>
      </c>
      <c r="DX282">
        <f ca="1"/>
      </c>
      <c r="DY282">
        <f ca="1"/>
      </c>
      <c r="DZ282">
        <f ca="1"/>
      </c>
      <c r="EA282">
        <f ca="1"/>
      </c>
      <c r="EB282">
        <f ca="1"/>
      </c>
      <c r="EC282">
        <f ca="1"/>
      </c>
      <c r="ED282">
        <f ca="1"/>
      </c>
      <c r="EE282">
        <f ca="1"/>
      </c>
      <c r="EF282">
        <f ca="1"/>
      </c>
      <c r="EG282">
        <f ca="1"/>
      </c>
      <c r="EH282">
        <f ca="1"/>
      </c>
      <c r="EI282">
        <f ca="1"/>
      </c>
      <c r="EJ282">
        <f ca="1"/>
      </c>
      <c r="EK282">
        <f ca="1"/>
      </c>
      <c r="EL282">
        <f ca="1"/>
      </c>
      <c r="EM282">
        <f ca="1"/>
      </c>
      <c r="EN282">
        <f ca="1"/>
      </c>
      <c r="EO282">
        <f ca="1"/>
      </c>
      <c r="EP282">
        <f ca="1"/>
      </c>
      <c r="EQ282">
        <f ca="1"/>
      </c>
      <c r="ER282">
        <f ca="1"/>
      </c>
      <c r="ES282">
        <f ca="1"/>
      </c>
      <c r="ET282">
        <f ca="1"/>
      </c>
      <c r="EU282">
        <f ca="1"/>
      </c>
      <c r="EV282">
        <f ca="1"/>
      </c>
      <c r="EW282">
        <f ca="1"/>
      </c>
      <c r="EX282">
        <f ca="1"/>
      </c>
      <c r="EY282">
        <f ca="1"/>
      </c>
      <c r="EZ282">
        <f ca="1"/>
      </c>
      <c r="FA282">
        <f ca="1"/>
      </c>
      <c r="FC282">
        <f ca="1"/>
      </c>
      <c r="FD282">
        <f ca="1"/>
      </c>
      <c r="FE282">
        <f ca="1"/>
      </c>
      <c r="FF282">
        <f ca="1"/>
      </c>
      <c r="FG282">
        <f ca="1"/>
      </c>
      <c r="FH282">
        <f ca="1"/>
      </c>
      <c r="FI282">
        <f ca="1"/>
      </c>
      <c r="FJ282">
        <f ca="1"/>
      </c>
      <c r="FK282">
        <f ca="1"/>
      </c>
      <c r="FL282">
        <f ca="1"/>
      </c>
      <c r="FM282">
        <f ca="1"/>
      </c>
      <c r="FN282">
        <f ca="1"/>
      </c>
      <c r="FO282">
        <f ca="1"/>
      </c>
      <c r="FP282">
        <f ca="1"/>
      </c>
      <c r="FQ282">
        <f ca="1"/>
      </c>
      <c r="FR282">
        <f ca="1"/>
      </c>
      <c r="FS282">
        <f ca="1"/>
      </c>
      <c r="FT282">
        <f ca="1"/>
      </c>
      <c r="FU282">
        <f ca="1"/>
      </c>
      <c r="FV282">
        <f ca="1"/>
      </c>
      <c r="FW282">
        <f ca="1"/>
      </c>
      <c r="FX282">
        <f ca="1"/>
      </c>
      <c r="FY282">
        <f ca="1"/>
      </c>
      <c r="FZ282">
        <f ca="1"/>
      </c>
      <c r="GA282">
        <f ca="1"/>
      </c>
      <c r="GB282">
        <f ca="1"/>
      </c>
      <c r="GC282">
        <f ca="1"/>
      </c>
      <c r="GD282">
        <f ca="1"/>
      </c>
      <c r="GE282">
        <f ca="1"/>
      </c>
      <c r="GF282">
        <f ca="1"/>
      </c>
      <c r="GG282">
        <f ca="1"/>
      </c>
      <c r="GH282">
        <f ca="1"/>
      </c>
      <c r="GI282">
        <f ca="1"/>
      </c>
      <c r="GJ282">
        <f ca="1"/>
      </c>
      <c r="GK282">
        <f ca="1"/>
      </c>
      <c r="GL282">
        <f ca="1"/>
      </c>
      <c r="GM282">
        <f ca="1"/>
      </c>
      <c r="GN282">
        <f ca="1"/>
      </c>
      <c r="GO282">
        <f ca="1"/>
      </c>
      <c r="GP282">
        <f ca="1"/>
      </c>
      <c r="GQ282">
        <f ca="1"/>
      </c>
      <c r="GR282">
        <f ca="1"/>
      </c>
      <c r="GS282">
        <f ca="1"/>
      </c>
      <c r="GT282">
        <f ca="1"/>
      </c>
      <c r="GU282">
        <f ca="1"/>
      </c>
      <c r="GV282">
        <f ca="1"/>
      </c>
      <c r="GW282">
        <f ca="1"/>
      </c>
      <c r="HI282" s="7"/>
    </row>
    <row r="283" spans="63:217" x14ac:dyDescent="0.55000000000000004">
      <c r="BK283">
        <f ca="1"/>
      </c>
      <c r="BL283">
        <f ca="1"/>
      </c>
      <c r="BM283">
        <f ca="1"/>
      </c>
      <c r="BN283">
        <f ca="1"/>
      </c>
      <c r="BO283">
        <f ca="1"/>
      </c>
      <c r="BP283">
        <f ca="1"/>
      </c>
      <c r="BQ283">
        <f ca="1"/>
      </c>
      <c r="BR283">
        <f ca="1"/>
      </c>
      <c r="BS283">
        <f ca="1"/>
      </c>
      <c r="BT283">
        <f ca="1"/>
      </c>
      <c r="BU283">
        <f ca="1"/>
      </c>
      <c r="BV283">
        <f ca="1"/>
      </c>
      <c r="BW283">
        <f ca="1"/>
      </c>
      <c r="BX283">
        <f ca="1"/>
      </c>
      <c r="BY283">
        <f ca="1"/>
      </c>
      <c r="BZ283">
        <f ca="1"/>
      </c>
      <c r="CA283">
        <f ca="1"/>
      </c>
      <c r="CB283">
        <f ca="1"/>
      </c>
      <c r="CC283">
        <f ca="1"/>
      </c>
      <c r="CD283">
        <f ca="1"/>
      </c>
      <c r="CE283">
        <f ca="1"/>
      </c>
      <c r="CF283">
        <f ca="1"/>
      </c>
      <c r="CG283">
        <f ca="1"/>
      </c>
      <c r="CH283">
        <f ca="1"/>
      </c>
      <c r="CI283">
        <f ca="1"/>
      </c>
      <c r="CJ283">
        <f ca="1"/>
      </c>
      <c r="CK283">
        <f ca="1"/>
      </c>
      <c r="CL283">
        <f ca="1"/>
      </c>
      <c r="CM283">
        <f ca="1"/>
      </c>
      <c r="CN283">
        <f ca="1"/>
      </c>
      <c r="CO283">
        <f ca="1"/>
      </c>
      <c r="CP283">
        <f ca="1"/>
      </c>
      <c r="CQ283">
        <f ca="1"/>
      </c>
      <c r="CR283">
        <f ca="1"/>
      </c>
      <c r="CS283">
        <f ca="1"/>
      </c>
      <c r="CT283">
        <f ca="1"/>
      </c>
      <c r="CU283">
        <f ca="1"/>
      </c>
      <c r="CV283">
        <f ca="1"/>
      </c>
      <c r="CW283">
        <f ca="1"/>
      </c>
      <c r="CX283">
        <f ca="1"/>
      </c>
      <c r="CY283">
        <f ca="1"/>
      </c>
      <c r="CZ283">
        <f ca="1"/>
      </c>
      <c r="DA283">
        <f ca="1"/>
      </c>
      <c r="DB283">
        <f ca="1"/>
      </c>
      <c r="DC283">
        <f ca="1"/>
      </c>
      <c r="DD283">
        <f ca="1"/>
      </c>
      <c r="DE283">
        <f ca="1"/>
      </c>
      <c r="DG283">
        <f ca="1"/>
      </c>
      <c r="DH283">
        <f ca="1"/>
      </c>
      <c r="DI283">
        <f ca="1"/>
      </c>
      <c r="DJ283">
        <f ca="1"/>
      </c>
      <c r="DK283">
        <f ca="1"/>
      </c>
      <c r="DL283">
        <f ca="1"/>
      </c>
      <c r="DM283">
        <f ca="1"/>
      </c>
      <c r="DN283">
        <f ca="1"/>
      </c>
      <c r="DO283">
        <f ca="1"/>
      </c>
      <c r="DP283">
        <f ca="1"/>
      </c>
      <c r="DQ283">
        <f ca="1"/>
      </c>
      <c r="DR283">
        <f ca="1"/>
      </c>
      <c r="DS283">
        <f ca="1"/>
      </c>
      <c r="DT283">
        <f ca="1"/>
      </c>
      <c r="DU283">
        <f ca="1"/>
      </c>
      <c r="DV283">
        <f ca="1"/>
      </c>
      <c r="DW283">
        <f ca="1"/>
      </c>
      <c r="DX283">
        <f ca="1"/>
      </c>
      <c r="DY283">
        <f ca="1"/>
      </c>
      <c r="DZ283">
        <f ca="1"/>
      </c>
      <c r="EA283">
        <f ca="1"/>
      </c>
      <c r="EB283">
        <f ca="1"/>
      </c>
      <c r="EC283">
        <f ca="1"/>
      </c>
      <c r="ED283">
        <f ca="1"/>
      </c>
      <c r="EE283">
        <f ca="1"/>
      </c>
      <c r="EF283">
        <f ca="1"/>
      </c>
      <c r="EG283">
        <f ca="1"/>
      </c>
      <c r="EH283">
        <f ca="1"/>
      </c>
      <c r="EI283">
        <f ca="1"/>
      </c>
      <c r="EJ283">
        <f ca="1"/>
      </c>
      <c r="EK283">
        <f ca="1"/>
      </c>
      <c r="EL283">
        <f ca="1"/>
      </c>
      <c r="EM283">
        <f ca="1"/>
      </c>
      <c r="EN283">
        <f ca="1"/>
      </c>
      <c r="EO283">
        <f ca="1"/>
      </c>
      <c r="EP283">
        <f ca="1"/>
      </c>
      <c r="EQ283">
        <f ca="1"/>
      </c>
      <c r="ER283">
        <f ca="1"/>
      </c>
      <c r="ES283">
        <f ca="1"/>
      </c>
      <c r="ET283">
        <f ca="1"/>
      </c>
      <c r="EU283">
        <f ca="1"/>
      </c>
      <c r="EV283">
        <f ca="1"/>
      </c>
      <c r="EW283">
        <f ca="1"/>
      </c>
      <c r="EX283">
        <f ca="1"/>
      </c>
      <c r="EY283">
        <f ca="1"/>
      </c>
      <c r="EZ283">
        <f ca="1"/>
      </c>
      <c r="FA283">
        <f ca="1"/>
      </c>
      <c r="FC283">
        <f ca="1"/>
      </c>
      <c r="FD283">
        <f ca="1"/>
      </c>
      <c r="FE283">
        <f ca="1"/>
      </c>
      <c r="FF283">
        <f ca="1"/>
      </c>
      <c r="FG283">
        <f ca="1"/>
      </c>
      <c r="FH283">
        <f ca="1"/>
      </c>
      <c r="FI283">
        <f ca="1"/>
      </c>
      <c r="FJ283">
        <f ca="1"/>
      </c>
      <c r="FK283">
        <f ca="1"/>
      </c>
      <c r="FL283">
        <f ca="1"/>
      </c>
      <c r="FM283">
        <f ca="1"/>
      </c>
      <c r="FN283">
        <f ca="1"/>
      </c>
      <c r="FO283">
        <f ca="1"/>
      </c>
      <c r="FP283">
        <f ca="1"/>
      </c>
      <c r="FQ283">
        <f ca="1"/>
      </c>
      <c r="FR283">
        <f ca="1"/>
      </c>
      <c r="FS283">
        <f ca="1"/>
      </c>
      <c r="FT283">
        <f ca="1"/>
      </c>
      <c r="FU283">
        <f ca="1"/>
      </c>
      <c r="FV283">
        <f ca="1"/>
      </c>
      <c r="FW283">
        <f ca="1"/>
      </c>
      <c r="FX283">
        <f ca="1"/>
      </c>
      <c r="FY283">
        <f ca="1"/>
      </c>
      <c r="FZ283">
        <f ca="1"/>
      </c>
      <c r="GA283">
        <f ca="1"/>
      </c>
      <c r="GB283">
        <f ca="1"/>
      </c>
      <c r="GC283">
        <f ca="1"/>
      </c>
      <c r="GD283">
        <f ca="1"/>
      </c>
      <c r="GE283">
        <f ca="1"/>
      </c>
      <c r="GF283">
        <f ca="1"/>
      </c>
      <c r="GG283">
        <f ca="1"/>
      </c>
      <c r="GH283">
        <f ca="1"/>
      </c>
      <c r="GI283">
        <f ca="1"/>
      </c>
      <c r="GJ283">
        <f ca="1"/>
      </c>
      <c r="GK283">
        <f ca="1"/>
      </c>
      <c r="GL283">
        <f ca="1"/>
      </c>
      <c r="GM283">
        <f ca="1"/>
      </c>
      <c r="GN283">
        <f ca="1"/>
      </c>
      <c r="GO283">
        <f ca="1"/>
      </c>
      <c r="GP283">
        <f ca="1"/>
      </c>
      <c r="GQ283">
        <f ca="1"/>
      </c>
      <c r="GR283">
        <f ca="1"/>
      </c>
      <c r="GS283">
        <f ca="1"/>
      </c>
      <c r="GT283">
        <f ca="1"/>
      </c>
      <c r="GU283">
        <f ca="1"/>
      </c>
      <c r="GV283">
        <f ca="1"/>
      </c>
      <c r="GW283">
        <f ca="1"/>
      </c>
      <c r="HI283" s="7"/>
    </row>
    <row r="284" spans="63:217" x14ac:dyDescent="0.55000000000000004">
      <c r="BK284">
        <f ca="1"/>
      </c>
      <c r="BL284">
        <f ca="1"/>
      </c>
      <c r="BM284">
        <f ca="1"/>
      </c>
      <c r="BN284">
        <f ca="1"/>
      </c>
      <c r="BO284">
        <f ca="1"/>
      </c>
      <c r="BP284">
        <f ca="1"/>
      </c>
      <c r="BQ284">
        <f ca="1"/>
      </c>
      <c r="BR284">
        <f ca="1"/>
      </c>
      <c r="BS284">
        <f ca="1"/>
      </c>
      <c r="BT284">
        <f ca="1"/>
      </c>
      <c r="BU284">
        <f ca="1"/>
      </c>
      <c r="BV284">
        <f ca="1"/>
      </c>
      <c r="BW284">
        <f ca="1"/>
      </c>
      <c r="BX284">
        <f ca="1"/>
      </c>
      <c r="BY284">
        <f ca="1"/>
      </c>
      <c r="BZ284">
        <f ca="1"/>
      </c>
      <c r="CA284">
        <f ca="1"/>
      </c>
      <c r="CB284">
        <f ca="1"/>
      </c>
      <c r="CC284">
        <f ca="1"/>
      </c>
      <c r="CD284">
        <f ca="1"/>
      </c>
      <c r="CE284">
        <f ca="1"/>
      </c>
      <c r="CF284">
        <f ca="1"/>
      </c>
      <c r="CG284">
        <f ca="1"/>
      </c>
      <c r="CH284">
        <f ca="1"/>
      </c>
      <c r="CI284">
        <f ca="1"/>
      </c>
      <c r="CJ284">
        <f ca="1"/>
      </c>
      <c r="CK284">
        <f ca="1"/>
      </c>
      <c r="CL284">
        <f ca="1"/>
      </c>
      <c r="CM284">
        <f ca="1"/>
      </c>
      <c r="CN284">
        <f ca="1"/>
      </c>
      <c r="CO284">
        <f ca="1"/>
      </c>
      <c r="CP284">
        <f ca="1"/>
      </c>
      <c r="CQ284">
        <f ca="1"/>
      </c>
      <c r="CR284">
        <f ca="1"/>
      </c>
      <c r="CS284">
        <f ca="1"/>
      </c>
      <c r="CT284">
        <f ca="1"/>
      </c>
      <c r="CU284">
        <f ca="1"/>
      </c>
      <c r="CV284">
        <f ca="1"/>
      </c>
      <c r="CW284">
        <f ca="1"/>
      </c>
      <c r="CX284">
        <f ca="1"/>
      </c>
      <c r="CY284">
        <f ca="1"/>
      </c>
      <c r="CZ284">
        <f ca="1"/>
      </c>
      <c r="DA284">
        <f ca="1"/>
      </c>
      <c r="DB284">
        <f ca="1"/>
      </c>
      <c r="DC284">
        <f ca="1"/>
      </c>
      <c r="DD284">
        <f ca="1"/>
      </c>
      <c r="DE284">
        <f ca="1"/>
      </c>
      <c r="DG284">
        <f ca="1"/>
      </c>
      <c r="DH284">
        <f ca="1"/>
      </c>
      <c r="DI284">
        <f ca="1"/>
      </c>
      <c r="DJ284">
        <f ca="1"/>
      </c>
      <c r="DK284">
        <f ca="1"/>
      </c>
      <c r="DL284">
        <f ca="1"/>
      </c>
      <c r="DM284">
        <f ca="1"/>
      </c>
      <c r="DN284">
        <f ca="1"/>
      </c>
      <c r="DO284">
        <f ca="1"/>
      </c>
      <c r="DP284">
        <f ca="1"/>
      </c>
      <c r="DQ284">
        <f ca="1"/>
      </c>
      <c r="DR284">
        <f ca="1"/>
      </c>
      <c r="DS284">
        <f ca="1"/>
      </c>
      <c r="DT284">
        <f ca="1"/>
      </c>
      <c r="DU284">
        <f ca="1"/>
      </c>
      <c r="DV284">
        <f ca="1"/>
      </c>
      <c r="DW284">
        <f ca="1"/>
      </c>
      <c r="DX284">
        <f ca="1"/>
      </c>
      <c r="DY284">
        <f ca="1"/>
      </c>
      <c r="DZ284">
        <f ca="1"/>
      </c>
      <c r="EA284">
        <f ca="1"/>
      </c>
      <c r="EB284">
        <f ca="1"/>
      </c>
      <c r="EC284">
        <f ca="1"/>
      </c>
      <c r="ED284">
        <f ca="1"/>
      </c>
      <c r="EE284">
        <f ca="1"/>
      </c>
      <c r="EF284">
        <f ca="1"/>
      </c>
      <c r="EG284">
        <f ca="1"/>
      </c>
      <c r="EH284">
        <f ca="1"/>
      </c>
      <c r="EI284">
        <f ca="1"/>
      </c>
      <c r="EJ284">
        <f ca="1"/>
      </c>
      <c r="EK284">
        <f ca="1"/>
      </c>
      <c r="EL284">
        <f ca="1"/>
      </c>
      <c r="EM284">
        <f ca="1"/>
      </c>
      <c r="EN284">
        <f ca="1"/>
      </c>
      <c r="EO284">
        <f ca="1"/>
      </c>
      <c r="EP284">
        <f ca="1"/>
      </c>
      <c r="EQ284">
        <f ca="1"/>
      </c>
      <c r="ER284">
        <f ca="1"/>
      </c>
      <c r="ES284">
        <f ca="1"/>
      </c>
      <c r="ET284">
        <f ca="1"/>
      </c>
      <c r="EU284">
        <f ca="1"/>
      </c>
      <c r="EV284">
        <f ca="1"/>
      </c>
      <c r="EW284">
        <f ca="1"/>
      </c>
      <c r="EX284">
        <f ca="1"/>
      </c>
      <c r="EY284">
        <f ca="1"/>
      </c>
      <c r="EZ284">
        <f ca="1"/>
      </c>
      <c r="FA284">
        <f ca="1"/>
      </c>
      <c r="FC284">
        <f ca="1"/>
      </c>
      <c r="FD284">
        <f ca="1"/>
      </c>
      <c r="FE284">
        <f ca="1"/>
      </c>
      <c r="FF284">
        <f ca="1"/>
      </c>
      <c r="FG284">
        <f ca="1"/>
      </c>
      <c r="FH284">
        <f ca="1"/>
      </c>
      <c r="FI284">
        <f ca="1"/>
      </c>
      <c r="FJ284">
        <f ca="1"/>
      </c>
      <c r="FK284">
        <f ca="1"/>
      </c>
      <c r="FL284">
        <f ca="1"/>
      </c>
      <c r="FM284">
        <f ca="1"/>
      </c>
      <c r="FN284">
        <f ca="1"/>
      </c>
      <c r="FO284">
        <f ca="1"/>
      </c>
      <c r="FP284">
        <f ca="1"/>
      </c>
      <c r="FQ284">
        <f ca="1"/>
      </c>
      <c r="FR284">
        <f ca="1"/>
      </c>
      <c r="FS284">
        <f ca="1"/>
      </c>
      <c r="FT284">
        <f ca="1"/>
      </c>
      <c r="FU284">
        <f ca="1"/>
      </c>
      <c r="FV284">
        <f ca="1"/>
      </c>
      <c r="FW284">
        <f ca="1"/>
      </c>
      <c r="FX284">
        <f ca="1"/>
      </c>
      <c r="FY284">
        <f ca="1"/>
      </c>
      <c r="FZ284">
        <f ca="1"/>
      </c>
      <c r="GA284">
        <f ca="1"/>
      </c>
      <c r="GB284">
        <f ca="1"/>
      </c>
      <c r="GC284">
        <f ca="1"/>
      </c>
      <c r="GD284">
        <f ca="1"/>
      </c>
      <c r="GE284">
        <f ca="1"/>
      </c>
      <c r="GF284">
        <f ca="1"/>
      </c>
      <c r="GG284">
        <f ca="1"/>
      </c>
      <c r="GH284">
        <f ca="1"/>
      </c>
      <c r="GI284">
        <f ca="1"/>
      </c>
      <c r="GJ284">
        <f ca="1"/>
      </c>
      <c r="GK284">
        <f ca="1"/>
      </c>
      <c r="GL284">
        <f ca="1"/>
      </c>
      <c r="GM284">
        <f ca="1"/>
      </c>
      <c r="GN284">
        <f ca="1"/>
      </c>
      <c r="GO284">
        <f ca="1"/>
      </c>
      <c r="GP284">
        <f ca="1"/>
      </c>
      <c r="GQ284">
        <f ca="1"/>
      </c>
      <c r="GR284">
        <f ca="1"/>
      </c>
      <c r="GS284">
        <f ca="1"/>
      </c>
      <c r="GT284">
        <f ca="1"/>
      </c>
      <c r="GU284">
        <f ca="1"/>
      </c>
      <c r="GV284">
        <f ca="1"/>
      </c>
      <c r="GW284">
        <f ca="1"/>
      </c>
      <c r="HI284" s="7"/>
    </row>
    <row r="285" spans="63:217" x14ac:dyDescent="0.55000000000000004">
      <c r="BK285">
        <f ca="1"/>
      </c>
      <c r="BL285">
        <f ca="1"/>
      </c>
      <c r="BM285">
        <f ca="1"/>
      </c>
      <c r="BN285">
        <f ca="1"/>
      </c>
      <c r="BO285">
        <f ca="1"/>
      </c>
      <c r="BP285">
        <f ca="1"/>
      </c>
      <c r="BQ285">
        <f ca="1"/>
      </c>
      <c r="BR285">
        <f ca="1"/>
      </c>
      <c r="BS285">
        <f ca="1"/>
      </c>
      <c r="BT285">
        <f ca="1"/>
      </c>
      <c r="BU285">
        <f ca="1"/>
      </c>
      <c r="BV285">
        <f ca="1"/>
      </c>
      <c r="BW285">
        <f ca="1"/>
      </c>
      <c r="BX285">
        <f ca="1"/>
      </c>
      <c r="BY285">
        <f ca="1"/>
      </c>
      <c r="BZ285">
        <f ca="1"/>
      </c>
      <c r="CA285">
        <f ca="1"/>
      </c>
      <c r="CB285">
        <f ca="1"/>
      </c>
      <c r="CC285">
        <f ca="1"/>
      </c>
      <c r="CD285">
        <f ca="1"/>
      </c>
      <c r="CE285">
        <f ca="1"/>
      </c>
      <c r="CF285">
        <f ca="1"/>
      </c>
      <c r="CG285">
        <f ca="1"/>
      </c>
      <c r="CH285">
        <f ca="1"/>
      </c>
      <c r="CI285">
        <f ca="1"/>
      </c>
      <c r="CJ285">
        <f ca="1"/>
      </c>
      <c r="CK285">
        <f ca="1"/>
      </c>
      <c r="CL285">
        <f ca="1"/>
      </c>
      <c r="CM285">
        <f ca="1"/>
      </c>
      <c r="CN285">
        <f ca="1"/>
      </c>
      <c r="CO285">
        <f ca="1"/>
      </c>
      <c r="CP285">
        <f ca="1"/>
      </c>
      <c r="CQ285">
        <f ca="1"/>
      </c>
      <c r="CR285">
        <f ca="1"/>
      </c>
      <c r="CS285">
        <f ca="1"/>
      </c>
      <c r="CT285">
        <f ca="1"/>
      </c>
      <c r="CU285">
        <f ca="1"/>
      </c>
      <c r="CV285">
        <f ca="1"/>
      </c>
      <c r="CW285">
        <f ca="1"/>
      </c>
      <c r="CX285">
        <f ca="1"/>
      </c>
      <c r="CY285">
        <f ca="1"/>
      </c>
      <c r="CZ285">
        <f ca="1"/>
      </c>
      <c r="DA285">
        <f ca="1"/>
      </c>
      <c r="DB285">
        <f ca="1"/>
      </c>
      <c r="DC285">
        <f ca="1"/>
      </c>
      <c r="DD285">
        <f ca="1"/>
      </c>
      <c r="DE285">
        <f ca="1"/>
      </c>
      <c r="DG285">
        <f ca="1"/>
      </c>
      <c r="DH285">
        <f ca="1"/>
      </c>
      <c r="DI285">
        <f ca="1"/>
      </c>
      <c r="DJ285">
        <f ca="1"/>
      </c>
      <c r="DK285">
        <f ca="1"/>
      </c>
      <c r="DL285">
        <f ca="1"/>
      </c>
      <c r="DM285">
        <f ca="1"/>
      </c>
      <c r="DN285">
        <f ca="1"/>
      </c>
      <c r="DO285">
        <f ca="1"/>
      </c>
      <c r="DP285">
        <f ca="1"/>
      </c>
      <c r="DQ285">
        <f ca="1"/>
      </c>
      <c r="DR285">
        <f ca="1"/>
      </c>
      <c r="DS285">
        <f ca="1"/>
      </c>
      <c r="DT285">
        <f ca="1"/>
      </c>
      <c r="DU285">
        <f ca="1"/>
      </c>
      <c r="DV285">
        <f ca="1"/>
      </c>
      <c r="DW285">
        <f ca="1"/>
      </c>
      <c r="DX285">
        <f ca="1"/>
      </c>
      <c r="DY285">
        <f ca="1"/>
      </c>
      <c r="DZ285">
        <f ca="1"/>
      </c>
      <c r="EA285">
        <f ca="1"/>
      </c>
      <c r="EB285">
        <f ca="1"/>
      </c>
      <c r="EC285">
        <f ca="1"/>
      </c>
      <c r="ED285">
        <f ca="1"/>
      </c>
      <c r="EE285">
        <f ca="1"/>
      </c>
      <c r="EF285">
        <f ca="1"/>
      </c>
      <c r="EG285">
        <f ca="1"/>
      </c>
      <c r="EH285">
        <f ca="1"/>
      </c>
      <c r="EI285">
        <f ca="1"/>
      </c>
      <c r="EJ285">
        <f ca="1"/>
      </c>
      <c r="EK285">
        <f ca="1"/>
      </c>
      <c r="EL285">
        <f ca="1"/>
      </c>
      <c r="EM285">
        <f ca="1"/>
      </c>
      <c r="EN285">
        <f ca="1"/>
      </c>
      <c r="EO285">
        <f ca="1"/>
      </c>
      <c r="EP285">
        <f ca="1"/>
      </c>
      <c r="EQ285">
        <f ca="1"/>
      </c>
      <c r="ER285">
        <f ca="1"/>
      </c>
      <c r="ES285">
        <f ca="1"/>
      </c>
      <c r="ET285">
        <f ca="1"/>
      </c>
      <c r="EU285">
        <f ca="1"/>
      </c>
      <c r="EV285">
        <f ca="1"/>
      </c>
      <c r="EW285">
        <f ca="1"/>
      </c>
      <c r="EX285">
        <f ca="1"/>
      </c>
      <c r="EY285">
        <f ca="1"/>
      </c>
      <c r="EZ285">
        <f ca="1"/>
      </c>
      <c r="FA285">
        <f ca="1"/>
      </c>
      <c r="FC285">
        <f ca="1"/>
      </c>
      <c r="FD285">
        <f ca="1"/>
      </c>
      <c r="FE285">
        <f ca="1"/>
      </c>
      <c r="FF285">
        <f ca="1"/>
      </c>
      <c r="FG285">
        <f ca="1"/>
      </c>
      <c r="FH285">
        <f ca="1"/>
      </c>
      <c r="FI285">
        <f ca="1"/>
      </c>
      <c r="FJ285">
        <f ca="1"/>
      </c>
      <c r="FK285">
        <f ca="1"/>
      </c>
      <c r="FL285">
        <f ca="1"/>
      </c>
      <c r="FM285">
        <f ca="1"/>
      </c>
      <c r="FN285">
        <f ca="1"/>
      </c>
      <c r="FO285">
        <f ca="1"/>
      </c>
      <c r="FP285">
        <f ca="1"/>
      </c>
      <c r="FQ285">
        <f ca="1"/>
      </c>
      <c r="FR285">
        <f ca="1"/>
      </c>
      <c r="FS285">
        <f ca="1"/>
      </c>
      <c r="FT285">
        <f ca="1"/>
      </c>
      <c r="FU285">
        <f ca="1"/>
      </c>
      <c r="FV285">
        <f ca="1"/>
      </c>
      <c r="FW285">
        <f ca="1"/>
      </c>
      <c r="FX285">
        <f ca="1"/>
      </c>
      <c r="FY285">
        <f ca="1"/>
      </c>
      <c r="FZ285">
        <f ca="1"/>
      </c>
      <c r="GA285">
        <f ca="1"/>
      </c>
      <c r="GB285">
        <f ca="1"/>
      </c>
      <c r="GC285">
        <f ca="1"/>
      </c>
      <c r="GD285">
        <f ca="1"/>
      </c>
      <c r="GE285">
        <f ca="1"/>
      </c>
      <c r="GF285">
        <f ca="1"/>
      </c>
      <c r="GG285">
        <f ca="1"/>
      </c>
      <c r="GH285">
        <f ca="1"/>
      </c>
      <c r="GI285">
        <f ca="1"/>
      </c>
      <c r="GJ285">
        <f ca="1"/>
      </c>
      <c r="GK285">
        <f ca="1"/>
      </c>
      <c r="GL285">
        <f ca="1"/>
      </c>
      <c r="GM285">
        <f ca="1"/>
      </c>
      <c r="GN285">
        <f ca="1"/>
      </c>
      <c r="GO285">
        <f ca="1"/>
      </c>
      <c r="GP285">
        <f ca="1"/>
      </c>
      <c r="GQ285">
        <f ca="1"/>
      </c>
      <c r="GR285">
        <f ca="1"/>
      </c>
      <c r="GS285">
        <f ca="1"/>
      </c>
      <c r="GT285">
        <f ca="1"/>
      </c>
      <c r="GU285">
        <f ca="1"/>
      </c>
      <c r="GV285">
        <f ca="1"/>
      </c>
      <c r="GW285">
        <f ca="1"/>
      </c>
      <c r="HI285" s="7"/>
    </row>
    <row r="286" spans="63:217" x14ac:dyDescent="0.55000000000000004">
      <c r="BK286">
        <f ca="1"/>
      </c>
      <c r="BL286">
        <f ca="1"/>
      </c>
      <c r="BM286">
        <f ca="1"/>
      </c>
      <c r="BN286">
        <f ca="1"/>
      </c>
      <c r="BO286">
        <f ca="1"/>
      </c>
      <c r="BP286">
        <f ca="1"/>
      </c>
      <c r="BQ286">
        <f ca="1"/>
      </c>
      <c r="BR286">
        <f ca="1"/>
      </c>
      <c r="BS286">
        <f ca="1"/>
      </c>
      <c r="BT286">
        <f ca="1"/>
      </c>
      <c r="BU286">
        <f ca="1"/>
      </c>
      <c r="BV286">
        <f ca="1"/>
      </c>
      <c r="BW286">
        <f ca="1"/>
      </c>
      <c r="BX286">
        <f ca="1"/>
      </c>
      <c r="BY286">
        <f ca="1"/>
      </c>
      <c r="BZ286">
        <f ca="1"/>
      </c>
      <c r="CA286">
        <f ca="1"/>
      </c>
      <c r="CB286">
        <f ca="1"/>
      </c>
      <c r="CC286">
        <f ca="1"/>
      </c>
      <c r="CD286">
        <f ca="1"/>
      </c>
      <c r="CE286">
        <f ca="1"/>
      </c>
      <c r="CF286">
        <f ca="1"/>
      </c>
      <c r="CG286">
        <f ca="1"/>
      </c>
      <c r="CH286">
        <f ca="1"/>
      </c>
      <c r="CI286">
        <f ca="1"/>
      </c>
      <c r="CJ286">
        <f ca="1"/>
      </c>
      <c r="CK286">
        <f ca="1"/>
      </c>
      <c r="CL286">
        <f ca="1"/>
      </c>
      <c r="CM286">
        <f ca="1"/>
      </c>
      <c r="CN286">
        <f ca="1"/>
      </c>
      <c r="CO286">
        <f ca="1"/>
      </c>
      <c r="CP286">
        <f ca="1"/>
      </c>
      <c r="CQ286">
        <f ca="1"/>
      </c>
      <c r="CR286">
        <f ca="1"/>
      </c>
      <c r="CS286">
        <f ca="1"/>
      </c>
      <c r="CT286">
        <f ca="1"/>
      </c>
      <c r="CU286">
        <f ca="1"/>
      </c>
      <c r="CV286">
        <f ca="1"/>
      </c>
      <c r="CW286">
        <f ca="1"/>
      </c>
      <c r="CX286">
        <f ca="1"/>
      </c>
      <c r="CY286">
        <f ca="1"/>
      </c>
      <c r="CZ286">
        <f ca="1"/>
      </c>
      <c r="DA286">
        <f ca="1"/>
      </c>
      <c r="DB286">
        <f ca="1"/>
      </c>
      <c r="DC286">
        <f ca="1"/>
      </c>
      <c r="DD286">
        <f ca="1"/>
      </c>
      <c r="DE286">
        <f ca="1"/>
      </c>
      <c r="DG286">
        <f ca="1"/>
      </c>
      <c r="DH286">
        <f ca="1"/>
      </c>
      <c r="DI286">
        <f ca="1"/>
      </c>
      <c r="DJ286">
        <f ca="1"/>
      </c>
      <c r="DK286">
        <f ca="1"/>
      </c>
      <c r="DL286">
        <f ca="1"/>
      </c>
      <c r="DM286">
        <f ca="1"/>
      </c>
      <c r="DN286">
        <f ca="1"/>
      </c>
      <c r="DO286">
        <f ca="1"/>
      </c>
      <c r="DP286">
        <f ca="1"/>
      </c>
      <c r="DQ286">
        <f ca="1"/>
      </c>
      <c r="DR286">
        <f ca="1"/>
      </c>
      <c r="DS286">
        <f ca="1"/>
      </c>
      <c r="DT286">
        <f ca="1"/>
      </c>
      <c r="DU286">
        <f ca="1"/>
      </c>
      <c r="DV286">
        <f ca="1"/>
      </c>
      <c r="DW286">
        <f ca="1"/>
      </c>
      <c r="DX286">
        <f ca="1"/>
      </c>
      <c r="DY286">
        <f ca="1"/>
      </c>
      <c r="DZ286">
        <f ca="1"/>
      </c>
      <c r="EA286">
        <f ca="1"/>
      </c>
      <c r="EB286">
        <f ca="1"/>
      </c>
      <c r="EC286">
        <f ca="1"/>
      </c>
      <c r="ED286">
        <f ca="1"/>
      </c>
      <c r="EE286">
        <f ca="1"/>
      </c>
      <c r="EF286">
        <f ca="1"/>
      </c>
      <c r="EG286">
        <f ca="1"/>
      </c>
      <c r="EH286">
        <f ca="1"/>
      </c>
      <c r="EI286">
        <f ca="1"/>
      </c>
      <c r="EJ286">
        <f ca="1"/>
      </c>
      <c r="EK286">
        <f ca="1"/>
      </c>
      <c r="EL286">
        <f ca="1"/>
      </c>
      <c r="EM286">
        <f ca="1"/>
      </c>
      <c r="EN286">
        <f ca="1"/>
      </c>
      <c r="EO286">
        <f ca="1"/>
      </c>
      <c r="EP286">
        <f ca="1"/>
      </c>
      <c r="EQ286">
        <f ca="1"/>
      </c>
      <c r="ER286">
        <f ca="1"/>
      </c>
      <c r="ES286">
        <f ca="1"/>
      </c>
      <c r="ET286">
        <f ca="1"/>
      </c>
      <c r="EU286">
        <f ca="1"/>
      </c>
      <c r="EV286">
        <f ca="1"/>
      </c>
      <c r="EW286">
        <f ca="1"/>
      </c>
      <c r="EX286">
        <f ca="1"/>
      </c>
      <c r="EY286">
        <f ca="1"/>
      </c>
      <c r="EZ286">
        <f ca="1"/>
      </c>
      <c r="FA286">
        <f ca="1"/>
      </c>
      <c r="FC286">
        <f ca="1"/>
      </c>
      <c r="FD286">
        <f ca="1"/>
      </c>
      <c r="FE286">
        <f ca="1"/>
      </c>
      <c r="FF286">
        <f ca="1"/>
      </c>
      <c r="FG286">
        <f ca="1"/>
      </c>
      <c r="FH286">
        <f ca="1"/>
      </c>
      <c r="FI286">
        <f ca="1"/>
      </c>
      <c r="FJ286">
        <f ca="1"/>
      </c>
      <c r="FK286">
        <f ca="1"/>
      </c>
      <c r="FL286">
        <f ca="1"/>
      </c>
      <c r="FM286">
        <f ca="1"/>
      </c>
      <c r="FN286">
        <f ca="1"/>
      </c>
      <c r="FO286">
        <f ca="1"/>
      </c>
      <c r="FP286">
        <f ca="1"/>
      </c>
      <c r="FQ286">
        <f ca="1"/>
      </c>
      <c r="FR286">
        <f ca="1"/>
      </c>
      <c r="FS286">
        <f ca="1"/>
      </c>
      <c r="FT286">
        <f ca="1"/>
      </c>
      <c r="FU286">
        <f ca="1"/>
      </c>
      <c r="FV286">
        <f ca="1"/>
      </c>
      <c r="FW286">
        <f ca="1"/>
      </c>
      <c r="FX286">
        <f ca="1"/>
      </c>
      <c r="FY286">
        <f ca="1"/>
      </c>
      <c r="FZ286">
        <f ca="1"/>
      </c>
      <c r="GA286">
        <f ca="1"/>
      </c>
      <c r="GB286">
        <f ca="1"/>
      </c>
      <c r="GC286">
        <f ca="1"/>
      </c>
      <c r="GD286">
        <f ca="1"/>
      </c>
      <c r="GE286">
        <f ca="1"/>
      </c>
      <c r="GF286">
        <f ca="1"/>
      </c>
      <c r="GG286">
        <f ca="1"/>
      </c>
      <c r="GH286">
        <f ca="1"/>
      </c>
      <c r="GI286">
        <f ca="1"/>
      </c>
      <c r="GJ286">
        <f ca="1"/>
      </c>
      <c r="GK286">
        <f ca="1"/>
      </c>
      <c r="GL286">
        <f ca="1"/>
      </c>
      <c r="GM286">
        <f ca="1"/>
      </c>
      <c r="GN286">
        <f ca="1"/>
      </c>
      <c r="GO286">
        <f ca="1"/>
      </c>
      <c r="GP286">
        <f ca="1"/>
      </c>
      <c r="GQ286">
        <f ca="1"/>
      </c>
      <c r="GR286">
        <f ca="1"/>
      </c>
      <c r="GS286">
        <f ca="1"/>
      </c>
      <c r="GT286">
        <f ca="1"/>
      </c>
      <c r="GU286">
        <f ca="1"/>
      </c>
      <c r="GV286">
        <f ca="1"/>
      </c>
      <c r="GW286">
        <f ca="1"/>
      </c>
      <c r="HI286" s="7"/>
    </row>
    <row r="287" spans="63:217" x14ac:dyDescent="0.55000000000000004">
      <c r="BK287">
        <f ca="1"/>
      </c>
      <c r="BL287">
        <f ca="1"/>
      </c>
      <c r="BM287">
        <f ca="1"/>
      </c>
      <c r="BN287">
        <f ca="1"/>
      </c>
      <c r="BO287">
        <f ca="1"/>
      </c>
      <c r="BP287">
        <f ca="1"/>
      </c>
      <c r="BQ287">
        <f ca="1"/>
      </c>
      <c r="BR287">
        <f ca="1"/>
      </c>
      <c r="BS287">
        <f ca="1"/>
      </c>
      <c r="BT287">
        <f ca="1"/>
      </c>
      <c r="BU287">
        <f ca="1"/>
      </c>
      <c r="BV287">
        <f ca="1"/>
      </c>
      <c r="BW287">
        <f ca="1"/>
      </c>
      <c r="BX287">
        <f ca="1"/>
      </c>
      <c r="BY287">
        <f ca="1"/>
      </c>
      <c r="BZ287">
        <f ca="1"/>
      </c>
      <c r="CA287">
        <f ca="1"/>
      </c>
      <c r="CB287">
        <f ca="1"/>
      </c>
      <c r="CC287">
        <f ca="1"/>
      </c>
      <c r="CD287">
        <f ca="1"/>
      </c>
      <c r="CE287">
        <f ca="1"/>
      </c>
      <c r="CF287">
        <f ca="1"/>
      </c>
      <c r="CG287">
        <f ca="1"/>
      </c>
      <c r="CH287">
        <f ca="1"/>
      </c>
      <c r="CI287">
        <f ca="1"/>
      </c>
      <c r="CJ287">
        <f ca="1"/>
      </c>
      <c r="CK287">
        <f ca="1"/>
      </c>
      <c r="CL287">
        <f ca="1"/>
      </c>
      <c r="CM287">
        <f ca="1"/>
      </c>
      <c r="CN287">
        <f ca="1"/>
      </c>
      <c r="CO287">
        <f ca="1"/>
      </c>
      <c r="CP287">
        <f ca="1"/>
      </c>
      <c r="CQ287">
        <f ca="1"/>
      </c>
      <c r="CR287">
        <f ca="1"/>
      </c>
      <c r="CS287">
        <f ca="1"/>
      </c>
      <c r="CT287">
        <f ca="1"/>
      </c>
      <c r="CU287">
        <f ca="1"/>
      </c>
      <c r="CV287">
        <f ca="1"/>
      </c>
      <c r="CW287">
        <f ca="1"/>
      </c>
      <c r="CX287">
        <f ca="1"/>
      </c>
      <c r="CY287">
        <f ca="1"/>
      </c>
      <c r="CZ287">
        <f ca="1"/>
      </c>
      <c r="DA287">
        <f ca="1"/>
      </c>
      <c r="DB287">
        <f ca="1"/>
      </c>
      <c r="DC287">
        <f ca="1"/>
      </c>
      <c r="DD287">
        <f ca="1"/>
      </c>
      <c r="DE287">
        <f ca="1"/>
      </c>
      <c r="DG287">
        <f ca="1"/>
      </c>
      <c r="DH287">
        <f ca="1"/>
      </c>
      <c r="DI287">
        <f ca="1"/>
      </c>
      <c r="DJ287">
        <f ca="1"/>
      </c>
      <c r="DK287">
        <f ca="1"/>
      </c>
      <c r="DL287">
        <f ca="1"/>
      </c>
      <c r="DM287">
        <f ca="1"/>
      </c>
      <c r="DN287">
        <f ca="1"/>
      </c>
      <c r="DO287">
        <f ca="1"/>
      </c>
      <c r="DP287">
        <f ca="1"/>
      </c>
      <c r="DQ287">
        <f ca="1"/>
      </c>
      <c r="DR287">
        <f ca="1"/>
      </c>
      <c r="DS287">
        <f ca="1"/>
      </c>
      <c r="DT287">
        <f ca="1"/>
      </c>
      <c r="DU287">
        <f ca="1"/>
      </c>
      <c r="DV287">
        <f ca="1"/>
      </c>
      <c r="DW287">
        <f ca="1"/>
      </c>
      <c r="DX287">
        <f ca="1"/>
      </c>
      <c r="DY287">
        <f ca="1"/>
      </c>
      <c r="DZ287">
        <f ca="1"/>
      </c>
      <c r="EA287">
        <f ca="1"/>
      </c>
      <c r="EB287">
        <f ca="1"/>
      </c>
      <c r="EC287">
        <f ca="1"/>
      </c>
      <c r="ED287">
        <f ca="1"/>
      </c>
      <c r="EE287">
        <f ca="1"/>
      </c>
      <c r="EF287">
        <f ca="1"/>
      </c>
      <c r="EG287">
        <f ca="1"/>
      </c>
      <c r="EH287">
        <f ca="1"/>
      </c>
      <c r="EI287">
        <f ca="1"/>
      </c>
      <c r="EJ287">
        <f ca="1"/>
      </c>
      <c r="EK287">
        <f ca="1"/>
      </c>
      <c r="EL287">
        <f ca="1"/>
      </c>
      <c r="EM287">
        <f ca="1"/>
      </c>
      <c r="EN287">
        <f ca="1"/>
      </c>
      <c r="EO287">
        <f ca="1"/>
      </c>
      <c r="EP287">
        <f ca="1"/>
      </c>
      <c r="EQ287">
        <f ca="1"/>
      </c>
      <c r="ER287">
        <f ca="1"/>
      </c>
      <c r="ES287">
        <f ca="1"/>
      </c>
      <c r="ET287">
        <f ca="1"/>
      </c>
      <c r="EU287">
        <f ca="1"/>
      </c>
      <c r="EV287">
        <f ca="1"/>
      </c>
      <c r="EW287">
        <f ca="1"/>
      </c>
      <c r="EX287">
        <f ca="1"/>
      </c>
      <c r="EY287">
        <f ca="1"/>
      </c>
      <c r="EZ287">
        <f ca="1"/>
      </c>
      <c r="FA287">
        <f ca="1"/>
      </c>
      <c r="FC287">
        <f ca="1"/>
      </c>
      <c r="FD287">
        <f ca="1"/>
      </c>
      <c r="FE287">
        <f ca="1"/>
      </c>
      <c r="FF287">
        <f ca="1"/>
      </c>
      <c r="FG287">
        <f ca="1"/>
      </c>
      <c r="FH287">
        <f ca="1"/>
      </c>
      <c r="FI287">
        <f ca="1"/>
      </c>
      <c r="FJ287">
        <f ca="1"/>
      </c>
      <c r="FK287">
        <f ca="1"/>
      </c>
      <c r="FL287">
        <f ca="1"/>
      </c>
      <c r="FM287">
        <f ca="1"/>
      </c>
      <c r="FN287">
        <f ca="1"/>
      </c>
      <c r="FO287">
        <f ca="1"/>
      </c>
      <c r="FP287">
        <f ca="1"/>
      </c>
      <c r="FQ287">
        <f ca="1"/>
      </c>
      <c r="FR287">
        <f ca="1"/>
      </c>
      <c r="FS287">
        <f ca="1"/>
      </c>
      <c r="FT287">
        <f ca="1"/>
      </c>
      <c r="FU287">
        <f ca="1"/>
      </c>
      <c r="FV287">
        <f ca="1"/>
      </c>
      <c r="FW287">
        <f ca="1"/>
      </c>
      <c r="FX287">
        <f ca="1"/>
      </c>
      <c r="FY287">
        <f ca="1"/>
      </c>
      <c r="FZ287">
        <f ca="1"/>
      </c>
      <c r="GA287">
        <f ca="1"/>
      </c>
      <c r="GB287">
        <f ca="1"/>
      </c>
      <c r="GC287">
        <f ca="1"/>
      </c>
      <c r="GD287">
        <f ca="1"/>
      </c>
      <c r="GE287">
        <f ca="1"/>
      </c>
      <c r="GF287">
        <f ca="1"/>
      </c>
      <c r="GG287">
        <f ca="1"/>
      </c>
      <c r="GH287">
        <f ca="1"/>
      </c>
      <c r="GI287">
        <f ca="1"/>
      </c>
      <c r="GJ287">
        <f ca="1"/>
      </c>
      <c r="GK287">
        <f ca="1"/>
      </c>
      <c r="GL287">
        <f ca="1"/>
      </c>
      <c r="GM287">
        <f ca="1"/>
      </c>
      <c r="GN287">
        <f ca="1"/>
      </c>
      <c r="GO287">
        <f ca="1"/>
      </c>
      <c r="GP287">
        <f ca="1"/>
      </c>
      <c r="GQ287">
        <f ca="1"/>
      </c>
      <c r="GR287">
        <f ca="1"/>
      </c>
      <c r="GS287">
        <f ca="1"/>
      </c>
      <c r="GT287">
        <f ca="1"/>
      </c>
      <c r="GU287">
        <f ca="1"/>
      </c>
      <c r="GV287">
        <f ca="1"/>
      </c>
      <c r="GW287">
        <f ca="1"/>
      </c>
      <c r="HI287" s="7"/>
    </row>
    <row r="288" spans="63:217" x14ac:dyDescent="0.55000000000000004">
      <c r="BK288">
        <f ca="1"/>
      </c>
      <c r="BL288">
        <f ca="1"/>
      </c>
      <c r="BM288">
        <f ca="1"/>
      </c>
      <c r="BN288">
        <f ca="1"/>
      </c>
      <c r="BO288">
        <f ca="1"/>
      </c>
      <c r="BP288">
        <f ca="1"/>
      </c>
      <c r="BQ288">
        <f ca="1"/>
      </c>
      <c r="BR288">
        <f ca="1"/>
      </c>
      <c r="BS288">
        <f ca="1"/>
      </c>
      <c r="BT288">
        <f ca="1"/>
      </c>
      <c r="BU288">
        <f ca="1"/>
      </c>
      <c r="BV288">
        <f ca="1"/>
      </c>
      <c r="BW288">
        <f ca="1"/>
      </c>
      <c r="BX288">
        <f ca="1"/>
      </c>
      <c r="BY288">
        <f ca="1"/>
      </c>
      <c r="BZ288">
        <f ca="1"/>
      </c>
      <c r="CA288">
        <f ca="1"/>
      </c>
      <c r="CB288">
        <f ca="1"/>
      </c>
      <c r="CC288">
        <f ca="1"/>
      </c>
      <c r="CD288">
        <f ca="1"/>
      </c>
      <c r="CE288">
        <f ca="1"/>
      </c>
      <c r="CF288">
        <f ca="1"/>
      </c>
      <c r="CG288">
        <f ca="1"/>
      </c>
      <c r="CH288">
        <f ca="1"/>
      </c>
      <c r="CI288">
        <f ca="1"/>
      </c>
      <c r="CJ288">
        <f ca="1"/>
      </c>
      <c r="CK288">
        <f ca="1"/>
      </c>
      <c r="CL288">
        <f ca="1"/>
      </c>
      <c r="CM288">
        <f ca="1"/>
      </c>
      <c r="CN288">
        <f ca="1"/>
      </c>
      <c r="CO288">
        <f ca="1"/>
      </c>
      <c r="CP288">
        <f ca="1"/>
      </c>
      <c r="CQ288">
        <f ca="1"/>
      </c>
      <c r="CR288">
        <f ca="1"/>
      </c>
      <c r="CS288">
        <f ca="1"/>
      </c>
      <c r="CT288">
        <f ca="1"/>
      </c>
      <c r="CU288">
        <f ca="1"/>
      </c>
      <c r="CV288">
        <f ca="1"/>
      </c>
      <c r="CW288">
        <f ca="1"/>
      </c>
      <c r="CX288">
        <f ca="1"/>
      </c>
      <c r="CY288">
        <f ca="1"/>
      </c>
      <c r="CZ288">
        <f ca="1"/>
      </c>
      <c r="DA288">
        <f ca="1"/>
      </c>
      <c r="DB288">
        <f ca="1"/>
      </c>
      <c r="DC288">
        <f ca="1"/>
      </c>
      <c r="DD288">
        <f ca="1"/>
      </c>
      <c r="DE288">
        <f ca="1"/>
      </c>
      <c r="DG288">
        <f ca="1"/>
      </c>
      <c r="DH288">
        <f ca="1"/>
      </c>
      <c r="DI288">
        <f ca="1"/>
      </c>
      <c r="DJ288">
        <f ca="1"/>
      </c>
      <c r="DK288">
        <f ca="1"/>
      </c>
      <c r="DL288">
        <f ca="1"/>
      </c>
      <c r="DM288">
        <f ca="1"/>
      </c>
      <c r="DN288">
        <f ca="1"/>
      </c>
      <c r="DO288">
        <f ca="1"/>
      </c>
      <c r="DP288">
        <f ca="1"/>
      </c>
      <c r="DQ288">
        <f ca="1"/>
      </c>
      <c r="DR288">
        <f ca="1"/>
      </c>
      <c r="DS288">
        <f ca="1"/>
      </c>
      <c r="DT288">
        <f ca="1"/>
      </c>
      <c r="DU288">
        <f ca="1"/>
      </c>
      <c r="DV288">
        <f ca="1"/>
      </c>
      <c r="DW288">
        <f ca="1"/>
      </c>
      <c r="DX288">
        <f ca="1"/>
      </c>
      <c r="DY288">
        <f ca="1"/>
      </c>
      <c r="DZ288">
        <f ca="1"/>
      </c>
      <c r="EA288">
        <f ca="1"/>
      </c>
      <c r="EB288">
        <f ca="1"/>
      </c>
      <c r="EC288">
        <f ca="1"/>
      </c>
      <c r="ED288">
        <f ca="1"/>
      </c>
      <c r="EE288">
        <f ca="1"/>
      </c>
      <c r="EF288">
        <f ca="1"/>
      </c>
      <c r="EG288">
        <f ca="1"/>
      </c>
      <c r="EH288">
        <f ca="1"/>
      </c>
      <c r="EI288">
        <f ca="1"/>
      </c>
      <c r="EJ288">
        <f ca="1"/>
      </c>
      <c r="EK288">
        <f ca="1"/>
      </c>
      <c r="EL288">
        <f ca="1"/>
      </c>
      <c r="EM288">
        <f ca="1"/>
      </c>
      <c r="EN288">
        <f ca="1"/>
      </c>
      <c r="EO288">
        <f ca="1"/>
      </c>
      <c r="EP288">
        <f ca="1"/>
      </c>
      <c r="EQ288">
        <f ca="1"/>
      </c>
      <c r="ER288">
        <f ca="1"/>
      </c>
      <c r="ES288">
        <f ca="1"/>
      </c>
      <c r="ET288">
        <f ca="1"/>
      </c>
      <c r="EU288">
        <f ca="1"/>
      </c>
      <c r="EV288">
        <f ca="1"/>
      </c>
      <c r="EW288">
        <f ca="1"/>
      </c>
      <c r="EX288">
        <f ca="1"/>
      </c>
      <c r="EY288">
        <f ca="1"/>
      </c>
      <c r="EZ288">
        <f ca="1"/>
      </c>
      <c r="FA288">
        <f ca="1"/>
      </c>
      <c r="FC288">
        <f ca="1"/>
      </c>
      <c r="FD288">
        <f ca="1"/>
      </c>
      <c r="FE288">
        <f ca="1"/>
      </c>
      <c r="FF288">
        <f ca="1"/>
      </c>
      <c r="FG288">
        <f ca="1"/>
      </c>
      <c r="FH288">
        <f ca="1"/>
      </c>
      <c r="FI288">
        <f ca="1"/>
      </c>
      <c r="FJ288">
        <f ca="1"/>
      </c>
      <c r="FK288">
        <f ca="1"/>
      </c>
      <c r="FL288">
        <f ca="1"/>
      </c>
      <c r="FM288">
        <f ca="1"/>
      </c>
      <c r="FN288">
        <f ca="1"/>
      </c>
      <c r="FO288">
        <f ca="1"/>
      </c>
      <c r="FP288">
        <f ca="1"/>
      </c>
      <c r="FQ288">
        <f ca="1"/>
      </c>
      <c r="FR288">
        <f ca="1"/>
      </c>
      <c r="FS288">
        <f ca="1"/>
      </c>
      <c r="FT288">
        <f ca="1"/>
      </c>
      <c r="FU288">
        <f ca="1"/>
      </c>
      <c r="FV288">
        <f ca="1"/>
      </c>
      <c r="FW288">
        <f ca="1"/>
      </c>
      <c r="FX288">
        <f ca="1"/>
      </c>
      <c r="FY288">
        <f ca="1"/>
      </c>
      <c r="FZ288">
        <f ca="1"/>
      </c>
      <c r="GA288">
        <f ca="1"/>
      </c>
      <c r="GB288">
        <f ca="1"/>
      </c>
      <c r="GC288">
        <f ca="1"/>
      </c>
      <c r="GD288">
        <f ca="1"/>
      </c>
      <c r="GE288">
        <f ca="1"/>
      </c>
      <c r="GF288">
        <f ca="1"/>
      </c>
      <c r="GG288">
        <f ca="1"/>
      </c>
      <c r="GH288">
        <f ca="1"/>
      </c>
      <c r="GI288">
        <f ca="1"/>
      </c>
      <c r="GJ288">
        <f ca="1"/>
      </c>
      <c r="GK288">
        <f ca="1"/>
      </c>
      <c r="GL288">
        <f ca="1"/>
      </c>
      <c r="GM288">
        <f ca="1"/>
      </c>
      <c r="GN288">
        <f ca="1"/>
      </c>
      <c r="GO288">
        <f ca="1"/>
      </c>
      <c r="GP288">
        <f ca="1"/>
      </c>
      <c r="GQ288">
        <f ca="1"/>
      </c>
      <c r="GR288">
        <f ca="1"/>
      </c>
      <c r="GS288">
        <f ca="1"/>
      </c>
      <c r="GT288">
        <f ca="1"/>
      </c>
      <c r="GU288">
        <f ca="1"/>
      </c>
      <c r="GV288">
        <f ca="1"/>
      </c>
      <c r="GW288">
        <f ca="1"/>
      </c>
      <c r="HI288" s="7"/>
    </row>
    <row r="289" spans="63:217" x14ac:dyDescent="0.55000000000000004">
      <c r="BK289">
        <f ca="1"/>
      </c>
      <c r="BL289">
        <f ca="1"/>
      </c>
      <c r="BM289">
        <f ca="1"/>
      </c>
      <c r="BN289">
        <f ca="1"/>
      </c>
      <c r="BO289">
        <f ca="1"/>
      </c>
      <c r="BP289">
        <f ca="1"/>
      </c>
      <c r="BQ289">
        <f ca="1"/>
      </c>
      <c r="BR289">
        <f ca="1"/>
      </c>
      <c r="BS289">
        <f ca="1"/>
      </c>
      <c r="BT289">
        <f ca="1"/>
      </c>
      <c r="BU289">
        <f ca="1"/>
      </c>
      <c r="BV289">
        <f ca="1"/>
      </c>
      <c r="BW289">
        <f ca="1"/>
      </c>
      <c r="BX289">
        <f ca="1"/>
      </c>
      <c r="BY289">
        <f ca="1"/>
      </c>
      <c r="BZ289">
        <f ca="1"/>
      </c>
      <c r="CA289">
        <f ca="1"/>
      </c>
      <c r="CB289">
        <f ca="1"/>
      </c>
      <c r="CC289">
        <f ca="1"/>
      </c>
      <c r="CD289">
        <f ca="1"/>
      </c>
      <c r="CE289">
        <f ca="1"/>
      </c>
      <c r="CF289">
        <f ca="1"/>
      </c>
      <c r="CG289">
        <f ca="1"/>
      </c>
      <c r="CH289">
        <f ca="1"/>
      </c>
      <c r="CI289">
        <f ca="1"/>
      </c>
      <c r="CJ289">
        <f ca="1"/>
      </c>
      <c r="CK289">
        <f ca="1"/>
      </c>
      <c r="CL289">
        <f ca="1"/>
      </c>
      <c r="CM289">
        <f ca="1"/>
      </c>
      <c r="CN289">
        <f ca="1"/>
      </c>
      <c r="CO289">
        <f ca="1"/>
      </c>
      <c r="CP289">
        <f ca="1"/>
      </c>
      <c r="CQ289">
        <f ca="1"/>
      </c>
      <c r="CR289">
        <f ca="1"/>
      </c>
      <c r="CS289">
        <f ca="1"/>
      </c>
      <c r="CT289">
        <f ca="1"/>
      </c>
      <c r="CU289">
        <f ca="1"/>
      </c>
      <c r="CV289">
        <f ca="1"/>
      </c>
      <c r="CW289">
        <f ca="1"/>
      </c>
      <c r="CX289">
        <f ca="1"/>
      </c>
      <c r="CY289">
        <f ca="1"/>
      </c>
      <c r="CZ289">
        <f ca="1"/>
      </c>
      <c r="DA289">
        <f ca="1"/>
      </c>
      <c r="DB289">
        <f ca="1"/>
      </c>
      <c r="DC289">
        <f ca="1"/>
      </c>
      <c r="DD289">
        <f ca="1"/>
      </c>
      <c r="DE289">
        <f ca="1"/>
      </c>
      <c r="DG289">
        <f ca="1"/>
      </c>
      <c r="DH289">
        <f ca="1"/>
      </c>
      <c r="DI289">
        <f ca="1"/>
      </c>
      <c r="DJ289">
        <f ca="1"/>
      </c>
      <c r="DK289">
        <f ca="1"/>
      </c>
      <c r="DL289">
        <f ca="1"/>
      </c>
      <c r="DM289">
        <f ca="1"/>
      </c>
      <c r="DN289">
        <f ca="1"/>
      </c>
      <c r="DO289">
        <f ca="1"/>
      </c>
      <c r="DP289">
        <f ca="1"/>
      </c>
      <c r="DQ289">
        <f ca="1"/>
      </c>
      <c r="DR289">
        <f ca="1"/>
      </c>
      <c r="DS289">
        <f ca="1"/>
      </c>
      <c r="DT289">
        <f ca="1"/>
      </c>
      <c r="DU289">
        <f ca="1"/>
      </c>
      <c r="DV289">
        <f ca="1"/>
      </c>
      <c r="DW289">
        <f ca="1"/>
      </c>
      <c r="DX289">
        <f ca="1"/>
      </c>
      <c r="DY289">
        <f ca="1"/>
      </c>
      <c r="DZ289">
        <f ca="1"/>
      </c>
      <c r="EA289">
        <f ca="1"/>
      </c>
      <c r="EB289">
        <f ca="1"/>
      </c>
      <c r="EC289">
        <f ca="1"/>
      </c>
      <c r="ED289">
        <f ca="1"/>
      </c>
      <c r="EE289">
        <f ca="1"/>
      </c>
      <c r="EF289">
        <f ca="1"/>
      </c>
      <c r="EG289">
        <f ca="1"/>
      </c>
      <c r="EH289">
        <f ca="1"/>
      </c>
      <c r="EI289">
        <f ca="1"/>
      </c>
      <c r="EJ289">
        <f ca="1"/>
      </c>
      <c r="EK289">
        <f ca="1"/>
      </c>
      <c r="EL289">
        <f ca="1"/>
      </c>
      <c r="EM289">
        <f ca="1"/>
      </c>
      <c r="EN289">
        <f ca="1"/>
      </c>
      <c r="EO289">
        <f ca="1"/>
      </c>
      <c r="EP289">
        <f ca="1"/>
      </c>
      <c r="EQ289">
        <f ca="1"/>
      </c>
      <c r="ER289">
        <f ca="1"/>
      </c>
      <c r="ES289">
        <f ca="1"/>
      </c>
      <c r="ET289">
        <f ca="1"/>
      </c>
      <c r="EU289">
        <f ca="1"/>
      </c>
      <c r="EV289">
        <f ca="1"/>
      </c>
      <c r="EW289">
        <f ca="1"/>
      </c>
      <c r="EX289">
        <f ca="1"/>
      </c>
      <c r="EY289">
        <f ca="1"/>
      </c>
      <c r="EZ289">
        <f ca="1"/>
      </c>
      <c r="FA289">
        <f ca="1"/>
      </c>
      <c r="FC289">
        <f ca="1"/>
      </c>
      <c r="FD289">
        <f ca="1"/>
      </c>
      <c r="FE289">
        <f ca="1"/>
      </c>
      <c r="FF289">
        <f ca="1"/>
      </c>
      <c r="FG289">
        <f ca="1"/>
      </c>
      <c r="FH289">
        <f ca="1"/>
      </c>
      <c r="FI289">
        <f ca="1"/>
      </c>
      <c r="FJ289">
        <f ca="1"/>
      </c>
      <c r="FK289">
        <f ca="1"/>
      </c>
      <c r="FL289">
        <f ca="1"/>
      </c>
      <c r="FM289">
        <f ca="1"/>
      </c>
      <c r="FN289">
        <f ca="1"/>
      </c>
      <c r="FO289">
        <f ca="1"/>
      </c>
      <c r="FP289">
        <f ca="1"/>
      </c>
      <c r="FQ289">
        <f ca="1"/>
      </c>
      <c r="FR289">
        <f ca="1"/>
      </c>
      <c r="FS289">
        <f ca="1"/>
      </c>
      <c r="FT289">
        <f ca="1"/>
      </c>
      <c r="FU289">
        <f ca="1"/>
      </c>
      <c r="FV289">
        <f ca="1"/>
      </c>
      <c r="FW289">
        <f ca="1"/>
      </c>
      <c r="FX289">
        <f ca="1"/>
      </c>
      <c r="FY289">
        <f ca="1"/>
      </c>
      <c r="FZ289">
        <f ca="1"/>
      </c>
      <c r="GA289">
        <f ca="1"/>
      </c>
      <c r="GB289">
        <f ca="1"/>
      </c>
      <c r="GC289">
        <f ca="1"/>
      </c>
      <c r="GD289">
        <f ca="1"/>
      </c>
      <c r="GE289">
        <f ca="1"/>
      </c>
      <c r="GF289">
        <f ca="1"/>
      </c>
      <c r="GG289">
        <f ca="1"/>
      </c>
      <c r="GH289">
        <f ca="1"/>
      </c>
      <c r="GI289">
        <f ca="1"/>
      </c>
      <c r="GJ289">
        <f ca="1"/>
      </c>
      <c r="GK289">
        <f ca="1"/>
      </c>
      <c r="GL289">
        <f ca="1"/>
      </c>
      <c r="GM289">
        <f ca="1"/>
      </c>
      <c r="GN289">
        <f ca="1"/>
      </c>
      <c r="GO289">
        <f ca="1"/>
      </c>
      <c r="GP289">
        <f ca="1"/>
      </c>
      <c r="GQ289">
        <f ca="1"/>
      </c>
      <c r="GR289">
        <f ca="1"/>
      </c>
      <c r="GS289">
        <f ca="1"/>
      </c>
      <c r="GT289">
        <f ca="1"/>
      </c>
      <c r="GU289">
        <f ca="1"/>
      </c>
      <c r="GV289">
        <f ca="1"/>
      </c>
      <c r="GW289">
        <f ca="1"/>
      </c>
      <c r="HI289" s="7"/>
    </row>
    <row r="290" spans="63:217" x14ac:dyDescent="0.55000000000000004">
      <c r="BK290">
        <f ca="1"/>
      </c>
      <c r="BL290">
        <f ca="1"/>
      </c>
      <c r="BM290">
        <f ca="1"/>
      </c>
      <c r="BN290">
        <f ca="1"/>
      </c>
      <c r="BO290">
        <f ca="1"/>
      </c>
      <c r="BP290">
        <f ca="1"/>
      </c>
      <c r="BQ290">
        <f ca="1"/>
      </c>
      <c r="BR290">
        <f ca="1"/>
      </c>
      <c r="BS290">
        <f ca="1"/>
      </c>
      <c r="BT290">
        <f ca="1"/>
      </c>
      <c r="BU290">
        <f ca="1"/>
      </c>
      <c r="BV290">
        <f ca="1"/>
      </c>
      <c r="BW290">
        <f ca="1"/>
      </c>
      <c r="BX290">
        <f ca="1"/>
      </c>
      <c r="BY290">
        <f ca="1"/>
      </c>
      <c r="BZ290">
        <f ca="1"/>
      </c>
      <c r="CA290">
        <f ca="1"/>
      </c>
      <c r="CB290">
        <f ca="1"/>
      </c>
      <c r="CC290">
        <f ca="1"/>
      </c>
      <c r="CD290">
        <f ca="1"/>
      </c>
      <c r="CE290">
        <f ca="1"/>
      </c>
      <c r="CF290">
        <f ca="1"/>
      </c>
      <c r="CG290">
        <f ca="1"/>
      </c>
      <c r="CH290">
        <f ca="1"/>
      </c>
      <c r="CI290">
        <f ca="1"/>
      </c>
      <c r="CJ290">
        <f ca="1"/>
      </c>
      <c r="CK290">
        <f ca="1"/>
      </c>
      <c r="CL290">
        <f ca="1"/>
      </c>
      <c r="CM290">
        <f ca="1"/>
      </c>
      <c r="CN290">
        <f ca="1"/>
      </c>
      <c r="CO290">
        <f ca="1"/>
      </c>
      <c r="CP290">
        <f ca="1"/>
      </c>
      <c r="CQ290">
        <f ca="1"/>
      </c>
      <c r="CR290">
        <f ca="1"/>
      </c>
      <c r="CS290">
        <f ca="1"/>
      </c>
      <c r="CT290">
        <f ca="1"/>
      </c>
      <c r="CU290">
        <f ca="1"/>
      </c>
      <c r="CV290">
        <f ca="1"/>
      </c>
      <c r="CW290">
        <f ca="1"/>
      </c>
      <c r="CX290">
        <f ca="1"/>
      </c>
      <c r="CY290">
        <f ca="1"/>
      </c>
      <c r="CZ290">
        <f ca="1"/>
      </c>
      <c r="DA290">
        <f ca="1"/>
      </c>
      <c r="DB290">
        <f ca="1"/>
      </c>
      <c r="DC290">
        <f ca="1"/>
      </c>
      <c r="DD290">
        <f ca="1"/>
      </c>
      <c r="DE290">
        <f ca="1"/>
      </c>
      <c r="DG290">
        <f ca="1"/>
      </c>
      <c r="DH290">
        <f ca="1"/>
      </c>
      <c r="DI290">
        <f ca="1"/>
      </c>
      <c r="DJ290">
        <f ca="1"/>
      </c>
      <c r="DK290">
        <f ca="1"/>
      </c>
      <c r="DL290">
        <f ca="1"/>
      </c>
      <c r="DM290">
        <f ca="1"/>
      </c>
      <c r="DN290">
        <f ca="1"/>
      </c>
      <c r="DO290">
        <f ca="1"/>
      </c>
      <c r="DP290">
        <f ca="1"/>
      </c>
      <c r="DQ290">
        <f ca="1"/>
      </c>
      <c r="DR290">
        <f ca="1"/>
      </c>
      <c r="DS290">
        <f ca="1"/>
      </c>
      <c r="DT290">
        <f ca="1"/>
      </c>
      <c r="DU290">
        <f ca="1"/>
      </c>
      <c r="DV290">
        <f ca="1"/>
      </c>
      <c r="DW290">
        <f ca="1"/>
      </c>
      <c r="DX290">
        <f ca="1"/>
      </c>
      <c r="DY290">
        <f ca="1"/>
      </c>
      <c r="DZ290">
        <f ca="1"/>
      </c>
      <c r="EA290">
        <f ca="1"/>
      </c>
      <c r="EB290">
        <f ca="1"/>
      </c>
      <c r="EC290">
        <f ca="1"/>
      </c>
      <c r="ED290">
        <f ca="1"/>
      </c>
      <c r="EE290">
        <f ca="1"/>
      </c>
      <c r="EF290">
        <f ca="1"/>
      </c>
      <c r="EG290">
        <f ca="1"/>
      </c>
      <c r="EH290">
        <f ca="1"/>
      </c>
      <c r="EI290">
        <f ca="1"/>
      </c>
      <c r="EJ290">
        <f ca="1"/>
      </c>
      <c r="EK290">
        <f ca="1"/>
      </c>
      <c r="EL290">
        <f ca="1"/>
      </c>
      <c r="EM290">
        <f ca="1"/>
      </c>
      <c r="EN290">
        <f ca="1"/>
      </c>
      <c r="EO290">
        <f ca="1"/>
      </c>
      <c r="EP290">
        <f ca="1"/>
      </c>
      <c r="EQ290">
        <f ca="1"/>
      </c>
      <c r="ER290">
        <f ca="1"/>
      </c>
      <c r="ES290">
        <f ca="1"/>
      </c>
      <c r="ET290">
        <f ca="1"/>
      </c>
      <c r="EU290">
        <f ca="1"/>
      </c>
      <c r="EV290">
        <f ca="1"/>
      </c>
      <c r="EW290">
        <f ca="1"/>
      </c>
      <c r="EX290">
        <f ca="1"/>
      </c>
      <c r="EY290">
        <f ca="1"/>
      </c>
      <c r="EZ290">
        <f ca="1"/>
      </c>
      <c r="FA290">
        <f ca="1"/>
      </c>
      <c r="FC290">
        <f ca="1"/>
      </c>
      <c r="FD290">
        <f ca="1"/>
      </c>
      <c r="FE290">
        <f ca="1"/>
      </c>
      <c r="FF290">
        <f ca="1"/>
      </c>
      <c r="FG290">
        <f ca="1"/>
      </c>
      <c r="FH290">
        <f ca="1"/>
      </c>
      <c r="FI290">
        <f ca="1"/>
      </c>
      <c r="FJ290">
        <f ca="1"/>
      </c>
      <c r="FK290">
        <f ca="1"/>
      </c>
      <c r="FL290">
        <f ca="1"/>
      </c>
      <c r="FM290">
        <f ca="1"/>
      </c>
      <c r="FN290">
        <f ca="1"/>
      </c>
      <c r="FO290">
        <f ca="1"/>
      </c>
      <c r="FP290">
        <f ca="1"/>
      </c>
      <c r="FQ290">
        <f ca="1"/>
      </c>
      <c r="FR290">
        <f ca="1"/>
      </c>
      <c r="FS290">
        <f ca="1"/>
      </c>
      <c r="FT290">
        <f ca="1"/>
      </c>
      <c r="FU290">
        <f ca="1"/>
      </c>
      <c r="FV290">
        <f ca="1"/>
      </c>
      <c r="FW290">
        <f ca="1"/>
      </c>
      <c r="FX290">
        <f ca="1"/>
      </c>
      <c r="FY290">
        <f ca="1"/>
      </c>
      <c r="FZ290">
        <f ca="1"/>
      </c>
      <c r="GA290">
        <f ca="1"/>
      </c>
      <c r="GB290">
        <f ca="1"/>
      </c>
      <c r="GC290">
        <f ca="1"/>
      </c>
      <c r="GD290">
        <f ca="1"/>
      </c>
      <c r="GE290">
        <f ca="1"/>
      </c>
      <c r="GF290">
        <f ca="1"/>
      </c>
      <c r="GG290">
        <f ca="1"/>
      </c>
      <c r="GH290">
        <f ca="1"/>
      </c>
      <c r="GI290">
        <f ca="1"/>
      </c>
      <c r="GJ290">
        <f ca="1"/>
      </c>
      <c r="GK290">
        <f ca="1"/>
      </c>
      <c r="GL290">
        <f ca="1"/>
      </c>
      <c r="GM290">
        <f ca="1"/>
      </c>
      <c r="GN290">
        <f ca="1"/>
      </c>
      <c r="GO290">
        <f ca="1"/>
      </c>
      <c r="GP290">
        <f ca="1"/>
      </c>
      <c r="GQ290">
        <f ca="1"/>
      </c>
      <c r="GR290">
        <f ca="1"/>
      </c>
      <c r="GS290">
        <f ca="1"/>
      </c>
      <c r="GT290">
        <f ca="1"/>
      </c>
      <c r="GU290">
        <f ca="1"/>
      </c>
      <c r="GV290">
        <f ca="1"/>
      </c>
      <c r="GW290">
        <f ca="1"/>
      </c>
      <c r="HI290" s="7"/>
    </row>
    <row r="291" spans="63:217" x14ac:dyDescent="0.55000000000000004">
      <c r="BK291">
        <f ca="1"/>
      </c>
      <c r="BL291">
        <f ca="1"/>
      </c>
      <c r="BM291">
        <f ca="1"/>
      </c>
      <c r="BN291">
        <f ca="1"/>
      </c>
      <c r="BO291">
        <f ca="1"/>
      </c>
      <c r="BP291">
        <f ca="1"/>
      </c>
      <c r="BQ291">
        <f ca="1"/>
      </c>
      <c r="BR291">
        <f ca="1"/>
      </c>
      <c r="BS291">
        <f ca="1"/>
      </c>
      <c r="BT291">
        <f ca="1"/>
      </c>
      <c r="BU291">
        <f ca="1"/>
      </c>
      <c r="BV291">
        <f ca="1"/>
      </c>
      <c r="BW291">
        <f ca="1"/>
      </c>
      <c r="BX291">
        <f ca="1"/>
      </c>
      <c r="BY291">
        <f ca="1"/>
      </c>
      <c r="BZ291">
        <f ca="1"/>
      </c>
      <c r="CA291">
        <f ca="1"/>
      </c>
      <c r="CB291">
        <f ca="1"/>
      </c>
      <c r="CC291">
        <f ca="1"/>
      </c>
      <c r="CD291">
        <f ca="1"/>
      </c>
      <c r="CE291">
        <f ca="1"/>
      </c>
      <c r="CF291">
        <f ca="1"/>
      </c>
      <c r="CG291">
        <f ca="1"/>
      </c>
      <c r="CH291">
        <f ca="1"/>
      </c>
      <c r="CI291">
        <f ca="1"/>
      </c>
      <c r="CJ291">
        <f ca="1"/>
      </c>
      <c r="CK291">
        <f ca="1"/>
      </c>
      <c r="CL291">
        <f ca="1"/>
      </c>
      <c r="CM291">
        <f ca="1"/>
      </c>
      <c r="CN291">
        <f ca="1"/>
      </c>
      <c r="CO291">
        <f ca="1"/>
      </c>
      <c r="CP291">
        <f ca="1"/>
      </c>
      <c r="CQ291">
        <f ca="1"/>
      </c>
      <c r="CR291">
        <f ca="1"/>
      </c>
      <c r="CS291">
        <f ca="1"/>
      </c>
      <c r="CT291">
        <f ca="1"/>
      </c>
      <c r="CU291">
        <f ca="1"/>
      </c>
      <c r="CV291">
        <f ca="1"/>
      </c>
      <c r="CW291">
        <f ca="1"/>
      </c>
      <c r="CX291">
        <f ca="1"/>
      </c>
      <c r="CY291">
        <f ca="1"/>
      </c>
      <c r="CZ291">
        <f ca="1"/>
      </c>
      <c r="DA291">
        <f ca="1"/>
      </c>
      <c r="DB291">
        <f ca="1"/>
      </c>
      <c r="DC291">
        <f ca="1"/>
      </c>
      <c r="DD291">
        <f ca="1"/>
      </c>
      <c r="DE291">
        <f ca="1"/>
      </c>
      <c r="DG291">
        <f ca="1"/>
      </c>
      <c r="DH291">
        <f ca="1"/>
      </c>
      <c r="DI291">
        <f ca="1"/>
      </c>
      <c r="DJ291">
        <f ca="1"/>
      </c>
      <c r="DK291">
        <f ca="1"/>
      </c>
      <c r="DL291">
        <f ca="1"/>
      </c>
      <c r="DM291">
        <f ca="1"/>
      </c>
      <c r="DN291">
        <f ca="1"/>
      </c>
      <c r="DO291">
        <f ca="1"/>
      </c>
      <c r="DP291">
        <f ca="1"/>
      </c>
      <c r="DQ291">
        <f ca="1"/>
      </c>
      <c r="DR291">
        <f ca="1"/>
      </c>
      <c r="DS291">
        <f ca="1"/>
      </c>
      <c r="DT291">
        <f ca="1"/>
      </c>
      <c r="DU291">
        <f ca="1"/>
      </c>
      <c r="DV291">
        <f ca="1"/>
      </c>
      <c r="DW291">
        <f ca="1"/>
      </c>
      <c r="DX291">
        <f ca="1"/>
      </c>
      <c r="DY291">
        <f ca="1"/>
      </c>
      <c r="DZ291">
        <f ca="1"/>
      </c>
      <c r="EA291">
        <f ca="1"/>
      </c>
      <c r="EB291">
        <f ca="1"/>
      </c>
      <c r="EC291">
        <f ca="1"/>
      </c>
      <c r="ED291">
        <f ca="1"/>
      </c>
      <c r="EE291">
        <f ca="1"/>
      </c>
      <c r="EF291">
        <f ca="1"/>
      </c>
      <c r="EG291">
        <f ca="1"/>
      </c>
      <c r="EH291">
        <f ca="1"/>
      </c>
      <c r="EI291">
        <f ca="1"/>
      </c>
      <c r="EJ291">
        <f ca="1"/>
      </c>
      <c r="EK291">
        <f ca="1"/>
      </c>
      <c r="EL291">
        <f ca="1"/>
      </c>
      <c r="EM291">
        <f ca="1"/>
      </c>
      <c r="EN291">
        <f ca="1"/>
      </c>
      <c r="EO291">
        <f ca="1"/>
      </c>
      <c r="EP291">
        <f ca="1"/>
      </c>
      <c r="EQ291">
        <f ca="1"/>
      </c>
      <c r="ER291">
        <f ca="1"/>
      </c>
      <c r="ES291">
        <f ca="1"/>
      </c>
      <c r="ET291">
        <f ca="1"/>
      </c>
      <c r="EU291">
        <f ca="1"/>
      </c>
      <c r="EV291">
        <f ca="1"/>
      </c>
      <c r="EW291">
        <f ca="1"/>
      </c>
      <c r="EX291">
        <f ca="1"/>
      </c>
      <c r="EY291">
        <f ca="1"/>
      </c>
      <c r="EZ291">
        <f ca="1"/>
      </c>
      <c r="FA291">
        <f ca="1"/>
      </c>
      <c r="FC291">
        <f ca="1"/>
      </c>
      <c r="FD291">
        <f ca="1"/>
      </c>
      <c r="FE291">
        <f ca="1"/>
      </c>
      <c r="FF291">
        <f ca="1"/>
      </c>
      <c r="FG291">
        <f ca="1"/>
      </c>
      <c r="FH291">
        <f ca="1"/>
      </c>
      <c r="FI291">
        <f ca="1"/>
      </c>
      <c r="FJ291">
        <f ca="1"/>
      </c>
      <c r="FK291">
        <f ca="1"/>
      </c>
      <c r="FL291">
        <f ca="1"/>
      </c>
      <c r="FM291">
        <f ca="1"/>
      </c>
      <c r="FN291">
        <f ca="1"/>
      </c>
      <c r="FO291">
        <f ca="1"/>
      </c>
      <c r="FP291">
        <f ca="1"/>
      </c>
      <c r="FQ291">
        <f ca="1"/>
      </c>
      <c r="FR291">
        <f ca="1"/>
      </c>
      <c r="FS291">
        <f ca="1"/>
      </c>
      <c r="FT291">
        <f ca="1"/>
      </c>
      <c r="FU291">
        <f ca="1"/>
      </c>
      <c r="FV291">
        <f ca="1"/>
      </c>
      <c r="FW291">
        <f ca="1"/>
      </c>
      <c r="FX291">
        <f ca="1"/>
      </c>
      <c r="FY291">
        <f ca="1"/>
      </c>
      <c r="FZ291">
        <f ca="1"/>
      </c>
      <c r="GA291">
        <f ca="1"/>
      </c>
      <c r="GB291">
        <f ca="1"/>
      </c>
      <c r="GC291">
        <f ca="1"/>
      </c>
      <c r="GD291">
        <f ca="1"/>
      </c>
      <c r="GE291">
        <f ca="1"/>
      </c>
      <c r="GF291">
        <f ca="1"/>
      </c>
      <c r="GG291">
        <f ca="1"/>
      </c>
      <c r="GH291">
        <f ca="1"/>
      </c>
      <c r="GI291">
        <f ca="1"/>
      </c>
      <c r="GJ291">
        <f ca="1"/>
      </c>
      <c r="GK291">
        <f ca="1"/>
      </c>
      <c r="GL291">
        <f ca="1"/>
      </c>
      <c r="GM291">
        <f ca="1"/>
      </c>
      <c r="GN291">
        <f ca="1"/>
      </c>
      <c r="GO291">
        <f ca="1"/>
      </c>
      <c r="GP291">
        <f ca="1"/>
      </c>
      <c r="GQ291">
        <f ca="1"/>
      </c>
      <c r="GR291">
        <f ca="1"/>
      </c>
      <c r="GS291">
        <f ca="1"/>
      </c>
      <c r="GT291">
        <f ca="1"/>
      </c>
      <c r="GU291">
        <f ca="1"/>
      </c>
      <c r="GV291">
        <f ca="1"/>
      </c>
      <c r="GW291">
        <f ca="1"/>
      </c>
      <c r="HI291" s="7"/>
    </row>
    <row r="292" spans="63:217" x14ac:dyDescent="0.55000000000000004">
      <c r="BK292">
        <f ca="1"/>
      </c>
      <c r="BL292">
        <f ca="1"/>
      </c>
      <c r="BM292">
        <f ca="1"/>
      </c>
      <c r="BN292">
        <f ca="1"/>
      </c>
      <c r="BO292">
        <f ca="1"/>
      </c>
      <c r="BP292">
        <f ca="1"/>
      </c>
      <c r="BQ292">
        <f ca="1"/>
      </c>
      <c r="BR292">
        <f ca="1"/>
      </c>
      <c r="BS292">
        <f ca="1"/>
      </c>
      <c r="BT292">
        <f ca="1"/>
      </c>
      <c r="BU292">
        <f ca="1"/>
      </c>
      <c r="BV292">
        <f ca="1"/>
      </c>
      <c r="BW292">
        <f ca="1"/>
      </c>
      <c r="BX292">
        <f ca="1"/>
      </c>
      <c r="BY292">
        <f ca="1"/>
      </c>
      <c r="BZ292">
        <f ca="1"/>
      </c>
      <c r="CA292">
        <f ca="1"/>
      </c>
      <c r="CB292">
        <f ca="1"/>
      </c>
      <c r="CC292">
        <f ca="1"/>
      </c>
      <c r="CD292">
        <f ca="1"/>
      </c>
      <c r="CE292">
        <f ca="1"/>
      </c>
      <c r="CF292">
        <f ca="1"/>
      </c>
      <c r="CG292">
        <f ca="1"/>
      </c>
      <c r="CH292">
        <f ca="1"/>
      </c>
      <c r="CI292">
        <f ca="1"/>
      </c>
      <c r="CJ292">
        <f ca="1"/>
      </c>
      <c r="CK292">
        <f ca="1"/>
      </c>
      <c r="CL292">
        <f ca="1"/>
      </c>
      <c r="CM292">
        <f ca="1"/>
      </c>
      <c r="CN292">
        <f ca="1"/>
      </c>
      <c r="CO292">
        <f ca="1"/>
      </c>
      <c r="CP292">
        <f ca="1"/>
      </c>
      <c r="CQ292">
        <f ca="1"/>
      </c>
      <c r="CR292">
        <f ca="1"/>
      </c>
      <c r="CS292">
        <f ca="1"/>
      </c>
      <c r="CT292">
        <f ca="1"/>
      </c>
      <c r="CU292">
        <f ca="1"/>
      </c>
      <c r="CV292">
        <f ca="1"/>
      </c>
      <c r="CW292">
        <f ca="1"/>
      </c>
      <c r="CX292">
        <f ca="1"/>
      </c>
      <c r="CY292">
        <f ca="1"/>
      </c>
      <c r="CZ292">
        <f ca="1"/>
      </c>
      <c r="DA292">
        <f ca="1"/>
      </c>
      <c r="DB292">
        <f ca="1"/>
      </c>
      <c r="DC292">
        <f ca="1"/>
      </c>
      <c r="DD292">
        <f ca="1"/>
      </c>
      <c r="DE292">
        <f ca="1"/>
      </c>
      <c r="DG292">
        <f ca="1"/>
      </c>
      <c r="DH292">
        <f ca="1"/>
      </c>
      <c r="DI292">
        <f ca="1"/>
      </c>
      <c r="DJ292">
        <f ca="1"/>
      </c>
      <c r="DK292">
        <f ca="1"/>
      </c>
      <c r="DL292">
        <f ca="1"/>
      </c>
      <c r="DM292">
        <f ca="1"/>
      </c>
      <c r="DN292">
        <f ca="1"/>
      </c>
      <c r="DO292">
        <f ca="1"/>
      </c>
      <c r="DP292">
        <f ca="1"/>
      </c>
      <c r="DQ292">
        <f ca="1"/>
      </c>
      <c r="DR292">
        <f ca="1"/>
      </c>
      <c r="DS292">
        <f ca="1"/>
      </c>
      <c r="DT292">
        <f ca="1"/>
      </c>
      <c r="DU292">
        <f ca="1"/>
      </c>
      <c r="DV292">
        <f ca="1"/>
      </c>
      <c r="DW292">
        <f ca="1"/>
      </c>
      <c r="DX292">
        <f ca="1"/>
      </c>
      <c r="DY292">
        <f ca="1"/>
      </c>
      <c r="DZ292">
        <f ca="1"/>
      </c>
      <c r="EA292">
        <f ca="1"/>
      </c>
      <c r="EB292">
        <f ca="1"/>
      </c>
      <c r="EC292">
        <f ca="1"/>
      </c>
      <c r="ED292">
        <f ca="1"/>
      </c>
      <c r="EE292">
        <f ca="1"/>
      </c>
      <c r="EF292">
        <f ca="1"/>
      </c>
      <c r="EG292">
        <f ca="1"/>
      </c>
      <c r="EH292">
        <f ca="1"/>
      </c>
      <c r="EI292">
        <f ca="1"/>
      </c>
      <c r="EJ292">
        <f ca="1"/>
      </c>
      <c r="EK292">
        <f ca="1"/>
      </c>
      <c r="EL292">
        <f ca="1"/>
      </c>
      <c r="EM292">
        <f ca="1"/>
      </c>
      <c r="EN292">
        <f ca="1"/>
      </c>
      <c r="EO292">
        <f ca="1"/>
      </c>
      <c r="EP292">
        <f ca="1"/>
      </c>
      <c r="EQ292">
        <f ca="1"/>
      </c>
      <c r="ER292">
        <f ca="1"/>
      </c>
      <c r="ES292">
        <f ca="1"/>
      </c>
      <c r="ET292">
        <f ca="1"/>
      </c>
      <c r="EU292">
        <f ca="1"/>
      </c>
      <c r="EV292">
        <f ca="1"/>
      </c>
      <c r="EW292">
        <f ca="1"/>
      </c>
      <c r="EX292">
        <f ca="1"/>
      </c>
      <c r="EY292">
        <f ca="1"/>
      </c>
      <c r="EZ292">
        <f ca="1"/>
      </c>
      <c r="FA292">
        <f ca="1"/>
      </c>
      <c r="FC292">
        <f ca="1"/>
      </c>
      <c r="FD292">
        <f ca="1"/>
      </c>
      <c r="FE292">
        <f ca="1"/>
      </c>
      <c r="FF292">
        <f ca="1"/>
      </c>
      <c r="FG292">
        <f ca="1"/>
      </c>
      <c r="FH292">
        <f ca="1"/>
      </c>
      <c r="FI292">
        <f ca="1"/>
      </c>
      <c r="FJ292">
        <f ca="1"/>
      </c>
      <c r="FK292">
        <f ca="1"/>
      </c>
      <c r="FL292">
        <f ca="1"/>
      </c>
      <c r="FM292">
        <f ca="1"/>
      </c>
      <c r="FN292">
        <f ca="1"/>
      </c>
      <c r="FO292">
        <f ca="1"/>
      </c>
      <c r="FP292">
        <f ca="1"/>
      </c>
      <c r="FQ292">
        <f ca="1"/>
      </c>
      <c r="FR292">
        <f ca="1"/>
      </c>
      <c r="FS292">
        <f ca="1"/>
      </c>
      <c r="FT292">
        <f ca="1"/>
      </c>
      <c r="FU292">
        <f ca="1"/>
      </c>
      <c r="FV292">
        <f ca="1"/>
      </c>
      <c r="FW292">
        <f ca="1"/>
      </c>
      <c r="FX292">
        <f ca="1"/>
      </c>
      <c r="FY292">
        <f ca="1"/>
      </c>
      <c r="FZ292">
        <f ca="1"/>
      </c>
      <c r="GA292">
        <f ca="1"/>
      </c>
      <c r="GB292">
        <f ca="1"/>
      </c>
      <c r="GC292">
        <f ca="1"/>
      </c>
      <c r="GD292">
        <f ca="1"/>
      </c>
      <c r="GE292">
        <f ca="1"/>
      </c>
      <c r="GF292">
        <f ca="1"/>
      </c>
      <c r="GG292">
        <f ca="1"/>
      </c>
      <c r="GH292">
        <f ca="1"/>
      </c>
      <c r="GI292">
        <f ca="1"/>
      </c>
      <c r="GJ292">
        <f ca="1"/>
      </c>
      <c r="GK292">
        <f ca="1"/>
      </c>
      <c r="GL292">
        <f ca="1"/>
      </c>
      <c r="GM292">
        <f ca="1"/>
      </c>
      <c r="GN292">
        <f ca="1"/>
      </c>
      <c r="GO292">
        <f ca="1"/>
      </c>
      <c r="GP292">
        <f ca="1"/>
      </c>
      <c r="GQ292">
        <f ca="1"/>
      </c>
      <c r="GR292">
        <f ca="1"/>
      </c>
      <c r="GS292">
        <f ca="1"/>
      </c>
      <c r="GT292">
        <f ca="1"/>
      </c>
      <c r="GU292">
        <f ca="1"/>
      </c>
      <c r="GV292">
        <f ca="1"/>
      </c>
      <c r="GW292">
        <f ca="1"/>
      </c>
      <c r="HI292" s="7"/>
    </row>
    <row r="293" spans="63:217" x14ac:dyDescent="0.55000000000000004">
      <c r="BK293">
        <f ca="1"/>
      </c>
      <c r="BL293">
        <f ca="1"/>
      </c>
      <c r="BM293">
        <f ca="1"/>
      </c>
      <c r="BN293">
        <f ca="1"/>
      </c>
      <c r="BO293">
        <f ca="1"/>
      </c>
      <c r="BP293">
        <f ca="1"/>
      </c>
      <c r="BQ293">
        <f ca="1"/>
      </c>
      <c r="BR293">
        <f ca="1"/>
      </c>
      <c r="BS293">
        <f ca="1"/>
      </c>
      <c r="BT293">
        <f ca="1"/>
      </c>
      <c r="BU293">
        <f ca="1"/>
      </c>
      <c r="BV293">
        <f ca="1"/>
      </c>
      <c r="BW293">
        <f ca="1"/>
      </c>
      <c r="BX293">
        <f ca="1"/>
      </c>
      <c r="BY293">
        <f ca="1"/>
      </c>
      <c r="BZ293">
        <f ca="1"/>
      </c>
      <c r="CA293">
        <f ca="1"/>
      </c>
      <c r="CB293">
        <f ca="1"/>
      </c>
      <c r="CC293">
        <f ca="1"/>
      </c>
      <c r="CD293">
        <f ca="1"/>
      </c>
      <c r="CE293">
        <f ca="1"/>
      </c>
      <c r="CF293">
        <f ca="1"/>
      </c>
      <c r="CG293">
        <f ca="1"/>
      </c>
      <c r="CH293">
        <f ca="1"/>
      </c>
      <c r="CI293">
        <f ca="1"/>
      </c>
      <c r="CJ293">
        <f ca="1"/>
      </c>
      <c r="CK293">
        <f ca="1"/>
      </c>
      <c r="CL293">
        <f ca="1"/>
      </c>
      <c r="CM293">
        <f ca="1"/>
      </c>
      <c r="CN293">
        <f ca="1"/>
      </c>
      <c r="CO293">
        <f ca="1"/>
      </c>
      <c r="CP293">
        <f ca="1"/>
      </c>
      <c r="CQ293">
        <f ca="1"/>
      </c>
      <c r="CR293">
        <f ca="1"/>
      </c>
      <c r="CS293">
        <f ca="1"/>
      </c>
      <c r="CT293">
        <f ca="1"/>
      </c>
      <c r="CU293">
        <f ca="1"/>
      </c>
      <c r="CV293">
        <f ca="1"/>
      </c>
      <c r="CW293">
        <f ca="1"/>
      </c>
      <c r="CX293">
        <f ca="1"/>
      </c>
      <c r="CY293">
        <f ca="1"/>
      </c>
      <c r="CZ293">
        <f ca="1"/>
      </c>
      <c r="DA293">
        <f ca="1"/>
      </c>
      <c r="DB293">
        <f ca="1"/>
      </c>
      <c r="DC293">
        <f ca="1"/>
      </c>
      <c r="DD293">
        <f ca="1"/>
      </c>
      <c r="DE293">
        <f ca="1"/>
      </c>
      <c r="DG293">
        <f ca="1"/>
      </c>
      <c r="DH293">
        <f ca="1"/>
      </c>
      <c r="DI293">
        <f ca="1"/>
      </c>
      <c r="DJ293">
        <f ca="1"/>
      </c>
      <c r="DK293">
        <f ca="1"/>
      </c>
      <c r="DL293">
        <f ca="1"/>
      </c>
      <c r="DM293">
        <f ca="1"/>
      </c>
      <c r="DN293">
        <f ca="1"/>
      </c>
      <c r="DO293">
        <f ca="1"/>
      </c>
      <c r="DP293">
        <f ca="1"/>
      </c>
      <c r="DQ293">
        <f ca="1"/>
      </c>
      <c r="DR293">
        <f ca="1"/>
      </c>
      <c r="DS293">
        <f ca="1"/>
      </c>
      <c r="DT293">
        <f ca="1"/>
      </c>
      <c r="DU293">
        <f ca="1"/>
      </c>
      <c r="DV293">
        <f ca="1"/>
      </c>
      <c r="DW293">
        <f ca="1"/>
      </c>
      <c r="DX293">
        <f ca="1"/>
      </c>
      <c r="DY293">
        <f ca="1"/>
      </c>
      <c r="DZ293">
        <f ca="1"/>
      </c>
      <c r="EA293">
        <f ca="1"/>
      </c>
      <c r="EB293">
        <f ca="1"/>
      </c>
      <c r="EC293">
        <f ca="1"/>
      </c>
      <c r="ED293">
        <f ca="1"/>
      </c>
      <c r="EE293">
        <f ca="1"/>
      </c>
      <c r="EF293">
        <f ca="1"/>
      </c>
      <c r="EG293">
        <f ca="1"/>
      </c>
      <c r="EH293">
        <f ca="1"/>
      </c>
      <c r="EI293">
        <f ca="1"/>
      </c>
      <c r="EJ293">
        <f ca="1"/>
      </c>
      <c r="EK293">
        <f ca="1"/>
      </c>
      <c r="EL293">
        <f ca="1"/>
      </c>
      <c r="EM293">
        <f ca="1"/>
      </c>
      <c r="EN293">
        <f ca="1"/>
      </c>
      <c r="EO293">
        <f ca="1"/>
      </c>
      <c r="EP293">
        <f ca="1"/>
      </c>
      <c r="EQ293">
        <f ca="1"/>
      </c>
      <c r="ER293">
        <f ca="1"/>
      </c>
      <c r="ES293">
        <f ca="1"/>
      </c>
      <c r="ET293">
        <f ca="1"/>
      </c>
      <c r="EU293">
        <f ca="1"/>
      </c>
      <c r="EV293">
        <f ca="1"/>
      </c>
      <c r="EW293">
        <f ca="1"/>
      </c>
      <c r="EX293">
        <f ca="1"/>
      </c>
      <c r="EY293">
        <f ca="1"/>
      </c>
      <c r="EZ293">
        <f ca="1"/>
      </c>
      <c r="FA293">
        <f ca="1"/>
      </c>
      <c r="FC293">
        <f ca="1"/>
      </c>
      <c r="FD293">
        <f ca="1"/>
      </c>
      <c r="FE293">
        <f ca="1"/>
      </c>
      <c r="FF293">
        <f ca="1"/>
      </c>
      <c r="FG293">
        <f ca="1"/>
      </c>
      <c r="FH293">
        <f ca="1"/>
      </c>
      <c r="FI293">
        <f ca="1"/>
      </c>
      <c r="FJ293">
        <f ca="1"/>
      </c>
      <c r="FK293">
        <f ca="1"/>
      </c>
      <c r="FL293">
        <f ca="1"/>
      </c>
      <c r="FM293">
        <f ca="1"/>
      </c>
      <c r="FN293">
        <f ca="1"/>
      </c>
      <c r="FO293">
        <f ca="1"/>
      </c>
      <c r="FP293">
        <f ca="1"/>
      </c>
      <c r="FQ293">
        <f ca="1"/>
      </c>
      <c r="FR293">
        <f ca="1"/>
      </c>
      <c r="FS293">
        <f ca="1"/>
      </c>
      <c r="FT293">
        <f ca="1"/>
      </c>
      <c r="FU293">
        <f ca="1"/>
      </c>
      <c r="FV293">
        <f ca="1"/>
      </c>
      <c r="FW293">
        <f ca="1"/>
      </c>
      <c r="FX293">
        <f ca="1"/>
      </c>
      <c r="FY293">
        <f ca="1"/>
      </c>
      <c r="FZ293">
        <f ca="1"/>
      </c>
      <c r="GA293">
        <f ca="1"/>
      </c>
      <c r="GB293">
        <f ca="1"/>
      </c>
      <c r="GC293">
        <f ca="1"/>
      </c>
      <c r="GD293">
        <f ca="1"/>
      </c>
      <c r="GE293">
        <f ca="1"/>
      </c>
      <c r="GF293">
        <f ca="1"/>
      </c>
      <c r="GG293">
        <f ca="1"/>
      </c>
      <c r="GH293">
        <f ca="1"/>
      </c>
      <c r="GI293">
        <f ca="1"/>
      </c>
      <c r="GJ293">
        <f ca="1"/>
      </c>
      <c r="GK293">
        <f ca="1"/>
      </c>
      <c r="GL293">
        <f ca="1"/>
      </c>
      <c r="GM293">
        <f ca="1"/>
      </c>
      <c r="GN293">
        <f ca="1"/>
      </c>
      <c r="GO293">
        <f ca="1"/>
      </c>
      <c r="GP293">
        <f ca="1"/>
      </c>
      <c r="GQ293">
        <f ca="1"/>
      </c>
      <c r="GR293">
        <f ca="1"/>
      </c>
      <c r="GS293">
        <f ca="1"/>
      </c>
      <c r="GT293">
        <f ca="1"/>
      </c>
      <c r="GU293">
        <f ca="1"/>
      </c>
      <c r="GV293">
        <f ca="1"/>
      </c>
      <c r="GW293">
        <f ca="1"/>
      </c>
      <c r="HI293" s="7"/>
    </row>
    <row r="294" spans="63:217" x14ac:dyDescent="0.55000000000000004">
      <c r="BK294">
        <f ca="1"/>
      </c>
      <c r="BL294">
        <f ca="1"/>
      </c>
      <c r="BM294">
        <f ca="1"/>
      </c>
      <c r="BN294">
        <f ca="1"/>
      </c>
      <c r="BO294">
        <f ca="1"/>
      </c>
      <c r="BP294">
        <f ca="1"/>
      </c>
      <c r="BQ294">
        <f ca="1"/>
      </c>
      <c r="BR294">
        <f ca="1"/>
      </c>
      <c r="BS294">
        <f ca="1"/>
      </c>
      <c r="BT294">
        <f ca="1"/>
      </c>
      <c r="BU294">
        <f ca="1"/>
      </c>
      <c r="BV294">
        <f ca="1"/>
      </c>
      <c r="BW294">
        <f ca="1"/>
      </c>
      <c r="BX294">
        <f ca="1"/>
      </c>
      <c r="BY294">
        <f ca="1"/>
      </c>
      <c r="BZ294">
        <f ca="1"/>
      </c>
      <c r="CA294">
        <f ca="1"/>
      </c>
      <c r="CB294">
        <f ca="1"/>
      </c>
      <c r="CC294">
        <f ca="1"/>
      </c>
      <c r="CD294">
        <f ca="1"/>
      </c>
      <c r="CE294">
        <f ca="1"/>
      </c>
      <c r="CF294">
        <f ca="1"/>
      </c>
      <c r="CG294">
        <f ca="1"/>
      </c>
      <c r="CH294">
        <f ca="1"/>
      </c>
      <c r="CI294">
        <f ca="1"/>
      </c>
      <c r="CJ294">
        <f ca="1"/>
      </c>
      <c r="CK294">
        <f ca="1"/>
      </c>
      <c r="CL294">
        <f ca="1"/>
      </c>
      <c r="CM294">
        <f ca="1"/>
      </c>
      <c r="CN294">
        <f ca="1"/>
      </c>
      <c r="CO294">
        <f ca="1"/>
      </c>
      <c r="CP294">
        <f ca="1"/>
      </c>
      <c r="CQ294">
        <f ca="1"/>
      </c>
      <c r="CR294">
        <f ca="1"/>
      </c>
      <c r="CS294">
        <f ca="1"/>
      </c>
      <c r="CT294">
        <f ca="1"/>
      </c>
      <c r="CU294">
        <f ca="1"/>
      </c>
      <c r="CV294">
        <f ca="1"/>
      </c>
      <c r="CW294">
        <f ca="1"/>
      </c>
      <c r="CX294">
        <f ca="1"/>
      </c>
      <c r="CY294">
        <f ca="1"/>
      </c>
      <c r="CZ294">
        <f ca="1"/>
      </c>
      <c r="DA294">
        <f ca="1"/>
      </c>
      <c r="DB294">
        <f ca="1"/>
      </c>
      <c r="DC294">
        <f ca="1"/>
      </c>
      <c r="DD294">
        <f ca="1"/>
      </c>
      <c r="DE294">
        <f ca="1"/>
      </c>
      <c r="DG294">
        <f ca="1"/>
      </c>
      <c r="DH294">
        <f ca="1"/>
      </c>
      <c r="DI294">
        <f ca="1"/>
      </c>
      <c r="DJ294">
        <f ca="1"/>
      </c>
      <c r="DK294">
        <f ca="1"/>
      </c>
      <c r="DL294">
        <f ca="1"/>
      </c>
      <c r="DM294">
        <f ca="1"/>
      </c>
      <c r="DN294">
        <f ca="1"/>
      </c>
      <c r="DO294">
        <f ca="1"/>
      </c>
      <c r="DP294">
        <f ca="1"/>
      </c>
      <c r="DQ294">
        <f ca="1"/>
      </c>
      <c r="DR294">
        <f ca="1"/>
      </c>
      <c r="DS294">
        <f ca="1"/>
      </c>
      <c r="DT294">
        <f ca="1"/>
      </c>
      <c r="DU294">
        <f ca="1"/>
      </c>
      <c r="DV294">
        <f ca="1"/>
      </c>
      <c r="DW294">
        <f ca="1"/>
      </c>
      <c r="DX294">
        <f ca="1"/>
      </c>
      <c r="DY294">
        <f ca="1"/>
      </c>
      <c r="DZ294">
        <f ca="1"/>
      </c>
      <c r="EA294">
        <f ca="1"/>
      </c>
      <c r="EB294">
        <f ca="1"/>
      </c>
      <c r="EC294">
        <f ca="1"/>
      </c>
      <c r="ED294">
        <f ca="1"/>
      </c>
      <c r="EE294">
        <f ca="1"/>
      </c>
      <c r="EF294">
        <f ca="1"/>
      </c>
      <c r="EG294">
        <f ca="1"/>
      </c>
      <c r="EH294">
        <f ca="1"/>
      </c>
      <c r="EI294">
        <f ca="1"/>
      </c>
      <c r="EJ294">
        <f ca="1"/>
      </c>
      <c r="EK294">
        <f ca="1"/>
      </c>
      <c r="EL294">
        <f ca="1"/>
      </c>
      <c r="EM294">
        <f ca="1"/>
      </c>
      <c r="EN294">
        <f ca="1"/>
      </c>
      <c r="EO294">
        <f ca="1"/>
      </c>
      <c r="EP294">
        <f ca="1"/>
      </c>
      <c r="EQ294">
        <f ca="1"/>
      </c>
      <c r="ER294">
        <f ca="1"/>
      </c>
      <c r="ES294">
        <f ca="1"/>
      </c>
      <c r="ET294">
        <f ca="1"/>
      </c>
      <c r="EU294">
        <f ca="1"/>
      </c>
      <c r="EV294">
        <f ca="1"/>
      </c>
      <c r="EW294">
        <f ca="1"/>
      </c>
      <c r="EX294">
        <f ca="1"/>
      </c>
      <c r="EY294">
        <f ca="1"/>
      </c>
      <c r="EZ294">
        <f ca="1"/>
      </c>
      <c r="FA294">
        <f ca="1"/>
      </c>
      <c r="FC294">
        <f ca="1"/>
      </c>
      <c r="FD294">
        <f ca="1"/>
      </c>
      <c r="FE294">
        <f ca="1"/>
      </c>
      <c r="FF294">
        <f ca="1"/>
      </c>
      <c r="FG294">
        <f ca="1"/>
      </c>
      <c r="FH294">
        <f ca="1"/>
      </c>
      <c r="FI294">
        <f ca="1"/>
      </c>
      <c r="FJ294">
        <f ca="1"/>
      </c>
      <c r="FK294">
        <f ca="1"/>
      </c>
      <c r="FL294">
        <f ca="1"/>
      </c>
      <c r="FM294">
        <f ca="1"/>
      </c>
      <c r="FN294">
        <f ca="1"/>
      </c>
      <c r="FO294">
        <f ca="1"/>
      </c>
      <c r="FP294">
        <f ca="1"/>
      </c>
      <c r="FQ294">
        <f ca="1"/>
      </c>
      <c r="FR294">
        <f ca="1"/>
      </c>
      <c r="FS294">
        <f ca="1"/>
      </c>
      <c r="FT294">
        <f ca="1"/>
      </c>
      <c r="FU294">
        <f ca="1"/>
      </c>
      <c r="FV294">
        <f ca="1"/>
      </c>
      <c r="FW294">
        <f ca="1"/>
      </c>
      <c r="FX294">
        <f ca="1"/>
      </c>
      <c r="FY294">
        <f ca="1"/>
      </c>
      <c r="FZ294">
        <f ca="1"/>
      </c>
      <c r="GA294">
        <f ca="1"/>
      </c>
      <c r="GB294">
        <f ca="1"/>
      </c>
      <c r="GC294">
        <f ca="1"/>
      </c>
      <c r="GD294">
        <f ca="1"/>
      </c>
      <c r="GE294">
        <f ca="1"/>
      </c>
      <c r="GF294">
        <f ca="1"/>
      </c>
      <c r="GG294">
        <f ca="1"/>
      </c>
      <c r="GH294">
        <f ca="1"/>
      </c>
      <c r="GI294">
        <f ca="1"/>
      </c>
      <c r="GJ294">
        <f ca="1"/>
      </c>
      <c r="GK294">
        <f ca="1"/>
      </c>
      <c r="GL294">
        <f ca="1"/>
      </c>
      <c r="GM294">
        <f ca="1"/>
      </c>
      <c r="GN294">
        <f ca="1"/>
      </c>
      <c r="GO294">
        <f ca="1"/>
      </c>
      <c r="GP294">
        <f ca="1"/>
      </c>
      <c r="GQ294">
        <f ca="1"/>
      </c>
      <c r="GR294">
        <f ca="1"/>
      </c>
      <c r="GS294">
        <f ca="1"/>
      </c>
      <c r="GT294">
        <f ca="1"/>
      </c>
      <c r="GU294">
        <f ca="1"/>
      </c>
      <c r="GV294">
        <f ca="1"/>
      </c>
      <c r="GW294">
        <f ca="1"/>
      </c>
      <c r="HI294" s="7"/>
    </row>
    <row r="295" spans="63:217" x14ac:dyDescent="0.55000000000000004">
      <c r="BK295">
        <f ca="1"/>
      </c>
      <c r="BL295">
        <f ca="1"/>
      </c>
      <c r="BM295">
        <f ca="1"/>
      </c>
      <c r="BN295">
        <f ca="1"/>
      </c>
      <c r="BO295">
        <f ca="1"/>
      </c>
      <c r="BP295">
        <f ca="1"/>
      </c>
      <c r="BQ295">
        <f ca="1"/>
      </c>
      <c r="BR295">
        <f ca="1"/>
      </c>
      <c r="BS295">
        <f ca="1"/>
      </c>
      <c r="BT295">
        <f ca="1"/>
      </c>
      <c r="BU295">
        <f ca="1"/>
      </c>
      <c r="BV295">
        <f ca="1"/>
      </c>
      <c r="BW295">
        <f ca="1"/>
      </c>
      <c r="BX295">
        <f ca="1"/>
      </c>
      <c r="BY295">
        <f ca="1"/>
      </c>
      <c r="BZ295">
        <f ca="1"/>
      </c>
      <c r="CA295">
        <f ca="1"/>
      </c>
      <c r="CB295">
        <f ca="1"/>
      </c>
      <c r="CC295">
        <f ca="1"/>
      </c>
      <c r="CD295">
        <f ca="1"/>
      </c>
      <c r="CE295">
        <f ca="1"/>
      </c>
      <c r="CF295">
        <f ca="1"/>
      </c>
      <c r="CG295">
        <f ca="1"/>
      </c>
      <c r="CH295">
        <f ca="1"/>
      </c>
      <c r="CI295">
        <f ca="1"/>
      </c>
      <c r="CJ295">
        <f ca="1"/>
      </c>
      <c r="CK295">
        <f ca="1"/>
      </c>
      <c r="CL295">
        <f ca="1"/>
      </c>
      <c r="CM295">
        <f ca="1"/>
      </c>
      <c r="CN295">
        <f ca="1"/>
      </c>
      <c r="CO295">
        <f ca="1"/>
      </c>
      <c r="CP295">
        <f ca="1"/>
      </c>
      <c r="CQ295">
        <f ca="1"/>
      </c>
      <c r="CR295">
        <f ca="1"/>
      </c>
      <c r="CS295">
        <f ca="1"/>
      </c>
      <c r="CT295">
        <f ca="1"/>
      </c>
      <c r="CU295">
        <f ca="1"/>
      </c>
      <c r="CV295">
        <f ca="1"/>
      </c>
      <c r="CW295">
        <f ca="1"/>
      </c>
      <c r="CX295">
        <f ca="1"/>
      </c>
      <c r="CY295">
        <f ca="1"/>
      </c>
      <c r="CZ295">
        <f ca="1"/>
      </c>
      <c r="DA295">
        <f ca="1"/>
      </c>
      <c r="DB295">
        <f ca="1"/>
      </c>
      <c r="DC295">
        <f ca="1"/>
      </c>
      <c r="DD295">
        <f ca="1"/>
      </c>
      <c r="DE295">
        <f ca="1"/>
      </c>
      <c r="DG295">
        <f ca="1"/>
      </c>
      <c r="DH295">
        <f ca="1"/>
      </c>
      <c r="DI295">
        <f ca="1"/>
      </c>
      <c r="DJ295">
        <f ca="1"/>
      </c>
      <c r="DK295">
        <f ca="1"/>
      </c>
      <c r="DL295">
        <f ca="1"/>
      </c>
      <c r="DM295">
        <f ca="1"/>
      </c>
      <c r="DN295">
        <f ca="1"/>
      </c>
      <c r="DO295">
        <f ca="1"/>
      </c>
      <c r="DP295">
        <f ca="1"/>
      </c>
      <c r="DQ295">
        <f ca="1"/>
      </c>
      <c r="DR295">
        <f ca="1"/>
      </c>
      <c r="DS295">
        <f ca="1"/>
      </c>
      <c r="DT295">
        <f ca="1"/>
      </c>
      <c r="DU295">
        <f ca="1"/>
      </c>
      <c r="DV295">
        <f ca="1"/>
      </c>
      <c r="DW295">
        <f ca="1"/>
      </c>
      <c r="DX295">
        <f ca="1"/>
      </c>
      <c r="DY295">
        <f ca="1"/>
      </c>
      <c r="DZ295">
        <f ca="1"/>
      </c>
      <c r="EA295">
        <f ca="1"/>
      </c>
      <c r="EB295">
        <f ca="1"/>
      </c>
      <c r="EC295">
        <f ca="1"/>
      </c>
      <c r="ED295">
        <f ca="1"/>
      </c>
      <c r="EE295">
        <f ca="1"/>
      </c>
      <c r="EF295">
        <f ca="1"/>
      </c>
      <c r="EG295">
        <f ca="1"/>
      </c>
      <c r="EH295">
        <f ca="1"/>
      </c>
      <c r="EI295">
        <f ca="1"/>
      </c>
      <c r="EJ295">
        <f ca="1"/>
      </c>
      <c r="EK295">
        <f ca="1"/>
      </c>
      <c r="EL295">
        <f ca="1"/>
      </c>
      <c r="EM295">
        <f ca="1"/>
      </c>
      <c r="EN295">
        <f ca="1"/>
      </c>
      <c r="EO295">
        <f ca="1"/>
      </c>
      <c r="EP295">
        <f ca="1"/>
      </c>
      <c r="EQ295">
        <f ca="1"/>
      </c>
      <c r="ER295">
        <f ca="1"/>
      </c>
      <c r="ES295">
        <f ca="1"/>
      </c>
      <c r="ET295">
        <f ca="1"/>
      </c>
      <c r="EU295">
        <f ca="1"/>
      </c>
      <c r="EV295">
        <f ca="1"/>
      </c>
      <c r="EW295">
        <f ca="1"/>
      </c>
      <c r="EX295">
        <f ca="1"/>
      </c>
      <c r="EY295">
        <f ca="1"/>
      </c>
      <c r="EZ295">
        <f ca="1"/>
      </c>
      <c r="FA295">
        <f ca="1"/>
      </c>
      <c r="FC295">
        <f ca="1"/>
      </c>
      <c r="FD295">
        <f ca="1"/>
      </c>
      <c r="FE295">
        <f ca="1"/>
      </c>
      <c r="FF295">
        <f ca="1"/>
      </c>
      <c r="FG295">
        <f ca="1"/>
      </c>
      <c r="FH295">
        <f ca="1"/>
      </c>
      <c r="FI295">
        <f ca="1"/>
      </c>
      <c r="FJ295">
        <f ca="1"/>
      </c>
      <c r="FK295">
        <f ca="1"/>
      </c>
      <c r="FL295">
        <f ca="1"/>
      </c>
      <c r="FM295">
        <f ca="1"/>
      </c>
      <c r="FN295">
        <f ca="1"/>
      </c>
      <c r="FO295">
        <f ca="1"/>
      </c>
      <c r="FP295">
        <f ca="1"/>
      </c>
      <c r="FQ295">
        <f ca="1"/>
      </c>
      <c r="FR295">
        <f ca="1"/>
      </c>
      <c r="FS295">
        <f ca="1"/>
      </c>
      <c r="FT295">
        <f ca="1"/>
      </c>
      <c r="FU295">
        <f ca="1"/>
      </c>
      <c r="FV295">
        <f ca="1"/>
      </c>
      <c r="FW295">
        <f ca="1"/>
      </c>
      <c r="FX295">
        <f ca="1"/>
      </c>
      <c r="FY295">
        <f ca="1"/>
      </c>
      <c r="FZ295">
        <f ca="1"/>
      </c>
      <c r="GA295">
        <f ca="1"/>
      </c>
      <c r="GB295">
        <f ca="1"/>
      </c>
      <c r="GC295">
        <f ca="1"/>
      </c>
      <c r="GD295">
        <f ca="1"/>
      </c>
      <c r="GE295">
        <f ca="1"/>
      </c>
      <c r="GF295">
        <f ca="1"/>
      </c>
      <c r="GG295">
        <f ca="1"/>
      </c>
      <c r="GH295">
        <f ca="1"/>
      </c>
      <c r="GI295">
        <f ca="1"/>
      </c>
      <c r="GJ295">
        <f ca="1"/>
      </c>
      <c r="GK295">
        <f ca="1"/>
      </c>
      <c r="GL295">
        <f ca="1"/>
      </c>
      <c r="GM295">
        <f ca="1"/>
      </c>
      <c r="GN295">
        <f ca="1"/>
      </c>
      <c r="GO295">
        <f ca="1"/>
      </c>
      <c r="GP295">
        <f ca="1"/>
      </c>
      <c r="GQ295">
        <f ca="1"/>
      </c>
      <c r="GR295">
        <f ca="1"/>
      </c>
      <c r="GS295">
        <f ca="1"/>
      </c>
      <c r="GT295">
        <f ca="1"/>
      </c>
      <c r="GU295">
        <f ca="1"/>
      </c>
      <c r="GV295">
        <f ca="1"/>
      </c>
      <c r="GW295">
        <f ca="1"/>
      </c>
      <c r="HI295" s="7"/>
    </row>
    <row r="296" spans="63:217" x14ac:dyDescent="0.55000000000000004">
      <c r="BK296">
        <f ca="1"/>
      </c>
      <c r="BL296">
        <f ca="1"/>
      </c>
      <c r="BM296">
        <f ca="1"/>
      </c>
      <c r="BN296">
        <f ca="1"/>
      </c>
      <c r="BO296">
        <f ca="1"/>
      </c>
      <c r="BP296">
        <f ca="1"/>
      </c>
      <c r="BQ296">
        <f ca="1"/>
      </c>
      <c r="BR296">
        <f ca="1"/>
      </c>
      <c r="BS296">
        <f ca="1"/>
      </c>
      <c r="BT296">
        <f ca="1"/>
      </c>
      <c r="BU296">
        <f ca="1"/>
      </c>
      <c r="BV296">
        <f ca="1"/>
      </c>
      <c r="BW296">
        <f ca="1"/>
      </c>
      <c r="BX296">
        <f ca="1"/>
      </c>
      <c r="BY296">
        <f ca="1"/>
      </c>
      <c r="BZ296">
        <f ca="1"/>
      </c>
      <c r="CA296">
        <f ca="1"/>
      </c>
      <c r="CB296">
        <f ca="1"/>
      </c>
      <c r="CC296">
        <f ca="1"/>
      </c>
      <c r="CD296">
        <f ca="1"/>
      </c>
      <c r="CE296">
        <f ca="1"/>
      </c>
      <c r="CF296">
        <f ca="1"/>
      </c>
      <c r="CG296">
        <f ca="1"/>
      </c>
      <c r="CH296">
        <f ca="1"/>
      </c>
      <c r="CI296">
        <f ca="1"/>
      </c>
      <c r="CJ296">
        <f ca="1"/>
      </c>
      <c r="CK296">
        <f ca="1"/>
      </c>
      <c r="CL296">
        <f ca="1"/>
      </c>
      <c r="CM296">
        <f ca="1"/>
      </c>
      <c r="CN296">
        <f ca="1"/>
      </c>
      <c r="CO296">
        <f ca="1"/>
      </c>
      <c r="CP296">
        <f ca="1"/>
      </c>
      <c r="CQ296">
        <f ca="1"/>
      </c>
      <c r="CR296">
        <f ca="1"/>
      </c>
      <c r="CS296">
        <f ca="1"/>
      </c>
      <c r="CT296">
        <f ca="1"/>
      </c>
      <c r="CU296">
        <f ca="1"/>
      </c>
      <c r="CV296">
        <f ca="1"/>
      </c>
      <c r="CW296">
        <f ca="1"/>
      </c>
      <c r="CX296">
        <f ca="1"/>
      </c>
      <c r="CY296">
        <f ca="1"/>
      </c>
      <c r="CZ296">
        <f ca="1"/>
      </c>
      <c r="DA296">
        <f ca="1"/>
      </c>
      <c r="DB296">
        <f ca="1"/>
      </c>
      <c r="DC296">
        <f ca="1"/>
      </c>
      <c r="DD296">
        <f ca="1"/>
      </c>
      <c r="DE296">
        <f ca="1"/>
      </c>
      <c r="DG296">
        <f ca="1"/>
      </c>
      <c r="DH296">
        <f ca="1"/>
      </c>
      <c r="DI296">
        <f ca="1"/>
      </c>
      <c r="DJ296">
        <f ca="1"/>
      </c>
      <c r="DK296">
        <f ca="1"/>
      </c>
      <c r="DL296">
        <f ca="1"/>
      </c>
      <c r="DM296">
        <f ca="1"/>
      </c>
      <c r="DN296">
        <f ca="1"/>
      </c>
      <c r="DO296">
        <f ca="1"/>
      </c>
      <c r="DP296">
        <f ca="1"/>
      </c>
      <c r="DQ296">
        <f ca="1"/>
      </c>
      <c r="DR296">
        <f ca="1"/>
      </c>
      <c r="DS296">
        <f ca="1"/>
      </c>
      <c r="DT296">
        <f ca="1"/>
      </c>
      <c r="DU296">
        <f ca="1"/>
      </c>
      <c r="DV296">
        <f ca="1"/>
      </c>
      <c r="DW296">
        <f ca="1"/>
      </c>
      <c r="DX296">
        <f ca="1"/>
      </c>
      <c r="DY296">
        <f ca="1"/>
      </c>
      <c r="DZ296">
        <f ca="1"/>
      </c>
      <c r="EA296">
        <f ca="1"/>
      </c>
      <c r="EB296">
        <f ca="1"/>
      </c>
      <c r="EC296">
        <f ca="1"/>
      </c>
      <c r="ED296">
        <f ca="1"/>
      </c>
      <c r="EE296">
        <f ca="1"/>
      </c>
      <c r="EF296">
        <f ca="1"/>
      </c>
      <c r="EG296">
        <f ca="1"/>
      </c>
      <c r="EH296">
        <f ca="1"/>
      </c>
      <c r="EI296">
        <f ca="1"/>
      </c>
      <c r="EJ296">
        <f ca="1"/>
      </c>
      <c r="EK296">
        <f ca="1"/>
      </c>
      <c r="EL296">
        <f ca="1"/>
      </c>
      <c r="EM296">
        <f ca="1"/>
      </c>
      <c r="EN296">
        <f ca="1"/>
      </c>
      <c r="EO296">
        <f ca="1"/>
      </c>
      <c r="EP296">
        <f ca="1"/>
      </c>
      <c r="EQ296">
        <f ca="1"/>
      </c>
      <c r="ER296">
        <f ca="1"/>
      </c>
      <c r="ES296">
        <f ca="1"/>
      </c>
      <c r="ET296">
        <f ca="1"/>
      </c>
      <c r="EU296">
        <f ca="1"/>
      </c>
      <c r="EV296">
        <f ca="1"/>
      </c>
      <c r="EW296">
        <f ca="1"/>
      </c>
      <c r="EX296">
        <f ca="1"/>
      </c>
      <c r="EY296">
        <f ca="1"/>
      </c>
      <c r="EZ296">
        <f ca="1"/>
      </c>
      <c r="FA296">
        <f ca="1"/>
      </c>
      <c r="FC296">
        <f ca="1"/>
      </c>
      <c r="FD296">
        <f ca="1"/>
      </c>
      <c r="FE296">
        <f ca="1"/>
      </c>
      <c r="FF296">
        <f ca="1"/>
      </c>
      <c r="FG296">
        <f ca="1"/>
      </c>
      <c r="FH296">
        <f ca="1"/>
      </c>
      <c r="FI296">
        <f ca="1"/>
      </c>
      <c r="FJ296">
        <f ca="1"/>
      </c>
      <c r="FK296">
        <f ca="1"/>
      </c>
      <c r="FL296">
        <f ca="1"/>
      </c>
      <c r="FM296">
        <f ca="1"/>
      </c>
      <c r="FN296">
        <f ca="1"/>
      </c>
      <c r="FO296">
        <f ca="1"/>
      </c>
      <c r="FP296">
        <f ca="1"/>
      </c>
      <c r="FQ296">
        <f ca="1"/>
      </c>
      <c r="FR296">
        <f ca="1"/>
      </c>
      <c r="FS296">
        <f ca="1"/>
      </c>
      <c r="FT296">
        <f ca="1"/>
      </c>
      <c r="FU296">
        <f ca="1"/>
      </c>
      <c r="FV296">
        <f ca="1"/>
      </c>
      <c r="FW296">
        <f ca="1"/>
      </c>
      <c r="FX296">
        <f ca="1"/>
      </c>
      <c r="FY296">
        <f ca="1"/>
      </c>
      <c r="FZ296">
        <f ca="1"/>
      </c>
      <c r="GA296">
        <f ca="1"/>
      </c>
      <c r="GB296">
        <f ca="1"/>
      </c>
      <c r="GC296">
        <f ca="1"/>
      </c>
      <c r="GD296">
        <f ca="1"/>
      </c>
      <c r="GE296">
        <f ca="1"/>
      </c>
      <c r="GF296">
        <f ca="1"/>
      </c>
      <c r="GG296">
        <f ca="1"/>
      </c>
      <c r="GH296">
        <f ca="1"/>
      </c>
      <c r="GI296">
        <f ca="1"/>
      </c>
      <c r="GJ296">
        <f ca="1"/>
      </c>
      <c r="GK296">
        <f ca="1"/>
      </c>
      <c r="GL296">
        <f ca="1"/>
      </c>
      <c r="GM296">
        <f ca="1"/>
      </c>
      <c r="GN296">
        <f ca="1"/>
      </c>
      <c r="GO296">
        <f ca="1"/>
      </c>
      <c r="GP296">
        <f ca="1"/>
      </c>
      <c r="GQ296">
        <f ca="1"/>
      </c>
      <c r="GR296">
        <f ca="1"/>
      </c>
      <c r="GS296">
        <f ca="1"/>
      </c>
      <c r="GT296">
        <f ca="1"/>
      </c>
      <c r="GU296">
        <f ca="1"/>
      </c>
      <c r="GV296">
        <f ca="1"/>
      </c>
      <c r="GW296">
        <f ca="1"/>
      </c>
      <c r="HI296" s="7"/>
    </row>
    <row r="297" spans="63:217" x14ac:dyDescent="0.55000000000000004">
      <c r="BK297">
        <f ca="1"/>
      </c>
      <c r="BL297">
        <f ca="1"/>
      </c>
      <c r="BM297">
        <f ca="1"/>
      </c>
      <c r="BN297">
        <f ca="1"/>
      </c>
      <c r="BO297">
        <f ca="1"/>
      </c>
      <c r="BP297">
        <f ca="1"/>
      </c>
      <c r="BQ297">
        <f ca="1"/>
      </c>
      <c r="BR297">
        <f ca="1"/>
      </c>
      <c r="BS297">
        <f ca="1"/>
      </c>
      <c r="BT297">
        <f ca="1"/>
      </c>
      <c r="BU297">
        <f ca="1"/>
      </c>
      <c r="BV297">
        <f ca="1"/>
      </c>
      <c r="BW297">
        <f ca="1"/>
      </c>
      <c r="BX297">
        <f ca="1"/>
      </c>
      <c r="BY297">
        <f ca="1"/>
      </c>
      <c r="BZ297">
        <f ca="1"/>
      </c>
      <c r="CA297">
        <f ca="1"/>
      </c>
      <c r="CB297">
        <f ca="1"/>
      </c>
      <c r="CC297">
        <f ca="1"/>
      </c>
      <c r="CD297">
        <f ca="1"/>
      </c>
      <c r="CE297">
        <f ca="1"/>
      </c>
      <c r="CF297">
        <f ca="1"/>
      </c>
      <c r="CG297">
        <f ca="1"/>
      </c>
      <c r="CH297">
        <f ca="1"/>
      </c>
      <c r="CI297">
        <f ca="1"/>
      </c>
      <c r="CJ297">
        <f ca="1"/>
      </c>
      <c r="CK297">
        <f ca="1"/>
      </c>
      <c r="CL297">
        <f ca="1"/>
      </c>
      <c r="CM297">
        <f ca="1"/>
      </c>
      <c r="CN297">
        <f ca="1"/>
      </c>
      <c r="CO297">
        <f ca="1"/>
      </c>
      <c r="CP297">
        <f ca="1"/>
      </c>
      <c r="CQ297">
        <f ca="1"/>
      </c>
      <c r="CR297">
        <f ca="1"/>
      </c>
      <c r="CS297">
        <f ca="1"/>
      </c>
      <c r="CT297">
        <f ca="1"/>
      </c>
      <c r="CU297">
        <f ca="1"/>
      </c>
      <c r="CV297">
        <f ca="1"/>
      </c>
      <c r="CW297">
        <f ca="1"/>
      </c>
      <c r="CX297">
        <f ca="1"/>
      </c>
      <c r="CY297">
        <f ca="1"/>
      </c>
      <c r="CZ297">
        <f ca="1"/>
      </c>
      <c r="DA297">
        <f ca="1"/>
      </c>
      <c r="DB297">
        <f ca="1"/>
      </c>
      <c r="DC297">
        <f ca="1"/>
      </c>
      <c r="DD297">
        <f ca="1"/>
      </c>
      <c r="DE297">
        <f ca="1"/>
      </c>
      <c r="DG297">
        <f ca="1"/>
      </c>
      <c r="DH297">
        <f ca="1"/>
      </c>
      <c r="DI297">
        <f ca="1"/>
      </c>
      <c r="DJ297">
        <f ca="1"/>
      </c>
      <c r="DK297">
        <f ca="1"/>
      </c>
      <c r="DL297">
        <f ca="1"/>
      </c>
      <c r="DM297">
        <f ca="1"/>
      </c>
      <c r="DN297">
        <f ca="1"/>
      </c>
      <c r="DO297">
        <f ca="1"/>
      </c>
      <c r="DP297">
        <f ca="1"/>
      </c>
      <c r="DQ297">
        <f ca="1"/>
      </c>
      <c r="DR297">
        <f ca="1"/>
      </c>
      <c r="DS297">
        <f ca="1"/>
      </c>
      <c r="DT297">
        <f ca="1"/>
      </c>
      <c r="DU297">
        <f ca="1"/>
      </c>
      <c r="DV297">
        <f ca="1"/>
      </c>
      <c r="DW297">
        <f ca="1"/>
      </c>
      <c r="DX297">
        <f ca="1"/>
      </c>
      <c r="DY297">
        <f ca="1"/>
      </c>
      <c r="DZ297">
        <f ca="1"/>
      </c>
      <c r="EA297">
        <f ca="1"/>
      </c>
      <c r="EB297">
        <f ca="1"/>
      </c>
      <c r="EC297">
        <f ca="1"/>
      </c>
      <c r="ED297">
        <f ca="1"/>
      </c>
      <c r="EE297">
        <f ca="1"/>
      </c>
      <c r="EF297">
        <f ca="1"/>
      </c>
      <c r="EG297">
        <f ca="1"/>
      </c>
      <c r="EH297">
        <f ca="1"/>
      </c>
      <c r="EI297">
        <f ca="1"/>
      </c>
      <c r="EJ297">
        <f ca="1"/>
      </c>
      <c r="EK297">
        <f ca="1"/>
      </c>
      <c r="EL297">
        <f ca="1"/>
      </c>
      <c r="EM297">
        <f ca="1"/>
      </c>
      <c r="EN297">
        <f ca="1"/>
      </c>
      <c r="EO297">
        <f ca="1"/>
      </c>
      <c r="EP297">
        <f ca="1"/>
      </c>
      <c r="EQ297">
        <f ca="1"/>
      </c>
      <c r="ER297">
        <f ca="1"/>
      </c>
      <c r="ES297">
        <f ca="1"/>
      </c>
      <c r="ET297">
        <f ca="1"/>
      </c>
      <c r="EU297">
        <f ca="1"/>
      </c>
      <c r="EV297">
        <f ca="1"/>
      </c>
      <c r="EW297">
        <f ca="1"/>
      </c>
      <c r="EX297">
        <f ca="1"/>
      </c>
      <c r="EY297">
        <f ca="1"/>
      </c>
      <c r="EZ297">
        <f ca="1"/>
      </c>
      <c r="FA297">
        <f ca="1"/>
      </c>
      <c r="FC297">
        <f ca="1"/>
      </c>
      <c r="FD297">
        <f ca="1"/>
      </c>
      <c r="FE297">
        <f ca="1"/>
      </c>
      <c r="FF297">
        <f ca="1"/>
      </c>
      <c r="FG297">
        <f ca="1"/>
      </c>
      <c r="FH297">
        <f ca="1"/>
      </c>
      <c r="FI297">
        <f ca="1"/>
      </c>
      <c r="FJ297">
        <f ca="1"/>
      </c>
      <c r="FK297">
        <f ca="1"/>
      </c>
      <c r="FL297">
        <f ca="1"/>
      </c>
      <c r="FM297">
        <f ca="1"/>
      </c>
      <c r="FN297">
        <f ca="1"/>
      </c>
      <c r="FO297">
        <f ca="1"/>
      </c>
      <c r="FP297">
        <f ca="1"/>
      </c>
      <c r="FQ297">
        <f ca="1"/>
      </c>
      <c r="FR297">
        <f ca="1"/>
      </c>
      <c r="FS297">
        <f ca="1"/>
      </c>
      <c r="FT297">
        <f ca="1"/>
      </c>
      <c r="FU297">
        <f ca="1"/>
      </c>
      <c r="FV297">
        <f ca="1"/>
      </c>
      <c r="FW297">
        <f ca="1"/>
      </c>
      <c r="FX297">
        <f ca="1"/>
      </c>
      <c r="FY297">
        <f ca="1"/>
      </c>
      <c r="FZ297">
        <f ca="1"/>
      </c>
      <c r="GA297">
        <f ca="1"/>
      </c>
      <c r="GB297">
        <f ca="1"/>
      </c>
      <c r="GC297">
        <f ca="1"/>
      </c>
      <c r="GD297">
        <f ca="1"/>
      </c>
      <c r="GE297">
        <f ca="1"/>
      </c>
      <c r="GF297">
        <f ca="1"/>
      </c>
      <c r="GG297">
        <f ca="1"/>
      </c>
      <c r="GH297">
        <f ca="1"/>
      </c>
      <c r="GI297">
        <f ca="1"/>
      </c>
      <c r="GJ297">
        <f ca="1"/>
      </c>
      <c r="GK297">
        <f ca="1"/>
      </c>
      <c r="GL297">
        <f ca="1"/>
      </c>
      <c r="GM297">
        <f ca="1"/>
      </c>
      <c r="GN297">
        <f ca="1"/>
      </c>
      <c r="GO297">
        <f ca="1"/>
      </c>
      <c r="GP297">
        <f ca="1"/>
      </c>
      <c r="GQ297">
        <f ca="1"/>
      </c>
      <c r="GR297">
        <f ca="1"/>
      </c>
      <c r="GS297">
        <f ca="1"/>
      </c>
      <c r="GT297">
        <f ca="1"/>
      </c>
      <c r="GU297">
        <f ca="1"/>
      </c>
      <c r="GV297">
        <f ca="1"/>
      </c>
      <c r="GW297">
        <f ca="1"/>
      </c>
      <c r="HI297" s="7"/>
    </row>
    <row r="298" spans="63:217" x14ac:dyDescent="0.55000000000000004">
      <c r="BK298">
        <f ca="1"/>
      </c>
      <c r="BL298">
        <f ca="1"/>
      </c>
      <c r="BM298">
        <f ca="1"/>
      </c>
      <c r="BN298">
        <f ca="1"/>
      </c>
      <c r="BO298">
        <f ca="1"/>
      </c>
      <c r="BP298">
        <f ca="1"/>
      </c>
      <c r="BQ298">
        <f ca="1"/>
      </c>
      <c r="BR298">
        <f ca="1"/>
      </c>
      <c r="BS298">
        <f ca="1"/>
      </c>
      <c r="BT298">
        <f ca="1"/>
      </c>
      <c r="BU298">
        <f ca="1"/>
      </c>
      <c r="BV298">
        <f ca="1"/>
      </c>
      <c r="BW298">
        <f ca="1"/>
      </c>
      <c r="BX298">
        <f ca="1"/>
      </c>
      <c r="BY298">
        <f ca="1"/>
      </c>
      <c r="BZ298">
        <f ca="1"/>
      </c>
      <c r="CA298">
        <f ca="1"/>
      </c>
      <c r="CB298">
        <f ca="1"/>
      </c>
      <c r="CC298">
        <f ca="1"/>
      </c>
      <c r="CD298">
        <f ca="1"/>
      </c>
      <c r="CE298">
        <f ca="1"/>
      </c>
      <c r="CF298">
        <f ca="1"/>
      </c>
      <c r="CG298">
        <f ca="1"/>
      </c>
      <c r="CH298">
        <f ca="1"/>
      </c>
      <c r="CI298">
        <f ca="1"/>
      </c>
      <c r="CJ298">
        <f ca="1"/>
      </c>
      <c r="CK298">
        <f ca="1"/>
      </c>
      <c r="CL298">
        <f ca="1"/>
      </c>
      <c r="CM298">
        <f ca="1"/>
      </c>
      <c r="CN298">
        <f ca="1"/>
      </c>
      <c r="CO298">
        <f ca="1"/>
      </c>
      <c r="CP298">
        <f ca="1"/>
      </c>
      <c r="CQ298">
        <f ca="1"/>
      </c>
      <c r="CR298">
        <f ca="1"/>
      </c>
      <c r="CS298">
        <f ca="1"/>
      </c>
      <c r="CT298">
        <f ca="1"/>
      </c>
      <c r="CU298">
        <f ca="1"/>
      </c>
      <c r="CV298">
        <f ca="1"/>
      </c>
      <c r="CW298">
        <f ca="1"/>
      </c>
      <c r="CX298">
        <f ca="1"/>
      </c>
      <c r="CY298">
        <f ca="1"/>
      </c>
      <c r="CZ298">
        <f ca="1"/>
      </c>
      <c r="DA298">
        <f ca="1"/>
      </c>
      <c r="DB298">
        <f ca="1"/>
      </c>
      <c r="DC298">
        <f ca="1"/>
      </c>
      <c r="DD298">
        <f ca="1"/>
      </c>
      <c r="DE298">
        <f ca="1"/>
      </c>
      <c r="DG298">
        <f ca="1"/>
      </c>
      <c r="DH298">
        <f ca="1"/>
      </c>
      <c r="DI298">
        <f ca="1"/>
      </c>
      <c r="DJ298">
        <f ca="1"/>
      </c>
      <c r="DK298">
        <f ca="1"/>
      </c>
      <c r="DL298">
        <f ca="1"/>
      </c>
      <c r="DM298">
        <f ca="1"/>
      </c>
      <c r="DN298">
        <f ca="1"/>
      </c>
      <c r="DO298">
        <f ca="1"/>
      </c>
      <c r="DP298">
        <f ca="1"/>
      </c>
      <c r="DQ298">
        <f ca="1"/>
      </c>
      <c r="DR298">
        <f ca="1"/>
      </c>
      <c r="DS298">
        <f ca="1"/>
      </c>
      <c r="DT298">
        <f ca="1"/>
      </c>
      <c r="DU298">
        <f ca="1"/>
      </c>
      <c r="DV298">
        <f ca="1"/>
      </c>
      <c r="DW298">
        <f ca="1"/>
      </c>
      <c r="DX298">
        <f ca="1"/>
      </c>
      <c r="DY298">
        <f ca="1"/>
      </c>
      <c r="DZ298">
        <f ca="1"/>
      </c>
      <c r="EA298">
        <f ca="1"/>
      </c>
      <c r="EB298">
        <f ca="1"/>
      </c>
      <c r="EC298">
        <f ca="1"/>
      </c>
      <c r="ED298">
        <f ca="1"/>
      </c>
      <c r="EE298">
        <f ca="1"/>
      </c>
      <c r="EF298">
        <f ca="1"/>
      </c>
      <c r="EG298">
        <f ca="1"/>
      </c>
      <c r="EH298">
        <f ca="1"/>
      </c>
      <c r="EI298">
        <f ca="1"/>
      </c>
      <c r="EJ298">
        <f ca="1"/>
      </c>
      <c r="EK298">
        <f ca="1"/>
      </c>
      <c r="EL298">
        <f ca="1"/>
      </c>
      <c r="EM298">
        <f ca="1"/>
      </c>
      <c r="EN298">
        <f ca="1"/>
      </c>
      <c r="EO298">
        <f ca="1"/>
      </c>
      <c r="EP298">
        <f ca="1"/>
      </c>
      <c r="EQ298">
        <f ca="1"/>
      </c>
      <c r="ER298">
        <f ca="1"/>
      </c>
      <c r="ES298">
        <f ca="1"/>
      </c>
      <c r="ET298">
        <f ca="1"/>
      </c>
      <c r="EU298">
        <f ca="1"/>
      </c>
      <c r="EV298">
        <f ca="1"/>
      </c>
      <c r="EW298">
        <f ca="1"/>
      </c>
      <c r="EX298">
        <f ca="1"/>
      </c>
      <c r="EY298">
        <f ca="1"/>
      </c>
      <c r="EZ298">
        <f ca="1"/>
      </c>
      <c r="FA298">
        <f ca="1"/>
      </c>
      <c r="FC298">
        <f ca="1"/>
      </c>
      <c r="FD298">
        <f ca="1"/>
      </c>
      <c r="FE298">
        <f ca="1"/>
      </c>
      <c r="FF298">
        <f ca="1"/>
      </c>
      <c r="FG298">
        <f ca="1"/>
      </c>
      <c r="FH298">
        <f ca="1"/>
      </c>
      <c r="FI298">
        <f ca="1"/>
      </c>
      <c r="FJ298">
        <f ca="1"/>
      </c>
      <c r="FK298">
        <f ca="1"/>
      </c>
      <c r="FL298">
        <f ca="1"/>
      </c>
      <c r="FM298">
        <f ca="1"/>
      </c>
      <c r="FN298">
        <f ca="1"/>
      </c>
      <c r="FO298">
        <f ca="1"/>
      </c>
      <c r="FP298">
        <f ca="1"/>
      </c>
      <c r="FQ298">
        <f ca="1"/>
      </c>
      <c r="FR298">
        <f ca="1"/>
      </c>
      <c r="FS298">
        <f ca="1"/>
      </c>
      <c r="FT298">
        <f ca="1"/>
      </c>
      <c r="FU298">
        <f ca="1"/>
      </c>
      <c r="FV298">
        <f ca="1"/>
      </c>
      <c r="FW298">
        <f ca="1"/>
      </c>
      <c r="FX298">
        <f ca="1"/>
      </c>
      <c r="FY298">
        <f ca="1"/>
      </c>
      <c r="FZ298">
        <f ca="1"/>
      </c>
      <c r="GA298">
        <f ca="1"/>
      </c>
      <c r="GB298">
        <f ca="1"/>
      </c>
      <c r="GC298">
        <f ca="1"/>
      </c>
      <c r="GD298">
        <f ca="1"/>
      </c>
      <c r="GE298">
        <f ca="1"/>
      </c>
      <c r="GF298">
        <f ca="1"/>
      </c>
      <c r="GG298">
        <f ca="1"/>
      </c>
      <c r="GH298">
        <f ca="1"/>
      </c>
      <c r="GI298">
        <f ca="1"/>
      </c>
      <c r="GJ298">
        <f ca="1"/>
      </c>
      <c r="GK298">
        <f ca="1"/>
      </c>
      <c r="GL298">
        <f ca="1"/>
      </c>
      <c r="GM298">
        <f ca="1"/>
      </c>
      <c r="GN298">
        <f ca="1"/>
      </c>
      <c r="GO298">
        <f ca="1"/>
      </c>
      <c r="GP298">
        <f ca="1"/>
      </c>
      <c r="GQ298">
        <f ca="1"/>
      </c>
      <c r="GR298">
        <f ca="1"/>
      </c>
      <c r="GS298">
        <f ca="1"/>
      </c>
      <c r="GT298">
        <f ca="1"/>
      </c>
      <c r="GU298">
        <f ca="1"/>
      </c>
      <c r="GV298">
        <f ca="1"/>
      </c>
      <c r="GW298">
        <f ca="1"/>
      </c>
      <c r="HI298" s="7"/>
    </row>
    <row r="299" spans="63:217" x14ac:dyDescent="0.55000000000000004">
      <c r="BK299">
        <f ca="1"/>
      </c>
      <c r="BL299">
        <f ca="1"/>
      </c>
      <c r="BM299">
        <f ca="1"/>
      </c>
      <c r="BN299">
        <f ca="1"/>
      </c>
      <c r="BO299">
        <f ca="1"/>
      </c>
      <c r="BP299">
        <f ca="1"/>
      </c>
      <c r="BQ299">
        <f ca="1"/>
      </c>
      <c r="BR299">
        <f ca="1"/>
      </c>
      <c r="BS299">
        <f ca="1"/>
      </c>
      <c r="BT299">
        <f ca="1"/>
      </c>
      <c r="BU299">
        <f ca="1"/>
      </c>
      <c r="BV299">
        <f ca="1"/>
      </c>
      <c r="BW299">
        <f ca="1"/>
      </c>
      <c r="BX299">
        <f ca="1"/>
      </c>
      <c r="BY299">
        <f ca="1"/>
      </c>
      <c r="BZ299">
        <f ca="1"/>
      </c>
      <c r="CA299">
        <f ca="1"/>
      </c>
      <c r="CB299">
        <f ca="1"/>
      </c>
      <c r="CC299">
        <f ca="1"/>
      </c>
      <c r="CD299">
        <f ca="1"/>
      </c>
      <c r="CE299">
        <f ca="1"/>
      </c>
      <c r="CF299">
        <f ca="1"/>
      </c>
      <c r="CG299">
        <f ca="1"/>
      </c>
      <c r="CH299">
        <f ca="1"/>
      </c>
      <c r="CI299">
        <f ca="1"/>
      </c>
      <c r="CJ299">
        <f ca="1"/>
      </c>
      <c r="CK299">
        <f ca="1"/>
      </c>
      <c r="CL299">
        <f ca="1"/>
      </c>
      <c r="CM299">
        <f ca="1"/>
      </c>
      <c r="CN299">
        <f ca="1"/>
      </c>
      <c r="CO299">
        <f ca="1"/>
      </c>
      <c r="CP299">
        <f ca="1"/>
      </c>
      <c r="CQ299">
        <f ca="1"/>
      </c>
      <c r="CR299">
        <f ca="1"/>
      </c>
      <c r="CS299">
        <f ca="1"/>
      </c>
      <c r="CT299">
        <f ca="1"/>
      </c>
      <c r="CU299">
        <f ca="1"/>
      </c>
      <c r="CV299">
        <f ca="1"/>
      </c>
      <c r="CW299">
        <f ca="1"/>
      </c>
      <c r="CX299">
        <f ca="1"/>
      </c>
      <c r="CY299">
        <f ca="1"/>
      </c>
      <c r="CZ299">
        <f ca="1"/>
      </c>
      <c r="DA299">
        <f ca="1"/>
      </c>
      <c r="DB299">
        <f ca="1"/>
      </c>
      <c r="DC299">
        <f ca="1"/>
      </c>
      <c r="DD299">
        <f ca="1"/>
      </c>
      <c r="DE299">
        <f ca="1"/>
      </c>
      <c r="DG299">
        <f ca="1"/>
      </c>
      <c r="DH299">
        <f ca="1"/>
      </c>
      <c r="DI299">
        <f ca="1"/>
      </c>
      <c r="DJ299">
        <f ca="1"/>
      </c>
      <c r="DK299">
        <f ca="1"/>
      </c>
      <c r="DL299">
        <f ca="1"/>
      </c>
      <c r="DM299">
        <f ca="1"/>
      </c>
      <c r="DN299">
        <f ca="1"/>
      </c>
      <c r="DO299">
        <f ca="1"/>
      </c>
      <c r="DP299">
        <f ca="1"/>
      </c>
      <c r="DQ299">
        <f ca="1"/>
      </c>
      <c r="DR299">
        <f ca="1"/>
      </c>
      <c r="DS299">
        <f ca="1"/>
      </c>
      <c r="DT299">
        <f ca="1"/>
      </c>
      <c r="DU299">
        <f ca="1"/>
      </c>
      <c r="DV299">
        <f ca="1"/>
      </c>
      <c r="DW299">
        <f ca="1"/>
      </c>
      <c r="DX299">
        <f ca="1"/>
      </c>
      <c r="DY299">
        <f ca="1"/>
      </c>
      <c r="DZ299">
        <f ca="1"/>
      </c>
      <c r="EA299">
        <f ca="1"/>
      </c>
      <c r="EB299">
        <f ca="1"/>
      </c>
      <c r="EC299">
        <f ca="1"/>
      </c>
      <c r="ED299">
        <f ca="1"/>
      </c>
      <c r="EE299">
        <f ca="1"/>
      </c>
      <c r="EF299">
        <f ca="1"/>
      </c>
      <c r="EG299">
        <f ca="1"/>
      </c>
      <c r="EH299">
        <f ca="1"/>
      </c>
      <c r="EI299">
        <f ca="1"/>
      </c>
      <c r="EJ299">
        <f ca="1"/>
      </c>
      <c r="EK299">
        <f ca="1"/>
      </c>
      <c r="EL299">
        <f ca="1"/>
      </c>
      <c r="EM299">
        <f ca="1"/>
      </c>
      <c r="EN299">
        <f ca="1"/>
      </c>
      <c r="EO299">
        <f ca="1"/>
      </c>
      <c r="EP299">
        <f ca="1"/>
      </c>
      <c r="EQ299">
        <f ca="1"/>
      </c>
      <c r="ER299">
        <f ca="1"/>
      </c>
      <c r="ES299">
        <f ca="1"/>
      </c>
      <c r="ET299">
        <f ca="1"/>
      </c>
      <c r="EU299">
        <f ca="1"/>
      </c>
      <c r="EV299">
        <f ca="1"/>
      </c>
      <c r="EW299">
        <f ca="1"/>
      </c>
      <c r="EX299">
        <f ca="1"/>
      </c>
      <c r="EY299">
        <f ca="1"/>
      </c>
      <c r="EZ299">
        <f ca="1"/>
      </c>
      <c r="FA299">
        <f ca="1"/>
      </c>
      <c r="FC299">
        <f ca="1"/>
      </c>
      <c r="FD299">
        <f ca="1"/>
      </c>
      <c r="FE299">
        <f ca="1"/>
      </c>
      <c r="FF299">
        <f ca="1"/>
      </c>
      <c r="FG299">
        <f ca="1"/>
      </c>
      <c r="FH299">
        <f ca="1"/>
      </c>
      <c r="FI299">
        <f ca="1"/>
      </c>
      <c r="FJ299">
        <f ca="1"/>
      </c>
      <c r="FK299">
        <f ca="1"/>
      </c>
      <c r="FL299">
        <f ca="1"/>
      </c>
      <c r="FM299">
        <f ca="1"/>
      </c>
      <c r="FN299">
        <f ca="1"/>
      </c>
      <c r="FO299">
        <f ca="1"/>
      </c>
      <c r="FP299">
        <f ca="1"/>
      </c>
      <c r="FQ299">
        <f ca="1"/>
      </c>
      <c r="FR299">
        <f ca="1"/>
      </c>
      <c r="FS299">
        <f ca="1"/>
      </c>
      <c r="FT299">
        <f ca="1"/>
      </c>
      <c r="FU299">
        <f ca="1"/>
      </c>
      <c r="FV299">
        <f ca="1"/>
      </c>
      <c r="FW299">
        <f ca="1"/>
      </c>
      <c r="FX299">
        <f ca="1"/>
      </c>
      <c r="FY299">
        <f ca="1"/>
      </c>
      <c r="FZ299">
        <f ca="1"/>
      </c>
      <c r="GA299">
        <f ca="1"/>
      </c>
      <c r="GB299">
        <f ca="1"/>
      </c>
      <c r="GC299">
        <f ca="1"/>
      </c>
      <c r="GD299">
        <f ca="1"/>
      </c>
      <c r="GE299">
        <f ca="1"/>
      </c>
      <c r="GF299">
        <f ca="1"/>
      </c>
      <c r="GG299">
        <f ca="1"/>
      </c>
      <c r="GH299">
        <f ca="1"/>
      </c>
      <c r="GI299">
        <f ca="1"/>
      </c>
      <c r="GJ299">
        <f ca="1"/>
      </c>
      <c r="GK299">
        <f ca="1"/>
      </c>
      <c r="GL299">
        <f ca="1"/>
      </c>
      <c r="GM299">
        <f ca="1"/>
      </c>
      <c r="GN299">
        <f ca="1"/>
      </c>
      <c r="GO299">
        <f ca="1"/>
      </c>
      <c r="GP299">
        <f ca="1"/>
      </c>
      <c r="GQ299">
        <f ca="1"/>
      </c>
      <c r="GR299">
        <f ca="1"/>
      </c>
      <c r="GS299">
        <f ca="1"/>
      </c>
      <c r="GT299">
        <f ca="1"/>
      </c>
      <c r="GU299">
        <f ca="1"/>
      </c>
      <c r="GV299">
        <f ca="1"/>
      </c>
      <c r="GW299">
        <f ca="1"/>
      </c>
      <c r="HI299" s="7"/>
    </row>
    <row r="300" spans="63:217" x14ac:dyDescent="0.55000000000000004">
      <c r="BK300">
        <f ca="1"/>
      </c>
      <c r="BL300">
        <f ca="1"/>
      </c>
      <c r="BM300">
        <f ca="1"/>
      </c>
      <c r="BN300">
        <f ca="1"/>
      </c>
      <c r="BO300">
        <f ca="1"/>
      </c>
      <c r="BP300">
        <f ca="1"/>
      </c>
      <c r="BQ300">
        <f ca="1"/>
      </c>
      <c r="BR300">
        <f ca="1"/>
      </c>
      <c r="BS300">
        <f ca="1"/>
      </c>
      <c r="BT300">
        <f ca="1"/>
      </c>
      <c r="BU300">
        <f ca="1"/>
      </c>
      <c r="BV300">
        <f ca="1"/>
      </c>
      <c r="BW300">
        <f ca="1"/>
      </c>
      <c r="BX300">
        <f ca="1"/>
      </c>
      <c r="BY300">
        <f ca="1"/>
      </c>
      <c r="BZ300">
        <f ca="1"/>
      </c>
      <c r="CA300">
        <f ca="1"/>
      </c>
      <c r="CB300">
        <f ca="1"/>
      </c>
      <c r="CC300">
        <f ca="1"/>
      </c>
      <c r="CD300">
        <f ca="1"/>
      </c>
      <c r="CE300">
        <f ca="1"/>
      </c>
      <c r="CF300">
        <f ca="1"/>
      </c>
      <c r="CG300">
        <f ca="1"/>
      </c>
      <c r="CH300">
        <f ca="1"/>
      </c>
      <c r="CI300">
        <f ca="1"/>
      </c>
      <c r="CJ300">
        <f ca="1"/>
      </c>
      <c r="CK300">
        <f ca="1"/>
      </c>
      <c r="CL300">
        <f ca="1"/>
      </c>
      <c r="CM300">
        <f ca="1"/>
      </c>
      <c r="CN300">
        <f ca="1"/>
      </c>
      <c r="CO300">
        <f ca="1"/>
      </c>
      <c r="CP300">
        <f ca="1"/>
      </c>
      <c r="CQ300">
        <f ca="1"/>
      </c>
      <c r="CR300">
        <f ca="1"/>
      </c>
      <c r="CS300">
        <f ca="1"/>
      </c>
      <c r="CT300">
        <f ca="1"/>
      </c>
      <c r="CU300">
        <f ca="1"/>
      </c>
      <c r="CV300">
        <f ca="1"/>
      </c>
      <c r="CW300">
        <f ca="1"/>
      </c>
      <c r="CX300">
        <f ca="1"/>
      </c>
      <c r="CY300">
        <f ca="1"/>
      </c>
      <c r="CZ300">
        <f ca="1"/>
      </c>
      <c r="DA300">
        <f ca="1"/>
      </c>
      <c r="DB300">
        <f ca="1"/>
      </c>
      <c r="DC300">
        <f ca="1"/>
      </c>
      <c r="DD300">
        <f ca="1"/>
      </c>
      <c r="DE300">
        <f ca="1"/>
      </c>
      <c r="DG300">
        <f ca="1"/>
      </c>
      <c r="DH300">
        <f ca="1"/>
      </c>
      <c r="DI300">
        <f ca="1"/>
      </c>
      <c r="DJ300">
        <f ca="1"/>
      </c>
      <c r="DK300">
        <f ca="1"/>
      </c>
      <c r="DL300">
        <f ca="1"/>
      </c>
      <c r="DM300">
        <f ca="1"/>
      </c>
      <c r="DN300">
        <f ca="1"/>
      </c>
      <c r="DO300">
        <f ca="1"/>
      </c>
      <c r="DP300">
        <f ca="1"/>
      </c>
      <c r="DQ300">
        <f ca="1"/>
      </c>
      <c r="DR300">
        <f ca="1"/>
      </c>
      <c r="DS300">
        <f ca="1"/>
      </c>
      <c r="DT300">
        <f ca="1"/>
      </c>
      <c r="DU300">
        <f ca="1"/>
      </c>
      <c r="DV300">
        <f ca="1"/>
      </c>
      <c r="DW300">
        <f ca="1"/>
      </c>
      <c r="DX300">
        <f ca="1"/>
      </c>
      <c r="DY300">
        <f ca="1"/>
      </c>
      <c r="DZ300">
        <f ca="1"/>
      </c>
      <c r="EA300">
        <f ca="1"/>
      </c>
      <c r="EB300">
        <f ca="1"/>
      </c>
      <c r="EC300">
        <f ca="1"/>
      </c>
      <c r="ED300">
        <f ca="1"/>
      </c>
      <c r="EE300">
        <f ca="1"/>
      </c>
      <c r="EF300">
        <f ca="1"/>
      </c>
      <c r="EG300">
        <f ca="1"/>
      </c>
      <c r="EH300">
        <f ca="1"/>
      </c>
      <c r="EI300">
        <f ca="1"/>
      </c>
      <c r="EJ300">
        <f ca="1"/>
      </c>
      <c r="EK300">
        <f ca="1"/>
      </c>
      <c r="EL300">
        <f ca="1"/>
      </c>
      <c r="EM300">
        <f ca="1"/>
      </c>
      <c r="EN300">
        <f ca="1"/>
      </c>
      <c r="EO300">
        <f ca="1"/>
      </c>
      <c r="EP300">
        <f ca="1"/>
      </c>
      <c r="EQ300">
        <f ca="1"/>
      </c>
      <c r="ER300">
        <f ca="1"/>
      </c>
      <c r="ES300">
        <f ca="1"/>
      </c>
      <c r="ET300">
        <f ca="1"/>
      </c>
      <c r="EU300">
        <f ca="1"/>
      </c>
      <c r="EV300">
        <f ca="1"/>
      </c>
      <c r="EW300">
        <f ca="1"/>
      </c>
      <c r="EX300">
        <f ca="1"/>
      </c>
      <c r="EY300">
        <f ca="1"/>
      </c>
      <c r="EZ300">
        <f ca="1"/>
      </c>
      <c r="FA300">
        <f ca="1"/>
      </c>
      <c r="FC300">
        <f ca="1"/>
      </c>
      <c r="FD300">
        <f ca="1"/>
      </c>
      <c r="FE300">
        <f ca="1"/>
      </c>
      <c r="FF300">
        <f ca="1"/>
      </c>
      <c r="FG300">
        <f ca="1"/>
      </c>
      <c r="FH300">
        <f ca="1"/>
      </c>
      <c r="FI300">
        <f ca="1"/>
      </c>
      <c r="FJ300">
        <f ca="1"/>
      </c>
      <c r="FK300">
        <f ca="1"/>
      </c>
      <c r="FL300">
        <f ca="1"/>
      </c>
      <c r="FM300">
        <f ca="1"/>
      </c>
      <c r="FN300">
        <f ca="1"/>
      </c>
      <c r="FO300">
        <f ca="1"/>
      </c>
      <c r="FP300">
        <f ca="1"/>
      </c>
      <c r="FQ300">
        <f ca="1"/>
      </c>
      <c r="FR300">
        <f ca="1"/>
      </c>
      <c r="FS300">
        <f ca="1"/>
      </c>
      <c r="FT300">
        <f ca="1"/>
      </c>
      <c r="FU300">
        <f ca="1"/>
      </c>
      <c r="FV300">
        <f ca="1"/>
      </c>
      <c r="FW300">
        <f ca="1"/>
      </c>
      <c r="FX300">
        <f ca="1"/>
      </c>
      <c r="FY300">
        <f ca="1"/>
      </c>
      <c r="FZ300">
        <f ca="1"/>
      </c>
      <c r="GA300">
        <f ca="1"/>
      </c>
      <c r="GB300">
        <f ca="1"/>
      </c>
      <c r="GC300">
        <f ca="1"/>
      </c>
      <c r="GD300">
        <f ca="1"/>
      </c>
      <c r="GE300">
        <f ca="1"/>
      </c>
      <c r="GF300">
        <f ca="1"/>
      </c>
      <c r="GG300">
        <f ca="1"/>
      </c>
      <c r="GH300">
        <f ca="1"/>
      </c>
      <c r="GI300">
        <f ca="1"/>
      </c>
      <c r="GJ300">
        <f ca="1"/>
      </c>
      <c r="GK300">
        <f ca="1"/>
      </c>
      <c r="GL300">
        <f ca="1"/>
      </c>
      <c r="GM300">
        <f ca="1"/>
      </c>
      <c r="GN300">
        <f ca="1"/>
      </c>
      <c r="GO300">
        <f ca="1"/>
      </c>
      <c r="GP300">
        <f ca="1"/>
      </c>
      <c r="GQ300">
        <f ca="1"/>
      </c>
      <c r="GR300">
        <f ca="1"/>
      </c>
      <c r="GS300">
        <f ca="1"/>
      </c>
      <c r="GT300">
        <f ca="1"/>
      </c>
      <c r="GU300">
        <f ca="1"/>
      </c>
      <c r="GV300">
        <f ca="1"/>
      </c>
      <c r="GW300">
        <f ca="1"/>
      </c>
      <c r="HI300" s="7"/>
    </row>
    <row r="301" spans="63:217" x14ac:dyDescent="0.55000000000000004">
      <c r="BK301">
        <f ca="1"/>
      </c>
      <c r="BL301">
        <f ca="1"/>
      </c>
      <c r="BM301">
        <f ca="1"/>
      </c>
      <c r="BN301">
        <f ca="1"/>
      </c>
      <c r="BO301">
        <f ca="1"/>
      </c>
      <c r="BP301">
        <f ca="1"/>
      </c>
      <c r="BQ301">
        <f ca="1"/>
      </c>
      <c r="BR301">
        <f ca="1"/>
      </c>
      <c r="BS301">
        <f ca="1"/>
      </c>
      <c r="BT301">
        <f ca="1"/>
      </c>
      <c r="BU301">
        <f ca="1"/>
      </c>
      <c r="BV301">
        <f ca="1"/>
      </c>
      <c r="BW301">
        <f ca="1"/>
      </c>
      <c r="BX301">
        <f ca="1"/>
      </c>
      <c r="BY301">
        <f ca="1"/>
      </c>
      <c r="BZ301">
        <f ca="1"/>
      </c>
      <c r="CA301">
        <f ca="1"/>
      </c>
      <c r="CB301">
        <f ca="1"/>
      </c>
      <c r="CC301">
        <f ca="1"/>
      </c>
      <c r="CD301">
        <f ca="1"/>
      </c>
      <c r="CE301">
        <f ca="1"/>
      </c>
      <c r="CF301">
        <f ca="1"/>
      </c>
      <c r="CG301">
        <f ca="1"/>
      </c>
      <c r="CH301">
        <f ca="1"/>
      </c>
      <c r="CI301">
        <f ca="1"/>
      </c>
      <c r="CJ301">
        <f ca="1"/>
      </c>
      <c r="CK301">
        <f ca="1"/>
      </c>
      <c r="CL301">
        <f ca="1"/>
      </c>
      <c r="CM301">
        <f ca="1"/>
      </c>
      <c r="CN301">
        <f ca="1"/>
      </c>
      <c r="CO301">
        <f ca="1"/>
      </c>
      <c r="CP301">
        <f ca="1"/>
      </c>
      <c r="CQ301">
        <f ca="1"/>
      </c>
      <c r="CR301">
        <f ca="1"/>
      </c>
      <c r="CS301">
        <f ca="1"/>
      </c>
      <c r="CT301">
        <f ca="1"/>
      </c>
      <c r="CU301">
        <f ca="1"/>
      </c>
      <c r="CV301">
        <f ca="1"/>
      </c>
      <c r="CW301">
        <f ca="1"/>
      </c>
      <c r="CX301">
        <f ca="1"/>
      </c>
      <c r="CY301">
        <f ca="1"/>
      </c>
      <c r="CZ301">
        <f ca="1"/>
      </c>
      <c r="DA301">
        <f ca="1"/>
      </c>
      <c r="DB301">
        <f ca="1"/>
      </c>
      <c r="DC301">
        <f ca="1"/>
      </c>
      <c r="DD301">
        <f ca="1"/>
      </c>
      <c r="DE301">
        <f ca="1"/>
      </c>
      <c r="DG301">
        <f ca="1"/>
      </c>
      <c r="DH301">
        <f ca="1"/>
      </c>
      <c r="DI301">
        <f ca="1"/>
      </c>
      <c r="DJ301">
        <f ca="1"/>
      </c>
      <c r="DK301">
        <f ca="1"/>
      </c>
      <c r="DL301">
        <f ca="1"/>
      </c>
      <c r="DM301">
        <f ca="1"/>
      </c>
      <c r="DN301">
        <f ca="1"/>
      </c>
      <c r="DO301">
        <f ca="1"/>
      </c>
      <c r="DP301">
        <f ca="1"/>
      </c>
      <c r="DQ301">
        <f ca="1"/>
      </c>
      <c r="DR301">
        <f ca="1"/>
      </c>
      <c r="DS301">
        <f ca="1"/>
      </c>
      <c r="DT301">
        <f ca="1"/>
      </c>
      <c r="DU301">
        <f ca="1"/>
      </c>
      <c r="DV301">
        <f ca="1"/>
      </c>
      <c r="DW301">
        <f ca="1"/>
      </c>
      <c r="DX301">
        <f ca="1"/>
      </c>
      <c r="DY301">
        <f ca="1"/>
      </c>
      <c r="DZ301">
        <f ca="1"/>
      </c>
      <c r="EA301">
        <f ca="1"/>
      </c>
      <c r="EB301">
        <f ca="1"/>
      </c>
      <c r="EC301">
        <f ca="1"/>
      </c>
      <c r="ED301">
        <f ca="1"/>
      </c>
      <c r="EE301">
        <f ca="1"/>
      </c>
      <c r="EF301">
        <f ca="1"/>
      </c>
      <c r="EG301">
        <f ca="1"/>
      </c>
      <c r="EH301">
        <f ca="1"/>
      </c>
      <c r="EI301">
        <f ca="1"/>
      </c>
      <c r="EJ301">
        <f ca="1"/>
      </c>
      <c r="EK301">
        <f ca="1"/>
      </c>
      <c r="EL301">
        <f ca="1"/>
      </c>
      <c r="EM301">
        <f ca="1"/>
      </c>
      <c r="EN301">
        <f ca="1"/>
      </c>
      <c r="EO301">
        <f ca="1"/>
      </c>
      <c r="EP301">
        <f ca="1"/>
      </c>
      <c r="EQ301">
        <f ca="1"/>
      </c>
      <c r="ER301">
        <f ca="1"/>
      </c>
      <c r="ES301">
        <f ca="1"/>
      </c>
      <c r="ET301">
        <f ca="1"/>
      </c>
      <c r="EU301">
        <f ca="1"/>
      </c>
      <c r="EV301">
        <f ca="1"/>
      </c>
      <c r="EW301">
        <f ca="1"/>
      </c>
      <c r="EX301">
        <f ca="1"/>
      </c>
      <c r="EY301">
        <f ca="1"/>
      </c>
      <c r="EZ301">
        <f ca="1"/>
      </c>
      <c r="FA301">
        <f ca="1"/>
      </c>
      <c r="FC301">
        <f ca="1"/>
      </c>
      <c r="FD301">
        <f ca="1"/>
      </c>
      <c r="FE301">
        <f ca="1"/>
      </c>
      <c r="FF301">
        <f ca="1"/>
      </c>
      <c r="FG301">
        <f ca="1"/>
      </c>
      <c r="FH301">
        <f ca="1"/>
      </c>
      <c r="FI301">
        <f ca="1"/>
      </c>
      <c r="FJ301">
        <f ca="1"/>
      </c>
      <c r="FK301">
        <f ca="1"/>
      </c>
      <c r="FL301">
        <f ca="1"/>
      </c>
      <c r="FM301">
        <f ca="1"/>
      </c>
      <c r="FN301">
        <f ca="1"/>
      </c>
      <c r="FO301">
        <f ca="1"/>
      </c>
      <c r="FP301">
        <f ca="1"/>
      </c>
      <c r="FQ301">
        <f ca="1"/>
      </c>
      <c r="FR301">
        <f ca="1"/>
      </c>
      <c r="FS301">
        <f ca="1"/>
      </c>
      <c r="FT301">
        <f ca="1"/>
      </c>
      <c r="FU301">
        <f ca="1"/>
      </c>
      <c r="FV301">
        <f ca="1"/>
      </c>
      <c r="FW301">
        <f ca="1"/>
      </c>
      <c r="FX301">
        <f ca="1"/>
      </c>
      <c r="FY301">
        <f ca="1"/>
      </c>
      <c r="FZ301">
        <f ca="1"/>
      </c>
      <c r="GA301">
        <f ca="1"/>
      </c>
      <c r="GB301">
        <f ca="1"/>
      </c>
      <c r="GC301">
        <f ca="1"/>
      </c>
      <c r="GD301">
        <f ca="1"/>
      </c>
      <c r="GE301">
        <f ca="1"/>
      </c>
      <c r="GF301">
        <f ca="1"/>
      </c>
      <c r="GG301">
        <f ca="1"/>
      </c>
      <c r="GH301">
        <f ca="1"/>
      </c>
      <c r="GI301">
        <f ca="1"/>
      </c>
      <c r="GJ301">
        <f ca="1"/>
      </c>
      <c r="GK301">
        <f ca="1"/>
      </c>
      <c r="GL301">
        <f ca="1"/>
      </c>
      <c r="GM301">
        <f ca="1"/>
      </c>
      <c r="GN301">
        <f ca="1"/>
      </c>
      <c r="GO301">
        <f ca="1"/>
      </c>
      <c r="GP301">
        <f ca="1"/>
      </c>
      <c r="GQ301">
        <f ca="1"/>
      </c>
      <c r="GR301">
        <f ca="1"/>
      </c>
      <c r="GS301">
        <f ca="1"/>
      </c>
      <c r="GT301">
        <f ca="1"/>
      </c>
      <c r="GU301">
        <f ca="1"/>
      </c>
      <c r="GV301">
        <f ca="1"/>
      </c>
      <c r="GW301">
        <f ca="1"/>
      </c>
      <c r="HI301" s="7"/>
    </row>
    <row r="302" spans="63:217" x14ac:dyDescent="0.55000000000000004">
      <c r="BK302">
        <f ca="1"/>
      </c>
      <c r="BL302">
        <f ca="1"/>
      </c>
      <c r="BM302">
        <f ca="1"/>
      </c>
      <c r="BN302">
        <f ca="1"/>
      </c>
      <c r="BO302">
        <f ca="1"/>
      </c>
      <c r="BP302">
        <f ca="1"/>
      </c>
      <c r="BQ302">
        <f ca="1"/>
      </c>
      <c r="BR302">
        <f ca="1"/>
      </c>
      <c r="BS302">
        <f ca="1"/>
      </c>
      <c r="BT302">
        <f ca="1"/>
      </c>
      <c r="BU302">
        <f ca="1"/>
      </c>
      <c r="BV302">
        <f ca="1"/>
      </c>
      <c r="BW302">
        <f ca="1"/>
      </c>
      <c r="BX302">
        <f ca="1"/>
      </c>
      <c r="BY302">
        <f ca="1"/>
      </c>
      <c r="BZ302">
        <f ca="1"/>
      </c>
      <c r="CA302">
        <f ca="1"/>
      </c>
      <c r="CB302">
        <f ca="1"/>
      </c>
      <c r="CC302">
        <f ca="1"/>
      </c>
      <c r="CD302">
        <f ca="1"/>
      </c>
      <c r="CE302">
        <f ca="1"/>
      </c>
      <c r="CF302">
        <f ca="1"/>
      </c>
      <c r="CG302">
        <f ca="1"/>
      </c>
      <c r="CH302">
        <f ca="1"/>
      </c>
      <c r="CI302">
        <f ca="1"/>
      </c>
      <c r="CJ302">
        <f ca="1"/>
      </c>
      <c r="CK302">
        <f ca="1"/>
      </c>
      <c r="CL302">
        <f ca="1"/>
      </c>
      <c r="CM302">
        <f ca="1"/>
      </c>
      <c r="CN302">
        <f ca="1"/>
      </c>
      <c r="CO302">
        <f ca="1"/>
      </c>
      <c r="CP302">
        <f ca="1"/>
      </c>
      <c r="CQ302">
        <f ca="1"/>
      </c>
      <c r="CR302">
        <f ca="1"/>
      </c>
      <c r="CS302">
        <f ca="1"/>
      </c>
      <c r="CT302">
        <f ca="1"/>
      </c>
      <c r="CU302">
        <f ca="1"/>
      </c>
      <c r="CV302">
        <f ca="1"/>
      </c>
      <c r="CW302">
        <f ca="1"/>
      </c>
      <c r="CX302">
        <f ca="1"/>
      </c>
      <c r="CY302">
        <f ca="1"/>
      </c>
      <c r="CZ302">
        <f ca="1"/>
      </c>
      <c r="DA302">
        <f ca="1"/>
      </c>
      <c r="DB302">
        <f ca="1"/>
      </c>
      <c r="DC302">
        <f ca="1"/>
      </c>
      <c r="DD302">
        <f ca="1"/>
      </c>
      <c r="DE302">
        <f ca="1"/>
      </c>
      <c r="DG302">
        <f ca="1"/>
      </c>
      <c r="DH302">
        <f ca="1"/>
      </c>
      <c r="DI302">
        <f ca="1"/>
      </c>
      <c r="DJ302">
        <f ca="1"/>
      </c>
      <c r="DK302">
        <f ca="1"/>
      </c>
      <c r="DL302">
        <f ca="1"/>
      </c>
      <c r="DM302">
        <f ca="1"/>
      </c>
      <c r="DN302">
        <f ca="1"/>
      </c>
      <c r="DO302">
        <f ca="1"/>
      </c>
      <c r="DP302">
        <f ca="1"/>
      </c>
      <c r="DQ302">
        <f ca="1"/>
      </c>
      <c r="DR302">
        <f ca="1"/>
      </c>
      <c r="DS302">
        <f ca="1"/>
      </c>
      <c r="DT302">
        <f ca="1"/>
      </c>
      <c r="DU302">
        <f ca="1"/>
      </c>
      <c r="DV302">
        <f ca="1"/>
      </c>
      <c r="DW302">
        <f ca="1"/>
      </c>
      <c r="DX302">
        <f ca="1"/>
      </c>
      <c r="DY302">
        <f ca="1"/>
      </c>
      <c r="DZ302">
        <f ca="1"/>
      </c>
      <c r="EA302">
        <f ca="1"/>
      </c>
      <c r="EB302">
        <f ca="1"/>
      </c>
      <c r="EC302">
        <f ca="1"/>
      </c>
      <c r="ED302">
        <f ca="1"/>
      </c>
      <c r="EE302">
        <f ca="1"/>
      </c>
      <c r="EF302">
        <f ca="1"/>
      </c>
      <c r="EG302">
        <f ca="1"/>
      </c>
      <c r="EH302">
        <f ca="1"/>
      </c>
      <c r="EI302">
        <f ca="1"/>
      </c>
      <c r="EJ302">
        <f ca="1"/>
      </c>
      <c r="EK302">
        <f ca="1"/>
      </c>
      <c r="EL302">
        <f ca="1"/>
      </c>
      <c r="EM302">
        <f ca="1"/>
      </c>
      <c r="EN302">
        <f ca="1"/>
      </c>
      <c r="EO302">
        <f ca="1"/>
      </c>
      <c r="EP302">
        <f ca="1"/>
      </c>
      <c r="EQ302">
        <f ca="1"/>
      </c>
      <c r="ER302">
        <f ca="1"/>
      </c>
      <c r="ES302">
        <f ca="1"/>
      </c>
      <c r="ET302">
        <f ca="1"/>
      </c>
      <c r="EU302">
        <f ca="1"/>
      </c>
      <c r="EV302">
        <f ca="1"/>
      </c>
      <c r="EW302">
        <f ca="1"/>
      </c>
      <c r="EX302">
        <f ca="1"/>
      </c>
      <c r="EY302">
        <f ca="1"/>
      </c>
      <c r="EZ302">
        <f ca="1"/>
      </c>
      <c r="FA302">
        <f ca="1"/>
      </c>
      <c r="FC302">
        <f ca="1"/>
      </c>
      <c r="FD302">
        <f ca="1"/>
      </c>
      <c r="FE302">
        <f ca="1"/>
      </c>
      <c r="FF302">
        <f ca="1"/>
      </c>
      <c r="FG302">
        <f ca="1"/>
      </c>
      <c r="FH302">
        <f ca="1"/>
      </c>
      <c r="FI302">
        <f ca="1"/>
      </c>
      <c r="FJ302">
        <f ca="1"/>
      </c>
      <c r="FK302">
        <f ca="1"/>
      </c>
      <c r="FL302">
        <f ca="1"/>
      </c>
      <c r="FM302">
        <f ca="1"/>
      </c>
      <c r="FN302">
        <f ca="1"/>
      </c>
      <c r="FO302">
        <f ca="1"/>
      </c>
      <c r="FP302">
        <f ca="1"/>
      </c>
      <c r="FQ302">
        <f ca="1"/>
      </c>
      <c r="FR302">
        <f ca="1"/>
      </c>
      <c r="FS302">
        <f ca="1"/>
      </c>
      <c r="FT302">
        <f ca="1"/>
      </c>
      <c r="FU302">
        <f ca="1"/>
      </c>
      <c r="FV302">
        <f ca="1"/>
      </c>
      <c r="FW302">
        <f ca="1"/>
      </c>
      <c r="FX302">
        <f ca="1"/>
      </c>
      <c r="FY302">
        <f ca="1"/>
      </c>
      <c r="FZ302">
        <f ca="1"/>
      </c>
      <c r="GA302">
        <f ca="1"/>
      </c>
      <c r="GB302">
        <f ca="1"/>
      </c>
      <c r="GC302">
        <f ca="1"/>
      </c>
      <c r="GD302">
        <f ca="1"/>
      </c>
      <c r="GE302">
        <f ca="1"/>
      </c>
      <c r="GF302">
        <f ca="1"/>
      </c>
      <c r="GG302">
        <f ca="1"/>
      </c>
      <c r="GH302">
        <f ca="1"/>
      </c>
      <c r="GI302">
        <f ca="1"/>
      </c>
      <c r="GJ302">
        <f ca="1"/>
      </c>
      <c r="GK302">
        <f ca="1"/>
      </c>
      <c r="GL302">
        <f ca="1"/>
      </c>
      <c r="GM302">
        <f ca="1"/>
      </c>
      <c r="GN302">
        <f ca="1"/>
      </c>
      <c r="GO302">
        <f ca="1"/>
      </c>
      <c r="GP302">
        <f ca="1"/>
      </c>
      <c r="GQ302">
        <f ca="1"/>
      </c>
      <c r="GR302">
        <f ca="1"/>
      </c>
      <c r="GS302">
        <f ca="1"/>
      </c>
      <c r="GT302">
        <f ca="1"/>
      </c>
      <c r="GU302">
        <f ca="1"/>
      </c>
      <c r="GV302">
        <f ca="1"/>
      </c>
      <c r="GW302">
        <f ca="1"/>
      </c>
      <c r="HI302" s="7"/>
    </row>
    <row r="303" spans="63:217" x14ac:dyDescent="0.55000000000000004">
      <c r="BK303">
        <f ca="1"/>
      </c>
      <c r="BL303">
        <f ca="1"/>
      </c>
      <c r="BM303">
        <f ca="1"/>
      </c>
      <c r="BN303">
        <f ca="1"/>
      </c>
      <c r="BO303">
        <f ca="1"/>
      </c>
      <c r="BP303">
        <f ca="1"/>
      </c>
      <c r="BQ303">
        <f ca="1"/>
      </c>
      <c r="BR303">
        <f ca="1"/>
      </c>
      <c r="BS303">
        <f ca="1"/>
      </c>
      <c r="BT303">
        <f ca="1"/>
      </c>
      <c r="BU303">
        <f ca="1"/>
      </c>
      <c r="BV303">
        <f ca="1"/>
      </c>
      <c r="BW303">
        <f ca="1"/>
      </c>
      <c r="BX303">
        <f ca="1"/>
      </c>
      <c r="BY303">
        <f ca="1"/>
      </c>
      <c r="BZ303">
        <f ca="1"/>
      </c>
      <c r="CA303">
        <f ca="1"/>
      </c>
      <c r="CB303">
        <f ca="1"/>
      </c>
      <c r="CC303">
        <f ca="1"/>
      </c>
      <c r="CD303">
        <f ca="1"/>
      </c>
      <c r="CE303">
        <f ca="1"/>
      </c>
      <c r="CF303">
        <f ca="1"/>
      </c>
      <c r="CG303">
        <f ca="1"/>
      </c>
      <c r="CH303">
        <f ca="1"/>
      </c>
      <c r="CI303">
        <f ca="1"/>
      </c>
      <c r="CJ303">
        <f ca="1"/>
      </c>
      <c r="CK303">
        <f ca="1"/>
      </c>
      <c r="CL303">
        <f ca="1"/>
      </c>
      <c r="CM303">
        <f ca="1"/>
      </c>
      <c r="CN303">
        <f ca="1"/>
      </c>
      <c r="CO303">
        <f ca="1"/>
      </c>
      <c r="CP303">
        <f ca="1"/>
      </c>
      <c r="CQ303">
        <f ca="1"/>
      </c>
      <c r="CR303">
        <f ca="1"/>
      </c>
      <c r="CS303">
        <f ca="1"/>
      </c>
      <c r="CT303">
        <f ca="1"/>
      </c>
      <c r="CU303">
        <f ca="1"/>
      </c>
      <c r="CV303">
        <f ca="1"/>
      </c>
      <c r="CW303">
        <f ca="1"/>
      </c>
      <c r="CX303">
        <f ca="1"/>
      </c>
      <c r="CY303">
        <f ca="1"/>
      </c>
      <c r="CZ303">
        <f ca="1"/>
      </c>
      <c r="DA303">
        <f ca="1"/>
      </c>
      <c r="DB303">
        <f ca="1"/>
      </c>
      <c r="DC303">
        <f ca="1"/>
      </c>
      <c r="DD303">
        <f ca="1"/>
      </c>
      <c r="DE303">
        <f ca="1"/>
      </c>
      <c r="DG303">
        <f ca="1"/>
      </c>
      <c r="DH303">
        <f ca="1"/>
      </c>
      <c r="DI303">
        <f ca="1"/>
      </c>
      <c r="DJ303">
        <f ca="1"/>
      </c>
      <c r="DK303">
        <f ca="1"/>
      </c>
      <c r="DL303">
        <f ca="1"/>
      </c>
      <c r="DM303">
        <f ca="1"/>
      </c>
      <c r="DN303">
        <f ca="1"/>
      </c>
      <c r="DO303">
        <f ca="1"/>
      </c>
      <c r="DP303">
        <f ca="1"/>
      </c>
      <c r="DQ303">
        <f ca="1"/>
      </c>
      <c r="DR303">
        <f ca="1"/>
      </c>
      <c r="DS303">
        <f ca="1"/>
      </c>
      <c r="DT303">
        <f ca="1"/>
      </c>
      <c r="DU303">
        <f ca="1"/>
      </c>
      <c r="DV303">
        <f ca="1"/>
      </c>
      <c r="DW303">
        <f ca="1"/>
      </c>
      <c r="DX303">
        <f ca="1"/>
      </c>
      <c r="DY303">
        <f ca="1"/>
      </c>
      <c r="DZ303">
        <f ca="1"/>
      </c>
      <c r="EA303">
        <f ca="1"/>
      </c>
      <c r="EB303">
        <f ca="1"/>
      </c>
      <c r="EC303">
        <f ca="1"/>
      </c>
      <c r="ED303">
        <f ca="1"/>
      </c>
      <c r="EE303">
        <f ca="1"/>
      </c>
      <c r="EF303">
        <f ca="1"/>
      </c>
      <c r="EG303">
        <f ca="1"/>
      </c>
      <c r="EH303">
        <f ca="1"/>
      </c>
      <c r="EI303">
        <f ca="1"/>
      </c>
      <c r="EJ303">
        <f ca="1"/>
      </c>
      <c r="EK303">
        <f ca="1"/>
      </c>
      <c r="EL303">
        <f ca="1"/>
      </c>
      <c r="EM303">
        <f ca="1"/>
      </c>
      <c r="EN303">
        <f ca="1"/>
      </c>
      <c r="EO303">
        <f ca="1"/>
      </c>
      <c r="EP303">
        <f ca="1"/>
      </c>
      <c r="EQ303">
        <f ca="1"/>
      </c>
      <c r="ER303">
        <f ca="1"/>
      </c>
      <c r="ES303">
        <f ca="1"/>
      </c>
      <c r="ET303">
        <f ca="1"/>
      </c>
      <c r="EU303">
        <f ca="1"/>
      </c>
      <c r="EV303">
        <f ca="1"/>
      </c>
      <c r="EW303">
        <f ca="1"/>
      </c>
      <c r="EX303">
        <f ca="1"/>
      </c>
      <c r="EY303">
        <f ca="1"/>
      </c>
      <c r="EZ303">
        <f ca="1"/>
      </c>
      <c r="FA303">
        <f ca="1"/>
      </c>
      <c r="FC303">
        <f ca="1"/>
      </c>
      <c r="FD303">
        <f ca="1"/>
      </c>
      <c r="FE303">
        <f ca="1"/>
      </c>
      <c r="FF303">
        <f ca="1"/>
      </c>
      <c r="FG303">
        <f ca="1"/>
      </c>
      <c r="FH303">
        <f ca="1"/>
      </c>
      <c r="FI303">
        <f ca="1"/>
      </c>
      <c r="FJ303">
        <f ca="1"/>
      </c>
      <c r="FK303">
        <f ca="1"/>
      </c>
      <c r="FL303">
        <f ca="1"/>
      </c>
      <c r="FM303">
        <f ca="1"/>
      </c>
      <c r="FN303">
        <f ca="1"/>
      </c>
      <c r="FO303">
        <f ca="1"/>
      </c>
      <c r="FP303">
        <f ca="1"/>
      </c>
      <c r="FQ303">
        <f ca="1"/>
      </c>
      <c r="FR303">
        <f ca="1"/>
      </c>
      <c r="FS303">
        <f ca="1"/>
      </c>
      <c r="FT303">
        <f ca="1"/>
      </c>
      <c r="FU303">
        <f ca="1"/>
      </c>
      <c r="FV303">
        <f ca="1"/>
      </c>
      <c r="FW303">
        <f ca="1"/>
      </c>
      <c r="FX303">
        <f ca="1"/>
      </c>
      <c r="FY303">
        <f ca="1"/>
      </c>
      <c r="FZ303">
        <f ca="1"/>
      </c>
      <c r="GA303">
        <f ca="1"/>
      </c>
      <c r="GB303">
        <f ca="1"/>
      </c>
      <c r="GC303">
        <f ca="1"/>
      </c>
      <c r="GD303">
        <f ca="1"/>
      </c>
      <c r="GE303">
        <f ca="1"/>
      </c>
      <c r="GF303">
        <f ca="1"/>
      </c>
      <c r="GG303">
        <f ca="1"/>
      </c>
      <c r="GH303">
        <f ca="1"/>
      </c>
      <c r="GI303">
        <f ca="1"/>
      </c>
      <c r="GJ303">
        <f ca="1"/>
      </c>
      <c r="GK303">
        <f ca="1"/>
      </c>
      <c r="GL303">
        <f ca="1"/>
      </c>
      <c r="GM303">
        <f ca="1"/>
      </c>
      <c r="GN303">
        <f ca="1"/>
      </c>
      <c r="GO303">
        <f ca="1"/>
      </c>
      <c r="GP303">
        <f ca="1"/>
      </c>
      <c r="GQ303">
        <f ca="1"/>
      </c>
      <c r="GR303">
        <f ca="1"/>
      </c>
      <c r="GS303">
        <f ca="1"/>
      </c>
      <c r="GT303">
        <f ca="1"/>
      </c>
      <c r="GU303">
        <f ca="1"/>
      </c>
      <c r="GV303">
        <f ca="1"/>
      </c>
      <c r="GW303">
        <f ca="1"/>
      </c>
      <c r="HI303" s="7"/>
    </row>
    <row r="304" spans="63:217" x14ac:dyDescent="0.55000000000000004">
      <c r="BK304">
        <f ca="1"/>
      </c>
      <c r="BL304">
        <f ca="1"/>
      </c>
      <c r="BM304">
        <f ca="1"/>
      </c>
      <c r="BN304">
        <f ca="1"/>
      </c>
      <c r="BO304">
        <f ca="1"/>
      </c>
      <c r="BP304">
        <f ca="1"/>
      </c>
      <c r="BQ304">
        <f ca="1"/>
      </c>
      <c r="BR304">
        <f ca="1"/>
      </c>
      <c r="BS304">
        <f ca="1"/>
      </c>
      <c r="BT304">
        <f ca="1"/>
      </c>
      <c r="BU304">
        <f ca="1"/>
      </c>
      <c r="BV304">
        <f ca="1"/>
      </c>
      <c r="BW304">
        <f ca="1"/>
      </c>
      <c r="BX304">
        <f ca="1"/>
      </c>
      <c r="BY304">
        <f ca="1"/>
      </c>
      <c r="BZ304">
        <f ca="1"/>
      </c>
      <c r="CA304">
        <f ca="1"/>
      </c>
      <c r="CB304">
        <f ca="1"/>
      </c>
      <c r="CC304">
        <f ca="1"/>
      </c>
      <c r="CD304">
        <f ca="1"/>
      </c>
      <c r="CE304">
        <f ca="1"/>
      </c>
      <c r="CF304">
        <f ca="1"/>
      </c>
      <c r="CG304">
        <f ca="1"/>
      </c>
      <c r="CH304">
        <f ca="1"/>
      </c>
      <c r="CI304">
        <f ca="1"/>
      </c>
      <c r="CJ304">
        <f ca="1"/>
      </c>
      <c r="CK304">
        <f ca="1"/>
      </c>
      <c r="CL304">
        <f ca="1"/>
      </c>
      <c r="CM304">
        <f ca="1"/>
      </c>
      <c r="CN304">
        <f ca="1"/>
      </c>
      <c r="CO304">
        <f ca="1"/>
      </c>
      <c r="CP304">
        <f ca="1"/>
      </c>
      <c r="CQ304">
        <f ca="1"/>
      </c>
      <c r="CR304">
        <f ca="1"/>
      </c>
      <c r="CS304">
        <f ca="1"/>
      </c>
      <c r="CT304">
        <f ca="1"/>
      </c>
      <c r="CU304">
        <f ca="1"/>
      </c>
      <c r="CV304">
        <f ca="1"/>
      </c>
      <c r="CW304">
        <f ca="1"/>
      </c>
      <c r="CX304">
        <f ca="1"/>
      </c>
      <c r="CY304">
        <f ca="1"/>
      </c>
      <c r="CZ304">
        <f ca="1"/>
      </c>
      <c r="DA304">
        <f ca="1"/>
      </c>
      <c r="DB304">
        <f ca="1"/>
      </c>
      <c r="DC304">
        <f ca="1"/>
      </c>
      <c r="DD304">
        <f ca="1"/>
      </c>
      <c r="DE304">
        <f ca="1"/>
      </c>
      <c r="DG304">
        <f ca="1"/>
      </c>
      <c r="DH304">
        <f ca="1"/>
      </c>
      <c r="DI304">
        <f ca="1"/>
      </c>
      <c r="DJ304">
        <f ca="1"/>
      </c>
      <c r="DK304">
        <f ca="1"/>
      </c>
      <c r="DL304">
        <f ca="1"/>
      </c>
      <c r="DM304">
        <f ca="1"/>
      </c>
      <c r="DN304">
        <f ca="1"/>
      </c>
      <c r="DO304">
        <f ca="1"/>
      </c>
      <c r="DP304">
        <f ca="1"/>
      </c>
      <c r="DQ304">
        <f ca="1"/>
      </c>
      <c r="DR304">
        <f ca="1"/>
      </c>
      <c r="DS304">
        <f ca="1"/>
      </c>
      <c r="DT304">
        <f ca="1"/>
      </c>
      <c r="DU304">
        <f ca="1"/>
      </c>
      <c r="DV304">
        <f ca="1"/>
      </c>
      <c r="DW304">
        <f ca="1"/>
      </c>
      <c r="DX304">
        <f ca="1"/>
      </c>
      <c r="DY304">
        <f ca="1"/>
      </c>
      <c r="DZ304">
        <f ca="1"/>
      </c>
      <c r="EA304">
        <f ca="1"/>
      </c>
      <c r="EB304">
        <f ca="1"/>
      </c>
      <c r="EC304">
        <f ca="1"/>
      </c>
      <c r="ED304">
        <f ca="1"/>
      </c>
      <c r="EE304">
        <f ca="1"/>
      </c>
      <c r="EF304">
        <f ca="1"/>
      </c>
      <c r="EG304">
        <f ca="1"/>
      </c>
      <c r="EH304">
        <f ca="1"/>
      </c>
      <c r="EI304">
        <f ca="1"/>
      </c>
      <c r="EJ304">
        <f ca="1"/>
      </c>
      <c r="EK304">
        <f ca="1"/>
      </c>
      <c r="EL304">
        <f ca="1"/>
      </c>
      <c r="EM304">
        <f ca="1"/>
      </c>
      <c r="EN304">
        <f ca="1"/>
      </c>
      <c r="EO304">
        <f ca="1"/>
      </c>
      <c r="EP304">
        <f ca="1"/>
      </c>
      <c r="EQ304">
        <f ca="1"/>
      </c>
      <c r="ER304">
        <f ca="1"/>
      </c>
      <c r="ES304">
        <f ca="1"/>
      </c>
      <c r="ET304">
        <f ca="1"/>
      </c>
      <c r="EU304">
        <f ca="1"/>
      </c>
      <c r="EV304">
        <f ca="1"/>
      </c>
      <c r="EW304">
        <f ca="1"/>
      </c>
      <c r="EX304">
        <f ca="1"/>
      </c>
      <c r="EY304">
        <f ca="1"/>
      </c>
      <c r="EZ304">
        <f ca="1"/>
      </c>
      <c r="FA304">
        <f ca="1"/>
      </c>
      <c r="FC304">
        <f ca="1"/>
      </c>
      <c r="FD304">
        <f ca="1"/>
      </c>
      <c r="FE304">
        <f ca="1"/>
      </c>
      <c r="FF304">
        <f ca="1"/>
      </c>
      <c r="FG304">
        <f ca="1"/>
      </c>
      <c r="FH304">
        <f ca="1"/>
      </c>
      <c r="FI304">
        <f ca="1"/>
      </c>
      <c r="FJ304">
        <f ca="1"/>
      </c>
      <c r="FK304">
        <f ca="1"/>
      </c>
      <c r="FL304">
        <f ca="1"/>
      </c>
      <c r="FM304">
        <f ca="1"/>
      </c>
      <c r="FN304">
        <f ca="1"/>
      </c>
      <c r="FO304">
        <f ca="1"/>
      </c>
      <c r="FP304">
        <f ca="1"/>
      </c>
      <c r="FQ304">
        <f ca="1"/>
      </c>
      <c r="FR304">
        <f ca="1"/>
      </c>
      <c r="FS304">
        <f ca="1"/>
      </c>
      <c r="FT304">
        <f ca="1"/>
      </c>
      <c r="FU304">
        <f ca="1"/>
      </c>
      <c r="FV304">
        <f ca="1"/>
      </c>
      <c r="FW304">
        <f ca="1"/>
      </c>
      <c r="FX304">
        <f ca="1"/>
      </c>
      <c r="FY304">
        <f ca="1"/>
      </c>
      <c r="FZ304">
        <f ca="1"/>
      </c>
      <c r="GA304">
        <f ca="1"/>
      </c>
      <c r="GB304">
        <f ca="1"/>
      </c>
      <c r="GC304">
        <f ca="1"/>
      </c>
      <c r="GD304">
        <f ca="1"/>
      </c>
      <c r="GE304">
        <f ca="1"/>
      </c>
      <c r="GF304">
        <f ca="1"/>
      </c>
      <c r="GG304">
        <f ca="1"/>
      </c>
      <c r="GH304">
        <f ca="1"/>
      </c>
      <c r="GI304">
        <f ca="1"/>
      </c>
      <c r="GJ304">
        <f ca="1"/>
      </c>
      <c r="GK304">
        <f ca="1"/>
      </c>
      <c r="GL304">
        <f ca="1"/>
      </c>
      <c r="GM304">
        <f ca="1"/>
      </c>
      <c r="GN304">
        <f ca="1"/>
      </c>
      <c r="GO304">
        <f ca="1"/>
      </c>
      <c r="GP304">
        <f ca="1"/>
      </c>
      <c r="GQ304">
        <f ca="1"/>
      </c>
      <c r="GR304">
        <f ca="1"/>
      </c>
      <c r="GS304">
        <f ca="1"/>
      </c>
      <c r="GT304">
        <f ca="1"/>
      </c>
      <c r="GU304">
        <f ca="1"/>
      </c>
      <c r="GV304">
        <f ca="1"/>
      </c>
      <c r="GW304">
        <f ca="1"/>
      </c>
      <c r="HI304" s="7"/>
    </row>
    <row r="305" spans="63:217" x14ac:dyDescent="0.55000000000000004">
      <c r="BK305">
        <f ca="1"/>
      </c>
      <c r="BL305">
        <f ca="1"/>
      </c>
      <c r="BM305">
        <f ca="1"/>
      </c>
      <c r="BN305">
        <f ca="1"/>
      </c>
      <c r="BO305">
        <f ca="1"/>
      </c>
      <c r="BP305">
        <f ca="1"/>
      </c>
      <c r="BQ305">
        <f ca="1"/>
      </c>
      <c r="BR305">
        <f ca="1"/>
      </c>
      <c r="BS305">
        <f ca="1"/>
      </c>
      <c r="BT305">
        <f ca="1"/>
      </c>
      <c r="BU305">
        <f ca="1"/>
      </c>
      <c r="BV305">
        <f ca="1"/>
      </c>
      <c r="BW305">
        <f ca="1"/>
      </c>
      <c r="BX305">
        <f ca="1"/>
      </c>
      <c r="BY305">
        <f ca="1"/>
      </c>
      <c r="BZ305">
        <f ca="1"/>
      </c>
      <c r="CA305">
        <f ca="1"/>
      </c>
      <c r="CB305">
        <f ca="1"/>
      </c>
      <c r="CC305">
        <f ca="1"/>
      </c>
      <c r="CD305">
        <f ca="1"/>
      </c>
      <c r="CE305">
        <f ca="1"/>
      </c>
      <c r="CF305">
        <f ca="1"/>
      </c>
      <c r="CG305">
        <f ca="1"/>
      </c>
      <c r="CH305">
        <f ca="1"/>
      </c>
      <c r="CI305">
        <f ca="1"/>
      </c>
      <c r="CJ305">
        <f ca="1"/>
      </c>
      <c r="CK305">
        <f ca="1"/>
      </c>
      <c r="CL305">
        <f ca="1"/>
      </c>
      <c r="CM305">
        <f ca="1"/>
      </c>
      <c r="CN305">
        <f ca="1"/>
      </c>
      <c r="CO305">
        <f ca="1"/>
      </c>
      <c r="CP305">
        <f ca="1"/>
      </c>
      <c r="CQ305">
        <f ca="1"/>
      </c>
      <c r="CR305">
        <f ca="1"/>
      </c>
      <c r="CS305">
        <f ca="1"/>
      </c>
      <c r="CT305">
        <f ca="1"/>
      </c>
      <c r="CU305">
        <f ca="1"/>
      </c>
      <c r="CV305">
        <f ca="1"/>
      </c>
      <c r="CW305">
        <f ca="1"/>
      </c>
      <c r="CX305">
        <f ca="1"/>
      </c>
      <c r="CY305">
        <f ca="1"/>
      </c>
      <c r="CZ305">
        <f ca="1"/>
      </c>
      <c r="DA305">
        <f ca="1"/>
      </c>
      <c r="DB305">
        <f ca="1"/>
      </c>
      <c r="DC305">
        <f ca="1"/>
      </c>
      <c r="DD305">
        <f ca="1"/>
      </c>
      <c r="DE305">
        <f ca="1"/>
      </c>
      <c r="DG305">
        <f ca="1"/>
      </c>
      <c r="DH305">
        <f ca="1"/>
      </c>
      <c r="DI305">
        <f ca="1"/>
      </c>
      <c r="DJ305">
        <f ca="1"/>
      </c>
      <c r="DK305">
        <f ca="1"/>
      </c>
      <c r="DL305">
        <f ca="1"/>
      </c>
      <c r="DM305">
        <f ca="1"/>
      </c>
      <c r="DN305">
        <f ca="1"/>
      </c>
      <c r="DO305">
        <f ca="1"/>
      </c>
      <c r="DP305">
        <f ca="1"/>
      </c>
      <c r="DQ305">
        <f ca="1"/>
      </c>
      <c r="DR305">
        <f ca="1"/>
      </c>
      <c r="DS305">
        <f ca="1"/>
      </c>
      <c r="DT305">
        <f ca="1"/>
      </c>
      <c r="DU305">
        <f ca="1"/>
      </c>
      <c r="DV305">
        <f ca="1"/>
      </c>
      <c r="DW305">
        <f ca="1"/>
      </c>
      <c r="DX305">
        <f ca="1"/>
      </c>
      <c r="DY305">
        <f ca="1"/>
      </c>
      <c r="DZ305">
        <f ca="1"/>
      </c>
      <c r="EA305">
        <f ca="1"/>
      </c>
      <c r="EB305">
        <f ca="1"/>
      </c>
      <c r="EC305">
        <f ca="1"/>
      </c>
      <c r="ED305">
        <f ca="1"/>
      </c>
      <c r="EE305">
        <f ca="1"/>
      </c>
      <c r="EF305">
        <f ca="1"/>
      </c>
      <c r="EG305">
        <f ca="1"/>
      </c>
      <c r="EH305">
        <f ca="1"/>
      </c>
      <c r="EI305">
        <f ca="1"/>
      </c>
      <c r="EJ305">
        <f ca="1"/>
      </c>
      <c r="EK305">
        <f ca="1"/>
      </c>
      <c r="EL305">
        <f ca="1"/>
      </c>
      <c r="EM305">
        <f ca="1"/>
      </c>
      <c r="EN305">
        <f ca="1"/>
      </c>
      <c r="EO305">
        <f ca="1"/>
      </c>
      <c r="EP305">
        <f ca="1"/>
      </c>
      <c r="EQ305">
        <f ca="1"/>
      </c>
      <c r="ER305">
        <f ca="1"/>
      </c>
      <c r="ES305">
        <f ca="1"/>
      </c>
      <c r="ET305">
        <f ca="1"/>
      </c>
      <c r="EU305">
        <f ca="1"/>
      </c>
      <c r="EV305">
        <f ca="1"/>
      </c>
      <c r="EW305">
        <f ca="1"/>
      </c>
      <c r="EX305">
        <f ca="1"/>
      </c>
      <c r="EY305">
        <f ca="1"/>
      </c>
      <c r="EZ305">
        <f ca="1"/>
      </c>
      <c r="FA305">
        <f ca="1"/>
      </c>
      <c r="FC305">
        <f ca="1"/>
      </c>
      <c r="FD305">
        <f ca="1"/>
      </c>
      <c r="FE305">
        <f ca="1"/>
      </c>
      <c r="FF305">
        <f ca="1"/>
      </c>
      <c r="FG305">
        <f ca="1"/>
      </c>
      <c r="FH305">
        <f ca="1"/>
      </c>
      <c r="FI305">
        <f ca="1"/>
      </c>
      <c r="FJ305">
        <f ca="1"/>
      </c>
      <c r="FK305">
        <f ca="1"/>
      </c>
      <c r="FL305">
        <f ca="1"/>
      </c>
      <c r="FM305">
        <f ca="1"/>
      </c>
      <c r="FN305">
        <f ca="1"/>
      </c>
      <c r="FO305">
        <f ca="1"/>
      </c>
      <c r="FP305">
        <f ca="1"/>
      </c>
      <c r="FQ305">
        <f ca="1"/>
      </c>
      <c r="FR305">
        <f ca="1"/>
      </c>
      <c r="FS305">
        <f ca="1"/>
      </c>
      <c r="FT305">
        <f ca="1"/>
      </c>
      <c r="FU305">
        <f ca="1"/>
      </c>
      <c r="FV305">
        <f ca="1"/>
      </c>
      <c r="FW305">
        <f ca="1"/>
      </c>
      <c r="FX305">
        <f ca="1"/>
      </c>
      <c r="FY305">
        <f ca="1"/>
      </c>
      <c r="FZ305">
        <f ca="1"/>
      </c>
      <c r="GA305">
        <f ca="1"/>
      </c>
      <c r="GB305">
        <f ca="1"/>
      </c>
      <c r="GC305">
        <f ca="1"/>
      </c>
      <c r="GD305">
        <f ca="1"/>
      </c>
      <c r="GE305">
        <f ca="1"/>
      </c>
      <c r="GF305">
        <f ca="1"/>
      </c>
      <c r="GG305">
        <f ca="1"/>
      </c>
      <c r="GH305">
        <f ca="1"/>
      </c>
      <c r="GI305">
        <f ca="1"/>
      </c>
      <c r="GJ305">
        <f ca="1"/>
      </c>
      <c r="GK305">
        <f ca="1"/>
      </c>
      <c r="GL305">
        <f ca="1"/>
      </c>
      <c r="GM305">
        <f ca="1"/>
      </c>
      <c r="GN305">
        <f ca="1"/>
      </c>
      <c r="GO305">
        <f ca="1"/>
      </c>
      <c r="GP305">
        <f ca="1"/>
      </c>
      <c r="GQ305">
        <f ca="1"/>
      </c>
      <c r="GR305">
        <f ca="1"/>
      </c>
      <c r="GS305">
        <f ca="1"/>
      </c>
      <c r="GT305">
        <f ca="1"/>
      </c>
      <c r="GU305">
        <f ca="1"/>
      </c>
      <c r="GV305">
        <f ca="1"/>
      </c>
      <c r="GW305">
        <f ca="1"/>
      </c>
      <c r="HI305" s="7"/>
    </row>
    <row r="306" spans="63:217" x14ac:dyDescent="0.55000000000000004">
      <c r="BK306">
        <f ca="1"/>
      </c>
      <c r="BL306">
        <f ca="1"/>
      </c>
      <c r="BM306">
        <f ca="1"/>
      </c>
      <c r="BN306">
        <f ca="1"/>
      </c>
      <c r="BO306">
        <f ca="1"/>
      </c>
      <c r="BP306">
        <f ca="1"/>
      </c>
      <c r="BQ306">
        <f ca="1"/>
      </c>
      <c r="BR306">
        <f ca="1"/>
      </c>
      <c r="BS306">
        <f ca="1"/>
      </c>
      <c r="BT306">
        <f ca="1"/>
      </c>
      <c r="BU306">
        <f ca="1"/>
      </c>
      <c r="BV306">
        <f ca="1"/>
      </c>
      <c r="BW306">
        <f ca="1"/>
      </c>
      <c r="BX306">
        <f ca="1"/>
      </c>
      <c r="BY306">
        <f ca="1"/>
      </c>
      <c r="BZ306">
        <f ca="1"/>
      </c>
      <c r="CA306">
        <f ca="1"/>
      </c>
      <c r="CB306">
        <f ca="1"/>
      </c>
      <c r="CC306">
        <f ca="1"/>
      </c>
      <c r="CD306">
        <f ca="1"/>
      </c>
      <c r="CE306">
        <f ca="1"/>
      </c>
      <c r="CF306">
        <f ca="1"/>
      </c>
      <c r="CG306">
        <f ca="1"/>
      </c>
      <c r="CH306">
        <f ca="1"/>
      </c>
      <c r="CI306">
        <f ca="1"/>
      </c>
      <c r="CJ306">
        <f ca="1"/>
      </c>
      <c r="CK306">
        <f ca="1"/>
      </c>
      <c r="CL306">
        <f ca="1"/>
      </c>
      <c r="CM306">
        <f ca="1"/>
      </c>
      <c r="CN306">
        <f ca="1"/>
      </c>
      <c r="CO306">
        <f ca="1"/>
      </c>
      <c r="CP306">
        <f ca="1"/>
      </c>
      <c r="CQ306">
        <f ca="1"/>
      </c>
      <c r="CR306">
        <f ca="1"/>
      </c>
      <c r="CS306">
        <f ca="1"/>
      </c>
      <c r="CT306">
        <f ca="1"/>
      </c>
      <c r="CU306">
        <f ca="1"/>
      </c>
      <c r="CV306">
        <f ca="1"/>
      </c>
      <c r="CW306">
        <f ca="1"/>
      </c>
      <c r="CX306">
        <f ca="1"/>
      </c>
      <c r="CY306">
        <f ca="1"/>
      </c>
      <c r="CZ306">
        <f ca="1"/>
      </c>
      <c r="DA306">
        <f ca="1"/>
      </c>
      <c r="DB306">
        <f ca="1"/>
      </c>
      <c r="DC306">
        <f ca="1"/>
      </c>
      <c r="DD306">
        <f ca="1"/>
      </c>
      <c r="DE306">
        <f ca="1"/>
      </c>
      <c r="DG306">
        <f ca="1"/>
      </c>
      <c r="DH306">
        <f ca="1"/>
      </c>
      <c r="DI306">
        <f ca="1"/>
      </c>
      <c r="DJ306">
        <f ca="1"/>
      </c>
      <c r="DK306">
        <f ca="1"/>
      </c>
      <c r="DL306">
        <f ca="1"/>
      </c>
      <c r="DM306">
        <f ca="1"/>
      </c>
      <c r="DN306">
        <f ca="1"/>
      </c>
      <c r="DO306">
        <f ca="1"/>
      </c>
      <c r="DP306">
        <f ca="1"/>
      </c>
      <c r="DQ306">
        <f ca="1"/>
      </c>
      <c r="DR306">
        <f ca="1"/>
      </c>
      <c r="DS306">
        <f ca="1"/>
      </c>
      <c r="DT306">
        <f ca="1"/>
      </c>
      <c r="DU306">
        <f ca="1"/>
      </c>
      <c r="DV306">
        <f ca="1"/>
      </c>
      <c r="DW306">
        <f ca="1"/>
      </c>
      <c r="DX306">
        <f ca="1"/>
      </c>
      <c r="DY306">
        <f ca="1"/>
      </c>
      <c r="DZ306">
        <f ca="1"/>
      </c>
      <c r="EA306">
        <f ca="1"/>
      </c>
      <c r="EB306">
        <f ca="1"/>
      </c>
      <c r="EC306">
        <f ca="1"/>
      </c>
      <c r="ED306">
        <f ca="1"/>
      </c>
      <c r="EE306">
        <f ca="1"/>
      </c>
      <c r="EF306">
        <f ca="1"/>
      </c>
      <c r="EG306">
        <f ca="1"/>
      </c>
      <c r="EH306">
        <f ca="1"/>
      </c>
      <c r="EI306">
        <f ca="1"/>
      </c>
      <c r="EJ306">
        <f ca="1"/>
      </c>
      <c r="EK306">
        <f ca="1"/>
      </c>
      <c r="EL306">
        <f ca="1"/>
      </c>
      <c r="EM306">
        <f ca="1"/>
      </c>
      <c r="EN306">
        <f ca="1"/>
      </c>
      <c r="EO306">
        <f ca="1"/>
      </c>
      <c r="EP306">
        <f ca="1"/>
      </c>
      <c r="EQ306">
        <f ca="1"/>
      </c>
      <c r="ER306">
        <f ca="1"/>
      </c>
      <c r="ES306">
        <f ca="1"/>
      </c>
      <c r="ET306">
        <f ca="1"/>
      </c>
      <c r="EU306">
        <f ca="1"/>
      </c>
      <c r="EV306">
        <f ca="1"/>
      </c>
      <c r="EW306">
        <f ca="1"/>
      </c>
      <c r="EX306">
        <f ca="1"/>
      </c>
      <c r="EY306">
        <f ca="1"/>
      </c>
      <c r="EZ306">
        <f ca="1"/>
      </c>
      <c r="FA306">
        <f ca="1"/>
      </c>
      <c r="FC306">
        <f ca="1"/>
      </c>
      <c r="FD306">
        <f ca="1"/>
      </c>
      <c r="FE306">
        <f ca="1"/>
      </c>
      <c r="FF306">
        <f ca="1"/>
      </c>
      <c r="FG306">
        <f ca="1"/>
      </c>
      <c r="FH306">
        <f ca="1"/>
      </c>
      <c r="FI306">
        <f ca="1"/>
      </c>
      <c r="FJ306">
        <f ca="1"/>
      </c>
      <c r="FK306">
        <f ca="1"/>
      </c>
      <c r="FL306">
        <f ca="1"/>
      </c>
      <c r="FM306">
        <f ca="1"/>
      </c>
      <c r="FN306">
        <f ca="1"/>
      </c>
      <c r="FO306">
        <f ca="1"/>
      </c>
      <c r="FP306">
        <f ca="1"/>
      </c>
      <c r="FQ306">
        <f ca="1"/>
      </c>
      <c r="FR306">
        <f ca="1"/>
      </c>
      <c r="FS306">
        <f ca="1"/>
      </c>
      <c r="FT306">
        <f ca="1"/>
      </c>
      <c r="FU306">
        <f ca="1"/>
      </c>
      <c r="FV306">
        <f ca="1"/>
      </c>
      <c r="FW306">
        <f ca="1"/>
      </c>
      <c r="FX306">
        <f ca="1"/>
      </c>
      <c r="FY306">
        <f ca="1"/>
      </c>
      <c r="FZ306">
        <f ca="1"/>
      </c>
      <c r="GA306">
        <f ca="1"/>
      </c>
      <c r="GB306">
        <f ca="1"/>
      </c>
      <c r="GC306">
        <f ca="1"/>
      </c>
      <c r="GD306">
        <f ca="1"/>
      </c>
      <c r="GE306">
        <f ca="1"/>
      </c>
      <c r="GF306">
        <f ca="1"/>
      </c>
      <c r="GG306">
        <f ca="1"/>
      </c>
      <c r="GH306">
        <f ca="1"/>
      </c>
      <c r="GI306">
        <f ca="1"/>
      </c>
      <c r="GJ306">
        <f ca="1"/>
      </c>
      <c r="GK306">
        <f ca="1"/>
      </c>
      <c r="GL306">
        <f ca="1"/>
      </c>
      <c r="GM306">
        <f ca="1"/>
      </c>
      <c r="GN306">
        <f ca="1"/>
      </c>
      <c r="GO306">
        <f ca="1"/>
      </c>
      <c r="GP306">
        <f ca="1"/>
      </c>
      <c r="GQ306">
        <f ca="1"/>
      </c>
      <c r="GR306">
        <f ca="1"/>
      </c>
      <c r="GS306">
        <f ca="1"/>
      </c>
      <c r="GT306">
        <f ca="1"/>
      </c>
      <c r="GU306">
        <f ca="1"/>
      </c>
      <c r="GV306">
        <f ca="1"/>
      </c>
      <c r="GW306">
        <f ca="1"/>
      </c>
      <c r="HI306" s="7"/>
    </row>
    <row r="307" spans="63:217" x14ac:dyDescent="0.55000000000000004">
      <c r="BK307">
        <f ca="1"/>
      </c>
      <c r="BL307">
        <f ca="1"/>
      </c>
      <c r="BM307">
        <f ca="1"/>
      </c>
      <c r="BN307">
        <f ca="1"/>
      </c>
      <c r="BO307">
        <f ca="1"/>
      </c>
      <c r="BP307">
        <f ca="1"/>
      </c>
      <c r="BQ307">
        <f ca="1"/>
      </c>
      <c r="BR307">
        <f ca="1"/>
      </c>
      <c r="BS307">
        <f ca="1"/>
      </c>
      <c r="BT307">
        <f ca="1"/>
      </c>
      <c r="BU307">
        <f ca="1"/>
      </c>
      <c r="BV307">
        <f ca="1"/>
      </c>
      <c r="BW307">
        <f ca="1"/>
      </c>
      <c r="BX307">
        <f ca="1"/>
      </c>
      <c r="BY307">
        <f ca="1"/>
      </c>
      <c r="BZ307">
        <f ca="1"/>
      </c>
      <c r="CA307">
        <f ca="1"/>
      </c>
      <c r="CB307">
        <f ca="1"/>
      </c>
      <c r="CC307">
        <f ca="1"/>
      </c>
      <c r="CD307">
        <f ca="1"/>
      </c>
      <c r="CE307">
        <f ca="1"/>
      </c>
      <c r="CF307">
        <f ca="1"/>
      </c>
      <c r="CG307">
        <f ca="1"/>
      </c>
      <c r="CH307">
        <f ca="1"/>
      </c>
      <c r="CI307">
        <f ca="1"/>
      </c>
      <c r="CJ307">
        <f ca="1"/>
      </c>
      <c r="CK307">
        <f ca="1"/>
      </c>
      <c r="CL307">
        <f ca="1"/>
      </c>
      <c r="CM307">
        <f ca="1"/>
      </c>
      <c r="CN307">
        <f ca="1"/>
      </c>
      <c r="CO307">
        <f ca="1"/>
      </c>
      <c r="CP307">
        <f ca="1"/>
      </c>
      <c r="CQ307">
        <f ca="1"/>
      </c>
      <c r="CR307">
        <f ca="1"/>
      </c>
      <c r="CS307">
        <f ca="1"/>
      </c>
      <c r="CT307">
        <f ca="1"/>
      </c>
      <c r="CU307">
        <f ca="1"/>
      </c>
      <c r="CV307">
        <f ca="1"/>
      </c>
      <c r="CW307">
        <f ca="1"/>
      </c>
      <c r="CX307">
        <f ca="1"/>
      </c>
      <c r="CY307">
        <f ca="1"/>
      </c>
      <c r="CZ307">
        <f ca="1"/>
      </c>
      <c r="DA307">
        <f ca="1"/>
      </c>
      <c r="DB307">
        <f ca="1"/>
      </c>
      <c r="DC307">
        <f ca="1"/>
      </c>
      <c r="DD307">
        <f ca="1"/>
      </c>
      <c r="DE307">
        <f ca="1"/>
      </c>
      <c r="DG307">
        <f ca="1"/>
      </c>
      <c r="DH307">
        <f ca="1"/>
      </c>
      <c r="DI307">
        <f ca="1"/>
      </c>
      <c r="DJ307">
        <f ca="1"/>
      </c>
      <c r="DK307">
        <f ca="1"/>
      </c>
      <c r="DL307">
        <f ca="1"/>
      </c>
      <c r="DM307">
        <f ca="1"/>
      </c>
      <c r="DN307">
        <f ca="1"/>
      </c>
      <c r="DO307">
        <f ca="1"/>
      </c>
      <c r="DP307">
        <f ca="1"/>
      </c>
      <c r="DQ307">
        <f ca="1"/>
      </c>
      <c r="DR307">
        <f ca="1"/>
      </c>
      <c r="DS307">
        <f ca="1"/>
      </c>
      <c r="DT307">
        <f ca="1"/>
      </c>
      <c r="DU307">
        <f ca="1"/>
      </c>
      <c r="DV307">
        <f ca="1"/>
      </c>
      <c r="DW307">
        <f ca="1"/>
      </c>
      <c r="DX307">
        <f ca="1"/>
      </c>
      <c r="DY307">
        <f ca="1"/>
      </c>
      <c r="DZ307">
        <f ca="1"/>
      </c>
      <c r="EA307">
        <f ca="1"/>
      </c>
      <c r="EB307">
        <f ca="1"/>
      </c>
      <c r="EC307">
        <f ca="1"/>
      </c>
      <c r="ED307">
        <f ca="1"/>
      </c>
      <c r="EE307">
        <f ca="1"/>
      </c>
      <c r="EF307">
        <f ca="1"/>
      </c>
      <c r="EG307">
        <f ca="1"/>
      </c>
      <c r="EH307">
        <f ca="1"/>
      </c>
      <c r="EI307">
        <f ca="1"/>
      </c>
      <c r="EJ307">
        <f ca="1"/>
      </c>
      <c r="EK307">
        <f ca="1"/>
      </c>
      <c r="EL307">
        <f ca="1"/>
      </c>
      <c r="EM307">
        <f ca="1"/>
      </c>
      <c r="EN307">
        <f ca="1"/>
      </c>
      <c r="EO307">
        <f ca="1"/>
      </c>
      <c r="EP307">
        <f ca="1"/>
      </c>
      <c r="EQ307">
        <f ca="1"/>
      </c>
      <c r="ER307">
        <f ca="1"/>
      </c>
      <c r="ES307">
        <f ca="1"/>
      </c>
      <c r="ET307">
        <f ca="1"/>
      </c>
      <c r="EU307">
        <f ca="1"/>
      </c>
      <c r="EV307">
        <f ca="1"/>
      </c>
      <c r="EW307">
        <f ca="1"/>
      </c>
      <c r="EX307">
        <f ca="1"/>
      </c>
      <c r="EY307">
        <f ca="1"/>
      </c>
      <c r="EZ307">
        <f ca="1"/>
      </c>
      <c r="FA307">
        <f ca="1"/>
      </c>
      <c r="FC307">
        <f ca="1"/>
      </c>
      <c r="FD307">
        <f ca="1"/>
      </c>
      <c r="FE307">
        <f ca="1"/>
      </c>
      <c r="FF307">
        <f ca="1"/>
      </c>
      <c r="FG307">
        <f ca="1"/>
      </c>
      <c r="FH307">
        <f ca="1"/>
      </c>
      <c r="FI307">
        <f ca="1"/>
      </c>
      <c r="FJ307">
        <f ca="1"/>
      </c>
      <c r="FK307">
        <f ca="1"/>
      </c>
      <c r="FL307">
        <f ca="1"/>
      </c>
      <c r="FM307">
        <f ca="1"/>
      </c>
      <c r="FN307">
        <f ca="1"/>
      </c>
      <c r="FO307">
        <f ca="1"/>
      </c>
      <c r="FP307">
        <f ca="1"/>
      </c>
      <c r="FQ307">
        <f ca="1"/>
      </c>
      <c r="FR307">
        <f ca="1"/>
      </c>
      <c r="FS307">
        <f ca="1"/>
      </c>
      <c r="FT307">
        <f ca="1"/>
      </c>
      <c r="FU307">
        <f ca="1"/>
      </c>
      <c r="FV307">
        <f ca="1"/>
      </c>
      <c r="FW307">
        <f ca="1"/>
      </c>
      <c r="FX307">
        <f ca="1"/>
      </c>
      <c r="FY307">
        <f ca="1"/>
      </c>
      <c r="FZ307">
        <f ca="1"/>
      </c>
      <c r="GA307">
        <f ca="1"/>
      </c>
      <c r="GB307">
        <f ca="1"/>
      </c>
      <c r="GC307">
        <f ca="1"/>
      </c>
      <c r="GD307">
        <f ca="1"/>
      </c>
      <c r="GE307">
        <f ca="1"/>
      </c>
      <c r="GF307">
        <f ca="1"/>
      </c>
      <c r="GG307">
        <f ca="1"/>
      </c>
      <c r="GH307">
        <f ca="1"/>
      </c>
      <c r="GI307">
        <f ca="1"/>
      </c>
      <c r="GJ307">
        <f ca="1"/>
      </c>
      <c r="GK307">
        <f ca="1"/>
      </c>
      <c r="GL307">
        <f ca="1"/>
      </c>
      <c r="GM307">
        <f ca="1"/>
      </c>
      <c r="GN307">
        <f ca="1"/>
      </c>
      <c r="GO307">
        <f ca="1"/>
      </c>
      <c r="GP307">
        <f ca="1"/>
      </c>
      <c r="GQ307">
        <f ca="1"/>
      </c>
      <c r="GR307">
        <f ca="1"/>
      </c>
      <c r="GS307">
        <f ca="1"/>
      </c>
      <c r="GT307">
        <f ca="1"/>
      </c>
      <c r="GU307">
        <f ca="1"/>
      </c>
      <c r="GV307">
        <f ca="1"/>
      </c>
      <c r="GW307">
        <f ca="1"/>
      </c>
      <c r="HI307" s="7"/>
    </row>
    <row r="308" spans="63:217" x14ac:dyDescent="0.55000000000000004">
      <c r="BK308">
        <f ca="1"/>
      </c>
      <c r="BL308">
        <f ca="1"/>
      </c>
      <c r="BM308">
        <f ca="1"/>
      </c>
      <c r="BN308">
        <f ca="1"/>
      </c>
      <c r="BO308">
        <f ca="1"/>
      </c>
      <c r="BP308">
        <f ca="1"/>
      </c>
      <c r="BQ308">
        <f ca="1"/>
      </c>
      <c r="BR308">
        <f ca="1"/>
      </c>
      <c r="BS308">
        <f ca="1"/>
      </c>
      <c r="BT308">
        <f ca="1"/>
      </c>
      <c r="BU308">
        <f ca="1"/>
      </c>
      <c r="BV308">
        <f ca="1"/>
      </c>
      <c r="BW308">
        <f ca="1"/>
      </c>
      <c r="BX308">
        <f ca="1"/>
      </c>
      <c r="BY308">
        <f ca="1"/>
      </c>
      <c r="BZ308">
        <f ca="1"/>
      </c>
      <c r="CA308">
        <f ca="1"/>
      </c>
      <c r="CB308">
        <f ca="1"/>
      </c>
      <c r="CC308">
        <f ca="1"/>
      </c>
      <c r="CD308">
        <f ca="1"/>
      </c>
      <c r="CE308">
        <f ca="1"/>
      </c>
      <c r="CF308">
        <f ca="1"/>
      </c>
      <c r="CG308">
        <f ca="1"/>
      </c>
      <c r="CH308">
        <f ca="1"/>
      </c>
      <c r="CI308">
        <f ca="1"/>
      </c>
      <c r="CJ308">
        <f ca="1"/>
      </c>
      <c r="CK308">
        <f ca="1"/>
      </c>
      <c r="CL308">
        <f ca="1"/>
      </c>
      <c r="CM308">
        <f ca="1"/>
      </c>
      <c r="CN308">
        <f ca="1"/>
      </c>
      <c r="CO308">
        <f ca="1"/>
      </c>
      <c r="CP308">
        <f ca="1"/>
      </c>
      <c r="CQ308">
        <f ca="1"/>
      </c>
      <c r="CR308">
        <f ca="1"/>
      </c>
      <c r="CS308">
        <f ca="1"/>
      </c>
      <c r="CT308">
        <f ca="1"/>
      </c>
      <c r="CU308">
        <f ca="1"/>
      </c>
      <c r="CV308">
        <f ca="1"/>
      </c>
      <c r="CW308">
        <f ca="1"/>
      </c>
      <c r="CX308">
        <f ca="1"/>
      </c>
      <c r="CY308">
        <f ca="1"/>
      </c>
      <c r="CZ308">
        <f ca="1"/>
      </c>
      <c r="DA308">
        <f ca="1"/>
      </c>
      <c r="DB308">
        <f ca="1"/>
      </c>
      <c r="DC308">
        <f ca="1"/>
      </c>
      <c r="DD308">
        <f ca="1"/>
      </c>
      <c r="DE308">
        <f ca="1"/>
      </c>
      <c r="DG308">
        <f ca="1"/>
      </c>
      <c r="DH308">
        <f ca="1"/>
      </c>
      <c r="DI308">
        <f ca="1"/>
      </c>
      <c r="DJ308">
        <f ca="1"/>
      </c>
      <c r="DK308">
        <f ca="1"/>
      </c>
      <c r="DL308">
        <f ca="1"/>
      </c>
      <c r="DM308">
        <f ca="1"/>
      </c>
      <c r="DN308">
        <f ca="1"/>
      </c>
      <c r="DO308">
        <f ca="1"/>
      </c>
      <c r="DP308">
        <f ca="1"/>
      </c>
      <c r="DQ308">
        <f ca="1"/>
      </c>
      <c r="DR308">
        <f ca="1"/>
      </c>
      <c r="DS308">
        <f ca="1"/>
      </c>
      <c r="DT308">
        <f ca="1"/>
      </c>
      <c r="DU308">
        <f ca="1"/>
      </c>
      <c r="DV308">
        <f ca="1"/>
      </c>
      <c r="DW308">
        <f ca="1"/>
      </c>
      <c r="DX308">
        <f ca="1"/>
      </c>
      <c r="DY308">
        <f ca="1"/>
      </c>
      <c r="DZ308">
        <f ca="1"/>
      </c>
      <c r="EA308">
        <f ca="1"/>
      </c>
      <c r="EB308">
        <f ca="1"/>
      </c>
      <c r="EC308">
        <f ca="1"/>
      </c>
      <c r="ED308">
        <f ca="1"/>
      </c>
      <c r="EE308">
        <f ca="1"/>
      </c>
      <c r="EF308">
        <f ca="1"/>
      </c>
      <c r="EG308">
        <f ca="1"/>
      </c>
      <c r="EH308">
        <f ca="1"/>
      </c>
      <c r="EI308">
        <f ca="1"/>
      </c>
      <c r="EJ308">
        <f ca="1"/>
      </c>
      <c r="EK308">
        <f ca="1"/>
      </c>
      <c r="EL308">
        <f ca="1"/>
      </c>
      <c r="EM308">
        <f ca="1"/>
      </c>
      <c r="EN308">
        <f ca="1"/>
      </c>
      <c r="EO308">
        <f ca="1"/>
      </c>
      <c r="EP308">
        <f ca="1"/>
      </c>
      <c r="EQ308">
        <f ca="1"/>
      </c>
      <c r="ER308">
        <f ca="1"/>
      </c>
      <c r="ES308">
        <f ca="1"/>
      </c>
      <c r="ET308">
        <f ca="1"/>
      </c>
      <c r="EU308">
        <f ca="1"/>
      </c>
      <c r="EV308">
        <f ca="1"/>
      </c>
      <c r="EW308">
        <f ca="1"/>
      </c>
      <c r="EX308">
        <f ca="1"/>
      </c>
      <c r="EY308">
        <f ca="1"/>
      </c>
      <c r="EZ308">
        <f ca="1"/>
      </c>
      <c r="FA308">
        <f ca="1"/>
      </c>
      <c r="FC308">
        <f ca="1"/>
      </c>
      <c r="FD308">
        <f ca="1"/>
      </c>
      <c r="FE308">
        <f ca="1"/>
      </c>
      <c r="FF308">
        <f ca="1"/>
      </c>
      <c r="FG308">
        <f ca="1"/>
      </c>
      <c r="FH308">
        <f ca="1"/>
      </c>
      <c r="FI308">
        <f ca="1"/>
      </c>
      <c r="FJ308">
        <f ca="1"/>
      </c>
      <c r="FK308">
        <f ca="1"/>
      </c>
      <c r="FL308">
        <f ca="1"/>
      </c>
      <c r="FM308">
        <f ca="1"/>
      </c>
      <c r="FN308">
        <f ca="1"/>
      </c>
      <c r="FO308">
        <f ca="1"/>
      </c>
      <c r="FP308">
        <f ca="1"/>
      </c>
      <c r="FQ308">
        <f ca="1"/>
      </c>
      <c r="FR308">
        <f ca="1"/>
      </c>
      <c r="FS308">
        <f ca="1"/>
      </c>
      <c r="FT308">
        <f ca="1"/>
      </c>
      <c r="FU308">
        <f ca="1"/>
      </c>
      <c r="FV308">
        <f ca="1"/>
      </c>
      <c r="FW308">
        <f ca="1"/>
      </c>
      <c r="FX308">
        <f ca="1"/>
      </c>
      <c r="FY308">
        <f ca="1"/>
      </c>
      <c r="FZ308">
        <f ca="1"/>
      </c>
      <c r="GA308">
        <f ca="1"/>
      </c>
      <c r="GB308">
        <f ca="1"/>
      </c>
      <c r="GC308">
        <f ca="1"/>
      </c>
      <c r="GD308">
        <f ca="1"/>
      </c>
      <c r="GE308">
        <f ca="1"/>
      </c>
      <c r="GF308">
        <f ca="1"/>
      </c>
      <c r="GG308">
        <f ca="1"/>
      </c>
      <c r="GH308">
        <f ca="1"/>
      </c>
      <c r="GI308">
        <f ca="1"/>
      </c>
      <c r="GJ308">
        <f ca="1"/>
      </c>
      <c r="GK308">
        <f ca="1"/>
      </c>
      <c r="GL308">
        <f ca="1"/>
      </c>
      <c r="GM308">
        <f ca="1"/>
      </c>
      <c r="GN308">
        <f ca="1"/>
      </c>
      <c r="GO308">
        <f ca="1"/>
      </c>
      <c r="GP308">
        <f ca="1"/>
      </c>
      <c r="GQ308">
        <f ca="1"/>
      </c>
      <c r="GR308">
        <f ca="1"/>
      </c>
      <c r="GS308">
        <f ca="1"/>
      </c>
      <c r="GT308">
        <f ca="1"/>
      </c>
      <c r="GU308">
        <f ca="1"/>
      </c>
      <c r="GV308">
        <f ca="1"/>
      </c>
      <c r="GW308">
        <f ca="1"/>
      </c>
      <c r="HI308" s="7"/>
    </row>
    <row r="309" spans="63:217" x14ac:dyDescent="0.55000000000000004">
      <c r="BK309">
        <f ca="1"/>
      </c>
      <c r="BL309">
        <f ca="1"/>
      </c>
      <c r="BM309">
        <f ca="1"/>
      </c>
      <c r="BN309">
        <f ca="1"/>
      </c>
      <c r="BO309">
        <f ca="1"/>
      </c>
      <c r="BP309">
        <f ca="1"/>
      </c>
      <c r="BQ309">
        <f ca="1"/>
      </c>
      <c r="BR309">
        <f ca="1"/>
      </c>
      <c r="BS309">
        <f ca="1"/>
      </c>
      <c r="BT309">
        <f ca="1"/>
      </c>
      <c r="BU309">
        <f ca="1"/>
      </c>
      <c r="BV309">
        <f ca="1"/>
      </c>
      <c r="BW309">
        <f ca="1"/>
      </c>
      <c r="BX309">
        <f ca="1"/>
      </c>
      <c r="BY309">
        <f ca="1"/>
      </c>
      <c r="BZ309">
        <f ca="1"/>
      </c>
      <c r="CA309">
        <f ca="1"/>
      </c>
      <c r="CB309">
        <f ca="1"/>
      </c>
      <c r="CC309">
        <f ca="1"/>
      </c>
      <c r="CD309">
        <f ca="1"/>
      </c>
      <c r="CE309">
        <f ca="1"/>
      </c>
      <c r="CF309">
        <f ca="1"/>
      </c>
      <c r="CG309">
        <f ca="1"/>
      </c>
      <c r="CH309">
        <f ca="1"/>
      </c>
      <c r="CI309">
        <f ca="1"/>
      </c>
      <c r="CJ309">
        <f ca="1"/>
      </c>
      <c r="CK309">
        <f ca="1"/>
      </c>
      <c r="CL309">
        <f ca="1"/>
      </c>
      <c r="CM309">
        <f ca="1"/>
      </c>
      <c r="CN309">
        <f ca="1"/>
      </c>
      <c r="CO309">
        <f ca="1"/>
      </c>
      <c r="CP309">
        <f ca="1"/>
      </c>
      <c r="CQ309">
        <f ca="1"/>
      </c>
      <c r="CR309">
        <f ca="1"/>
      </c>
      <c r="CS309">
        <f ca="1"/>
      </c>
      <c r="CT309">
        <f ca="1"/>
      </c>
      <c r="CU309">
        <f ca="1"/>
      </c>
      <c r="CV309">
        <f ca="1"/>
      </c>
      <c r="CW309">
        <f ca="1"/>
      </c>
      <c r="CX309">
        <f ca="1"/>
      </c>
      <c r="CY309">
        <f ca="1"/>
      </c>
      <c r="CZ309">
        <f ca="1"/>
      </c>
      <c r="DA309">
        <f ca="1"/>
      </c>
      <c r="DB309">
        <f ca="1"/>
      </c>
      <c r="DC309">
        <f ca="1"/>
      </c>
      <c r="DD309">
        <f ca="1"/>
      </c>
      <c r="DE309">
        <f ca="1"/>
      </c>
      <c r="DG309">
        <f ca="1"/>
      </c>
      <c r="DH309">
        <f ca="1"/>
      </c>
      <c r="DI309">
        <f ca="1"/>
      </c>
      <c r="DJ309">
        <f ca="1"/>
      </c>
      <c r="DK309">
        <f ca="1"/>
      </c>
      <c r="DL309">
        <f ca="1"/>
      </c>
      <c r="DM309">
        <f ca="1"/>
      </c>
      <c r="DN309">
        <f ca="1"/>
      </c>
      <c r="DO309">
        <f ca="1"/>
      </c>
      <c r="DP309">
        <f ca="1"/>
      </c>
      <c r="DQ309">
        <f ca="1"/>
      </c>
      <c r="DR309">
        <f ca="1"/>
      </c>
      <c r="DS309">
        <f ca="1"/>
      </c>
      <c r="DT309">
        <f ca="1"/>
      </c>
      <c r="DU309">
        <f ca="1"/>
      </c>
      <c r="DV309">
        <f ca="1"/>
      </c>
      <c r="DW309">
        <f ca="1"/>
      </c>
      <c r="DX309">
        <f ca="1"/>
      </c>
      <c r="DY309">
        <f ca="1"/>
      </c>
      <c r="DZ309">
        <f ca="1"/>
      </c>
      <c r="EA309">
        <f ca="1"/>
      </c>
      <c r="EB309">
        <f ca="1"/>
      </c>
      <c r="EC309">
        <f ca="1"/>
      </c>
      <c r="ED309">
        <f ca="1"/>
      </c>
      <c r="EE309">
        <f ca="1"/>
      </c>
      <c r="EF309">
        <f ca="1"/>
      </c>
      <c r="EG309">
        <f ca="1"/>
      </c>
      <c r="EH309">
        <f ca="1"/>
      </c>
      <c r="EI309">
        <f ca="1"/>
      </c>
      <c r="EJ309">
        <f ca="1"/>
      </c>
      <c r="EK309">
        <f ca="1"/>
      </c>
      <c r="EL309">
        <f ca="1"/>
      </c>
      <c r="EM309">
        <f ca="1"/>
      </c>
      <c r="EN309">
        <f ca="1"/>
      </c>
      <c r="EO309">
        <f ca="1"/>
      </c>
      <c r="EP309">
        <f ca="1"/>
      </c>
      <c r="EQ309">
        <f ca="1"/>
      </c>
      <c r="ER309">
        <f ca="1"/>
      </c>
      <c r="ES309">
        <f ca="1"/>
      </c>
      <c r="ET309">
        <f ca="1"/>
      </c>
      <c r="EU309">
        <f ca="1"/>
      </c>
      <c r="EV309">
        <f ca="1"/>
      </c>
      <c r="EW309">
        <f ca="1"/>
      </c>
      <c r="EX309">
        <f ca="1"/>
      </c>
      <c r="EY309">
        <f ca="1"/>
      </c>
      <c r="EZ309">
        <f ca="1"/>
      </c>
      <c r="FA309">
        <f ca="1"/>
      </c>
      <c r="FC309">
        <f ca="1"/>
      </c>
      <c r="FD309">
        <f ca="1"/>
      </c>
      <c r="FE309">
        <f ca="1"/>
      </c>
      <c r="FF309">
        <f ca="1"/>
      </c>
      <c r="FG309">
        <f ca="1"/>
      </c>
      <c r="FH309">
        <f ca="1"/>
      </c>
      <c r="FI309">
        <f ca="1"/>
      </c>
      <c r="FJ309">
        <f ca="1"/>
      </c>
      <c r="FK309">
        <f ca="1"/>
      </c>
      <c r="FL309">
        <f ca="1"/>
      </c>
      <c r="FM309">
        <f ca="1"/>
      </c>
      <c r="FN309">
        <f ca="1"/>
      </c>
      <c r="FO309">
        <f ca="1"/>
      </c>
      <c r="FP309">
        <f ca="1"/>
      </c>
      <c r="FQ309">
        <f ca="1"/>
      </c>
      <c r="FR309">
        <f ca="1"/>
      </c>
      <c r="FS309">
        <f ca="1"/>
      </c>
      <c r="FT309">
        <f ca="1"/>
      </c>
      <c r="FU309">
        <f ca="1"/>
      </c>
      <c r="FV309">
        <f ca="1"/>
      </c>
      <c r="FW309">
        <f ca="1"/>
      </c>
      <c r="FX309">
        <f ca="1"/>
      </c>
      <c r="FY309">
        <f ca="1"/>
      </c>
      <c r="FZ309">
        <f ca="1"/>
      </c>
      <c r="GA309">
        <f ca="1"/>
      </c>
      <c r="GB309">
        <f ca="1"/>
      </c>
      <c r="GC309">
        <f ca="1"/>
      </c>
      <c r="GD309">
        <f ca="1"/>
      </c>
      <c r="GE309">
        <f ca="1"/>
      </c>
      <c r="GF309">
        <f ca="1"/>
      </c>
      <c r="GG309">
        <f ca="1"/>
      </c>
      <c r="GH309">
        <f ca="1"/>
      </c>
      <c r="GI309">
        <f ca="1"/>
      </c>
      <c r="GJ309">
        <f ca="1"/>
      </c>
      <c r="GK309">
        <f ca="1"/>
      </c>
      <c r="GL309">
        <f ca="1"/>
      </c>
      <c r="GM309">
        <f ca="1"/>
      </c>
      <c r="GN309">
        <f ca="1"/>
      </c>
      <c r="GO309">
        <f ca="1"/>
      </c>
      <c r="GP309">
        <f ca="1"/>
      </c>
      <c r="GQ309">
        <f ca="1"/>
      </c>
      <c r="GR309">
        <f ca="1"/>
      </c>
      <c r="GS309">
        <f ca="1"/>
      </c>
      <c r="GT309">
        <f ca="1"/>
      </c>
      <c r="GU309">
        <f ca="1"/>
      </c>
      <c r="GV309">
        <f ca="1"/>
      </c>
      <c r="GW309">
        <f ca="1"/>
      </c>
      <c r="HI309" s="7"/>
    </row>
    <row r="310" spans="63:217" x14ac:dyDescent="0.55000000000000004">
      <c r="BK310">
        <f ca="1"/>
      </c>
      <c r="BL310">
        <f ca="1"/>
      </c>
      <c r="BM310">
        <f ca="1"/>
      </c>
      <c r="BN310">
        <f ca="1"/>
      </c>
      <c r="BO310">
        <f ca="1"/>
      </c>
      <c r="BP310">
        <f ca="1"/>
      </c>
      <c r="BQ310">
        <f ca="1"/>
      </c>
      <c r="BR310">
        <f ca="1"/>
      </c>
      <c r="BS310">
        <f ca="1"/>
      </c>
      <c r="BT310">
        <f ca="1"/>
      </c>
      <c r="BU310">
        <f ca="1"/>
      </c>
      <c r="BV310">
        <f ca="1"/>
      </c>
      <c r="BW310">
        <f ca="1"/>
      </c>
      <c r="BX310">
        <f ca="1"/>
      </c>
      <c r="BY310">
        <f ca="1"/>
      </c>
      <c r="BZ310">
        <f ca="1"/>
      </c>
      <c r="CA310">
        <f ca="1"/>
      </c>
      <c r="CB310">
        <f ca="1"/>
      </c>
      <c r="CC310">
        <f ca="1"/>
      </c>
      <c r="CD310">
        <f ca="1"/>
      </c>
      <c r="CE310">
        <f ca="1"/>
      </c>
      <c r="CF310">
        <f ca="1"/>
      </c>
      <c r="CG310">
        <f ca="1"/>
      </c>
      <c r="CH310">
        <f ca="1"/>
      </c>
      <c r="CI310">
        <f ca="1"/>
      </c>
      <c r="CJ310">
        <f ca="1"/>
      </c>
      <c r="CK310">
        <f ca="1"/>
      </c>
      <c r="CL310">
        <f ca="1"/>
      </c>
      <c r="CM310">
        <f ca="1"/>
      </c>
      <c r="CN310">
        <f ca="1"/>
      </c>
      <c r="CO310">
        <f ca="1"/>
      </c>
      <c r="CP310">
        <f ca="1"/>
      </c>
      <c r="CQ310">
        <f ca="1"/>
      </c>
      <c r="CR310">
        <f ca="1"/>
      </c>
      <c r="CS310">
        <f ca="1"/>
      </c>
      <c r="CT310">
        <f ca="1"/>
      </c>
      <c r="CU310">
        <f ca="1"/>
      </c>
      <c r="CV310">
        <f ca="1"/>
      </c>
      <c r="CW310">
        <f ca="1"/>
      </c>
      <c r="CX310">
        <f ca="1"/>
      </c>
      <c r="CY310">
        <f ca="1"/>
      </c>
      <c r="CZ310">
        <f ca="1"/>
      </c>
      <c r="DA310">
        <f ca="1"/>
      </c>
      <c r="DB310">
        <f ca="1"/>
      </c>
      <c r="DC310">
        <f ca="1"/>
      </c>
      <c r="DD310">
        <f ca="1"/>
      </c>
      <c r="DE310">
        <f ca="1"/>
      </c>
      <c r="DG310">
        <f ca="1"/>
      </c>
      <c r="DH310">
        <f ca="1"/>
      </c>
      <c r="DI310">
        <f ca="1"/>
      </c>
      <c r="DJ310">
        <f ca="1"/>
      </c>
      <c r="DK310">
        <f ca="1"/>
      </c>
      <c r="DL310">
        <f ca="1"/>
      </c>
      <c r="DM310">
        <f ca="1"/>
      </c>
      <c r="DN310">
        <f ca="1"/>
      </c>
      <c r="DO310">
        <f ca="1"/>
      </c>
      <c r="DP310">
        <f ca="1"/>
      </c>
      <c r="DQ310">
        <f ca="1"/>
      </c>
      <c r="DR310">
        <f ca="1"/>
      </c>
      <c r="DS310">
        <f ca="1"/>
      </c>
      <c r="DT310">
        <f ca="1"/>
      </c>
      <c r="DU310">
        <f ca="1"/>
      </c>
      <c r="DV310">
        <f ca="1"/>
      </c>
      <c r="DW310">
        <f ca="1"/>
      </c>
      <c r="DX310">
        <f ca="1"/>
      </c>
      <c r="DY310">
        <f ca="1"/>
      </c>
      <c r="DZ310">
        <f ca="1"/>
      </c>
      <c r="EA310">
        <f ca="1"/>
      </c>
      <c r="EB310">
        <f ca="1"/>
      </c>
      <c r="EC310">
        <f ca="1"/>
      </c>
      <c r="ED310">
        <f ca="1"/>
      </c>
      <c r="EE310">
        <f ca="1"/>
      </c>
      <c r="EF310">
        <f ca="1"/>
      </c>
      <c r="EG310">
        <f ca="1"/>
      </c>
      <c r="EH310">
        <f ca="1"/>
      </c>
      <c r="EI310">
        <f ca="1"/>
      </c>
      <c r="EJ310">
        <f ca="1"/>
      </c>
      <c r="EK310">
        <f ca="1"/>
      </c>
      <c r="EL310">
        <f ca="1"/>
      </c>
      <c r="EM310">
        <f ca="1"/>
      </c>
      <c r="EN310">
        <f ca="1"/>
      </c>
      <c r="EO310">
        <f ca="1"/>
      </c>
      <c r="EP310">
        <f ca="1"/>
      </c>
      <c r="EQ310">
        <f ca="1"/>
      </c>
      <c r="ER310">
        <f ca="1"/>
      </c>
      <c r="ES310">
        <f ca="1"/>
      </c>
      <c r="ET310">
        <f ca="1"/>
      </c>
      <c r="EU310">
        <f ca="1"/>
      </c>
      <c r="EV310">
        <f ca="1"/>
      </c>
      <c r="EW310">
        <f ca="1"/>
      </c>
      <c r="EX310">
        <f ca="1"/>
      </c>
      <c r="EY310">
        <f ca="1"/>
      </c>
      <c r="EZ310">
        <f ca="1"/>
      </c>
      <c r="FA310">
        <f ca="1"/>
      </c>
      <c r="FC310">
        <f ca="1"/>
      </c>
      <c r="FD310">
        <f ca="1"/>
      </c>
      <c r="FE310">
        <f ca="1"/>
      </c>
      <c r="FF310">
        <f ca="1"/>
      </c>
      <c r="FG310">
        <f ca="1"/>
      </c>
      <c r="FH310">
        <f ca="1"/>
      </c>
      <c r="FI310">
        <f ca="1"/>
      </c>
      <c r="FJ310">
        <f ca="1"/>
      </c>
      <c r="FK310">
        <f ca="1"/>
      </c>
      <c r="FL310">
        <f ca="1"/>
      </c>
      <c r="FM310">
        <f ca="1"/>
      </c>
      <c r="FN310">
        <f ca="1"/>
      </c>
      <c r="FO310">
        <f ca="1"/>
      </c>
      <c r="FP310">
        <f ca="1"/>
      </c>
      <c r="FQ310">
        <f ca="1"/>
      </c>
      <c r="FR310">
        <f ca="1"/>
      </c>
      <c r="FS310">
        <f ca="1"/>
      </c>
      <c r="FT310">
        <f ca="1"/>
      </c>
      <c r="FU310">
        <f ca="1"/>
      </c>
      <c r="FV310">
        <f ca="1"/>
      </c>
      <c r="FW310">
        <f ca="1"/>
      </c>
      <c r="FX310">
        <f ca="1"/>
      </c>
      <c r="FY310">
        <f ca="1"/>
      </c>
      <c r="FZ310">
        <f ca="1"/>
      </c>
      <c r="GA310">
        <f ca="1"/>
      </c>
      <c r="GB310">
        <f ca="1"/>
      </c>
      <c r="GC310">
        <f ca="1"/>
      </c>
      <c r="GD310">
        <f ca="1"/>
      </c>
      <c r="GE310">
        <f ca="1"/>
      </c>
      <c r="GF310">
        <f ca="1"/>
      </c>
      <c r="GG310">
        <f ca="1"/>
      </c>
      <c r="GH310">
        <f ca="1"/>
      </c>
      <c r="GI310">
        <f ca="1"/>
      </c>
      <c r="GJ310">
        <f ca="1"/>
      </c>
      <c r="GK310">
        <f ca="1"/>
      </c>
      <c r="GL310">
        <f ca="1"/>
      </c>
      <c r="GM310">
        <f ca="1"/>
      </c>
      <c r="GN310">
        <f ca="1"/>
      </c>
      <c r="GO310">
        <f ca="1"/>
      </c>
      <c r="GP310">
        <f ca="1"/>
      </c>
      <c r="GQ310">
        <f ca="1"/>
      </c>
      <c r="GR310">
        <f ca="1"/>
      </c>
      <c r="GS310">
        <f ca="1"/>
      </c>
      <c r="GT310">
        <f ca="1"/>
      </c>
      <c r="GU310">
        <f ca="1"/>
      </c>
      <c r="GV310">
        <f ca="1"/>
      </c>
      <c r="GW310">
        <f ca="1"/>
      </c>
      <c r="HI310" s="7"/>
    </row>
    <row r="311" spans="63:217" x14ac:dyDescent="0.55000000000000004">
      <c r="BK311">
        <f ca="1"/>
      </c>
      <c r="BL311">
        <f ca="1"/>
      </c>
      <c r="BM311">
        <f ca="1"/>
      </c>
      <c r="BN311">
        <f ca="1"/>
      </c>
      <c r="BO311">
        <f ca="1"/>
      </c>
      <c r="BP311">
        <f ca="1"/>
      </c>
      <c r="BQ311">
        <f ca="1"/>
      </c>
      <c r="BR311">
        <f ca="1"/>
      </c>
      <c r="BS311">
        <f ca="1"/>
      </c>
      <c r="BT311">
        <f ca="1"/>
      </c>
      <c r="BU311">
        <f ca="1"/>
      </c>
      <c r="BV311">
        <f ca="1"/>
      </c>
      <c r="BW311">
        <f ca="1"/>
      </c>
      <c r="BX311">
        <f ca="1"/>
      </c>
      <c r="BY311">
        <f ca="1"/>
      </c>
      <c r="BZ311">
        <f ca="1"/>
      </c>
      <c r="CA311">
        <f ca="1"/>
      </c>
      <c r="CB311">
        <f ca="1"/>
      </c>
      <c r="CC311">
        <f ca="1"/>
      </c>
      <c r="CD311">
        <f ca="1"/>
      </c>
      <c r="CE311">
        <f ca="1"/>
      </c>
      <c r="CF311">
        <f ca="1"/>
      </c>
      <c r="CG311">
        <f ca="1"/>
      </c>
      <c r="CH311">
        <f ca="1"/>
      </c>
      <c r="CI311">
        <f ca="1"/>
      </c>
      <c r="CJ311">
        <f ca="1"/>
      </c>
      <c r="CK311">
        <f ca="1"/>
      </c>
      <c r="CL311">
        <f ca="1"/>
      </c>
      <c r="CM311">
        <f ca="1"/>
      </c>
      <c r="CN311">
        <f ca="1"/>
      </c>
      <c r="CO311">
        <f ca="1"/>
      </c>
      <c r="CP311">
        <f ca="1"/>
      </c>
      <c r="CQ311">
        <f ca="1"/>
      </c>
      <c r="CR311">
        <f ca="1"/>
      </c>
      <c r="CS311">
        <f ca="1"/>
      </c>
      <c r="CT311">
        <f ca="1"/>
      </c>
      <c r="CU311">
        <f ca="1"/>
      </c>
      <c r="CV311">
        <f ca="1"/>
      </c>
      <c r="CW311">
        <f ca="1"/>
      </c>
      <c r="CX311">
        <f ca="1"/>
      </c>
      <c r="CY311">
        <f ca="1"/>
      </c>
      <c r="CZ311">
        <f ca="1"/>
      </c>
      <c r="DA311">
        <f ca="1"/>
      </c>
      <c r="DB311">
        <f ca="1"/>
      </c>
      <c r="DC311">
        <f ca="1"/>
      </c>
      <c r="DD311">
        <f ca="1"/>
      </c>
      <c r="DE311">
        <f ca="1"/>
      </c>
      <c r="DG311">
        <f ca="1"/>
      </c>
      <c r="DH311">
        <f ca="1"/>
      </c>
      <c r="DI311">
        <f ca="1"/>
      </c>
      <c r="DJ311">
        <f ca="1"/>
      </c>
      <c r="DK311">
        <f ca="1"/>
      </c>
      <c r="DL311">
        <f ca="1"/>
      </c>
      <c r="DM311">
        <f ca="1"/>
      </c>
      <c r="DN311">
        <f ca="1"/>
      </c>
      <c r="DO311">
        <f ca="1"/>
      </c>
      <c r="DP311">
        <f ca="1"/>
      </c>
      <c r="DQ311">
        <f ca="1"/>
      </c>
      <c r="DR311">
        <f ca="1"/>
      </c>
      <c r="DS311">
        <f ca="1"/>
      </c>
      <c r="DT311">
        <f ca="1"/>
      </c>
      <c r="DU311">
        <f ca="1"/>
      </c>
      <c r="DV311">
        <f ca="1"/>
      </c>
      <c r="DW311">
        <f ca="1"/>
      </c>
      <c r="DX311">
        <f ca="1"/>
      </c>
      <c r="DY311">
        <f ca="1"/>
      </c>
      <c r="DZ311">
        <f ca="1"/>
      </c>
      <c r="EA311">
        <f ca="1"/>
      </c>
      <c r="EB311">
        <f ca="1"/>
      </c>
      <c r="EC311">
        <f ca="1"/>
      </c>
      <c r="ED311">
        <f ca="1"/>
      </c>
      <c r="EE311">
        <f ca="1"/>
      </c>
      <c r="EF311">
        <f ca="1"/>
      </c>
      <c r="EG311">
        <f ca="1"/>
      </c>
      <c r="EH311">
        <f ca="1"/>
      </c>
      <c r="EI311">
        <f ca="1"/>
      </c>
      <c r="EJ311">
        <f ca="1"/>
      </c>
      <c r="EK311">
        <f ca="1"/>
      </c>
      <c r="EL311">
        <f ca="1"/>
      </c>
      <c r="EM311">
        <f ca="1"/>
      </c>
      <c r="EN311">
        <f ca="1"/>
      </c>
      <c r="EO311">
        <f ca="1"/>
      </c>
      <c r="EP311">
        <f ca="1"/>
      </c>
      <c r="EQ311">
        <f ca="1"/>
      </c>
      <c r="ER311">
        <f ca="1"/>
      </c>
      <c r="ES311">
        <f ca="1"/>
      </c>
      <c r="ET311">
        <f ca="1"/>
      </c>
      <c r="EU311">
        <f ca="1"/>
      </c>
      <c r="EV311">
        <f ca="1"/>
      </c>
      <c r="EW311">
        <f ca="1"/>
      </c>
      <c r="EX311">
        <f ca="1"/>
      </c>
      <c r="EY311">
        <f ca="1"/>
      </c>
      <c r="EZ311">
        <f ca="1"/>
      </c>
      <c r="FA311">
        <f ca="1"/>
      </c>
      <c r="FC311">
        <f ca="1"/>
      </c>
      <c r="FD311">
        <f ca="1"/>
      </c>
      <c r="FE311">
        <f ca="1"/>
      </c>
      <c r="FF311">
        <f ca="1"/>
      </c>
      <c r="FG311">
        <f ca="1"/>
      </c>
      <c r="FH311">
        <f ca="1"/>
      </c>
      <c r="FI311">
        <f ca="1"/>
      </c>
      <c r="FJ311">
        <f ca="1"/>
      </c>
      <c r="FK311">
        <f ca="1"/>
      </c>
      <c r="FL311">
        <f ca="1"/>
      </c>
      <c r="FM311">
        <f ca="1"/>
      </c>
      <c r="FN311">
        <f ca="1"/>
      </c>
      <c r="FO311">
        <f ca="1"/>
      </c>
      <c r="FP311">
        <f ca="1"/>
      </c>
      <c r="FQ311">
        <f ca="1"/>
      </c>
      <c r="FR311">
        <f ca="1"/>
      </c>
      <c r="FS311">
        <f ca="1"/>
      </c>
      <c r="FT311">
        <f ca="1"/>
      </c>
      <c r="FU311">
        <f ca="1"/>
      </c>
      <c r="FV311">
        <f ca="1"/>
      </c>
      <c r="FW311">
        <f ca="1"/>
      </c>
      <c r="FX311">
        <f ca="1"/>
      </c>
      <c r="FY311">
        <f ca="1"/>
      </c>
      <c r="FZ311">
        <f ca="1"/>
      </c>
      <c r="GA311">
        <f ca="1"/>
      </c>
      <c r="GB311">
        <f ca="1"/>
      </c>
      <c r="GC311">
        <f ca="1"/>
      </c>
      <c r="GD311">
        <f ca="1"/>
      </c>
      <c r="GE311">
        <f ca="1"/>
      </c>
      <c r="GF311">
        <f ca="1"/>
      </c>
      <c r="GG311">
        <f ca="1"/>
      </c>
      <c r="GH311">
        <f ca="1"/>
      </c>
      <c r="GI311">
        <f ca="1"/>
      </c>
      <c r="GJ311">
        <f ca="1"/>
      </c>
      <c r="GK311">
        <f ca="1"/>
      </c>
      <c r="GL311">
        <f ca="1"/>
      </c>
      <c r="GM311">
        <f ca="1"/>
      </c>
      <c r="GN311">
        <f ca="1"/>
      </c>
      <c r="GO311">
        <f ca="1"/>
      </c>
      <c r="GP311">
        <f ca="1"/>
      </c>
      <c r="GQ311">
        <f ca="1"/>
      </c>
      <c r="GR311">
        <f ca="1"/>
      </c>
      <c r="GS311">
        <f ca="1"/>
      </c>
      <c r="GT311">
        <f ca="1"/>
      </c>
      <c r="GU311">
        <f ca="1"/>
      </c>
      <c r="GV311">
        <f ca="1"/>
      </c>
      <c r="GW311">
        <f ca="1"/>
      </c>
      <c r="HI311" s="7"/>
    </row>
    <row r="312" spans="63:217" x14ac:dyDescent="0.55000000000000004">
      <c r="BK312">
        <f ca="1"/>
      </c>
      <c r="BL312">
        <f ca="1"/>
      </c>
      <c r="BM312">
        <f ca="1"/>
      </c>
      <c r="BN312">
        <f ca="1"/>
      </c>
      <c r="BO312">
        <f ca="1"/>
      </c>
      <c r="BP312">
        <f ca="1"/>
      </c>
      <c r="BQ312">
        <f ca="1"/>
      </c>
      <c r="BR312">
        <f ca="1"/>
      </c>
      <c r="BS312">
        <f ca="1"/>
      </c>
      <c r="BT312">
        <f ca="1"/>
      </c>
      <c r="BU312">
        <f ca="1"/>
      </c>
      <c r="BV312">
        <f ca="1"/>
      </c>
      <c r="BW312">
        <f ca="1"/>
      </c>
      <c r="BX312">
        <f ca="1"/>
      </c>
      <c r="BY312">
        <f ca="1"/>
      </c>
      <c r="BZ312">
        <f ca="1"/>
      </c>
      <c r="CA312">
        <f ca="1"/>
      </c>
      <c r="CB312">
        <f ca="1"/>
      </c>
      <c r="CC312">
        <f ca="1"/>
      </c>
      <c r="CD312">
        <f ca="1"/>
      </c>
      <c r="CE312">
        <f ca="1"/>
      </c>
      <c r="CF312">
        <f ca="1"/>
      </c>
      <c r="CG312">
        <f ca="1"/>
      </c>
      <c r="CH312">
        <f ca="1"/>
      </c>
      <c r="CI312">
        <f ca="1"/>
      </c>
      <c r="CJ312">
        <f ca="1"/>
      </c>
      <c r="CK312">
        <f ca="1"/>
      </c>
      <c r="CL312">
        <f ca="1"/>
      </c>
      <c r="CM312">
        <f ca="1"/>
      </c>
      <c r="CN312">
        <f ca="1"/>
      </c>
      <c r="CO312">
        <f ca="1"/>
      </c>
      <c r="CP312">
        <f ca="1"/>
      </c>
      <c r="CQ312">
        <f ca="1"/>
      </c>
      <c r="CR312">
        <f ca="1"/>
      </c>
      <c r="CS312">
        <f ca="1"/>
      </c>
      <c r="CT312">
        <f ca="1"/>
      </c>
      <c r="CU312">
        <f ca="1"/>
      </c>
      <c r="CV312">
        <f ca="1"/>
      </c>
      <c r="CW312">
        <f ca="1"/>
      </c>
      <c r="CX312">
        <f ca="1"/>
      </c>
      <c r="CY312">
        <f ca="1"/>
      </c>
      <c r="CZ312">
        <f ca="1"/>
      </c>
      <c r="DA312">
        <f ca="1"/>
      </c>
      <c r="DB312">
        <f ca="1"/>
      </c>
      <c r="DC312">
        <f ca="1"/>
      </c>
      <c r="DD312">
        <f ca="1"/>
      </c>
      <c r="DE312">
        <f ca="1"/>
      </c>
      <c r="DG312">
        <f ca="1"/>
      </c>
      <c r="DH312">
        <f ca="1"/>
      </c>
      <c r="DI312">
        <f ca="1"/>
      </c>
      <c r="DJ312">
        <f ca="1"/>
      </c>
      <c r="DK312">
        <f ca="1"/>
      </c>
      <c r="DL312">
        <f ca="1"/>
      </c>
      <c r="DM312">
        <f ca="1"/>
      </c>
      <c r="DN312">
        <f ca="1"/>
      </c>
      <c r="DO312">
        <f ca="1"/>
      </c>
      <c r="DP312">
        <f ca="1"/>
      </c>
      <c r="DQ312">
        <f ca="1"/>
      </c>
      <c r="DR312">
        <f ca="1"/>
      </c>
      <c r="DS312">
        <f ca="1"/>
      </c>
      <c r="DT312">
        <f ca="1"/>
      </c>
      <c r="DU312">
        <f ca="1"/>
      </c>
      <c r="DV312">
        <f ca="1"/>
      </c>
      <c r="DW312">
        <f ca="1"/>
      </c>
      <c r="DX312">
        <f ca="1"/>
      </c>
      <c r="DY312">
        <f ca="1"/>
      </c>
      <c r="DZ312">
        <f ca="1"/>
      </c>
      <c r="EA312">
        <f ca="1"/>
      </c>
      <c r="EB312">
        <f ca="1"/>
      </c>
      <c r="EC312">
        <f ca="1"/>
      </c>
      <c r="ED312">
        <f ca="1"/>
      </c>
      <c r="EE312">
        <f ca="1"/>
      </c>
      <c r="EF312">
        <f ca="1"/>
      </c>
      <c r="EG312">
        <f ca="1"/>
      </c>
      <c r="EH312">
        <f ca="1"/>
      </c>
      <c r="EI312">
        <f ca="1"/>
      </c>
      <c r="EJ312">
        <f ca="1"/>
      </c>
      <c r="EK312">
        <f ca="1"/>
      </c>
      <c r="EL312">
        <f ca="1"/>
      </c>
      <c r="EM312">
        <f ca="1"/>
      </c>
      <c r="EN312">
        <f ca="1"/>
      </c>
      <c r="EO312">
        <f ca="1"/>
      </c>
      <c r="EP312">
        <f ca="1"/>
      </c>
      <c r="EQ312">
        <f ca="1"/>
      </c>
      <c r="ER312">
        <f ca="1"/>
      </c>
      <c r="ES312">
        <f ca="1"/>
      </c>
      <c r="ET312">
        <f ca="1"/>
      </c>
      <c r="EU312">
        <f ca="1"/>
      </c>
      <c r="EV312">
        <f ca="1"/>
      </c>
      <c r="EW312">
        <f ca="1"/>
      </c>
      <c r="EX312">
        <f ca="1"/>
      </c>
      <c r="EY312">
        <f ca="1"/>
      </c>
      <c r="EZ312">
        <f ca="1"/>
      </c>
      <c r="FA312">
        <f ca="1"/>
      </c>
      <c r="FC312">
        <f ca="1"/>
      </c>
      <c r="FD312">
        <f ca="1"/>
      </c>
      <c r="FE312">
        <f ca="1"/>
      </c>
      <c r="FF312">
        <f ca="1"/>
      </c>
      <c r="FG312">
        <f ca="1"/>
      </c>
      <c r="FH312">
        <f ca="1"/>
      </c>
      <c r="FI312">
        <f ca="1"/>
      </c>
      <c r="FJ312">
        <f ca="1"/>
      </c>
      <c r="FK312">
        <f ca="1"/>
      </c>
      <c r="FL312">
        <f ca="1"/>
      </c>
      <c r="FM312">
        <f ca="1"/>
      </c>
      <c r="FN312">
        <f ca="1"/>
      </c>
      <c r="FO312">
        <f ca="1"/>
      </c>
      <c r="FP312">
        <f ca="1"/>
      </c>
      <c r="FQ312">
        <f ca="1"/>
      </c>
      <c r="FR312">
        <f ca="1"/>
      </c>
      <c r="FS312">
        <f ca="1"/>
      </c>
      <c r="FT312">
        <f ca="1"/>
      </c>
      <c r="FU312">
        <f ca="1"/>
      </c>
      <c r="FV312">
        <f ca="1"/>
      </c>
      <c r="FW312">
        <f ca="1"/>
      </c>
      <c r="FX312">
        <f ca="1"/>
      </c>
      <c r="FY312">
        <f ca="1"/>
      </c>
      <c r="FZ312">
        <f ca="1"/>
      </c>
      <c r="GA312">
        <f ca="1"/>
      </c>
      <c r="GB312">
        <f ca="1"/>
      </c>
      <c r="GC312">
        <f ca="1"/>
      </c>
      <c r="GD312">
        <f ca="1"/>
      </c>
      <c r="GE312">
        <f ca="1"/>
      </c>
      <c r="GF312">
        <f ca="1"/>
      </c>
      <c r="GG312">
        <f ca="1"/>
      </c>
      <c r="GH312">
        <f ca="1"/>
      </c>
      <c r="GI312">
        <f ca="1"/>
      </c>
      <c r="GJ312">
        <f ca="1"/>
      </c>
      <c r="GK312">
        <f ca="1"/>
      </c>
      <c r="GL312">
        <f ca="1"/>
      </c>
      <c r="GM312">
        <f ca="1"/>
      </c>
      <c r="GN312">
        <f ca="1"/>
      </c>
      <c r="GO312">
        <f ca="1"/>
      </c>
      <c r="GP312">
        <f ca="1"/>
      </c>
      <c r="GQ312">
        <f ca="1"/>
      </c>
      <c r="GR312">
        <f ca="1"/>
      </c>
      <c r="GS312">
        <f ca="1"/>
      </c>
      <c r="GT312">
        <f ca="1"/>
      </c>
      <c r="GU312">
        <f ca="1"/>
      </c>
      <c r="GV312">
        <f ca="1"/>
      </c>
      <c r="GW312">
        <f ca="1"/>
      </c>
      <c r="HI312" s="7"/>
    </row>
    <row r="313" spans="63:217" x14ac:dyDescent="0.55000000000000004">
      <c r="BK313">
        <f ca="1"/>
      </c>
      <c r="BL313">
        <f ca="1"/>
      </c>
      <c r="BM313">
        <f ca="1"/>
      </c>
      <c r="BN313">
        <f ca="1"/>
      </c>
      <c r="BO313">
        <f ca="1"/>
      </c>
      <c r="BP313">
        <f ca="1"/>
      </c>
      <c r="BQ313">
        <f ca="1"/>
      </c>
      <c r="BR313">
        <f ca="1"/>
      </c>
      <c r="BS313">
        <f ca="1"/>
      </c>
      <c r="BT313">
        <f ca="1"/>
      </c>
      <c r="BU313">
        <f ca="1"/>
      </c>
      <c r="BV313">
        <f ca="1"/>
      </c>
      <c r="BW313">
        <f ca="1"/>
      </c>
      <c r="BX313">
        <f ca="1"/>
      </c>
      <c r="BY313">
        <f ca="1"/>
      </c>
      <c r="BZ313">
        <f ca="1"/>
      </c>
      <c r="CA313">
        <f ca="1"/>
      </c>
      <c r="CB313">
        <f ca="1"/>
      </c>
      <c r="CC313">
        <f ca="1"/>
      </c>
      <c r="CD313">
        <f ca="1"/>
      </c>
      <c r="CE313">
        <f ca="1"/>
      </c>
      <c r="CF313">
        <f ca="1"/>
      </c>
      <c r="CG313">
        <f ca="1"/>
      </c>
      <c r="CH313">
        <f ca="1"/>
      </c>
      <c r="CI313">
        <f ca="1"/>
      </c>
      <c r="CJ313">
        <f ca="1"/>
      </c>
      <c r="CK313">
        <f ca="1"/>
      </c>
      <c r="CL313">
        <f ca="1"/>
      </c>
      <c r="CM313">
        <f ca="1"/>
      </c>
      <c r="CN313">
        <f ca="1"/>
      </c>
      <c r="CO313">
        <f ca="1"/>
      </c>
      <c r="CP313">
        <f ca="1"/>
      </c>
      <c r="CQ313">
        <f ca="1"/>
      </c>
      <c r="CR313">
        <f ca="1"/>
      </c>
      <c r="CS313">
        <f ca="1"/>
      </c>
      <c r="CT313">
        <f ca="1"/>
      </c>
      <c r="CU313">
        <f ca="1"/>
      </c>
      <c r="CV313">
        <f ca="1"/>
      </c>
      <c r="CW313">
        <f ca="1"/>
      </c>
      <c r="CX313">
        <f ca="1"/>
      </c>
      <c r="CY313">
        <f ca="1"/>
      </c>
      <c r="CZ313">
        <f ca="1"/>
      </c>
      <c r="DA313">
        <f ca="1"/>
      </c>
      <c r="DB313">
        <f ca="1"/>
      </c>
      <c r="DC313">
        <f ca="1"/>
      </c>
      <c r="DD313">
        <f ca="1"/>
      </c>
      <c r="DE313">
        <f ca="1"/>
      </c>
      <c r="DG313">
        <f ca="1"/>
      </c>
      <c r="DH313">
        <f ca="1"/>
      </c>
      <c r="DI313">
        <f ca="1"/>
      </c>
      <c r="DJ313">
        <f ca="1"/>
      </c>
      <c r="DK313">
        <f ca="1"/>
      </c>
      <c r="DL313">
        <f ca="1"/>
      </c>
      <c r="DM313">
        <f ca="1"/>
      </c>
      <c r="DN313">
        <f ca="1"/>
      </c>
      <c r="DO313">
        <f ca="1"/>
      </c>
      <c r="DP313">
        <f ca="1"/>
      </c>
      <c r="DQ313">
        <f ca="1"/>
      </c>
      <c r="DR313">
        <f ca="1"/>
      </c>
      <c r="DS313">
        <f ca="1"/>
      </c>
      <c r="DT313">
        <f ca="1"/>
      </c>
      <c r="DU313">
        <f ca="1"/>
      </c>
      <c r="DV313">
        <f ca="1"/>
      </c>
      <c r="DW313">
        <f ca="1"/>
      </c>
      <c r="DX313">
        <f ca="1"/>
      </c>
      <c r="DY313">
        <f ca="1"/>
      </c>
      <c r="DZ313">
        <f ca="1"/>
      </c>
      <c r="EA313">
        <f ca="1"/>
      </c>
      <c r="EB313">
        <f ca="1"/>
      </c>
      <c r="EC313">
        <f ca="1"/>
      </c>
      <c r="ED313">
        <f ca="1"/>
      </c>
      <c r="EE313">
        <f ca="1"/>
      </c>
      <c r="EF313">
        <f ca="1"/>
      </c>
      <c r="EG313">
        <f ca="1"/>
      </c>
      <c r="EH313">
        <f ca="1"/>
      </c>
      <c r="EI313">
        <f ca="1"/>
      </c>
      <c r="EJ313">
        <f ca="1"/>
      </c>
      <c r="EK313">
        <f ca="1"/>
      </c>
      <c r="EL313">
        <f ca="1"/>
      </c>
      <c r="EM313">
        <f ca="1"/>
      </c>
      <c r="EN313">
        <f ca="1"/>
      </c>
      <c r="EO313">
        <f ca="1"/>
      </c>
      <c r="EP313">
        <f ca="1"/>
      </c>
      <c r="EQ313">
        <f ca="1"/>
      </c>
      <c r="ER313">
        <f ca="1"/>
      </c>
      <c r="ES313">
        <f ca="1"/>
      </c>
      <c r="ET313">
        <f ca="1"/>
      </c>
      <c r="EU313">
        <f ca="1"/>
      </c>
      <c r="EV313">
        <f ca="1"/>
      </c>
      <c r="EW313">
        <f ca="1"/>
      </c>
      <c r="EX313">
        <f ca="1"/>
      </c>
      <c r="EY313">
        <f ca="1"/>
      </c>
      <c r="EZ313">
        <f ca="1"/>
      </c>
      <c r="FA313">
        <f ca="1"/>
      </c>
      <c r="FC313">
        <f ca="1"/>
      </c>
      <c r="FD313">
        <f ca="1"/>
      </c>
      <c r="FE313">
        <f ca="1"/>
      </c>
      <c r="FF313">
        <f ca="1"/>
      </c>
      <c r="FG313">
        <f ca="1"/>
      </c>
      <c r="FH313">
        <f ca="1"/>
      </c>
      <c r="FI313">
        <f ca="1"/>
      </c>
      <c r="FJ313">
        <f ca="1"/>
      </c>
      <c r="FK313">
        <f ca="1"/>
      </c>
      <c r="FL313">
        <f ca="1"/>
      </c>
      <c r="FM313">
        <f ca="1"/>
      </c>
      <c r="FN313">
        <f ca="1"/>
      </c>
      <c r="FO313">
        <f ca="1"/>
      </c>
      <c r="FP313">
        <f ca="1"/>
      </c>
      <c r="FQ313">
        <f ca="1"/>
      </c>
      <c r="FR313">
        <f ca="1"/>
      </c>
      <c r="FS313">
        <f ca="1"/>
      </c>
      <c r="FT313">
        <f ca="1"/>
      </c>
      <c r="FU313">
        <f ca="1"/>
      </c>
      <c r="FV313">
        <f ca="1"/>
      </c>
      <c r="FW313">
        <f ca="1"/>
      </c>
      <c r="FX313">
        <f ca="1"/>
      </c>
      <c r="FY313">
        <f ca="1"/>
      </c>
      <c r="FZ313">
        <f ca="1"/>
      </c>
      <c r="GA313">
        <f ca="1"/>
      </c>
      <c r="GB313">
        <f ca="1"/>
      </c>
      <c r="GC313">
        <f ca="1"/>
      </c>
      <c r="GD313">
        <f ca="1"/>
      </c>
      <c r="GE313">
        <f ca="1"/>
      </c>
      <c r="GF313">
        <f ca="1"/>
      </c>
      <c r="GG313">
        <f ca="1"/>
      </c>
      <c r="GH313">
        <f ca="1"/>
      </c>
      <c r="GI313">
        <f ca="1"/>
      </c>
      <c r="GJ313">
        <f ca="1"/>
      </c>
      <c r="GK313">
        <f ca="1"/>
      </c>
      <c r="GL313">
        <f ca="1"/>
      </c>
      <c r="GM313">
        <f ca="1"/>
      </c>
      <c r="GN313">
        <f ca="1"/>
      </c>
      <c r="GO313">
        <f ca="1"/>
      </c>
      <c r="GP313">
        <f ca="1"/>
      </c>
      <c r="GQ313">
        <f ca="1"/>
      </c>
      <c r="GR313">
        <f ca="1"/>
      </c>
      <c r="GS313">
        <f ca="1"/>
      </c>
      <c r="GT313">
        <f ca="1"/>
      </c>
      <c r="GU313">
        <f ca="1"/>
      </c>
      <c r="GV313">
        <f ca="1"/>
      </c>
      <c r="GW313">
        <f ca="1"/>
      </c>
      <c r="HI313" s="7"/>
    </row>
    <row r="314" spans="63:217" x14ac:dyDescent="0.55000000000000004">
      <c r="BK314">
        <f ca="1"/>
      </c>
      <c r="BL314">
        <f ca="1"/>
      </c>
      <c r="BM314">
        <f ca="1"/>
      </c>
      <c r="BN314">
        <f ca="1"/>
      </c>
      <c r="BO314">
        <f ca="1"/>
      </c>
      <c r="BP314">
        <f ca="1"/>
      </c>
      <c r="BQ314">
        <f ca="1"/>
      </c>
      <c r="BR314">
        <f ca="1"/>
      </c>
      <c r="BS314">
        <f ca="1"/>
      </c>
      <c r="BT314">
        <f ca="1"/>
      </c>
      <c r="BU314">
        <f ca="1"/>
      </c>
      <c r="BV314">
        <f ca="1"/>
      </c>
      <c r="BW314">
        <f ca="1"/>
      </c>
      <c r="BX314">
        <f ca="1"/>
      </c>
      <c r="BY314">
        <f ca="1"/>
      </c>
      <c r="BZ314">
        <f ca="1"/>
      </c>
      <c r="CA314">
        <f ca="1"/>
      </c>
      <c r="CB314">
        <f ca="1"/>
      </c>
      <c r="CC314">
        <f ca="1"/>
      </c>
      <c r="CD314">
        <f ca="1"/>
      </c>
      <c r="CE314">
        <f ca="1"/>
      </c>
      <c r="CF314">
        <f ca="1"/>
      </c>
      <c r="CG314">
        <f ca="1"/>
      </c>
      <c r="CH314">
        <f ca="1"/>
      </c>
      <c r="CI314">
        <f ca="1"/>
      </c>
      <c r="CJ314">
        <f ca="1"/>
      </c>
      <c r="CK314">
        <f ca="1"/>
      </c>
      <c r="CL314">
        <f ca="1"/>
      </c>
      <c r="CM314">
        <f ca="1"/>
      </c>
      <c r="CN314">
        <f ca="1"/>
      </c>
      <c r="CO314">
        <f ca="1"/>
      </c>
      <c r="CP314">
        <f ca="1"/>
      </c>
      <c r="CQ314">
        <f ca="1"/>
      </c>
      <c r="CR314">
        <f ca="1"/>
      </c>
      <c r="CS314">
        <f ca="1"/>
      </c>
      <c r="CT314">
        <f ca="1"/>
      </c>
      <c r="CU314">
        <f ca="1"/>
      </c>
      <c r="CV314">
        <f ca="1"/>
      </c>
      <c r="CW314">
        <f ca="1"/>
      </c>
      <c r="CX314">
        <f ca="1"/>
      </c>
      <c r="CY314">
        <f ca="1"/>
      </c>
      <c r="CZ314">
        <f ca="1"/>
      </c>
      <c r="DA314">
        <f ca="1"/>
      </c>
      <c r="DB314">
        <f ca="1"/>
      </c>
      <c r="DC314">
        <f ca="1"/>
      </c>
      <c r="DD314">
        <f ca="1"/>
      </c>
      <c r="DE314">
        <f ca="1"/>
      </c>
      <c r="DG314">
        <f ca="1"/>
      </c>
      <c r="DH314">
        <f ca="1"/>
      </c>
      <c r="DI314">
        <f ca="1"/>
      </c>
      <c r="DJ314">
        <f ca="1"/>
      </c>
      <c r="DK314">
        <f ca="1"/>
      </c>
      <c r="DL314">
        <f ca="1"/>
      </c>
      <c r="DM314">
        <f ca="1"/>
      </c>
      <c r="DN314">
        <f ca="1"/>
      </c>
      <c r="DO314">
        <f ca="1"/>
      </c>
      <c r="DP314">
        <f ca="1"/>
      </c>
      <c r="DQ314">
        <f ca="1"/>
      </c>
      <c r="DR314">
        <f ca="1"/>
      </c>
      <c r="DS314">
        <f ca="1"/>
      </c>
      <c r="DT314">
        <f ca="1"/>
      </c>
      <c r="DU314">
        <f ca="1"/>
      </c>
      <c r="DV314">
        <f ca="1"/>
      </c>
      <c r="DW314">
        <f ca="1"/>
      </c>
      <c r="DX314">
        <f ca="1"/>
      </c>
      <c r="DY314">
        <f ca="1"/>
      </c>
      <c r="DZ314">
        <f ca="1"/>
      </c>
      <c r="EA314">
        <f ca="1"/>
      </c>
      <c r="EB314">
        <f ca="1"/>
      </c>
      <c r="EC314">
        <f ca="1"/>
      </c>
      <c r="ED314">
        <f ca="1"/>
      </c>
      <c r="EE314">
        <f ca="1"/>
      </c>
      <c r="EF314">
        <f ca="1"/>
      </c>
      <c r="EG314">
        <f ca="1"/>
      </c>
      <c r="EH314">
        <f ca="1"/>
      </c>
      <c r="EI314">
        <f ca="1"/>
      </c>
      <c r="EJ314">
        <f ca="1"/>
      </c>
      <c r="EK314">
        <f ca="1"/>
      </c>
      <c r="EL314">
        <f ca="1"/>
      </c>
      <c r="EM314">
        <f ca="1"/>
      </c>
      <c r="EN314">
        <f ca="1"/>
      </c>
      <c r="EO314">
        <f ca="1"/>
      </c>
      <c r="EP314">
        <f ca="1"/>
      </c>
      <c r="EQ314">
        <f ca="1"/>
      </c>
      <c r="ER314">
        <f ca="1"/>
      </c>
      <c r="ES314">
        <f ca="1"/>
      </c>
      <c r="ET314">
        <f ca="1"/>
      </c>
      <c r="EU314">
        <f ca="1"/>
      </c>
      <c r="EV314">
        <f ca="1"/>
      </c>
      <c r="EW314">
        <f ca="1"/>
      </c>
      <c r="EX314">
        <f ca="1"/>
      </c>
      <c r="EY314">
        <f ca="1"/>
      </c>
      <c r="EZ314">
        <f ca="1"/>
      </c>
      <c r="FA314">
        <f ca="1"/>
      </c>
      <c r="FC314">
        <f ca="1"/>
      </c>
      <c r="FD314">
        <f ca="1"/>
      </c>
      <c r="FE314">
        <f ca="1"/>
      </c>
      <c r="FF314">
        <f ca="1"/>
      </c>
      <c r="FG314">
        <f ca="1"/>
      </c>
      <c r="FH314">
        <f ca="1"/>
      </c>
      <c r="FI314">
        <f ca="1"/>
      </c>
      <c r="FJ314">
        <f ca="1"/>
      </c>
      <c r="FK314">
        <f ca="1"/>
      </c>
      <c r="FL314">
        <f ca="1"/>
      </c>
      <c r="FM314">
        <f ca="1"/>
      </c>
      <c r="FN314">
        <f ca="1"/>
      </c>
      <c r="FO314">
        <f ca="1"/>
      </c>
      <c r="FP314">
        <f ca="1"/>
      </c>
      <c r="FQ314">
        <f ca="1"/>
      </c>
      <c r="FR314">
        <f ca="1"/>
      </c>
      <c r="FS314">
        <f ca="1"/>
      </c>
      <c r="FT314">
        <f ca="1"/>
      </c>
      <c r="FU314">
        <f ca="1"/>
      </c>
      <c r="FV314">
        <f ca="1"/>
      </c>
      <c r="FW314">
        <f ca="1"/>
      </c>
      <c r="FX314">
        <f ca="1"/>
      </c>
      <c r="FY314">
        <f ca="1"/>
      </c>
      <c r="FZ314">
        <f ca="1"/>
      </c>
      <c r="GA314">
        <f ca="1"/>
      </c>
      <c r="GB314">
        <f ca="1"/>
      </c>
      <c r="GC314">
        <f ca="1"/>
      </c>
      <c r="GD314">
        <f ca="1"/>
      </c>
      <c r="GE314">
        <f ca="1"/>
      </c>
      <c r="GF314">
        <f ca="1"/>
      </c>
      <c r="GG314">
        <f ca="1"/>
      </c>
      <c r="GH314">
        <f ca="1"/>
      </c>
      <c r="GI314">
        <f ca="1"/>
      </c>
      <c r="GJ314">
        <f ca="1"/>
      </c>
      <c r="GK314">
        <f ca="1"/>
      </c>
      <c r="GL314">
        <f ca="1"/>
      </c>
      <c r="GM314">
        <f ca="1"/>
      </c>
      <c r="GN314">
        <f ca="1"/>
      </c>
      <c r="GO314">
        <f ca="1"/>
      </c>
      <c r="GP314">
        <f ca="1"/>
      </c>
      <c r="GQ314">
        <f ca="1"/>
      </c>
      <c r="GR314">
        <f ca="1"/>
      </c>
      <c r="GS314">
        <f ca="1"/>
      </c>
      <c r="GT314">
        <f ca="1"/>
      </c>
      <c r="GU314">
        <f ca="1"/>
      </c>
      <c r="GV314">
        <f ca="1"/>
      </c>
      <c r="GW314">
        <f ca="1"/>
      </c>
      <c r="HI314" s="7"/>
    </row>
    <row r="315" spans="63:217" x14ac:dyDescent="0.55000000000000004">
      <c r="BK315">
        <f ca="1"/>
      </c>
      <c r="BL315">
        <f ca="1"/>
      </c>
      <c r="BM315">
        <f ca="1"/>
      </c>
      <c r="BN315">
        <f ca="1"/>
      </c>
      <c r="BO315">
        <f ca="1"/>
      </c>
      <c r="BP315">
        <f ca="1"/>
      </c>
      <c r="BQ315">
        <f ca="1"/>
      </c>
      <c r="BR315">
        <f ca="1"/>
      </c>
      <c r="BS315">
        <f ca="1"/>
      </c>
      <c r="BT315">
        <f ca="1"/>
      </c>
      <c r="BU315">
        <f ca="1"/>
      </c>
      <c r="BV315">
        <f ca="1"/>
      </c>
      <c r="BW315">
        <f ca="1"/>
      </c>
      <c r="BX315">
        <f ca="1"/>
      </c>
      <c r="BY315">
        <f ca="1"/>
      </c>
      <c r="BZ315">
        <f ca="1"/>
      </c>
      <c r="CA315">
        <f ca="1"/>
      </c>
      <c r="CB315">
        <f ca="1"/>
      </c>
      <c r="CC315">
        <f ca="1"/>
      </c>
      <c r="CD315">
        <f ca="1"/>
      </c>
      <c r="CE315">
        <f ca="1"/>
      </c>
      <c r="CF315">
        <f ca="1"/>
      </c>
      <c r="CG315">
        <f ca="1"/>
      </c>
      <c r="CH315">
        <f ca="1"/>
      </c>
      <c r="CI315">
        <f ca="1"/>
      </c>
      <c r="CJ315">
        <f ca="1"/>
      </c>
      <c r="CK315">
        <f ca="1"/>
      </c>
      <c r="CL315">
        <f ca="1"/>
      </c>
      <c r="CM315">
        <f ca="1"/>
      </c>
      <c r="CN315">
        <f ca="1"/>
      </c>
      <c r="CO315">
        <f ca="1"/>
      </c>
      <c r="CP315">
        <f ca="1"/>
      </c>
      <c r="CQ315">
        <f ca="1"/>
      </c>
      <c r="CR315">
        <f ca="1"/>
      </c>
      <c r="CS315">
        <f ca="1"/>
      </c>
      <c r="CT315">
        <f ca="1"/>
      </c>
      <c r="CU315">
        <f ca="1"/>
      </c>
      <c r="CV315">
        <f ca="1"/>
      </c>
      <c r="CW315">
        <f ca="1"/>
      </c>
      <c r="CX315">
        <f ca="1"/>
      </c>
      <c r="CY315">
        <f ca="1"/>
      </c>
      <c r="CZ315">
        <f ca="1"/>
      </c>
      <c r="DA315">
        <f ca="1"/>
      </c>
      <c r="DB315">
        <f ca="1"/>
      </c>
      <c r="DC315">
        <f ca="1"/>
      </c>
      <c r="DD315">
        <f ca="1"/>
      </c>
      <c r="DE315">
        <f ca="1"/>
      </c>
      <c r="DG315">
        <f ca="1"/>
      </c>
      <c r="DH315">
        <f ca="1"/>
      </c>
      <c r="DI315">
        <f ca="1"/>
      </c>
      <c r="DJ315">
        <f ca="1"/>
      </c>
      <c r="DK315">
        <f ca="1"/>
      </c>
      <c r="DL315">
        <f ca="1"/>
      </c>
      <c r="DM315">
        <f ca="1"/>
      </c>
      <c r="DN315">
        <f ca="1"/>
      </c>
      <c r="DO315">
        <f ca="1"/>
      </c>
      <c r="DP315">
        <f ca="1"/>
      </c>
      <c r="DQ315">
        <f ca="1"/>
      </c>
      <c r="DR315">
        <f ca="1"/>
      </c>
      <c r="DS315">
        <f ca="1"/>
      </c>
      <c r="DT315">
        <f ca="1"/>
      </c>
      <c r="DU315">
        <f ca="1"/>
      </c>
      <c r="DV315">
        <f ca="1"/>
      </c>
      <c r="DW315">
        <f ca="1"/>
      </c>
      <c r="DX315">
        <f ca="1"/>
      </c>
      <c r="DY315">
        <f ca="1"/>
      </c>
      <c r="DZ315">
        <f ca="1"/>
      </c>
      <c r="EA315">
        <f ca="1"/>
      </c>
      <c r="EB315">
        <f ca="1"/>
      </c>
      <c r="EC315">
        <f ca="1"/>
      </c>
      <c r="ED315">
        <f ca="1"/>
      </c>
      <c r="EE315">
        <f ca="1"/>
      </c>
      <c r="EF315">
        <f ca="1"/>
      </c>
      <c r="EG315">
        <f ca="1"/>
      </c>
      <c r="EH315">
        <f ca="1"/>
      </c>
      <c r="EI315">
        <f ca="1"/>
      </c>
      <c r="EJ315">
        <f ca="1"/>
      </c>
      <c r="EK315">
        <f ca="1"/>
      </c>
      <c r="EL315">
        <f ca="1"/>
      </c>
      <c r="EM315">
        <f ca="1"/>
      </c>
      <c r="EN315">
        <f ca="1"/>
      </c>
      <c r="EO315">
        <f ca="1"/>
      </c>
      <c r="EP315">
        <f ca="1"/>
      </c>
      <c r="EQ315">
        <f ca="1"/>
      </c>
      <c r="ER315">
        <f ca="1"/>
      </c>
      <c r="ES315">
        <f ca="1"/>
      </c>
      <c r="ET315">
        <f ca="1"/>
      </c>
      <c r="EU315">
        <f ca="1"/>
      </c>
      <c r="EV315">
        <f ca="1"/>
      </c>
      <c r="EW315">
        <f ca="1"/>
      </c>
      <c r="EX315">
        <f ca="1"/>
      </c>
      <c r="EY315">
        <f ca="1"/>
      </c>
      <c r="EZ315">
        <f ca="1"/>
      </c>
      <c r="FA315">
        <f ca="1"/>
      </c>
      <c r="FC315">
        <f ca="1"/>
      </c>
      <c r="FD315">
        <f ca="1"/>
      </c>
      <c r="FE315">
        <f ca="1"/>
      </c>
      <c r="FF315">
        <f ca="1"/>
      </c>
      <c r="FG315">
        <f ca="1"/>
      </c>
      <c r="FH315">
        <f ca="1"/>
      </c>
      <c r="FI315">
        <f ca="1"/>
      </c>
      <c r="FJ315">
        <f ca="1"/>
      </c>
      <c r="FK315">
        <f ca="1"/>
      </c>
      <c r="FL315">
        <f ca="1"/>
      </c>
      <c r="FM315">
        <f ca="1"/>
      </c>
      <c r="FN315">
        <f ca="1"/>
      </c>
      <c r="FO315">
        <f ca="1"/>
      </c>
      <c r="FP315">
        <f ca="1"/>
      </c>
      <c r="FQ315">
        <f ca="1"/>
      </c>
      <c r="FR315">
        <f ca="1"/>
      </c>
      <c r="FS315">
        <f ca="1"/>
      </c>
      <c r="FT315">
        <f ca="1"/>
      </c>
      <c r="FU315">
        <f ca="1"/>
      </c>
      <c r="FV315">
        <f ca="1"/>
      </c>
      <c r="FW315">
        <f ca="1"/>
      </c>
      <c r="FX315">
        <f ca="1"/>
      </c>
      <c r="FY315">
        <f ca="1"/>
      </c>
      <c r="FZ315">
        <f ca="1"/>
      </c>
      <c r="GA315">
        <f ca="1"/>
      </c>
      <c r="GB315">
        <f ca="1"/>
      </c>
      <c r="GC315">
        <f ca="1"/>
      </c>
      <c r="GD315">
        <f ca="1"/>
      </c>
      <c r="GE315">
        <f ca="1"/>
      </c>
      <c r="GF315">
        <f ca="1"/>
      </c>
      <c r="GG315">
        <f ca="1"/>
      </c>
      <c r="GH315">
        <f ca="1"/>
      </c>
      <c r="GI315">
        <f ca="1"/>
      </c>
      <c r="GJ315">
        <f ca="1"/>
      </c>
      <c r="GK315">
        <f ca="1"/>
      </c>
      <c r="GL315">
        <f ca="1"/>
      </c>
      <c r="GM315">
        <f ca="1"/>
      </c>
      <c r="GN315">
        <f ca="1"/>
      </c>
      <c r="GO315">
        <f ca="1"/>
      </c>
      <c r="GP315">
        <f ca="1"/>
      </c>
      <c r="GQ315">
        <f ca="1"/>
      </c>
      <c r="GR315">
        <f ca="1"/>
      </c>
      <c r="GS315">
        <f ca="1"/>
      </c>
      <c r="GT315">
        <f ca="1"/>
      </c>
      <c r="GU315">
        <f ca="1"/>
      </c>
      <c r="GV315">
        <f ca="1"/>
      </c>
      <c r="GW315">
        <f ca="1"/>
      </c>
      <c r="HI315" s="7"/>
    </row>
    <row r="316" spans="63:217" x14ac:dyDescent="0.55000000000000004">
      <c r="BK316">
        <f ca="1"/>
      </c>
      <c r="BL316">
        <f ca="1"/>
      </c>
      <c r="BM316">
        <f ca="1"/>
      </c>
      <c r="BN316">
        <f ca="1"/>
      </c>
      <c r="BO316">
        <f ca="1"/>
      </c>
      <c r="BP316">
        <f ca="1"/>
      </c>
      <c r="BQ316">
        <f ca="1"/>
      </c>
      <c r="BR316">
        <f ca="1"/>
      </c>
      <c r="BS316">
        <f ca="1"/>
      </c>
      <c r="BT316">
        <f ca="1"/>
      </c>
      <c r="BU316">
        <f ca="1"/>
      </c>
      <c r="BV316">
        <f ca="1"/>
      </c>
      <c r="BW316">
        <f ca="1"/>
      </c>
      <c r="BX316">
        <f ca="1"/>
      </c>
      <c r="BY316">
        <f ca="1"/>
      </c>
      <c r="BZ316">
        <f ca="1"/>
      </c>
      <c r="CA316">
        <f ca="1"/>
      </c>
      <c r="CB316">
        <f ca="1"/>
      </c>
      <c r="CC316">
        <f ca="1"/>
      </c>
      <c r="CD316">
        <f ca="1"/>
      </c>
      <c r="CE316">
        <f ca="1"/>
      </c>
      <c r="CF316">
        <f ca="1"/>
      </c>
      <c r="CG316">
        <f ca="1"/>
      </c>
      <c r="CH316">
        <f ca="1"/>
      </c>
      <c r="CI316">
        <f ca="1"/>
      </c>
      <c r="CJ316">
        <f ca="1"/>
      </c>
      <c r="CK316">
        <f ca="1"/>
      </c>
      <c r="CL316">
        <f ca="1"/>
      </c>
      <c r="CM316">
        <f ca="1"/>
      </c>
      <c r="CN316">
        <f ca="1"/>
      </c>
      <c r="CO316">
        <f ca="1"/>
      </c>
      <c r="CP316">
        <f ca="1"/>
      </c>
      <c r="CQ316">
        <f ca="1"/>
      </c>
      <c r="CR316">
        <f ca="1"/>
      </c>
      <c r="CS316">
        <f ca="1"/>
      </c>
      <c r="CT316">
        <f ca="1"/>
      </c>
      <c r="CU316">
        <f ca="1"/>
      </c>
      <c r="CV316">
        <f ca="1"/>
      </c>
      <c r="CW316">
        <f ca="1"/>
      </c>
      <c r="CX316">
        <f ca="1"/>
      </c>
      <c r="CY316">
        <f ca="1"/>
      </c>
      <c r="CZ316">
        <f ca="1"/>
      </c>
      <c r="DA316">
        <f ca="1"/>
      </c>
      <c r="DB316">
        <f ca="1"/>
      </c>
      <c r="DC316">
        <f ca="1"/>
      </c>
      <c r="DD316">
        <f ca="1"/>
      </c>
      <c r="DE316">
        <f ca="1"/>
      </c>
      <c r="DG316">
        <f ca="1"/>
      </c>
      <c r="DH316">
        <f ca="1"/>
      </c>
      <c r="DI316">
        <f ca="1"/>
      </c>
      <c r="DJ316">
        <f ca="1"/>
      </c>
      <c r="DK316">
        <f ca="1"/>
      </c>
      <c r="DL316">
        <f ca="1"/>
      </c>
      <c r="DM316">
        <f ca="1"/>
      </c>
      <c r="DN316">
        <f ca="1"/>
      </c>
      <c r="DO316">
        <f ca="1"/>
      </c>
      <c r="DP316">
        <f ca="1"/>
      </c>
      <c r="DQ316">
        <f ca="1"/>
      </c>
      <c r="DR316">
        <f ca="1"/>
      </c>
      <c r="DS316">
        <f ca="1"/>
      </c>
      <c r="DT316">
        <f ca="1"/>
      </c>
      <c r="DU316">
        <f ca="1"/>
      </c>
      <c r="DV316">
        <f ca="1"/>
      </c>
      <c r="DW316">
        <f ca="1"/>
      </c>
      <c r="DX316">
        <f ca="1"/>
      </c>
      <c r="DY316">
        <f ca="1"/>
      </c>
      <c r="DZ316">
        <f ca="1"/>
      </c>
      <c r="EA316">
        <f ca="1"/>
      </c>
      <c r="EB316">
        <f ca="1"/>
      </c>
      <c r="EC316">
        <f ca="1"/>
      </c>
      <c r="ED316">
        <f ca="1"/>
      </c>
      <c r="EE316">
        <f ca="1"/>
      </c>
      <c r="EF316">
        <f ca="1"/>
      </c>
      <c r="EG316">
        <f ca="1"/>
      </c>
      <c r="EH316">
        <f ca="1"/>
      </c>
      <c r="EI316">
        <f ca="1"/>
      </c>
      <c r="EJ316">
        <f ca="1"/>
      </c>
      <c r="EK316">
        <f ca="1"/>
      </c>
      <c r="EL316">
        <f ca="1"/>
      </c>
      <c r="EM316">
        <f ca="1"/>
      </c>
      <c r="EN316">
        <f ca="1"/>
      </c>
      <c r="EO316">
        <f ca="1"/>
      </c>
      <c r="EP316">
        <f ca="1"/>
      </c>
      <c r="EQ316">
        <f ca="1"/>
      </c>
      <c r="ER316">
        <f ca="1"/>
      </c>
      <c r="ES316">
        <f ca="1"/>
      </c>
      <c r="ET316">
        <f ca="1"/>
      </c>
      <c r="EU316">
        <f ca="1"/>
      </c>
      <c r="EV316">
        <f ca="1"/>
      </c>
      <c r="EW316">
        <f ca="1"/>
      </c>
      <c r="EX316">
        <f ca="1"/>
      </c>
      <c r="EY316">
        <f ca="1"/>
      </c>
      <c r="EZ316">
        <f ca="1"/>
      </c>
      <c r="FA316">
        <f ca="1"/>
      </c>
      <c r="FC316">
        <f ca="1"/>
      </c>
      <c r="FD316">
        <f ca="1"/>
      </c>
      <c r="FE316">
        <f ca="1"/>
      </c>
      <c r="FF316">
        <f ca="1"/>
      </c>
      <c r="FG316">
        <f ca="1"/>
      </c>
      <c r="FH316">
        <f ca="1"/>
      </c>
      <c r="FI316">
        <f ca="1"/>
      </c>
      <c r="FJ316">
        <f ca="1"/>
      </c>
      <c r="FK316">
        <f ca="1"/>
      </c>
      <c r="FL316">
        <f ca="1"/>
      </c>
      <c r="FM316">
        <f ca="1"/>
      </c>
      <c r="FN316">
        <f ca="1"/>
      </c>
      <c r="FO316">
        <f ca="1"/>
      </c>
      <c r="FP316">
        <f ca="1"/>
      </c>
      <c r="FQ316">
        <f ca="1"/>
      </c>
      <c r="FR316">
        <f ca="1"/>
      </c>
      <c r="FS316">
        <f ca="1"/>
      </c>
      <c r="FT316">
        <f ca="1"/>
      </c>
      <c r="FU316">
        <f ca="1"/>
      </c>
      <c r="FV316">
        <f ca="1"/>
      </c>
      <c r="FW316">
        <f ca="1"/>
      </c>
      <c r="FX316">
        <f ca="1"/>
      </c>
      <c r="FY316">
        <f ca="1"/>
      </c>
      <c r="FZ316">
        <f ca="1"/>
      </c>
      <c r="GA316">
        <f ca="1"/>
      </c>
      <c r="GB316">
        <f ca="1"/>
      </c>
      <c r="GC316">
        <f ca="1"/>
      </c>
      <c r="GD316">
        <f ca="1"/>
      </c>
      <c r="GE316">
        <f ca="1"/>
      </c>
      <c r="GF316">
        <f ca="1"/>
      </c>
      <c r="GG316">
        <f ca="1"/>
      </c>
      <c r="GH316">
        <f ca="1"/>
      </c>
      <c r="GI316">
        <f ca="1"/>
      </c>
      <c r="GJ316">
        <f ca="1"/>
      </c>
      <c r="GK316">
        <f ca="1"/>
      </c>
      <c r="GL316">
        <f ca="1"/>
      </c>
      <c r="GM316">
        <f ca="1"/>
      </c>
      <c r="GN316">
        <f ca="1"/>
      </c>
      <c r="GO316">
        <f ca="1"/>
      </c>
      <c r="GP316">
        <f ca="1"/>
      </c>
      <c r="GQ316">
        <f ca="1"/>
      </c>
      <c r="GR316">
        <f ca="1"/>
      </c>
      <c r="GS316">
        <f ca="1"/>
      </c>
      <c r="GT316">
        <f ca="1"/>
      </c>
      <c r="GU316">
        <f ca="1"/>
      </c>
      <c r="GV316">
        <f ca="1"/>
      </c>
      <c r="GW316">
        <f ca="1"/>
      </c>
      <c r="HI316" s="7"/>
    </row>
    <row r="317" spans="63:217" x14ac:dyDescent="0.55000000000000004">
      <c r="BK317">
        <f ca="1"/>
      </c>
      <c r="BL317">
        <f ca="1"/>
      </c>
      <c r="BM317">
        <f ca="1"/>
      </c>
      <c r="BN317">
        <f ca="1"/>
      </c>
      <c r="BO317">
        <f ca="1"/>
      </c>
      <c r="BP317">
        <f ca="1"/>
      </c>
      <c r="BQ317">
        <f ca="1"/>
      </c>
      <c r="BR317">
        <f ca="1"/>
      </c>
      <c r="BS317">
        <f ca="1"/>
      </c>
      <c r="BT317">
        <f ca="1"/>
      </c>
      <c r="BU317">
        <f ca="1"/>
      </c>
      <c r="BV317">
        <f ca="1"/>
      </c>
      <c r="BW317">
        <f ca="1"/>
      </c>
      <c r="BX317">
        <f ca="1"/>
      </c>
      <c r="BY317">
        <f ca="1"/>
      </c>
      <c r="BZ317">
        <f ca="1"/>
      </c>
      <c r="CA317">
        <f ca="1"/>
      </c>
      <c r="CB317">
        <f ca="1"/>
      </c>
      <c r="CC317">
        <f ca="1"/>
      </c>
      <c r="CD317">
        <f ca="1"/>
      </c>
      <c r="CE317">
        <f ca="1"/>
      </c>
      <c r="CF317">
        <f ca="1"/>
      </c>
      <c r="CG317">
        <f ca="1"/>
      </c>
      <c r="CH317">
        <f ca="1"/>
      </c>
      <c r="CI317">
        <f ca="1"/>
      </c>
      <c r="CJ317">
        <f ca="1"/>
      </c>
      <c r="CK317">
        <f ca="1"/>
      </c>
      <c r="CL317">
        <f ca="1"/>
      </c>
      <c r="CM317">
        <f ca="1"/>
      </c>
      <c r="CN317">
        <f ca="1"/>
      </c>
      <c r="CO317">
        <f ca="1"/>
      </c>
      <c r="CP317">
        <f ca="1"/>
      </c>
      <c r="CQ317">
        <f ca="1"/>
      </c>
      <c r="CR317">
        <f ca="1"/>
      </c>
      <c r="CS317">
        <f ca="1"/>
      </c>
      <c r="CT317">
        <f ca="1"/>
      </c>
      <c r="CU317">
        <f ca="1"/>
      </c>
      <c r="CV317">
        <f ca="1"/>
      </c>
      <c r="CW317">
        <f ca="1"/>
      </c>
      <c r="CX317">
        <f ca="1"/>
      </c>
      <c r="CY317">
        <f ca="1"/>
      </c>
      <c r="CZ317">
        <f ca="1"/>
      </c>
      <c r="DA317">
        <f ca="1"/>
      </c>
      <c r="DB317">
        <f ca="1"/>
      </c>
      <c r="DC317">
        <f ca="1"/>
      </c>
      <c r="DD317">
        <f ca="1"/>
      </c>
      <c r="DE317">
        <f ca="1"/>
      </c>
      <c r="DG317">
        <f ca="1"/>
      </c>
      <c r="DH317">
        <f ca="1"/>
      </c>
      <c r="DI317">
        <f ca="1"/>
      </c>
      <c r="DJ317">
        <f ca="1"/>
      </c>
      <c r="DK317">
        <f ca="1"/>
      </c>
      <c r="DL317">
        <f ca="1"/>
      </c>
      <c r="DM317">
        <f ca="1"/>
      </c>
      <c r="DN317">
        <f ca="1"/>
      </c>
      <c r="DO317">
        <f ca="1"/>
      </c>
      <c r="DP317">
        <f ca="1"/>
      </c>
      <c r="DQ317">
        <f ca="1"/>
      </c>
      <c r="DR317">
        <f ca="1"/>
      </c>
      <c r="DS317">
        <f ca="1"/>
      </c>
      <c r="DT317">
        <f ca="1"/>
      </c>
      <c r="DU317">
        <f ca="1"/>
      </c>
      <c r="DV317">
        <f ca="1"/>
      </c>
      <c r="DW317">
        <f ca="1"/>
      </c>
      <c r="DX317">
        <f ca="1"/>
      </c>
      <c r="DY317">
        <f ca="1"/>
      </c>
      <c r="DZ317">
        <f ca="1"/>
      </c>
      <c r="EA317">
        <f ca="1"/>
      </c>
      <c r="EB317">
        <f ca="1"/>
      </c>
      <c r="EC317">
        <f ca="1"/>
      </c>
      <c r="ED317">
        <f ca="1"/>
      </c>
      <c r="EE317">
        <f ca="1"/>
      </c>
      <c r="EF317">
        <f ca="1"/>
      </c>
      <c r="EG317">
        <f ca="1"/>
      </c>
      <c r="EH317">
        <f ca="1"/>
      </c>
      <c r="EI317">
        <f ca="1"/>
      </c>
      <c r="EJ317">
        <f ca="1"/>
      </c>
      <c r="EK317">
        <f ca="1"/>
      </c>
      <c r="EL317">
        <f ca="1"/>
      </c>
      <c r="EM317">
        <f ca="1"/>
      </c>
      <c r="EN317">
        <f ca="1"/>
      </c>
      <c r="EO317">
        <f ca="1"/>
      </c>
      <c r="EP317">
        <f ca="1"/>
      </c>
      <c r="EQ317">
        <f ca="1"/>
      </c>
      <c r="ER317">
        <f ca="1"/>
      </c>
      <c r="ES317">
        <f ca="1"/>
      </c>
      <c r="ET317">
        <f ca="1"/>
      </c>
      <c r="EU317">
        <f ca="1"/>
      </c>
      <c r="EV317">
        <f ca="1"/>
      </c>
      <c r="EW317">
        <f ca="1"/>
      </c>
      <c r="EX317">
        <f ca="1"/>
      </c>
      <c r="EY317">
        <f ca="1"/>
      </c>
      <c r="EZ317">
        <f ca="1"/>
      </c>
      <c r="FA317">
        <f ca="1"/>
      </c>
      <c r="FC317">
        <f ca="1"/>
      </c>
      <c r="FD317">
        <f ca="1"/>
      </c>
      <c r="FE317">
        <f ca="1"/>
      </c>
      <c r="FF317">
        <f ca="1"/>
      </c>
      <c r="FG317">
        <f ca="1"/>
      </c>
      <c r="FH317">
        <f ca="1"/>
      </c>
      <c r="FI317">
        <f ca="1"/>
      </c>
      <c r="FJ317">
        <f ca="1"/>
      </c>
      <c r="FK317">
        <f ca="1"/>
      </c>
      <c r="FL317">
        <f ca="1"/>
      </c>
      <c r="FM317">
        <f ca="1"/>
      </c>
      <c r="FN317">
        <f ca="1"/>
      </c>
      <c r="FO317">
        <f ca="1"/>
      </c>
      <c r="FP317">
        <f ca="1"/>
      </c>
      <c r="FQ317">
        <f ca="1"/>
      </c>
      <c r="FR317">
        <f ca="1"/>
      </c>
      <c r="FS317">
        <f ca="1"/>
      </c>
      <c r="FT317">
        <f ca="1"/>
      </c>
      <c r="FU317">
        <f ca="1"/>
      </c>
      <c r="FV317">
        <f ca="1"/>
      </c>
      <c r="FW317">
        <f ca="1"/>
      </c>
      <c r="FX317">
        <f ca="1"/>
      </c>
      <c r="FY317">
        <f ca="1"/>
      </c>
      <c r="FZ317">
        <f ca="1"/>
      </c>
      <c r="GA317">
        <f ca="1"/>
      </c>
      <c r="GB317">
        <f ca="1"/>
      </c>
      <c r="GC317">
        <f ca="1"/>
      </c>
      <c r="GD317">
        <f ca="1"/>
      </c>
      <c r="GE317">
        <f ca="1"/>
      </c>
      <c r="GF317">
        <f ca="1"/>
      </c>
      <c r="GG317">
        <f ca="1"/>
      </c>
      <c r="GH317">
        <f ca="1"/>
      </c>
      <c r="GI317">
        <f ca="1"/>
      </c>
      <c r="GJ317">
        <f ca="1"/>
      </c>
      <c r="GK317">
        <f ca="1"/>
      </c>
      <c r="GL317">
        <f ca="1"/>
      </c>
      <c r="GM317">
        <f ca="1"/>
      </c>
      <c r="GN317">
        <f ca="1"/>
      </c>
      <c r="GO317">
        <f ca="1"/>
      </c>
      <c r="GP317">
        <f ca="1"/>
      </c>
      <c r="GQ317">
        <f ca="1"/>
      </c>
      <c r="GR317">
        <f ca="1"/>
      </c>
      <c r="GS317">
        <f ca="1"/>
      </c>
      <c r="GT317">
        <f ca="1"/>
      </c>
      <c r="GU317">
        <f ca="1"/>
      </c>
      <c r="GV317">
        <f ca="1"/>
      </c>
      <c r="GW317">
        <f ca="1"/>
      </c>
      <c r="HI317" s="7"/>
    </row>
    <row r="318" spans="63:217" x14ac:dyDescent="0.55000000000000004">
      <c r="BK318">
        <f ca="1"/>
      </c>
      <c r="BL318">
        <f ca="1"/>
      </c>
      <c r="BM318">
        <f ca="1"/>
      </c>
      <c r="BN318">
        <f ca="1"/>
      </c>
      <c r="BO318">
        <f ca="1"/>
      </c>
      <c r="BP318">
        <f ca="1"/>
      </c>
      <c r="BQ318">
        <f ca="1"/>
      </c>
      <c r="BR318">
        <f ca="1"/>
      </c>
      <c r="BS318">
        <f ca="1"/>
      </c>
      <c r="BT318">
        <f ca="1"/>
      </c>
      <c r="BU318">
        <f ca="1"/>
      </c>
      <c r="BV318">
        <f ca="1"/>
      </c>
      <c r="BW318">
        <f ca="1"/>
      </c>
      <c r="BX318">
        <f ca="1"/>
      </c>
      <c r="BY318">
        <f ca="1"/>
      </c>
      <c r="BZ318">
        <f ca="1"/>
      </c>
      <c r="CA318">
        <f ca="1"/>
      </c>
      <c r="CB318">
        <f ca="1"/>
      </c>
      <c r="CC318">
        <f ca="1"/>
      </c>
      <c r="CD318">
        <f ca="1"/>
      </c>
      <c r="CE318">
        <f ca="1"/>
      </c>
      <c r="CF318">
        <f ca="1"/>
      </c>
      <c r="CG318">
        <f ca="1"/>
      </c>
      <c r="CH318">
        <f ca="1"/>
      </c>
      <c r="CI318">
        <f ca="1"/>
      </c>
      <c r="CJ318">
        <f ca="1"/>
      </c>
      <c r="CK318">
        <f ca="1"/>
      </c>
      <c r="CL318">
        <f ca="1"/>
      </c>
      <c r="CM318">
        <f ca="1"/>
      </c>
      <c r="CN318">
        <f ca="1"/>
      </c>
      <c r="CO318">
        <f ca="1"/>
      </c>
      <c r="CP318">
        <f ca="1"/>
      </c>
      <c r="CQ318">
        <f ca="1"/>
      </c>
      <c r="CR318">
        <f ca="1"/>
      </c>
      <c r="CS318">
        <f ca="1"/>
      </c>
      <c r="CT318">
        <f ca="1"/>
      </c>
      <c r="CU318">
        <f ca="1"/>
      </c>
      <c r="CV318">
        <f ca="1"/>
      </c>
      <c r="CW318">
        <f ca="1"/>
      </c>
      <c r="CX318">
        <f ca="1"/>
      </c>
      <c r="CY318">
        <f ca="1"/>
      </c>
      <c r="CZ318">
        <f ca="1"/>
      </c>
      <c r="DA318">
        <f ca="1"/>
      </c>
      <c r="DB318">
        <f ca="1"/>
      </c>
      <c r="DC318">
        <f ca="1"/>
      </c>
      <c r="DD318">
        <f ca="1"/>
      </c>
      <c r="DE318">
        <f ca="1"/>
      </c>
      <c r="DG318">
        <f ca="1"/>
      </c>
      <c r="DH318">
        <f ca="1"/>
      </c>
      <c r="DI318">
        <f ca="1"/>
      </c>
      <c r="DJ318">
        <f ca="1"/>
      </c>
      <c r="DK318">
        <f ca="1"/>
      </c>
      <c r="DL318">
        <f ca="1"/>
      </c>
      <c r="DM318">
        <f ca="1"/>
      </c>
      <c r="DN318">
        <f ca="1"/>
      </c>
      <c r="DO318">
        <f ca="1"/>
      </c>
      <c r="DP318">
        <f ca="1"/>
      </c>
      <c r="DQ318">
        <f ca="1"/>
      </c>
      <c r="DR318">
        <f ca="1"/>
      </c>
      <c r="DS318">
        <f ca="1"/>
      </c>
      <c r="DT318">
        <f ca="1"/>
      </c>
      <c r="DU318">
        <f ca="1"/>
      </c>
      <c r="DV318">
        <f ca="1"/>
      </c>
      <c r="DW318">
        <f ca="1"/>
      </c>
      <c r="DX318">
        <f ca="1"/>
      </c>
      <c r="DY318">
        <f ca="1"/>
      </c>
      <c r="DZ318">
        <f ca="1"/>
      </c>
      <c r="EA318">
        <f ca="1"/>
      </c>
      <c r="EB318">
        <f ca="1"/>
      </c>
      <c r="EC318">
        <f ca="1"/>
      </c>
      <c r="ED318">
        <f ca="1"/>
      </c>
      <c r="EE318">
        <f ca="1"/>
      </c>
      <c r="EF318">
        <f ca="1"/>
      </c>
      <c r="EG318">
        <f ca="1"/>
      </c>
      <c r="EH318">
        <f ca="1"/>
      </c>
      <c r="EI318">
        <f ca="1"/>
      </c>
      <c r="EJ318">
        <f ca="1"/>
      </c>
      <c r="EK318">
        <f ca="1"/>
      </c>
      <c r="EL318">
        <f ca="1"/>
      </c>
      <c r="EM318">
        <f ca="1"/>
      </c>
      <c r="EN318">
        <f ca="1"/>
      </c>
      <c r="EO318">
        <f ca="1"/>
      </c>
      <c r="EP318">
        <f ca="1"/>
      </c>
      <c r="EQ318">
        <f ca="1"/>
      </c>
      <c r="ER318">
        <f ca="1"/>
      </c>
      <c r="ES318">
        <f ca="1"/>
      </c>
      <c r="ET318">
        <f ca="1"/>
      </c>
      <c r="EU318">
        <f ca="1"/>
      </c>
      <c r="EV318">
        <f ca="1"/>
      </c>
      <c r="EW318">
        <f ca="1"/>
      </c>
      <c r="EX318">
        <f ca="1"/>
      </c>
      <c r="EY318">
        <f ca="1"/>
      </c>
      <c r="EZ318">
        <f ca="1"/>
      </c>
      <c r="FA318">
        <f ca="1"/>
      </c>
      <c r="FC318">
        <f ca="1"/>
      </c>
      <c r="FD318">
        <f ca="1"/>
      </c>
      <c r="FE318">
        <f ca="1"/>
      </c>
      <c r="FF318">
        <f ca="1"/>
      </c>
      <c r="FG318">
        <f ca="1"/>
      </c>
      <c r="FH318">
        <f ca="1"/>
      </c>
      <c r="FI318">
        <f ca="1"/>
      </c>
      <c r="FJ318">
        <f ca="1"/>
      </c>
      <c r="FK318">
        <f ca="1"/>
      </c>
      <c r="FL318">
        <f ca="1"/>
      </c>
      <c r="FM318">
        <f ca="1"/>
      </c>
      <c r="FN318">
        <f ca="1"/>
      </c>
      <c r="FO318">
        <f ca="1"/>
      </c>
      <c r="FP318">
        <f ca="1"/>
      </c>
      <c r="FQ318">
        <f ca="1"/>
      </c>
      <c r="FR318">
        <f ca="1"/>
      </c>
      <c r="FS318">
        <f ca="1"/>
      </c>
      <c r="FT318">
        <f ca="1"/>
      </c>
      <c r="FU318">
        <f ca="1"/>
      </c>
      <c r="FV318">
        <f ca="1"/>
      </c>
      <c r="FW318">
        <f ca="1"/>
      </c>
      <c r="FX318">
        <f ca="1"/>
      </c>
      <c r="FY318">
        <f ca="1"/>
      </c>
      <c r="FZ318">
        <f ca="1"/>
      </c>
      <c r="GA318">
        <f ca="1"/>
      </c>
      <c r="GB318">
        <f ca="1"/>
      </c>
      <c r="GC318">
        <f ca="1"/>
      </c>
      <c r="GD318">
        <f ca="1"/>
      </c>
      <c r="GE318">
        <f ca="1"/>
      </c>
      <c r="GF318">
        <f ca="1"/>
      </c>
      <c r="GG318">
        <f ca="1"/>
      </c>
      <c r="GH318">
        <f ca="1"/>
      </c>
      <c r="GI318">
        <f ca="1"/>
      </c>
      <c r="GJ318">
        <f ca="1"/>
      </c>
      <c r="GK318">
        <f ca="1"/>
      </c>
      <c r="GL318">
        <f ca="1"/>
      </c>
      <c r="GM318">
        <f ca="1"/>
      </c>
      <c r="GN318">
        <f ca="1"/>
      </c>
      <c r="GO318">
        <f ca="1"/>
      </c>
      <c r="GP318">
        <f ca="1"/>
      </c>
      <c r="GQ318">
        <f ca="1"/>
      </c>
      <c r="GR318">
        <f ca="1"/>
      </c>
      <c r="GS318">
        <f ca="1"/>
      </c>
      <c r="GT318">
        <f ca="1"/>
      </c>
      <c r="GU318">
        <f ca="1"/>
      </c>
      <c r="GV318">
        <f ca="1"/>
      </c>
      <c r="GW318">
        <f ca="1"/>
      </c>
      <c r="HI318" s="7"/>
    </row>
    <row r="319" spans="63:217" x14ac:dyDescent="0.55000000000000004">
      <c r="BK319">
        <f ca="1"/>
      </c>
      <c r="BL319">
        <f ca="1"/>
      </c>
      <c r="BM319">
        <f ca="1"/>
      </c>
      <c r="BN319">
        <f ca="1"/>
      </c>
      <c r="BO319">
        <f ca="1"/>
      </c>
      <c r="BP319">
        <f ca="1"/>
      </c>
      <c r="BQ319">
        <f ca="1"/>
      </c>
      <c r="BR319">
        <f ca="1"/>
      </c>
      <c r="BS319">
        <f ca="1"/>
      </c>
      <c r="BT319">
        <f ca="1"/>
      </c>
      <c r="BU319">
        <f ca="1"/>
      </c>
      <c r="BV319">
        <f ca="1"/>
      </c>
      <c r="BW319">
        <f ca="1"/>
      </c>
      <c r="BX319">
        <f ca="1"/>
      </c>
      <c r="BY319">
        <f ca="1"/>
      </c>
      <c r="BZ319">
        <f ca="1"/>
      </c>
      <c r="CA319">
        <f ca="1"/>
      </c>
      <c r="CB319">
        <f ca="1"/>
      </c>
      <c r="CC319">
        <f ca="1"/>
      </c>
      <c r="CD319">
        <f ca="1"/>
      </c>
      <c r="CE319">
        <f ca="1"/>
      </c>
      <c r="CF319">
        <f ca="1"/>
      </c>
      <c r="CG319">
        <f ca="1"/>
      </c>
      <c r="CH319">
        <f ca="1"/>
      </c>
      <c r="CI319">
        <f ca="1"/>
      </c>
      <c r="CJ319">
        <f ca="1"/>
      </c>
      <c r="CK319">
        <f ca="1"/>
      </c>
      <c r="CL319">
        <f ca="1"/>
      </c>
      <c r="CM319">
        <f ca="1"/>
      </c>
      <c r="CN319">
        <f ca="1"/>
      </c>
      <c r="CO319">
        <f ca="1"/>
      </c>
      <c r="CP319">
        <f ca="1"/>
      </c>
      <c r="CQ319">
        <f ca="1"/>
      </c>
      <c r="CR319">
        <f ca="1"/>
      </c>
      <c r="CS319">
        <f ca="1"/>
      </c>
      <c r="CT319">
        <f ca="1"/>
      </c>
      <c r="CU319">
        <f ca="1"/>
      </c>
      <c r="CV319">
        <f ca="1"/>
      </c>
      <c r="CW319">
        <f ca="1"/>
      </c>
      <c r="CX319">
        <f ca="1"/>
      </c>
      <c r="CY319">
        <f ca="1"/>
      </c>
      <c r="CZ319">
        <f ca="1"/>
      </c>
      <c r="DA319">
        <f ca="1"/>
      </c>
      <c r="DB319">
        <f ca="1"/>
      </c>
      <c r="DC319">
        <f ca="1"/>
      </c>
      <c r="DD319">
        <f ca="1"/>
      </c>
      <c r="DE319">
        <f ca="1"/>
      </c>
      <c r="DG319">
        <f ca="1"/>
      </c>
      <c r="DH319">
        <f ca="1"/>
      </c>
      <c r="DI319">
        <f ca="1"/>
      </c>
      <c r="DJ319">
        <f ca="1"/>
      </c>
      <c r="DK319">
        <f ca="1"/>
      </c>
      <c r="DL319">
        <f ca="1"/>
      </c>
      <c r="DM319">
        <f ca="1"/>
      </c>
      <c r="DN319">
        <f ca="1"/>
      </c>
      <c r="DO319">
        <f ca="1"/>
      </c>
      <c r="DP319">
        <f ca="1"/>
      </c>
      <c r="DQ319">
        <f ca="1"/>
      </c>
      <c r="DR319">
        <f ca="1"/>
      </c>
      <c r="DS319">
        <f ca="1"/>
      </c>
      <c r="DT319">
        <f ca="1"/>
      </c>
      <c r="DU319">
        <f ca="1"/>
      </c>
      <c r="DV319">
        <f ca="1"/>
      </c>
      <c r="DW319">
        <f ca="1"/>
      </c>
      <c r="DX319">
        <f ca="1"/>
      </c>
      <c r="DY319">
        <f ca="1"/>
      </c>
      <c r="DZ319">
        <f ca="1"/>
      </c>
      <c r="EA319">
        <f ca="1"/>
      </c>
      <c r="EB319">
        <f ca="1"/>
      </c>
      <c r="EC319">
        <f ca="1"/>
      </c>
      <c r="ED319">
        <f ca="1"/>
      </c>
      <c r="EE319">
        <f ca="1"/>
      </c>
      <c r="EF319">
        <f ca="1"/>
      </c>
      <c r="EG319">
        <f ca="1"/>
      </c>
      <c r="EH319">
        <f ca="1"/>
      </c>
      <c r="EI319">
        <f ca="1"/>
      </c>
      <c r="EJ319">
        <f ca="1"/>
      </c>
      <c r="EK319">
        <f ca="1"/>
      </c>
      <c r="EL319">
        <f ca="1"/>
      </c>
      <c r="EM319">
        <f ca="1"/>
      </c>
      <c r="EN319">
        <f ca="1"/>
      </c>
      <c r="EO319">
        <f ca="1"/>
      </c>
      <c r="EP319">
        <f ca="1"/>
      </c>
      <c r="EQ319">
        <f ca="1"/>
      </c>
      <c r="ER319">
        <f ca="1"/>
      </c>
      <c r="ES319">
        <f ca="1"/>
      </c>
      <c r="ET319">
        <f ca="1"/>
      </c>
      <c r="EU319">
        <f ca="1"/>
      </c>
      <c r="EV319">
        <f ca="1"/>
      </c>
      <c r="EW319">
        <f ca="1"/>
      </c>
      <c r="EX319">
        <f ca="1"/>
      </c>
      <c r="EY319">
        <f ca="1"/>
      </c>
      <c r="EZ319">
        <f ca="1"/>
      </c>
      <c r="FA319">
        <f ca="1"/>
      </c>
      <c r="FC319">
        <f ca="1"/>
      </c>
      <c r="FD319">
        <f ca="1"/>
      </c>
      <c r="FE319">
        <f ca="1"/>
      </c>
      <c r="FF319">
        <f ca="1"/>
      </c>
      <c r="FG319">
        <f ca="1"/>
      </c>
      <c r="FH319">
        <f ca="1"/>
      </c>
      <c r="FI319">
        <f ca="1"/>
      </c>
      <c r="FJ319">
        <f ca="1"/>
      </c>
      <c r="FK319">
        <f ca="1"/>
      </c>
      <c r="FL319">
        <f ca="1"/>
      </c>
      <c r="FM319">
        <f ca="1"/>
      </c>
      <c r="FN319">
        <f ca="1"/>
      </c>
      <c r="FO319">
        <f ca="1"/>
      </c>
      <c r="FP319">
        <f ca="1"/>
      </c>
      <c r="FQ319">
        <f ca="1"/>
      </c>
      <c r="FR319">
        <f ca="1"/>
      </c>
      <c r="FS319">
        <f ca="1"/>
      </c>
      <c r="FT319">
        <f ca="1"/>
      </c>
      <c r="FU319">
        <f ca="1"/>
      </c>
      <c r="FV319">
        <f ca="1"/>
      </c>
      <c r="FW319">
        <f ca="1"/>
      </c>
      <c r="FX319">
        <f ca="1"/>
      </c>
      <c r="FY319">
        <f ca="1"/>
      </c>
      <c r="FZ319">
        <f ca="1"/>
      </c>
      <c r="GA319">
        <f ca="1"/>
      </c>
      <c r="GB319">
        <f ca="1"/>
      </c>
      <c r="GC319">
        <f ca="1"/>
      </c>
      <c r="GD319">
        <f ca="1"/>
      </c>
      <c r="GE319">
        <f ca="1"/>
      </c>
      <c r="GF319">
        <f ca="1"/>
      </c>
      <c r="GG319">
        <f ca="1"/>
      </c>
      <c r="GH319">
        <f ca="1"/>
      </c>
      <c r="GI319">
        <f ca="1"/>
      </c>
      <c r="GJ319">
        <f ca="1"/>
      </c>
      <c r="GK319">
        <f ca="1"/>
      </c>
      <c r="GL319">
        <f ca="1"/>
      </c>
      <c r="GM319">
        <f ca="1"/>
      </c>
      <c r="GN319">
        <f ca="1"/>
      </c>
      <c r="GO319">
        <f ca="1"/>
      </c>
      <c r="GP319">
        <f ca="1"/>
      </c>
      <c r="GQ319">
        <f ca="1"/>
      </c>
      <c r="GR319">
        <f ca="1"/>
      </c>
      <c r="GS319">
        <f ca="1"/>
      </c>
      <c r="GT319">
        <f ca="1"/>
      </c>
      <c r="GU319">
        <f ca="1"/>
      </c>
      <c r="GV319">
        <f ca="1"/>
      </c>
      <c r="GW319">
        <f ca="1"/>
      </c>
      <c r="HI319" s="7"/>
    </row>
    <row r="320" spans="63:217" x14ac:dyDescent="0.55000000000000004">
      <c r="BK320">
        <f ca="1"/>
      </c>
      <c r="BL320">
        <f ca="1"/>
      </c>
      <c r="BM320">
        <f ca="1"/>
      </c>
      <c r="BN320">
        <f ca="1"/>
      </c>
      <c r="BO320">
        <f ca="1"/>
      </c>
      <c r="BP320">
        <f ca="1"/>
      </c>
      <c r="BQ320">
        <f ca="1"/>
      </c>
      <c r="BR320">
        <f ca="1"/>
      </c>
      <c r="BS320">
        <f ca="1"/>
      </c>
      <c r="BT320">
        <f ca="1"/>
      </c>
      <c r="BU320">
        <f ca="1"/>
      </c>
      <c r="BV320">
        <f ca="1"/>
      </c>
      <c r="BW320">
        <f ca="1"/>
      </c>
      <c r="BX320">
        <f ca="1"/>
      </c>
      <c r="BY320">
        <f ca="1"/>
      </c>
      <c r="BZ320">
        <f ca="1"/>
      </c>
      <c r="CA320">
        <f ca="1"/>
      </c>
      <c r="CB320">
        <f ca="1"/>
      </c>
      <c r="CC320">
        <f ca="1"/>
      </c>
      <c r="CD320">
        <f ca="1"/>
      </c>
      <c r="CE320">
        <f ca="1"/>
      </c>
      <c r="CF320">
        <f ca="1"/>
      </c>
      <c r="CG320">
        <f ca="1"/>
      </c>
      <c r="CH320">
        <f ca="1"/>
      </c>
      <c r="CI320">
        <f ca="1"/>
      </c>
      <c r="CJ320">
        <f ca="1"/>
      </c>
      <c r="CK320">
        <f ca="1"/>
      </c>
      <c r="CL320">
        <f ca="1"/>
      </c>
      <c r="CM320">
        <f ca="1"/>
      </c>
      <c r="CN320">
        <f ca="1"/>
      </c>
      <c r="CO320">
        <f ca="1"/>
      </c>
      <c r="CP320">
        <f ca="1"/>
      </c>
      <c r="CQ320">
        <f ca="1"/>
      </c>
      <c r="CR320">
        <f ca="1"/>
      </c>
      <c r="CS320">
        <f ca="1"/>
      </c>
      <c r="CT320">
        <f ca="1"/>
      </c>
      <c r="CU320">
        <f ca="1"/>
      </c>
      <c r="CV320">
        <f ca="1"/>
      </c>
      <c r="CW320">
        <f ca="1"/>
      </c>
      <c r="CX320">
        <f ca="1"/>
      </c>
      <c r="CY320">
        <f ca="1"/>
      </c>
      <c r="CZ320">
        <f ca="1"/>
      </c>
      <c r="DA320">
        <f ca="1"/>
      </c>
      <c r="DB320">
        <f ca="1"/>
      </c>
      <c r="DC320">
        <f ca="1"/>
      </c>
      <c r="DD320">
        <f ca="1"/>
      </c>
      <c r="DE320">
        <f ca="1"/>
      </c>
      <c r="DG320">
        <f ca="1"/>
      </c>
      <c r="DH320">
        <f ca="1"/>
      </c>
      <c r="DI320">
        <f ca="1"/>
      </c>
      <c r="DJ320">
        <f ca="1"/>
      </c>
      <c r="DK320">
        <f ca="1"/>
      </c>
      <c r="DL320">
        <f ca="1"/>
      </c>
      <c r="DM320">
        <f ca="1"/>
      </c>
      <c r="DN320">
        <f ca="1"/>
      </c>
      <c r="DO320">
        <f ca="1"/>
      </c>
      <c r="DP320">
        <f ca="1"/>
      </c>
      <c r="DQ320">
        <f ca="1"/>
      </c>
      <c r="DR320">
        <f ca="1"/>
      </c>
      <c r="DS320">
        <f ca="1"/>
      </c>
      <c r="DT320">
        <f ca="1"/>
      </c>
      <c r="DU320">
        <f ca="1"/>
      </c>
      <c r="DV320">
        <f ca="1"/>
      </c>
      <c r="DW320">
        <f ca="1"/>
      </c>
      <c r="DX320">
        <f ca="1"/>
      </c>
      <c r="DY320">
        <f ca="1"/>
      </c>
      <c r="DZ320">
        <f ca="1"/>
      </c>
      <c r="EA320">
        <f ca="1"/>
      </c>
      <c r="EB320">
        <f ca="1"/>
      </c>
      <c r="EC320">
        <f ca="1"/>
      </c>
      <c r="ED320">
        <f ca="1"/>
      </c>
      <c r="EE320">
        <f ca="1"/>
      </c>
      <c r="EF320">
        <f ca="1"/>
      </c>
      <c r="EG320">
        <f ca="1"/>
      </c>
      <c r="EH320">
        <f ca="1"/>
      </c>
      <c r="EI320">
        <f ca="1"/>
      </c>
      <c r="EJ320">
        <f ca="1"/>
      </c>
      <c r="EK320">
        <f ca="1"/>
      </c>
      <c r="EL320">
        <f ca="1"/>
      </c>
      <c r="EM320">
        <f ca="1"/>
      </c>
      <c r="EN320">
        <f ca="1"/>
      </c>
      <c r="EO320">
        <f ca="1"/>
      </c>
      <c r="EP320">
        <f ca="1"/>
      </c>
      <c r="EQ320">
        <f ca="1"/>
      </c>
      <c r="ER320">
        <f ca="1"/>
      </c>
      <c r="ES320">
        <f ca="1"/>
      </c>
      <c r="ET320">
        <f ca="1"/>
      </c>
      <c r="EU320">
        <f ca="1"/>
      </c>
      <c r="EV320">
        <f ca="1"/>
      </c>
      <c r="EW320">
        <f ca="1"/>
      </c>
      <c r="EX320">
        <f ca="1"/>
      </c>
      <c r="EY320">
        <f ca="1"/>
      </c>
      <c r="EZ320">
        <f ca="1"/>
      </c>
      <c r="FA320">
        <f ca="1"/>
      </c>
      <c r="FC320">
        <f ca="1"/>
      </c>
      <c r="FD320">
        <f ca="1"/>
      </c>
      <c r="FE320">
        <f ca="1"/>
      </c>
      <c r="FF320">
        <f ca="1"/>
      </c>
      <c r="FG320">
        <f ca="1"/>
      </c>
      <c r="FH320">
        <f ca="1"/>
      </c>
      <c r="FI320">
        <f ca="1"/>
      </c>
      <c r="FJ320">
        <f ca="1"/>
      </c>
      <c r="FK320">
        <f ca="1"/>
      </c>
      <c r="FL320">
        <f ca="1"/>
      </c>
      <c r="FM320">
        <f ca="1"/>
      </c>
      <c r="FN320">
        <f ca="1"/>
      </c>
      <c r="FO320">
        <f ca="1"/>
      </c>
      <c r="FP320">
        <f ca="1"/>
      </c>
      <c r="FQ320">
        <f ca="1"/>
      </c>
      <c r="FR320">
        <f ca="1"/>
      </c>
      <c r="FS320">
        <f ca="1"/>
      </c>
      <c r="FT320">
        <f ca="1"/>
      </c>
      <c r="FU320">
        <f ca="1"/>
      </c>
      <c r="FV320">
        <f ca="1"/>
      </c>
      <c r="FW320">
        <f ca="1"/>
      </c>
      <c r="FX320">
        <f ca="1"/>
      </c>
      <c r="FY320">
        <f ca="1"/>
      </c>
      <c r="FZ320">
        <f ca="1"/>
      </c>
      <c r="GA320">
        <f ca="1"/>
      </c>
      <c r="GB320">
        <f ca="1"/>
      </c>
      <c r="GC320">
        <f ca="1"/>
      </c>
      <c r="GD320">
        <f ca="1"/>
      </c>
      <c r="GE320">
        <f ca="1"/>
      </c>
      <c r="GF320">
        <f ca="1"/>
      </c>
      <c r="GG320">
        <f ca="1"/>
      </c>
      <c r="GH320">
        <f ca="1"/>
      </c>
      <c r="GI320">
        <f ca="1"/>
      </c>
      <c r="GJ320">
        <f ca="1"/>
      </c>
      <c r="GK320">
        <f ca="1"/>
      </c>
      <c r="GL320">
        <f ca="1"/>
      </c>
      <c r="GM320">
        <f ca="1"/>
      </c>
      <c r="GN320">
        <f ca="1"/>
      </c>
      <c r="GO320">
        <f ca="1"/>
      </c>
      <c r="GP320">
        <f ca="1"/>
      </c>
      <c r="GQ320">
        <f ca="1"/>
      </c>
      <c r="GR320">
        <f ca="1"/>
      </c>
      <c r="GS320">
        <f ca="1"/>
      </c>
      <c r="GT320">
        <f ca="1"/>
      </c>
      <c r="GU320">
        <f ca="1"/>
      </c>
      <c r="GV320">
        <f ca="1"/>
      </c>
      <c r="GW320">
        <f ca="1"/>
      </c>
      <c r="HI320" s="7"/>
    </row>
    <row r="321" spans="63:217" x14ac:dyDescent="0.55000000000000004">
      <c r="BK321">
        <f ca="1"/>
      </c>
      <c r="BL321">
        <f ca="1"/>
      </c>
      <c r="BM321">
        <f ca="1"/>
      </c>
      <c r="BN321">
        <f ca="1"/>
      </c>
      <c r="BO321">
        <f ca="1"/>
      </c>
      <c r="BP321">
        <f ca="1"/>
      </c>
      <c r="BQ321">
        <f ca="1"/>
      </c>
      <c r="BR321">
        <f ca="1"/>
      </c>
      <c r="BS321">
        <f ca="1"/>
      </c>
      <c r="BT321">
        <f ca="1"/>
      </c>
      <c r="BU321">
        <f ca="1"/>
      </c>
      <c r="BV321">
        <f ca="1"/>
      </c>
      <c r="BW321">
        <f ca="1"/>
      </c>
      <c r="BX321">
        <f ca="1"/>
      </c>
      <c r="BY321">
        <f ca="1"/>
      </c>
      <c r="BZ321">
        <f ca="1"/>
      </c>
      <c r="CA321">
        <f ca="1"/>
      </c>
      <c r="CB321">
        <f ca="1"/>
      </c>
      <c r="CC321">
        <f ca="1"/>
      </c>
      <c r="CD321">
        <f ca="1"/>
      </c>
      <c r="CE321">
        <f ca="1"/>
      </c>
      <c r="CF321">
        <f ca="1"/>
      </c>
      <c r="CG321">
        <f ca="1"/>
      </c>
      <c r="CH321">
        <f ca="1"/>
      </c>
      <c r="CI321">
        <f ca="1"/>
      </c>
      <c r="CJ321">
        <f ca="1"/>
      </c>
      <c r="CK321">
        <f ca="1"/>
      </c>
      <c r="CL321">
        <f ca="1"/>
      </c>
      <c r="CM321">
        <f ca="1"/>
      </c>
      <c r="CN321">
        <f ca="1"/>
      </c>
      <c r="CO321">
        <f ca="1"/>
      </c>
      <c r="CP321">
        <f ca="1"/>
      </c>
      <c r="CQ321">
        <f ca="1"/>
      </c>
      <c r="CR321">
        <f ca="1"/>
      </c>
      <c r="CS321">
        <f ca="1"/>
      </c>
      <c r="CT321">
        <f ca="1"/>
      </c>
      <c r="CU321">
        <f ca="1"/>
      </c>
      <c r="CV321">
        <f ca="1"/>
      </c>
      <c r="CW321">
        <f ca="1"/>
      </c>
      <c r="CX321">
        <f ca="1"/>
      </c>
      <c r="CY321">
        <f ca="1"/>
      </c>
      <c r="CZ321">
        <f ca="1"/>
      </c>
      <c r="DA321">
        <f ca="1"/>
      </c>
      <c r="DB321">
        <f ca="1"/>
      </c>
      <c r="DC321">
        <f ca="1"/>
      </c>
      <c r="DD321">
        <f ca="1"/>
      </c>
      <c r="DE321">
        <f ca="1"/>
      </c>
      <c r="DG321">
        <f ca="1"/>
      </c>
      <c r="DH321">
        <f ca="1"/>
      </c>
      <c r="DI321">
        <f ca="1"/>
      </c>
      <c r="DJ321">
        <f ca="1"/>
      </c>
      <c r="DK321">
        <f ca="1"/>
      </c>
      <c r="DL321">
        <f ca="1"/>
      </c>
      <c r="DM321">
        <f ca="1"/>
      </c>
      <c r="DN321">
        <f ca="1"/>
      </c>
      <c r="DO321">
        <f ca="1"/>
      </c>
      <c r="DP321">
        <f ca="1"/>
      </c>
      <c r="DQ321">
        <f ca="1"/>
      </c>
      <c r="DR321">
        <f ca="1"/>
      </c>
      <c r="DS321">
        <f ca="1"/>
      </c>
      <c r="DT321">
        <f ca="1"/>
      </c>
      <c r="DU321">
        <f ca="1"/>
      </c>
      <c r="DV321">
        <f ca="1"/>
      </c>
      <c r="DW321">
        <f ca="1"/>
      </c>
      <c r="DX321">
        <f ca="1"/>
      </c>
      <c r="DY321">
        <f ca="1"/>
      </c>
      <c r="DZ321">
        <f ca="1"/>
      </c>
      <c r="EA321">
        <f ca="1"/>
      </c>
      <c r="EB321">
        <f ca="1"/>
      </c>
      <c r="EC321">
        <f ca="1"/>
      </c>
      <c r="ED321">
        <f ca="1"/>
      </c>
      <c r="EE321">
        <f ca="1"/>
      </c>
      <c r="EF321">
        <f ca="1"/>
      </c>
      <c r="EG321">
        <f ca="1"/>
      </c>
      <c r="EH321">
        <f ca="1"/>
      </c>
      <c r="EI321">
        <f ca="1"/>
      </c>
      <c r="EJ321">
        <f ca="1"/>
      </c>
      <c r="EK321">
        <f ca="1"/>
      </c>
      <c r="EL321">
        <f ca="1"/>
      </c>
      <c r="EM321">
        <f ca="1"/>
      </c>
      <c r="EN321">
        <f ca="1"/>
      </c>
      <c r="EO321">
        <f ca="1"/>
      </c>
      <c r="EP321">
        <f ca="1"/>
      </c>
      <c r="EQ321">
        <f ca="1"/>
      </c>
      <c r="ER321">
        <f ca="1"/>
      </c>
      <c r="ES321">
        <f ca="1"/>
      </c>
      <c r="ET321">
        <f ca="1"/>
      </c>
      <c r="EU321">
        <f ca="1"/>
      </c>
      <c r="EV321">
        <f ca="1"/>
      </c>
      <c r="EW321">
        <f ca="1"/>
      </c>
      <c r="EX321">
        <f ca="1"/>
      </c>
      <c r="EY321">
        <f ca="1"/>
      </c>
      <c r="EZ321">
        <f ca="1"/>
      </c>
      <c r="FA321">
        <f ca="1"/>
      </c>
      <c r="FC321">
        <f ca="1"/>
      </c>
      <c r="FD321">
        <f ca="1"/>
      </c>
      <c r="FE321">
        <f ca="1"/>
      </c>
      <c r="FF321">
        <f ca="1"/>
      </c>
      <c r="FG321">
        <f ca="1"/>
      </c>
      <c r="FH321">
        <f ca="1"/>
      </c>
      <c r="FI321">
        <f ca="1"/>
      </c>
      <c r="FJ321">
        <f ca="1"/>
      </c>
      <c r="FK321">
        <f ca="1"/>
      </c>
      <c r="FL321">
        <f ca="1"/>
      </c>
      <c r="FM321">
        <f ca="1"/>
      </c>
      <c r="FN321">
        <f ca="1"/>
      </c>
      <c r="FO321">
        <f ca="1"/>
      </c>
      <c r="FP321">
        <f ca="1"/>
      </c>
      <c r="FQ321">
        <f ca="1"/>
      </c>
      <c r="FR321">
        <f ca="1"/>
      </c>
      <c r="FS321">
        <f ca="1"/>
      </c>
      <c r="FT321">
        <f ca="1"/>
      </c>
      <c r="FU321">
        <f ca="1"/>
      </c>
      <c r="FV321">
        <f ca="1"/>
      </c>
      <c r="FW321">
        <f ca="1"/>
      </c>
      <c r="FX321">
        <f ca="1"/>
      </c>
      <c r="FY321">
        <f ca="1"/>
      </c>
      <c r="FZ321">
        <f ca="1"/>
      </c>
      <c r="GA321">
        <f ca="1"/>
      </c>
      <c r="GB321">
        <f ca="1"/>
      </c>
      <c r="GC321">
        <f ca="1"/>
      </c>
      <c r="GD321">
        <f ca="1"/>
      </c>
      <c r="GE321">
        <f ca="1"/>
      </c>
      <c r="GF321">
        <f ca="1"/>
      </c>
      <c r="GG321">
        <f ca="1"/>
      </c>
      <c r="GH321">
        <f ca="1"/>
      </c>
      <c r="GI321">
        <f ca="1"/>
      </c>
      <c r="GJ321">
        <f ca="1"/>
      </c>
      <c r="GK321">
        <f ca="1"/>
      </c>
      <c r="GL321">
        <f ca="1"/>
      </c>
      <c r="GM321">
        <f ca="1"/>
      </c>
      <c r="GN321">
        <f ca="1"/>
      </c>
      <c r="GO321">
        <f ca="1"/>
      </c>
      <c r="GP321">
        <f ca="1"/>
      </c>
      <c r="GQ321">
        <f ca="1"/>
      </c>
      <c r="GR321">
        <f ca="1"/>
      </c>
      <c r="GS321">
        <f ca="1"/>
      </c>
      <c r="GT321">
        <f ca="1"/>
      </c>
      <c r="GU321">
        <f ca="1"/>
      </c>
      <c r="GV321">
        <f ca="1"/>
      </c>
      <c r="GW321">
        <f ca="1"/>
      </c>
      <c r="HI321" s="7"/>
    </row>
    <row r="322" spans="63:217" x14ac:dyDescent="0.55000000000000004">
      <c r="BK322">
        <f ca="1"/>
      </c>
      <c r="BL322">
        <f ca="1"/>
      </c>
      <c r="BM322">
        <f ca="1"/>
      </c>
      <c r="BN322">
        <f ca="1"/>
      </c>
      <c r="BO322">
        <f ca="1"/>
      </c>
      <c r="BP322">
        <f ca="1"/>
      </c>
      <c r="BQ322">
        <f ca="1"/>
      </c>
      <c r="BR322">
        <f ca="1"/>
      </c>
      <c r="BS322">
        <f ca="1"/>
      </c>
      <c r="BT322">
        <f ca="1"/>
      </c>
      <c r="BU322">
        <f ca="1"/>
      </c>
      <c r="BV322">
        <f ca="1"/>
      </c>
      <c r="BW322">
        <f ca="1"/>
      </c>
      <c r="BX322">
        <f ca="1"/>
      </c>
      <c r="BY322">
        <f ca="1"/>
      </c>
      <c r="BZ322">
        <f ca="1"/>
      </c>
      <c r="CA322">
        <f ca="1"/>
      </c>
      <c r="CB322">
        <f ca="1"/>
      </c>
      <c r="CC322">
        <f ca="1"/>
      </c>
      <c r="CD322">
        <f ca="1"/>
      </c>
      <c r="CE322">
        <f ca="1"/>
      </c>
      <c r="CF322">
        <f ca="1"/>
      </c>
      <c r="CG322">
        <f ca="1"/>
      </c>
      <c r="CH322">
        <f ca="1"/>
      </c>
      <c r="CI322">
        <f ca="1"/>
      </c>
      <c r="CJ322">
        <f ca="1"/>
      </c>
      <c r="CK322">
        <f ca="1"/>
      </c>
      <c r="CL322">
        <f ca="1"/>
      </c>
      <c r="CM322">
        <f ca="1"/>
      </c>
      <c r="CN322">
        <f ca="1"/>
      </c>
      <c r="CO322">
        <f ca="1"/>
      </c>
      <c r="CP322">
        <f ca="1"/>
      </c>
      <c r="CQ322">
        <f ca="1"/>
      </c>
      <c r="CR322">
        <f ca="1"/>
      </c>
      <c r="CS322">
        <f ca="1"/>
      </c>
      <c r="CT322">
        <f ca="1"/>
      </c>
      <c r="CU322">
        <f ca="1"/>
      </c>
      <c r="CV322">
        <f ca="1"/>
      </c>
      <c r="CW322">
        <f ca="1"/>
      </c>
      <c r="CX322">
        <f ca="1"/>
      </c>
      <c r="CY322">
        <f ca="1"/>
      </c>
      <c r="CZ322">
        <f ca="1"/>
      </c>
      <c r="DA322">
        <f ca="1"/>
      </c>
      <c r="DB322">
        <f ca="1"/>
      </c>
      <c r="DC322">
        <f ca="1"/>
      </c>
      <c r="DD322">
        <f ca="1"/>
      </c>
      <c r="DE322">
        <f ca="1"/>
      </c>
      <c r="DG322">
        <f ca="1"/>
      </c>
      <c r="DH322">
        <f ca="1"/>
      </c>
      <c r="DI322">
        <f ca="1"/>
      </c>
      <c r="DJ322">
        <f ca="1"/>
      </c>
      <c r="DK322">
        <f ca="1"/>
      </c>
      <c r="DL322">
        <f ca="1"/>
      </c>
      <c r="DM322">
        <f ca="1"/>
      </c>
      <c r="DN322">
        <f ca="1"/>
      </c>
      <c r="DO322">
        <f ca="1"/>
      </c>
      <c r="DP322">
        <f ca="1"/>
      </c>
      <c r="DQ322">
        <f ca="1"/>
      </c>
      <c r="DR322">
        <f ca="1"/>
      </c>
      <c r="DS322">
        <f ca="1"/>
      </c>
      <c r="DT322">
        <f ca="1"/>
      </c>
      <c r="DU322">
        <f ca="1"/>
      </c>
      <c r="DV322">
        <f ca="1"/>
      </c>
      <c r="DW322">
        <f ca="1"/>
      </c>
      <c r="DX322">
        <f ca="1"/>
      </c>
      <c r="DY322">
        <f ca="1"/>
      </c>
      <c r="DZ322">
        <f ca="1"/>
      </c>
      <c r="EA322">
        <f ca="1"/>
      </c>
      <c r="EB322">
        <f ca="1"/>
      </c>
      <c r="EC322">
        <f ca="1"/>
      </c>
      <c r="ED322">
        <f ca="1"/>
      </c>
      <c r="EE322">
        <f ca="1"/>
      </c>
      <c r="EF322">
        <f ca="1"/>
      </c>
      <c r="EG322">
        <f ca="1"/>
      </c>
      <c r="EH322">
        <f ca="1"/>
      </c>
      <c r="EI322">
        <f ca="1"/>
      </c>
      <c r="EJ322">
        <f ca="1"/>
      </c>
      <c r="EK322">
        <f ca="1"/>
      </c>
      <c r="EL322">
        <f ca="1"/>
      </c>
      <c r="EM322">
        <f ca="1"/>
      </c>
      <c r="EN322">
        <f ca="1"/>
      </c>
      <c r="EO322">
        <f ca="1"/>
      </c>
      <c r="EP322">
        <f ca="1"/>
      </c>
      <c r="EQ322">
        <f ca="1"/>
      </c>
      <c r="ER322">
        <f ca="1"/>
      </c>
      <c r="ES322">
        <f ca="1"/>
      </c>
      <c r="ET322">
        <f ca="1"/>
      </c>
      <c r="EU322">
        <f ca="1"/>
      </c>
      <c r="EV322">
        <f ca="1"/>
      </c>
      <c r="EW322">
        <f ca="1"/>
      </c>
      <c r="EX322">
        <f ca="1"/>
      </c>
      <c r="EY322">
        <f ca="1"/>
      </c>
      <c r="EZ322">
        <f ca="1"/>
      </c>
      <c r="FA322">
        <f ca="1"/>
      </c>
      <c r="FC322">
        <f ca="1"/>
      </c>
      <c r="FD322">
        <f ca="1"/>
      </c>
      <c r="FE322">
        <f ca="1"/>
      </c>
      <c r="FF322">
        <f ca="1"/>
      </c>
      <c r="FG322">
        <f ca="1"/>
      </c>
      <c r="FH322">
        <f ca="1"/>
      </c>
      <c r="FI322">
        <f ca="1"/>
      </c>
      <c r="FJ322">
        <f ca="1"/>
      </c>
      <c r="FK322">
        <f ca="1"/>
      </c>
      <c r="FL322">
        <f ca="1"/>
      </c>
      <c r="FM322">
        <f ca="1"/>
      </c>
      <c r="FN322">
        <f ca="1"/>
      </c>
      <c r="FO322">
        <f ca="1"/>
      </c>
      <c r="FP322">
        <f ca="1"/>
      </c>
      <c r="FQ322">
        <f ca="1"/>
      </c>
      <c r="FR322">
        <f ca="1"/>
      </c>
      <c r="FS322">
        <f ca="1"/>
      </c>
      <c r="FT322">
        <f ca="1"/>
      </c>
      <c r="FU322">
        <f ca="1"/>
      </c>
      <c r="FV322">
        <f ca="1"/>
      </c>
      <c r="FW322">
        <f ca="1"/>
      </c>
      <c r="FX322">
        <f ca="1"/>
      </c>
      <c r="FY322">
        <f ca="1"/>
      </c>
      <c r="FZ322">
        <f ca="1"/>
      </c>
      <c r="GA322">
        <f ca="1"/>
      </c>
      <c r="GB322">
        <f ca="1"/>
      </c>
      <c r="GC322">
        <f ca="1"/>
      </c>
      <c r="GD322">
        <f ca="1"/>
      </c>
      <c r="GE322">
        <f ca="1"/>
      </c>
      <c r="GF322">
        <f ca="1"/>
      </c>
      <c r="GG322">
        <f ca="1"/>
      </c>
      <c r="GH322">
        <f ca="1"/>
      </c>
      <c r="GI322">
        <f ca="1"/>
      </c>
      <c r="GJ322">
        <f ca="1"/>
      </c>
      <c r="GK322">
        <f ca="1"/>
      </c>
      <c r="GL322">
        <f ca="1"/>
      </c>
      <c r="GM322">
        <f ca="1"/>
      </c>
      <c r="GN322">
        <f ca="1"/>
      </c>
      <c r="GO322">
        <f ca="1"/>
      </c>
      <c r="GP322">
        <f ca="1"/>
      </c>
      <c r="GQ322">
        <f ca="1"/>
      </c>
      <c r="GR322">
        <f ca="1"/>
      </c>
      <c r="GS322">
        <f ca="1"/>
      </c>
      <c r="GT322">
        <f ca="1"/>
      </c>
      <c r="GU322">
        <f ca="1"/>
      </c>
      <c r="GV322">
        <f ca="1"/>
      </c>
      <c r="GW322">
        <f ca="1"/>
      </c>
      <c r="HI322" s="7"/>
    </row>
    <row r="323" spans="63:217" x14ac:dyDescent="0.55000000000000004">
      <c r="BK323">
        <f ca="1"/>
      </c>
      <c r="BL323">
        <f ca="1"/>
      </c>
      <c r="BM323">
        <f ca="1"/>
      </c>
      <c r="BN323">
        <f ca="1"/>
      </c>
      <c r="BO323">
        <f ca="1"/>
      </c>
      <c r="BP323">
        <f ca="1"/>
      </c>
      <c r="BQ323">
        <f ca="1"/>
      </c>
      <c r="BR323">
        <f ca="1"/>
      </c>
      <c r="BS323">
        <f ca="1"/>
      </c>
      <c r="BT323">
        <f ca="1"/>
      </c>
      <c r="BU323">
        <f ca="1"/>
      </c>
      <c r="BV323">
        <f ca="1"/>
      </c>
      <c r="BW323">
        <f ca="1"/>
      </c>
      <c r="BX323">
        <f ca="1"/>
      </c>
      <c r="BY323">
        <f ca="1"/>
      </c>
      <c r="BZ323">
        <f ca="1"/>
      </c>
      <c r="CA323">
        <f ca="1"/>
      </c>
      <c r="CB323">
        <f ca="1"/>
      </c>
      <c r="CC323">
        <f ca="1"/>
      </c>
      <c r="CD323">
        <f ca="1"/>
      </c>
      <c r="CE323">
        <f ca="1"/>
      </c>
      <c r="CF323">
        <f ca="1"/>
      </c>
      <c r="CG323">
        <f ca="1"/>
      </c>
      <c r="CH323">
        <f ca="1"/>
      </c>
      <c r="CI323">
        <f ca="1"/>
      </c>
      <c r="CJ323">
        <f ca="1"/>
      </c>
      <c r="CK323">
        <f ca="1"/>
      </c>
      <c r="CL323">
        <f ca="1"/>
      </c>
      <c r="CM323">
        <f ca="1"/>
      </c>
      <c r="CN323">
        <f ca="1"/>
      </c>
      <c r="CO323">
        <f ca="1"/>
      </c>
      <c r="CP323">
        <f ca="1"/>
      </c>
      <c r="CQ323">
        <f ca="1"/>
      </c>
      <c r="CR323">
        <f ca="1"/>
      </c>
      <c r="CS323">
        <f ca="1"/>
      </c>
      <c r="CT323">
        <f ca="1"/>
      </c>
      <c r="CU323">
        <f ca="1"/>
      </c>
      <c r="CV323">
        <f ca="1"/>
      </c>
      <c r="CW323">
        <f ca="1"/>
      </c>
      <c r="CX323">
        <f ca="1"/>
      </c>
      <c r="CY323">
        <f ca="1"/>
      </c>
      <c r="CZ323">
        <f ca="1"/>
      </c>
      <c r="DA323">
        <f ca="1"/>
      </c>
      <c r="DB323">
        <f ca="1"/>
      </c>
      <c r="DC323">
        <f ca="1"/>
      </c>
      <c r="DD323">
        <f ca="1"/>
      </c>
      <c r="DE323">
        <f ca="1"/>
      </c>
      <c r="DG323">
        <f ca="1"/>
      </c>
      <c r="DH323">
        <f ca="1"/>
      </c>
      <c r="DI323">
        <f ca="1"/>
      </c>
      <c r="DJ323">
        <f ca="1"/>
      </c>
      <c r="DK323">
        <f ca="1"/>
      </c>
      <c r="DL323">
        <f ca="1"/>
      </c>
      <c r="DM323">
        <f ca="1"/>
      </c>
      <c r="DN323">
        <f ca="1"/>
      </c>
      <c r="DO323">
        <f ca="1"/>
      </c>
      <c r="DP323">
        <f ca="1"/>
      </c>
      <c r="DQ323">
        <f ca="1"/>
      </c>
      <c r="DR323">
        <f ca="1"/>
      </c>
      <c r="DS323">
        <f ca="1"/>
      </c>
      <c r="DT323">
        <f ca="1"/>
      </c>
      <c r="DU323">
        <f ca="1"/>
      </c>
      <c r="DV323">
        <f ca="1"/>
      </c>
      <c r="DW323">
        <f ca="1"/>
      </c>
      <c r="DX323">
        <f ca="1"/>
      </c>
      <c r="DY323">
        <f ca="1"/>
      </c>
      <c r="DZ323">
        <f ca="1"/>
      </c>
      <c r="EA323">
        <f ca="1"/>
      </c>
      <c r="EB323">
        <f ca="1"/>
      </c>
      <c r="EC323">
        <f ca="1"/>
      </c>
      <c r="ED323">
        <f ca="1"/>
      </c>
      <c r="EE323">
        <f ca="1"/>
      </c>
      <c r="EF323">
        <f ca="1"/>
      </c>
      <c r="EG323">
        <f ca="1"/>
      </c>
      <c r="EH323">
        <f ca="1"/>
      </c>
      <c r="EI323">
        <f ca="1"/>
      </c>
      <c r="EJ323">
        <f ca="1"/>
      </c>
      <c r="EK323">
        <f ca="1"/>
      </c>
      <c r="EL323">
        <f ca="1"/>
      </c>
      <c r="EM323">
        <f ca="1"/>
      </c>
      <c r="EN323">
        <f ca="1"/>
      </c>
      <c r="EO323">
        <f ca="1"/>
      </c>
      <c r="EP323">
        <f ca="1"/>
      </c>
      <c r="EQ323">
        <f ca="1"/>
      </c>
      <c r="ER323">
        <f ca="1"/>
      </c>
      <c r="ES323">
        <f ca="1"/>
      </c>
      <c r="ET323">
        <f ca="1"/>
      </c>
      <c r="EU323">
        <f ca="1"/>
      </c>
      <c r="EV323">
        <f ca="1"/>
      </c>
      <c r="EW323">
        <f ca="1"/>
      </c>
      <c r="EX323">
        <f ca="1"/>
      </c>
      <c r="EY323">
        <f ca="1"/>
      </c>
      <c r="EZ323">
        <f ca="1"/>
      </c>
      <c r="FA323">
        <f ca="1"/>
      </c>
      <c r="FC323">
        <f ca="1"/>
      </c>
      <c r="FD323">
        <f ca="1"/>
      </c>
      <c r="FE323">
        <f ca="1"/>
      </c>
      <c r="FF323">
        <f ca="1"/>
      </c>
      <c r="FG323">
        <f ca="1"/>
      </c>
      <c r="FH323">
        <f ca="1"/>
      </c>
      <c r="FI323">
        <f ca="1"/>
      </c>
      <c r="FJ323">
        <f ca="1"/>
      </c>
      <c r="FK323">
        <f ca="1"/>
      </c>
      <c r="FL323">
        <f ca="1"/>
      </c>
      <c r="FM323">
        <f ca="1"/>
      </c>
      <c r="FN323">
        <f ca="1"/>
      </c>
      <c r="FO323">
        <f ca="1"/>
      </c>
      <c r="FP323">
        <f ca="1"/>
      </c>
      <c r="FQ323">
        <f ca="1"/>
      </c>
      <c r="FR323">
        <f ca="1"/>
      </c>
      <c r="FS323">
        <f ca="1"/>
      </c>
      <c r="FT323">
        <f ca="1"/>
      </c>
      <c r="FU323">
        <f ca="1"/>
      </c>
      <c r="FV323">
        <f ca="1"/>
      </c>
      <c r="FW323">
        <f ca="1"/>
      </c>
      <c r="FX323">
        <f ca="1"/>
      </c>
      <c r="FY323">
        <f ca="1"/>
      </c>
      <c r="FZ323">
        <f ca="1"/>
      </c>
      <c r="GA323">
        <f ca="1"/>
      </c>
      <c r="GB323">
        <f ca="1"/>
      </c>
      <c r="GC323">
        <f ca="1"/>
      </c>
      <c r="GD323">
        <f ca="1"/>
      </c>
      <c r="GE323">
        <f ca="1"/>
      </c>
      <c r="GF323">
        <f ca="1"/>
      </c>
      <c r="GG323">
        <f ca="1"/>
      </c>
      <c r="GH323">
        <f ca="1"/>
      </c>
      <c r="GI323">
        <f ca="1"/>
      </c>
      <c r="GJ323">
        <f ca="1"/>
      </c>
      <c r="GK323">
        <f ca="1"/>
      </c>
      <c r="GL323">
        <f ca="1"/>
      </c>
      <c r="GM323">
        <f ca="1"/>
      </c>
      <c r="GN323">
        <f ca="1"/>
      </c>
      <c r="GO323">
        <f ca="1"/>
      </c>
      <c r="GP323">
        <f ca="1"/>
      </c>
      <c r="GQ323">
        <f ca="1"/>
      </c>
      <c r="GR323">
        <f ca="1"/>
      </c>
      <c r="GS323">
        <f ca="1"/>
      </c>
      <c r="GT323">
        <f ca="1"/>
      </c>
      <c r="GU323">
        <f ca="1"/>
      </c>
      <c r="GV323">
        <f ca="1"/>
      </c>
      <c r="GW323">
        <f ca="1"/>
      </c>
      <c r="HI323" s="7"/>
    </row>
    <row r="324" spans="63:217" x14ac:dyDescent="0.55000000000000004">
      <c r="BK324">
        <f ca="1"/>
      </c>
      <c r="BL324">
        <f ca="1"/>
      </c>
      <c r="BM324">
        <f ca="1"/>
      </c>
      <c r="BN324">
        <f ca="1"/>
      </c>
      <c r="BO324">
        <f ca="1"/>
      </c>
      <c r="BP324">
        <f ca="1"/>
      </c>
      <c r="BQ324">
        <f ca="1"/>
      </c>
      <c r="BR324">
        <f ca="1"/>
      </c>
      <c r="BS324">
        <f ca="1"/>
      </c>
      <c r="BT324">
        <f ca="1"/>
      </c>
      <c r="BU324">
        <f ca="1"/>
      </c>
      <c r="BV324">
        <f ca="1"/>
      </c>
      <c r="BW324">
        <f ca="1"/>
      </c>
      <c r="BX324">
        <f ca="1"/>
      </c>
      <c r="BY324">
        <f ca="1"/>
      </c>
      <c r="BZ324">
        <f ca="1"/>
      </c>
      <c r="CA324">
        <f ca="1"/>
      </c>
      <c r="CB324">
        <f ca="1"/>
      </c>
      <c r="CC324">
        <f ca="1"/>
      </c>
      <c r="CD324">
        <f ca="1"/>
      </c>
      <c r="CE324">
        <f ca="1"/>
      </c>
      <c r="CF324">
        <f ca="1"/>
      </c>
      <c r="CG324">
        <f ca="1"/>
      </c>
      <c r="CH324">
        <f ca="1"/>
      </c>
      <c r="CI324">
        <f ca="1"/>
      </c>
      <c r="CJ324">
        <f ca="1"/>
      </c>
      <c r="CK324">
        <f ca="1"/>
      </c>
      <c r="CL324">
        <f ca="1"/>
      </c>
      <c r="CM324">
        <f ca="1"/>
      </c>
      <c r="CN324">
        <f ca="1"/>
      </c>
      <c r="CO324">
        <f ca="1"/>
      </c>
      <c r="CP324">
        <f ca="1"/>
      </c>
      <c r="CQ324">
        <f ca="1"/>
      </c>
      <c r="CR324">
        <f ca="1"/>
      </c>
      <c r="CS324">
        <f ca="1"/>
      </c>
      <c r="CT324">
        <f ca="1"/>
      </c>
      <c r="CU324">
        <f ca="1"/>
      </c>
      <c r="CV324">
        <f ca="1"/>
      </c>
      <c r="CW324">
        <f ca="1"/>
      </c>
      <c r="CX324">
        <f ca="1"/>
      </c>
      <c r="CY324">
        <f ca="1"/>
      </c>
      <c r="CZ324">
        <f ca="1"/>
      </c>
      <c r="DA324">
        <f ca="1"/>
      </c>
      <c r="DB324">
        <f ca="1"/>
      </c>
      <c r="DC324">
        <f ca="1"/>
      </c>
      <c r="DD324">
        <f ca="1"/>
      </c>
      <c r="DE324">
        <f ca="1"/>
      </c>
      <c r="DG324">
        <f ca="1"/>
      </c>
      <c r="DH324">
        <f ca="1"/>
      </c>
      <c r="DI324">
        <f ca="1"/>
      </c>
      <c r="DJ324">
        <f ca="1"/>
      </c>
      <c r="DK324">
        <f ca="1"/>
      </c>
      <c r="DL324">
        <f ca="1"/>
      </c>
      <c r="DM324">
        <f ca="1"/>
      </c>
      <c r="DN324">
        <f ca="1"/>
      </c>
      <c r="DO324">
        <f ca="1"/>
      </c>
      <c r="DP324">
        <f ca="1"/>
      </c>
      <c r="DQ324">
        <f ca="1"/>
      </c>
      <c r="DR324">
        <f ca="1"/>
      </c>
      <c r="DS324">
        <f ca="1"/>
      </c>
      <c r="DT324">
        <f ca="1"/>
      </c>
      <c r="DU324">
        <f ca="1"/>
      </c>
      <c r="DV324">
        <f ca="1"/>
      </c>
      <c r="DW324">
        <f ca="1"/>
      </c>
      <c r="DX324">
        <f ca="1"/>
      </c>
      <c r="DY324">
        <f ca="1"/>
      </c>
      <c r="DZ324">
        <f ca="1"/>
      </c>
      <c r="EA324">
        <f ca="1"/>
      </c>
      <c r="EB324">
        <f ca="1"/>
      </c>
      <c r="EC324">
        <f ca="1"/>
      </c>
      <c r="ED324">
        <f ca="1"/>
      </c>
      <c r="EE324">
        <f ca="1"/>
      </c>
      <c r="EF324">
        <f ca="1"/>
      </c>
      <c r="EG324">
        <f ca="1"/>
      </c>
      <c r="EH324">
        <f ca="1"/>
      </c>
      <c r="EI324">
        <f ca="1"/>
      </c>
      <c r="EJ324">
        <f ca="1"/>
      </c>
      <c r="EK324">
        <f ca="1"/>
      </c>
      <c r="EL324">
        <f ca="1"/>
      </c>
      <c r="EM324">
        <f ca="1"/>
      </c>
      <c r="EN324">
        <f ca="1"/>
      </c>
      <c r="EO324">
        <f ca="1"/>
      </c>
      <c r="EP324">
        <f ca="1"/>
      </c>
      <c r="EQ324">
        <f ca="1"/>
      </c>
      <c r="ER324">
        <f ca="1"/>
      </c>
      <c r="ES324">
        <f ca="1"/>
      </c>
      <c r="ET324">
        <f ca="1"/>
      </c>
      <c r="EU324">
        <f ca="1"/>
      </c>
      <c r="EV324">
        <f ca="1"/>
      </c>
      <c r="EW324">
        <f ca="1"/>
      </c>
      <c r="EX324">
        <f ca="1"/>
      </c>
      <c r="EY324">
        <f ca="1"/>
      </c>
      <c r="EZ324">
        <f ca="1"/>
      </c>
      <c r="FA324">
        <f ca="1"/>
      </c>
      <c r="FC324">
        <f ca="1"/>
      </c>
      <c r="FD324">
        <f ca="1"/>
      </c>
      <c r="FE324">
        <f ca="1"/>
      </c>
      <c r="FF324">
        <f ca="1"/>
      </c>
      <c r="FG324">
        <f ca="1"/>
      </c>
      <c r="FH324">
        <f ca="1"/>
      </c>
      <c r="FI324">
        <f ca="1"/>
      </c>
      <c r="FJ324">
        <f ca="1"/>
      </c>
      <c r="FK324">
        <f ca="1"/>
      </c>
      <c r="FL324">
        <f ca="1"/>
      </c>
      <c r="FM324">
        <f ca="1"/>
      </c>
      <c r="FN324">
        <f ca="1"/>
      </c>
      <c r="FO324">
        <f ca="1"/>
      </c>
      <c r="FP324">
        <f ca="1"/>
      </c>
      <c r="FQ324">
        <f ca="1"/>
      </c>
      <c r="FR324">
        <f ca="1"/>
      </c>
      <c r="FS324">
        <f ca="1"/>
      </c>
      <c r="FT324">
        <f ca="1"/>
      </c>
      <c r="FU324">
        <f ca="1"/>
      </c>
      <c r="FV324">
        <f ca="1"/>
      </c>
      <c r="FW324">
        <f ca="1"/>
      </c>
      <c r="FX324">
        <f ca="1"/>
      </c>
      <c r="FY324">
        <f ca="1"/>
      </c>
      <c r="FZ324">
        <f ca="1"/>
      </c>
      <c r="GA324">
        <f ca="1"/>
      </c>
      <c r="GB324">
        <f ca="1"/>
      </c>
      <c r="GC324">
        <f ca="1"/>
      </c>
      <c r="GD324">
        <f ca="1"/>
      </c>
      <c r="GE324">
        <f ca="1"/>
      </c>
      <c r="GF324">
        <f ca="1"/>
      </c>
      <c r="GG324">
        <f ca="1"/>
      </c>
      <c r="GH324">
        <f ca="1"/>
      </c>
      <c r="GI324">
        <f ca="1"/>
      </c>
      <c r="GJ324">
        <f ca="1"/>
      </c>
      <c r="GK324">
        <f ca="1"/>
      </c>
      <c r="GL324">
        <f ca="1"/>
      </c>
      <c r="GM324">
        <f ca="1"/>
      </c>
      <c r="GN324">
        <f ca="1"/>
      </c>
      <c r="GO324">
        <f ca="1"/>
      </c>
      <c r="GP324">
        <f ca="1"/>
      </c>
      <c r="GQ324">
        <f ca="1"/>
      </c>
      <c r="GR324">
        <f ca="1"/>
      </c>
      <c r="GS324">
        <f ca="1"/>
      </c>
      <c r="GT324">
        <f ca="1"/>
      </c>
      <c r="GU324">
        <f ca="1"/>
      </c>
      <c r="GV324">
        <f ca="1"/>
      </c>
      <c r="GW324">
        <f ca="1"/>
      </c>
      <c r="HI324" s="7"/>
    </row>
    <row r="325" spans="63:217" x14ac:dyDescent="0.55000000000000004">
      <c r="BK325">
        <f ca="1"/>
      </c>
      <c r="BL325">
        <f ca="1"/>
      </c>
      <c r="BM325">
        <f ca="1"/>
      </c>
      <c r="BN325">
        <f ca="1"/>
      </c>
      <c r="BO325">
        <f ca="1"/>
      </c>
      <c r="BP325">
        <f ca="1"/>
      </c>
      <c r="BQ325">
        <f ca="1"/>
      </c>
      <c r="BR325">
        <f ca="1"/>
      </c>
      <c r="BS325">
        <f ca="1"/>
      </c>
      <c r="BT325">
        <f ca="1"/>
      </c>
      <c r="BU325">
        <f ca="1"/>
      </c>
      <c r="BV325">
        <f ca="1"/>
      </c>
      <c r="BW325">
        <f ca="1"/>
      </c>
      <c r="BX325">
        <f ca="1"/>
      </c>
      <c r="BY325">
        <f ca="1"/>
      </c>
      <c r="BZ325">
        <f ca="1"/>
      </c>
      <c r="CA325">
        <f ca="1"/>
      </c>
      <c r="CB325">
        <f ca="1"/>
      </c>
      <c r="CC325">
        <f ca="1"/>
      </c>
      <c r="CD325">
        <f ca="1"/>
      </c>
      <c r="CE325">
        <f ca="1"/>
      </c>
      <c r="CF325">
        <f ca="1"/>
      </c>
      <c r="CG325">
        <f ca="1"/>
      </c>
      <c r="CH325">
        <f ca="1"/>
      </c>
      <c r="CI325">
        <f ca="1"/>
      </c>
      <c r="CJ325">
        <f ca="1"/>
      </c>
      <c r="CK325">
        <f ca="1"/>
      </c>
      <c r="CL325">
        <f ca="1"/>
      </c>
      <c r="CM325">
        <f ca="1"/>
      </c>
      <c r="CN325">
        <f ca="1"/>
      </c>
      <c r="CO325">
        <f ca="1"/>
      </c>
      <c r="CP325">
        <f ca="1"/>
      </c>
      <c r="CQ325">
        <f ca="1"/>
      </c>
      <c r="CR325">
        <f ca="1"/>
      </c>
      <c r="CS325">
        <f ca="1"/>
      </c>
      <c r="CT325">
        <f ca="1"/>
      </c>
      <c r="CU325">
        <f ca="1"/>
      </c>
      <c r="CV325">
        <f ca="1"/>
      </c>
      <c r="CW325">
        <f ca="1"/>
      </c>
      <c r="CX325">
        <f ca="1"/>
      </c>
      <c r="CY325">
        <f ca="1"/>
      </c>
      <c r="CZ325">
        <f ca="1"/>
      </c>
      <c r="DA325">
        <f ca="1"/>
      </c>
      <c r="DB325">
        <f ca="1"/>
      </c>
      <c r="DC325">
        <f ca="1"/>
      </c>
      <c r="DD325">
        <f ca="1"/>
      </c>
      <c r="DE325">
        <f ca="1"/>
      </c>
      <c r="DG325">
        <f ca="1"/>
      </c>
      <c r="DH325">
        <f ca="1"/>
      </c>
      <c r="DI325">
        <f ca="1"/>
      </c>
      <c r="DJ325">
        <f ca="1"/>
      </c>
      <c r="DK325">
        <f ca="1"/>
      </c>
      <c r="DL325">
        <f ca="1"/>
      </c>
      <c r="DM325">
        <f ca="1"/>
      </c>
      <c r="DN325">
        <f ca="1"/>
      </c>
      <c r="DO325">
        <f ca="1"/>
      </c>
      <c r="DP325">
        <f ca="1"/>
      </c>
      <c r="DQ325">
        <f ca="1"/>
      </c>
      <c r="DR325">
        <f ca="1"/>
      </c>
      <c r="DS325">
        <f ca="1"/>
      </c>
      <c r="DT325">
        <f ca="1"/>
      </c>
      <c r="DU325">
        <f ca="1"/>
      </c>
      <c r="DV325">
        <f ca="1"/>
      </c>
      <c r="DW325">
        <f ca="1"/>
      </c>
      <c r="DX325">
        <f ca="1"/>
      </c>
      <c r="DY325">
        <f ca="1"/>
      </c>
      <c r="DZ325">
        <f ca="1"/>
      </c>
      <c r="EA325">
        <f ca="1"/>
      </c>
      <c r="EB325">
        <f ca="1"/>
      </c>
      <c r="EC325">
        <f ca="1"/>
      </c>
      <c r="ED325">
        <f ca="1"/>
      </c>
      <c r="EE325">
        <f ca="1"/>
      </c>
      <c r="EF325">
        <f ca="1"/>
      </c>
      <c r="EG325">
        <f ca="1"/>
      </c>
      <c r="EH325">
        <f ca="1"/>
      </c>
      <c r="EI325">
        <f ca="1"/>
      </c>
      <c r="EJ325">
        <f ca="1"/>
      </c>
      <c r="EK325">
        <f ca="1"/>
      </c>
      <c r="EL325">
        <f ca="1"/>
      </c>
      <c r="EM325">
        <f ca="1"/>
      </c>
      <c r="EN325">
        <f ca="1"/>
      </c>
      <c r="EO325">
        <f ca="1"/>
      </c>
      <c r="EP325">
        <f ca="1"/>
      </c>
      <c r="EQ325">
        <f ca="1"/>
      </c>
      <c r="ER325">
        <f ca="1"/>
      </c>
      <c r="ES325">
        <f ca="1"/>
      </c>
      <c r="ET325">
        <f ca="1"/>
      </c>
      <c r="EU325">
        <f ca="1"/>
      </c>
      <c r="EV325">
        <f ca="1"/>
      </c>
      <c r="EW325">
        <f ca="1"/>
      </c>
      <c r="EX325">
        <f ca="1"/>
      </c>
      <c r="EY325">
        <f ca="1"/>
      </c>
      <c r="EZ325">
        <f ca="1"/>
      </c>
      <c r="FA325">
        <f ca="1"/>
      </c>
      <c r="FC325">
        <f ca="1"/>
      </c>
      <c r="FD325">
        <f ca="1"/>
      </c>
      <c r="FE325">
        <f ca="1"/>
      </c>
      <c r="FF325">
        <f ca="1"/>
      </c>
      <c r="FG325">
        <f ca="1"/>
      </c>
      <c r="FH325">
        <f ca="1"/>
      </c>
      <c r="FI325">
        <f ca="1"/>
      </c>
      <c r="FJ325">
        <f ca="1"/>
      </c>
      <c r="FK325">
        <f ca="1"/>
      </c>
      <c r="FL325">
        <f ca="1"/>
      </c>
      <c r="FM325">
        <f ca="1"/>
      </c>
      <c r="FN325">
        <f ca="1"/>
      </c>
      <c r="FO325">
        <f ca="1"/>
      </c>
      <c r="FP325">
        <f ca="1"/>
      </c>
      <c r="FQ325">
        <f ca="1"/>
      </c>
      <c r="FR325">
        <f ca="1"/>
      </c>
      <c r="FS325">
        <f ca="1"/>
      </c>
      <c r="FT325">
        <f ca="1"/>
      </c>
      <c r="FU325">
        <f ca="1"/>
      </c>
      <c r="FV325">
        <f ca="1"/>
      </c>
      <c r="FW325">
        <f ca="1"/>
      </c>
      <c r="FX325">
        <f ca="1"/>
      </c>
      <c r="FY325">
        <f ca="1"/>
      </c>
      <c r="FZ325">
        <f ca="1"/>
      </c>
      <c r="GA325">
        <f ca="1"/>
      </c>
      <c r="GB325">
        <f ca="1"/>
      </c>
      <c r="GC325">
        <f ca="1"/>
      </c>
      <c r="GD325">
        <f ca="1"/>
      </c>
      <c r="GE325">
        <f ca="1"/>
      </c>
      <c r="GF325">
        <f ca="1"/>
      </c>
      <c r="GG325">
        <f ca="1"/>
      </c>
      <c r="GH325">
        <f ca="1"/>
      </c>
      <c r="GI325">
        <f ca="1"/>
      </c>
      <c r="GJ325">
        <f ca="1"/>
      </c>
      <c r="GK325">
        <f ca="1"/>
      </c>
      <c r="GL325">
        <f ca="1"/>
      </c>
      <c r="GM325">
        <f ca="1"/>
      </c>
      <c r="GN325">
        <f ca="1"/>
      </c>
      <c r="GO325">
        <f ca="1"/>
      </c>
      <c r="GP325">
        <f ca="1"/>
      </c>
      <c r="GQ325">
        <f ca="1"/>
      </c>
      <c r="GR325">
        <f ca="1"/>
      </c>
      <c r="GS325">
        <f ca="1"/>
      </c>
      <c r="GT325">
        <f ca="1"/>
      </c>
      <c r="GU325">
        <f ca="1"/>
      </c>
      <c r="GV325">
        <f ca="1"/>
      </c>
      <c r="GW325">
        <f ca="1"/>
      </c>
      <c r="HI325" s="7"/>
    </row>
    <row r="326" spans="63:217" x14ac:dyDescent="0.55000000000000004">
      <c r="BK326">
        <f ca="1"/>
      </c>
      <c r="BL326">
        <f ca="1"/>
      </c>
      <c r="BM326">
        <f ca="1"/>
      </c>
      <c r="BN326">
        <f ca="1"/>
      </c>
      <c r="BO326">
        <f ca="1"/>
      </c>
      <c r="BP326">
        <f ca="1"/>
      </c>
      <c r="BQ326">
        <f ca="1"/>
      </c>
      <c r="BR326">
        <f ca="1"/>
      </c>
      <c r="BS326">
        <f ca="1"/>
      </c>
      <c r="BT326">
        <f ca="1"/>
      </c>
      <c r="BU326">
        <f ca="1"/>
      </c>
      <c r="BV326">
        <f ca="1"/>
      </c>
      <c r="BW326">
        <f ca="1"/>
      </c>
      <c r="BX326">
        <f ca="1"/>
      </c>
      <c r="BY326">
        <f ca="1"/>
      </c>
      <c r="BZ326">
        <f ca="1"/>
      </c>
      <c r="CA326">
        <f ca="1"/>
      </c>
      <c r="CB326">
        <f ca="1"/>
      </c>
      <c r="CC326">
        <f ca="1"/>
      </c>
      <c r="CD326">
        <f ca="1"/>
      </c>
      <c r="CE326">
        <f ca="1"/>
      </c>
      <c r="CF326">
        <f ca="1"/>
      </c>
      <c r="CG326">
        <f ca="1"/>
      </c>
      <c r="CH326">
        <f ca="1"/>
      </c>
      <c r="CI326">
        <f ca="1"/>
      </c>
      <c r="CJ326">
        <f ca="1"/>
      </c>
      <c r="CK326">
        <f ca="1"/>
      </c>
      <c r="CL326">
        <f ca="1"/>
      </c>
      <c r="CM326">
        <f ca="1"/>
      </c>
      <c r="CN326">
        <f ca="1"/>
      </c>
      <c r="CO326">
        <f ca="1"/>
      </c>
      <c r="CP326">
        <f ca="1"/>
      </c>
      <c r="CQ326">
        <f ca="1"/>
      </c>
      <c r="CR326">
        <f ca="1"/>
      </c>
      <c r="CS326">
        <f ca="1"/>
      </c>
      <c r="CT326">
        <f ca="1"/>
      </c>
      <c r="CU326">
        <f ca="1"/>
      </c>
      <c r="CV326">
        <f ca="1"/>
      </c>
      <c r="CW326">
        <f ca="1"/>
      </c>
      <c r="CX326">
        <f ca="1"/>
      </c>
      <c r="CY326">
        <f ca="1"/>
      </c>
      <c r="CZ326">
        <f ca="1"/>
      </c>
      <c r="DA326">
        <f ca="1"/>
      </c>
      <c r="DB326">
        <f ca="1"/>
      </c>
      <c r="DC326">
        <f ca="1"/>
      </c>
      <c r="DD326">
        <f ca="1"/>
      </c>
      <c r="DE326">
        <f ca="1"/>
      </c>
      <c r="DG326">
        <f ca="1"/>
      </c>
      <c r="DH326">
        <f ca="1"/>
      </c>
      <c r="DI326">
        <f ca="1"/>
      </c>
      <c r="DJ326">
        <f ca="1"/>
      </c>
      <c r="DK326">
        <f ca="1"/>
      </c>
      <c r="DL326">
        <f ca="1"/>
      </c>
      <c r="DM326">
        <f ca="1"/>
      </c>
      <c r="DN326">
        <f ca="1"/>
      </c>
      <c r="DO326">
        <f ca="1"/>
      </c>
      <c r="DP326">
        <f ca="1"/>
      </c>
      <c r="DQ326">
        <f ca="1"/>
      </c>
      <c r="DR326">
        <f ca="1"/>
      </c>
      <c r="DS326">
        <f ca="1"/>
      </c>
      <c r="DT326">
        <f ca="1"/>
      </c>
      <c r="DU326">
        <f ca="1"/>
      </c>
      <c r="DV326">
        <f ca="1"/>
      </c>
      <c r="DW326">
        <f ca="1"/>
      </c>
      <c r="DX326">
        <f ca="1"/>
      </c>
      <c r="DY326">
        <f ca="1"/>
      </c>
      <c r="DZ326">
        <f ca="1"/>
      </c>
      <c r="EA326">
        <f ca="1"/>
      </c>
      <c r="EB326">
        <f ca="1"/>
      </c>
      <c r="EC326">
        <f ca="1"/>
      </c>
      <c r="ED326">
        <f ca="1"/>
      </c>
      <c r="EE326">
        <f ca="1"/>
      </c>
      <c r="EF326">
        <f ca="1"/>
      </c>
      <c r="EG326">
        <f ca="1"/>
      </c>
      <c r="EH326">
        <f ca="1"/>
      </c>
      <c r="EI326">
        <f ca="1"/>
      </c>
      <c r="EJ326">
        <f ca="1"/>
      </c>
      <c r="EK326">
        <f ca="1"/>
      </c>
      <c r="EL326">
        <f ca="1"/>
      </c>
      <c r="EM326">
        <f ca="1"/>
      </c>
      <c r="EN326">
        <f ca="1"/>
      </c>
      <c r="EO326">
        <f ca="1"/>
      </c>
      <c r="EP326">
        <f ca="1"/>
      </c>
      <c r="EQ326">
        <f ca="1"/>
      </c>
      <c r="ER326">
        <f ca="1"/>
      </c>
      <c r="ES326">
        <f ca="1"/>
      </c>
      <c r="ET326">
        <f ca="1"/>
      </c>
      <c r="EU326">
        <f ca="1"/>
      </c>
      <c r="EV326">
        <f ca="1"/>
      </c>
      <c r="EW326">
        <f ca="1"/>
      </c>
      <c r="EX326">
        <f ca="1"/>
      </c>
      <c r="EY326">
        <f ca="1"/>
      </c>
      <c r="EZ326">
        <f ca="1"/>
      </c>
      <c r="FA326">
        <f ca="1"/>
      </c>
      <c r="FC326">
        <f ca="1"/>
      </c>
      <c r="FD326">
        <f ca="1"/>
      </c>
      <c r="FE326">
        <f ca="1"/>
      </c>
      <c r="FF326">
        <f ca="1"/>
      </c>
      <c r="FG326">
        <f ca="1"/>
      </c>
      <c r="FH326">
        <f ca="1"/>
      </c>
      <c r="FI326">
        <f ca="1"/>
      </c>
      <c r="FJ326">
        <f ca="1"/>
      </c>
      <c r="FK326">
        <f ca="1"/>
      </c>
      <c r="FL326">
        <f ca="1"/>
      </c>
      <c r="FM326">
        <f ca="1"/>
      </c>
      <c r="FN326">
        <f ca="1"/>
      </c>
      <c r="FO326">
        <f ca="1"/>
      </c>
      <c r="FP326">
        <f ca="1"/>
      </c>
      <c r="FQ326">
        <f ca="1"/>
      </c>
      <c r="FR326">
        <f ca="1"/>
      </c>
      <c r="FS326">
        <f ca="1"/>
      </c>
      <c r="FT326">
        <f ca="1"/>
      </c>
      <c r="FU326">
        <f ca="1"/>
      </c>
      <c r="FV326">
        <f ca="1"/>
      </c>
      <c r="FW326">
        <f ca="1"/>
      </c>
      <c r="FX326">
        <f ca="1"/>
      </c>
      <c r="FY326">
        <f ca="1"/>
      </c>
      <c r="FZ326">
        <f ca="1"/>
      </c>
      <c r="GA326">
        <f ca="1"/>
      </c>
      <c r="GB326">
        <f ca="1"/>
      </c>
      <c r="GC326">
        <f ca="1"/>
      </c>
      <c r="GD326">
        <f ca="1"/>
      </c>
      <c r="GE326">
        <f ca="1"/>
      </c>
      <c r="GF326">
        <f ca="1"/>
      </c>
      <c r="GG326">
        <f ca="1"/>
      </c>
      <c r="GH326">
        <f ca="1"/>
      </c>
      <c r="GI326">
        <f ca="1"/>
      </c>
      <c r="GJ326">
        <f ca="1"/>
      </c>
      <c r="GK326">
        <f ca="1"/>
      </c>
      <c r="GL326">
        <f ca="1"/>
      </c>
      <c r="GM326">
        <f ca="1"/>
      </c>
      <c r="GN326">
        <f ca="1"/>
      </c>
      <c r="GO326">
        <f ca="1"/>
      </c>
      <c r="GP326">
        <f ca="1"/>
      </c>
      <c r="GQ326">
        <f ca="1"/>
      </c>
      <c r="GR326">
        <f ca="1"/>
      </c>
      <c r="GS326">
        <f ca="1"/>
      </c>
      <c r="GT326">
        <f ca="1"/>
      </c>
      <c r="GU326">
        <f ca="1"/>
      </c>
      <c r="GV326">
        <f ca="1"/>
      </c>
      <c r="GW326">
        <f ca="1"/>
      </c>
      <c r="HI326" s="7"/>
    </row>
    <row r="327" spans="63:217" x14ac:dyDescent="0.55000000000000004">
      <c r="BK327">
        <f ca="1"/>
      </c>
      <c r="BL327">
        <f ca="1"/>
      </c>
      <c r="BM327">
        <f ca="1"/>
      </c>
      <c r="BN327">
        <f ca="1"/>
      </c>
      <c r="BO327">
        <f ca="1"/>
      </c>
      <c r="BP327">
        <f ca="1"/>
      </c>
      <c r="BQ327">
        <f ca="1"/>
      </c>
      <c r="BR327">
        <f ca="1"/>
      </c>
      <c r="BS327">
        <f ca="1"/>
      </c>
      <c r="BT327">
        <f ca="1"/>
      </c>
      <c r="BU327">
        <f ca="1"/>
      </c>
      <c r="BV327">
        <f ca="1"/>
      </c>
      <c r="BW327">
        <f ca="1"/>
      </c>
      <c r="BX327">
        <f ca="1"/>
      </c>
      <c r="BY327">
        <f ca="1"/>
      </c>
      <c r="BZ327">
        <f ca="1"/>
      </c>
      <c r="CA327">
        <f ca="1"/>
      </c>
      <c r="CB327">
        <f ca="1"/>
      </c>
      <c r="CC327">
        <f ca="1"/>
      </c>
      <c r="CD327">
        <f ca="1"/>
      </c>
      <c r="CE327">
        <f ca="1"/>
      </c>
      <c r="CF327">
        <f ca="1"/>
      </c>
      <c r="CG327">
        <f ca="1"/>
      </c>
      <c r="CH327">
        <f ca="1"/>
      </c>
      <c r="CI327">
        <f ca="1"/>
      </c>
      <c r="CJ327">
        <f ca="1"/>
      </c>
      <c r="CK327">
        <f ca="1"/>
      </c>
      <c r="CL327">
        <f ca="1"/>
      </c>
      <c r="CM327">
        <f ca="1"/>
      </c>
      <c r="CN327">
        <f ca="1"/>
      </c>
      <c r="CO327">
        <f ca="1"/>
      </c>
      <c r="CP327">
        <f ca="1"/>
      </c>
      <c r="CQ327">
        <f ca="1"/>
      </c>
      <c r="CR327">
        <f ca="1"/>
      </c>
      <c r="CS327">
        <f ca="1"/>
      </c>
      <c r="CT327">
        <f ca="1"/>
      </c>
      <c r="CU327">
        <f ca="1"/>
      </c>
      <c r="CV327">
        <f ca="1"/>
      </c>
      <c r="CW327">
        <f ca="1"/>
      </c>
      <c r="CX327">
        <f ca="1"/>
      </c>
      <c r="CY327">
        <f ca="1"/>
      </c>
      <c r="CZ327">
        <f ca="1"/>
      </c>
      <c r="DA327">
        <f ca="1"/>
      </c>
      <c r="DB327">
        <f ca="1"/>
      </c>
      <c r="DC327">
        <f ca="1"/>
      </c>
      <c r="DD327">
        <f ca="1"/>
      </c>
      <c r="DE327">
        <f ca="1"/>
      </c>
      <c r="DG327">
        <f ca="1"/>
      </c>
      <c r="DH327">
        <f ca="1"/>
      </c>
      <c r="DI327">
        <f ca="1"/>
      </c>
      <c r="DJ327">
        <f ca="1"/>
      </c>
      <c r="DK327">
        <f ca="1"/>
      </c>
      <c r="DL327">
        <f ca="1"/>
      </c>
      <c r="DM327">
        <f ca="1"/>
      </c>
      <c r="DN327">
        <f ca="1"/>
      </c>
      <c r="DO327">
        <f ca="1"/>
      </c>
      <c r="DP327">
        <f ca="1"/>
      </c>
      <c r="DQ327">
        <f ca="1"/>
      </c>
      <c r="DR327">
        <f ca="1"/>
      </c>
      <c r="DS327">
        <f ca="1"/>
      </c>
      <c r="DT327">
        <f ca="1"/>
      </c>
      <c r="DU327">
        <f ca="1"/>
      </c>
      <c r="DV327">
        <f ca="1"/>
      </c>
      <c r="DW327">
        <f ca="1"/>
      </c>
      <c r="DX327">
        <f ca="1"/>
      </c>
      <c r="DY327">
        <f ca="1"/>
      </c>
      <c r="DZ327">
        <f ca="1"/>
      </c>
      <c r="EA327">
        <f ca="1"/>
      </c>
      <c r="EB327">
        <f ca="1"/>
      </c>
      <c r="EC327">
        <f ca="1"/>
      </c>
      <c r="ED327">
        <f ca="1"/>
      </c>
      <c r="EE327">
        <f ca="1"/>
      </c>
      <c r="EF327">
        <f ca="1"/>
      </c>
      <c r="EG327">
        <f ca="1"/>
      </c>
      <c r="EH327">
        <f ca="1"/>
      </c>
      <c r="EI327">
        <f ca="1"/>
      </c>
      <c r="EJ327">
        <f ca="1"/>
      </c>
      <c r="EK327">
        <f ca="1"/>
      </c>
      <c r="EL327">
        <f ca="1"/>
      </c>
      <c r="EM327">
        <f ca="1"/>
      </c>
      <c r="EN327">
        <f ca="1"/>
      </c>
      <c r="EO327">
        <f ca="1"/>
      </c>
      <c r="EP327">
        <f ca="1"/>
      </c>
      <c r="EQ327">
        <f ca="1"/>
      </c>
      <c r="ER327">
        <f ca="1"/>
      </c>
      <c r="ES327">
        <f ca="1"/>
      </c>
      <c r="ET327">
        <f ca="1"/>
      </c>
      <c r="EU327">
        <f ca="1"/>
      </c>
      <c r="EV327">
        <f ca="1"/>
      </c>
      <c r="EW327">
        <f ca="1"/>
      </c>
      <c r="EX327">
        <f ca="1"/>
      </c>
      <c r="EY327">
        <f ca="1"/>
      </c>
      <c r="EZ327">
        <f ca="1"/>
      </c>
      <c r="FA327">
        <f ca="1"/>
      </c>
      <c r="FC327">
        <f ca="1"/>
      </c>
      <c r="FD327">
        <f ca="1"/>
      </c>
      <c r="FE327">
        <f ca="1"/>
      </c>
      <c r="FF327">
        <f ca="1"/>
      </c>
      <c r="FG327">
        <f ca="1"/>
      </c>
      <c r="FH327">
        <f ca="1"/>
      </c>
      <c r="FI327">
        <f ca="1"/>
      </c>
      <c r="FJ327">
        <f ca="1"/>
      </c>
      <c r="FK327">
        <f ca="1"/>
      </c>
      <c r="FL327">
        <f ca="1"/>
      </c>
      <c r="FM327">
        <f ca="1"/>
      </c>
      <c r="FN327">
        <f ca="1"/>
      </c>
      <c r="FO327">
        <f ca="1"/>
      </c>
      <c r="FP327">
        <f ca="1"/>
      </c>
      <c r="FQ327">
        <f ca="1"/>
      </c>
      <c r="FR327">
        <f ca="1"/>
      </c>
      <c r="FS327">
        <f ca="1"/>
      </c>
      <c r="FT327">
        <f ca="1"/>
      </c>
      <c r="FU327">
        <f ca="1"/>
      </c>
      <c r="FV327">
        <f ca="1"/>
      </c>
      <c r="FW327">
        <f ca="1"/>
      </c>
      <c r="FX327">
        <f ca="1"/>
      </c>
      <c r="FY327">
        <f ca="1"/>
      </c>
      <c r="FZ327">
        <f ca="1"/>
      </c>
      <c r="GA327">
        <f ca="1"/>
      </c>
      <c r="GB327">
        <f ca="1"/>
      </c>
      <c r="GC327">
        <f ca="1"/>
      </c>
      <c r="GD327">
        <f ca="1"/>
      </c>
      <c r="GE327">
        <f ca="1"/>
      </c>
      <c r="GF327">
        <f ca="1"/>
      </c>
      <c r="GG327">
        <f ca="1"/>
      </c>
      <c r="GH327">
        <f ca="1"/>
      </c>
      <c r="GI327">
        <f ca="1"/>
      </c>
      <c r="GJ327">
        <f ca="1"/>
      </c>
      <c r="GK327">
        <f ca="1"/>
      </c>
      <c r="GL327">
        <f ca="1"/>
      </c>
      <c r="GM327">
        <f ca="1"/>
      </c>
      <c r="GN327">
        <f ca="1"/>
      </c>
      <c r="GO327">
        <f ca="1"/>
      </c>
      <c r="GP327">
        <f ca="1"/>
      </c>
      <c r="GQ327">
        <f ca="1"/>
      </c>
      <c r="GR327">
        <f ca="1"/>
      </c>
      <c r="GS327">
        <f ca="1"/>
      </c>
      <c r="GT327">
        <f ca="1"/>
      </c>
      <c r="GU327">
        <f ca="1"/>
      </c>
      <c r="GV327">
        <f ca="1"/>
      </c>
      <c r="GW327">
        <f ca="1"/>
      </c>
      <c r="HI327" s="7"/>
    </row>
    <row r="328" spans="63:217" x14ac:dyDescent="0.55000000000000004">
      <c r="BK328">
        <f ca="1"/>
      </c>
      <c r="BL328">
        <f ca="1"/>
      </c>
      <c r="BM328">
        <f ca="1"/>
      </c>
      <c r="BN328">
        <f ca="1"/>
      </c>
      <c r="BO328">
        <f ca="1"/>
      </c>
      <c r="BP328">
        <f ca="1"/>
      </c>
      <c r="BQ328">
        <f ca="1"/>
      </c>
      <c r="BR328">
        <f ca="1"/>
      </c>
      <c r="BS328">
        <f ca="1"/>
      </c>
      <c r="BT328">
        <f ca="1"/>
      </c>
      <c r="BU328">
        <f ca="1"/>
      </c>
      <c r="BV328">
        <f ca="1"/>
      </c>
      <c r="BW328">
        <f ca="1"/>
      </c>
      <c r="BX328">
        <f ca="1"/>
      </c>
      <c r="BY328">
        <f ca="1"/>
      </c>
      <c r="BZ328">
        <f ca="1"/>
      </c>
      <c r="CA328">
        <f ca="1"/>
      </c>
      <c r="CB328">
        <f ca="1"/>
      </c>
      <c r="CC328">
        <f ca="1"/>
      </c>
      <c r="CD328">
        <f ca="1"/>
      </c>
      <c r="CE328">
        <f ca="1"/>
      </c>
      <c r="CF328">
        <f ca="1"/>
      </c>
      <c r="CG328">
        <f ca="1"/>
      </c>
      <c r="CH328">
        <f ca="1"/>
      </c>
      <c r="CI328">
        <f ca="1"/>
      </c>
      <c r="CJ328">
        <f ca="1"/>
      </c>
      <c r="CK328">
        <f ca="1"/>
      </c>
      <c r="CL328">
        <f ca="1"/>
      </c>
      <c r="CM328">
        <f ca="1"/>
      </c>
      <c r="CN328">
        <f ca="1"/>
      </c>
      <c r="CO328">
        <f ca="1"/>
      </c>
      <c r="CP328">
        <f ca="1"/>
      </c>
      <c r="CQ328">
        <f ca="1"/>
      </c>
      <c r="CR328">
        <f ca="1"/>
      </c>
      <c r="CS328">
        <f ca="1"/>
      </c>
      <c r="CT328">
        <f ca="1"/>
      </c>
      <c r="CU328">
        <f ca="1"/>
      </c>
      <c r="CV328">
        <f ca="1"/>
      </c>
      <c r="CW328">
        <f ca="1"/>
      </c>
      <c r="CX328">
        <f ca="1"/>
      </c>
      <c r="CY328">
        <f ca="1"/>
      </c>
      <c r="CZ328">
        <f ca="1"/>
      </c>
      <c r="DA328">
        <f ca="1"/>
      </c>
      <c r="DB328">
        <f ca="1"/>
      </c>
      <c r="DC328">
        <f ca="1"/>
      </c>
      <c r="DD328">
        <f ca="1"/>
      </c>
      <c r="DE328">
        <f ca="1"/>
      </c>
      <c r="DG328">
        <f ca="1"/>
      </c>
      <c r="DH328">
        <f ca="1"/>
      </c>
      <c r="DI328">
        <f ca="1"/>
      </c>
      <c r="DJ328">
        <f ca="1"/>
      </c>
      <c r="DK328">
        <f ca="1"/>
      </c>
      <c r="DL328">
        <f ca="1"/>
      </c>
      <c r="DM328">
        <f ca="1"/>
      </c>
      <c r="DN328">
        <f ca="1"/>
      </c>
      <c r="DO328">
        <f ca="1"/>
      </c>
      <c r="DP328">
        <f ca="1"/>
      </c>
      <c r="DQ328">
        <f ca="1"/>
      </c>
      <c r="DR328">
        <f ca="1"/>
      </c>
      <c r="DS328">
        <f ca="1"/>
      </c>
      <c r="DT328">
        <f ca="1"/>
      </c>
      <c r="DU328">
        <f ca="1"/>
      </c>
      <c r="DV328">
        <f ca="1"/>
      </c>
      <c r="DW328">
        <f ca="1"/>
      </c>
      <c r="DX328">
        <f ca="1"/>
      </c>
      <c r="DY328">
        <f ca="1"/>
      </c>
      <c r="DZ328">
        <f ca="1"/>
      </c>
      <c r="EA328">
        <f ca="1"/>
      </c>
      <c r="EB328">
        <f ca="1"/>
      </c>
      <c r="EC328">
        <f ca="1"/>
      </c>
      <c r="ED328">
        <f ca="1"/>
      </c>
      <c r="EE328">
        <f ca="1"/>
      </c>
      <c r="EF328">
        <f ca="1"/>
      </c>
      <c r="EG328">
        <f ca="1"/>
      </c>
      <c r="EH328">
        <f ca="1"/>
      </c>
      <c r="EI328">
        <f ca="1"/>
      </c>
      <c r="EJ328">
        <f ca="1"/>
      </c>
      <c r="EK328">
        <f ca="1"/>
      </c>
      <c r="EL328">
        <f ca="1"/>
      </c>
      <c r="EM328">
        <f ca="1"/>
      </c>
      <c r="EN328">
        <f ca="1"/>
      </c>
      <c r="EO328">
        <f ca="1"/>
      </c>
      <c r="EP328">
        <f ca="1"/>
      </c>
      <c r="EQ328">
        <f ca="1"/>
      </c>
      <c r="ER328">
        <f ca="1"/>
      </c>
      <c r="ES328">
        <f ca="1"/>
      </c>
      <c r="ET328">
        <f ca="1"/>
      </c>
      <c r="EU328">
        <f ca="1"/>
      </c>
      <c r="EV328">
        <f ca="1"/>
      </c>
      <c r="EW328">
        <f ca="1"/>
      </c>
      <c r="EX328">
        <f ca="1"/>
      </c>
      <c r="EY328">
        <f ca="1"/>
      </c>
      <c r="EZ328">
        <f ca="1"/>
      </c>
      <c r="FA328">
        <f ca="1"/>
      </c>
      <c r="FC328">
        <f ca="1"/>
      </c>
      <c r="FD328">
        <f ca="1"/>
      </c>
      <c r="FE328">
        <f ca="1"/>
      </c>
      <c r="FF328">
        <f ca="1"/>
      </c>
      <c r="FG328">
        <f ca="1"/>
      </c>
      <c r="FH328">
        <f ca="1"/>
      </c>
      <c r="FI328">
        <f ca="1"/>
      </c>
      <c r="FJ328">
        <f ca="1"/>
      </c>
      <c r="FK328">
        <f ca="1"/>
      </c>
      <c r="FL328">
        <f ca="1"/>
      </c>
      <c r="FM328">
        <f ca="1"/>
      </c>
      <c r="FN328">
        <f ca="1"/>
      </c>
      <c r="FO328">
        <f ca="1"/>
      </c>
      <c r="FP328">
        <f ca="1"/>
      </c>
      <c r="FQ328">
        <f ca="1"/>
      </c>
      <c r="FR328">
        <f ca="1"/>
      </c>
      <c r="FS328">
        <f ca="1"/>
      </c>
      <c r="FT328">
        <f ca="1"/>
      </c>
      <c r="FU328">
        <f ca="1"/>
      </c>
      <c r="FV328">
        <f ca="1"/>
      </c>
      <c r="FW328">
        <f ca="1"/>
      </c>
      <c r="FX328">
        <f ca="1"/>
      </c>
      <c r="FY328">
        <f ca="1"/>
      </c>
      <c r="FZ328">
        <f ca="1"/>
      </c>
      <c r="GA328">
        <f ca="1"/>
      </c>
      <c r="GB328">
        <f ca="1"/>
      </c>
      <c r="GC328">
        <f ca="1"/>
      </c>
      <c r="GD328">
        <f ca="1"/>
      </c>
      <c r="GE328">
        <f ca="1"/>
      </c>
      <c r="GF328">
        <f ca="1"/>
      </c>
      <c r="GG328">
        <f ca="1"/>
      </c>
      <c r="GH328">
        <f ca="1"/>
      </c>
      <c r="GI328">
        <f ca="1"/>
      </c>
      <c r="GJ328">
        <f ca="1"/>
      </c>
      <c r="GK328">
        <f ca="1"/>
      </c>
      <c r="GL328">
        <f ca="1"/>
      </c>
      <c r="GM328">
        <f ca="1"/>
      </c>
      <c r="GN328">
        <f ca="1"/>
      </c>
      <c r="GO328">
        <f ca="1"/>
      </c>
      <c r="GP328">
        <f ca="1"/>
      </c>
      <c r="GQ328">
        <f ca="1"/>
      </c>
      <c r="GR328">
        <f ca="1"/>
      </c>
      <c r="GS328">
        <f ca="1"/>
      </c>
      <c r="GT328">
        <f ca="1"/>
      </c>
      <c r="GU328">
        <f ca="1"/>
      </c>
      <c r="GV328">
        <f ca="1"/>
      </c>
      <c r="GW328">
        <f ca="1"/>
      </c>
      <c r="HI328" s="7"/>
    </row>
    <row r="329" spans="63:217" x14ac:dyDescent="0.55000000000000004">
      <c r="BK329">
        <f ca="1"/>
      </c>
      <c r="BL329">
        <f ca="1"/>
      </c>
      <c r="BM329">
        <f ca="1"/>
      </c>
      <c r="BN329">
        <f ca="1"/>
      </c>
      <c r="BO329">
        <f ca="1"/>
      </c>
      <c r="BP329">
        <f ca="1"/>
      </c>
      <c r="BQ329">
        <f ca="1"/>
      </c>
      <c r="BR329">
        <f ca="1"/>
      </c>
      <c r="BS329">
        <f ca="1"/>
      </c>
      <c r="BT329">
        <f ca="1"/>
      </c>
      <c r="BU329">
        <f ca="1"/>
      </c>
      <c r="BV329">
        <f ca="1"/>
      </c>
      <c r="BW329">
        <f ca="1"/>
      </c>
      <c r="BX329">
        <f ca="1"/>
      </c>
      <c r="BY329">
        <f ca="1"/>
      </c>
      <c r="BZ329">
        <f ca="1"/>
      </c>
      <c r="CA329">
        <f ca="1"/>
      </c>
      <c r="CB329">
        <f ca="1"/>
      </c>
      <c r="CC329">
        <f ca="1"/>
      </c>
      <c r="CD329">
        <f ca="1"/>
      </c>
      <c r="CE329">
        <f ca="1"/>
      </c>
      <c r="CF329">
        <f ca="1"/>
      </c>
      <c r="CG329">
        <f ca="1"/>
      </c>
      <c r="CH329">
        <f ca="1"/>
      </c>
      <c r="CI329">
        <f ca="1"/>
      </c>
      <c r="CJ329">
        <f ca="1"/>
      </c>
      <c r="CK329">
        <f ca="1"/>
      </c>
      <c r="CL329">
        <f ca="1"/>
      </c>
      <c r="CM329">
        <f ca="1"/>
      </c>
      <c r="CN329">
        <f ca="1"/>
      </c>
      <c r="CO329">
        <f ca="1"/>
      </c>
      <c r="CP329">
        <f ca="1"/>
      </c>
      <c r="CQ329">
        <f ca="1"/>
      </c>
      <c r="CR329">
        <f ca="1"/>
      </c>
      <c r="CS329">
        <f ca="1"/>
      </c>
      <c r="CT329">
        <f ca="1"/>
      </c>
      <c r="CU329">
        <f ca="1"/>
      </c>
      <c r="CV329">
        <f ca="1"/>
      </c>
      <c r="CW329">
        <f ca="1"/>
      </c>
      <c r="CX329">
        <f ca="1"/>
      </c>
      <c r="CY329">
        <f ca="1"/>
      </c>
      <c r="CZ329">
        <f ca="1"/>
      </c>
      <c r="DA329">
        <f ca="1"/>
      </c>
      <c r="DB329">
        <f ca="1"/>
      </c>
      <c r="DC329">
        <f ca="1"/>
      </c>
      <c r="DD329">
        <f ca="1"/>
      </c>
      <c r="DE329">
        <f ca="1"/>
      </c>
      <c r="DG329">
        <f ca="1"/>
      </c>
      <c r="DH329">
        <f ca="1"/>
      </c>
      <c r="DI329">
        <f ca="1"/>
      </c>
      <c r="DJ329">
        <f ca="1"/>
      </c>
      <c r="DK329">
        <f ca="1"/>
      </c>
      <c r="DL329">
        <f ca="1"/>
      </c>
      <c r="DM329">
        <f ca="1"/>
      </c>
      <c r="DN329">
        <f ca="1"/>
      </c>
      <c r="DO329">
        <f ca="1"/>
      </c>
      <c r="DP329">
        <f ca="1"/>
      </c>
      <c r="DQ329">
        <f ca="1"/>
      </c>
      <c r="DR329">
        <f ca="1"/>
      </c>
      <c r="DS329">
        <f ca="1"/>
      </c>
      <c r="DT329">
        <f ca="1"/>
      </c>
      <c r="DU329">
        <f ca="1"/>
      </c>
      <c r="DV329">
        <f ca="1"/>
      </c>
      <c r="DW329">
        <f ca="1"/>
      </c>
      <c r="DX329">
        <f ca="1"/>
      </c>
      <c r="DY329">
        <f ca="1"/>
      </c>
      <c r="DZ329">
        <f ca="1"/>
      </c>
      <c r="EA329">
        <f ca="1"/>
      </c>
      <c r="EB329">
        <f ca="1"/>
      </c>
      <c r="EC329">
        <f ca="1"/>
      </c>
      <c r="ED329">
        <f ca="1"/>
      </c>
      <c r="EE329">
        <f ca="1"/>
      </c>
      <c r="EF329">
        <f ca="1"/>
      </c>
      <c r="EG329">
        <f ca="1"/>
      </c>
      <c r="EH329">
        <f ca="1"/>
      </c>
      <c r="EI329">
        <f ca="1"/>
      </c>
      <c r="EJ329">
        <f ca="1"/>
      </c>
      <c r="EK329">
        <f ca="1"/>
      </c>
      <c r="EL329">
        <f ca="1"/>
      </c>
      <c r="EM329">
        <f ca="1"/>
      </c>
      <c r="EN329">
        <f ca="1"/>
      </c>
      <c r="EO329">
        <f ca="1"/>
      </c>
      <c r="EP329">
        <f ca="1"/>
      </c>
      <c r="EQ329">
        <f ca="1"/>
      </c>
      <c r="ER329">
        <f ca="1"/>
      </c>
      <c r="ES329">
        <f ca="1"/>
      </c>
      <c r="ET329">
        <f ca="1"/>
      </c>
      <c r="EU329">
        <f ca="1"/>
      </c>
      <c r="EV329">
        <f ca="1"/>
      </c>
      <c r="EW329">
        <f ca="1"/>
      </c>
      <c r="EX329">
        <f ca="1"/>
      </c>
      <c r="EY329">
        <f ca="1"/>
      </c>
      <c r="EZ329">
        <f ca="1"/>
      </c>
      <c r="FA329">
        <f ca="1"/>
      </c>
      <c r="FC329">
        <f ca="1"/>
      </c>
      <c r="FD329">
        <f ca="1"/>
      </c>
      <c r="FE329">
        <f ca="1"/>
      </c>
      <c r="FF329">
        <f ca="1"/>
      </c>
      <c r="FG329">
        <f ca="1"/>
      </c>
      <c r="FH329">
        <f ca="1"/>
      </c>
      <c r="FI329">
        <f ca="1"/>
      </c>
      <c r="FJ329">
        <f ca="1"/>
      </c>
      <c r="FK329">
        <f ca="1"/>
      </c>
      <c r="FL329">
        <f ca="1"/>
      </c>
      <c r="FM329">
        <f ca="1"/>
      </c>
      <c r="FN329">
        <f ca="1"/>
      </c>
      <c r="FO329">
        <f ca="1"/>
      </c>
      <c r="FP329">
        <f ca="1"/>
      </c>
      <c r="FQ329">
        <f ca="1"/>
      </c>
      <c r="FR329">
        <f ca="1"/>
      </c>
      <c r="FS329">
        <f ca="1"/>
      </c>
      <c r="FT329">
        <f ca="1"/>
      </c>
      <c r="FU329">
        <f ca="1"/>
      </c>
      <c r="FV329">
        <f ca="1"/>
      </c>
      <c r="FW329">
        <f ca="1"/>
      </c>
      <c r="FX329">
        <f ca="1"/>
      </c>
      <c r="FY329">
        <f ca="1"/>
      </c>
      <c r="FZ329">
        <f ca="1"/>
      </c>
      <c r="GA329">
        <f ca="1"/>
      </c>
      <c r="GB329">
        <f ca="1"/>
      </c>
      <c r="GC329">
        <f ca="1"/>
      </c>
      <c r="GD329">
        <f ca="1"/>
      </c>
      <c r="GE329">
        <f ca="1"/>
      </c>
      <c r="GF329">
        <f ca="1"/>
      </c>
      <c r="GG329">
        <f ca="1"/>
      </c>
      <c r="GH329">
        <f ca="1"/>
      </c>
      <c r="GI329">
        <f ca="1"/>
      </c>
      <c r="GJ329">
        <f ca="1"/>
      </c>
      <c r="GK329">
        <f ca="1"/>
      </c>
      <c r="GL329">
        <f ca="1"/>
      </c>
      <c r="GM329">
        <f ca="1"/>
      </c>
      <c r="GN329">
        <f ca="1"/>
      </c>
      <c r="GO329">
        <f ca="1"/>
      </c>
      <c r="GP329">
        <f ca="1"/>
      </c>
      <c r="GQ329">
        <f ca="1"/>
      </c>
      <c r="GR329">
        <f ca="1"/>
      </c>
      <c r="GS329">
        <f ca="1"/>
      </c>
      <c r="GT329">
        <f ca="1"/>
      </c>
      <c r="GU329">
        <f ca="1"/>
      </c>
      <c r="GV329">
        <f ca="1"/>
      </c>
      <c r="GW329">
        <f ca="1"/>
      </c>
      <c r="HI329" s="7"/>
    </row>
    <row r="330" spans="63:217" x14ac:dyDescent="0.55000000000000004">
      <c r="BK330">
        <f ca="1"/>
      </c>
      <c r="BL330">
        <f ca="1"/>
      </c>
      <c r="BM330">
        <f ca="1"/>
      </c>
      <c r="BN330">
        <f ca="1"/>
      </c>
      <c r="BO330">
        <f ca="1"/>
      </c>
      <c r="BP330">
        <f ca="1"/>
      </c>
      <c r="BQ330">
        <f ca="1"/>
      </c>
      <c r="BR330">
        <f ca="1"/>
      </c>
      <c r="BS330">
        <f ca="1"/>
      </c>
      <c r="BT330">
        <f ca="1"/>
      </c>
      <c r="BU330">
        <f ca="1"/>
      </c>
      <c r="BV330">
        <f ca="1"/>
      </c>
      <c r="BW330">
        <f ca="1"/>
      </c>
      <c r="BX330">
        <f ca="1"/>
      </c>
      <c r="BY330">
        <f ca="1"/>
      </c>
      <c r="BZ330">
        <f ca="1"/>
      </c>
      <c r="CA330">
        <f ca="1"/>
      </c>
      <c r="CB330">
        <f ca="1"/>
      </c>
      <c r="CC330">
        <f ca="1"/>
      </c>
      <c r="CD330">
        <f ca="1"/>
      </c>
      <c r="CE330">
        <f ca="1"/>
      </c>
      <c r="CF330">
        <f ca="1"/>
      </c>
      <c r="CG330">
        <f ca="1"/>
      </c>
      <c r="CH330">
        <f ca="1"/>
      </c>
      <c r="CI330">
        <f ca="1"/>
      </c>
      <c r="CJ330">
        <f ca="1"/>
      </c>
      <c r="CK330">
        <f ca="1"/>
      </c>
      <c r="CL330">
        <f ca="1"/>
      </c>
      <c r="CM330">
        <f ca="1"/>
      </c>
      <c r="CN330">
        <f ca="1"/>
      </c>
      <c r="CO330">
        <f ca="1"/>
      </c>
      <c r="CP330">
        <f ca="1"/>
      </c>
      <c r="CQ330">
        <f ca="1"/>
      </c>
      <c r="CR330">
        <f ca="1"/>
      </c>
      <c r="CS330">
        <f ca="1"/>
      </c>
      <c r="CT330">
        <f ca="1"/>
      </c>
      <c r="CU330">
        <f ca="1"/>
      </c>
      <c r="CV330">
        <f ca="1"/>
      </c>
      <c r="CW330">
        <f ca="1"/>
      </c>
      <c r="CX330">
        <f ca="1"/>
      </c>
      <c r="CY330">
        <f ca="1"/>
      </c>
      <c r="CZ330">
        <f ca="1"/>
      </c>
      <c r="DA330">
        <f ca="1"/>
      </c>
      <c r="DB330">
        <f ca="1"/>
      </c>
      <c r="DC330">
        <f ca="1"/>
      </c>
      <c r="DD330">
        <f ca="1"/>
      </c>
      <c r="DE330">
        <f ca="1"/>
      </c>
      <c r="DG330">
        <f ca="1"/>
      </c>
      <c r="DH330">
        <f ca="1"/>
      </c>
      <c r="DI330">
        <f ca="1"/>
      </c>
      <c r="DJ330">
        <f ca="1"/>
      </c>
      <c r="DK330">
        <f ca="1"/>
      </c>
      <c r="DL330">
        <f ca="1"/>
      </c>
      <c r="DM330">
        <f ca="1"/>
      </c>
      <c r="DN330">
        <f ca="1"/>
      </c>
      <c r="DO330">
        <f ca="1"/>
      </c>
      <c r="DP330">
        <f ca="1"/>
      </c>
      <c r="DQ330">
        <f ca="1"/>
      </c>
      <c r="DR330">
        <f ca="1"/>
      </c>
      <c r="DS330">
        <f ca="1"/>
      </c>
      <c r="DT330">
        <f ca="1"/>
      </c>
      <c r="DU330">
        <f ca="1"/>
      </c>
      <c r="DV330">
        <f ca="1"/>
      </c>
      <c r="DW330">
        <f ca="1"/>
      </c>
      <c r="DX330">
        <f ca="1"/>
      </c>
      <c r="DY330">
        <f ca="1"/>
      </c>
      <c r="DZ330">
        <f ca="1"/>
      </c>
      <c r="EA330">
        <f ca="1"/>
      </c>
      <c r="EB330">
        <f ca="1"/>
      </c>
      <c r="EC330">
        <f ca="1"/>
      </c>
      <c r="ED330">
        <f ca="1"/>
      </c>
      <c r="EE330">
        <f ca="1"/>
      </c>
      <c r="EF330">
        <f ca="1"/>
      </c>
      <c r="EG330">
        <f ca="1"/>
      </c>
      <c r="EH330">
        <f ca="1"/>
      </c>
      <c r="EI330">
        <f ca="1"/>
      </c>
      <c r="EJ330">
        <f ca="1"/>
      </c>
      <c r="EK330">
        <f ca="1"/>
      </c>
      <c r="EL330">
        <f ca="1"/>
      </c>
      <c r="EM330">
        <f ca="1"/>
      </c>
      <c r="EN330">
        <f ca="1"/>
      </c>
      <c r="EO330">
        <f ca="1"/>
      </c>
      <c r="EP330">
        <f ca="1"/>
      </c>
      <c r="EQ330">
        <f ca="1"/>
      </c>
      <c r="ER330">
        <f ca="1"/>
      </c>
      <c r="ES330">
        <f ca="1"/>
      </c>
      <c r="ET330">
        <f ca="1"/>
      </c>
      <c r="EU330">
        <f ca="1"/>
      </c>
      <c r="EV330">
        <f ca="1"/>
      </c>
      <c r="EW330">
        <f ca="1"/>
      </c>
      <c r="EX330">
        <f ca="1"/>
      </c>
      <c r="EY330">
        <f ca="1"/>
      </c>
      <c r="EZ330">
        <f ca="1"/>
      </c>
      <c r="FA330">
        <f ca="1"/>
      </c>
      <c r="FC330">
        <f ca="1"/>
      </c>
      <c r="FD330">
        <f ca="1"/>
      </c>
      <c r="FE330">
        <f ca="1"/>
      </c>
      <c r="FF330">
        <f ca="1"/>
      </c>
      <c r="FG330">
        <f ca="1"/>
      </c>
      <c r="FH330">
        <f ca="1"/>
      </c>
      <c r="FI330">
        <f ca="1"/>
      </c>
      <c r="FJ330">
        <f ca="1"/>
      </c>
      <c r="FK330">
        <f ca="1"/>
      </c>
      <c r="FL330">
        <f ca="1"/>
      </c>
      <c r="FM330">
        <f ca="1"/>
      </c>
      <c r="FN330">
        <f ca="1"/>
      </c>
      <c r="FO330">
        <f ca="1"/>
      </c>
      <c r="FP330">
        <f ca="1"/>
      </c>
      <c r="FQ330">
        <f ca="1"/>
      </c>
      <c r="FR330">
        <f ca="1"/>
      </c>
      <c r="FS330">
        <f ca="1"/>
      </c>
      <c r="FT330">
        <f ca="1"/>
      </c>
      <c r="FU330">
        <f ca="1"/>
      </c>
      <c r="FV330">
        <f ca="1"/>
      </c>
      <c r="FW330">
        <f ca="1"/>
      </c>
      <c r="FX330">
        <f ca="1"/>
      </c>
      <c r="FY330">
        <f ca="1"/>
      </c>
      <c r="FZ330">
        <f ca="1"/>
      </c>
      <c r="GA330">
        <f ca="1"/>
      </c>
      <c r="GB330">
        <f ca="1"/>
      </c>
      <c r="GC330">
        <f ca="1"/>
      </c>
      <c r="GD330">
        <f ca="1"/>
      </c>
      <c r="GE330">
        <f ca="1"/>
      </c>
      <c r="GF330">
        <f ca="1"/>
      </c>
      <c r="GG330">
        <f ca="1"/>
      </c>
      <c r="GH330">
        <f ca="1"/>
      </c>
      <c r="GI330">
        <f ca="1"/>
      </c>
      <c r="GJ330">
        <f ca="1"/>
      </c>
      <c r="GK330">
        <f ca="1"/>
      </c>
      <c r="GL330">
        <f ca="1"/>
      </c>
      <c r="GM330">
        <f ca="1"/>
      </c>
      <c r="GN330">
        <f ca="1"/>
      </c>
      <c r="GO330">
        <f ca="1"/>
      </c>
      <c r="GP330">
        <f ca="1"/>
      </c>
      <c r="GQ330">
        <f ca="1"/>
      </c>
      <c r="GR330">
        <f ca="1"/>
      </c>
      <c r="GS330">
        <f ca="1"/>
      </c>
      <c r="GT330">
        <f ca="1"/>
      </c>
      <c r="GU330">
        <f ca="1"/>
      </c>
      <c r="GV330">
        <f ca="1"/>
      </c>
      <c r="GW330">
        <f ca="1"/>
      </c>
      <c r="HI330" s="7"/>
    </row>
    <row r="331" spans="63:217" x14ac:dyDescent="0.55000000000000004">
      <c r="BK331">
        <f ca="1"/>
      </c>
      <c r="BL331">
        <f ca="1"/>
      </c>
      <c r="BM331">
        <f ca="1"/>
      </c>
      <c r="BN331">
        <f ca="1"/>
      </c>
      <c r="BO331">
        <f ca="1"/>
      </c>
      <c r="BP331">
        <f ca="1"/>
      </c>
      <c r="BQ331">
        <f ca="1"/>
      </c>
      <c r="BR331">
        <f ca="1"/>
      </c>
      <c r="BS331">
        <f ca="1"/>
      </c>
      <c r="BT331">
        <f ca="1"/>
      </c>
      <c r="BU331">
        <f ca="1"/>
      </c>
      <c r="BV331">
        <f ca="1"/>
      </c>
      <c r="BW331">
        <f ca="1"/>
      </c>
      <c r="BX331">
        <f ca="1"/>
      </c>
      <c r="BY331">
        <f ca="1"/>
      </c>
      <c r="BZ331">
        <f ca="1"/>
      </c>
      <c r="CA331">
        <f ca="1"/>
      </c>
      <c r="CB331">
        <f ca="1"/>
      </c>
      <c r="CC331">
        <f ca="1"/>
      </c>
      <c r="CD331">
        <f ca="1"/>
      </c>
      <c r="CE331">
        <f ca="1"/>
      </c>
      <c r="CF331">
        <f ca="1"/>
      </c>
      <c r="CG331">
        <f ca="1"/>
      </c>
      <c r="CH331">
        <f ca="1"/>
      </c>
      <c r="CI331">
        <f ca="1"/>
      </c>
      <c r="CJ331">
        <f ca="1"/>
      </c>
      <c r="CK331">
        <f ca="1"/>
      </c>
      <c r="CL331">
        <f ca="1"/>
      </c>
      <c r="CM331">
        <f ca="1"/>
      </c>
      <c r="CN331">
        <f ca="1"/>
      </c>
      <c r="CO331">
        <f ca="1"/>
      </c>
      <c r="CP331">
        <f ca="1"/>
      </c>
      <c r="CQ331">
        <f ca="1"/>
      </c>
      <c r="CR331">
        <f ca="1"/>
      </c>
      <c r="CS331">
        <f ca="1"/>
      </c>
      <c r="CT331">
        <f ca="1"/>
      </c>
      <c r="CU331">
        <f ca="1"/>
      </c>
      <c r="CV331">
        <f ca="1"/>
      </c>
      <c r="CW331">
        <f ca="1"/>
      </c>
      <c r="CX331">
        <f ca="1"/>
      </c>
      <c r="CY331">
        <f ca="1"/>
      </c>
      <c r="CZ331">
        <f ca="1"/>
      </c>
      <c r="DA331">
        <f ca="1"/>
      </c>
      <c r="DB331">
        <f ca="1"/>
      </c>
      <c r="DC331">
        <f ca="1"/>
      </c>
      <c r="DD331">
        <f ca="1"/>
      </c>
      <c r="DE331">
        <f ca="1"/>
      </c>
      <c r="DG331">
        <f ca="1"/>
      </c>
      <c r="DH331">
        <f ca="1"/>
      </c>
      <c r="DI331">
        <f ca="1"/>
      </c>
      <c r="DJ331">
        <f ca="1"/>
      </c>
      <c r="DK331">
        <f ca="1"/>
      </c>
      <c r="DL331">
        <f ca="1"/>
      </c>
      <c r="DM331">
        <f ca="1"/>
      </c>
      <c r="DN331">
        <f ca="1"/>
      </c>
      <c r="DO331">
        <f ca="1"/>
      </c>
      <c r="DP331">
        <f ca="1"/>
      </c>
      <c r="DQ331">
        <f ca="1"/>
      </c>
      <c r="DR331">
        <f ca="1"/>
      </c>
      <c r="DS331">
        <f ca="1"/>
      </c>
      <c r="DT331">
        <f ca="1"/>
      </c>
      <c r="DU331">
        <f ca="1"/>
      </c>
      <c r="DV331">
        <f ca="1"/>
      </c>
      <c r="DW331">
        <f ca="1"/>
      </c>
      <c r="DX331">
        <f ca="1"/>
      </c>
      <c r="DY331">
        <f ca="1"/>
      </c>
      <c r="DZ331">
        <f ca="1"/>
      </c>
      <c r="EA331">
        <f ca="1"/>
      </c>
      <c r="EB331">
        <f ca="1"/>
      </c>
      <c r="EC331">
        <f ca="1"/>
      </c>
      <c r="ED331">
        <f ca="1"/>
      </c>
      <c r="EE331">
        <f ca="1"/>
      </c>
      <c r="EF331">
        <f ca="1"/>
      </c>
      <c r="EG331">
        <f ca="1"/>
      </c>
      <c r="EH331">
        <f ca="1"/>
      </c>
      <c r="EI331">
        <f ca="1"/>
      </c>
      <c r="EJ331">
        <f ca="1"/>
      </c>
      <c r="EK331">
        <f ca="1"/>
      </c>
      <c r="EL331">
        <f ca="1"/>
      </c>
      <c r="EM331">
        <f ca="1"/>
      </c>
      <c r="EN331">
        <f ca="1"/>
      </c>
      <c r="EO331">
        <f ca="1"/>
      </c>
      <c r="EP331">
        <f ca="1"/>
      </c>
      <c r="EQ331">
        <f ca="1"/>
      </c>
      <c r="ER331">
        <f ca="1"/>
      </c>
      <c r="ES331">
        <f ca="1"/>
      </c>
      <c r="ET331">
        <f ca="1"/>
      </c>
      <c r="EU331">
        <f ca="1"/>
      </c>
      <c r="EV331">
        <f ca="1"/>
      </c>
      <c r="EW331">
        <f ca="1"/>
      </c>
      <c r="EX331">
        <f ca="1"/>
      </c>
      <c r="EY331">
        <f ca="1"/>
      </c>
      <c r="EZ331">
        <f ca="1"/>
      </c>
      <c r="FA331">
        <f ca="1"/>
      </c>
      <c r="FC331">
        <f ca="1"/>
      </c>
      <c r="FD331">
        <f ca="1"/>
      </c>
      <c r="FE331">
        <f ca="1"/>
      </c>
      <c r="FF331">
        <f ca="1"/>
      </c>
      <c r="FG331">
        <f ca="1"/>
      </c>
      <c r="FH331">
        <f ca="1"/>
      </c>
      <c r="FI331">
        <f ca="1"/>
      </c>
      <c r="FJ331">
        <f ca="1"/>
      </c>
      <c r="FK331">
        <f ca="1"/>
      </c>
      <c r="FL331">
        <f ca="1"/>
      </c>
      <c r="FM331">
        <f ca="1"/>
      </c>
      <c r="FN331">
        <f ca="1"/>
      </c>
      <c r="FO331">
        <f ca="1"/>
      </c>
      <c r="FP331">
        <f ca="1"/>
      </c>
      <c r="FQ331">
        <f ca="1"/>
      </c>
      <c r="FR331">
        <f ca="1"/>
      </c>
      <c r="FS331">
        <f ca="1"/>
      </c>
      <c r="FT331">
        <f ca="1"/>
      </c>
      <c r="FU331">
        <f ca="1"/>
      </c>
      <c r="FV331">
        <f ca="1"/>
      </c>
      <c r="FW331">
        <f ca="1"/>
      </c>
      <c r="FX331">
        <f ca="1"/>
      </c>
      <c r="FY331">
        <f ca="1"/>
      </c>
      <c r="FZ331">
        <f ca="1"/>
      </c>
      <c r="GA331">
        <f ca="1"/>
      </c>
      <c r="GB331">
        <f ca="1"/>
      </c>
      <c r="GC331">
        <f ca="1"/>
      </c>
      <c r="GD331">
        <f ca="1"/>
      </c>
      <c r="GE331">
        <f ca="1"/>
      </c>
      <c r="GF331">
        <f ca="1"/>
      </c>
      <c r="GG331">
        <f ca="1"/>
      </c>
      <c r="GH331">
        <f ca="1"/>
      </c>
      <c r="GI331">
        <f ca="1"/>
      </c>
      <c r="GJ331">
        <f ca="1"/>
      </c>
      <c r="GK331">
        <f ca="1"/>
      </c>
      <c r="GL331">
        <f ca="1"/>
      </c>
      <c r="GM331">
        <f ca="1"/>
      </c>
      <c r="GN331">
        <f ca="1"/>
      </c>
      <c r="GO331">
        <f ca="1"/>
      </c>
      <c r="GP331">
        <f ca="1"/>
      </c>
      <c r="GQ331">
        <f ca="1"/>
      </c>
      <c r="GR331">
        <f ca="1"/>
      </c>
      <c r="GS331">
        <f ca="1"/>
      </c>
      <c r="GT331">
        <f ca="1"/>
      </c>
      <c r="GU331">
        <f ca="1"/>
      </c>
      <c r="GV331">
        <f ca="1"/>
      </c>
      <c r="GW331">
        <f ca="1"/>
      </c>
      <c r="HI331" s="7"/>
    </row>
    <row r="332" spans="63:217" x14ac:dyDescent="0.55000000000000004">
      <c r="BK332">
        <f ca="1"/>
      </c>
      <c r="BL332">
        <f ca="1"/>
      </c>
      <c r="BM332">
        <f ca="1"/>
      </c>
      <c r="BN332">
        <f ca="1"/>
      </c>
      <c r="BO332">
        <f ca="1"/>
      </c>
      <c r="BP332">
        <f ca="1"/>
      </c>
      <c r="BQ332">
        <f ca="1"/>
      </c>
      <c r="BR332">
        <f ca="1"/>
      </c>
      <c r="BS332">
        <f ca="1"/>
      </c>
      <c r="BT332">
        <f ca="1"/>
      </c>
      <c r="BU332">
        <f ca="1"/>
      </c>
      <c r="BV332">
        <f ca="1"/>
      </c>
      <c r="BW332">
        <f ca="1"/>
      </c>
      <c r="BX332">
        <f ca="1"/>
      </c>
      <c r="BY332">
        <f ca="1"/>
      </c>
      <c r="BZ332">
        <f ca="1"/>
      </c>
      <c r="CA332">
        <f ca="1"/>
      </c>
      <c r="CB332">
        <f ca="1"/>
      </c>
      <c r="CC332">
        <f ca="1"/>
      </c>
      <c r="CD332">
        <f ca="1"/>
      </c>
      <c r="CE332">
        <f ca="1"/>
      </c>
      <c r="CF332">
        <f ca="1"/>
      </c>
      <c r="CG332">
        <f ca="1"/>
      </c>
      <c r="CH332">
        <f ca="1"/>
      </c>
      <c r="CI332">
        <f ca="1"/>
      </c>
      <c r="CJ332">
        <f ca="1"/>
      </c>
      <c r="CK332">
        <f ca="1"/>
      </c>
      <c r="CL332">
        <f ca="1"/>
      </c>
      <c r="CM332">
        <f ca="1"/>
      </c>
      <c r="CN332">
        <f ca="1"/>
      </c>
      <c r="CO332">
        <f ca="1"/>
      </c>
      <c r="CP332">
        <f ca="1"/>
      </c>
      <c r="CQ332">
        <f ca="1"/>
      </c>
      <c r="CR332">
        <f ca="1"/>
      </c>
      <c r="CS332">
        <f ca="1"/>
      </c>
      <c r="CT332">
        <f ca="1"/>
      </c>
      <c r="CU332">
        <f ca="1"/>
      </c>
      <c r="CV332">
        <f ca="1"/>
      </c>
      <c r="CW332">
        <f ca="1"/>
      </c>
      <c r="CX332">
        <f ca="1"/>
      </c>
      <c r="CY332">
        <f ca="1"/>
      </c>
      <c r="CZ332">
        <f ca="1"/>
      </c>
      <c r="DA332">
        <f ca="1"/>
      </c>
      <c r="DB332">
        <f ca="1"/>
      </c>
      <c r="DC332">
        <f ca="1"/>
      </c>
      <c r="DD332">
        <f ca="1"/>
      </c>
      <c r="DE332">
        <f ca="1"/>
      </c>
      <c r="DG332">
        <f ca="1"/>
      </c>
      <c r="DH332">
        <f ca="1"/>
      </c>
      <c r="DI332">
        <f ca="1"/>
      </c>
      <c r="DJ332">
        <f ca="1"/>
      </c>
      <c r="DK332">
        <f ca="1"/>
      </c>
      <c r="DL332">
        <f ca="1"/>
      </c>
      <c r="DM332">
        <f ca="1"/>
      </c>
      <c r="DN332">
        <f ca="1"/>
      </c>
      <c r="DO332">
        <f ca="1"/>
      </c>
      <c r="DP332">
        <f ca="1"/>
      </c>
      <c r="DQ332">
        <f ca="1"/>
      </c>
      <c r="DR332">
        <f ca="1"/>
      </c>
      <c r="DS332">
        <f ca="1"/>
      </c>
      <c r="DT332">
        <f ca="1"/>
      </c>
      <c r="DU332">
        <f ca="1"/>
      </c>
      <c r="DV332">
        <f ca="1"/>
      </c>
      <c r="DW332">
        <f ca="1"/>
      </c>
      <c r="DX332">
        <f ca="1"/>
      </c>
      <c r="DY332">
        <f ca="1"/>
      </c>
      <c r="DZ332">
        <f ca="1"/>
      </c>
      <c r="EA332">
        <f ca="1"/>
      </c>
      <c r="EB332">
        <f ca="1"/>
      </c>
      <c r="EC332">
        <f ca="1"/>
      </c>
      <c r="ED332">
        <f ca="1"/>
      </c>
      <c r="EE332">
        <f ca="1"/>
      </c>
      <c r="EF332">
        <f ca="1"/>
      </c>
      <c r="EG332">
        <f ca="1"/>
      </c>
      <c r="EH332">
        <f ca="1"/>
      </c>
      <c r="EI332">
        <f ca="1"/>
      </c>
      <c r="EJ332">
        <f ca="1"/>
      </c>
      <c r="EK332">
        <f ca="1"/>
      </c>
      <c r="EL332">
        <f ca="1"/>
      </c>
      <c r="EM332">
        <f ca="1"/>
      </c>
      <c r="EN332">
        <f ca="1"/>
      </c>
      <c r="EO332">
        <f ca="1"/>
      </c>
      <c r="EP332">
        <f ca="1"/>
      </c>
      <c r="EQ332">
        <f ca="1"/>
      </c>
      <c r="ER332">
        <f ca="1"/>
      </c>
      <c r="ES332">
        <f ca="1"/>
      </c>
      <c r="ET332">
        <f ca="1"/>
      </c>
      <c r="EU332">
        <f ca="1"/>
      </c>
      <c r="EV332">
        <f ca="1"/>
      </c>
      <c r="EW332">
        <f ca="1"/>
      </c>
      <c r="EX332">
        <f ca="1"/>
      </c>
      <c r="EY332">
        <f ca="1"/>
      </c>
      <c r="EZ332">
        <f ca="1"/>
      </c>
      <c r="FA332">
        <f ca="1"/>
      </c>
      <c r="FC332">
        <f ca="1"/>
      </c>
      <c r="FD332">
        <f ca="1"/>
      </c>
      <c r="FE332">
        <f ca="1"/>
      </c>
      <c r="FF332">
        <f ca="1"/>
      </c>
      <c r="FG332">
        <f ca="1"/>
      </c>
      <c r="FH332">
        <f ca="1"/>
      </c>
      <c r="FI332">
        <f ca="1"/>
      </c>
      <c r="FJ332">
        <f ca="1"/>
      </c>
      <c r="FK332">
        <f ca="1"/>
      </c>
      <c r="FL332">
        <f ca="1"/>
      </c>
      <c r="FM332">
        <f ca="1"/>
      </c>
      <c r="FN332">
        <f ca="1"/>
      </c>
      <c r="FO332">
        <f ca="1"/>
      </c>
      <c r="FP332">
        <f ca="1"/>
      </c>
      <c r="FQ332">
        <f ca="1"/>
      </c>
      <c r="FR332">
        <f ca="1"/>
      </c>
      <c r="FS332">
        <f ca="1"/>
      </c>
      <c r="FT332">
        <f ca="1"/>
      </c>
      <c r="FU332">
        <f ca="1"/>
      </c>
      <c r="FV332">
        <f ca="1"/>
      </c>
      <c r="FW332">
        <f ca="1"/>
      </c>
      <c r="FX332">
        <f ca="1"/>
      </c>
      <c r="FY332">
        <f ca="1"/>
      </c>
      <c r="FZ332">
        <f ca="1"/>
      </c>
      <c r="GA332">
        <f ca="1"/>
      </c>
      <c r="GB332">
        <f ca="1"/>
      </c>
      <c r="GC332">
        <f ca="1"/>
      </c>
      <c r="GD332">
        <f ca="1"/>
      </c>
      <c r="GE332">
        <f ca="1"/>
      </c>
      <c r="GF332">
        <f ca="1"/>
      </c>
      <c r="GG332">
        <f ca="1"/>
      </c>
      <c r="GH332">
        <f ca="1"/>
      </c>
      <c r="GI332">
        <f ca="1"/>
      </c>
      <c r="GJ332">
        <f ca="1"/>
      </c>
      <c r="GK332">
        <f ca="1"/>
      </c>
      <c r="GL332">
        <f ca="1"/>
      </c>
      <c r="GM332">
        <f ca="1"/>
      </c>
      <c r="GN332">
        <f ca="1"/>
      </c>
      <c r="GO332">
        <f ca="1"/>
      </c>
      <c r="GP332">
        <f ca="1"/>
      </c>
      <c r="GQ332">
        <f ca="1"/>
      </c>
      <c r="GR332">
        <f ca="1"/>
      </c>
      <c r="GS332">
        <f ca="1"/>
      </c>
      <c r="GT332">
        <f ca="1"/>
      </c>
      <c r="GU332">
        <f ca="1"/>
      </c>
      <c r="GV332">
        <f ca="1"/>
      </c>
      <c r="GW332">
        <f ca="1"/>
      </c>
      <c r="HI332" s="7"/>
    </row>
    <row r="333" spans="63:217" x14ac:dyDescent="0.55000000000000004">
      <c r="BK333">
        <f ca="1"/>
      </c>
      <c r="BL333">
        <f ca="1"/>
      </c>
      <c r="BM333">
        <f ca="1"/>
      </c>
      <c r="BN333">
        <f ca="1"/>
      </c>
      <c r="BO333">
        <f ca="1"/>
      </c>
      <c r="BP333">
        <f ca="1"/>
      </c>
      <c r="BQ333">
        <f ca="1"/>
      </c>
      <c r="BR333">
        <f ca="1"/>
      </c>
      <c r="BS333">
        <f ca="1"/>
      </c>
      <c r="BT333">
        <f ca="1"/>
      </c>
      <c r="BU333">
        <f ca="1"/>
      </c>
      <c r="BV333">
        <f ca="1"/>
      </c>
      <c r="BW333">
        <f ca="1"/>
      </c>
      <c r="BX333">
        <f ca="1"/>
      </c>
      <c r="BY333">
        <f ca="1"/>
      </c>
      <c r="BZ333">
        <f ca="1"/>
      </c>
      <c r="CA333">
        <f ca="1"/>
      </c>
      <c r="CB333">
        <f ca="1"/>
      </c>
      <c r="CC333">
        <f ca="1"/>
      </c>
      <c r="CD333">
        <f ca="1"/>
      </c>
      <c r="CE333">
        <f ca="1"/>
      </c>
      <c r="CF333">
        <f ca="1"/>
      </c>
      <c r="CG333">
        <f ca="1"/>
      </c>
      <c r="CH333">
        <f ca="1"/>
      </c>
      <c r="CI333">
        <f ca="1"/>
      </c>
      <c r="CJ333">
        <f ca="1"/>
      </c>
      <c r="CK333">
        <f ca="1"/>
      </c>
      <c r="CL333">
        <f ca="1"/>
      </c>
      <c r="CM333">
        <f ca="1"/>
      </c>
      <c r="CN333">
        <f ca="1"/>
      </c>
      <c r="CO333">
        <f ca="1"/>
      </c>
      <c r="CP333">
        <f ca="1"/>
      </c>
      <c r="CQ333">
        <f ca="1"/>
      </c>
      <c r="CR333">
        <f ca="1"/>
      </c>
      <c r="CS333">
        <f ca="1"/>
      </c>
      <c r="CT333">
        <f ca="1"/>
      </c>
      <c r="CU333">
        <f ca="1"/>
      </c>
      <c r="CV333">
        <f ca="1"/>
      </c>
      <c r="CW333">
        <f ca="1"/>
      </c>
      <c r="CX333">
        <f ca="1"/>
      </c>
      <c r="CY333">
        <f ca="1"/>
      </c>
      <c r="CZ333">
        <f ca="1"/>
      </c>
      <c r="DA333">
        <f ca="1"/>
      </c>
      <c r="DB333">
        <f ca="1"/>
      </c>
      <c r="DC333">
        <f ca="1"/>
      </c>
      <c r="DD333">
        <f ca="1"/>
      </c>
      <c r="DE333">
        <f ca="1"/>
      </c>
      <c r="DG333">
        <f ca="1"/>
      </c>
      <c r="DH333">
        <f ca="1"/>
      </c>
      <c r="DI333">
        <f ca="1"/>
      </c>
      <c r="DJ333">
        <f ca="1"/>
      </c>
      <c r="DK333">
        <f ca="1"/>
      </c>
      <c r="DL333">
        <f ca="1"/>
      </c>
      <c r="DM333">
        <f ca="1"/>
      </c>
      <c r="DN333">
        <f ca="1"/>
      </c>
      <c r="DO333">
        <f ca="1"/>
      </c>
      <c r="DP333">
        <f ca="1"/>
      </c>
      <c r="DQ333">
        <f ca="1"/>
      </c>
      <c r="DR333">
        <f ca="1"/>
      </c>
      <c r="DS333">
        <f ca="1"/>
      </c>
      <c r="DT333">
        <f ca="1"/>
      </c>
      <c r="DU333">
        <f ca="1"/>
      </c>
      <c r="DV333">
        <f ca="1"/>
      </c>
      <c r="DW333">
        <f ca="1"/>
      </c>
      <c r="DX333">
        <f ca="1"/>
      </c>
      <c r="DY333">
        <f ca="1"/>
      </c>
      <c r="DZ333">
        <f ca="1"/>
      </c>
      <c r="EA333">
        <f ca="1"/>
      </c>
      <c r="EB333">
        <f ca="1"/>
      </c>
      <c r="EC333">
        <f ca="1"/>
      </c>
      <c r="ED333">
        <f ca="1"/>
      </c>
      <c r="EE333">
        <f ca="1"/>
      </c>
      <c r="EF333">
        <f ca="1"/>
      </c>
      <c r="EG333">
        <f ca="1"/>
      </c>
      <c r="EH333">
        <f ca="1"/>
      </c>
      <c r="EI333">
        <f ca="1"/>
      </c>
      <c r="EJ333">
        <f ca="1"/>
      </c>
      <c r="EK333">
        <f ca="1"/>
      </c>
      <c r="EL333">
        <f ca="1"/>
      </c>
      <c r="EM333">
        <f ca="1"/>
      </c>
      <c r="EN333">
        <f ca="1"/>
      </c>
      <c r="EO333">
        <f ca="1"/>
      </c>
      <c r="EP333">
        <f ca="1"/>
      </c>
      <c r="EQ333">
        <f ca="1"/>
      </c>
      <c r="ER333">
        <f ca="1"/>
      </c>
      <c r="ES333">
        <f ca="1"/>
      </c>
      <c r="ET333">
        <f ca="1"/>
      </c>
      <c r="EU333">
        <f ca="1"/>
      </c>
      <c r="EV333">
        <f ca="1"/>
      </c>
      <c r="EW333">
        <f ca="1"/>
      </c>
      <c r="EX333">
        <f ca="1"/>
      </c>
      <c r="EY333">
        <f ca="1"/>
      </c>
      <c r="EZ333">
        <f ca="1"/>
      </c>
      <c r="FA333">
        <f ca="1"/>
      </c>
      <c r="FC333">
        <f ca="1"/>
      </c>
      <c r="FD333">
        <f ca="1"/>
      </c>
      <c r="FE333">
        <f ca="1"/>
      </c>
      <c r="FF333">
        <f ca="1"/>
      </c>
      <c r="FG333">
        <f ca="1"/>
      </c>
      <c r="FH333">
        <f ca="1"/>
      </c>
      <c r="FI333">
        <f ca="1"/>
      </c>
      <c r="FJ333">
        <f ca="1"/>
      </c>
      <c r="FK333">
        <f ca="1"/>
      </c>
      <c r="FL333">
        <f ca="1"/>
      </c>
      <c r="FM333">
        <f ca="1"/>
      </c>
      <c r="FN333">
        <f ca="1"/>
      </c>
      <c r="FO333">
        <f ca="1"/>
      </c>
      <c r="FP333">
        <f ca="1"/>
      </c>
      <c r="FQ333">
        <f ca="1"/>
      </c>
      <c r="FR333">
        <f ca="1"/>
      </c>
      <c r="FS333">
        <f ca="1"/>
      </c>
      <c r="FT333">
        <f ca="1"/>
      </c>
      <c r="FU333">
        <f ca="1"/>
      </c>
      <c r="FV333">
        <f ca="1"/>
      </c>
      <c r="FW333">
        <f ca="1"/>
      </c>
      <c r="FX333">
        <f ca="1"/>
      </c>
      <c r="FY333">
        <f ca="1"/>
      </c>
      <c r="FZ333">
        <f ca="1"/>
      </c>
      <c r="GA333">
        <f ca="1"/>
      </c>
      <c r="GB333">
        <f ca="1"/>
      </c>
      <c r="GC333">
        <f ca="1"/>
      </c>
      <c r="GD333">
        <f ca="1"/>
      </c>
      <c r="GE333">
        <f ca="1"/>
      </c>
      <c r="GF333">
        <f ca="1"/>
      </c>
      <c r="GG333">
        <f ca="1"/>
      </c>
      <c r="GH333">
        <f ca="1"/>
      </c>
      <c r="GI333">
        <f ca="1"/>
      </c>
      <c r="GJ333">
        <f ca="1"/>
      </c>
      <c r="GK333">
        <f ca="1"/>
      </c>
      <c r="GL333">
        <f ca="1"/>
      </c>
      <c r="GM333">
        <f ca="1"/>
      </c>
      <c r="GN333">
        <f ca="1"/>
      </c>
      <c r="GO333">
        <f ca="1"/>
      </c>
      <c r="GP333">
        <f ca="1"/>
      </c>
      <c r="GQ333">
        <f ca="1"/>
      </c>
      <c r="GR333">
        <f ca="1"/>
      </c>
      <c r="GS333">
        <f ca="1"/>
      </c>
      <c r="GT333">
        <f ca="1"/>
      </c>
      <c r="GU333">
        <f ca="1"/>
      </c>
      <c r="GV333">
        <f ca="1"/>
      </c>
      <c r="GW333">
        <f ca="1"/>
      </c>
      <c r="HI333" s="7"/>
    </row>
    <row r="334" spans="63:217" x14ac:dyDescent="0.55000000000000004">
      <c r="BK334">
        <f ca="1"/>
      </c>
      <c r="BL334">
        <f ca="1"/>
      </c>
      <c r="BM334">
        <f ca="1"/>
      </c>
      <c r="BN334">
        <f ca="1"/>
      </c>
      <c r="BO334">
        <f ca="1"/>
      </c>
      <c r="BP334">
        <f ca="1"/>
      </c>
      <c r="BQ334">
        <f ca="1"/>
      </c>
      <c r="BR334">
        <f ca="1"/>
      </c>
      <c r="BS334">
        <f ca="1"/>
      </c>
      <c r="BT334">
        <f ca="1"/>
      </c>
      <c r="BU334">
        <f ca="1"/>
      </c>
      <c r="BV334">
        <f ca="1"/>
      </c>
      <c r="BW334">
        <f ca="1"/>
      </c>
      <c r="BX334">
        <f ca="1"/>
      </c>
      <c r="BY334">
        <f ca="1"/>
      </c>
      <c r="BZ334">
        <f ca="1"/>
      </c>
      <c r="CA334">
        <f ca="1"/>
      </c>
      <c r="CB334">
        <f ca="1"/>
      </c>
      <c r="CC334">
        <f ca="1"/>
      </c>
      <c r="CD334">
        <f ca="1"/>
      </c>
      <c r="CE334">
        <f ca="1"/>
      </c>
      <c r="CF334">
        <f ca="1"/>
      </c>
      <c r="CG334">
        <f ca="1"/>
      </c>
      <c r="CH334">
        <f ca="1"/>
      </c>
      <c r="CI334">
        <f ca="1"/>
      </c>
      <c r="CJ334">
        <f ca="1"/>
      </c>
      <c r="CK334">
        <f ca="1"/>
      </c>
      <c r="CL334">
        <f ca="1"/>
      </c>
      <c r="CM334">
        <f ca="1"/>
      </c>
      <c r="CN334">
        <f ca="1"/>
      </c>
      <c r="CO334">
        <f ca="1"/>
      </c>
      <c r="CP334">
        <f ca="1"/>
      </c>
      <c r="CQ334">
        <f ca="1"/>
      </c>
      <c r="CR334">
        <f ca="1"/>
      </c>
      <c r="CS334">
        <f ca="1"/>
      </c>
      <c r="CT334">
        <f ca="1"/>
      </c>
      <c r="CU334">
        <f ca="1"/>
      </c>
      <c r="CV334">
        <f ca="1"/>
      </c>
      <c r="CW334">
        <f ca="1"/>
      </c>
      <c r="CX334">
        <f ca="1"/>
      </c>
      <c r="CY334">
        <f ca="1"/>
      </c>
      <c r="CZ334">
        <f ca="1"/>
      </c>
      <c r="DA334">
        <f ca="1"/>
      </c>
      <c r="DB334">
        <f ca="1"/>
      </c>
      <c r="DC334">
        <f ca="1"/>
      </c>
      <c r="DD334">
        <f ca="1"/>
      </c>
      <c r="DE334">
        <f ca="1"/>
      </c>
      <c r="DG334">
        <f ca="1"/>
      </c>
      <c r="DH334">
        <f ca="1"/>
      </c>
      <c r="DI334">
        <f ca="1"/>
      </c>
      <c r="DJ334">
        <f ca="1"/>
      </c>
      <c r="DK334">
        <f ca="1"/>
      </c>
      <c r="DL334">
        <f ca="1"/>
      </c>
      <c r="DM334">
        <f ca="1"/>
      </c>
      <c r="DN334">
        <f ca="1"/>
      </c>
      <c r="DO334">
        <f ca="1"/>
      </c>
      <c r="DP334">
        <f ca="1"/>
      </c>
      <c r="DQ334">
        <f ca="1"/>
      </c>
      <c r="DR334">
        <f ca="1"/>
      </c>
      <c r="DS334">
        <f ca="1"/>
      </c>
      <c r="DT334">
        <f ca="1"/>
      </c>
      <c r="DU334">
        <f ca="1"/>
      </c>
      <c r="DV334">
        <f ca="1"/>
      </c>
      <c r="DW334">
        <f ca="1"/>
      </c>
      <c r="DX334">
        <f ca="1"/>
      </c>
      <c r="DY334">
        <f ca="1"/>
      </c>
      <c r="DZ334">
        <f ca="1"/>
      </c>
      <c r="EA334">
        <f ca="1"/>
      </c>
      <c r="EB334">
        <f ca="1"/>
      </c>
      <c r="EC334">
        <f ca="1"/>
      </c>
      <c r="ED334">
        <f ca="1"/>
      </c>
      <c r="EE334">
        <f ca="1"/>
      </c>
      <c r="EF334">
        <f ca="1"/>
      </c>
      <c r="EG334">
        <f ca="1"/>
      </c>
      <c r="EH334">
        <f ca="1"/>
      </c>
      <c r="EI334">
        <f ca="1"/>
      </c>
      <c r="EJ334">
        <f ca="1"/>
      </c>
      <c r="EK334">
        <f ca="1"/>
      </c>
      <c r="EL334">
        <f ca="1"/>
      </c>
      <c r="EM334">
        <f ca="1"/>
      </c>
      <c r="EN334">
        <f ca="1"/>
      </c>
      <c r="EO334">
        <f ca="1"/>
      </c>
      <c r="EP334">
        <f ca="1"/>
      </c>
      <c r="EQ334">
        <f ca="1"/>
      </c>
      <c r="ER334">
        <f ca="1"/>
      </c>
      <c r="ES334">
        <f ca="1"/>
      </c>
      <c r="ET334">
        <f ca="1"/>
      </c>
      <c r="EU334">
        <f ca="1"/>
      </c>
      <c r="EV334">
        <f ca="1"/>
      </c>
      <c r="EW334">
        <f ca="1"/>
      </c>
      <c r="EX334">
        <f ca="1"/>
      </c>
      <c r="EY334">
        <f ca="1"/>
      </c>
      <c r="EZ334">
        <f ca="1"/>
      </c>
      <c r="FA334">
        <f ca="1"/>
      </c>
      <c r="FC334">
        <f ca="1"/>
      </c>
      <c r="FD334">
        <f ca="1"/>
      </c>
      <c r="FE334">
        <f ca="1"/>
      </c>
      <c r="FF334">
        <f ca="1"/>
      </c>
      <c r="FG334">
        <f ca="1"/>
      </c>
      <c r="FH334">
        <f ca="1"/>
      </c>
      <c r="FI334">
        <f ca="1"/>
      </c>
      <c r="FJ334">
        <f ca="1"/>
      </c>
      <c r="FK334">
        <f ca="1"/>
      </c>
      <c r="FL334">
        <f ca="1"/>
      </c>
      <c r="FM334">
        <f ca="1"/>
      </c>
      <c r="FN334">
        <f ca="1"/>
      </c>
      <c r="FO334">
        <f ca="1"/>
      </c>
      <c r="FP334">
        <f ca="1"/>
      </c>
      <c r="FQ334">
        <f ca="1"/>
      </c>
      <c r="FR334">
        <f ca="1"/>
      </c>
      <c r="FS334">
        <f ca="1"/>
      </c>
      <c r="FT334">
        <f ca="1"/>
      </c>
      <c r="FU334">
        <f ca="1"/>
      </c>
      <c r="FV334">
        <f ca="1"/>
      </c>
      <c r="FW334">
        <f ca="1"/>
      </c>
      <c r="FX334">
        <f ca="1"/>
      </c>
      <c r="FY334">
        <f ca="1"/>
      </c>
      <c r="FZ334">
        <f ca="1"/>
      </c>
      <c r="GA334">
        <f ca="1"/>
      </c>
      <c r="GB334">
        <f ca="1"/>
      </c>
      <c r="GC334">
        <f ca="1"/>
      </c>
      <c r="GD334">
        <f ca="1"/>
      </c>
      <c r="GE334">
        <f ca="1"/>
      </c>
      <c r="GF334">
        <f ca="1"/>
      </c>
      <c r="GG334">
        <f ca="1"/>
      </c>
      <c r="GH334">
        <f ca="1"/>
      </c>
      <c r="GI334">
        <f ca="1"/>
      </c>
      <c r="GJ334">
        <f ca="1"/>
      </c>
      <c r="GK334">
        <f ca="1"/>
      </c>
      <c r="GL334">
        <f ca="1"/>
      </c>
      <c r="GM334">
        <f ca="1"/>
      </c>
      <c r="GN334">
        <f ca="1"/>
      </c>
      <c r="GO334">
        <f ca="1"/>
      </c>
      <c r="GP334">
        <f ca="1"/>
      </c>
      <c r="GQ334">
        <f ca="1"/>
      </c>
      <c r="GR334">
        <f ca="1"/>
      </c>
      <c r="GS334">
        <f ca="1"/>
      </c>
      <c r="GT334">
        <f ca="1"/>
      </c>
      <c r="GU334">
        <f ca="1"/>
      </c>
      <c r="GV334">
        <f ca="1"/>
      </c>
      <c r="GW334">
        <f ca="1"/>
      </c>
      <c r="HI334" s="7"/>
    </row>
    <row r="335" spans="63:217" x14ac:dyDescent="0.55000000000000004">
      <c r="BK335">
        <f ca="1"/>
      </c>
      <c r="BL335">
        <f ca="1"/>
      </c>
      <c r="BM335">
        <f ca="1"/>
      </c>
      <c r="BN335">
        <f ca="1"/>
      </c>
      <c r="BO335">
        <f ca="1"/>
      </c>
      <c r="BP335">
        <f ca="1"/>
      </c>
      <c r="BQ335">
        <f ca="1"/>
      </c>
      <c r="BR335">
        <f ca="1"/>
      </c>
      <c r="BS335">
        <f ca="1"/>
      </c>
      <c r="BT335">
        <f ca="1"/>
      </c>
      <c r="BU335">
        <f ca="1"/>
      </c>
      <c r="BV335">
        <f ca="1"/>
      </c>
      <c r="BW335">
        <f ca="1"/>
      </c>
      <c r="BX335">
        <f ca="1"/>
      </c>
      <c r="BY335">
        <f ca="1"/>
      </c>
      <c r="BZ335">
        <f ca="1"/>
      </c>
      <c r="CA335">
        <f ca="1"/>
      </c>
      <c r="CB335">
        <f ca="1"/>
      </c>
      <c r="CC335">
        <f ca="1"/>
      </c>
      <c r="CD335">
        <f ca="1"/>
      </c>
      <c r="CE335">
        <f ca="1"/>
      </c>
      <c r="CF335">
        <f ca="1"/>
      </c>
      <c r="CG335">
        <f ca="1"/>
      </c>
      <c r="CH335">
        <f ca="1"/>
      </c>
      <c r="CI335">
        <f ca="1"/>
      </c>
      <c r="CJ335">
        <f ca="1"/>
      </c>
      <c r="CK335">
        <f ca="1"/>
      </c>
      <c r="CL335">
        <f ca="1"/>
      </c>
      <c r="CM335">
        <f ca="1"/>
      </c>
      <c r="CN335">
        <f ca="1"/>
      </c>
      <c r="CO335">
        <f ca="1"/>
      </c>
      <c r="CP335">
        <f ca="1"/>
      </c>
      <c r="CQ335">
        <f ca="1"/>
      </c>
      <c r="CR335">
        <f ca="1"/>
      </c>
      <c r="CS335">
        <f ca="1"/>
      </c>
      <c r="CT335">
        <f ca="1"/>
      </c>
      <c r="CU335">
        <f ca="1"/>
      </c>
      <c r="CV335">
        <f ca="1"/>
      </c>
      <c r="CW335">
        <f ca="1"/>
      </c>
      <c r="CX335">
        <f ca="1"/>
      </c>
      <c r="CY335">
        <f ca="1"/>
      </c>
      <c r="CZ335">
        <f ca="1"/>
      </c>
      <c r="DA335">
        <f ca="1"/>
      </c>
      <c r="DB335">
        <f ca="1"/>
      </c>
      <c r="DC335">
        <f ca="1"/>
      </c>
      <c r="DD335">
        <f ca="1"/>
      </c>
      <c r="DE335">
        <f ca="1"/>
      </c>
      <c r="DG335">
        <f ca="1"/>
      </c>
      <c r="DH335">
        <f ca="1"/>
      </c>
      <c r="DI335">
        <f ca="1"/>
      </c>
      <c r="DJ335">
        <f ca="1"/>
      </c>
      <c r="DK335">
        <f ca="1"/>
      </c>
      <c r="DL335">
        <f ca="1"/>
      </c>
      <c r="DM335">
        <f ca="1"/>
      </c>
      <c r="DN335">
        <f ca="1"/>
      </c>
      <c r="DO335">
        <f ca="1"/>
      </c>
      <c r="DP335">
        <f ca="1"/>
      </c>
      <c r="DQ335">
        <f ca="1"/>
      </c>
      <c r="DR335">
        <f ca="1"/>
      </c>
      <c r="DS335">
        <f ca="1"/>
      </c>
      <c r="DT335">
        <f ca="1"/>
      </c>
      <c r="DU335">
        <f ca="1"/>
      </c>
      <c r="DV335">
        <f ca="1"/>
      </c>
      <c r="DW335">
        <f ca="1"/>
      </c>
      <c r="DX335">
        <f ca="1"/>
      </c>
      <c r="DY335">
        <f ca="1"/>
      </c>
      <c r="DZ335">
        <f ca="1"/>
      </c>
      <c r="EA335">
        <f ca="1"/>
      </c>
      <c r="EB335">
        <f ca="1"/>
      </c>
      <c r="EC335">
        <f ca="1"/>
      </c>
      <c r="ED335">
        <f ca="1"/>
      </c>
      <c r="EE335">
        <f ca="1"/>
      </c>
      <c r="EF335">
        <f ca="1"/>
      </c>
      <c r="EG335">
        <f ca="1"/>
      </c>
      <c r="EH335">
        <f ca="1"/>
      </c>
      <c r="EI335">
        <f ca="1"/>
      </c>
      <c r="EJ335">
        <f ca="1"/>
      </c>
      <c r="EK335">
        <f ca="1"/>
      </c>
      <c r="EL335">
        <f ca="1"/>
      </c>
      <c r="EM335">
        <f ca="1"/>
      </c>
      <c r="EN335">
        <f ca="1"/>
      </c>
      <c r="EO335">
        <f ca="1"/>
      </c>
      <c r="EP335">
        <f ca="1"/>
      </c>
      <c r="EQ335">
        <f ca="1"/>
      </c>
      <c r="ER335">
        <f ca="1"/>
      </c>
      <c r="ES335">
        <f ca="1"/>
      </c>
      <c r="ET335">
        <f ca="1"/>
      </c>
      <c r="EU335">
        <f ca="1"/>
      </c>
      <c r="EV335">
        <f ca="1"/>
      </c>
      <c r="EW335">
        <f ca="1"/>
      </c>
      <c r="EX335">
        <f ca="1"/>
      </c>
      <c r="EY335">
        <f ca="1"/>
      </c>
      <c r="EZ335">
        <f ca="1"/>
      </c>
      <c r="FA335">
        <f ca="1"/>
      </c>
      <c r="FC335">
        <f ca="1"/>
      </c>
      <c r="FD335">
        <f ca="1"/>
      </c>
      <c r="FE335">
        <f ca="1"/>
      </c>
      <c r="FF335">
        <f ca="1"/>
      </c>
      <c r="FG335">
        <f ca="1"/>
      </c>
      <c r="FH335">
        <f ca="1"/>
      </c>
      <c r="FI335">
        <f ca="1"/>
      </c>
      <c r="FJ335">
        <f ca="1"/>
      </c>
      <c r="FK335">
        <f ca="1"/>
      </c>
      <c r="FL335">
        <f ca="1"/>
      </c>
      <c r="FM335">
        <f ca="1"/>
      </c>
      <c r="FN335">
        <f ca="1"/>
      </c>
      <c r="FO335">
        <f ca="1"/>
      </c>
      <c r="FP335">
        <f ca="1"/>
      </c>
      <c r="FQ335">
        <f ca="1"/>
      </c>
      <c r="FR335">
        <f ca="1"/>
      </c>
      <c r="FS335">
        <f ca="1"/>
      </c>
      <c r="FT335">
        <f ca="1"/>
      </c>
      <c r="FU335">
        <f ca="1"/>
      </c>
      <c r="FV335">
        <f ca="1"/>
      </c>
      <c r="FW335">
        <f ca="1"/>
      </c>
      <c r="FX335">
        <f ca="1"/>
      </c>
      <c r="FY335">
        <f ca="1"/>
      </c>
      <c r="FZ335">
        <f ca="1"/>
      </c>
      <c r="GA335">
        <f ca="1"/>
      </c>
      <c r="GB335">
        <f ca="1"/>
      </c>
      <c r="GC335">
        <f ca="1"/>
      </c>
      <c r="GD335">
        <f ca="1"/>
      </c>
      <c r="GE335">
        <f ca="1"/>
      </c>
      <c r="GF335">
        <f ca="1"/>
      </c>
      <c r="GG335">
        <f ca="1"/>
      </c>
      <c r="GH335">
        <f ca="1"/>
      </c>
      <c r="GI335">
        <f ca="1"/>
      </c>
      <c r="GJ335">
        <f ca="1"/>
      </c>
      <c r="GK335">
        <f ca="1"/>
      </c>
      <c r="GL335">
        <f ca="1"/>
      </c>
      <c r="GM335">
        <f ca="1"/>
      </c>
      <c r="GN335">
        <f ca="1"/>
      </c>
      <c r="GO335">
        <f ca="1"/>
      </c>
      <c r="GP335">
        <f ca="1"/>
      </c>
      <c r="GQ335">
        <f ca="1"/>
      </c>
      <c r="GR335">
        <f ca="1"/>
      </c>
      <c r="GS335">
        <f ca="1"/>
      </c>
      <c r="GT335">
        <f ca="1"/>
      </c>
      <c r="GU335">
        <f ca="1"/>
      </c>
      <c r="GV335">
        <f ca="1"/>
      </c>
      <c r="GW335">
        <f ca="1"/>
      </c>
      <c r="HI335" s="7"/>
    </row>
    <row r="336" spans="63:217" x14ac:dyDescent="0.55000000000000004">
      <c r="BK336">
        <f ca="1"/>
      </c>
      <c r="BL336">
        <f ca="1"/>
      </c>
      <c r="BM336">
        <f ca="1"/>
      </c>
      <c r="BN336">
        <f ca="1"/>
      </c>
      <c r="BO336">
        <f ca="1"/>
      </c>
      <c r="BP336">
        <f ca="1"/>
      </c>
      <c r="BQ336">
        <f ca="1"/>
      </c>
      <c r="BR336">
        <f ca="1"/>
      </c>
      <c r="BS336">
        <f ca="1"/>
      </c>
      <c r="BT336">
        <f ca="1"/>
      </c>
      <c r="BU336">
        <f ca="1"/>
      </c>
      <c r="BV336">
        <f ca="1"/>
      </c>
      <c r="BW336">
        <f ca="1"/>
      </c>
      <c r="BX336">
        <f ca="1"/>
      </c>
      <c r="BY336">
        <f ca="1"/>
      </c>
      <c r="BZ336">
        <f ca="1"/>
      </c>
      <c r="CA336">
        <f ca="1"/>
      </c>
      <c r="CB336">
        <f ca="1"/>
      </c>
      <c r="CC336">
        <f ca="1"/>
      </c>
      <c r="CD336">
        <f ca="1"/>
      </c>
      <c r="CE336">
        <f ca="1"/>
      </c>
      <c r="CF336">
        <f ca="1"/>
      </c>
      <c r="CG336">
        <f ca="1"/>
      </c>
      <c r="CH336">
        <f ca="1"/>
      </c>
      <c r="CI336">
        <f ca="1"/>
      </c>
      <c r="CJ336">
        <f ca="1"/>
      </c>
      <c r="CK336">
        <f ca="1"/>
      </c>
      <c r="CL336">
        <f ca="1"/>
      </c>
      <c r="CM336">
        <f ca="1"/>
      </c>
      <c r="CN336">
        <f ca="1"/>
      </c>
      <c r="CO336">
        <f ca="1"/>
      </c>
      <c r="CP336">
        <f ca="1"/>
      </c>
      <c r="CQ336">
        <f ca="1"/>
      </c>
      <c r="CR336">
        <f ca="1"/>
      </c>
      <c r="CS336">
        <f ca="1"/>
      </c>
      <c r="CT336">
        <f ca="1"/>
      </c>
      <c r="CU336">
        <f ca="1"/>
      </c>
      <c r="CV336">
        <f ca="1"/>
      </c>
      <c r="CW336">
        <f ca="1"/>
      </c>
      <c r="CX336">
        <f ca="1"/>
      </c>
      <c r="CY336">
        <f ca="1"/>
      </c>
      <c r="CZ336">
        <f ca="1"/>
      </c>
      <c r="DA336">
        <f ca="1"/>
      </c>
      <c r="DB336">
        <f ca="1"/>
      </c>
      <c r="DC336">
        <f ca="1"/>
      </c>
      <c r="DD336">
        <f ca="1"/>
      </c>
      <c r="DE336">
        <f ca="1"/>
      </c>
      <c r="DG336">
        <f ca="1"/>
      </c>
      <c r="DH336">
        <f ca="1"/>
      </c>
      <c r="DI336">
        <f ca="1"/>
      </c>
      <c r="DJ336">
        <f ca="1"/>
      </c>
      <c r="DK336">
        <f ca="1"/>
      </c>
      <c r="DL336">
        <f ca="1"/>
      </c>
      <c r="DM336">
        <f ca="1"/>
      </c>
      <c r="DN336">
        <f ca="1"/>
      </c>
      <c r="DO336">
        <f ca="1"/>
      </c>
      <c r="DP336">
        <f ca="1"/>
      </c>
      <c r="DQ336">
        <f ca="1"/>
      </c>
      <c r="DR336">
        <f ca="1"/>
      </c>
      <c r="DS336">
        <f ca="1"/>
      </c>
      <c r="DT336">
        <f ca="1"/>
      </c>
      <c r="DU336">
        <f ca="1"/>
      </c>
      <c r="DV336">
        <f ca="1"/>
      </c>
      <c r="DW336">
        <f ca="1"/>
      </c>
      <c r="DX336">
        <f ca="1"/>
      </c>
      <c r="DY336">
        <f ca="1"/>
      </c>
      <c r="DZ336">
        <f ca="1"/>
      </c>
      <c r="EA336">
        <f ca="1"/>
      </c>
      <c r="EB336">
        <f ca="1"/>
      </c>
      <c r="EC336">
        <f ca="1"/>
      </c>
      <c r="ED336">
        <f ca="1"/>
      </c>
      <c r="EE336">
        <f ca="1"/>
      </c>
      <c r="EF336">
        <f ca="1"/>
      </c>
      <c r="EG336">
        <f ca="1"/>
      </c>
      <c r="EH336">
        <f ca="1"/>
      </c>
      <c r="EI336">
        <f ca="1"/>
      </c>
      <c r="EJ336">
        <f ca="1"/>
      </c>
      <c r="EK336">
        <f ca="1"/>
      </c>
      <c r="EL336">
        <f ca="1"/>
      </c>
      <c r="EM336">
        <f ca="1"/>
      </c>
      <c r="EN336">
        <f ca="1"/>
      </c>
      <c r="EO336">
        <f ca="1"/>
      </c>
      <c r="EP336">
        <f ca="1"/>
      </c>
      <c r="EQ336">
        <f ca="1"/>
      </c>
      <c r="ER336">
        <f ca="1"/>
      </c>
      <c r="ES336">
        <f ca="1"/>
      </c>
      <c r="ET336">
        <f ca="1"/>
      </c>
      <c r="EU336">
        <f ca="1"/>
      </c>
      <c r="EV336">
        <f ca="1"/>
      </c>
      <c r="EW336">
        <f ca="1"/>
      </c>
      <c r="EX336">
        <f ca="1"/>
      </c>
      <c r="EY336">
        <f ca="1"/>
      </c>
      <c r="EZ336">
        <f ca="1"/>
      </c>
      <c r="FA336">
        <f ca="1"/>
      </c>
      <c r="FC336">
        <f ca="1"/>
      </c>
      <c r="FD336">
        <f ca="1"/>
      </c>
      <c r="FE336">
        <f ca="1"/>
      </c>
      <c r="FF336">
        <f ca="1"/>
      </c>
      <c r="FG336">
        <f ca="1"/>
      </c>
      <c r="FH336">
        <f ca="1"/>
      </c>
      <c r="FI336">
        <f ca="1"/>
      </c>
      <c r="FJ336">
        <f ca="1"/>
      </c>
      <c r="FK336">
        <f ca="1"/>
      </c>
      <c r="FL336">
        <f ca="1"/>
      </c>
      <c r="FM336">
        <f ca="1"/>
      </c>
      <c r="FN336">
        <f ca="1"/>
      </c>
      <c r="FO336">
        <f ca="1"/>
      </c>
      <c r="FP336">
        <f ca="1"/>
      </c>
      <c r="FQ336">
        <f ca="1"/>
      </c>
      <c r="FR336">
        <f ca="1"/>
      </c>
      <c r="FS336">
        <f ca="1"/>
      </c>
      <c r="FT336">
        <f ca="1"/>
      </c>
      <c r="FU336">
        <f ca="1"/>
      </c>
      <c r="FV336">
        <f ca="1"/>
      </c>
      <c r="FW336">
        <f ca="1"/>
      </c>
      <c r="FX336">
        <f ca="1"/>
      </c>
      <c r="FY336">
        <f ca="1"/>
      </c>
      <c r="FZ336">
        <f ca="1"/>
      </c>
      <c r="GA336">
        <f ca="1"/>
      </c>
      <c r="GB336">
        <f ca="1"/>
      </c>
      <c r="GC336">
        <f ca="1"/>
      </c>
      <c r="GD336">
        <f ca="1"/>
      </c>
      <c r="GE336">
        <f ca="1"/>
      </c>
      <c r="GF336">
        <f ca="1"/>
      </c>
      <c r="GG336">
        <f ca="1"/>
      </c>
      <c r="GH336">
        <f ca="1"/>
      </c>
      <c r="GI336">
        <f ca="1"/>
      </c>
      <c r="GJ336">
        <f ca="1"/>
      </c>
      <c r="GK336">
        <f ca="1"/>
      </c>
      <c r="GL336">
        <f ca="1"/>
      </c>
      <c r="GM336">
        <f ca="1"/>
      </c>
      <c r="GN336">
        <f ca="1"/>
      </c>
      <c r="GO336">
        <f ca="1"/>
      </c>
      <c r="GP336">
        <f ca="1"/>
      </c>
      <c r="GQ336">
        <f ca="1"/>
      </c>
      <c r="GR336">
        <f ca="1"/>
      </c>
      <c r="GS336">
        <f ca="1"/>
      </c>
      <c r="GT336">
        <f ca="1"/>
      </c>
      <c r="GU336">
        <f ca="1"/>
      </c>
      <c r="GV336">
        <f ca="1"/>
      </c>
      <c r="GW336">
        <f ca="1"/>
      </c>
      <c r="HI336" s="7"/>
    </row>
    <row r="337" spans="63:217" x14ac:dyDescent="0.55000000000000004">
      <c r="BK337">
        <f ca="1"/>
      </c>
      <c r="BL337">
        <f ca="1"/>
      </c>
      <c r="BM337">
        <f ca="1"/>
      </c>
      <c r="BN337">
        <f ca="1"/>
      </c>
      <c r="BO337">
        <f ca="1"/>
      </c>
      <c r="BP337">
        <f ca="1"/>
      </c>
      <c r="BQ337">
        <f ca="1"/>
      </c>
      <c r="BR337">
        <f ca="1"/>
      </c>
      <c r="BS337">
        <f ca="1"/>
      </c>
      <c r="BT337">
        <f ca="1"/>
      </c>
      <c r="BU337">
        <f ca="1"/>
      </c>
      <c r="BV337">
        <f ca="1"/>
      </c>
      <c r="BW337">
        <f ca="1"/>
      </c>
      <c r="BX337">
        <f ca="1"/>
      </c>
      <c r="BY337">
        <f ca="1"/>
      </c>
      <c r="BZ337">
        <f ca="1"/>
      </c>
      <c r="CA337">
        <f ca="1"/>
      </c>
      <c r="CB337">
        <f ca="1"/>
      </c>
      <c r="CC337">
        <f ca="1"/>
      </c>
      <c r="CD337">
        <f ca="1"/>
      </c>
      <c r="CE337">
        <f ca="1"/>
      </c>
      <c r="CF337">
        <f ca="1"/>
      </c>
      <c r="CG337">
        <f ca="1"/>
      </c>
      <c r="CH337">
        <f ca="1"/>
      </c>
      <c r="CI337">
        <f ca="1"/>
      </c>
      <c r="CJ337">
        <f ca="1"/>
      </c>
      <c r="CK337">
        <f ca="1"/>
      </c>
      <c r="CL337">
        <f ca="1"/>
      </c>
      <c r="CM337">
        <f ca="1"/>
      </c>
      <c r="CN337">
        <f ca="1"/>
      </c>
      <c r="CO337">
        <f ca="1"/>
      </c>
      <c r="CP337">
        <f ca="1"/>
      </c>
      <c r="CQ337">
        <f ca="1"/>
      </c>
      <c r="CR337">
        <f ca="1"/>
      </c>
      <c r="CS337">
        <f ca="1"/>
      </c>
      <c r="CT337">
        <f ca="1"/>
      </c>
      <c r="CU337">
        <f ca="1"/>
      </c>
      <c r="CV337">
        <f ca="1"/>
      </c>
      <c r="CW337">
        <f ca="1"/>
      </c>
      <c r="CX337">
        <f ca="1"/>
      </c>
      <c r="CY337">
        <f ca="1"/>
      </c>
      <c r="CZ337">
        <f ca="1"/>
      </c>
      <c r="DA337">
        <f ca="1"/>
      </c>
      <c r="DB337">
        <f ca="1"/>
      </c>
      <c r="DC337">
        <f ca="1"/>
      </c>
      <c r="DD337">
        <f ca="1"/>
      </c>
      <c r="DE337">
        <f ca="1"/>
      </c>
      <c r="DG337">
        <f ca="1"/>
      </c>
      <c r="DH337">
        <f ca="1"/>
      </c>
      <c r="DI337">
        <f ca="1"/>
      </c>
      <c r="DJ337">
        <f ca="1"/>
      </c>
      <c r="DK337">
        <f ca="1"/>
      </c>
      <c r="DL337">
        <f ca="1"/>
      </c>
      <c r="DM337">
        <f ca="1"/>
      </c>
      <c r="DN337">
        <f ca="1"/>
      </c>
      <c r="DO337">
        <f ca="1"/>
      </c>
      <c r="DP337">
        <f ca="1"/>
      </c>
      <c r="DQ337">
        <f ca="1"/>
      </c>
      <c r="DR337">
        <f ca="1"/>
      </c>
      <c r="DS337">
        <f ca="1"/>
      </c>
      <c r="DT337">
        <f ca="1"/>
      </c>
      <c r="DU337">
        <f ca="1"/>
      </c>
      <c r="DV337">
        <f ca="1"/>
      </c>
      <c r="DW337">
        <f ca="1"/>
      </c>
      <c r="DX337">
        <f ca="1"/>
      </c>
      <c r="DY337">
        <f ca="1"/>
      </c>
      <c r="DZ337">
        <f ca="1"/>
      </c>
      <c r="EA337">
        <f ca="1"/>
      </c>
      <c r="EB337">
        <f ca="1"/>
      </c>
      <c r="EC337">
        <f ca="1"/>
      </c>
      <c r="ED337">
        <f ca="1"/>
      </c>
      <c r="EE337">
        <f ca="1"/>
      </c>
      <c r="EF337">
        <f ca="1"/>
      </c>
      <c r="EG337">
        <f ca="1"/>
      </c>
      <c r="EH337">
        <f ca="1"/>
      </c>
      <c r="EI337">
        <f ca="1"/>
      </c>
      <c r="EJ337">
        <f ca="1"/>
      </c>
      <c r="EK337">
        <f ca="1"/>
      </c>
      <c r="EL337">
        <f ca="1"/>
      </c>
      <c r="EM337">
        <f ca="1"/>
      </c>
      <c r="EN337">
        <f ca="1"/>
      </c>
      <c r="EO337">
        <f ca="1"/>
      </c>
      <c r="EP337">
        <f ca="1"/>
      </c>
      <c r="EQ337">
        <f ca="1"/>
      </c>
      <c r="ER337">
        <f ca="1"/>
      </c>
      <c r="ES337">
        <f ca="1"/>
      </c>
      <c r="ET337">
        <f ca="1"/>
      </c>
      <c r="EU337">
        <f ca="1"/>
      </c>
      <c r="EV337">
        <f ca="1"/>
      </c>
      <c r="EW337">
        <f ca="1"/>
      </c>
      <c r="EX337">
        <f ca="1"/>
      </c>
      <c r="EY337">
        <f ca="1"/>
      </c>
      <c r="EZ337">
        <f ca="1"/>
      </c>
      <c r="FA337">
        <f ca="1"/>
      </c>
      <c r="FC337">
        <f ca="1"/>
      </c>
      <c r="FD337">
        <f ca="1"/>
      </c>
      <c r="FE337">
        <f ca="1"/>
      </c>
      <c r="FF337">
        <f ca="1"/>
      </c>
      <c r="FG337">
        <f ca="1"/>
      </c>
      <c r="FH337">
        <f ca="1"/>
      </c>
      <c r="FI337">
        <f ca="1"/>
      </c>
      <c r="FJ337">
        <f ca="1"/>
      </c>
      <c r="FK337">
        <f ca="1"/>
      </c>
      <c r="FL337">
        <f ca="1"/>
      </c>
      <c r="FM337">
        <f ca="1"/>
      </c>
      <c r="FN337">
        <f ca="1"/>
      </c>
      <c r="FO337">
        <f ca="1"/>
      </c>
      <c r="FP337">
        <f ca="1"/>
      </c>
      <c r="FQ337">
        <f ca="1"/>
      </c>
      <c r="FR337">
        <f ca="1"/>
      </c>
      <c r="FS337">
        <f ca="1"/>
      </c>
      <c r="FT337">
        <f ca="1"/>
      </c>
      <c r="FU337">
        <f ca="1"/>
      </c>
      <c r="FV337">
        <f ca="1"/>
      </c>
      <c r="FW337">
        <f ca="1"/>
      </c>
      <c r="FX337">
        <f ca="1"/>
      </c>
      <c r="FY337">
        <f ca="1"/>
      </c>
      <c r="FZ337">
        <f ca="1"/>
      </c>
      <c r="GA337">
        <f ca="1"/>
      </c>
      <c r="GB337">
        <f ca="1"/>
      </c>
      <c r="GC337">
        <f ca="1"/>
      </c>
      <c r="GD337">
        <f ca="1"/>
      </c>
      <c r="GE337">
        <f ca="1"/>
      </c>
      <c r="GF337">
        <f ca="1"/>
      </c>
      <c r="GG337">
        <f ca="1"/>
      </c>
      <c r="GH337">
        <f ca="1"/>
      </c>
      <c r="GI337">
        <f ca="1"/>
      </c>
      <c r="GJ337">
        <f ca="1"/>
      </c>
      <c r="GK337">
        <f ca="1"/>
      </c>
      <c r="GL337">
        <f ca="1"/>
      </c>
      <c r="GM337">
        <f ca="1"/>
      </c>
      <c r="GN337">
        <f ca="1"/>
      </c>
      <c r="GO337">
        <f ca="1"/>
      </c>
      <c r="GP337">
        <f ca="1"/>
      </c>
      <c r="GQ337">
        <f ca="1"/>
      </c>
      <c r="GR337">
        <f ca="1"/>
      </c>
      <c r="GS337">
        <f ca="1"/>
      </c>
      <c r="GT337">
        <f ca="1"/>
      </c>
      <c r="GU337">
        <f ca="1"/>
      </c>
      <c r="GV337">
        <f ca="1"/>
      </c>
      <c r="GW337">
        <f ca="1"/>
      </c>
      <c r="HI337" s="7"/>
    </row>
    <row r="338" spans="63:217" x14ac:dyDescent="0.55000000000000004">
      <c r="BK338">
        <f ca="1"/>
      </c>
      <c r="BL338">
        <f ca="1"/>
      </c>
      <c r="BM338">
        <f ca="1"/>
      </c>
      <c r="BN338">
        <f ca="1"/>
      </c>
      <c r="BO338">
        <f ca="1"/>
      </c>
      <c r="BP338">
        <f ca="1"/>
      </c>
      <c r="BQ338">
        <f ca="1"/>
      </c>
      <c r="BR338">
        <f ca="1"/>
      </c>
      <c r="BS338">
        <f ca="1"/>
      </c>
      <c r="BT338">
        <f ca="1"/>
      </c>
      <c r="BU338">
        <f ca="1"/>
      </c>
      <c r="BV338">
        <f ca="1"/>
      </c>
      <c r="BW338">
        <f ca="1"/>
      </c>
      <c r="BX338">
        <f ca="1"/>
      </c>
      <c r="BY338">
        <f ca="1"/>
      </c>
      <c r="BZ338">
        <f ca="1"/>
      </c>
      <c r="CA338">
        <f ca="1"/>
      </c>
      <c r="CB338">
        <f ca="1"/>
      </c>
      <c r="CC338">
        <f ca="1"/>
      </c>
      <c r="CD338">
        <f ca="1"/>
      </c>
      <c r="CE338">
        <f ca="1"/>
      </c>
      <c r="CF338">
        <f ca="1"/>
      </c>
      <c r="CG338">
        <f ca="1"/>
      </c>
      <c r="CH338">
        <f ca="1"/>
      </c>
      <c r="CI338">
        <f ca="1"/>
      </c>
      <c r="CJ338">
        <f ca="1"/>
      </c>
      <c r="CK338">
        <f ca="1"/>
      </c>
      <c r="CL338">
        <f ca="1"/>
      </c>
      <c r="CM338">
        <f ca="1"/>
      </c>
      <c r="CN338">
        <f ca="1"/>
      </c>
      <c r="CO338">
        <f ca="1"/>
      </c>
      <c r="CP338">
        <f ca="1"/>
      </c>
      <c r="CQ338">
        <f ca="1"/>
      </c>
      <c r="CR338">
        <f ca="1"/>
      </c>
      <c r="CS338">
        <f ca="1"/>
      </c>
      <c r="CT338">
        <f ca="1"/>
      </c>
      <c r="CU338">
        <f ca="1"/>
      </c>
      <c r="CV338">
        <f ca="1"/>
      </c>
      <c r="CW338">
        <f ca="1"/>
      </c>
      <c r="CX338">
        <f ca="1"/>
      </c>
      <c r="CY338">
        <f ca="1"/>
      </c>
      <c r="CZ338">
        <f ca="1"/>
      </c>
      <c r="DA338">
        <f ca="1"/>
      </c>
      <c r="DB338">
        <f ca="1"/>
      </c>
      <c r="DC338">
        <f ca="1"/>
      </c>
      <c r="DD338">
        <f ca="1"/>
      </c>
      <c r="DE338">
        <f ca="1"/>
      </c>
      <c r="DG338">
        <f ca="1"/>
      </c>
      <c r="DH338">
        <f ca="1"/>
      </c>
      <c r="DI338">
        <f ca="1"/>
      </c>
      <c r="DJ338">
        <f ca="1"/>
      </c>
      <c r="DK338">
        <f ca="1"/>
      </c>
      <c r="DL338">
        <f ca="1"/>
      </c>
      <c r="DM338">
        <f ca="1"/>
      </c>
      <c r="DN338">
        <f ca="1"/>
      </c>
      <c r="DO338">
        <f ca="1"/>
      </c>
      <c r="DP338">
        <f ca="1"/>
      </c>
      <c r="DQ338">
        <f ca="1"/>
      </c>
      <c r="DR338">
        <f ca="1"/>
      </c>
      <c r="DS338">
        <f ca="1"/>
      </c>
      <c r="DT338">
        <f ca="1"/>
      </c>
      <c r="DU338">
        <f ca="1"/>
      </c>
      <c r="DV338">
        <f ca="1"/>
      </c>
      <c r="DW338">
        <f ca="1"/>
      </c>
      <c r="DX338">
        <f ca="1"/>
      </c>
      <c r="DY338">
        <f ca="1"/>
      </c>
      <c r="DZ338">
        <f ca="1"/>
      </c>
      <c r="EA338">
        <f ca="1"/>
      </c>
      <c r="EB338">
        <f ca="1"/>
      </c>
      <c r="EC338">
        <f ca="1"/>
      </c>
      <c r="ED338">
        <f ca="1"/>
      </c>
      <c r="EE338">
        <f ca="1"/>
      </c>
      <c r="EF338">
        <f ca="1"/>
      </c>
      <c r="EG338">
        <f ca="1"/>
      </c>
      <c r="EH338">
        <f ca="1"/>
      </c>
      <c r="EI338">
        <f ca="1"/>
      </c>
      <c r="EJ338">
        <f ca="1"/>
      </c>
      <c r="EK338">
        <f ca="1"/>
      </c>
      <c r="EL338">
        <f ca="1"/>
      </c>
      <c r="EM338">
        <f ca="1"/>
      </c>
      <c r="EN338">
        <f ca="1"/>
      </c>
      <c r="EO338">
        <f ca="1"/>
      </c>
      <c r="EP338">
        <f ca="1"/>
      </c>
      <c r="EQ338">
        <f ca="1"/>
      </c>
      <c r="ER338">
        <f ca="1"/>
      </c>
      <c r="ES338">
        <f ca="1"/>
      </c>
      <c r="ET338">
        <f ca="1"/>
      </c>
      <c r="EU338">
        <f ca="1"/>
      </c>
      <c r="EV338">
        <f ca="1"/>
      </c>
      <c r="EW338">
        <f ca="1"/>
      </c>
      <c r="EX338">
        <f ca="1"/>
      </c>
      <c r="EY338">
        <f ca="1"/>
      </c>
      <c r="EZ338">
        <f ca="1"/>
      </c>
      <c r="FA338">
        <f ca="1"/>
      </c>
      <c r="FC338">
        <f ca="1"/>
      </c>
      <c r="FD338">
        <f ca="1"/>
      </c>
      <c r="FE338">
        <f ca="1"/>
      </c>
      <c r="FF338">
        <f ca="1"/>
      </c>
      <c r="FG338">
        <f ca="1"/>
      </c>
      <c r="FH338">
        <f ca="1"/>
      </c>
      <c r="FI338">
        <f ca="1"/>
      </c>
      <c r="FJ338">
        <f ca="1"/>
      </c>
      <c r="FK338">
        <f ca="1"/>
      </c>
      <c r="FL338">
        <f ca="1"/>
      </c>
      <c r="FM338">
        <f ca="1"/>
      </c>
      <c r="FN338">
        <f ca="1"/>
      </c>
      <c r="FO338">
        <f ca="1"/>
      </c>
      <c r="FP338">
        <f ca="1"/>
      </c>
      <c r="FQ338">
        <f ca="1"/>
      </c>
      <c r="FR338">
        <f ca="1"/>
      </c>
      <c r="FS338">
        <f ca="1"/>
      </c>
      <c r="FT338">
        <f ca="1"/>
      </c>
      <c r="FU338">
        <f ca="1"/>
      </c>
      <c r="FV338">
        <f ca="1"/>
      </c>
      <c r="FW338">
        <f ca="1"/>
      </c>
      <c r="FX338">
        <f ca="1"/>
      </c>
      <c r="FY338">
        <f ca="1"/>
      </c>
      <c r="FZ338">
        <f ca="1"/>
      </c>
      <c r="GA338">
        <f ca="1"/>
      </c>
      <c r="GB338">
        <f ca="1"/>
      </c>
      <c r="GC338">
        <f ca="1"/>
      </c>
      <c r="GD338">
        <f ca="1"/>
      </c>
      <c r="GE338">
        <f ca="1"/>
      </c>
      <c r="GF338">
        <f ca="1"/>
      </c>
      <c r="GG338">
        <f ca="1"/>
      </c>
      <c r="GH338">
        <f ca="1"/>
      </c>
      <c r="GI338">
        <f ca="1"/>
      </c>
      <c r="GJ338">
        <f ca="1"/>
      </c>
      <c r="GK338">
        <f ca="1"/>
      </c>
      <c r="GL338">
        <f ca="1"/>
      </c>
      <c r="GM338">
        <f ca="1"/>
      </c>
      <c r="GN338">
        <f ca="1"/>
      </c>
      <c r="GO338">
        <f ca="1"/>
      </c>
      <c r="GP338">
        <f ca="1"/>
      </c>
      <c r="GQ338">
        <f ca="1"/>
      </c>
      <c r="GR338">
        <f ca="1"/>
      </c>
      <c r="GS338">
        <f ca="1"/>
      </c>
      <c r="GT338">
        <f ca="1"/>
      </c>
      <c r="GU338">
        <f ca="1"/>
      </c>
      <c r="GV338">
        <f ca="1"/>
      </c>
      <c r="GW338">
        <f ca="1"/>
      </c>
      <c r="HI338" s="7"/>
    </row>
    <row r="339" spans="63:217" x14ac:dyDescent="0.55000000000000004">
      <c r="BK339">
        <f ca="1"/>
      </c>
      <c r="BL339">
        <f ca="1"/>
      </c>
      <c r="BM339">
        <f ca="1"/>
      </c>
      <c r="BN339">
        <f ca="1"/>
      </c>
      <c r="BO339">
        <f ca="1"/>
      </c>
      <c r="BP339">
        <f ca="1"/>
      </c>
      <c r="BQ339">
        <f ca="1"/>
      </c>
      <c r="BR339">
        <f ca="1"/>
      </c>
      <c r="BS339">
        <f ca="1"/>
      </c>
      <c r="BT339">
        <f ca="1"/>
      </c>
      <c r="BU339">
        <f ca="1"/>
      </c>
      <c r="BV339">
        <f ca="1"/>
      </c>
      <c r="BW339">
        <f ca="1"/>
      </c>
      <c r="BX339">
        <f ca="1"/>
      </c>
      <c r="BY339">
        <f ca="1"/>
      </c>
      <c r="BZ339">
        <f ca="1"/>
      </c>
      <c r="CA339">
        <f ca="1"/>
      </c>
      <c r="CB339">
        <f ca="1"/>
      </c>
      <c r="CC339">
        <f ca="1"/>
      </c>
      <c r="CD339">
        <f ca="1"/>
      </c>
      <c r="CE339">
        <f ca="1"/>
      </c>
      <c r="CF339">
        <f ca="1"/>
      </c>
      <c r="CG339">
        <f ca="1"/>
      </c>
      <c r="CH339">
        <f ca="1"/>
      </c>
      <c r="CI339">
        <f ca="1"/>
      </c>
      <c r="CJ339">
        <f ca="1"/>
      </c>
      <c r="CK339">
        <f ca="1"/>
      </c>
      <c r="CL339">
        <f ca="1"/>
      </c>
      <c r="CM339">
        <f ca="1"/>
      </c>
      <c r="CN339">
        <f ca="1"/>
      </c>
      <c r="CO339">
        <f ca="1"/>
      </c>
      <c r="CP339">
        <f ca="1"/>
      </c>
      <c r="CQ339">
        <f ca="1"/>
      </c>
      <c r="CR339">
        <f ca="1"/>
      </c>
      <c r="CS339">
        <f ca="1"/>
      </c>
      <c r="CT339">
        <f ca="1"/>
      </c>
      <c r="CU339">
        <f ca="1"/>
      </c>
      <c r="CV339">
        <f ca="1"/>
      </c>
      <c r="CW339">
        <f ca="1"/>
      </c>
      <c r="CX339">
        <f ca="1"/>
      </c>
      <c r="CY339">
        <f ca="1"/>
      </c>
      <c r="CZ339">
        <f ca="1"/>
      </c>
      <c r="DA339">
        <f ca="1"/>
      </c>
      <c r="DB339">
        <f ca="1"/>
      </c>
      <c r="DC339">
        <f ca="1"/>
      </c>
      <c r="DD339">
        <f ca="1"/>
      </c>
      <c r="DE339">
        <f ca="1"/>
      </c>
      <c r="DG339">
        <f ca="1"/>
      </c>
      <c r="DH339">
        <f ca="1"/>
      </c>
      <c r="DI339">
        <f ca="1"/>
      </c>
      <c r="DJ339">
        <f ca="1"/>
      </c>
      <c r="DK339">
        <f ca="1"/>
      </c>
      <c r="DL339">
        <f ca="1"/>
      </c>
      <c r="DM339">
        <f ca="1"/>
      </c>
      <c r="DN339">
        <f ca="1"/>
      </c>
      <c r="DO339">
        <f ca="1"/>
      </c>
      <c r="DP339">
        <f ca="1"/>
      </c>
      <c r="DQ339">
        <f ca="1"/>
      </c>
      <c r="DR339">
        <f ca="1"/>
      </c>
      <c r="DS339">
        <f ca="1"/>
      </c>
      <c r="DT339">
        <f ca="1"/>
      </c>
      <c r="DU339">
        <f ca="1"/>
      </c>
      <c r="DV339">
        <f ca="1"/>
      </c>
      <c r="DW339">
        <f ca="1"/>
      </c>
      <c r="DX339">
        <f ca="1"/>
      </c>
      <c r="DY339">
        <f ca="1"/>
      </c>
      <c r="DZ339">
        <f ca="1"/>
      </c>
      <c r="EA339">
        <f ca="1"/>
      </c>
      <c r="EB339">
        <f ca="1"/>
      </c>
      <c r="EC339">
        <f ca="1"/>
      </c>
      <c r="ED339">
        <f ca="1"/>
      </c>
      <c r="EE339">
        <f ca="1"/>
      </c>
      <c r="EF339">
        <f ca="1"/>
      </c>
      <c r="EG339">
        <f ca="1"/>
      </c>
      <c r="EH339">
        <f ca="1"/>
      </c>
      <c r="EI339">
        <f ca="1"/>
      </c>
      <c r="EJ339">
        <f ca="1"/>
      </c>
      <c r="EK339">
        <f ca="1"/>
      </c>
      <c r="EL339">
        <f ca="1"/>
      </c>
      <c r="EM339">
        <f ca="1"/>
      </c>
      <c r="EN339">
        <f ca="1"/>
      </c>
      <c r="EO339">
        <f ca="1"/>
      </c>
      <c r="EP339">
        <f ca="1"/>
      </c>
      <c r="EQ339">
        <f ca="1"/>
      </c>
      <c r="ER339">
        <f ca="1"/>
      </c>
      <c r="ES339">
        <f ca="1"/>
      </c>
      <c r="ET339">
        <f ca="1"/>
      </c>
      <c r="EU339">
        <f ca="1"/>
      </c>
      <c r="EV339">
        <f ca="1"/>
      </c>
      <c r="EW339">
        <f ca="1"/>
      </c>
      <c r="EX339">
        <f ca="1"/>
      </c>
      <c r="EY339">
        <f ca="1"/>
      </c>
      <c r="EZ339">
        <f ca="1"/>
      </c>
      <c r="FA339">
        <f ca="1"/>
      </c>
      <c r="FC339">
        <f ca="1"/>
      </c>
      <c r="FD339">
        <f ca="1"/>
      </c>
      <c r="FE339">
        <f ca="1"/>
      </c>
      <c r="FF339">
        <f ca="1"/>
      </c>
      <c r="FG339">
        <f ca="1"/>
      </c>
      <c r="FH339">
        <f ca="1"/>
      </c>
      <c r="FI339">
        <f ca="1"/>
      </c>
      <c r="FJ339">
        <f ca="1"/>
      </c>
      <c r="FK339">
        <f ca="1"/>
      </c>
      <c r="FL339">
        <f ca="1"/>
      </c>
      <c r="FM339">
        <f ca="1"/>
      </c>
      <c r="FN339">
        <f ca="1"/>
      </c>
      <c r="FO339">
        <f ca="1"/>
      </c>
      <c r="FP339">
        <f ca="1"/>
      </c>
      <c r="FQ339">
        <f ca="1"/>
      </c>
      <c r="FR339">
        <f ca="1"/>
      </c>
      <c r="FS339">
        <f ca="1"/>
      </c>
      <c r="FT339">
        <f ca="1"/>
      </c>
      <c r="FU339">
        <f ca="1"/>
      </c>
      <c r="FV339">
        <f ca="1"/>
      </c>
      <c r="FW339">
        <f ca="1"/>
      </c>
      <c r="FX339">
        <f ca="1"/>
      </c>
      <c r="FY339">
        <f ca="1"/>
      </c>
      <c r="FZ339">
        <f ca="1"/>
      </c>
      <c r="GA339">
        <f ca="1"/>
      </c>
      <c r="GB339">
        <f ca="1"/>
      </c>
      <c r="GC339">
        <f ca="1"/>
      </c>
      <c r="GD339">
        <f ca="1"/>
      </c>
      <c r="GE339">
        <f ca="1"/>
      </c>
      <c r="GF339">
        <f ca="1"/>
      </c>
      <c r="GG339">
        <f ca="1"/>
      </c>
      <c r="GH339">
        <f ca="1"/>
      </c>
      <c r="GI339">
        <f ca="1"/>
      </c>
      <c r="GJ339">
        <f ca="1"/>
      </c>
      <c r="GK339">
        <f ca="1"/>
      </c>
      <c r="GL339">
        <f ca="1"/>
      </c>
      <c r="GM339">
        <f ca="1"/>
      </c>
      <c r="GN339">
        <f ca="1"/>
      </c>
      <c r="GO339">
        <f ca="1"/>
      </c>
      <c r="GP339">
        <f ca="1"/>
      </c>
      <c r="GQ339">
        <f ca="1"/>
      </c>
      <c r="GR339">
        <f ca="1"/>
      </c>
      <c r="GS339">
        <f ca="1"/>
      </c>
      <c r="GT339">
        <f ca="1"/>
      </c>
      <c r="GU339">
        <f ca="1"/>
      </c>
      <c r="GV339">
        <f ca="1"/>
      </c>
      <c r="GW339">
        <f ca="1"/>
      </c>
      <c r="HI339" s="7"/>
    </row>
    <row r="340" spans="63:217" x14ac:dyDescent="0.55000000000000004">
      <c r="BK340">
        <f ca="1"/>
      </c>
      <c r="BL340">
        <f ca="1"/>
      </c>
      <c r="BM340">
        <f ca="1"/>
      </c>
      <c r="BN340">
        <f ca="1"/>
      </c>
      <c r="BO340">
        <f ca="1"/>
      </c>
      <c r="BP340">
        <f ca="1"/>
      </c>
      <c r="BQ340">
        <f ca="1"/>
      </c>
      <c r="BR340">
        <f ca="1"/>
      </c>
      <c r="BS340">
        <f ca="1"/>
      </c>
      <c r="BT340">
        <f ca="1"/>
      </c>
      <c r="BU340">
        <f ca="1"/>
      </c>
      <c r="BV340">
        <f ca="1"/>
      </c>
      <c r="BW340">
        <f ca="1"/>
      </c>
      <c r="BX340">
        <f ca="1"/>
      </c>
      <c r="BY340">
        <f ca="1"/>
      </c>
      <c r="BZ340">
        <f ca="1"/>
      </c>
      <c r="CA340">
        <f ca="1"/>
      </c>
      <c r="CB340">
        <f ca="1"/>
      </c>
      <c r="CC340">
        <f ca="1"/>
      </c>
      <c r="CD340">
        <f ca="1"/>
      </c>
      <c r="CE340">
        <f ca="1"/>
      </c>
      <c r="CF340">
        <f ca="1"/>
      </c>
      <c r="CG340">
        <f ca="1"/>
      </c>
      <c r="CH340">
        <f ca="1"/>
      </c>
      <c r="CI340">
        <f ca="1"/>
      </c>
      <c r="CJ340">
        <f ca="1"/>
      </c>
      <c r="CK340">
        <f ca="1"/>
      </c>
      <c r="CL340">
        <f ca="1"/>
      </c>
      <c r="CM340">
        <f ca="1"/>
      </c>
      <c r="CN340">
        <f ca="1"/>
      </c>
      <c r="CO340">
        <f ca="1"/>
      </c>
      <c r="CP340">
        <f ca="1"/>
      </c>
      <c r="CQ340">
        <f ca="1"/>
      </c>
      <c r="CR340">
        <f ca="1"/>
      </c>
      <c r="CS340">
        <f ca="1"/>
      </c>
      <c r="CT340">
        <f ca="1"/>
      </c>
      <c r="CU340">
        <f ca="1"/>
      </c>
      <c r="CV340">
        <f ca="1"/>
      </c>
      <c r="CW340">
        <f ca="1"/>
      </c>
      <c r="CX340">
        <f ca="1"/>
      </c>
      <c r="CY340">
        <f ca="1"/>
      </c>
      <c r="CZ340">
        <f ca="1"/>
      </c>
      <c r="DA340">
        <f ca="1"/>
      </c>
      <c r="DB340">
        <f ca="1"/>
      </c>
      <c r="DC340">
        <f ca="1"/>
      </c>
      <c r="DD340">
        <f ca="1"/>
      </c>
      <c r="DE340">
        <f ca="1"/>
      </c>
      <c r="DG340">
        <f ca="1"/>
      </c>
      <c r="DH340">
        <f ca="1"/>
      </c>
      <c r="DI340">
        <f ca="1"/>
      </c>
      <c r="DJ340">
        <f ca="1"/>
      </c>
      <c r="DK340">
        <f ca="1"/>
      </c>
      <c r="DL340">
        <f ca="1"/>
      </c>
      <c r="DM340">
        <f ca="1"/>
      </c>
      <c r="DN340">
        <f ca="1"/>
      </c>
      <c r="DO340">
        <f ca="1"/>
      </c>
      <c r="DP340">
        <f ca="1"/>
      </c>
      <c r="DQ340">
        <f ca="1"/>
      </c>
      <c r="DR340">
        <f ca="1"/>
      </c>
      <c r="DS340">
        <f ca="1"/>
      </c>
      <c r="DT340">
        <f ca="1"/>
      </c>
      <c r="DU340">
        <f ca="1"/>
      </c>
      <c r="DV340">
        <f ca="1"/>
      </c>
      <c r="DW340">
        <f ca="1"/>
      </c>
      <c r="DX340">
        <f ca="1"/>
      </c>
      <c r="DY340">
        <f ca="1"/>
      </c>
      <c r="DZ340">
        <f ca="1"/>
      </c>
      <c r="EA340">
        <f ca="1"/>
      </c>
      <c r="EB340">
        <f ca="1"/>
      </c>
      <c r="EC340">
        <f ca="1"/>
      </c>
      <c r="ED340">
        <f ca="1"/>
      </c>
      <c r="EE340">
        <f ca="1"/>
      </c>
      <c r="EF340">
        <f ca="1"/>
      </c>
      <c r="EG340">
        <f ca="1"/>
      </c>
      <c r="EH340">
        <f ca="1"/>
      </c>
      <c r="EI340">
        <f ca="1"/>
      </c>
      <c r="EJ340">
        <f ca="1"/>
      </c>
      <c r="EK340">
        <f ca="1"/>
      </c>
      <c r="EL340">
        <f ca="1"/>
      </c>
      <c r="EM340">
        <f ca="1"/>
      </c>
      <c r="EN340">
        <f ca="1"/>
      </c>
      <c r="EO340">
        <f ca="1"/>
      </c>
      <c r="EP340">
        <f ca="1"/>
      </c>
      <c r="EQ340">
        <f ca="1"/>
      </c>
      <c r="ER340">
        <f ca="1"/>
      </c>
      <c r="ES340">
        <f ca="1"/>
      </c>
      <c r="ET340">
        <f ca="1"/>
      </c>
      <c r="EU340">
        <f ca="1"/>
      </c>
      <c r="EV340">
        <f ca="1"/>
      </c>
      <c r="EW340">
        <f ca="1"/>
      </c>
      <c r="EX340">
        <f ca="1"/>
      </c>
      <c r="EY340">
        <f ca="1"/>
      </c>
      <c r="EZ340">
        <f ca="1"/>
      </c>
      <c r="FA340">
        <f ca="1"/>
      </c>
      <c r="FC340">
        <f ca="1"/>
      </c>
      <c r="FD340">
        <f ca="1"/>
      </c>
      <c r="FE340">
        <f ca="1"/>
      </c>
      <c r="FF340">
        <f ca="1"/>
      </c>
      <c r="FG340">
        <f ca="1"/>
      </c>
      <c r="FH340">
        <f ca="1"/>
      </c>
      <c r="FI340">
        <f ca="1"/>
      </c>
      <c r="FJ340">
        <f ca="1"/>
      </c>
      <c r="FK340">
        <f ca="1"/>
      </c>
      <c r="FL340">
        <f ca="1"/>
      </c>
      <c r="FM340">
        <f ca="1"/>
      </c>
      <c r="FN340">
        <f ca="1"/>
      </c>
      <c r="FO340">
        <f ca="1"/>
      </c>
      <c r="FP340">
        <f ca="1"/>
      </c>
      <c r="FQ340">
        <f ca="1"/>
      </c>
      <c r="FR340">
        <f ca="1"/>
      </c>
      <c r="FS340">
        <f ca="1"/>
      </c>
      <c r="FT340">
        <f ca="1"/>
      </c>
      <c r="FU340">
        <f ca="1"/>
      </c>
      <c r="FV340">
        <f ca="1"/>
      </c>
      <c r="FW340">
        <f ca="1"/>
      </c>
      <c r="FX340">
        <f ca="1"/>
      </c>
      <c r="FY340">
        <f ca="1"/>
      </c>
      <c r="FZ340">
        <f ca="1"/>
      </c>
      <c r="GA340">
        <f ca="1"/>
      </c>
      <c r="GB340">
        <f ca="1"/>
      </c>
      <c r="GC340">
        <f ca="1"/>
      </c>
      <c r="GD340">
        <f ca="1"/>
      </c>
      <c r="GE340">
        <f ca="1"/>
      </c>
      <c r="GF340">
        <f ca="1"/>
      </c>
      <c r="GG340">
        <f ca="1"/>
      </c>
      <c r="GH340">
        <f ca="1"/>
      </c>
      <c r="GI340">
        <f ca="1"/>
      </c>
      <c r="GJ340">
        <f ca="1"/>
      </c>
      <c r="GK340">
        <f ca="1"/>
      </c>
      <c r="GL340">
        <f ca="1"/>
      </c>
      <c r="GM340">
        <f ca="1"/>
      </c>
      <c r="GN340">
        <f ca="1"/>
      </c>
      <c r="GO340">
        <f ca="1"/>
      </c>
      <c r="GP340">
        <f ca="1"/>
      </c>
      <c r="GQ340">
        <f ca="1"/>
      </c>
      <c r="GR340">
        <f ca="1"/>
      </c>
      <c r="GS340">
        <f ca="1"/>
      </c>
      <c r="GT340">
        <f ca="1"/>
      </c>
      <c r="GU340">
        <f ca="1"/>
      </c>
      <c r="GV340">
        <f ca="1"/>
      </c>
      <c r="GW340">
        <f ca="1"/>
      </c>
      <c r="HI340" s="7"/>
    </row>
    <row r="341" spans="63:217" x14ac:dyDescent="0.55000000000000004">
      <c r="BK341">
        <f ca="1"/>
      </c>
      <c r="BL341">
        <f ca="1"/>
      </c>
      <c r="BM341">
        <f ca="1"/>
      </c>
      <c r="BN341">
        <f ca="1"/>
      </c>
      <c r="BO341">
        <f ca="1"/>
      </c>
      <c r="BP341">
        <f ca="1"/>
      </c>
      <c r="BQ341">
        <f ca="1"/>
      </c>
      <c r="BR341">
        <f ca="1"/>
      </c>
      <c r="BS341">
        <f ca="1"/>
      </c>
      <c r="BT341">
        <f ca="1"/>
      </c>
      <c r="BU341">
        <f ca="1"/>
      </c>
      <c r="BV341">
        <f ca="1"/>
      </c>
      <c r="BW341">
        <f ca="1"/>
      </c>
      <c r="BX341">
        <f ca="1"/>
      </c>
      <c r="BY341">
        <f ca="1"/>
      </c>
      <c r="BZ341">
        <f ca="1"/>
      </c>
      <c r="CA341">
        <f ca="1"/>
      </c>
      <c r="CB341">
        <f ca="1"/>
      </c>
      <c r="CC341">
        <f ca="1"/>
      </c>
      <c r="CD341">
        <f ca="1"/>
      </c>
      <c r="CE341">
        <f ca="1"/>
      </c>
      <c r="CF341">
        <f ca="1"/>
      </c>
      <c r="CG341">
        <f ca="1"/>
      </c>
      <c r="CH341">
        <f ca="1"/>
      </c>
      <c r="CI341">
        <f ca="1"/>
      </c>
      <c r="CJ341">
        <f ca="1"/>
      </c>
      <c r="CK341">
        <f ca="1"/>
      </c>
      <c r="CL341">
        <f ca="1"/>
      </c>
      <c r="CM341">
        <f ca="1"/>
      </c>
      <c r="CN341">
        <f ca="1"/>
      </c>
      <c r="CO341">
        <f ca="1"/>
      </c>
      <c r="CP341">
        <f ca="1"/>
      </c>
      <c r="CQ341">
        <f ca="1"/>
      </c>
      <c r="CR341">
        <f ca="1"/>
      </c>
      <c r="CS341">
        <f ca="1"/>
      </c>
      <c r="CT341">
        <f ca="1"/>
      </c>
      <c r="CU341">
        <f ca="1"/>
      </c>
      <c r="CV341">
        <f ca="1"/>
      </c>
      <c r="CW341">
        <f ca="1"/>
      </c>
      <c r="CX341">
        <f ca="1"/>
      </c>
      <c r="CY341">
        <f ca="1"/>
      </c>
      <c r="CZ341">
        <f ca="1"/>
      </c>
      <c r="DA341">
        <f ca="1"/>
      </c>
      <c r="DB341">
        <f ca="1"/>
      </c>
      <c r="DC341">
        <f ca="1"/>
      </c>
      <c r="DD341">
        <f ca="1"/>
      </c>
      <c r="DE341">
        <f ca="1"/>
      </c>
      <c r="DG341">
        <f ca="1"/>
      </c>
      <c r="DH341">
        <f ca="1"/>
      </c>
      <c r="DI341">
        <f ca="1"/>
      </c>
      <c r="DJ341">
        <f ca="1"/>
      </c>
      <c r="DK341">
        <f ca="1"/>
      </c>
      <c r="DL341">
        <f ca="1"/>
      </c>
      <c r="DM341">
        <f ca="1"/>
      </c>
      <c r="DN341">
        <f ca="1"/>
      </c>
      <c r="DO341">
        <f ca="1"/>
      </c>
      <c r="DP341">
        <f ca="1"/>
      </c>
      <c r="DQ341">
        <f ca="1"/>
      </c>
      <c r="DR341">
        <f ca="1"/>
      </c>
      <c r="DS341">
        <f ca="1"/>
      </c>
      <c r="DT341">
        <f ca="1"/>
      </c>
      <c r="DU341">
        <f ca="1"/>
      </c>
      <c r="DV341">
        <f ca="1"/>
      </c>
      <c r="DW341">
        <f ca="1"/>
      </c>
      <c r="DX341">
        <f ca="1"/>
      </c>
      <c r="DY341">
        <f ca="1"/>
      </c>
      <c r="DZ341">
        <f ca="1"/>
      </c>
      <c r="EA341">
        <f ca="1"/>
      </c>
      <c r="EB341">
        <f ca="1"/>
      </c>
      <c r="EC341">
        <f ca="1"/>
      </c>
      <c r="ED341">
        <f ca="1"/>
      </c>
      <c r="EE341">
        <f ca="1"/>
      </c>
      <c r="EF341">
        <f ca="1"/>
      </c>
      <c r="EG341">
        <f ca="1"/>
      </c>
      <c r="EH341">
        <f ca="1"/>
      </c>
      <c r="EI341">
        <f ca="1"/>
      </c>
      <c r="EJ341">
        <f ca="1"/>
      </c>
      <c r="EK341">
        <f ca="1"/>
      </c>
      <c r="EL341">
        <f ca="1"/>
      </c>
      <c r="EM341">
        <f ca="1"/>
      </c>
      <c r="EN341">
        <f ca="1"/>
      </c>
      <c r="EO341">
        <f ca="1"/>
      </c>
      <c r="EP341">
        <f ca="1"/>
      </c>
      <c r="EQ341">
        <f ca="1"/>
      </c>
      <c r="ER341">
        <f ca="1"/>
      </c>
      <c r="ES341">
        <f ca="1"/>
      </c>
      <c r="ET341">
        <f ca="1"/>
      </c>
      <c r="EU341">
        <f ca="1"/>
      </c>
      <c r="EV341">
        <f ca="1"/>
      </c>
      <c r="EW341">
        <f ca="1"/>
      </c>
      <c r="EX341">
        <f ca="1"/>
      </c>
      <c r="EY341">
        <f ca="1"/>
      </c>
      <c r="EZ341">
        <f ca="1"/>
      </c>
      <c r="FA341">
        <f ca="1"/>
      </c>
      <c r="FC341">
        <f ca="1"/>
      </c>
      <c r="FD341">
        <f ca="1"/>
      </c>
      <c r="FE341">
        <f ca="1"/>
      </c>
      <c r="FF341">
        <f ca="1"/>
      </c>
      <c r="FG341">
        <f ca="1"/>
      </c>
      <c r="FH341">
        <f ca="1"/>
      </c>
      <c r="FI341">
        <f ca="1"/>
      </c>
      <c r="FJ341">
        <f ca="1"/>
      </c>
      <c r="FK341">
        <f ca="1"/>
      </c>
      <c r="FL341">
        <f ca="1"/>
      </c>
      <c r="FM341">
        <f ca="1"/>
      </c>
      <c r="FN341">
        <f ca="1"/>
      </c>
      <c r="FO341">
        <f ca="1"/>
      </c>
      <c r="FP341">
        <f ca="1"/>
      </c>
      <c r="FQ341">
        <f ca="1"/>
      </c>
      <c r="FR341">
        <f ca="1"/>
      </c>
      <c r="FS341">
        <f ca="1"/>
      </c>
      <c r="FT341">
        <f ca="1"/>
      </c>
      <c r="FU341">
        <f ca="1"/>
      </c>
      <c r="FV341">
        <f ca="1"/>
      </c>
      <c r="FW341">
        <f ca="1"/>
      </c>
      <c r="FX341">
        <f ca="1"/>
      </c>
      <c r="FY341">
        <f ca="1"/>
      </c>
      <c r="FZ341">
        <f ca="1"/>
      </c>
      <c r="GA341">
        <f ca="1"/>
      </c>
      <c r="GB341">
        <f ca="1"/>
      </c>
      <c r="GC341">
        <f ca="1"/>
      </c>
      <c r="GD341">
        <f ca="1"/>
      </c>
      <c r="GE341">
        <f ca="1"/>
      </c>
      <c r="GF341">
        <f ca="1"/>
      </c>
      <c r="GG341">
        <f ca="1"/>
      </c>
      <c r="GH341">
        <f ca="1"/>
      </c>
      <c r="GI341">
        <f ca="1"/>
      </c>
      <c r="GJ341">
        <f ca="1"/>
      </c>
      <c r="GK341">
        <f ca="1"/>
      </c>
      <c r="GL341">
        <f ca="1"/>
      </c>
      <c r="GM341">
        <f ca="1"/>
      </c>
      <c r="GN341">
        <f ca="1"/>
      </c>
      <c r="GO341">
        <f ca="1"/>
      </c>
      <c r="GP341">
        <f ca="1"/>
      </c>
      <c r="GQ341">
        <f ca="1"/>
      </c>
      <c r="GR341">
        <f ca="1"/>
      </c>
      <c r="GS341">
        <f ca="1"/>
      </c>
      <c r="GT341">
        <f ca="1"/>
      </c>
      <c r="GU341">
        <f ca="1"/>
      </c>
      <c r="GV341">
        <f ca="1"/>
      </c>
      <c r="GW341">
        <f ca="1"/>
      </c>
      <c r="HI341" s="7"/>
    </row>
    <row r="342" spans="63:217" x14ac:dyDescent="0.55000000000000004">
      <c r="BK342">
        <f ca="1"/>
      </c>
      <c r="BL342">
        <f ca="1"/>
      </c>
      <c r="BM342">
        <f ca="1"/>
      </c>
      <c r="BN342">
        <f ca="1"/>
      </c>
      <c r="BO342">
        <f ca="1"/>
      </c>
      <c r="BP342">
        <f ca="1"/>
      </c>
      <c r="BQ342">
        <f ca="1"/>
      </c>
      <c r="BR342">
        <f ca="1"/>
      </c>
      <c r="BS342">
        <f ca="1"/>
      </c>
      <c r="BT342">
        <f ca="1"/>
      </c>
      <c r="BU342">
        <f ca="1"/>
      </c>
      <c r="BV342">
        <f ca="1"/>
      </c>
      <c r="BW342">
        <f ca="1"/>
      </c>
      <c r="BX342">
        <f ca="1"/>
      </c>
      <c r="BY342">
        <f ca="1"/>
      </c>
      <c r="BZ342">
        <f ca="1"/>
      </c>
      <c r="CA342">
        <f ca="1"/>
      </c>
      <c r="CB342">
        <f ca="1"/>
      </c>
      <c r="CC342">
        <f ca="1"/>
      </c>
      <c r="CD342">
        <f ca="1"/>
      </c>
      <c r="CE342">
        <f ca="1"/>
      </c>
      <c r="CF342">
        <f ca="1"/>
      </c>
      <c r="CG342">
        <f ca="1"/>
      </c>
      <c r="CH342">
        <f ca="1"/>
      </c>
      <c r="CI342">
        <f ca="1"/>
      </c>
      <c r="CJ342">
        <f ca="1"/>
      </c>
      <c r="CK342">
        <f ca="1"/>
      </c>
      <c r="CL342">
        <f ca="1"/>
      </c>
      <c r="CM342">
        <f ca="1"/>
      </c>
      <c r="CN342">
        <f ca="1"/>
      </c>
      <c r="CO342">
        <f ca="1"/>
      </c>
      <c r="CP342">
        <f ca="1"/>
      </c>
      <c r="CQ342">
        <f ca="1"/>
      </c>
      <c r="CR342">
        <f ca="1"/>
      </c>
      <c r="CS342">
        <f ca="1"/>
      </c>
      <c r="CT342">
        <f ca="1"/>
      </c>
      <c r="CU342">
        <f ca="1"/>
      </c>
      <c r="CV342">
        <f ca="1"/>
      </c>
      <c r="CW342">
        <f ca="1"/>
      </c>
      <c r="CX342">
        <f ca="1"/>
      </c>
      <c r="CY342">
        <f ca="1"/>
      </c>
      <c r="CZ342">
        <f ca="1"/>
      </c>
      <c r="DA342">
        <f ca="1"/>
      </c>
      <c r="DB342">
        <f ca="1"/>
      </c>
      <c r="DC342">
        <f ca="1"/>
      </c>
      <c r="DD342">
        <f ca="1"/>
      </c>
      <c r="DE342">
        <f ca="1"/>
      </c>
      <c r="DG342">
        <f ca="1"/>
      </c>
      <c r="DH342">
        <f ca="1"/>
      </c>
      <c r="DI342">
        <f ca="1"/>
      </c>
      <c r="DJ342">
        <f ca="1"/>
      </c>
      <c r="DK342">
        <f ca="1"/>
      </c>
      <c r="DL342">
        <f ca="1"/>
      </c>
      <c r="DM342">
        <f ca="1"/>
      </c>
      <c r="DN342">
        <f ca="1"/>
      </c>
      <c r="DO342">
        <f ca="1"/>
      </c>
      <c r="DP342">
        <f ca="1"/>
      </c>
      <c r="DQ342">
        <f ca="1"/>
      </c>
      <c r="DR342">
        <f ca="1"/>
      </c>
      <c r="DS342">
        <f ca="1"/>
      </c>
      <c r="DT342">
        <f ca="1"/>
      </c>
      <c r="DU342">
        <f ca="1"/>
      </c>
      <c r="DV342">
        <f ca="1"/>
      </c>
      <c r="DW342">
        <f ca="1"/>
      </c>
      <c r="DX342">
        <f ca="1"/>
      </c>
      <c r="DY342">
        <f ca="1"/>
      </c>
      <c r="DZ342">
        <f ca="1"/>
      </c>
      <c r="EA342">
        <f ca="1"/>
      </c>
      <c r="EB342">
        <f ca="1"/>
      </c>
      <c r="EC342">
        <f ca="1"/>
      </c>
      <c r="ED342">
        <f ca="1"/>
      </c>
      <c r="EE342">
        <f ca="1"/>
      </c>
      <c r="EF342">
        <f ca="1"/>
      </c>
      <c r="EG342">
        <f ca="1"/>
      </c>
      <c r="EH342">
        <f ca="1"/>
      </c>
      <c r="EI342">
        <f ca="1"/>
      </c>
      <c r="EJ342">
        <f ca="1"/>
      </c>
      <c r="EK342">
        <f ca="1"/>
      </c>
      <c r="EL342">
        <f ca="1"/>
      </c>
      <c r="EM342">
        <f ca="1"/>
      </c>
      <c r="EN342">
        <f ca="1"/>
      </c>
      <c r="EO342">
        <f ca="1"/>
      </c>
      <c r="EP342">
        <f ca="1"/>
      </c>
      <c r="EQ342">
        <f ca="1"/>
      </c>
      <c r="ER342">
        <f ca="1"/>
      </c>
      <c r="ES342">
        <f ca="1"/>
      </c>
      <c r="ET342">
        <f ca="1"/>
      </c>
      <c r="EU342">
        <f ca="1"/>
      </c>
      <c r="EV342">
        <f ca="1"/>
      </c>
      <c r="EW342">
        <f ca="1"/>
      </c>
      <c r="EX342">
        <f ca="1"/>
      </c>
      <c r="EY342">
        <f ca="1"/>
      </c>
      <c r="EZ342">
        <f ca="1"/>
      </c>
      <c r="FA342">
        <f ca="1"/>
      </c>
      <c r="FC342">
        <f ca="1"/>
      </c>
      <c r="FD342">
        <f ca="1"/>
      </c>
      <c r="FE342">
        <f ca="1"/>
      </c>
      <c r="FF342">
        <f ca="1"/>
      </c>
      <c r="FG342">
        <f ca="1"/>
      </c>
      <c r="FH342">
        <f ca="1"/>
      </c>
      <c r="FI342">
        <f ca="1"/>
      </c>
      <c r="FJ342">
        <f ca="1"/>
      </c>
      <c r="FK342">
        <f ca="1"/>
      </c>
      <c r="FL342">
        <f ca="1"/>
      </c>
      <c r="FM342">
        <f ca="1"/>
      </c>
      <c r="FN342">
        <f ca="1"/>
      </c>
      <c r="FO342">
        <f ca="1"/>
      </c>
      <c r="FP342">
        <f ca="1"/>
      </c>
      <c r="FQ342">
        <f ca="1"/>
      </c>
      <c r="FR342">
        <f ca="1"/>
      </c>
      <c r="FS342">
        <f ca="1"/>
      </c>
      <c r="FT342">
        <f ca="1"/>
      </c>
      <c r="FU342">
        <f ca="1"/>
      </c>
      <c r="FV342">
        <f ca="1"/>
      </c>
      <c r="FW342">
        <f ca="1"/>
      </c>
      <c r="FX342">
        <f ca="1"/>
      </c>
      <c r="FY342">
        <f ca="1"/>
      </c>
      <c r="FZ342">
        <f ca="1"/>
      </c>
      <c r="GA342">
        <f ca="1"/>
      </c>
      <c r="GB342">
        <f ca="1"/>
      </c>
      <c r="GC342">
        <f ca="1"/>
      </c>
      <c r="GD342">
        <f ca="1"/>
      </c>
      <c r="GE342">
        <f ca="1"/>
      </c>
      <c r="GF342">
        <f ca="1"/>
      </c>
      <c r="GG342">
        <f ca="1"/>
      </c>
      <c r="GH342">
        <f ca="1"/>
      </c>
      <c r="GI342">
        <f ca="1"/>
      </c>
      <c r="GJ342">
        <f ca="1"/>
      </c>
      <c r="GK342">
        <f ca="1"/>
      </c>
      <c r="GL342">
        <f ca="1"/>
      </c>
      <c r="GM342">
        <f ca="1"/>
      </c>
      <c r="GN342">
        <f ca="1"/>
      </c>
      <c r="GO342">
        <f ca="1"/>
      </c>
      <c r="GP342">
        <f ca="1"/>
      </c>
      <c r="GQ342">
        <f ca="1"/>
      </c>
      <c r="GR342">
        <f ca="1"/>
      </c>
      <c r="GS342">
        <f ca="1"/>
      </c>
      <c r="GT342">
        <f ca="1"/>
      </c>
      <c r="GU342">
        <f ca="1"/>
      </c>
      <c r="GV342">
        <f ca="1"/>
      </c>
      <c r="GW342">
        <f ca="1"/>
      </c>
      <c r="HI342" s="7"/>
    </row>
    <row r="343" spans="63:217" x14ac:dyDescent="0.55000000000000004">
      <c r="BK343">
        <f ca="1"/>
      </c>
      <c r="BL343">
        <f ca="1"/>
      </c>
      <c r="BM343">
        <f ca="1"/>
      </c>
      <c r="BN343">
        <f ca="1"/>
      </c>
      <c r="BO343">
        <f ca="1"/>
      </c>
      <c r="BP343">
        <f ca="1"/>
      </c>
      <c r="BQ343">
        <f ca="1"/>
      </c>
      <c r="BR343">
        <f ca="1"/>
      </c>
      <c r="BS343">
        <f ca="1"/>
      </c>
      <c r="BT343">
        <f ca="1"/>
      </c>
      <c r="BU343">
        <f ca="1"/>
      </c>
      <c r="BV343">
        <f ca="1"/>
      </c>
      <c r="BW343">
        <f ca="1"/>
      </c>
      <c r="BX343">
        <f ca="1"/>
      </c>
      <c r="BY343">
        <f ca="1"/>
      </c>
      <c r="BZ343">
        <f ca="1"/>
      </c>
      <c r="CA343">
        <f ca="1"/>
      </c>
      <c r="CB343">
        <f ca="1"/>
      </c>
      <c r="CC343">
        <f ca="1"/>
      </c>
      <c r="CD343">
        <f ca="1"/>
      </c>
      <c r="CE343">
        <f ca="1"/>
      </c>
      <c r="CF343">
        <f ca="1"/>
      </c>
      <c r="CG343">
        <f ca="1"/>
      </c>
      <c r="CH343">
        <f ca="1"/>
      </c>
      <c r="CI343">
        <f ca="1"/>
      </c>
      <c r="CJ343">
        <f ca="1"/>
      </c>
      <c r="CK343">
        <f ca="1"/>
      </c>
      <c r="CL343">
        <f ca="1"/>
      </c>
      <c r="CM343">
        <f ca="1"/>
      </c>
      <c r="CN343">
        <f ca="1"/>
      </c>
      <c r="CO343">
        <f ca="1"/>
      </c>
      <c r="CP343">
        <f ca="1"/>
      </c>
      <c r="CQ343">
        <f ca="1"/>
      </c>
      <c r="CR343">
        <f ca="1"/>
      </c>
      <c r="CS343">
        <f ca="1"/>
      </c>
      <c r="CT343">
        <f ca="1"/>
      </c>
      <c r="CU343">
        <f ca="1"/>
      </c>
      <c r="CV343">
        <f ca="1"/>
      </c>
      <c r="CW343">
        <f ca="1"/>
      </c>
      <c r="CX343">
        <f ca="1"/>
      </c>
      <c r="CY343">
        <f ca="1"/>
      </c>
      <c r="CZ343">
        <f ca="1"/>
      </c>
      <c r="DA343">
        <f ca="1"/>
      </c>
      <c r="DB343">
        <f ca="1"/>
      </c>
      <c r="DC343">
        <f ca="1"/>
      </c>
      <c r="DD343">
        <f ca="1"/>
      </c>
      <c r="DE343">
        <f ca="1"/>
      </c>
      <c r="DG343">
        <f ca="1"/>
      </c>
      <c r="DH343">
        <f ca="1"/>
      </c>
      <c r="DI343">
        <f ca="1"/>
      </c>
      <c r="DJ343">
        <f ca="1"/>
      </c>
      <c r="DK343">
        <f ca="1"/>
      </c>
      <c r="DL343">
        <f ca="1"/>
      </c>
      <c r="DM343">
        <f ca="1"/>
      </c>
      <c r="DN343">
        <f ca="1"/>
      </c>
      <c r="DO343">
        <f ca="1"/>
      </c>
      <c r="DP343">
        <f ca="1"/>
      </c>
      <c r="DQ343">
        <f ca="1"/>
      </c>
      <c r="DR343">
        <f ca="1"/>
      </c>
      <c r="DS343">
        <f ca="1"/>
      </c>
      <c r="DT343">
        <f ca="1"/>
      </c>
      <c r="DU343">
        <f ca="1"/>
      </c>
      <c r="DV343">
        <f ca="1"/>
      </c>
      <c r="DW343">
        <f ca="1"/>
      </c>
      <c r="DX343">
        <f ca="1"/>
      </c>
      <c r="DY343">
        <f ca="1"/>
      </c>
      <c r="DZ343">
        <f ca="1"/>
      </c>
      <c r="EA343">
        <f ca="1"/>
      </c>
      <c r="EB343">
        <f ca="1"/>
      </c>
      <c r="EC343">
        <f ca="1"/>
      </c>
      <c r="ED343">
        <f ca="1"/>
      </c>
      <c r="EE343">
        <f ca="1"/>
      </c>
      <c r="EF343">
        <f ca="1"/>
      </c>
      <c r="EG343">
        <f ca="1"/>
      </c>
      <c r="EH343">
        <f ca="1"/>
      </c>
      <c r="EI343">
        <f ca="1"/>
      </c>
      <c r="EJ343">
        <f ca="1"/>
      </c>
      <c r="EK343">
        <f ca="1"/>
      </c>
      <c r="EL343">
        <f ca="1"/>
      </c>
      <c r="EM343">
        <f ca="1"/>
      </c>
      <c r="EN343">
        <f ca="1"/>
      </c>
      <c r="EO343">
        <f ca="1"/>
      </c>
      <c r="EP343">
        <f ca="1"/>
      </c>
      <c r="EQ343">
        <f ca="1"/>
      </c>
      <c r="ER343">
        <f ca="1"/>
      </c>
      <c r="ES343">
        <f ca="1"/>
      </c>
      <c r="ET343">
        <f ca="1"/>
      </c>
      <c r="EU343">
        <f ca="1"/>
      </c>
      <c r="EV343">
        <f ca="1"/>
      </c>
      <c r="EW343">
        <f ca="1"/>
      </c>
      <c r="EX343">
        <f ca="1"/>
      </c>
      <c r="EY343">
        <f ca="1"/>
      </c>
      <c r="EZ343">
        <f ca="1"/>
      </c>
      <c r="FA343">
        <f ca="1"/>
      </c>
      <c r="FC343">
        <f ca="1"/>
      </c>
      <c r="FD343">
        <f ca="1"/>
      </c>
      <c r="FE343">
        <f ca="1"/>
      </c>
      <c r="FF343">
        <f ca="1"/>
      </c>
      <c r="FG343">
        <f ca="1"/>
      </c>
      <c r="FH343">
        <f ca="1"/>
      </c>
      <c r="FI343">
        <f ca="1"/>
      </c>
      <c r="FJ343">
        <f ca="1"/>
      </c>
      <c r="FK343">
        <f ca="1"/>
      </c>
      <c r="FL343">
        <f ca="1"/>
      </c>
      <c r="FM343">
        <f ca="1"/>
      </c>
      <c r="FN343">
        <f ca="1"/>
      </c>
      <c r="FO343">
        <f ca="1"/>
      </c>
      <c r="FP343">
        <f ca="1"/>
      </c>
      <c r="FQ343">
        <f ca="1"/>
      </c>
      <c r="FR343">
        <f ca="1"/>
      </c>
      <c r="FS343">
        <f ca="1"/>
      </c>
      <c r="FT343">
        <f ca="1"/>
      </c>
      <c r="FU343">
        <f ca="1"/>
      </c>
      <c r="FV343">
        <f ca="1"/>
      </c>
      <c r="FW343">
        <f ca="1"/>
      </c>
      <c r="FX343">
        <f ca="1"/>
      </c>
      <c r="FY343">
        <f ca="1"/>
      </c>
      <c r="FZ343">
        <f ca="1"/>
      </c>
      <c r="GA343">
        <f ca="1"/>
      </c>
      <c r="GB343">
        <f ca="1"/>
      </c>
      <c r="GC343">
        <f ca="1"/>
      </c>
      <c r="GD343">
        <f ca="1"/>
      </c>
      <c r="GE343">
        <f ca="1"/>
      </c>
      <c r="GF343">
        <f ca="1"/>
      </c>
      <c r="GG343">
        <f ca="1"/>
      </c>
      <c r="GH343">
        <f ca="1"/>
      </c>
      <c r="GI343">
        <f ca="1"/>
      </c>
      <c r="GJ343">
        <f ca="1"/>
      </c>
      <c r="GK343">
        <f ca="1"/>
      </c>
      <c r="GL343">
        <f ca="1"/>
      </c>
      <c r="GM343">
        <f ca="1"/>
      </c>
      <c r="GN343">
        <f ca="1"/>
      </c>
      <c r="GO343">
        <f ca="1"/>
      </c>
      <c r="GP343">
        <f ca="1"/>
      </c>
      <c r="GQ343">
        <f ca="1"/>
      </c>
      <c r="GR343">
        <f ca="1"/>
      </c>
      <c r="GS343">
        <f ca="1"/>
      </c>
      <c r="GT343">
        <f ca="1"/>
      </c>
      <c r="GU343">
        <f ca="1"/>
      </c>
      <c r="GV343">
        <f ca="1"/>
      </c>
      <c r="GW343">
        <f ca="1"/>
      </c>
      <c r="HI343" s="7"/>
    </row>
    <row r="344" spans="63:217" x14ac:dyDescent="0.55000000000000004">
      <c r="BK344">
        <f ca="1"/>
      </c>
      <c r="BL344">
        <f ca="1"/>
      </c>
      <c r="BM344">
        <f ca="1"/>
      </c>
      <c r="BN344">
        <f ca="1"/>
      </c>
      <c r="BO344">
        <f ca="1"/>
      </c>
      <c r="BP344">
        <f ca="1"/>
      </c>
      <c r="BQ344">
        <f ca="1"/>
      </c>
      <c r="BR344">
        <f ca="1"/>
      </c>
      <c r="BS344">
        <f ca="1"/>
      </c>
      <c r="BT344">
        <f ca="1"/>
      </c>
      <c r="BU344">
        <f ca="1"/>
      </c>
      <c r="BV344">
        <f ca="1"/>
      </c>
      <c r="BW344">
        <f ca="1"/>
      </c>
      <c r="BX344">
        <f ca="1"/>
      </c>
      <c r="BY344">
        <f ca="1"/>
      </c>
      <c r="BZ344">
        <f ca="1"/>
      </c>
      <c r="CA344">
        <f ca="1"/>
      </c>
      <c r="CB344">
        <f ca="1"/>
      </c>
      <c r="CC344">
        <f ca="1"/>
      </c>
      <c r="CD344">
        <f ca="1"/>
      </c>
      <c r="CE344">
        <f ca="1"/>
      </c>
      <c r="CF344">
        <f ca="1"/>
      </c>
      <c r="CG344">
        <f ca="1"/>
      </c>
      <c r="CH344">
        <f ca="1"/>
      </c>
      <c r="CI344">
        <f ca="1"/>
      </c>
      <c r="CJ344">
        <f ca="1"/>
      </c>
      <c r="CK344">
        <f ca="1"/>
      </c>
      <c r="CL344">
        <f ca="1"/>
      </c>
      <c r="CM344">
        <f ca="1"/>
      </c>
      <c r="CN344">
        <f ca="1"/>
      </c>
      <c r="CO344">
        <f ca="1"/>
      </c>
      <c r="CP344">
        <f ca="1"/>
      </c>
      <c r="CQ344">
        <f ca="1"/>
      </c>
      <c r="CR344">
        <f ca="1"/>
      </c>
      <c r="CS344">
        <f ca="1"/>
      </c>
      <c r="CT344">
        <f ca="1"/>
      </c>
      <c r="CU344">
        <f ca="1"/>
      </c>
      <c r="CV344">
        <f ca="1"/>
      </c>
      <c r="CW344">
        <f ca="1"/>
      </c>
      <c r="CX344">
        <f ca="1"/>
      </c>
      <c r="CY344">
        <f ca="1"/>
      </c>
      <c r="CZ344">
        <f ca="1"/>
      </c>
      <c r="DA344">
        <f ca="1"/>
      </c>
      <c r="DB344">
        <f ca="1"/>
      </c>
      <c r="DC344">
        <f ca="1"/>
      </c>
      <c r="DD344">
        <f ca="1"/>
      </c>
      <c r="DE344">
        <f ca="1"/>
      </c>
      <c r="DG344">
        <f ca="1"/>
      </c>
      <c r="DH344">
        <f ca="1"/>
      </c>
      <c r="DI344">
        <f ca="1"/>
      </c>
      <c r="DJ344">
        <f ca="1"/>
      </c>
      <c r="DK344">
        <f ca="1"/>
      </c>
      <c r="DL344">
        <f ca="1"/>
      </c>
      <c r="DM344">
        <f ca="1"/>
      </c>
      <c r="DN344">
        <f ca="1"/>
      </c>
      <c r="DO344">
        <f ca="1"/>
      </c>
      <c r="DP344">
        <f ca="1"/>
      </c>
      <c r="DQ344">
        <f ca="1"/>
      </c>
      <c r="DR344">
        <f ca="1"/>
      </c>
      <c r="DS344">
        <f ca="1"/>
      </c>
      <c r="DT344">
        <f ca="1"/>
      </c>
      <c r="DU344">
        <f ca="1"/>
      </c>
      <c r="DV344">
        <f ca="1"/>
      </c>
      <c r="DW344">
        <f ca="1"/>
      </c>
      <c r="DX344">
        <f ca="1"/>
      </c>
      <c r="DY344">
        <f ca="1"/>
      </c>
      <c r="DZ344">
        <f ca="1"/>
      </c>
      <c r="EA344">
        <f ca="1"/>
      </c>
      <c r="EB344">
        <f ca="1"/>
      </c>
      <c r="EC344">
        <f ca="1"/>
      </c>
      <c r="ED344">
        <f ca="1"/>
      </c>
      <c r="EE344">
        <f ca="1"/>
      </c>
      <c r="EF344">
        <f ca="1"/>
      </c>
      <c r="EG344">
        <f ca="1"/>
      </c>
      <c r="EH344">
        <f ca="1"/>
      </c>
      <c r="EI344">
        <f ca="1"/>
      </c>
      <c r="EJ344">
        <f ca="1"/>
      </c>
      <c r="EK344">
        <f ca="1"/>
      </c>
      <c r="EL344">
        <f ca="1"/>
      </c>
      <c r="EM344">
        <f ca="1"/>
      </c>
      <c r="EN344">
        <f ca="1"/>
      </c>
      <c r="EO344">
        <f ca="1"/>
      </c>
      <c r="EP344">
        <f ca="1"/>
      </c>
      <c r="EQ344">
        <f ca="1"/>
      </c>
      <c r="ER344">
        <f ca="1"/>
      </c>
      <c r="ES344">
        <f ca="1"/>
      </c>
      <c r="ET344">
        <f ca="1"/>
      </c>
      <c r="EU344">
        <f ca="1"/>
      </c>
      <c r="EV344">
        <f ca="1"/>
      </c>
      <c r="EW344">
        <f ca="1"/>
      </c>
      <c r="EX344">
        <f ca="1"/>
      </c>
      <c r="EY344">
        <f ca="1"/>
      </c>
      <c r="EZ344">
        <f ca="1"/>
      </c>
      <c r="FA344">
        <f ca="1"/>
      </c>
      <c r="FC344">
        <f ca="1"/>
      </c>
      <c r="FD344">
        <f ca="1"/>
      </c>
      <c r="FE344">
        <f ca="1"/>
      </c>
      <c r="FF344">
        <f ca="1"/>
      </c>
      <c r="FG344">
        <f ca="1"/>
      </c>
      <c r="FH344">
        <f ca="1"/>
      </c>
      <c r="FI344">
        <f ca="1"/>
      </c>
      <c r="FJ344">
        <f ca="1"/>
      </c>
      <c r="FK344">
        <f ca="1"/>
      </c>
      <c r="FL344">
        <f ca="1"/>
      </c>
      <c r="FM344">
        <f ca="1"/>
      </c>
      <c r="FN344">
        <f ca="1"/>
      </c>
      <c r="FO344">
        <f ca="1"/>
      </c>
      <c r="FP344">
        <f ca="1"/>
      </c>
      <c r="FQ344">
        <f ca="1"/>
      </c>
      <c r="FR344">
        <f ca="1"/>
      </c>
      <c r="FS344">
        <f ca="1"/>
      </c>
      <c r="FT344">
        <f ca="1"/>
      </c>
      <c r="FU344">
        <f ca="1"/>
      </c>
      <c r="FV344">
        <f ca="1"/>
      </c>
      <c r="FW344">
        <f ca="1"/>
      </c>
      <c r="FX344">
        <f ca="1"/>
      </c>
      <c r="FY344">
        <f ca="1"/>
      </c>
      <c r="FZ344">
        <f ca="1"/>
      </c>
      <c r="GA344">
        <f ca="1"/>
      </c>
      <c r="GB344">
        <f ca="1"/>
      </c>
      <c r="GC344">
        <f ca="1"/>
      </c>
      <c r="GD344">
        <f ca="1"/>
      </c>
      <c r="GE344">
        <f ca="1"/>
      </c>
      <c r="GF344">
        <f ca="1"/>
      </c>
      <c r="GG344">
        <f ca="1"/>
      </c>
      <c r="GH344">
        <f ca="1"/>
      </c>
      <c r="GI344">
        <f ca="1"/>
      </c>
      <c r="GJ344">
        <f ca="1"/>
      </c>
      <c r="GK344">
        <f ca="1"/>
      </c>
      <c r="GL344">
        <f ca="1"/>
      </c>
      <c r="GM344">
        <f ca="1"/>
      </c>
      <c r="GN344">
        <f ca="1"/>
      </c>
      <c r="GO344">
        <f ca="1"/>
      </c>
      <c r="GP344">
        <f ca="1"/>
      </c>
      <c r="GQ344">
        <f ca="1"/>
      </c>
      <c r="GR344">
        <f ca="1"/>
      </c>
      <c r="GS344">
        <f ca="1"/>
      </c>
      <c r="GT344">
        <f ca="1"/>
      </c>
      <c r="GU344">
        <f ca="1"/>
      </c>
      <c r="GV344">
        <f ca="1"/>
      </c>
      <c r="GW344">
        <f ca="1"/>
      </c>
      <c r="HI344" s="7"/>
    </row>
    <row r="345" spans="63:217" x14ac:dyDescent="0.55000000000000004">
      <c r="BK345">
        <f ca="1"/>
      </c>
      <c r="BL345">
        <f ca="1"/>
      </c>
      <c r="BM345">
        <f ca="1"/>
      </c>
      <c r="BN345">
        <f ca="1"/>
      </c>
      <c r="BO345">
        <f ca="1"/>
      </c>
      <c r="BP345">
        <f ca="1"/>
      </c>
      <c r="BQ345">
        <f ca="1"/>
      </c>
      <c r="BR345">
        <f ca="1"/>
      </c>
      <c r="BS345">
        <f ca="1"/>
      </c>
      <c r="BT345">
        <f ca="1"/>
      </c>
      <c r="BU345">
        <f ca="1"/>
      </c>
      <c r="BV345">
        <f ca="1"/>
      </c>
      <c r="BW345">
        <f ca="1"/>
      </c>
      <c r="BX345">
        <f ca="1"/>
      </c>
      <c r="BY345">
        <f ca="1"/>
      </c>
      <c r="BZ345">
        <f ca="1"/>
      </c>
      <c r="CA345">
        <f ca="1"/>
      </c>
      <c r="CB345">
        <f ca="1"/>
      </c>
      <c r="CC345">
        <f ca="1"/>
      </c>
      <c r="CD345">
        <f ca="1"/>
      </c>
      <c r="CE345">
        <f ca="1"/>
      </c>
      <c r="CF345">
        <f ca="1"/>
      </c>
      <c r="CG345">
        <f ca="1"/>
      </c>
      <c r="CH345">
        <f ca="1"/>
      </c>
      <c r="CI345">
        <f ca="1"/>
      </c>
      <c r="CJ345">
        <f ca="1"/>
      </c>
      <c r="CK345">
        <f ca="1"/>
      </c>
      <c r="CL345">
        <f ca="1"/>
      </c>
      <c r="CM345">
        <f ca="1"/>
      </c>
      <c r="CN345">
        <f ca="1"/>
      </c>
      <c r="CO345">
        <f ca="1"/>
      </c>
      <c r="CP345">
        <f ca="1"/>
      </c>
      <c r="CQ345">
        <f ca="1"/>
      </c>
      <c r="CR345">
        <f ca="1"/>
      </c>
      <c r="CS345">
        <f ca="1"/>
      </c>
      <c r="CT345">
        <f ca="1"/>
      </c>
      <c r="CU345">
        <f ca="1"/>
      </c>
      <c r="CV345">
        <f ca="1"/>
      </c>
      <c r="CW345">
        <f ca="1"/>
      </c>
      <c r="CX345">
        <f ca="1"/>
      </c>
      <c r="CY345">
        <f ca="1"/>
      </c>
      <c r="CZ345">
        <f ca="1"/>
      </c>
      <c r="DA345">
        <f ca="1"/>
      </c>
      <c r="DB345">
        <f ca="1"/>
      </c>
      <c r="DC345">
        <f ca="1"/>
      </c>
      <c r="DD345">
        <f ca="1"/>
      </c>
      <c r="DE345">
        <f ca="1"/>
      </c>
      <c r="DG345">
        <f ca="1"/>
      </c>
      <c r="DH345">
        <f ca="1"/>
      </c>
      <c r="DI345">
        <f ca="1"/>
      </c>
      <c r="DJ345">
        <f ca="1"/>
      </c>
      <c r="DK345">
        <f ca="1"/>
      </c>
      <c r="DL345">
        <f ca="1"/>
      </c>
      <c r="DM345">
        <f ca="1"/>
      </c>
      <c r="DN345">
        <f ca="1"/>
      </c>
      <c r="DO345">
        <f ca="1"/>
      </c>
      <c r="DP345">
        <f ca="1"/>
      </c>
      <c r="DQ345">
        <f ca="1"/>
      </c>
      <c r="DR345">
        <f ca="1"/>
      </c>
      <c r="DS345">
        <f ca="1"/>
      </c>
      <c r="DT345">
        <f ca="1"/>
      </c>
      <c r="DU345">
        <f ca="1"/>
      </c>
      <c r="DV345">
        <f ca="1"/>
      </c>
      <c r="DW345">
        <f ca="1"/>
      </c>
      <c r="DX345">
        <f ca="1"/>
      </c>
      <c r="DY345">
        <f ca="1"/>
      </c>
      <c r="DZ345">
        <f ca="1"/>
      </c>
      <c r="EA345">
        <f ca="1"/>
      </c>
      <c r="EB345">
        <f ca="1"/>
      </c>
      <c r="EC345">
        <f ca="1"/>
      </c>
      <c r="ED345">
        <f ca="1"/>
      </c>
      <c r="EE345">
        <f ca="1"/>
      </c>
      <c r="EF345">
        <f ca="1"/>
      </c>
      <c r="EG345">
        <f ca="1"/>
      </c>
      <c r="EH345">
        <f ca="1"/>
      </c>
      <c r="EI345">
        <f ca="1"/>
      </c>
      <c r="EJ345">
        <f ca="1"/>
      </c>
      <c r="EK345">
        <f ca="1"/>
      </c>
      <c r="EL345">
        <f ca="1"/>
      </c>
      <c r="EM345">
        <f ca="1"/>
      </c>
      <c r="EN345">
        <f ca="1"/>
      </c>
      <c r="EO345">
        <f ca="1"/>
      </c>
      <c r="EP345">
        <f ca="1"/>
      </c>
      <c r="EQ345">
        <f ca="1"/>
      </c>
      <c r="ER345">
        <f ca="1"/>
      </c>
      <c r="ES345">
        <f ca="1"/>
      </c>
      <c r="ET345">
        <f ca="1"/>
      </c>
      <c r="EU345">
        <f ca="1"/>
      </c>
      <c r="EV345">
        <f ca="1"/>
      </c>
      <c r="EW345">
        <f ca="1"/>
      </c>
      <c r="EX345">
        <f ca="1"/>
      </c>
      <c r="EY345">
        <f ca="1"/>
      </c>
      <c r="EZ345">
        <f ca="1"/>
      </c>
      <c r="FA345">
        <f ca="1"/>
      </c>
      <c r="FC345">
        <f ca="1"/>
      </c>
      <c r="FD345">
        <f ca="1"/>
      </c>
      <c r="FE345">
        <f ca="1"/>
      </c>
      <c r="FF345">
        <f ca="1"/>
      </c>
      <c r="FG345">
        <f ca="1"/>
      </c>
      <c r="FH345">
        <f ca="1"/>
      </c>
      <c r="FI345">
        <f ca="1"/>
      </c>
      <c r="FJ345">
        <f ca="1"/>
      </c>
      <c r="FK345">
        <f ca="1"/>
      </c>
      <c r="FL345">
        <f ca="1"/>
      </c>
      <c r="FM345">
        <f ca="1"/>
      </c>
      <c r="FN345">
        <f ca="1"/>
      </c>
      <c r="FO345">
        <f ca="1"/>
      </c>
      <c r="FP345">
        <f ca="1"/>
      </c>
      <c r="FQ345">
        <f ca="1"/>
      </c>
      <c r="FR345">
        <f ca="1"/>
      </c>
      <c r="FS345">
        <f ca="1"/>
      </c>
      <c r="FT345">
        <f ca="1"/>
      </c>
      <c r="FU345">
        <f ca="1"/>
      </c>
      <c r="FV345">
        <f ca="1"/>
      </c>
      <c r="FW345">
        <f ca="1"/>
      </c>
      <c r="FX345">
        <f ca="1"/>
      </c>
      <c r="FY345">
        <f ca="1"/>
      </c>
      <c r="FZ345">
        <f ca="1"/>
      </c>
      <c r="GA345">
        <f ca="1"/>
      </c>
      <c r="GB345">
        <f ca="1"/>
      </c>
      <c r="GC345">
        <f ca="1"/>
      </c>
      <c r="GD345">
        <f ca="1"/>
      </c>
      <c r="GE345">
        <f ca="1"/>
      </c>
      <c r="GF345">
        <f ca="1"/>
      </c>
      <c r="GG345">
        <f ca="1"/>
      </c>
      <c r="GH345">
        <f ca="1"/>
      </c>
      <c r="GI345">
        <f ca="1"/>
      </c>
      <c r="GJ345">
        <f ca="1"/>
      </c>
      <c r="GK345">
        <f ca="1"/>
      </c>
      <c r="GL345">
        <f ca="1"/>
      </c>
      <c r="GM345">
        <f ca="1"/>
      </c>
      <c r="GN345">
        <f ca="1"/>
      </c>
      <c r="GO345">
        <f ca="1"/>
      </c>
      <c r="GP345">
        <f ca="1"/>
      </c>
      <c r="GQ345">
        <f ca="1"/>
      </c>
      <c r="GR345">
        <f ca="1"/>
      </c>
      <c r="GS345">
        <f ca="1"/>
      </c>
      <c r="GT345">
        <f ca="1"/>
      </c>
      <c r="GU345">
        <f ca="1"/>
      </c>
      <c r="GV345">
        <f ca="1"/>
      </c>
      <c r="GW345">
        <f ca="1"/>
      </c>
      <c r="HI345" s="7"/>
    </row>
    <row r="346" spans="63:217" x14ac:dyDescent="0.55000000000000004">
      <c r="BK346">
        <f ca="1"/>
      </c>
      <c r="BL346">
        <f ca="1"/>
      </c>
      <c r="BM346">
        <f ca="1"/>
      </c>
      <c r="BN346">
        <f ca="1"/>
      </c>
      <c r="BO346">
        <f ca="1"/>
      </c>
      <c r="BP346">
        <f ca="1"/>
      </c>
      <c r="BQ346">
        <f ca="1"/>
      </c>
      <c r="BR346">
        <f ca="1"/>
      </c>
      <c r="BS346">
        <f ca="1"/>
      </c>
      <c r="BT346">
        <f ca="1"/>
      </c>
      <c r="BU346">
        <f ca="1"/>
      </c>
      <c r="BV346">
        <f ca="1"/>
      </c>
      <c r="BW346">
        <f ca="1"/>
      </c>
      <c r="BX346">
        <f ca="1"/>
      </c>
      <c r="BY346">
        <f ca="1"/>
      </c>
      <c r="BZ346">
        <f ca="1"/>
      </c>
      <c r="CA346">
        <f ca="1"/>
      </c>
      <c r="CB346">
        <f ca="1"/>
      </c>
      <c r="CC346">
        <f ca="1"/>
      </c>
      <c r="CD346">
        <f ca="1"/>
      </c>
      <c r="CE346">
        <f ca="1"/>
      </c>
      <c r="CF346">
        <f ca="1"/>
      </c>
      <c r="CG346">
        <f ca="1"/>
      </c>
      <c r="CH346">
        <f ca="1"/>
      </c>
      <c r="CI346">
        <f ca="1"/>
      </c>
      <c r="CJ346">
        <f ca="1"/>
      </c>
      <c r="CK346">
        <f ca="1"/>
      </c>
      <c r="CL346">
        <f ca="1"/>
      </c>
      <c r="CM346">
        <f ca="1"/>
      </c>
      <c r="CN346">
        <f ca="1"/>
      </c>
      <c r="CO346">
        <f ca="1"/>
      </c>
      <c r="CP346">
        <f ca="1"/>
      </c>
      <c r="CQ346">
        <f ca="1"/>
      </c>
      <c r="CR346">
        <f ca="1"/>
      </c>
      <c r="CS346">
        <f ca="1"/>
      </c>
      <c r="CT346">
        <f ca="1"/>
      </c>
      <c r="CU346">
        <f ca="1"/>
      </c>
      <c r="CV346">
        <f ca="1"/>
      </c>
      <c r="CW346">
        <f ca="1"/>
      </c>
      <c r="CX346">
        <f ca="1"/>
      </c>
      <c r="CY346">
        <f ca="1"/>
      </c>
      <c r="CZ346">
        <f ca="1"/>
      </c>
      <c r="DA346">
        <f ca="1"/>
      </c>
      <c r="DB346">
        <f ca="1"/>
      </c>
      <c r="DC346">
        <f ca="1"/>
      </c>
      <c r="DD346">
        <f ca="1"/>
      </c>
      <c r="DE346">
        <f ca="1"/>
      </c>
      <c r="DG346">
        <f ca="1"/>
      </c>
      <c r="DH346">
        <f ca="1"/>
      </c>
      <c r="DI346">
        <f ca="1"/>
      </c>
      <c r="DJ346">
        <f ca="1"/>
      </c>
      <c r="DK346">
        <f ca="1"/>
      </c>
      <c r="DL346">
        <f ca="1"/>
      </c>
      <c r="DM346">
        <f ca="1"/>
      </c>
      <c r="DN346">
        <f ca="1"/>
      </c>
      <c r="DO346">
        <f ca="1"/>
      </c>
      <c r="DP346">
        <f ca="1"/>
      </c>
      <c r="DQ346">
        <f ca="1"/>
      </c>
      <c r="DR346">
        <f ca="1"/>
      </c>
      <c r="DS346">
        <f ca="1"/>
      </c>
      <c r="DT346">
        <f ca="1"/>
      </c>
      <c r="DU346">
        <f ca="1"/>
      </c>
      <c r="DV346">
        <f ca="1"/>
      </c>
      <c r="DW346">
        <f ca="1"/>
      </c>
      <c r="DX346">
        <f ca="1"/>
      </c>
      <c r="DY346">
        <f ca="1"/>
      </c>
      <c r="DZ346">
        <f ca="1"/>
      </c>
      <c r="EA346">
        <f ca="1"/>
      </c>
      <c r="EB346">
        <f ca="1"/>
      </c>
      <c r="EC346">
        <f ca="1"/>
      </c>
      <c r="ED346">
        <f ca="1"/>
      </c>
      <c r="EE346">
        <f ca="1"/>
      </c>
      <c r="EF346">
        <f ca="1"/>
      </c>
      <c r="EG346">
        <f ca="1"/>
      </c>
      <c r="EH346">
        <f ca="1"/>
      </c>
      <c r="EI346">
        <f ca="1"/>
      </c>
      <c r="EJ346">
        <f ca="1"/>
      </c>
      <c r="EK346">
        <f ca="1"/>
      </c>
      <c r="EL346">
        <f ca="1"/>
      </c>
      <c r="EM346">
        <f ca="1"/>
      </c>
      <c r="EN346">
        <f ca="1"/>
      </c>
      <c r="EO346">
        <f ca="1"/>
      </c>
      <c r="EP346">
        <f ca="1"/>
      </c>
      <c r="EQ346">
        <f ca="1"/>
      </c>
      <c r="ER346">
        <f ca="1"/>
      </c>
      <c r="ES346">
        <f ca="1"/>
      </c>
      <c r="ET346">
        <f ca="1"/>
      </c>
      <c r="EU346">
        <f ca="1"/>
      </c>
      <c r="EV346">
        <f ca="1"/>
      </c>
      <c r="EW346">
        <f ca="1"/>
      </c>
      <c r="EX346">
        <f ca="1"/>
      </c>
      <c r="EY346">
        <f ca="1"/>
      </c>
      <c r="EZ346">
        <f ca="1"/>
      </c>
      <c r="FA346">
        <f ca="1"/>
      </c>
      <c r="FC346">
        <f ca="1"/>
      </c>
      <c r="FD346">
        <f ca="1"/>
      </c>
      <c r="FE346">
        <f ca="1"/>
      </c>
      <c r="FF346">
        <f ca="1"/>
      </c>
      <c r="FG346">
        <f ca="1"/>
      </c>
      <c r="FH346">
        <f ca="1"/>
      </c>
      <c r="FI346">
        <f ca="1"/>
      </c>
      <c r="FJ346">
        <f ca="1"/>
      </c>
      <c r="FK346">
        <f ca="1"/>
      </c>
      <c r="FL346">
        <f ca="1"/>
      </c>
      <c r="FM346">
        <f ca="1"/>
      </c>
      <c r="FN346">
        <f ca="1"/>
      </c>
      <c r="FO346">
        <f ca="1"/>
      </c>
      <c r="FP346">
        <f ca="1"/>
      </c>
      <c r="FQ346">
        <f ca="1"/>
      </c>
      <c r="FR346">
        <f ca="1"/>
      </c>
      <c r="FS346">
        <f ca="1"/>
      </c>
      <c r="FT346">
        <f ca="1"/>
      </c>
      <c r="FU346">
        <f ca="1"/>
      </c>
      <c r="FV346">
        <f ca="1"/>
      </c>
      <c r="FW346">
        <f ca="1"/>
      </c>
      <c r="FX346">
        <f ca="1"/>
      </c>
      <c r="FY346">
        <f ca="1"/>
      </c>
      <c r="FZ346">
        <f ca="1"/>
      </c>
      <c r="GA346">
        <f ca="1"/>
      </c>
      <c r="GB346">
        <f ca="1"/>
      </c>
      <c r="GC346">
        <f ca="1"/>
      </c>
      <c r="GD346">
        <f ca="1"/>
      </c>
      <c r="GE346">
        <f ca="1"/>
      </c>
      <c r="GF346">
        <f ca="1"/>
      </c>
      <c r="GG346">
        <f ca="1"/>
      </c>
      <c r="GH346">
        <f ca="1"/>
      </c>
      <c r="GI346">
        <f ca="1"/>
      </c>
      <c r="GJ346">
        <f ca="1"/>
      </c>
      <c r="GK346">
        <f ca="1"/>
      </c>
      <c r="GL346">
        <f ca="1"/>
      </c>
      <c r="GM346">
        <f ca="1"/>
      </c>
      <c r="GN346">
        <f ca="1"/>
      </c>
      <c r="GO346">
        <f ca="1"/>
      </c>
      <c r="GP346">
        <f ca="1"/>
      </c>
      <c r="GQ346">
        <f ca="1"/>
      </c>
      <c r="GR346">
        <f ca="1"/>
      </c>
      <c r="GS346">
        <f ca="1"/>
      </c>
      <c r="GT346">
        <f ca="1"/>
      </c>
      <c r="GU346">
        <f ca="1"/>
      </c>
      <c r="GV346">
        <f ca="1"/>
      </c>
      <c r="GW346">
        <f ca="1"/>
      </c>
      <c r="HI346" s="7"/>
    </row>
    <row r="347" spans="63:217" x14ac:dyDescent="0.55000000000000004">
      <c r="BK347">
        <f ca="1"/>
      </c>
      <c r="BL347">
        <f ca="1"/>
      </c>
      <c r="BM347">
        <f ca="1"/>
      </c>
      <c r="BN347">
        <f ca="1"/>
      </c>
      <c r="BO347">
        <f ca="1"/>
      </c>
      <c r="BP347">
        <f ca="1"/>
      </c>
      <c r="BQ347">
        <f ca="1"/>
      </c>
      <c r="BR347">
        <f ca="1"/>
      </c>
      <c r="BS347">
        <f ca="1"/>
      </c>
      <c r="BT347">
        <f ca="1"/>
      </c>
      <c r="BU347">
        <f ca="1"/>
      </c>
      <c r="BV347">
        <f ca="1"/>
      </c>
      <c r="BW347">
        <f ca="1"/>
      </c>
      <c r="BX347">
        <f ca="1"/>
      </c>
      <c r="BY347">
        <f ca="1"/>
      </c>
      <c r="BZ347">
        <f ca="1"/>
      </c>
      <c r="CA347">
        <f ca="1"/>
      </c>
      <c r="CB347">
        <f ca="1"/>
      </c>
      <c r="CC347">
        <f ca="1"/>
      </c>
      <c r="CD347">
        <f ca="1"/>
      </c>
      <c r="CE347">
        <f ca="1"/>
      </c>
      <c r="CF347">
        <f ca="1"/>
      </c>
      <c r="CG347">
        <f ca="1"/>
      </c>
      <c r="CH347">
        <f ca="1"/>
      </c>
      <c r="CI347">
        <f ca="1"/>
      </c>
      <c r="CJ347">
        <f ca="1"/>
      </c>
      <c r="CK347">
        <f ca="1"/>
      </c>
      <c r="CL347">
        <f ca="1"/>
      </c>
      <c r="CM347">
        <f ca="1"/>
      </c>
      <c r="CN347">
        <f ca="1"/>
      </c>
      <c r="CO347">
        <f ca="1"/>
      </c>
      <c r="CP347">
        <f ca="1"/>
      </c>
      <c r="CQ347">
        <f ca="1"/>
      </c>
      <c r="CR347">
        <f ca="1"/>
      </c>
      <c r="CS347">
        <f ca="1"/>
      </c>
      <c r="CT347">
        <f ca="1"/>
      </c>
      <c r="CU347">
        <f ca="1"/>
      </c>
      <c r="CV347">
        <f ca="1"/>
      </c>
      <c r="CW347">
        <f ca="1"/>
      </c>
      <c r="CX347">
        <f ca="1"/>
      </c>
      <c r="CY347">
        <f ca="1"/>
      </c>
      <c r="CZ347">
        <f ca="1"/>
      </c>
      <c r="DA347">
        <f ca="1"/>
      </c>
      <c r="DB347">
        <f ca="1"/>
      </c>
      <c r="DC347">
        <f ca="1"/>
      </c>
      <c r="DD347">
        <f ca="1"/>
      </c>
      <c r="DE347">
        <f ca="1"/>
      </c>
      <c r="DG347">
        <f ca="1"/>
      </c>
      <c r="DH347">
        <f ca="1"/>
      </c>
      <c r="DI347">
        <f ca="1"/>
      </c>
      <c r="DJ347">
        <f ca="1"/>
      </c>
      <c r="DK347">
        <f ca="1"/>
      </c>
      <c r="DL347">
        <f ca="1"/>
      </c>
      <c r="DM347">
        <f ca="1"/>
      </c>
      <c r="DN347">
        <f ca="1"/>
      </c>
      <c r="DO347">
        <f ca="1"/>
      </c>
      <c r="DP347">
        <f ca="1"/>
      </c>
      <c r="DQ347">
        <f ca="1"/>
      </c>
      <c r="DR347">
        <f ca="1"/>
      </c>
      <c r="DS347">
        <f ca="1"/>
      </c>
      <c r="DT347">
        <f ca="1"/>
      </c>
      <c r="DU347">
        <f ca="1"/>
      </c>
      <c r="DV347">
        <f ca="1"/>
      </c>
      <c r="DW347">
        <f ca="1"/>
      </c>
      <c r="DX347">
        <f ca="1"/>
      </c>
      <c r="DY347">
        <f ca="1"/>
      </c>
      <c r="DZ347">
        <f ca="1"/>
      </c>
      <c r="EA347">
        <f ca="1"/>
      </c>
      <c r="EB347">
        <f ca="1"/>
      </c>
      <c r="EC347">
        <f ca="1"/>
      </c>
      <c r="ED347">
        <f ca="1"/>
      </c>
      <c r="EE347">
        <f ca="1"/>
      </c>
      <c r="EF347">
        <f ca="1"/>
      </c>
      <c r="EG347">
        <f ca="1"/>
      </c>
      <c r="EH347">
        <f ca="1"/>
      </c>
      <c r="EI347">
        <f ca="1"/>
      </c>
      <c r="EJ347">
        <f ca="1"/>
      </c>
      <c r="EK347">
        <f ca="1"/>
      </c>
      <c r="EL347">
        <f ca="1"/>
      </c>
      <c r="EM347">
        <f ca="1"/>
      </c>
      <c r="EN347">
        <f ca="1"/>
      </c>
      <c r="EO347">
        <f ca="1"/>
      </c>
      <c r="EP347">
        <f ca="1"/>
      </c>
      <c r="EQ347">
        <f ca="1"/>
      </c>
      <c r="ER347">
        <f ca="1"/>
      </c>
      <c r="ES347">
        <f ca="1"/>
      </c>
      <c r="ET347">
        <f ca="1"/>
      </c>
      <c r="EU347">
        <f ca="1"/>
      </c>
      <c r="EV347">
        <f ca="1"/>
      </c>
      <c r="EW347">
        <f ca="1"/>
      </c>
      <c r="EX347">
        <f ca="1"/>
      </c>
      <c r="EY347">
        <f ca="1"/>
      </c>
      <c r="EZ347">
        <f ca="1"/>
      </c>
      <c r="FA347">
        <f ca="1"/>
      </c>
      <c r="FC347">
        <f ca="1"/>
      </c>
      <c r="FD347">
        <f ca="1"/>
      </c>
      <c r="FE347">
        <f ca="1"/>
      </c>
      <c r="FF347">
        <f ca="1"/>
      </c>
      <c r="FG347">
        <f ca="1"/>
      </c>
      <c r="FH347">
        <f ca="1"/>
      </c>
      <c r="FI347">
        <f ca="1"/>
      </c>
      <c r="FJ347">
        <f ca="1"/>
      </c>
      <c r="FK347">
        <f ca="1"/>
      </c>
      <c r="FL347">
        <f ca="1"/>
      </c>
      <c r="FM347">
        <f ca="1"/>
      </c>
      <c r="FN347">
        <f ca="1"/>
      </c>
      <c r="FO347">
        <f ca="1"/>
      </c>
      <c r="FP347">
        <f ca="1"/>
      </c>
      <c r="FQ347">
        <f ca="1"/>
      </c>
      <c r="FR347">
        <f ca="1"/>
      </c>
      <c r="FS347">
        <f ca="1"/>
      </c>
      <c r="FT347">
        <f ca="1"/>
      </c>
      <c r="FU347">
        <f ca="1"/>
      </c>
      <c r="FV347">
        <f ca="1"/>
      </c>
      <c r="FW347">
        <f ca="1"/>
      </c>
      <c r="FX347">
        <f ca="1"/>
      </c>
      <c r="FY347">
        <f ca="1"/>
      </c>
      <c r="FZ347">
        <f ca="1"/>
      </c>
      <c r="GA347">
        <f ca="1"/>
      </c>
      <c r="GB347">
        <f ca="1"/>
      </c>
      <c r="GC347">
        <f ca="1"/>
      </c>
      <c r="GD347">
        <f ca="1"/>
      </c>
      <c r="GE347">
        <f ca="1"/>
      </c>
      <c r="GF347">
        <f ca="1"/>
      </c>
      <c r="GG347">
        <f ca="1"/>
      </c>
      <c r="GH347">
        <f ca="1"/>
      </c>
      <c r="GI347">
        <f ca="1"/>
      </c>
      <c r="GJ347">
        <f ca="1"/>
      </c>
      <c r="GK347">
        <f ca="1"/>
      </c>
      <c r="GL347">
        <f ca="1"/>
      </c>
      <c r="GM347">
        <f ca="1"/>
      </c>
      <c r="GN347">
        <f ca="1"/>
      </c>
      <c r="GO347">
        <f ca="1"/>
      </c>
      <c r="GP347">
        <f ca="1"/>
      </c>
      <c r="GQ347">
        <f ca="1"/>
      </c>
      <c r="GR347">
        <f ca="1"/>
      </c>
      <c r="GS347">
        <f ca="1"/>
      </c>
      <c r="GT347">
        <f ca="1"/>
      </c>
      <c r="GU347">
        <f ca="1"/>
      </c>
      <c r="GV347">
        <f ca="1"/>
      </c>
      <c r="GW347">
        <f ca="1"/>
      </c>
      <c r="HI347" s="7"/>
    </row>
    <row r="348" spans="63:217" x14ac:dyDescent="0.55000000000000004">
      <c r="BK348">
        <f ca="1"/>
      </c>
      <c r="BL348">
        <f ca="1"/>
      </c>
      <c r="BM348">
        <f ca="1"/>
      </c>
      <c r="BN348">
        <f ca="1"/>
      </c>
      <c r="BO348">
        <f ca="1"/>
      </c>
      <c r="BP348">
        <f ca="1"/>
      </c>
      <c r="BQ348">
        <f ca="1"/>
      </c>
      <c r="BR348">
        <f ca="1"/>
      </c>
      <c r="BS348">
        <f ca="1"/>
      </c>
      <c r="BT348">
        <f ca="1"/>
      </c>
      <c r="BU348">
        <f ca="1"/>
      </c>
      <c r="BV348">
        <f ca="1"/>
      </c>
      <c r="BW348">
        <f ca="1"/>
      </c>
      <c r="BX348">
        <f ca="1"/>
      </c>
      <c r="BY348">
        <f ca="1"/>
      </c>
      <c r="BZ348">
        <f ca="1"/>
      </c>
      <c r="CA348">
        <f ca="1"/>
      </c>
      <c r="CB348">
        <f ca="1"/>
      </c>
      <c r="CC348">
        <f ca="1"/>
      </c>
      <c r="CD348">
        <f ca="1"/>
      </c>
      <c r="CE348">
        <f ca="1"/>
      </c>
      <c r="CF348">
        <f ca="1"/>
      </c>
      <c r="CG348">
        <f ca="1"/>
      </c>
      <c r="CH348">
        <f ca="1"/>
      </c>
      <c r="CI348">
        <f ca="1"/>
      </c>
      <c r="CJ348">
        <f ca="1"/>
      </c>
      <c r="CK348">
        <f ca="1"/>
      </c>
      <c r="CL348">
        <f ca="1"/>
      </c>
      <c r="CM348">
        <f ca="1"/>
      </c>
      <c r="CN348">
        <f ca="1"/>
      </c>
      <c r="CO348">
        <f ca="1"/>
      </c>
      <c r="CP348">
        <f ca="1"/>
      </c>
      <c r="CQ348">
        <f ca="1"/>
      </c>
      <c r="CR348">
        <f ca="1"/>
      </c>
      <c r="CS348">
        <f ca="1"/>
      </c>
      <c r="CT348">
        <f ca="1"/>
      </c>
      <c r="CU348">
        <f ca="1"/>
      </c>
      <c r="CV348">
        <f ca="1"/>
      </c>
      <c r="CW348">
        <f ca="1"/>
      </c>
      <c r="CX348">
        <f ca="1"/>
      </c>
      <c r="CY348">
        <f ca="1"/>
      </c>
      <c r="CZ348">
        <f ca="1"/>
      </c>
      <c r="DA348">
        <f ca="1"/>
      </c>
      <c r="DB348">
        <f ca="1"/>
      </c>
      <c r="DC348">
        <f ca="1"/>
      </c>
      <c r="DD348">
        <f ca="1"/>
      </c>
      <c r="DE348">
        <f ca="1"/>
      </c>
      <c r="DG348">
        <f ca="1"/>
      </c>
      <c r="DH348">
        <f ca="1"/>
      </c>
      <c r="DI348">
        <f ca="1"/>
      </c>
      <c r="DJ348">
        <f ca="1"/>
      </c>
      <c r="DK348">
        <f ca="1"/>
      </c>
      <c r="DL348">
        <f ca="1"/>
      </c>
      <c r="DM348">
        <f ca="1"/>
      </c>
      <c r="DN348">
        <f ca="1"/>
      </c>
      <c r="DO348">
        <f ca="1"/>
      </c>
      <c r="DP348">
        <f ca="1"/>
      </c>
      <c r="DQ348">
        <f ca="1"/>
      </c>
      <c r="DR348">
        <f ca="1"/>
      </c>
      <c r="DS348">
        <f ca="1"/>
      </c>
      <c r="DT348">
        <f ca="1"/>
      </c>
      <c r="DU348">
        <f ca="1"/>
      </c>
      <c r="DV348">
        <f ca="1"/>
      </c>
      <c r="DW348">
        <f ca="1"/>
      </c>
      <c r="DX348">
        <f ca="1"/>
      </c>
      <c r="DY348">
        <f ca="1"/>
      </c>
      <c r="DZ348">
        <f ca="1"/>
      </c>
      <c r="EA348">
        <f ca="1"/>
      </c>
      <c r="EB348">
        <f ca="1"/>
      </c>
      <c r="EC348">
        <f ca="1"/>
      </c>
      <c r="ED348">
        <f ca="1"/>
      </c>
      <c r="EE348">
        <f ca="1"/>
      </c>
      <c r="EF348">
        <f ca="1"/>
      </c>
      <c r="EG348">
        <f ca="1"/>
      </c>
      <c r="EH348">
        <f ca="1"/>
      </c>
      <c r="EI348">
        <f ca="1"/>
      </c>
      <c r="EJ348">
        <f ca="1"/>
      </c>
      <c r="EK348">
        <f ca="1"/>
      </c>
      <c r="EL348">
        <f ca="1"/>
      </c>
      <c r="EM348">
        <f ca="1"/>
      </c>
      <c r="EN348">
        <f ca="1"/>
      </c>
      <c r="EO348">
        <f ca="1"/>
      </c>
      <c r="EP348">
        <f ca="1"/>
      </c>
      <c r="EQ348">
        <f ca="1"/>
      </c>
      <c r="ER348">
        <f ca="1"/>
      </c>
      <c r="ES348">
        <f ca="1"/>
      </c>
      <c r="ET348">
        <f ca="1"/>
      </c>
      <c r="EU348">
        <f ca="1"/>
      </c>
      <c r="EV348">
        <f ca="1"/>
      </c>
      <c r="EW348">
        <f ca="1"/>
      </c>
      <c r="EX348">
        <f ca="1"/>
      </c>
      <c r="EY348">
        <f ca="1"/>
      </c>
      <c r="EZ348">
        <f ca="1"/>
      </c>
      <c r="FA348">
        <f ca="1"/>
      </c>
      <c r="FC348">
        <f ca="1"/>
      </c>
      <c r="FD348">
        <f ca="1"/>
      </c>
      <c r="FE348">
        <f ca="1"/>
      </c>
      <c r="FF348">
        <f ca="1"/>
      </c>
      <c r="FG348">
        <f ca="1"/>
      </c>
      <c r="FH348">
        <f ca="1"/>
      </c>
      <c r="FI348">
        <f ca="1"/>
      </c>
      <c r="FJ348">
        <f ca="1"/>
      </c>
      <c r="FK348">
        <f ca="1"/>
      </c>
      <c r="FL348">
        <f ca="1"/>
      </c>
      <c r="FM348">
        <f ca="1"/>
      </c>
      <c r="FN348">
        <f ca="1"/>
      </c>
      <c r="FO348">
        <f ca="1"/>
      </c>
      <c r="FP348">
        <f ca="1"/>
      </c>
      <c r="FQ348">
        <f ca="1"/>
      </c>
      <c r="FR348">
        <f ca="1"/>
      </c>
      <c r="FS348">
        <f ca="1"/>
      </c>
      <c r="FT348">
        <f ca="1"/>
      </c>
      <c r="FU348">
        <f ca="1"/>
      </c>
      <c r="FV348">
        <f ca="1"/>
      </c>
      <c r="FW348">
        <f ca="1"/>
      </c>
      <c r="FX348">
        <f ca="1"/>
      </c>
      <c r="FY348">
        <f ca="1"/>
      </c>
      <c r="FZ348">
        <f ca="1"/>
      </c>
      <c r="GA348">
        <f ca="1"/>
      </c>
      <c r="GB348">
        <f ca="1"/>
      </c>
      <c r="GC348">
        <f ca="1"/>
      </c>
      <c r="GD348">
        <f ca="1"/>
      </c>
      <c r="GE348">
        <f ca="1"/>
      </c>
      <c r="GF348">
        <f ca="1"/>
      </c>
      <c r="GG348">
        <f ca="1"/>
      </c>
      <c r="GH348">
        <f ca="1"/>
      </c>
      <c r="GI348">
        <f ca="1"/>
      </c>
      <c r="GJ348">
        <f ca="1"/>
      </c>
      <c r="GK348">
        <f ca="1"/>
      </c>
      <c r="GL348">
        <f ca="1"/>
      </c>
      <c r="GM348">
        <f ca="1"/>
      </c>
      <c r="GN348">
        <f ca="1"/>
      </c>
      <c r="GO348">
        <f ca="1"/>
      </c>
      <c r="GP348">
        <f ca="1"/>
      </c>
      <c r="GQ348">
        <f ca="1"/>
      </c>
      <c r="GR348">
        <f ca="1"/>
      </c>
      <c r="GS348">
        <f ca="1"/>
      </c>
      <c r="GT348">
        <f ca="1"/>
      </c>
      <c r="GU348">
        <f ca="1"/>
      </c>
      <c r="GV348">
        <f ca="1"/>
      </c>
      <c r="GW348">
        <f ca="1"/>
      </c>
      <c r="HI348" s="7"/>
    </row>
    <row r="349" spans="63:217" x14ac:dyDescent="0.55000000000000004">
      <c r="BK349">
        <f ca="1"/>
      </c>
      <c r="BL349">
        <f ca="1"/>
      </c>
      <c r="BM349">
        <f ca="1"/>
      </c>
      <c r="BN349">
        <f ca="1"/>
      </c>
      <c r="BO349">
        <f ca="1"/>
      </c>
      <c r="BP349">
        <f ca="1"/>
      </c>
      <c r="BQ349">
        <f ca="1"/>
      </c>
      <c r="BR349">
        <f ca="1"/>
      </c>
      <c r="BS349">
        <f ca="1"/>
      </c>
      <c r="BT349">
        <f ca="1"/>
      </c>
      <c r="BU349">
        <f ca="1"/>
      </c>
      <c r="BV349">
        <f ca="1"/>
      </c>
      <c r="BW349">
        <f ca="1"/>
      </c>
      <c r="BX349">
        <f ca="1"/>
      </c>
      <c r="BY349">
        <f ca="1"/>
      </c>
      <c r="BZ349">
        <f ca="1"/>
      </c>
      <c r="CA349">
        <f ca="1"/>
      </c>
      <c r="CB349">
        <f ca="1"/>
      </c>
      <c r="CC349">
        <f ca="1"/>
      </c>
      <c r="CD349">
        <f ca="1"/>
      </c>
      <c r="CE349">
        <f ca="1"/>
      </c>
      <c r="CF349">
        <f ca="1"/>
      </c>
      <c r="CG349">
        <f ca="1"/>
      </c>
      <c r="CH349">
        <f ca="1"/>
      </c>
      <c r="CI349">
        <f ca="1"/>
      </c>
      <c r="CJ349">
        <f ca="1"/>
      </c>
      <c r="CK349">
        <f ca="1"/>
      </c>
      <c r="CL349">
        <f ca="1"/>
      </c>
      <c r="CM349">
        <f ca="1"/>
      </c>
      <c r="CN349">
        <f ca="1"/>
      </c>
      <c r="CO349">
        <f ca="1"/>
      </c>
      <c r="CP349">
        <f ca="1"/>
      </c>
      <c r="CQ349">
        <f ca="1"/>
      </c>
      <c r="CR349">
        <f ca="1"/>
      </c>
      <c r="CS349">
        <f ca="1"/>
      </c>
      <c r="CT349">
        <f ca="1"/>
      </c>
      <c r="CU349">
        <f ca="1"/>
      </c>
      <c r="CV349">
        <f ca="1"/>
      </c>
      <c r="CW349">
        <f ca="1"/>
      </c>
      <c r="CX349">
        <f ca="1"/>
      </c>
      <c r="CY349">
        <f ca="1"/>
      </c>
      <c r="CZ349">
        <f ca="1"/>
      </c>
      <c r="DA349">
        <f ca="1"/>
      </c>
      <c r="DB349">
        <f ca="1"/>
      </c>
      <c r="DC349">
        <f ca="1"/>
      </c>
      <c r="DD349">
        <f ca="1"/>
      </c>
      <c r="DE349">
        <f ca="1"/>
      </c>
      <c r="DG349">
        <f ca="1"/>
      </c>
      <c r="DH349">
        <f ca="1"/>
      </c>
      <c r="DI349">
        <f ca="1"/>
      </c>
      <c r="DJ349">
        <f ca="1"/>
      </c>
      <c r="DK349">
        <f ca="1"/>
      </c>
      <c r="DL349">
        <f ca="1"/>
      </c>
      <c r="DM349">
        <f ca="1"/>
      </c>
      <c r="DN349">
        <f ca="1"/>
      </c>
      <c r="DO349">
        <f ca="1"/>
      </c>
      <c r="DP349">
        <f ca="1"/>
      </c>
      <c r="DQ349">
        <f ca="1"/>
      </c>
      <c r="DR349">
        <f ca="1"/>
      </c>
      <c r="DS349">
        <f ca="1"/>
      </c>
      <c r="DT349">
        <f ca="1"/>
      </c>
      <c r="DU349">
        <f ca="1"/>
      </c>
      <c r="DV349">
        <f ca="1"/>
      </c>
      <c r="DW349">
        <f ca="1"/>
      </c>
      <c r="DX349">
        <f ca="1"/>
      </c>
      <c r="DY349">
        <f ca="1"/>
      </c>
      <c r="DZ349">
        <f ca="1"/>
      </c>
      <c r="EA349">
        <f ca="1"/>
      </c>
      <c r="EB349">
        <f ca="1"/>
      </c>
      <c r="EC349">
        <f ca="1"/>
      </c>
      <c r="ED349">
        <f ca="1"/>
      </c>
      <c r="EE349">
        <f ca="1"/>
      </c>
      <c r="EF349">
        <f ca="1"/>
      </c>
      <c r="EG349">
        <f ca="1"/>
      </c>
      <c r="EH349">
        <f ca="1"/>
      </c>
      <c r="EI349">
        <f ca="1"/>
      </c>
      <c r="EJ349">
        <f ca="1"/>
      </c>
      <c r="EK349">
        <f ca="1"/>
      </c>
      <c r="EL349">
        <f ca="1"/>
      </c>
      <c r="EM349">
        <f ca="1"/>
      </c>
      <c r="EN349">
        <f ca="1"/>
      </c>
      <c r="EO349">
        <f ca="1"/>
      </c>
      <c r="EP349">
        <f ca="1"/>
      </c>
      <c r="EQ349">
        <f ca="1"/>
      </c>
      <c r="ER349">
        <f ca="1"/>
      </c>
      <c r="ES349">
        <f ca="1"/>
      </c>
      <c r="ET349">
        <f ca="1"/>
      </c>
      <c r="EU349">
        <f ca="1"/>
      </c>
      <c r="EV349">
        <f ca="1"/>
      </c>
      <c r="EW349">
        <f ca="1"/>
      </c>
      <c r="EX349">
        <f ca="1"/>
      </c>
      <c r="EY349">
        <f ca="1"/>
      </c>
      <c r="EZ349">
        <f ca="1"/>
      </c>
      <c r="FA349">
        <f ca="1"/>
      </c>
      <c r="FC349">
        <f ca="1"/>
      </c>
      <c r="FD349">
        <f ca="1"/>
      </c>
      <c r="FE349">
        <f ca="1"/>
      </c>
      <c r="FF349">
        <f ca="1"/>
      </c>
      <c r="FG349">
        <f ca="1"/>
      </c>
      <c r="FH349">
        <f ca="1"/>
      </c>
      <c r="FI349">
        <f ca="1"/>
      </c>
      <c r="FJ349">
        <f ca="1"/>
      </c>
      <c r="FK349">
        <f ca="1"/>
      </c>
      <c r="FL349">
        <f ca="1"/>
      </c>
      <c r="FM349">
        <f ca="1"/>
      </c>
      <c r="FN349">
        <f ca="1"/>
      </c>
      <c r="FO349">
        <f ca="1"/>
      </c>
      <c r="FP349">
        <f ca="1"/>
      </c>
      <c r="FQ349">
        <f ca="1"/>
      </c>
      <c r="FR349">
        <f ca="1"/>
      </c>
      <c r="FS349">
        <f ca="1"/>
      </c>
      <c r="FT349">
        <f ca="1"/>
      </c>
      <c r="FU349">
        <f ca="1"/>
      </c>
      <c r="FV349">
        <f ca="1"/>
      </c>
      <c r="FW349">
        <f ca="1"/>
      </c>
      <c r="FX349">
        <f ca="1"/>
      </c>
      <c r="FY349">
        <f ca="1"/>
      </c>
      <c r="FZ349">
        <f ca="1"/>
      </c>
      <c r="GA349">
        <f ca="1"/>
      </c>
      <c r="GB349">
        <f ca="1"/>
      </c>
      <c r="GC349">
        <f ca="1"/>
      </c>
      <c r="GD349">
        <f ca="1"/>
      </c>
      <c r="GE349">
        <f ca="1"/>
      </c>
      <c r="GF349">
        <f ca="1"/>
      </c>
      <c r="GG349">
        <f ca="1"/>
      </c>
      <c r="GH349">
        <f ca="1"/>
      </c>
      <c r="GI349">
        <f ca="1"/>
      </c>
      <c r="GJ349">
        <f ca="1"/>
      </c>
      <c r="GK349">
        <f ca="1"/>
      </c>
      <c r="GL349">
        <f ca="1"/>
      </c>
      <c r="GM349">
        <f ca="1"/>
      </c>
      <c r="GN349">
        <f ca="1"/>
      </c>
      <c r="GO349">
        <f ca="1"/>
      </c>
      <c r="GP349">
        <f ca="1"/>
      </c>
      <c r="GQ349">
        <f ca="1"/>
      </c>
      <c r="GR349">
        <f ca="1"/>
      </c>
      <c r="GS349">
        <f ca="1"/>
      </c>
      <c r="GT349">
        <f ca="1"/>
      </c>
      <c r="GU349">
        <f ca="1"/>
      </c>
      <c r="GV349">
        <f ca="1"/>
      </c>
      <c r="GW349">
        <f ca="1"/>
      </c>
      <c r="HI349" s="7"/>
    </row>
    <row r="350" spans="63:217" x14ac:dyDescent="0.55000000000000004">
      <c r="BK350">
        <f ca="1"/>
      </c>
      <c r="BL350">
        <f ca="1"/>
      </c>
      <c r="BM350">
        <f ca="1"/>
      </c>
      <c r="BN350">
        <f ca="1"/>
      </c>
      <c r="BO350">
        <f ca="1"/>
      </c>
      <c r="BP350">
        <f ca="1"/>
      </c>
      <c r="BQ350">
        <f ca="1"/>
      </c>
      <c r="BR350">
        <f ca="1"/>
      </c>
      <c r="BS350">
        <f ca="1"/>
      </c>
      <c r="BT350">
        <f ca="1"/>
      </c>
      <c r="BU350">
        <f ca="1"/>
      </c>
      <c r="BV350">
        <f ca="1"/>
      </c>
      <c r="BW350">
        <f ca="1"/>
      </c>
      <c r="BX350">
        <f ca="1"/>
      </c>
      <c r="BY350">
        <f ca="1"/>
      </c>
      <c r="BZ350">
        <f ca="1"/>
      </c>
      <c r="CA350">
        <f ca="1"/>
      </c>
      <c r="CB350">
        <f ca="1"/>
      </c>
      <c r="CC350">
        <f ca="1"/>
      </c>
      <c r="CD350">
        <f ca="1"/>
      </c>
      <c r="CE350">
        <f ca="1"/>
      </c>
      <c r="CF350">
        <f ca="1"/>
      </c>
      <c r="CG350">
        <f ca="1"/>
      </c>
      <c r="CH350">
        <f ca="1"/>
      </c>
      <c r="CI350">
        <f ca="1"/>
      </c>
      <c r="CJ350">
        <f ca="1"/>
      </c>
      <c r="CK350">
        <f ca="1"/>
      </c>
      <c r="CL350">
        <f ca="1"/>
      </c>
      <c r="CM350">
        <f ca="1"/>
      </c>
      <c r="CN350">
        <f ca="1"/>
      </c>
      <c r="CO350">
        <f ca="1"/>
      </c>
      <c r="CP350">
        <f ca="1"/>
      </c>
      <c r="CQ350">
        <f ca="1"/>
      </c>
      <c r="CR350">
        <f ca="1"/>
      </c>
      <c r="CS350">
        <f ca="1"/>
      </c>
      <c r="CT350">
        <f ca="1"/>
      </c>
      <c r="CU350">
        <f ca="1"/>
      </c>
      <c r="CV350">
        <f ca="1"/>
      </c>
      <c r="CW350">
        <f ca="1"/>
      </c>
      <c r="CX350">
        <f ca="1"/>
      </c>
      <c r="CY350">
        <f ca="1"/>
      </c>
      <c r="CZ350">
        <f ca="1"/>
      </c>
      <c r="DA350">
        <f ca="1"/>
      </c>
      <c r="DB350">
        <f ca="1"/>
      </c>
      <c r="DC350">
        <f ca="1"/>
      </c>
      <c r="DD350">
        <f ca="1"/>
      </c>
      <c r="DE350">
        <f ca="1"/>
      </c>
      <c r="DG350">
        <f ca="1"/>
      </c>
      <c r="DH350">
        <f ca="1"/>
      </c>
      <c r="DI350">
        <f ca="1"/>
      </c>
      <c r="DJ350">
        <f ca="1"/>
      </c>
      <c r="DK350">
        <f ca="1"/>
      </c>
      <c r="DL350">
        <f ca="1"/>
      </c>
      <c r="DM350">
        <f ca="1"/>
      </c>
      <c r="DN350">
        <f ca="1"/>
      </c>
      <c r="DO350">
        <f ca="1"/>
      </c>
      <c r="DP350">
        <f ca="1"/>
      </c>
      <c r="DQ350">
        <f ca="1"/>
      </c>
      <c r="DR350">
        <f ca="1"/>
      </c>
      <c r="DS350">
        <f ca="1"/>
      </c>
      <c r="DT350">
        <f ca="1"/>
      </c>
      <c r="DU350">
        <f ca="1"/>
      </c>
      <c r="DV350">
        <f ca="1"/>
      </c>
      <c r="DW350">
        <f ca="1"/>
      </c>
      <c r="DX350">
        <f ca="1"/>
      </c>
      <c r="DY350">
        <f ca="1"/>
      </c>
      <c r="DZ350">
        <f ca="1"/>
      </c>
      <c r="EA350">
        <f ca="1"/>
      </c>
      <c r="EB350">
        <f ca="1"/>
      </c>
      <c r="EC350">
        <f ca="1"/>
      </c>
      <c r="ED350">
        <f ca="1"/>
      </c>
      <c r="EE350">
        <f ca="1"/>
      </c>
      <c r="EF350">
        <f ca="1"/>
      </c>
      <c r="EG350">
        <f ca="1"/>
      </c>
      <c r="EH350">
        <f ca="1"/>
      </c>
      <c r="EI350">
        <f ca="1"/>
      </c>
      <c r="EJ350">
        <f ca="1"/>
      </c>
      <c r="EK350">
        <f ca="1"/>
      </c>
      <c r="EL350">
        <f ca="1"/>
      </c>
      <c r="EM350">
        <f ca="1"/>
      </c>
      <c r="EN350">
        <f ca="1"/>
      </c>
      <c r="EO350">
        <f ca="1"/>
      </c>
      <c r="EP350">
        <f ca="1"/>
      </c>
      <c r="EQ350">
        <f ca="1"/>
      </c>
      <c r="ER350">
        <f ca="1"/>
      </c>
      <c r="ES350">
        <f ca="1"/>
      </c>
      <c r="ET350">
        <f ca="1"/>
      </c>
      <c r="EU350">
        <f ca="1"/>
      </c>
      <c r="EV350">
        <f ca="1"/>
      </c>
      <c r="EW350">
        <f ca="1"/>
      </c>
      <c r="EX350">
        <f ca="1"/>
      </c>
      <c r="EY350">
        <f ca="1"/>
      </c>
      <c r="EZ350">
        <f ca="1"/>
      </c>
      <c r="FA350">
        <f ca="1"/>
      </c>
      <c r="FC350">
        <f ca="1"/>
      </c>
      <c r="FD350">
        <f ca="1"/>
      </c>
      <c r="FE350">
        <f ca="1"/>
      </c>
      <c r="FF350">
        <f ca="1"/>
      </c>
      <c r="FG350">
        <f ca="1"/>
      </c>
      <c r="FH350">
        <f ca="1"/>
      </c>
      <c r="FI350">
        <f ca="1"/>
      </c>
      <c r="FJ350">
        <f ca="1"/>
      </c>
      <c r="FK350">
        <f ca="1"/>
      </c>
      <c r="FL350">
        <f ca="1"/>
      </c>
      <c r="FM350">
        <f ca="1"/>
      </c>
      <c r="FN350">
        <f ca="1"/>
      </c>
      <c r="FO350">
        <f ca="1"/>
      </c>
      <c r="FP350">
        <f ca="1"/>
      </c>
      <c r="FQ350">
        <f ca="1"/>
      </c>
      <c r="FR350">
        <f ca="1"/>
      </c>
      <c r="FS350">
        <f ca="1"/>
      </c>
      <c r="FT350">
        <f ca="1"/>
      </c>
      <c r="FU350">
        <f ca="1"/>
      </c>
      <c r="FV350">
        <f ca="1"/>
      </c>
      <c r="FW350">
        <f ca="1"/>
      </c>
      <c r="FX350">
        <f ca="1"/>
      </c>
      <c r="FY350">
        <f ca="1"/>
      </c>
      <c r="FZ350">
        <f ca="1"/>
      </c>
      <c r="GA350">
        <f ca="1"/>
      </c>
      <c r="GB350">
        <f ca="1"/>
      </c>
      <c r="GC350">
        <f ca="1"/>
      </c>
      <c r="GD350">
        <f ca="1"/>
      </c>
      <c r="GE350">
        <f ca="1"/>
      </c>
      <c r="GF350">
        <f ca="1"/>
      </c>
      <c r="GG350">
        <f ca="1"/>
      </c>
      <c r="GH350">
        <f ca="1"/>
      </c>
      <c r="GI350">
        <f ca="1"/>
      </c>
      <c r="GJ350">
        <f ca="1"/>
      </c>
      <c r="GK350">
        <f ca="1"/>
      </c>
      <c r="GL350">
        <f ca="1"/>
      </c>
      <c r="GM350">
        <f ca="1"/>
      </c>
      <c r="GN350">
        <f ca="1"/>
      </c>
      <c r="GO350">
        <f ca="1"/>
      </c>
      <c r="GP350">
        <f ca="1"/>
      </c>
      <c r="GQ350">
        <f ca="1"/>
      </c>
      <c r="GR350">
        <f ca="1"/>
      </c>
      <c r="GS350">
        <f ca="1"/>
      </c>
      <c r="GT350">
        <f ca="1"/>
      </c>
      <c r="GU350">
        <f ca="1"/>
      </c>
      <c r="GV350">
        <f ca="1"/>
      </c>
      <c r="GW350">
        <f ca="1"/>
      </c>
      <c r="HI350" s="7"/>
    </row>
    <row r="351" spans="63:217" x14ac:dyDescent="0.55000000000000004">
      <c r="BK351">
        <f ca="1"/>
      </c>
      <c r="BL351">
        <f ca="1"/>
      </c>
      <c r="BM351">
        <f ca="1"/>
      </c>
      <c r="BN351">
        <f ca="1"/>
      </c>
      <c r="BO351">
        <f ca="1"/>
      </c>
      <c r="BP351">
        <f ca="1"/>
      </c>
      <c r="BQ351">
        <f ca="1"/>
      </c>
      <c r="BR351">
        <f ca="1"/>
      </c>
      <c r="BS351">
        <f ca="1"/>
      </c>
      <c r="BT351">
        <f ca="1"/>
      </c>
      <c r="BU351">
        <f ca="1"/>
      </c>
      <c r="BV351">
        <f ca="1"/>
      </c>
      <c r="BW351">
        <f ca="1"/>
      </c>
      <c r="BX351">
        <f ca="1"/>
      </c>
      <c r="BY351">
        <f ca="1"/>
      </c>
      <c r="BZ351">
        <f ca="1"/>
      </c>
      <c r="CA351">
        <f ca="1"/>
      </c>
      <c r="CB351">
        <f ca="1"/>
      </c>
      <c r="CC351">
        <f ca="1"/>
      </c>
      <c r="CD351">
        <f ca="1"/>
      </c>
      <c r="CE351">
        <f ca="1"/>
      </c>
      <c r="CF351">
        <f ca="1"/>
      </c>
      <c r="CG351">
        <f ca="1"/>
      </c>
      <c r="CH351">
        <f ca="1"/>
      </c>
      <c r="CI351">
        <f ca="1"/>
      </c>
      <c r="CJ351">
        <f ca="1"/>
      </c>
      <c r="CK351">
        <f ca="1"/>
      </c>
      <c r="CL351">
        <f ca="1"/>
      </c>
      <c r="CM351">
        <f ca="1"/>
      </c>
      <c r="CN351">
        <f ca="1"/>
      </c>
      <c r="CO351">
        <f ca="1"/>
      </c>
      <c r="CP351">
        <f ca="1"/>
      </c>
      <c r="CQ351">
        <f ca="1"/>
      </c>
      <c r="CR351">
        <f ca="1"/>
      </c>
      <c r="CS351">
        <f ca="1"/>
      </c>
      <c r="CT351">
        <f ca="1"/>
      </c>
      <c r="CU351">
        <f ca="1"/>
      </c>
      <c r="CV351">
        <f ca="1"/>
      </c>
      <c r="CW351">
        <f ca="1"/>
      </c>
      <c r="CX351">
        <f ca="1"/>
      </c>
      <c r="CY351">
        <f ca="1"/>
      </c>
      <c r="CZ351">
        <f ca="1"/>
      </c>
      <c r="DA351">
        <f ca="1"/>
      </c>
      <c r="DB351">
        <f ca="1"/>
      </c>
      <c r="DC351">
        <f ca="1"/>
      </c>
      <c r="DD351">
        <f ca="1"/>
      </c>
      <c r="DE351">
        <f ca="1"/>
      </c>
      <c r="DG351">
        <f ca="1"/>
      </c>
      <c r="DH351">
        <f ca="1"/>
      </c>
      <c r="DI351">
        <f ca="1"/>
      </c>
      <c r="DJ351">
        <f ca="1"/>
      </c>
      <c r="DK351">
        <f ca="1"/>
      </c>
      <c r="DL351">
        <f ca="1"/>
      </c>
      <c r="DM351">
        <f ca="1"/>
      </c>
      <c r="DN351">
        <f ca="1"/>
      </c>
      <c r="DO351">
        <f ca="1"/>
      </c>
      <c r="DP351">
        <f ca="1"/>
      </c>
      <c r="DQ351">
        <f ca="1"/>
      </c>
      <c r="DR351">
        <f ca="1"/>
      </c>
      <c r="DS351">
        <f ca="1"/>
      </c>
      <c r="DT351">
        <f ca="1"/>
      </c>
      <c r="DU351">
        <f ca="1"/>
      </c>
      <c r="DV351">
        <f ca="1"/>
      </c>
      <c r="DW351">
        <f ca="1"/>
      </c>
      <c r="DX351">
        <f ca="1"/>
      </c>
      <c r="DY351">
        <f ca="1"/>
      </c>
      <c r="DZ351">
        <f ca="1"/>
      </c>
      <c r="EA351">
        <f ca="1"/>
      </c>
      <c r="EB351">
        <f ca="1"/>
      </c>
      <c r="EC351">
        <f ca="1"/>
      </c>
      <c r="ED351">
        <f ca="1"/>
      </c>
      <c r="EE351">
        <f ca="1"/>
      </c>
      <c r="EF351">
        <f ca="1"/>
      </c>
      <c r="EG351">
        <f ca="1"/>
      </c>
      <c r="EH351">
        <f ca="1"/>
      </c>
      <c r="EI351">
        <f ca="1"/>
      </c>
      <c r="EJ351">
        <f ca="1"/>
      </c>
      <c r="EK351">
        <f ca="1"/>
      </c>
      <c r="EL351">
        <f ca="1"/>
      </c>
      <c r="EM351">
        <f ca="1"/>
      </c>
      <c r="EN351">
        <f ca="1"/>
      </c>
      <c r="EO351">
        <f ca="1"/>
      </c>
      <c r="EP351">
        <f ca="1"/>
      </c>
      <c r="EQ351">
        <f ca="1"/>
      </c>
      <c r="ER351">
        <f ca="1"/>
      </c>
      <c r="ES351">
        <f ca="1"/>
      </c>
      <c r="ET351">
        <f ca="1"/>
      </c>
      <c r="EU351">
        <f ca="1"/>
      </c>
      <c r="EV351">
        <f ca="1"/>
      </c>
      <c r="EW351">
        <f ca="1"/>
      </c>
      <c r="EX351">
        <f ca="1"/>
      </c>
      <c r="EY351">
        <f ca="1"/>
      </c>
      <c r="EZ351">
        <f ca="1"/>
      </c>
      <c r="FA351">
        <f ca="1"/>
      </c>
      <c r="FC351">
        <f ca="1"/>
      </c>
      <c r="FD351">
        <f ca="1"/>
      </c>
      <c r="FE351">
        <f ca="1"/>
      </c>
      <c r="FF351">
        <f ca="1"/>
      </c>
      <c r="FG351">
        <f ca="1"/>
      </c>
      <c r="FH351">
        <f ca="1"/>
      </c>
      <c r="FI351">
        <f ca="1"/>
      </c>
      <c r="FJ351">
        <f ca="1"/>
      </c>
      <c r="FK351">
        <f ca="1"/>
      </c>
      <c r="FL351">
        <f ca="1"/>
      </c>
      <c r="FM351">
        <f ca="1"/>
      </c>
      <c r="FN351">
        <f ca="1"/>
      </c>
      <c r="FO351">
        <f ca="1"/>
      </c>
      <c r="FP351">
        <f ca="1"/>
      </c>
      <c r="FQ351">
        <f ca="1"/>
      </c>
      <c r="FR351">
        <f ca="1"/>
      </c>
      <c r="FS351">
        <f ca="1"/>
      </c>
      <c r="FT351">
        <f ca="1"/>
      </c>
      <c r="FU351">
        <f ca="1"/>
      </c>
      <c r="FV351">
        <f ca="1"/>
      </c>
      <c r="FW351">
        <f ca="1"/>
      </c>
      <c r="FX351">
        <f ca="1"/>
      </c>
      <c r="FY351">
        <f ca="1"/>
      </c>
      <c r="FZ351">
        <f ca="1"/>
      </c>
      <c r="GA351">
        <f ca="1"/>
      </c>
      <c r="GB351">
        <f ca="1"/>
      </c>
      <c r="GC351">
        <f ca="1"/>
      </c>
      <c r="GD351">
        <f ca="1"/>
      </c>
      <c r="GE351">
        <f ca="1"/>
      </c>
      <c r="GF351">
        <f ca="1"/>
      </c>
      <c r="GG351">
        <f ca="1"/>
      </c>
      <c r="GH351">
        <f ca="1"/>
      </c>
      <c r="GI351">
        <f ca="1"/>
      </c>
      <c r="GJ351">
        <f ca="1"/>
      </c>
      <c r="GK351">
        <f ca="1"/>
      </c>
      <c r="GL351">
        <f ca="1"/>
      </c>
      <c r="GM351">
        <f ca="1"/>
      </c>
      <c r="GN351">
        <f ca="1"/>
      </c>
      <c r="GO351">
        <f ca="1"/>
      </c>
      <c r="GP351">
        <f ca="1"/>
      </c>
      <c r="GQ351">
        <f ca="1"/>
      </c>
      <c r="GR351">
        <f ca="1"/>
      </c>
      <c r="GS351">
        <f ca="1"/>
      </c>
      <c r="GT351">
        <f ca="1"/>
      </c>
      <c r="GU351">
        <f ca="1"/>
      </c>
      <c r="GV351">
        <f ca="1"/>
      </c>
      <c r="GW351">
        <f ca="1"/>
      </c>
      <c r="HI351" s="7"/>
    </row>
    <row r="352" spans="63:217" x14ac:dyDescent="0.55000000000000004">
      <c r="BK352">
        <f ca="1"/>
      </c>
      <c r="BL352">
        <f ca="1"/>
      </c>
      <c r="BM352">
        <f ca="1"/>
      </c>
      <c r="BN352">
        <f ca="1"/>
      </c>
      <c r="BO352">
        <f ca="1"/>
      </c>
      <c r="BP352">
        <f ca="1"/>
      </c>
      <c r="BQ352">
        <f ca="1"/>
      </c>
      <c r="BR352">
        <f ca="1"/>
      </c>
      <c r="BS352">
        <f ca="1"/>
      </c>
      <c r="BT352">
        <f ca="1"/>
      </c>
      <c r="BU352">
        <f ca="1"/>
      </c>
      <c r="BV352">
        <f ca="1"/>
      </c>
      <c r="BW352">
        <f ca="1"/>
      </c>
      <c r="BX352">
        <f ca="1"/>
      </c>
      <c r="BY352">
        <f ca="1"/>
      </c>
      <c r="BZ352">
        <f ca="1"/>
      </c>
      <c r="CA352">
        <f ca="1"/>
      </c>
      <c r="CB352">
        <f ca="1"/>
      </c>
      <c r="CC352">
        <f ca="1"/>
      </c>
      <c r="CD352">
        <f ca="1"/>
      </c>
      <c r="CE352">
        <f ca="1"/>
      </c>
      <c r="CF352">
        <f ca="1"/>
      </c>
      <c r="CG352">
        <f ca="1"/>
      </c>
      <c r="CH352">
        <f ca="1"/>
      </c>
      <c r="CI352">
        <f ca="1"/>
      </c>
      <c r="CJ352">
        <f ca="1"/>
      </c>
      <c r="CK352">
        <f ca="1"/>
      </c>
      <c r="CL352">
        <f ca="1"/>
      </c>
      <c r="CM352">
        <f ca="1"/>
      </c>
      <c r="CN352">
        <f ca="1"/>
      </c>
      <c r="CO352">
        <f ca="1"/>
      </c>
      <c r="CP352">
        <f ca="1"/>
      </c>
      <c r="CQ352">
        <f ca="1"/>
      </c>
      <c r="CR352">
        <f ca="1"/>
      </c>
      <c r="CS352">
        <f ca="1"/>
      </c>
      <c r="CT352">
        <f ca="1"/>
      </c>
      <c r="CU352">
        <f ca="1"/>
      </c>
      <c r="CV352">
        <f ca="1"/>
      </c>
      <c r="CW352">
        <f ca="1"/>
      </c>
      <c r="CX352">
        <f ca="1"/>
      </c>
      <c r="CY352">
        <f ca="1"/>
      </c>
      <c r="CZ352">
        <f ca="1"/>
      </c>
      <c r="DA352">
        <f ca="1"/>
      </c>
      <c r="DB352">
        <f ca="1"/>
      </c>
      <c r="DC352">
        <f ca="1"/>
      </c>
      <c r="DD352">
        <f ca="1"/>
      </c>
      <c r="DE352">
        <f ca="1"/>
      </c>
      <c r="DG352">
        <f ca="1"/>
      </c>
      <c r="DH352">
        <f ca="1"/>
      </c>
      <c r="DI352">
        <f ca="1"/>
      </c>
      <c r="DJ352">
        <f ca="1"/>
      </c>
      <c r="DK352">
        <f ca="1"/>
      </c>
      <c r="DL352">
        <f ca="1"/>
      </c>
      <c r="DM352">
        <f ca="1"/>
      </c>
      <c r="DN352">
        <f ca="1"/>
      </c>
      <c r="DO352">
        <f ca="1"/>
      </c>
      <c r="DP352">
        <f ca="1"/>
      </c>
      <c r="DQ352">
        <f ca="1"/>
      </c>
      <c r="DR352">
        <f ca="1"/>
      </c>
      <c r="DS352">
        <f ca="1"/>
      </c>
      <c r="DT352">
        <f ca="1"/>
      </c>
      <c r="DU352">
        <f ca="1"/>
      </c>
      <c r="DV352">
        <f ca="1"/>
      </c>
      <c r="DW352">
        <f ca="1"/>
      </c>
      <c r="DX352">
        <f ca="1"/>
      </c>
      <c r="DY352">
        <f ca="1"/>
      </c>
      <c r="DZ352">
        <f ca="1"/>
      </c>
      <c r="EA352">
        <f ca="1"/>
      </c>
      <c r="EB352">
        <f ca="1"/>
      </c>
      <c r="EC352">
        <f ca="1"/>
      </c>
      <c r="ED352">
        <f ca="1"/>
      </c>
      <c r="EE352">
        <f ca="1"/>
      </c>
      <c r="EF352">
        <f ca="1"/>
      </c>
      <c r="EG352">
        <f ca="1"/>
      </c>
      <c r="EH352">
        <f ca="1"/>
      </c>
      <c r="EI352">
        <f ca="1"/>
      </c>
      <c r="EJ352">
        <f ca="1"/>
      </c>
      <c r="EK352">
        <f ca="1"/>
      </c>
      <c r="EL352">
        <f ca="1"/>
      </c>
      <c r="EM352">
        <f ca="1"/>
      </c>
      <c r="EN352">
        <f ca="1"/>
      </c>
      <c r="EO352">
        <f ca="1"/>
      </c>
      <c r="EP352">
        <f ca="1"/>
      </c>
      <c r="EQ352">
        <f ca="1"/>
      </c>
      <c r="ER352">
        <f ca="1"/>
      </c>
      <c r="ES352">
        <f ca="1"/>
      </c>
      <c r="ET352">
        <f ca="1"/>
      </c>
      <c r="EU352">
        <f ca="1"/>
      </c>
      <c r="EV352">
        <f ca="1"/>
      </c>
      <c r="EW352">
        <f ca="1"/>
      </c>
      <c r="EX352">
        <f ca="1"/>
      </c>
      <c r="EY352">
        <f ca="1"/>
      </c>
      <c r="EZ352">
        <f ca="1"/>
      </c>
      <c r="FA352">
        <f ca="1"/>
      </c>
      <c r="FC352">
        <f ca="1"/>
      </c>
      <c r="FD352">
        <f ca="1"/>
      </c>
      <c r="FE352">
        <f ca="1"/>
      </c>
      <c r="FF352">
        <f ca="1"/>
      </c>
      <c r="FG352">
        <f ca="1"/>
      </c>
      <c r="FH352">
        <f ca="1"/>
      </c>
      <c r="FI352">
        <f ca="1"/>
      </c>
      <c r="FJ352">
        <f ca="1"/>
      </c>
      <c r="FK352">
        <f ca="1"/>
      </c>
      <c r="FL352">
        <f ca="1"/>
      </c>
      <c r="FM352">
        <f ca="1"/>
      </c>
      <c r="FN352">
        <f ca="1"/>
      </c>
      <c r="FO352">
        <f ca="1"/>
      </c>
      <c r="FP352">
        <f ca="1"/>
      </c>
      <c r="FQ352">
        <f ca="1"/>
      </c>
      <c r="FR352">
        <f ca="1"/>
      </c>
      <c r="FS352">
        <f ca="1"/>
      </c>
      <c r="FT352">
        <f ca="1"/>
      </c>
      <c r="FU352">
        <f ca="1"/>
      </c>
      <c r="FV352">
        <f ca="1"/>
      </c>
      <c r="FW352">
        <f ca="1"/>
      </c>
      <c r="FX352">
        <f ca="1"/>
      </c>
      <c r="FY352">
        <f ca="1"/>
      </c>
      <c r="FZ352">
        <f ca="1"/>
      </c>
      <c r="GA352">
        <f ca="1"/>
      </c>
      <c r="GB352">
        <f ca="1"/>
      </c>
      <c r="GC352">
        <f ca="1"/>
      </c>
      <c r="GD352">
        <f ca="1"/>
      </c>
      <c r="GE352">
        <f ca="1"/>
      </c>
      <c r="GF352">
        <f ca="1"/>
      </c>
      <c r="GG352">
        <f ca="1"/>
      </c>
      <c r="GH352">
        <f ca="1"/>
      </c>
      <c r="GI352">
        <f ca="1"/>
      </c>
      <c r="GJ352">
        <f ca="1"/>
      </c>
      <c r="GK352">
        <f ca="1"/>
      </c>
      <c r="GL352">
        <f ca="1"/>
      </c>
      <c r="GM352">
        <f ca="1"/>
      </c>
      <c r="GN352">
        <f ca="1"/>
      </c>
      <c r="GO352">
        <f ca="1"/>
      </c>
      <c r="GP352">
        <f ca="1"/>
      </c>
      <c r="GQ352">
        <f ca="1"/>
      </c>
      <c r="GR352">
        <f ca="1"/>
      </c>
      <c r="GS352">
        <f ca="1"/>
      </c>
      <c r="GT352">
        <f ca="1"/>
      </c>
      <c r="GU352">
        <f ca="1"/>
      </c>
      <c r="GV352">
        <f ca="1"/>
      </c>
      <c r="GW352">
        <f ca="1"/>
      </c>
      <c r="HI352" s="7"/>
    </row>
    <row r="353" spans="63:217" x14ac:dyDescent="0.55000000000000004">
      <c r="BK353">
        <f ca="1"/>
      </c>
      <c r="BL353">
        <f ca="1"/>
      </c>
      <c r="BM353">
        <f ca="1"/>
      </c>
      <c r="BN353">
        <f ca="1"/>
      </c>
      <c r="BO353">
        <f ca="1"/>
      </c>
      <c r="BP353">
        <f ca="1"/>
      </c>
      <c r="BQ353">
        <f ca="1"/>
      </c>
      <c r="BR353">
        <f ca="1"/>
      </c>
      <c r="BS353">
        <f ca="1"/>
      </c>
      <c r="BT353">
        <f ca="1"/>
      </c>
      <c r="BU353">
        <f ca="1"/>
      </c>
      <c r="BV353">
        <f ca="1"/>
      </c>
      <c r="BW353">
        <f ca="1"/>
      </c>
      <c r="BX353">
        <f ca="1"/>
      </c>
      <c r="BY353">
        <f ca="1"/>
      </c>
      <c r="BZ353">
        <f ca="1"/>
      </c>
      <c r="CA353">
        <f ca="1"/>
      </c>
      <c r="CB353">
        <f ca="1"/>
      </c>
      <c r="CC353">
        <f ca="1"/>
      </c>
      <c r="CD353">
        <f ca="1"/>
      </c>
      <c r="CE353">
        <f ca="1"/>
      </c>
      <c r="CF353">
        <f ca="1"/>
      </c>
      <c r="CG353">
        <f ca="1"/>
      </c>
      <c r="CH353">
        <f ca="1"/>
      </c>
      <c r="CI353">
        <f ca="1"/>
      </c>
      <c r="CJ353">
        <f ca="1"/>
      </c>
      <c r="CK353">
        <f ca="1"/>
      </c>
      <c r="CL353">
        <f ca="1"/>
      </c>
      <c r="CM353">
        <f ca="1"/>
      </c>
      <c r="CN353">
        <f ca="1"/>
      </c>
      <c r="CO353">
        <f ca="1"/>
      </c>
      <c r="CP353">
        <f ca="1"/>
      </c>
      <c r="CQ353">
        <f ca="1"/>
      </c>
      <c r="CR353">
        <f ca="1"/>
      </c>
      <c r="CS353">
        <f ca="1"/>
      </c>
      <c r="CT353">
        <f ca="1"/>
      </c>
      <c r="CU353">
        <f ca="1"/>
      </c>
      <c r="CV353">
        <f ca="1"/>
      </c>
      <c r="CW353">
        <f ca="1"/>
      </c>
      <c r="CX353">
        <f ca="1"/>
      </c>
      <c r="CY353">
        <f ca="1"/>
      </c>
      <c r="CZ353">
        <f ca="1"/>
      </c>
      <c r="DA353">
        <f ca="1"/>
      </c>
      <c r="DB353">
        <f ca="1"/>
      </c>
      <c r="DC353">
        <f ca="1"/>
      </c>
      <c r="DD353">
        <f ca="1"/>
      </c>
      <c r="DE353">
        <f ca="1"/>
      </c>
      <c r="DG353">
        <f ca="1"/>
      </c>
      <c r="DH353">
        <f ca="1"/>
      </c>
      <c r="DI353">
        <f ca="1"/>
      </c>
      <c r="DJ353">
        <f ca="1"/>
      </c>
      <c r="DK353">
        <f ca="1"/>
      </c>
      <c r="DL353">
        <f ca="1"/>
      </c>
      <c r="DM353">
        <f ca="1"/>
      </c>
      <c r="DN353">
        <f ca="1"/>
      </c>
      <c r="DO353">
        <f ca="1"/>
      </c>
      <c r="DP353">
        <f ca="1"/>
      </c>
      <c r="DQ353">
        <f ca="1"/>
      </c>
      <c r="DR353">
        <f ca="1"/>
      </c>
      <c r="DS353">
        <f ca="1"/>
      </c>
      <c r="DT353">
        <f ca="1"/>
      </c>
      <c r="DU353">
        <f ca="1"/>
      </c>
      <c r="DV353">
        <f ca="1"/>
      </c>
      <c r="DW353">
        <f ca="1"/>
      </c>
      <c r="DX353">
        <f ca="1"/>
      </c>
      <c r="DY353">
        <f ca="1"/>
      </c>
      <c r="DZ353">
        <f ca="1"/>
      </c>
      <c r="EA353">
        <f ca="1"/>
      </c>
      <c r="EB353">
        <f ca="1"/>
      </c>
      <c r="EC353">
        <f ca="1"/>
      </c>
      <c r="ED353">
        <f ca="1"/>
      </c>
      <c r="EE353">
        <f ca="1"/>
      </c>
      <c r="EF353">
        <f ca="1"/>
      </c>
      <c r="EG353">
        <f ca="1"/>
      </c>
      <c r="EH353">
        <f ca="1"/>
      </c>
      <c r="EI353">
        <f ca="1"/>
      </c>
      <c r="EJ353">
        <f ca="1"/>
      </c>
      <c r="EK353">
        <f ca="1"/>
      </c>
      <c r="EL353">
        <f ca="1"/>
      </c>
      <c r="EM353">
        <f ca="1"/>
      </c>
      <c r="EN353">
        <f ca="1"/>
      </c>
      <c r="EO353">
        <f ca="1"/>
      </c>
      <c r="EP353">
        <f ca="1"/>
      </c>
      <c r="EQ353">
        <f ca="1"/>
      </c>
      <c r="ER353">
        <f ca="1"/>
      </c>
      <c r="ES353">
        <f ca="1"/>
      </c>
      <c r="ET353">
        <f ca="1"/>
      </c>
      <c r="EU353">
        <f ca="1"/>
      </c>
      <c r="EV353">
        <f ca="1"/>
      </c>
      <c r="EW353">
        <f ca="1"/>
      </c>
      <c r="EX353">
        <f ca="1"/>
      </c>
      <c r="EY353">
        <f ca="1"/>
      </c>
      <c r="EZ353">
        <f ca="1"/>
      </c>
      <c r="FA353">
        <f ca="1"/>
      </c>
      <c r="FC353">
        <f ca="1"/>
      </c>
      <c r="FD353">
        <f ca="1"/>
      </c>
      <c r="FE353">
        <f ca="1"/>
      </c>
      <c r="FF353">
        <f ca="1"/>
      </c>
      <c r="FG353">
        <f ca="1"/>
      </c>
      <c r="FH353">
        <f ca="1"/>
      </c>
      <c r="FI353">
        <f ca="1"/>
      </c>
      <c r="FJ353">
        <f ca="1"/>
      </c>
      <c r="FK353">
        <f ca="1"/>
      </c>
      <c r="FL353">
        <f ca="1"/>
      </c>
      <c r="FM353">
        <f ca="1"/>
      </c>
      <c r="FN353">
        <f ca="1"/>
      </c>
      <c r="FO353">
        <f ca="1"/>
      </c>
      <c r="FP353">
        <f ca="1"/>
      </c>
      <c r="FQ353">
        <f ca="1"/>
      </c>
      <c r="FR353">
        <f ca="1"/>
      </c>
      <c r="FS353">
        <f ca="1"/>
      </c>
      <c r="FT353">
        <f ca="1"/>
      </c>
      <c r="FU353">
        <f ca="1"/>
      </c>
      <c r="FV353">
        <f ca="1"/>
      </c>
      <c r="FW353">
        <f ca="1"/>
      </c>
      <c r="FX353">
        <f ca="1"/>
      </c>
      <c r="FY353">
        <f ca="1"/>
      </c>
      <c r="FZ353">
        <f ca="1"/>
      </c>
      <c r="GA353">
        <f ca="1"/>
      </c>
      <c r="GB353">
        <f ca="1"/>
      </c>
      <c r="GC353">
        <f ca="1"/>
      </c>
      <c r="GD353">
        <f ca="1"/>
      </c>
      <c r="GE353">
        <f ca="1"/>
      </c>
      <c r="GF353">
        <f ca="1"/>
      </c>
      <c r="GG353">
        <f ca="1"/>
      </c>
      <c r="GH353">
        <f ca="1"/>
      </c>
      <c r="GI353">
        <f ca="1"/>
      </c>
      <c r="GJ353">
        <f ca="1"/>
      </c>
      <c r="GK353">
        <f ca="1"/>
      </c>
      <c r="GL353">
        <f ca="1"/>
      </c>
      <c r="GM353">
        <f ca="1"/>
      </c>
      <c r="GN353">
        <f ca="1"/>
      </c>
      <c r="GO353">
        <f ca="1"/>
      </c>
      <c r="GP353">
        <f ca="1"/>
      </c>
      <c r="GQ353">
        <f ca="1"/>
      </c>
      <c r="GR353">
        <f ca="1"/>
      </c>
      <c r="GS353">
        <f ca="1"/>
      </c>
      <c r="GT353">
        <f ca="1"/>
      </c>
      <c r="GU353">
        <f ca="1"/>
      </c>
      <c r="GV353">
        <f ca="1"/>
      </c>
      <c r="GW353">
        <f ca="1"/>
      </c>
      <c r="HI353" s="7"/>
    </row>
    <row r="354" spans="63:217" x14ac:dyDescent="0.55000000000000004">
      <c r="BK354">
        <f ca="1"/>
      </c>
      <c r="BL354">
        <f ca="1"/>
      </c>
      <c r="BM354">
        <f ca="1"/>
      </c>
      <c r="BN354">
        <f ca="1"/>
      </c>
      <c r="BO354">
        <f ca="1"/>
      </c>
      <c r="BP354">
        <f ca="1"/>
      </c>
      <c r="BQ354">
        <f ca="1"/>
      </c>
      <c r="BR354">
        <f ca="1"/>
      </c>
      <c r="BS354">
        <f ca="1"/>
      </c>
      <c r="BT354">
        <f ca="1"/>
      </c>
      <c r="BU354">
        <f ca="1"/>
      </c>
      <c r="BV354">
        <f ca="1"/>
      </c>
      <c r="BW354">
        <f ca="1"/>
      </c>
      <c r="BX354">
        <f ca="1"/>
      </c>
      <c r="BY354">
        <f ca="1"/>
      </c>
      <c r="BZ354">
        <f ca="1"/>
      </c>
      <c r="CA354">
        <f ca="1"/>
      </c>
      <c r="CB354">
        <f ca="1"/>
      </c>
      <c r="CC354">
        <f ca="1"/>
      </c>
      <c r="CD354">
        <f ca="1"/>
      </c>
      <c r="CE354">
        <f ca="1"/>
      </c>
      <c r="CF354">
        <f ca="1"/>
      </c>
      <c r="CG354">
        <f ca="1"/>
      </c>
      <c r="CH354">
        <f ca="1"/>
      </c>
      <c r="CI354">
        <f ca="1"/>
      </c>
      <c r="CJ354">
        <f ca="1"/>
      </c>
      <c r="CK354">
        <f ca="1"/>
      </c>
      <c r="CL354">
        <f ca="1"/>
      </c>
      <c r="CM354">
        <f ca="1"/>
      </c>
      <c r="CN354">
        <f ca="1"/>
      </c>
      <c r="CO354">
        <f ca="1"/>
      </c>
      <c r="CP354">
        <f ca="1"/>
      </c>
      <c r="CQ354">
        <f ca="1"/>
      </c>
      <c r="CR354">
        <f ca="1"/>
      </c>
      <c r="CS354">
        <f ca="1"/>
      </c>
      <c r="CT354">
        <f ca="1"/>
      </c>
      <c r="CU354">
        <f ca="1"/>
      </c>
      <c r="CV354">
        <f ca="1"/>
      </c>
      <c r="CW354">
        <f ca="1"/>
      </c>
      <c r="CX354">
        <f ca="1"/>
      </c>
      <c r="CY354">
        <f ca="1"/>
      </c>
      <c r="CZ354">
        <f ca="1"/>
      </c>
      <c r="DA354">
        <f ca="1"/>
      </c>
      <c r="DB354">
        <f ca="1"/>
      </c>
      <c r="DC354">
        <f ca="1"/>
      </c>
      <c r="DD354">
        <f ca="1"/>
      </c>
      <c r="DE354">
        <f ca="1"/>
      </c>
      <c r="DG354">
        <f ca="1"/>
      </c>
      <c r="DH354">
        <f ca="1"/>
      </c>
      <c r="DI354">
        <f ca="1"/>
      </c>
      <c r="DJ354">
        <f ca="1"/>
      </c>
      <c r="DK354">
        <f ca="1"/>
      </c>
      <c r="DL354">
        <f ca="1"/>
      </c>
      <c r="DM354">
        <f ca="1"/>
      </c>
      <c r="DN354">
        <f ca="1"/>
      </c>
      <c r="DO354">
        <f ca="1"/>
      </c>
      <c r="DP354">
        <f ca="1"/>
      </c>
      <c r="DQ354">
        <f ca="1"/>
      </c>
      <c r="DR354">
        <f ca="1"/>
      </c>
      <c r="DS354">
        <f ca="1"/>
      </c>
      <c r="DT354">
        <f ca="1"/>
      </c>
      <c r="DU354">
        <f ca="1"/>
      </c>
      <c r="DV354">
        <f ca="1"/>
      </c>
      <c r="DW354">
        <f ca="1"/>
      </c>
      <c r="DX354">
        <f ca="1"/>
      </c>
      <c r="DY354">
        <f ca="1"/>
      </c>
      <c r="DZ354">
        <f ca="1"/>
      </c>
      <c r="EA354">
        <f ca="1"/>
      </c>
      <c r="EB354">
        <f ca="1"/>
      </c>
      <c r="EC354">
        <f ca="1"/>
      </c>
      <c r="ED354">
        <f ca="1"/>
      </c>
      <c r="EE354">
        <f ca="1"/>
      </c>
      <c r="EF354">
        <f ca="1"/>
      </c>
      <c r="EG354">
        <f ca="1"/>
      </c>
      <c r="EH354">
        <f ca="1"/>
      </c>
      <c r="EI354">
        <f ca="1"/>
      </c>
      <c r="EJ354">
        <f ca="1"/>
      </c>
      <c r="EK354">
        <f ca="1"/>
      </c>
      <c r="EL354">
        <f ca="1"/>
      </c>
      <c r="EM354">
        <f ca="1"/>
      </c>
      <c r="EN354">
        <f ca="1"/>
      </c>
      <c r="EO354">
        <f ca="1"/>
      </c>
      <c r="EP354">
        <f ca="1"/>
      </c>
      <c r="EQ354">
        <f ca="1"/>
      </c>
      <c r="ER354">
        <f ca="1"/>
      </c>
      <c r="ES354">
        <f ca="1"/>
      </c>
      <c r="ET354">
        <f ca="1"/>
      </c>
      <c r="EU354">
        <f ca="1"/>
      </c>
      <c r="EV354">
        <f ca="1"/>
      </c>
      <c r="EW354">
        <f ca="1"/>
      </c>
      <c r="EX354">
        <f ca="1"/>
      </c>
      <c r="EY354">
        <f ca="1"/>
      </c>
      <c r="EZ354">
        <f ca="1"/>
      </c>
      <c r="FA354">
        <f ca="1"/>
      </c>
      <c r="FC354">
        <f ca="1"/>
      </c>
      <c r="FD354">
        <f ca="1"/>
      </c>
      <c r="FE354">
        <f ca="1"/>
      </c>
      <c r="FF354">
        <f ca="1"/>
      </c>
      <c r="FG354">
        <f ca="1"/>
      </c>
      <c r="FH354">
        <f ca="1"/>
      </c>
      <c r="FI354">
        <f ca="1"/>
      </c>
      <c r="FJ354">
        <f ca="1"/>
      </c>
      <c r="FK354">
        <f ca="1"/>
      </c>
      <c r="FL354">
        <f ca="1"/>
      </c>
      <c r="FM354">
        <f ca="1"/>
      </c>
      <c r="FN354">
        <f ca="1"/>
      </c>
      <c r="FO354">
        <f ca="1"/>
      </c>
      <c r="FP354">
        <f ca="1"/>
      </c>
      <c r="FQ354">
        <f ca="1"/>
      </c>
      <c r="FR354">
        <f ca="1"/>
      </c>
      <c r="FS354">
        <f ca="1"/>
      </c>
      <c r="FT354">
        <f ca="1"/>
      </c>
      <c r="FU354">
        <f ca="1"/>
      </c>
      <c r="FV354">
        <f ca="1"/>
      </c>
      <c r="FW354">
        <f ca="1"/>
      </c>
      <c r="FX354">
        <f ca="1"/>
      </c>
      <c r="FY354">
        <f ca="1"/>
      </c>
      <c r="FZ354">
        <f ca="1"/>
      </c>
      <c r="GA354">
        <f ca="1"/>
      </c>
      <c r="GB354">
        <f ca="1"/>
      </c>
      <c r="GC354">
        <f ca="1"/>
      </c>
      <c r="GD354">
        <f ca="1"/>
      </c>
      <c r="GE354">
        <f ca="1"/>
      </c>
      <c r="GF354">
        <f ca="1"/>
      </c>
      <c r="GG354">
        <f ca="1"/>
      </c>
      <c r="GH354">
        <f ca="1"/>
      </c>
      <c r="GI354">
        <f ca="1"/>
      </c>
      <c r="GJ354">
        <f ca="1"/>
      </c>
      <c r="GK354">
        <f ca="1"/>
      </c>
      <c r="GL354">
        <f ca="1"/>
      </c>
      <c r="GM354">
        <f ca="1"/>
      </c>
      <c r="GN354">
        <f ca="1"/>
      </c>
      <c r="GO354">
        <f ca="1"/>
      </c>
      <c r="GP354">
        <f ca="1"/>
      </c>
      <c r="GQ354">
        <f ca="1"/>
      </c>
      <c r="GR354">
        <f ca="1"/>
      </c>
      <c r="GS354">
        <f ca="1"/>
      </c>
      <c r="GT354">
        <f ca="1"/>
      </c>
      <c r="GU354">
        <f ca="1"/>
      </c>
      <c r="GV354">
        <f ca="1"/>
      </c>
      <c r="GW354">
        <f ca="1"/>
      </c>
      <c r="HI354" s="7"/>
    </row>
    <row r="355" spans="63:217" x14ac:dyDescent="0.55000000000000004">
      <c r="BK355">
        <f ca="1"/>
      </c>
      <c r="BL355">
        <f ca="1"/>
      </c>
      <c r="BM355">
        <f ca="1"/>
      </c>
      <c r="BN355">
        <f ca="1"/>
      </c>
      <c r="BO355">
        <f ca="1"/>
      </c>
      <c r="BP355">
        <f ca="1"/>
      </c>
      <c r="BQ355">
        <f ca="1"/>
      </c>
      <c r="BR355">
        <f ca="1"/>
      </c>
      <c r="BS355">
        <f ca="1"/>
      </c>
      <c r="BT355">
        <f ca="1"/>
      </c>
      <c r="BU355">
        <f ca="1"/>
      </c>
      <c r="BV355">
        <f ca="1"/>
      </c>
      <c r="BW355">
        <f ca="1"/>
      </c>
      <c r="BX355">
        <f ca="1"/>
      </c>
      <c r="BY355">
        <f ca="1"/>
      </c>
      <c r="BZ355">
        <f ca="1"/>
      </c>
      <c r="CA355">
        <f ca="1"/>
      </c>
      <c r="CB355">
        <f ca="1"/>
      </c>
      <c r="CC355">
        <f ca="1"/>
      </c>
      <c r="CD355">
        <f ca="1"/>
      </c>
      <c r="CE355">
        <f ca="1"/>
      </c>
      <c r="CF355">
        <f ca="1"/>
      </c>
      <c r="CG355">
        <f ca="1"/>
      </c>
      <c r="CH355">
        <f ca="1"/>
      </c>
      <c r="CI355">
        <f ca="1"/>
      </c>
      <c r="CJ355">
        <f ca="1"/>
      </c>
      <c r="CK355">
        <f ca="1"/>
      </c>
      <c r="CL355">
        <f ca="1"/>
      </c>
      <c r="CM355">
        <f ca="1"/>
      </c>
      <c r="CN355">
        <f ca="1"/>
      </c>
      <c r="CO355">
        <f ca="1"/>
      </c>
      <c r="CP355">
        <f ca="1"/>
      </c>
      <c r="CQ355">
        <f ca="1"/>
      </c>
      <c r="CR355">
        <f ca="1"/>
      </c>
      <c r="CS355">
        <f ca="1"/>
      </c>
      <c r="CT355">
        <f ca="1"/>
      </c>
      <c r="CU355">
        <f ca="1"/>
      </c>
      <c r="CV355">
        <f ca="1"/>
      </c>
      <c r="CW355">
        <f ca="1"/>
      </c>
      <c r="CX355">
        <f ca="1"/>
      </c>
      <c r="CY355">
        <f ca="1"/>
      </c>
      <c r="CZ355">
        <f ca="1"/>
      </c>
      <c r="DA355">
        <f ca="1"/>
      </c>
      <c r="DB355">
        <f ca="1"/>
      </c>
      <c r="DC355">
        <f ca="1"/>
      </c>
      <c r="DD355">
        <f ca="1"/>
      </c>
      <c r="DE355">
        <f ca="1"/>
      </c>
      <c r="DG355">
        <f ca="1"/>
      </c>
      <c r="DH355">
        <f ca="1"/>
      </c>
      <c r="DI355">
        <f ca="1"/>
      </c>
      <c r="DJ355">
        <f ca="1"/>
      </c>
      <c r="DK355">
        <f ca="1"/>
      </c>
      <c r="DL355">
        <f ca="1"/>
      </c>
      <c r="DM355">
        <f ca="1"/>
      </c>
      <c r="DN355">
        <f ca="1"/>
      </c>
      <c r="DO355">
        <f ca="1"/>
      </c>
      <c r="DP355">
        <f ca="1"/>
      </c>
      <c r="DQ355">
        <f ca="1"/>
      </c>
      <c r="DR355">
        <f ca="1"/>
      </c>
      <c r="DS355">
        <f ca="1"/>
      </c>
      <c r="DT355">
        <f ca="1"/>
      </c>
      <c r="DU355">
        <f ca="1"/>
      </c>
      <c r="DV355">
        <f ca="1"/>
      </c>
      <c r="DW355">
        <f ca="1"/>
      </c>
      <c r="DX355">
        <f ca="1"/>
      </c>
      <c r="DY355">
        <f ca="1"/>
      </c>
      <c r="DZ355">
        <f ca="1"/>
      </c>
      <c r="EA355">
        <f ca="1"/>
      </c>
      <c r="EB355">
        <f ca="1"/>
      </c>
      <c r="EC355">
        <f ca="1"/>
      </c>
      <c r="ED355">
        <f ca="1"/>
      </c>
      <c r="EE355">
        <f ca="1"/>
      </c>
      <c r="EF355">
        <f ca="1"/>
      </c>
      <c r="EG355">
        <f ca="1"/>
      </c>
      <c r="EH355">
        <f ca="1"/>
      </c>
      <c r="EI355">
        <f ca="1"/>
      </c>
      <c r="EJ355">
        <f ca="1"/>
      </c>
      <c r="EK355">
        <f ca="1"/>
      </c>
      <c r="EL355">
        <f ca="1"/>
      </c>
      <c r="EM355">
        <f ca="1"/>
      </c>
      <c r="EN355">
        <f ca="1"/>
      </c>
      <c r="EO355">
        <f ca="1"/>
      </c>
      <c r="EP355">
        <f ca="1"/>
      </c>
      <c r="EQ355">
        <f ca="1"/>
      </c>
      <c r="ER355">
        <f ca="1"/>
      </c>
      <c r="ES355">
        <f ca="1"/>
      </c>
      <c r="ET355">
        <f ca="1"/>
      </c>
      <c r="EU355">
        <f ca="1"/>
      </c>
      <c r="EV355">
        <f ca="1"/>
      </c>
      <c r="EW355">
        <f ca="1"/>
      </c>
      <c r="EX355">
        <f ca="1"/>
      </c>
      <c r="EY355">
        <f ca="1"/>
      </c>
      <c r="EZ355">
        <f ca="1"/>
      </c>
      <c r="FA355">
        <f ca="1"/>
      </c>
      <c r="FC355">
        <f ca="1"/>
      </c>
      <c r="FD355">
        <f ca="1"/>
      </c>
      <c r="FE355">
        <f ca="1"/>
      </c>
      <c r="FF355">
        <f ca="1"/>
      </c>
      <c r="FG355">
        <f ca="1"/>
      </c>
      <c r="FH355">
        <f ca="1"/>
      </c>
      <c r="FI355">
        <f ca="1"/>
      </c>
      <c r="FJ355">
        <f ca="1"/>
      </c>
      <c r="FK355">
        <f ca="1"/>
      </c>
      <c r="FL355">
        <f ca="1"/>
      </c>
      <c r="FM355">
        <f ca="1"/>
      </c>
      <c r="FN355">
        <f ca="1"/>
      </c>
      <c r="FO355">
        <f ca="1"/>
      </c>
      <c r="FP355">
        <f ca="1"/>
      </c>
      <c r="FQ355">
        <f ca="1"/>
      </c>
      <c r="FR355">
        <f ca="1"/>
      </c>
      <c r="FS355">
        <f ca="1"/>
      </c>
      <c r="FT355">
        <f ca="1"/>
      </c>
      <c r="FU355">
        <f ca="1"/>
      </c>
      <c r="FV355">
        <f ca="1"/>
      </c>
      <c r="FW355">
        <f ca="1"/>
      </c>
      <c r="FX355">
        <f ca="1"/>
      </c>
      <c r="FY355">
        <f ca="1"/>
      </c>
      <c r="FZ355">
        <f ca="1"/>
      </c>
      <c r="GA355">
        <f ca="1"/>
      </c>
      <c r="GB355">
        <f ca="1"/>
      </c>
      <c r="GC355">
        <f ca="1"/>
      </c>
      <c r="GD355">
        <f ca="1"/>
      </c>
      <c r="GE355">
        <f ca="1"/>
      </c>
      <c r="GF355">
        <f ca="1"/>
      </c>
      <c r="GG355">
        <f ca="1"/>
      </c>
      <c r="GH355">
        <f ca="1"/>
      </c>
      <c r="GI355">
        <f ca="1"/>
      </c>
      <c r="GJ355">
        <f ca="1"/>
      </c>
      <c r="GK355">
        <f ca="1"/>
      </c>
      <c r="GL355">
        <f ca="1"/>
      </c>
      <c r="GM355">
        <f ca="1"/>
      </c>
      <c r="GN355">
        <f ca="1"/>
      </c>
      <c r="GO355">
        <f ca="1"/>
      </c>
      <c r="GP355">
        <f ca="1"/>
      </c>
      <c r="GQ355">
        <f ca="1"/>
      </c>
      <c r="GR355">
        <f ca="1"/>
      </c>
      <c r="GS355">
        <f ca="1"/>
      </c>
      <c r="GT355">
        <f ca="1"/>
      </c>
      <c r="GU355">
        <f ca="1"/>
      </c>
      <c r="GV355">
        <f ca="1"/>
      </c>
      <c r="GW355">
        <f ca="1"/>
      </c>
      <c r="HI355" s="7"/>
    </row>
    <row r="356" spans="63:217" x14ac:dyDescent="0.55000000000000004">
      <c r="BK356">
        <f ca="1"/>
      </c>
      <c r="BL356">
        <f ca="1"/>
      </c>
      <c r="BM356">
        <f ca="1"/>
      </c>
      <c r="BN356">
        <f ca="1"/>
      </c>
      <c r="BO356">
        <f ca="1"/>
      </c>
      <c r="BP356">
        <f ca="1"/>
      </c>
      <c r="BQ356">
        <f ca="1"/>
      </c>
      <c r="BR356">
        <f ca="1"/>
      </c>
      <c r="BS356">
        <f ca="1"/>
      </c>
      <c r="BT356">
        <f ca="1"/>
      </c>
      <c r="BU356">
        <f ca="1"/>
      </c>
      <c r="BV356">
        <f ca="1"/>
      </c>
      <c r="BW356">
        <f ca="1"/>
      </c>
      <c r="BX356">
        <f ca="1"/>
      </c>
      <c r="BY356">
        <f ca="1"/>
      </c>
      <c r="BZ356">
        <f ca="1"/>
      </c>
      <c r="CA356">
        <f ca="1"/>
      </c>
      <c r="CB356">
        <f ca="1"/>
      </c>
      <c r="CC356">
        <f ca="1"/>
      </c>
      <c r="CD356">
        <f ca="1"/>
      </c>
      <c r="CE356">
        <f ca="1"/>
      </c>
      <c r="CF356">
        <f ca="1"/>
      </c>
      <c r="CG356">
        <f ca="1"/>
      </c>
      <c r="CH356">
        <f ca="1"/>
      </c>
      <c r="CI356">
        <f ca="1"/>
      </c>
      <c r="CJ356">
        <f ca="1"/>
      </c>
      <c r="CK356">
        <f ca="1"/>
      </c>
      <c r="CL356">
        <f ca="1"/>
      </c>
      <c r="CM356">
        <f ca="1"/>
      </c>
      <c r="CN356">
        <f ca="1"/>
      </c>
      <c r="CO356">
        <f ca="1"/>
      </c>
      <c r="CP356">
        <f ca="1"/>
      </c>
      <c r="CQ356">
        <f ca="1"/>
      </c>
      <c r="CR356">
        <f ca="1"/>
      </c>
      <c r="CS356">
        <f ca="1"/>
      </c>
      <c r="CT356">
        <f ca="1"/>
      </c>
      <c r="CU356">
        <f ca="1"/>
      </c>
      <c r="CV356">
        <f ca="1"/>
      </c>
      <c r="CW356">
        <f ca="1"/>
      </c>
      <c r="CX356">
        <f ca="1"/>
      </c>
      <c r="CY356">
        <f ca="1"/>
      </c>
      <c r="CZ356">
        <f ca="1"/>
      </c>
      <c r="DA356">
        <f ca="1"/>
      </c>
      <c r="DB356">
        <f ca="1"/>
      </c>
      <c r="DC356">
        <f ca="1"/>
      </c>
      <c r="DD356">
        <f ca="1"/>
      </c>
      <c r="DE356">
        <f ca="1"/>
      </c>
      <c r="DG356">
        <f ca="1"/>
      </c>
      <c r="DH356">
        <f ca="1"/>
      </c>
      <c r="DI356">
        <f ca="1"/>
      </c>
      <c r="DJ356">
        <f ca="1"/>
      </c>
      <c r="DK356">
        <f ca="1"/>
      </c>
      <c r="DL356">
        <f ca="1"/>
      </c>
      <c r="DM356">
        <f ca="1"/>
      </c>
      <c r="DN356">
        <f ca="1"/>
      </c>
      <c r="DO356">
        <f ca="1"/>
      </c>
      <c r="DP356">
        <f ca="1"/>
      </c>
      <c r="DQ356">
        <f ca="1"/>
      </c>
      <c r="DR356">
        <f ca="1"/>
      </c>
      <c r="DS356">
        <f ca="1"/>
      </c>
      <c r="DT356">
        <f ca="1"/>
      </c>
      <c r="DU356">
        <f ca="1"/>
      </c>
      <c r="DV356">
        <f ca="1"/>
      </c>
      <c r="DW356">
        <f ca="1"/>
      </c>
      <c r="DX356">
        <f ca="1"/>
      </c>
      <c r="DY356">
        <f ca="1"/>
      </c>
      <c r="DZ356">
        <f ca="1"/>
      </c>
      <c r="EA356">
        <f ca="1"/>
      </c>
      <c r="EB356">
        <f ca="1"/>
      </c>
      <c r="EC356">
        <f ca="1"/>
      </c>
      <c r="ED356">
        <f ca="1"/>
      </c>
      <c r="EE356">
        <f ca="1"/>
      </c>
      <c r="EF356">
        <f ca="1"/>
      </c>
      <c r="EG356">
        <f ca="1"/>
      </c>
      <c r="EH356">
        <f ca="1"/>
      </c>
      <c r="EI356">
        <f ca="1"/>
      </c>
      <c r="EJ356">
        <f ca="1"/>
      </c>
      <c r="EK356">
        <f ca="1"/>
      </c>
      <c r="EL356">
        <f ca="1"/>
      </c>
      <c r="EM356">
        <f ca="1"/>
      </c>
      <c r="EN356">
        <f ca="1"/>
      </c>
      <c r="EO356">
        <f ca="1"/>
      </c>
      <c r="EP356">
        <f ca="1"/>
      </c>
      <c r="EQ356">
        <f ca="1"/>
      </c>
      <c r="ER356">
        <f ca="1"/>
      </c>
      <c r="ES356">
        <f ca="1"/>
      </c>
      <c r="ET356">
        <f ca="1"/>
      </c>
      <c r="EU356">
        <f ca="1"/>
      </c>
      <c r="EV356">
        <f ca="1"/>
      </c>
      <c r="EW356">
        <f ca="1"/>
      </c>
      <c r="EX356">
        <f ca="1"/>
      </c>
      <c r="EY356">
        <f ca="1"/>
      </c>
      <c r="EZ356">
        <f ca="1"/>
      </c>
      <c r="FA356">
        <f ca="1"/>
      </c>
      <c r="FC356">
        <f ca="1"/>
      </c>
      <c r="FD356">
        <f ca="1"/>
      </c>
      <c r="FE356">
        <f ca="1"/>
      </c>
      <c r="FF356">
        <f ca="1"/>
      </c>
      <c r="FG356">
        <f ca="1"/>
      </c>
      <c r="FH356">
        <f ca="1"/>
      </c>
      <c r="FI356">
        <f ca="1"/>
      </c>
      <c r="FJ356">
        <f ca="1"/>
      </c>
      <c r="FK356">
        <f ca="1"/>
      </c>
      <c r="FL356">
        <f ca="1"/>
      </c>
      <c r="FM356">
        <f ca="1"/>
      </c>
      <c r="FN356">
        <f ca="1"/>
      </c>
      <c r="FO356">
        <f ca="1"/>
      </c>
      <c r="FP356">
        <f ca="1"/>
      </c>
      <c r="FQ356">
        <f ca="1"/>
      </c>
      <c r="FR356">
        <f ca="1"/>
      </c>
      <c r="FS356">
        <f ca="1"/>
      </c>
      <c r="FT356">
        <f ca="1"/>
      </c>
      <c r="FU356">
        <f ca="1"/>
      </c>
      <c r="FV356">
        <f ca="1"/>
      </c>
      <c r="FW356">
        <f ca="1"/>
      </c>
      <c r="FX356">
        <f ca="1"/>
      </c>
      <c r="FY356">
        <f ca="1"/>
      </c>
      <c r="FZ356">
        <f ca="1"/>
      </c>
      <c r="GA356">
        <f ca="1"/>
      </c>
      <c r="GB356">
        <f ca="1"/>
      </c>
      <c r="GC356">
        <f ca="1"/>
      </c>
      <c r="GD356">
        <f ca="1"/>
      </c>
      <c r="GE356">
        <f ca="1"/>
      </c>
      <c r="GF356">
        <f ca="1"/>
      </c>
      <c r="GG356">
        <f ca="1"/>
      </c>
      <c r="GH356">
        <f ca="1"/>
      </c>
      <c r="GI356">
        <f ca="1"/>
      </c>
      <c r="GJ356">
        <f ca="1"/>
      </c>
      <c r="GK356">
        <f ca="1"/>
      </c>
      <c r="GL356">
        <f ca="1"/>
      </c>
      <c r="GM356">
        <f ca="1"/>
      </c>
      <c r="GN356">
        <f ca="1"/>
      </c>
      <c r="GO356">
        <f ca="1"/>
      </c>
      <c r="GP356">
        <f ca="1"/>
      </c>
      <c r="GQ356">
        <f ca="1"/>
      </c>
      <c r="GR356">
        <f ca="1"/>
      </c>
      <c r="GS356">
        <f ca="1"/>
      </c>
      <c r="GT356">
        <f ca="1"/>
      </c>
      <c r="GU356">
        <f ca="1"/>
      </c>
      <c r="GV356">
        <f ca="1"/>
      </c>
      <c r="GW356">
        <f ca="1"/>
      </c>
      <c r="HI356" s="7"/>
    </row>
    <row r="357" spans="63:217" x14ac:dyDescent="0.55000000000000004">
      <c r="BK357">
        <f ca="1"/>
      </c>
      <c r="BL357">
        <f ca="1"/>
      </c>
      <c r="BM357">
        <f ca="1"/>
      </c>
      <c r="BN357">
        <f ca="1"/>
      </c>
      <c r="BO357">
        <f ca="1"/>
      </c>
      <c r="BP357">
        <f ca="1"/>
      </c>
      <c r="BQ357">
        <f ca="1"/>
      </c>
      <c r="BR357">
        <f ca="1"/>
      </c>
      <c r="BS357">
        <f ca="1"/>
      </c>
      <c r="BT357">
        <f ca="1"/>
      </c>
      <c r="BU357">
        <f ca="1"/>
      </c>
      <c r="BV357">
        <f ca="1"/>
      </c>
      <c r="BW357">
        <f ca="1"/>
      </c>
      <c r="BX357">
        <f ca="1"/>
      </c>
      <c r="BY357">
        <f ca="1"/>
      </c>
      <c r="BZ357">
        <f ca="1"/>
      </c>
      <c r="CA357">
        <f ca="1"/>
      </c>
      <c r="CB357">
        <f ca="1"/>
      </c>
      <c r="CC357">
        <f ca="1"/>
      </c>
      <c r="CD357">
        <f ca="1"/>
      </c>
      <c r="CE357">
        <f ca="1"/>
      </c>
      <c r="CF357">
        <f ca="1"/>
      </c>
      <c r="CG357">
        <f ca="1"/>
      </c>
      <c r="CH357">
        <f ca="1"/>
      </c>
      <c r="CI357">
        <f ca="1"/>
      </c>
      <c r="CJ357">
        <f ca="1"/>
      </c>
      <c r="CK357">
        <f ca="1"/>
      </c>
      <c r="CL357">
        <f ca="1"/>
      </c>
      <c r="CM357">
        <f ca="1"/>
      </c>
      <c r="CN357">
        <f ca="1"/>
      </c>
      <c r="CO357">
        <f ca="1"/>
      </c>
      <c r="CP357">
        <f ca="1"/>
      </c>
      <c r="CQ357">
        <f ca="1"/>
      </c>
      <c r="CR357">
        <f ca="1"/>
      </c>
      <c r="CS357">
        <f ca="1"/>
      </c>
      <c r="CT357">
        <f ca="1"/>
      </c>
      <c r="CU357">
        <f ca="1"/>
      </c>
      <c r="CV357">
        <f ca="1"/>
      </c>
      <c r="CW357">
        <f ca="1"/>
      </c>
      <c r="CX357">
        <f ca="1"/>
      </c>
      <c r="CY357">
        <f ca="1"/>
      </c>
      <c r="CZ357">
        <f ca="1"/>
      </c>
      <c r="DA357">
        <f ca="1"/>
      </c>
      <c r="DB357">
        <f ca="1"/>
      </c>
      <c r="DC357">
        <f ca="1"/>
      </c>
      <c r="DD357">
        <f ca="1"/>
      </c>
      <c r="DE357">
        <f ca="1"/>
      </c>
      <c r="DG357">
        <f ca="1"/>
      </c>
      <c r="DH357">
        <f ca="1"/>
      </c>
      <c r="DI357">
        <f ca="1"/>
      </c>
      <c r="DJ357">
        <f ca="1"/>
      </c>
      <c r="DK357">
        <f ca="1"/>
      </c>
      <c r="DL357">
        <f ca="1"/>
      </c>
      <c r="DM357">
        <f ca="1"/>
      </c>
      <c r="DN357">
        <f ca="1"/>
      </c>
      <c r="DO357">
        <f ca="1"/>
      </c>
      <c r="DP357">
        <f ca="1"/>
      </c>
      <c r="DQ357">
        <f ca="1"/>
      </c>
      <c r="DR357">
        <f ca="1"/>
      </c>
      <c r="DS357">
        <f ca="1"/>
      </c>
      <c r="DT357">
        <f ca="1"/>
      </c>
      <c r="DU357">
        <f ca="1"/>
      </c>
      <c r="DV357">
        <f ca="1"/>
      </c>
      <c r="DW357">
        <f ca="1"/>
      </c>
      <c r="DX357">
        <f ca="1"/>
      </c>
      <c r="DY357">
        <f ca="1"/>
      </c>
      <c r="DZ357">
        <f ca="1"/>
      </c>
      <c r="EA357">
        <f ca="1"/>
      </c>
      <c r="EB357">
        <f ca="1"/>
      </c>
      <c r="EC357">
        <f ca="1"/>
      </c>
      <c r="ED357">
        <f ca="1"/>
      </c>
      <c r="EE357">
        <f ca="1"/>
      </c>
      <c r="EF357">
        <f ca="1"/>
      </c>
      <c r="EG357">
        <f ca="1"/>
      </c>
      <c r="EH357">
        <f ca="1"/>
      </c>
      <c r="EI357">
        <f ca="1"/>
      </c>
      <c r="EJ357">
        <f ca="1"/>
      </c>
      <c r="EK357">
        <f ca="1"/>
      </c>
      <c r="EL357">
        <f ca="1"/>
      </c>
      <c r="EM357">
        <f ca="1"/>
      </c>
      <c r="EN357">
        <f ca="1"/>
      </c>
      <c r="EO357">
        <f ca="1"/>
      </c>
      <c r="EP357">
        <f ca="1"/>
      </c>
      <c r="EQ357">
        <f ca="1"/>
      </c>
      <c r="ER357">
        <f ca="1"/>
      </c>
      <c r="ES357">
        <f ca="1"/>
      </c>
      <c r="ET357">
        <f ca="1"/>
      </c>
      <c r="EU357">
        <f ca="1"/>
      </c>
      <c r="EV357">
        <f ca="1"/>
      </c>
      <c r="EW357">
        <f ca="1"/>
      </c>
      <c r="EX357">
        <f ca="1"/>
      </c>
      <c r="EY357">
        <f ca="1"/>
      </c>
      <c r="EZ357">
        <f ca="1"/>
      </c>
      <c r="FA357">
        <f ca="1"/>
      </c>
      <c r="FC357">
        <f ca="1"/>
      </c>
      <c r="FD357">
        <f ca="1"/>
      </c>
      <c r="FE357">
        <f ca="1"/>
      </c>
      <c r="FF357">
        <f ca="1"/>
      </c>
      <c r="FG357">
        <f ca="1"/>
      </c>
      <c r="FH357">
        <f ca="1"/>
      </c>
      <c r="FI357">
        <f ca="1"/>
      </c>
      <c r="FJ357">
        <f ca="1"/>
      </c>
      <c r="FK357">
        <f ca="1"/>
      </c>
      <c r="FL357">
        <f ca="1"/>
      </c>
      <c r="FM357">
        <f ca="1"/>
      </c>
      <c r="FN357">
        <f ca="1"/>
      </c>
      <c r="FO357">
        <f ca="1"/>
      </c>
      <c r="FP357">
        <f ca="1"/>
      </c>
      <c r="FQ357">
        <f ca="1"/>
      </c>
      <c r="FR357">
        <f ca="1"/>
      </c>
      <c r="FS357">
        <f ca="1"/>
      </c>
      <c r="FT357">
        <f ca="1"/>
      </c>
      <c r="FU357">
        <f ca="1"/>
      </c>
      <c r="FV357">
        <f ca="1"/>
      </c>
      <c r="FW357">
        <f ca="1"/>
      </c>
      <c r="FX357">
        <f ca="1"/>
      </c>
      <c r="FY357">
        <f ca="1"/>
      </c>
      <c r="FZ357">
        <f ca="1"/>
      </c>
      <c r="GA357">
        <f ca="1"/>
      </c>
      <c r="GB357">
        <f ca="1"/>
      </c>
      <c r="GC357">
        <f ca="1"/>
      </c>
      <c r="GD357">
        <f ca="1"/>
      </c>
      <c r="GE357">
        <f ca="1"/>
      </c>
      <c r="GF357">
        <f ca="1"/>
      </c>
      <c r="GG357">
        <f ca="1"/>
      </c>
      <c r="GH357">
        <f ca="1"/>
      </c>
      <c r="GI357">
        <f ca="1"/>
      </c>
      <c r="GJ357">
        <f ca="1"/>
      </c>
      <c r="GK357">
        <f ca="1"/>
      </c>
      <c r="GL357">
        <f ca="1"/>
      </c>
      <c r="GM357">
        <f ca="1"/>
      </c>
      <c r="GN357">
        <f ca="1"/>
      </c>
      <c r="GO357">
        <f ca="1"/>
      </c>
      <c r="GP357">
        <f ca="1"/>
      </c>
      <c r="GQ357">
        <f ca="1"/>
      </c>
      <c r="GR357">
        <f ca="1"/>
      </c>
      <c r="GS357">
        <f ca="1"/>
      </c>
      <c r="GT357">
        <f ca="1"/>
      </c>
      <c r="GU357">
        <f ca="1"/>
      </c>
      <c r="GV357">
        <f ca="1"/>
      </c>
      <c r="GW357">
        <f ca="1"/>
      </c>
      <c r="HI357" s="7"/>
    </row>
    <row r="358" spans="63:217" x14ac:dyDescent="0.55000000000000004">
      <c r="BK358">
        <f ca="1"/>
      </c>
      <c r="BL358">
        <f ca="1"/>
      </c>
      <c r="BM358">
        <f ca="1"/>
      </c>
      <c r="BN358">
        <f ca="1"/>
      </c>
      <c r="BO358">
        <f ca="1"/>
      </c>
      <c r="BP358">
        <f ca="1"/>
      </c>
      <c r="BQ358">
        <f ca="1"/>
      </c>
      <c r="BR358">
        <f ca="1"/>
      </c>
      <c r="BS358">
        <f ca="1"/>
      </c>
      <c r="BT358">
        <f ca="1"/>
      </c>
      <c r="BU358">
        <f ca="1"/>
      </c>
      <c r="BV358">
        <f ca="1"/>
      </c>
      <c r="BW358">
        <f ca="1"/>
      </c>
      <c r="BX358">
        <f ca="1"/>
      </c>
      <c r="BY358">
        <f ca="1"/>
      </c>
      <c r="BZ358">
        <f ca="1"/>
      </c>
      <c r="CA358">
        <f ca="1"/>
      </c>
      <c r="CB358">
        <f ca="1"/>
      </c>
      <c r="CC358">
        <f ca="1"/>
      </c>
      <c r="CD358">
        <f ca="1"/>
      </c>
      <c r="CE358">
        <f ca="1"/>
      </c>
      <c r="CF358">
        <f ca="1"/>
      </c>
      <c r="CG358">
        <f ca="1"/>
      </c>
      <c r="CH358">
        <f ca="1"/>
      </c>
      <c r="CI358">
        <f ca="1"/>
      </c>
      <c r="CJ358">
        <f ca="1"/>
      </c>
      <c r="CK358">
        <f ca="1"/>
      </c>
      <c r="CL358">
        <f ca="1"/>
      </c>
      <c r="CM358">
        <f ca="1"/>
      </c>
      <c r="CN358">
        <f ca="1"/>
      </c>
      <c r="CO358">
        <f ca="1"/>
      </c>
      <c r="CP358">
        <f ca="1"/>
      </c>
      <c r="CQ358">
        <f ca="1"/>
      </c>
      <c r="CR358">
        <f ca="1"/>
      </c>
      <c r="CS358">
        <f ca="1"/>
      </c>
      <c r="CT358">
        <f ca="1"/>
      </c>
      <c r="CU358">
        <f ca="1"/>
      </c>
      <c r="CV358">
        <f ca="1"/>
      </c>
      <c r="CW358">
        <f ca="1"/>
      </c>
      <c r="CX358">
        <f ca="1"/>
      </c>
      <c r="CY358">
        <f ca="1"/>
      </c>
      <c r="CZ358">
        <f ca="1"/>
      </c>
      <c r="DA358">
        <f ca="1"/>
      </c>
      <c r="DB358">
        <f ca="1"/>
      </c>
      <c r="DC358">
        <f ca="1"/>
      </c>
      <c r="DD358">
        <f ca="1"/>
      </c>
      <c r="DE358">
        <f ca="1"/>
      </c>
      <c r="DG358">
        <f ca="1"/>
      </c>
      <c r="DH358">
        <f ca="1"/>
      </c>
      <c r="DI358">
        <f ca="1"/>
      </c>
      <c r="DJ358">
        <f ca="1"/>
      </c>
      <c r="DK358">
        <f ca="1"/>
      </c>
      <c r="DL358">
        <f ca="1"/>
      </c>
      <c r="DM358">
        <f ca="1"/>
      </c>
      <c r="DN358">
        <f ca="1"/>
      </c>
      <c r="DO358">
        <f ca="1"/>
      </c>
      <c r="DP358">
        <f ca="1"/>
      </c>
      <c r="DQ358">
        <f ca="1"/>
      </c>
      <c r="DR358">
        <f ca="1"/>
      </c>
      <c r="DS358">
        <f ca="1"/>
      </c>
      <c r="DT358">
        <f ca="1"/>
      </c>
      <c r="DU358">
        <f ca="1"/>
      </c>
      <c r="DV358">
        <f ca="1"/>
      </c>
      <c r="DW358">
        <f ca="1"/>
      </c>
      <c r="DX358">
        <f ca="1"/>
      </c>
      <c r="DY358">
        <f ca="1"/>
      </c>
      <c r="DZ358">
        <f ca="1"/>
      </c>
      <c r="EA358">
        <f ca="1"/>
      </c>
      <c r="EB358">
        <f ca="1"/>
      </c>
      <c r="EC358">
        <f ca="1"/>
      </c>
      <c r="ED358">
        <f ca="1"/>
      </c>
      <c r="EE358">
        <f ca="1"/>
      </c>
      <c r="EF358">
        <f ca="1"/>
      </c>
      <c r="EG358">
        <f ca="1"/>
      </c>
      <c r="EH358">
        <f ca="1"/>
      </c>
      <c r="EI358">
        <f ca="1"/>
      </c>
      <c r="EJ358">
        <f ca="1"/>
      </c>
      <c r="EK358">
        <f ca="1"/>
      </c>
      <c r="EL358">
        <f ca="1"/>
      </c>
      <c r="EM358">
        <f ca="1"/>
      </c>
      <c r="EN358">
        <f ca="1"/>
      </c>
      <c r="EO358">
        <f ca="1"/>
      </c>
      <c r="EP358">
        <f ca="1"/>
      </c>
      <c r="EQ358">
        <f ca="1"/>
      </c>
      <c r="ER358">
        <f ca="1"/>
      </c>
      <c r="ES358">
        <f ca="1"/>
      </c>
      <c r="ET358">
        <f ca="1"/>
      </c>
      <c r="EU358">
        <f ca="1"/>
      </c>
      <c r="EV358">
        <f ca="1"/>
      </c>
      <c r="EW358">
        <f ca="1"/>
      </c>
      <c r="EX358">
        <f ca="1"/>
      </c>
      <c r="EY358">
        <f ca="1"/>
      </c>
      <c r="EZ358">
        <f ca="1"/>
      </c>
      <c r="FA358">
        <f ca="1"/>
      </c>
      <c r="FC358">
        <f ca="1"/>
      </c>
      <c r="FD358">
        <f ca="1"/>
      </c>
      <c r="FE358">
        <f ca="1"/>
      </c>
      <c r="FF358">
        <f ca="1"/>
      </c>
      <c r="FG358">
        <f ca="1"/>
      </c>
      <c r="FH358">
        <f ca="1"/>
      </c>
      <c r="FI358">
        <f ca="1"/>
      </c>
      <c r="FJ358">
        <f ca="1"/>
      </c>
      <c r="FK358">
        <f ca="1"/>
      </c>
      <c r="FL358">
        <f ca="1"/>
      </c>
      <c r="FM358">
        <f ca="1"/>
      </c>
      <c r="FN358">
        <f ca="1"/>
      </c>
      <c r="FO358">
        <f ca="1"/>
      </c>
      <c r="FP358">
        <f ca="1"/>
      </c>
      <c r="FQ358">
        <f ca="1"/>
      </c>
      <c r="FR358">
        <f ca="1"/>
      </c>
      <c r="FS358">
        <f ca="1"/>
      </c>
      <c r="FT358">
        <f ca="1"/>
      </c>
      <c r="FU358">
        <f ca="1"/>
      </c>
      <c r="FV358">
        <f ca="1"/>
      </c>
      <c r="FW358">
        <f ca="1"/>
      </c>
      <c r="FX358">
        <f ca="1"/>
      </c>
      <c r="FY358">
        <f ca="1"/>
      </c>
      <c r="FZ358">
        <f ca="1"/>
      </c>
      <c r="GA358">
        <f ca="1"/>
      </c>
      <c r="GB358">
        <f ca="1"/>
      </c>
      <c r="GC358">
        <f ca="1"/>
      </c>
      <c r="GD358">
        <f ca="1"/>
      </c>
      <c r="GE358">
        <f ca="1"/>
      </c>
      <c r="GF358">
        <f ca="1"/>
      </c>
      <c r="GG358">
        <f ca="1"/>
      </c>
      <c r="GH358">
        <f ca="1"/>
      </c>
      <c r="GI358">
        <f ca="1"/>
      </c>
      <c r="GJ358">
        <f ca="1"/>
      </c>
      <c r="GK358">
        <f ca="1"/>
      </c>
      <c r="GL358">
        <f ca="1"/>
      </c>
      <c r="GM358">
        <f ca="1"/>
      </c>
      <c r="GN358">
        <f ca="1"/>
      </c>
      <c r="GO358">
        <f ca="1"/>
      </c>
      <c r="GP358">
        <f ca="1"/>
      </c>
      <c r="GQ358">
        <f ca="1"/>
      </c>
      <c r="GR358">
        <f ca="1"/>
      </c>
      <c r="GS358">
        <f ca="1"/>
      </c>
      <c r="GT358">
        <f ca="1"/>
      </c>
      <c r="GU358">
        <f ca="1"/>
      </c>
      <c r="GV358">
        <f ca="1"/>
      </c>
      <c r="GW358">
        <f ca="1"/>
      </c>
      <c r="HI358" s="7"/>
    </row>
    <row r="359" spans="63:217" x14ac:dyDescent="0.55000000000000004">
      <c r="BK359">
        <f ca="1"/>
      </c>
      <c r="BL359">
        <f ca="1"/>
      </c>
      <c r="BM359">
        <f ca="1"/>
      </c>
      <c r="BN359">
        <f ca="1"/>
      </c>
      <c r="BO359">
        <f ca="1"/>
      </c>
      <c r="BP359">
        <f ca="1"/>
      </c>
      <c r="BQ359">
        <f ca="1"/>
      </c>
      <c r="BR359">
        <f ca="1"/>
      </c>
      <c r="BS359">
        <f ca="1"/>
      </c>
      <c r="BT359">
        <f ca="1"/>
      </c>
      <c r="BU359">
        <f ca="1"/>
      </c>
      <c r="BV359">
        <f ca="1"/>
      </c>
      <c r="BW359">
        <f ca="1"/>
      </c>
      <c r="BX359">
        <f ca="1"/>
      </c>
      <c r="BY359">
        <f ca="1"/>
      </c>
      <c r="BZ359">
        <f ca="1"/>
      </c>
      <c r="CA359">
        <f ca="1"/>
      </c>
      <c r="CB359">
        <f ca="1"/>
      </c>
      <c r="CC359">
        <f ca="1"/>
      </c>
      <c r="CD359">
        <f ca="1"/>
      </c>
      <c r="CE359">
        <f ca="1"/>
      </c>
      <c r="CF359">
        <f ca="1"/>
      </c>
      <c r="CG359">
        <f ca="1"/>
      </c>
      <c r="CH359">
        <f ca="1"/>
      </c>
      <c r="CI359">
        <f ca="1"/>
      </c>
      <c r="CJ359">
        <f ca="1"/>
      </c>
      <c r="CK359">
        <f ca="1"/>
      </c>
      <c r="CL359">
        <f ca="1"/>
      </c>
      <c r="CM359">
        <f ca="1"/>
      </c>
      <c r="CN359">
        <f ca="1"/>
      </c>
      <c r="CO359">
        <f ca="1"/>
      </c>
      <c r="CP359">
        <f ca="1"/>
      </c>
      <c r="CQ359">
        <f ca="1"/>
      </c>
      <c r="CR359">
        <f ca="1"/>
      </c>
      <c r="CS359">
        <f ca="1"/>
      </c>
      <c r="CT359">
        <f ca="1"/>
      </c>
      <c r="CU359">
        <f ca="1"/>
      </c>
      <c r="CV359">
        <f ca="1"/>
      </c>
      <c r="CW359">
        <f ca="1"/>
      </c>
      <c r="CX359">
        <f ca="1"/>
      </c>
      <c r="CY359">
        <f ca="1"/>
      </c>
      <c r="CZ359">
        <f ca="1"/>
      </c>
      <c r="DA359">
        <f ca="1"/>
      </c>
      <c r="DB359">
        <f ca="1"/>
      </c>
      <c r="DC359">
        <f ca="1"/>
      </c>
      <c r="DD359">
        <f ca="1"/>
      </c>
      <c r="DE359">
        <f ca="1"/>
      </c>
      <c r="DG359">
        <f ca="1"/>
      </c>
      <c r="DH359">
        <f ca="1"/>
      </c>
      <c r="DI359">
        <f ca="1"/>
      </c>
      <c r="DJ359">
        <f ca="1"/>
      </c>
      <c r="DK359">
        <f ca="1"/>
      </c>
      <c r="DL359">
        <f ca="1"/>
      </c>
      <c r="DM359">
        <f ca="1"/>
      </c>
      <c r="DN359">
        <f ca="1"/>
      </c>
      <c r="DO359">
        <f ca="1"/>
      </c>
      <c r="DP359">
        <f ca="1"/>
      </c>
      <c r="DQ359">
        <f ca="1"/>
      </c>
      <c r="DR359">
        <f ca="1"/>
      </c>
      <c r="DS359">
        <f ca="1"/>
      </c>
      <c r="DT359">
        <f ca="1"/>
      </c>
      <c r="DU359">
        <f ca="1"/>
      </c>
      <c r="DV359">
        <f ca="1"/>
      </c>
      <c r="DW359">
        <f ca="1"/>
      </c>
      <c r="DX359">
        <f ca="1"/>
      </c>
      <c r="DY359">
        <f ca="1"/>
      </c>
      <c r="DZ359">
        <f ca="1"/>
      </c>
      <c r="EA359">
        <f ca="1"/>
      </c>
      <c r="EB359">
        <f ca="1"/>
      </c>
      <c r="EC359">
        <f ca="1"/>
      </c>
      <c r="ED359">
        <f ca="1"/>
      </c>
      <c r="EE359">
        <f ca="1"/>
      </c>
      <c r="EF359">
        <f ca="1"/>
      </c>
      <c r="EG359">
        <f ca="1"/>
      </c>
      <c r="EH359">
        <f ca="1"/>
      </c>
      <c r="EI359">
        <f ca="1"/>
      </c>
      <c r="EJ359">
        <f ca="1"/>
      </c>
      <c r="EK359">
        <f ca="1"/>
      </c>
      <c r="EL359">
        <f ca="1"/>
      </c>
      <c r="EM359">
        <f ca="1"/>
      </c>
      <c r="EN359">
        <f ca="1"/>
      </c>
      <c r="EO359">
        <f ca="1"/>
      </c>
      <c r="EP359">
        <f ca="1"/>
      </c>
      <c r="EQ359">
        <f ca="1"/>
      </c>
      <c r="ER359">
        <f ca="1"/>
      </c>
      <c r="ES359">
        <f ca="1"/>
      </c>
      <c r="ET359">
        <f ca="1"/>
      </c>
      <c r="EU359">
        <f ca="1"/>
      </c>
      <c r="EV359">
        <f ca="1"/>
      </c>
      <c r="EW359">
        <f ca="1"/>
      </c>
      <c r="EX359">
        <f ca="1"/>
      </c>
      <c r="EY359">
        <f ca="1"/>
      </c>
      <c r="EZ359">
        <f ca="1"/>
      </c>
      <c r="FA359">
        <f ca="1"/>
      </c>
      <c r="FC359">
        <f ca="1"/>
      </c>
      <c r="FD359">
        <f ca="1"/>
      </c>
      <c r="FE359">
        <f ca="1"/>
      </c>
      <c r="FF359">
        <f ca="1"/>
      </c>
      <c r="FG359">
        <f ca="1"/>
      </c>
      <c r="FH359">
        <f ca="1"/>
      </c>
      <c r="FI359">
        <f ca="1"/>
      </c>
      <c r="FJ359">
        <f ca="1"/>
      </c>
      <c r="FK359">
        <f ca="1"/>
      </c>
      <c r="FL359">
        <f ca="1"/>
      </c>
      <c r="FM359">
        <f ca="1"/>
      </c>
      <c r="FN359">
        <f ca="1"/>
      </c>
      <c r="FO359">
        <f ca="1"/>
      </c>
      <c r="FP359">
        <f ca="1"/>
      </c>
      <c r="FQ359">
        <f ca="1"/>
      </c>
      <c r="FR359">
        <f ca="1"/>
      </c>
      <c r="FS359">
        <f ca="1"/>
      </c>
      <c r="FT359">
        <f ca="1"/>
      </c>
      <c r="FU359">
        <f ca="1"/>
      </c>
      <c r="FV359">
        <f ca="1"/>
      </c>
      <c r="FW359">
        <f ca="1"/>
      </c>
      <c r="FX359">
        <f ca="1"/>
      </c>
      <c r="FY359">
        <f ca="1"/>
      </c>
      <c r="FZ359">
        <f ca="1"/>
      </c>
      <c r="GA359">
        <f ca="1"/>
      </c>
      <c r="GB359">
        <f ca="1"/>
      </c>
      <c r="GC359">
        <f ca="1"/>
      </c>
      <c r="GD359">
        <f ca="1"/>
      </c>
      <c r="GE359">
        <f ca="1"/>
      </c>
      <c r="GF359">
        <f ca="1"/>
      </c>
      <c r="GG359">
        <f ca="1"/>
      </c>
      <c r="GH359">
        <f ca="1"/>
      </c>
      <c r="GI359">
        <f ca="1"/>
      </c>
      <c r="GJ359">
        <f ca="1"/>
      </c>
      <c r="GK359">
        <f ca="1"/>
      </c>
      <c r="GL359">
        <f ca="1"/>
      </c>
      <c r="GM359">
        <f ca="1"/>
      </c>
      <c r="GN359">
        <f ca="1"/>
      </c>
      <c r="GO359">
        <f ca="1"/>
      </c>
      <c r="GP359">
        <f ca="1"/>
      </c>
      <c r="GQ359">
        <f ca="1"/>
      </c>
      <c r="GR359">
        <f ca="1"/>
      </c>
      <c r="GS359">
        <f ca="1"/>
      </c>
      <c r="GT359">
        <f ca="1"/>
      </c>
      <c r="GU359">
        <f ca="1"/>
      </c>
      <c r="GV359">
        <f ca="1"/>
      </c>
      <c r="GW359">
        <f ca="1"/>
      </c>
      <c r="HI359" s="7"/>
    </row>
    <row r="360" spans="63:217" x14ac:dyDescent="0.55000000000000004">
      <c r="BK360">
        <f ca="1"/>
      </c>
      <c r="BL360">
        <f ca="1"/>
      </c>
      <c r="BM360">
        <f ca="1"/>
      </c>
      <c r="BN360">
        <f ca="1"/>
      </c>
      <c r="BO360">
        <f ca="1"/>
      </c>
      <c r="BP360">
        <f ca="1"/>
      </c>
      <c r="BQ360">
        <f ca="1"/>
      </c>
      <c r="BR360">
        <f ca="1"/>
      </c>
      <c r="BS360">
        <f ca="1"/>
      </c>
      <c r="BT360">
        <f ca="1"/>
      </c>
      <c r="BU360">
        <f ca="1"/>
      </c>
      <c r="BV360">
        <f ca="1"/>
      </c>
      <c r="BW360">
        <f ca="1"/>
      </c>
      <c r="BX360">
        <f ca="1"/>
      </c>
      <c r="BY360">
        <f ca="1"/>
      </c>
      <c r="BZ360">
        <f ca="1"/>
      </c>
      <c r="CA360">
        <f ca="1"/>
      </c>
      <c r="CB360">
        <f ca="1"/>
      </c>
      <c r="CC360">
        <f ca="1"/>
      </c>
      <c r="CD360">
        <f ca="1"/>
      </c>
      <c r="CE360">
        <f ca="1"/>
      </c>
      <c r="CF360">
        <f ca="1"/>
      </c>
      <c r="CG360">
        <f ca="1"/>
      </c>
      <c r="CH360">
        <f ca="1"/>
      </c>
      <c r="CI360">
        <f ca="1"/>
      </c>
      <c r="CJ360">
        <f ca="1"/>
      </c>
      <c r="CK360">
        <f ca="1"/>
      </c>
      <c r="CL360">
        <f ca="1"/>
      </c>
      <c r="CM360">
        <f ca="1"/>
      </c>
      <c r="CN360">
        <f ca="1"/>
      </c>
      <c r="CO360">
        <f ca="1"/>
      </c>
      <c r="CP360">
        <f ca="1"/>
      </c>
      <c r="CQ360">
        <f ca="1"/>
      </c>
      <c r="CR360">
        <f ca="1"/>
      </c>
      <c r="CS360">
        <f ca="1"/>
      </c>
      <c r="CT360">
        <f ca="1"/>
      </c>
      <c r="CU360">
        <f ca="1"/>
      </c>
      <c r="CV360">
        <f ca="1"/>
      </c>
      <c r="CW360">
        <f ca="1"/>
      </c>
      <c r="CX360">
        <f ca="1"/>
      </c>
      <c r="CY360">
        <f ca="1"/>
      </c>
      <c r="CZ360">
        <f ca="1"/>
      </c>
      <c r="DA360">
        <f ca="1"/>
      </c>
      <c r="DB360">
        <f ca="1"/>
      </c>
      <c r="DC360">
        <f ca="1"/>
      </c>
      <c r="DD360">
        <f ca="1"/>
      </c>
      <c r="DE360">
        <f ca="1"/>
      </c>
      <c r="DG360">
        <f ca="1"/>
      </c>
      <c r="DH360">
        <f ca="1"/>
      </c>
      <c r="DI360">
        <f ca="1"/>
      </c>
      <c r="DJ360">
        <f ca="1"/>
      </c>
      <c r="DK360">
        <f ca="1"/>
      </c>
      <c r="DL360">
        <f ca="1"/>
      </c>
      <c r="DM360">
        <f ca="1"/>
      </c>
      <c r="DN360">
        <f ca="1"/>
      </c>
      <c r="DO360">
        <f ca="1"/>
      </c>
      <c r="DP360">
        <f ca="1"/>
      </c>
      <c r="DQ360">
        <f ca="1"/>
      </c>
      <c r="DR360">
        <f ca="1"/>
      </c>
      <c r="DS360">
        <f ca="1"/>
      </c>
      <c r="DT360">
        <f ca="1"/>
      </c>
      <c r="DU360">
        <f ca="1"/>
      </c>
      <c r="DV360">
        <f ca="1"/>
      </c>
      <c r="DW360">
        <f ca="1"/>
      </c>
      <c r="DX360">
        <f ca="1"/>
      </c>
      <c r="DY360">
        <f ca="1"/>
      </c>
      <c r="DZ360">
        <f ca="1"/>
      </c>
      <c r="EA360">
        <f ca="1"/>
      </c>
      <c r="EB360">
        <f ca="1"/>
      </c>
      <c r="EC360">
        <f ca="1"/>
      </c>
      <c r="ED360">
        <f ca="1"/>
      </c>
      <c r="EE360">
        <f ca="1"/>
      </c>
      <c r="EF360">
        <f ca="1"/>
      </c>
      <c r="EG360">
        <f ca="1"/>
      </c>
      <c r="EH360">
        <f ca="1"/>
      </c>
      <c r="EI360">
        <f ca="1"/>
      </c>
      <c r="EJ360">
        <f ca="1"/>
      </c>
      <c r="EK360">
        <f ca="1"/>
      </c>
      <c r="EL360">
        <f ca="1"/>
      </c>
      <c r="EM360">
        <f ca="1"/>
      </c>
      <c r="EN360">
        <f ca="1"/>
      </c>
      <c r="EO360">
        <f ca="1"/>
      </c>
      <c r="EP360">
        <f ca="1"/>
      </c>
      <c r="EQ360">
        <f ca="1"/>
      </c>
      <c r="ER360">
        <f ca="1"/>
      </c>
      <c r="ES360">
        <f ca="1"/>
      </c>
      <c r="ET360">
        <f ca="1"/>
      </c>
      <c r="EU360">
        <f ca="1"/>
      </c>
      <c r="EV360">
        <f ca="1"/>
      </c>
      <c r="EW360">
        <f ca="1"/>
      </c>
      <c r="EX360">
        <f ca="1"/>
      </c>
      <c r="EY360">
        <f ca="1"/>
      </c>
      <c r="EZ360">
        <f ca="1"/>
      </c>
      <c r="FA360">
        <f ca="1"/>
      </c>
      <c r="FC360">
        <f ca="1"/>
      </c>
      <c r="FD360">
        <f ca="1"/>
      </c>
      <c r="FE360">
        <f ca="1"/>
      </c>
      <c r="FF360">
        <f ca="1"/>
      </c>
      <c r="FG360">
        <f ca="1"/>
      </c>
      <c r="FH360">
        <f ca="1"/>
      </c>
      <c r="FI360">
        <f ca="1"/>
      </c>
      <c r="FJ360">
        <f ca="1"/>
      </c>
      <c r="FK360">
        <f ca="1"/>
      </c>
      <c r="FL360">
        <f ca="1"/>
      </c>
      <c r="FM360">
        <f ca="1"/>
      </c>
      <c r="FN360">
        <f ca="1"/>
      </c>
      <c r="FO360">
        <f ca="1"/>
      </c>
      <c r="FP360">
        <f ca="1"/>
      </c>
      <c r="FQ360">
        <f ca="1"/>
      </c>
      <c r="FR360">
        <f ca="1"/>
      </c>
      <c r="FS360">
        <f ca="1"/>
      </c>
      <c r="FT360">
        <f ca="1"/>
      </c>
      <c r="FU360">
        <f ca="1"/>
      </c>
      <c r="FV360">
        <f ca="1"/>
      </c>
      <c r="FW360">
        <f ca="1"/>
      </c>
      <c r="FX360">
        <f ca="1"/>
      </c>
      <c r="FY360">
        <f ca="1"/>
      </c>
      <c r="FZ360">
        <f ca="1"/>
      </c>
      <c r="GA360">
        <f ca="1"/>
      </c>
      <c r="GB360">
        <f ca="1"/>
      </c>
      <c r="GC360">
        <f ca="1"/>
      </c>
      <c r="GD360">
        <f ca="1"/>
      </c>
      <c r="GE360">
        <f ca="1"/>
      </c>
      <c r="GF360">
        <f ca="1"/>
      </c>
      <c r="GG360">
        <f ca="1"/>
      </c>
      <c r="GH360">
        <f ca="1"/>
      </c>
      <c r="GI360">
        <f ca="1"/>
      </c>
      <c r="GJ360">
        <f ca="1"/>
      </c>
      <c r="GK360">
        <f ca="1"/>
      </c>
      <c r="GL360">
        <f ca="1"/>
      </c>
      <c r="GM360">
        <f ca="1"/>
      </c>
      <c r="GN360">
        <f ca="1"/>
      </c>
      <c r="GO360">
        <f ca="1"/>
      </c>
      <c r="GP360">
        <f ca="1"/>
      </c>
      <c r="GQ360">
        <f ca="1"/>
      </c>
      <c r="GR360">
        <f ca="1"/>
      </c>
      <c r="GS360">
        <f ca="1"/>
      </c>
      <c r="GT360">
        <f ca="1"/>
      </c>
      <c r="GU360">
        <f ca="1"/>
      </c>
      <c r="GV360">
        <f ca="1"/>
      </c>
      <c r="GW360">
        <f ca="1"/>
      </c>
      <c r="HI360" s="7"/>
    </row>
    <row r="361" spans="63:217" x14ac:dyDescent="0.55000000000000004">
      <c r="BK361">
        <f ca="1"/>
      </c>
      <c r="BL361">
        <f ca="1"/>
      </c>
      <c r="BM361">
        <f ca="1"/>
      </c>
      <c r="BN361">
        <f ca="1"/>
      </c>
      <c r="BO361">
        <f ca="1"/>
      </c>
      <c r="BP361">
        <f ca="1"/>
      </c>
      <c r="BQ361">
        <f ca="1"/>
      </c>
      <c r="BR361">
        <f ca="1"/>
      </c>
      <c r="BS361">
        <f ca="1"/>
      </c>
      <c r="BT361">
        <f ca="1"/>
      </c>
      <c r="BU361">
        <f ca="1"/>
      </c>
      <c r="BV361">
        <f ca="1"/>
      </c>
      <c r="BW361">
        <f ca="1"/>
      </c>
      <c r="BX361">
        <f ca="1"/>
      </c>
      <c r="BY361">
        <f ca="1"/>
      </c>
      <c r="BZ361">
        <f ca="1"/>
      </c>
      <c r="CA361">
        <f ca="1"/>
      </c>
      <c r="CB361">
        <f ca="1"/>
      </c>
      <c r="CC361">
        <f ca="1"/>
      </c>
      <c r="CD361">
        <f ca="1"/>
      </c>
      <c r="CE361">
        <f ca="1"/>
      </c>
      <c r="CF361">
        <f ca="1"/>
      </c>
      <c r="CG361">
        <f ca="1"/>
      </c>
      <c r="CH361">
        <f ca="1"/>
      </c>
      <c r="CI361">
        <f ca="1"/>
      </c>
      <c r="CJ361">
        <f ca="1"/>
      </c>
      <c r="CK361">
        <f ca="1"/>
      </c>
      <c r="CL361">
        <f ca="1"/>
      </c>
      <c r="CM361">
        <f ca="1"/>
      </c>
      <c r="CN361">
        <f ca="1"/>
      </c>
      <c r="CO361">
        <f ca="1"/>
      </c>
      <c r="CP361">
        <f ca="1"/>
      </c>
      <c r="CQ361">
        <f ca="1"/>
      </c>
      <c r="CR361">
        <f ca="1"/>
      </c>
      <c r="CS361">
        <f ca="1"/>
      </c>
      <c r="CT361">
        <f ca="1"/>
      </c>
      <c r="CU361">
        <f ca="1"/>
      </c>
      <c r="CV361">
        <f ca="1"/>
      </c>
      <c r="CW361">
        <f ca="1"/>
      </c>
      <c r="CX361">
        <f ca="1"/>
      </c>
      <c r="CY361">
        <f ca="1"/>
      </c>
      <c r="CZ361">
        <f ca="1"/>
      </c>
      <c r="DA361">
        <f ca="1"/>
      </c>
      <c r="DB361">
        <f ca="1"/>
      </c>
      <c r="DC361">
        <f ca="1"/>
      </c>
      <c r="DD361">
        <f ca="1"/>
      </c>
      <c r="DE361">
        <f ca="1"/>
      </c>
      <c r="DG361">
        <f ca="1"/>
      </c>
      <c r="DH361">
        <f ca="1"/>
      </c>
      <c r="DI361">
        <f ca="1"/>
      </c>
      <c r="DJ361">
        <f ca="1"/>
      </c>
      <c r="DK361">
        <f ca="1"/>
      </c>
      <c r="DL361">
        <f ca="1"/>
      </c>
      <c r="DM361">
        <f ca="1"/>
      </c>
      <c r="DN361">
        <f ca="1"/>
      </c>
      <c r="DO361">
        <f ca="1"/>
      </c>
      <c r="DP361">
        <f ca="1"/>
      </c>
      <c r="DQ361">
        <f ca="1"/>
      </c>
      <c r="DR361">
        <f ca="1"/>
      </c>
      <c r="DS361">
        <f ca="1"/>
      </c>
      <c r="DT361">
        <f ca="1"/>
      </c>
      <c r="DU361">
        <f ca="1"/>
      </c>
      <c r="DV361">
        <f ca="1"/>
      </c>
      <c r="DW361">
        <f ca="1"/>
      </c>
      <c r="DX361">
        <f ca="1"/>
      </c>
      <c r="DY361">
        <f ca="1"/>
      </c>
      <c r="DZ361">
        <f ca="1"/>
      </c>
      <c r="EA361">
        <f ca="1"/>
      </c>
      <c r="EB361">
        <f ca="1"/>
      </c>
      <c r="EC361">
        <f ca="1"/>
      </c>
      <c r="ED361">
        <f ca="1"/>
      </c>
      <c r="EE361">
        <f ca="1"/>
      </c>
      <c r="EF361">
        <f ca="1"/>
      </c>
      <c r="EG361">
        <f ca="1"/>
      </c>
      <c r="EH361">
        <f ca="1"/>
      </c>
      <c r="EI361">
        <f ca="1"/>
      </c>
      <c r="EJ361">
        <f ca="1"/>
      </c>
      <c r="EK361">
        <f ca="1"/>
      </c>
      <c r="EL361">
        <f ca="1"/>
      </c>
      <c r="EM361">
        <f ca="1"/>
      </c>
      <c r="EN361">
        <f ca="1"/>
      </c>
      <c r="EO361">
        <f ca="1"/>
      </c>
      <c r="EP361">
        <f ca="1"/>
      </c>
      <c r="EQ361">
        <f ca="1"/>
      </c>
      <c r="ER361">
        <f ca="1"/>
      </c>
      <c r="ES361">
        <f ca="1"/>
      </c>
      <c r="ET361">
        <f ca="1"/>
      </c>
      <c r="EU361">
        <f ca="1"/>
      </c>
      <c r="EV361">
        <f ca="1"/>
      </c>
      <c r="EW361">
        <f ca="1"/>
      </c>
      <c r="EX361">
        <f ca="1"/>
      </c>
      <c r="EY361">
        <f ca="1"/>
      </c>
      <c r="EZ361">
        <f ca="1"/>
      </c>
      <c r="FA361">
        <f ca="1"/>
      </c>
      <c r="FC361">
        <f ca="1"/>
      </c>
      <c r="FD361">
        <f ca="1"/>
      </c>
      <c r="FE361">
        <f ca="1"/>
      </c>
      <c r="FF361">
        <f ca="1"/>
      </c>
      <c r="FG361">
        <f ca="1"/>
      </c>
      <c r="FH361">
        <f ca="1"/>
      </c>
      <c r="FI361">
        <f ca="1"/>
      </c>
      <c r="FJ361">
        <f ca="1"/>
      </c>
      <c r="FK361">
        <f ca="1"/>
      </c>
      <c r="FL361">
        <f ca="1"/>
      </c>
      <c r="FM361">
        <f ca="1"/>
      </c>
      <c r="FN361">
        <f ca="1"/>
      </c>
      <c r="FO361">
        <f ca="1"/>
      </c>
      <c r="FP361">
        <f ca="1"/>
      </c>
      <c r="FQ361">
        <f ca="1"/>
      </c>
      <c r="FR361">
        <f ca="1"/>
      </c>
      <c r="FS361">
        <f ca="1"/>
      </c>
      <c r="FT361">
        <f ca="1"/>
      </c>
      <c r="FU361">
        <f ca="1"/>
      </c>
      <c r="FV361">
        <f ca="1"/>
      </c>
      <c r="FW361">
        <f ca="1"/>
      </c>
      <c r="FX361">
        <f ca="1"/>
      </c>
      <c r="FY361">
        <f ca="1"/>
      </c>
      <c r="FZ361">
        <f ca="1"/>
      </c>
      <c r="GA361">
        <f ca="1"/>
      </c>
      <c r="GB361">
        <f ca="1"/>
      </c>
      <c r="GC361">
        <f ca="1"/>
      </c>
      <c r="GD361">
        <f ca="1"/>
      </c>
      <c r="GE361">
        <f ca="1"/>
      </c>
      <c r="GF361">
        <f ca="1"/>
      </c>
      <c r="GG361">
        <f ca="1"/>
      </c>
      <c r="GH361">
        <f ca="1"/>
      </c>
      <c r="GI361">
        <f ca="1"/>
      </c>
      <c r="GJ361">
        <f ca="1"/>
      </c>
      <c r="GK361">
        <f ca="1"/>
      </c>
      <c r="GL361">
        <f ca="1"/>
      </c>
      <c r="GM361">
        <f ca="1"/>
      </c>
      <c r="GN361">
        <f ca="1"/>
      </c>
      <c r="GO361">
        <f ca="1"/>
      </c>
      <c r="GP361">
        <f ca="1"/>
      </c>
      <c r="GQ361">
        <f ca="1"/>
      </c>
      <c r="GR361">
        <f ca="1"/>
      </c>
      <c r="GS361">
        <f ca="1"/>
      </c>
      <c r="GT361">
        <f ca="1"/>
      </c>
      <c r="GU361">
        <f ca="1"/>
      </c>
      <c r="GV361">
        <f ca="1"/>
      </c>
      <c r="GW361">
        <f ca="1"/>
      </c>
      <c r="HI361" s="7"/>
    </row>
    <row r="362" spans="63:217" x14ac:dyDescent="0.55000000000000004">
      <c r="BK362">
        <f ca="1"/>
      </c>
      <c r="BL362">
        <f ca="1"/>
      </c>
      <c r="BM362">
        <f ca="1"/>
      </c>
      <c r="BN362">
        <f ca="1"/>
      </c>
      <c r="BO362">
        <f ca="1"/>
      </c>
      <c r="BP362">
        <f ca="1"/>
      </c>
      <c r="BQ362">
        <f ca="1"/>
      </c>
      <c r="BR362">
        <f ca="1"/>
      </c>
      <c r="BS362">
        <f ca="1"/>
      </c>
      <c r="BT362">
        <f ca="1"/>
      </c>
      <c r="BU362">
        <f ca="1"/>
      </c>
      <c r="BV362">
        <f ca="1"/>
      </c>
      <c r="BW362">
        <f ca="1"/>
      </c>
      <c r="BX362">
        <f ca="1"/>
      </c>
      <c r="BY362">
        <f ca="1"/>
      </c>
      <c r="BZ362">
        <f ca="1"/>
      </c>
      <c r="CA362">
        <f ca="1"/>
      </c>
      <c r="CB362">
        <f ca="1"/>
      </c>
      <c r="CC362">
        <f ca="1"/>
      </c>
      <c r="CD362">
        <f ca="1"/>
      </c>
      <c r="CE362">
        <f ca="1"/>
      </c>
      <c r="CF362">
        <f ca="1"/>
      </c>
      <c r="CG362">
        <f ca="1"/>
      </c>
      <c r="CH362">
        <f ca="1"/>
      </c>
      <c r="CI362">
        <f ca="1"/>
      </c>
      <c r="CJ362">
        <f ca="1"/>
      </c>
      <c r="CK362">
        <f ca="1"/>
      </c>
      <c r="CL362">
        <f ca="1"/>
      </c>
      <c r="CM362">
        <f ca="1"/>
      </c>
      <c r="CN362">
        <f ca="1"/>
      </c>
      <c r="CO362">
        <f ca="1"/>
      </c>
      <c r="CP362">
        <f ca="1"/>
      </c>
      <c r="CQ362">
        <f ca="1"/>
      </c>
      <c r="CR362">
        <f ca="1"/>
      </c>
      <c r="CS362">
        <f ca="1"/>
      </c>
      <c r="CT362">
        <f ca="1"/>
      </c>
      <c r="CU362">
        <f ca="1"/>
      </c>
      <c r="CV362">
        <f ca="1"/>
      </c>
      <c r="CW362">
        <f ca="1"/>
      </c>
      <c r="CX362">
        <f ca="1"/>
      </c>
      <c r="CY362">
        <f ca="1"/>
      </c>
      <c r="CZ362">
        <f ca="1"/>
      </c>
      <c r="DA362">
        <f ca="1"/>
      </c>
      <c r="DB362">
        <f ca="1"/>
      </c>
      <c r="DC362">
        <f ca="1"/>
      </c>
      <c r="DD362">
        <f ca="1"/>
      </c>
      <c r="DE362">
        <f ca="1"/>
      </c>
      <c r="DG362">
        <f ca="1"/>
      </c>
      <c r="DH362">
        <f ca="1"/>
      </c>
      <c r="DI362">
        <f ca="1"/>
      </c>
      <c r="DJ362">
        <f ca="1"/>
      </c>
      <c r="DK362">
        <f ca="1"/>
      </c>
      <c r="DL362">
        <f ca="1"/>
      </c>
      <c r="DM362">
        <f ca="1"/>
      </c>
      <c r="DN362">
        <f ca="1"/>
      </c>
      <c r="DO362">
        <f ca="1"/>
      </c>
      <c r="DP362">
        <f ca="1"/>
      </c>
      <c r="DQ362">
        <f ca="1"/>
      </c>
      <c r="DR362">
        <f ca="1"/>
      </c>
      <c r="DS362">
        <f ca="1"/>
      </c>
      <c r="DT362">
        <f ca="1"/>
      </c>
      <c r="DU362">
        <f ca="1"/>
      </c>
      <c r="DV362">
        <f ca="1"/>
      </c>
      <c r="DW362">
        <f ca="1"/>
      </c>
      <c r="DX362">
        <f ca="1"/>
      </c>
      <c r="DY362">
        <f ca="1"/>
      </c>
      <c r="DZ362">
        <f ca="1"/>
      </c>
      <c r="EA362">
        <f ca="1"/>
      </c>
      <c r="EB362">
        <f ca="1"/>
      </c>
      <c r="EC362">
        <f ca="1"/>
      </c>
      <c r="ED362">
        <f ca="1"/>
      </c>
      <c r="EE362">
        <f ca="1"/>
      </c>
      <c r="EF362">
        <f ca="1"/>
      </c>
      <c r="EG362">
        <f ca="1"/>
      </c>
      <c r="EH362">
        <f ca="1"/>
      </c>
      <c r="EI362">
        <f ca="1"/>
      </c>
      <c r="EJ362">
        <f ca="1"/>
      </c>
      <c r="EK362">
        <f ca="1"/>
      </c>
      <c r="EL362">
        <f ca="1"/>
      </c>
      <c r="EM362">
        <f ca="1"/>
      </c>
      <c r="EN362">
        <f ca="1"/>
      </c>
      <c r="EO362">
        <f ca="1"/>
      </c>
      <c r="EP362">
        <f ca="1"/>
      </c>
      <c r="EQ362">
        <f ca="1"/>
      </c>
      <c r="ER362">
        <f ca="1"/>
      </c>
      <c r="ES362">
        <f ca="1"/>
      </c>
      <c r="ET362">
        <f ca="1"/>
      </c>
      <c r="EU362">
        <f ca="1"/>
      </c>
      <c r="EV362">
        <f ca="1"/>
      </c>
      <c r="EW362">
        <f ca="1"/>
      </c>
      <c r="EX362">
        <f ca="1"/>
      </c>
      <c r="EY362">
        <f ca="1"/>
      </c>
      <c r="EZ362">
        <f ca="1"/>
      </c>
      <c r="FA362">
        <f ca="1"/>
      </c>
      <c r="FC362">
        <f ca="1"/>
      </c>
      <c r="FD362">
        <f ca="1"/>
      </c>
      <c r="FE362">
        <f ca="1"/>
      </c>
      <c r="FF362">
        <f ca="1"/>
      </c>
      <c r="FG362">
        <f ca="1"/>
      </c>
      <c r="FH362">
        <f ca="1"/>
      </c>
      <c r="FI362">
        <f ca="1"/>
      </c>
      <c r="FJ362">
        <f ca="1"/>
      </c>
      <c r="FK362">
        <f ca="1"/>
      </c>
      <c r="FL362">
        <f ca="1"/>
      </c>
      <c r="FM362">
        <f ca="1"/>
      </c>
      <c r="FN362">
        <f ca="1"/>
      </c>
      <c r="FO362">
        <f ca="1"/>
      </c>
      <c r="FP362">
        <f ca="1"/>
      </c>
      <c r="FQ362">
        <f ca="1"/>
      </c>
      <c r="FR362">
        <f ca="1"/>
      </c>
      <c r="FS362">
        <f ca="1"/>
      </c>
      <c r="FT362">
        <f ca="1"/>
      </c>
      <c r="FU362">
        <f ca="1"/>
      </c>
      <c r="FV362">
        <f ca="1"/>
      </c>
      <c r="FW362">
        <f ca="1"/>
      </c>
      <c r="FX362">
        <f ca="1"/>
      </c>
      <c r="FY362">
        <f ca="1"/>
      </c>
      <c r="FZ362">
        <f ca="1"/>
      </c>
      <c r="GA362">
        <f ca="1"/>
      </c>
      <c r="GB362">
        <f ca="1"/>
      </c>
      <c r="GC362">
        <f ca="1"/>
      </c>
      <c r="GD362">
        <f ca="1"/>
      </c>
      <c r="GE362">
        <f ca="1"/>
      </c>
      <c r="GF362">
        <f ca="1"/>
      </c>
      <c r="GG362">
        <f ca="1"/>
      </c>
      <c r="GH362">
        <f ca="1"/>
      </c>
      <c r="GI362">
        <f ca="1"/>
      </c>
      <c r="GJ362">
        <f ca="1"/>
      </c>
      <c r="GK362">
        <f ca="1"/>
      </c>
      <c r="GL362">
        <f ca="1"/>
      </c>
      <c r="GM362">
        <f ca="1"/>
      </c>
      <c r="GN362">
        <f ca="1"/>
      </c>
      <c r="GO362">
        <f ca="1"/>
      </c>
      <c r="GP362">
        <f ca="1"/>
      </c>
      <c r="GQ362">
        <f ca="1"/>
      </c>
      <c r="GR362">
        <f ca="1"/>
      </c>
      <c r="GS362">
        <f ca="1"/>
      </c>
      <c r="GT362">
        <f ca="1"/>
      </c>
      <c r="GU362">
        <f ca="1"/>
      </c>
      <c r="GV362">
        <f ca="1"/>
      </c>
      <c r="GW362">
        <f ca="1"/>
      </c>
      <c r="HI362" s="7"/>
    </row>
    <row r="363" spans="63:217" x14ac:dyDescent="0.55000000000000004">
      <c r="BK363">
        <f ca="1"/>
      </c>
      <c r="BL363">
        <f ca="1"/>
      </c>
      <c r="BM363">
        <f ca="1"/>
      </c>
      <c r="BN363">
        <f ca="1"/>
      </c>
      <c r="BO363">
        <f ca="1"/>
      </c>
      <c r="BP363">
        <f ca="1"/>
      </c>
      <c r="BQ363">
        <f ca="1"/>
      </c>
      <c r="BR363">
        <f ca="1"/>
      </c>
      <c r="BS363">
        <f ca="1"/>
      </c>
      <c r="BT363">
        <f ca="1"/>
      </c>
      <c r="BU363">
        <f ca="1"/>
      </c>
      <c r="BV363">
        <f ca="1"/>
      </c>
      <c r="BW363">
        <f ca="1"/>
      </c>
      <c r="BX363">
        <f ca="1"/>
      </c>
      <c r="BY363">
        <f ca="1"/>
      </c>
      <c r="BZ363">
        <f ca="1"/>
      </c>
      <c r="CA363">
        <f ca="1"/>
      </c>
      <c r="CB363">
        <f ca="1"/>
      </c>
      <c r="CC363">
        <f ca="1"/>
      </c>
      <c r="CD363">
        <f ca="1"/>
      </c>
      <c r="CE363">
        <f ca="1"/>
      </c>
      <c r="CF363">
        <f ca="1"/>
      </c>
      <c r="CG363">
        <f ca="1"/>
      </c>
      <c r="CH363">
        <f ca="1"/>
      </c>
      <c r="CI363">
        <f ca="1"/>
      </c>
      <c r="CJ363">
        <f ca="1"/>
      </c>
      <c r="CK363">
        <f ca="1"/>
      </c>
      <c r="CL363">
        <f ca="1"/>
      </c>
      <c r="CM363">
        <f ca="1"/>
      </c>
      <c r="CN363">
        <f ca="1"/>
      </c>
      <c r="CO363">
        <f ca="1"/>
      </c>
      <c r="CP363">
        <f ca="1"/>
      </c>
      <c r="CQ363">
        <f ca="1"/>
      </c>
      <c r="CR363">
        <f ca="1"/>
      </c>
      <c r="CS363">
        <f ca="1"/>
      </c>
      <c r="CT363">
        <f ca="1"/>
      </c>
      <c r="CU363">
        <f ca="1"/>
      </c>
      <c r="CV363">
        <f ca="1"/>
      </c>
      <c r="CW363">
        <f ca="1"/>
      </c>
      <c r="CX363">
        <f ca="1"/>
      </c>
      <c r="CY363">
        <f ca="1"/>
      </c>
      <c r="CZ363">
        <f ca="1"/>
      </c>
      <c r="DA363">
        <f ca="1"/>
      </c>
      <c r="DB363">
        <f ca="1"/>
      </c>
      <c r="DC363">
        <f ca="1"/>
      </c>
      <c r="DD363">
        <f ca="1"/>
      </c>
      <c r="DE363">
        <f ca="1"/>
      </c>
      <c r="DG363">
        <f ca="1"/>
      </c>
      <c r="DH363">
        <f ca="1"/>
      </c>
      <c r="DI363">
        <f ca="1"/>
      </c>
      <c r="DJ363">
        <f ca="1"/>
      </c>
      <c r="DK363">
        <f ca="1"/>
      </c>
      <c r="DL363">
        <f ca="1"/>
      </c>
      <c r="DM363">
        <f ca="1"/>
      </c>
      <c r="DN363">
        <f ca="1"/>
      </c>
      <c r="DO363">
        <f ca="1"/>
      </c>
      <c r="DP363">
        <f ca="1"/>
      </c>
      <c r="DQ363">
        <f ca="1"/>
      </c>
      <c r="DR363">
        <f ca="1"/>
      </c>
      <c r="DS363">
        <f ca="1"/>
      </c>
      <c r="DT363">
        <f ca="1"/>
      </c>
      <c r="DU363">
        <f ca="1"/>
      </c>
      <c r="DV363">
        <f ca="1"/>
      </c>
      <c r="DW363">
        <f ca="1"/>
      </c>
      <c r="DX363">
        <f ca="1"/>
      </c>
      <c r="DY363">
        <f ca="1"/>
      </c>
      <c r="DZ363">
        <f ca="1"/>
      </c>
      <c r="EA363">
        <f ca="1"/>
      </c>
      <c r="EB363">
        <f ca="1"/>
      </c>
      <c r="EC363">
        <f ca="1"/>
      </c>
      <c r="ED363">
        <f ca="1"/>
      </c>
      <c r="EE363">
        <f ca="1"/>
      </c>
      <c r="EF363">
        <f ca="1"/>
      </c>
      <c r="EG363">
        <f ca="1"/>
      </c>
      <c r="EH363">
        <f ca="1"/>
      </c>
      <c r="EI363">
        <f ca="1"/>
      </c>
      <c r="EJ363">
        <f ca="1"/>
      </c>
      <c r="EK363">
        <f ca="1"/>
      </c>
      <c r="EL363">
        <f ca="1"/>
      </c>
      <c r="EM363">
        <f ca="1"/>
      </c>
      <c r="EN363">
        <f ca="1"/>
      </c>
      <c r="EO363">
        <f ca="1"/>
      </c>
      <c r="EP363">
        <f ca="1"/>
      </c>
      <c r="EQ363">
        <f ca="1"/>
      </c>
      <c r="ER363">
        <f ca="1"/>
      </c>
      <c r="ES363">
        <f ca="1"/>
      </c>
      <c r="ET363">
        <f ca="1"/>
      </c>
      <c r="EU363">
        <f ca="1"/>
      </c>
      <c r="EV363">
        <f ca="1"/>
      </c>
      <c r="EW363">
        <f ca="1"/>
      </c>
      <c r="EX363">
        <f ca="1"/>
      </c>
      <c r="EY363">
        <f ca="1"/>
      </c>
      <c r="EZ363">
        <f ca="1"/>
      </c>
      <c r="FA363">
        <f ca="1"/>
      </c>
      <c r="FC363">
        <f ca="1"/>
      </c>
      <c r="FD363">
        <f ca="1"/>
      </c>
      <c r="FE363">
        <f ca="1"/>
      </c>
      <c r="FF363">
        <f ca="1"/>
      </c>
      <c r="FG363">
        <f ca="1"/>
      </c>
      <c r="FH363">
        <f ca="1"/>
      </c>
      <c r="FI363">
        <f ca="1"/>
      </c>
      <c r="FJ363">
        <f ca="1"/>
      </c>
      <c r="FK363">
        <f ca="1"/>
      </c>
      <c r="FL363">
        <f ca="1"/>
      </c>
      <c r="FM363">
        <f ca="1"/>
      </c>
      <c r="FN363">
        <f ca="1"/>
      </c>
      <c r="FO363">
        <f ca="1"/>
      </c>
      <c r="FP363">
        <f ca="1"/>
      </c>
      <c r="FQ363">
        <f ca="1"/>
      </c>
      <c r="FR363">
        <f ca="1"/>
      </c>
      <c r="FS363">
        <f ca="1"/>
      </c>
      <c r="FT363">
        <f ca="1"/>
      </c>
      <c r="FU363">
        <f ca="1"/>
      </c>
      <c r="FV363">
        <f ca="1"/>
      </c>
      <c r="FW363">
        <f ca="1"/>
      </c>
      <c r="FX363">
        <f ca="1"/>
      </c>
      <c r="FY363">
        <f ca="1"/>
      </c>
      <c r="FZ363">
        <f ca="1"/>
      </c>
      <c r="GA363">
        <f ca="1"/>
      </c>
      <c r="GB363">
        <f ca="1"/>
      </c>
      <c r="GC363">
        <f ca="1"/>
      </c>
      <c r="GD363">
        <f ca="1"/>
      </c>
      <c r="GE363">
        <f ca="1"/>
      </c>
      <c r="GF363">
        <f ca="1"/>
      </c>
      <c r="GG363">
        <f ca="1"/>
      </c>
      <c r="GH363">
        <f ca="1"/>
      </c>
      <c r="GI363">
        <f ca="1"/>
      </c>
      <c r="GJ363">
        <f ca="1"/>
      </c>
      <c r="GK363">
        <f ca="1"/>
      </c>
      <c r="GL363">
        <f ca="1"/>
      </c>
      <c r="GM363">
        <f ca="1"/>
      </c>
      <c r="GN363">
        <f ca="1"/>
      </c>
      <c r="GO363">
        <f ca="1"/>
      </c>
      <c r="GP363">
        <f ca="1"/>
      </c>
      <c r="GQ363">
        <f ca="1"/>
      </c>
      <c r="GR363">
        <f ca="1"/>
      </c>
      <c r="GS363">
        <f ca="1"/>
      </c>
      <c r="GT363">
        <f ca="1"/>
      </c>
      <c r="GU363">
        <f ca="1"/>
      </c>
      <c r="GV363">
        <f ca="1"/>
      </c>
      <c r="GW363">
        <f ca="1"/>
      </c>
      <c r="HI363" s="7"/>
    </row>
    <row r="364" spans="63:217" x14ac:dyDescent="0.55000000000000004">
      <c r="BK364">
        <f ca="1"/>
      </c>
      <c r="BL364">
        <f ca="1"/>
      </c>
      <c r="BM364">
        <f ca="1"/>
      </c>
      <c r="BN364">
        <f ca="1"/>
      </c>
      <c r="BO364">
        <f ca="1"/>
      </c>
      <c r="BP364">
        <f ca="1"/>
      </c>
      <c r="BQ364">
        <f ca="1"/>
      </c>
      <c r="BR364">
        <f ca="1"/>
      </c>
      <c r="BS364">
        <f ca="1"/>
      </c>
      <c r="BT364">
        <f ca="1"/>
      </c>
      <c r="BU364">
        <f ca="1"/>
      </c>
      <c r="BV364">
        <f ca="1"/>
      </c>
      <c r="BW364">
        <f ca="1"/>
      </c>
      <c r="BX364">
        <f ca="1"/>
      </c>
      <c r="BY364">
        <f ca="1"/>
      </c>
      <c r="BZ364">
        <f ca="1"/>
      </c>
      <c r="CA364">
        <f ca="1"/>
      </c>
      <c r="CB364">
        <f ca="1"/>
      </c>
      <c r="CC364">
        <f ca="1"/>
      </c>
      <c r="CD364">
        <f ca="1"/>
      </c>
      <c r="CE364">
        <f ca="1"/>
      </c>
      <c r="CF364">
        <f ca="1"/>
      </c>
      <c r="CG364">
        <f ca="1"/>
      </c>
      <c r="CH364">
        <f ca="1"/>
      </c>
      <c r="CI364">
        <f ca="1"/>
      </c>
      <c r="CJ364">
        <f ca="1"/>
      </c>
      <c r="CK364">
        <f ca="1"/>
      </c>
      <c r="CL364">
        <f ca="1"/>
      </c>
      <c r="CM364">
        <f ca="1"/>
      </c>
      <c r="CN364">
        <f ca="1"/>
      </c>
      <c r="CO364">
        <f ca="1"/>
      </c>
      <c r="CP364">
        <f ca="1"/>
      </c>
      <c r="CQ364">
        <f ca="1"/>
      </c>
      <c r="CR364">
        <f ca="1"/>
      </c>
      <c r="CS364">
        <f ca="1"/>
      </c>
      <c r="CT364">
        <f ca="1"/>
      </c>
      <c r="CU364">
        <f ca="1"/>
      </c>
      <c r="CV364">
        <f ca="1"/>
      </c>
      <c r="CW364">
        <f ca="1"/>
      </c>
      <c r="CX364">
        <f ca="1"/>
      </c>
      <c r="CY364">
        <f ca="1"/>
      </c>
      <c r="CZ364">
        <f ca="1"/>
      </c>
      <c r="DA364">
        <f ca="1"/>
      </c>
      <c r="DB364">
        <f ca="1"/>
      </c>
      <c r="DC364">
        <f ca="1"/>
      </c>
      <c r="DD364">
        <f ca="1"/>
      </c>
      <c r="DE364">
        <f ca="1"/>
      </c>
      <c r="DG364">
        <f ca="1"/>
      </c>
      <c r="DH364">
        <f ca="1"/>
      </c>
      <c r="DI364">
        <f ca="1"/>
      </c>
      <c r="DJ364">
        <f ca="1"/>
      </c>
      <c r="DK364">
        <f ca="1"/>
      </c>
      <c r="DL364">
        <f ca="1"/>
      </c>
      <c r="DM364">
        <f ca="1"/>
      </c>
      <c r="DN364">
        <f ca="1"/>
      </c>
      <c r="DO364">
        <f ca="1"/>
      </c>
      <c r="DP364">
        <f ca="1"/>
      </c>
      <c r="DQ364">
        <f ca="1"/>
      </c>
      <c r="DR364">
        <f ca="1"/>
      </c>
      <c r="DS364">
        <f ca="1"/>
      </c>
      <c r="DT364">
        <f ca="1"/>
      </c>
      <c r="DU364">
        <f ca="1"/>
      </c>
      <c r="DV364">
        <f ca="1"/>
      </c>
      <c r="DW364">
        <f ca="1"/>
      </c>
      <c r="DX364">
        <f ca="1"/>
      </c>
      <c r="DY364">
        <f ca="1"/>
      </c>
      <c r="DZ364">
        <f ca="1"/>
      </c>
      <c r="EA364">
        <f ca="1"/>
      </c>
      <c r="EB364">
        <f ca="1"/>
      </c>
      <c r="EC364">
        <f ca="1"/>
      </c>
      <c r="ED364">
        <f ca="1"/>
      </c>
      <c r="EE364">
        <f ca="1"/>
      </c>
      <c r="EF364">
        <f ca="1"/>
      </c>
      <c r="EG364">
        <f ca="1"/>
      </c>
      <c r="EH364">
        <f ca="1"/>
      </c>
      <c r="EI364">
        <f ca="1"/>
      </c>
      <c r="EJ364">
        <f ca="1"/>
      </c>
      <c r="EK364">
        <f ca="1"/>
      </c>
      <c r="EL364">
        <f ca="1"/>
      </c>
      <c r="EM364">
        <f ca="1"/>
      </c>
      <c r="EN364">
        <f ca="1"/>
      </c>
      <c r="EO364">
        <f ca="1"/>
      </c>
      <c r="EP364">
        <f ca="1"/>
      </c>
      <c r="EQ364">
        <f ca="1"/>
      </c>
      <c r="ER364">
        <f ca="1"/>
      </c>
      <c r="ES364">
        <f ca="1"/>
      </c>
      <c r="ET364">
        <f ca="1"/>
      </c>
      <c r="EU364">
        <f ca="1"/>
      </c>
      <c r="EV364">
        <f ca="1"/>
      </c>
      <c r="EW364">
        <f ca="1"/>
      </c>
      <c r="EX364">
        <f ca="1"/>
      </c>
      <c r="EY364">
        <f ca="1"/>
      </c>
      <c r="EZ364">
        <f ca="1"/>
      </c>
      <c r="FA364">
        <f ca="1"/>
      </c>
      <c r="FC364">
        <f ca="1"/>
      </c>
      <c r="FD364">
        <f ca="1"/>
      </c>
      <c r="FE364">
        <f ca="1"/>
      </c>
      <c r="FF364">
        <f ca="1"/>
      </c>
      <c r="FG364">
        <f ca="1"/>
      </c>
      <c r="FH364">
        <f ca="1"/>
      </c>
      <c r="FI364">
        <f ca="1"/>
      </c>
      <c r="FJ364">
        <f ca="1"/>
      </c>
      <c r="FK364">
        <f ca="1"/>
      </c>
      <c r="FL364">
        <f ca="1"/>
      </c>
      <c r="FM364">
        <f ca="1"/>
      </c>
      <c r="FN364">
        <f ca="1"/>
      </c>
      <c r="FO364">
        <f ca="1"/>
      </c>
      <c r="FP364">
        <f ca="1"/>
      </c>
      <c r="FQ364">
        <f ca="1"/>
      </c>
      <c r="FR364">
        <f ca="1"/>
      </c>
      <c r="FS364">
        <f ca="1"/>
      </c>
      <c r="FT364">
        <f ca="1"/>
      </c>
      <c r="FU364">
        <f ca="1"/>
      </c>
      <c r="FV364">
        <f ca="1"/>
      </c>
      <c r="FW364">
        <f ca="1"/>
      </c>
      <c r="FX364">
        <f ca="1"/>
      </c>
      <c r="FY364">
        <f ca="1"/>
      </c>
      <c r="FZ364">
        <f ca="1"/>
      </c>
      <c r="GA364">
        <f ca="1"/>
      </c>
      <c r="GB364">
        <f ca="1"/>
      </c>
      <c r="GC364">
        <f ca="1"/>
      </c>
      <c r="GD364">
        <f ca="1"/>
      </c>
      <c r="GE364">
        <f ca="1"/>
      </c>
      <c r="GF364">
        <f ca="1"/>
      </c>
      <c r="GG364">
        <f ca="1"/>
      </c>
      <c r="GH364">
        <f ca="1"/>
      </c>
      <c r="GI364">
        <f ca="1"/>
      </c>
      <c r="GJ364">
        <f ca="1"/>
      </c>
      <c r="GK364">
        <f ca="1"/>
      </c>
      <c r="GL364">
        <f ca="1"/>
      </c>
      <c r="GM364">
        <f ca="1"/>
      </c>
      <c r="GN364">
        <f ca="1"/>
      </c>
      <c r="GO364">
        <f ca="1"/>
      </c>
      <c r="GP364">
        <f ca="1"/>
      </c>
      <c r="GQ364">
        <f ca="1"/>
      </c>
      <c r="GR364">
        <f ca="1"/>
      </c>
      <c r="GS364">
        <f ca="1"/>
      </c>
      <c r="GT364">
        <f ca="1"/>
      </c>
      <c r="GU364">
        <f ca="1"/>
      </c>
      <c r="GV364">
        <f ca="1"/>
      </c>
      <c r="GW364">
        <f ca="1"/>
      </c>
      <c r="HI364" s="7"/>
    </row>
    <row r="365" spans="63:217" x14ac:dyDescent="0.55000000000000004">
      <c r="BK365">
        <f ca="1"/>
      </c>
      <c r="BL365">
        <f ca="1"/>
      </c>
      <c r="BM365">
        <f ca="1"/>
      </c>
      <c r="BN365">
        <f ca="1"/>
      </c>
      <c r="BO365">
        <f ca="1"/>
      </c>
      <c r="BP365">
        <f ca="1"/>
      </c>
      <c r="BQ365">
        <f ca="1"/>
      </c>
      <c r="BR365">
        <f ca="1"/>
      </c>
      <c r="BS365">
        <f ca="1"/>
      </c>
      <c r="BT365">
        <f ca="1"/>
      </c>
      <c r="BU365">
        <f ca="1"/>
      </c>
      <c r="BV365">
        <f ca="1"/>
      </c>
      <c r="BW365">
        <f ca="1"/>
      </c>
      <c r="BX365">
        <f ca="1"/>
      </c>
      <c r="BY365">
        <f ca="1"/>
      </c>
      <c r="BZ365">
        <f ca="1"/>
      </c>
      <c r="CA365">
        <f ca="1"/>
      </c>
      <c r="CB365">
        <f ca="1"/>
      </c>
      <c r="CC365">
        <f ca="1"/>
      </c>
      <c r="CD365">
        <f ca="1"/>
      </c>
      <c r="CE365">
        <f ca="1"/>
      </c>
      <c r="CF365">
        <f ca="1"/>
      </c>
      <c r="CG365">
        <f ca="1"/>
      </c>
      <c r="CH365">
        <f ca="1"/>
      </c>
      <c r="CI365">
        <f ca="1"/>
      </c>
      <c r="CJ365">
        <f ca="1"/>
      </c>
      <c r="CK365">
        <f ca="1"/>
      </c>
      <c r="CL365">
        <f ca="1"/>
      </c>
      <c r="CM365">
        <f ca="1"/>
      </c>
      <c r="CN365">
        <f ca="1"/>
      </c>
      <c r="CO365">
        <f ca="1"/>
      </c>
      <c r="CP365">
        <f ca="1"/>
      </c>
      <c r="CQ365">
        <f ca="1"/>
      </c>
      <c r="CR365">
        <f ca="1"/>
      </c>
      <c r="CS365">
        <f ca="1"/>
      </c>
      <c r="CT365">
        <f ca="1"/>
      </c>
      <c r="CU365">
        <f ca="1"/>
      </c>
      <c r="CV365">
        <f ca="1"/>
      </c>
      <c r="CW365">
        <f ca="1"/>
      </c>
      <c r="CX365">
        <f ca="1"/>
      </c>
      <c r="CY365">
        <f ca="1"/>
      </c>
      <c r="CZ365">
        <f ca="1"/>
      </c>
      <c r="DA365">
        <f ca="1"/>
      </c>
      <c r="DB365">
        <f ca="1"/>
      </c>
      <c r="DC365">
        <f ca="1"/>
      </c>
      <c r="DD365">
        <f ca="1"/>
      </c>
      <c r="DE365">
        <f ca="1"/>
      </c>
      <c r="DG365">
        <f ca="1"/>
      </c>
      <c r="DH365">
        <f ca="1"/>
      </c>
      <c r="DI365">
        <f ca="1"/>
      </c>
      <c r="DJ365">
        <f ca="1"/>
      </c>
      <c r="DK365">
        <f ca="1"/>
      </c>
      <c r="DL365">
        <f ca="1"/>
      </c>
      <c r="DM365">
        <f ca="1"/>
      </c>
      <c r="DN365">
        <f ca="1"/>
      </c>
      <c r="DO365">
        <f ca="1"/>
      </c>
      <c r="DP365">
        <f ca="1"/>
      </c>
      <c r="DQ365">
        <f ca="1"/>
      </c>
      <c r="DR365">
        <f ca="1"/>
      </c>
      <c r="DS365">
        <f ca="1"/>
      </c>
      <c r="DT365">
        <f ca="1"/>
      </c>
      <c r="DU365">
        <f ca="1"/>
      </c>
      <c r="DV365">
        <f ca="1"/>
      </c>
      <c r="DW365">
        <f ca="1"/>
      </c>
      <c r="DX365">
        <f ca="1"/>
      </c>
      <c r="DY365">
        <f ca="1"/>
      </c>
      <c r="DZ365">
        <f ca="1"/>
      </c>
      <c r="EA365">
        <f ca="1"/>
      </c>
      <c r="EB365">
        <f ca="1"/>
      </c>
      <c r="EC365">
        <f ca="1"/>
      </c>
      <c r="ED365">
        <f ca="1"/>
      </c>
      <c r="EE365">
        <f ca="1"/>
      </c>
      <c r="EF365">
        <f ca="1"/>
      </c>
      <c r="EG365">
        <f ca="1"/>
      </c>
      <c r="EH365">
        <f ca="1"/>
      </c>
      <c r="EI365">
        <f ca="1"/>
      </c>
      <c r="EJ365">
        <f ca="1"/>
      </c>
      <c r="EK365">
        <f ca="1"/>
      </c>
      <c r="EL365">
        <f ca="1"/>
      </c>
      <c r="EM365">
        <f ca="1"/>
      </c>
      <c r="EN365">
        <f ca="1"/>
      </c>
      <c r="EO365">
        <f ca="1"/>
      </c>
      <c r="EP365">
        <f ca="1"/>
      </c>
      <c r="EQ365">
        <f ca="1"/>
      </c>
      <c r="ER365">
        <f ca="1"/>
      </c>
      <c r="ES365">
        <f ca="1"/>
      </c>
      <c r="ET365">
        <f ca="1"/>
      </c>
      <c r="EU365">
        <f ca="1"/>
      </c>
      <c r="EV365">
        <f ca="1"/>
      </c>
      <c r="EW365">
        <f ca="1"/>
      </c>
      <c r="EX365">
        <f ca="1"/>
      </c>
      <c r="EY365">
        <f ca="1"/>
      </c>
      <c r="EZ365">
        <f ca="1"/>
      </c>
      <c r="FA365">
        <f ca="1"/>
      </c>
      <c r="FC365">
        <f ca="1"/>
      </c>
      <c r="FD365">
        <f ca="1"/>
      </c>
      <c r="FE365">
        <f ca="1"/>
      </c>
      <c r="FF365">
        <f ca="1"/>
      </c>
      <c r="FG365">
        <f ca="1"/>
      </c>
      <c r="FH365">
        <f ca="1"/>
      </c>
      <c r="FI365">
        <f ca="1"/>
      </c>
      <c r="FJ365">
        <f ca="1"/>
      </c>
      <c r="FK365">
        <f ca="1"/>
      </c>
      <c r="FL365">
        <f ca="1"/>
      </c>
      <c r="FM365">
        <f ca="1"/>
      </c>
      <c r="FN365">
        <f ca="1"/>
      </c>
      <c r="FO365">
        <f ca="1"/>
      </c>
      <c r="FP365">
        <f ca="1"/>
      </c>
      <c r="FQ365">
        <f ca="1"/>
      </c>
      <c r="FR365">
        <f ca="1"/>
      </c>
      <c r="FS365">
        <f ca="1"/>
      </c>
      <c r="FT365">
        <f ca="1"/>
      </c>
      <c r="FU365">
        <f ca="1"/>
      </c>
      <c r="FV365">
        <f ca="1"/>
      </c>
      <c r="FW365">
        <f ca="1"/>
      </c>
      <c r="FX365">
        <f ca="1"/>
      </c>
      <c r="FY365">
        <f ca="1"/>
      </c>
      <c r="FZ365">
        <f ca="1"/>
      </c>
      <c r="GA365">
        <f ca="1"/>
      </c>
      <c r="GB365">
        <f ca="1"/>
      </c>
      <c r="GC365">
        <f ca="1"/>
      </c>
      <c r="GD365">
        <f ca="1"/>
      </c>
      <c r="GE365">
        <f ca="1"/>
      </c>
      <c r="GF365">
        <f ca="1"/>
      </c>
      <c r="GG365">
        <f ca="1"/>
      </c>
      <c r="GH365">
        <f ca="1"/>
      </c>
      <c r="GI365">
        <f ca="1"/>
      </c>
      <c r="GJ365">
        <f ca="1"/>
      </c>
      <c r="GK365">
        <f ca="1"/>
      </c>
      <c r="GL365">
        <f ca="1"/>
      </c>
      <c r="GM365">
        <f ca="1"/>
      </c>
      <c r="GN365">
        <f ca="1"/>
      </c>
      <c r="GO365">
        <f ca="1"/>
      </c>
      <c r="GP365">
        <f ca="1"/>
      </c>
      <c r="GQ365">
        <f ca="1"/>
      </c>
      <c r="GR365">
        <f ca="1"/>
      </c>
      <c r="GS365">
        <f ca="1"/>
      </c>
      <c r="GT365">
        <f ca="1"/>
      </c>
      <c r="GU365">
        <f ca="1"/>
      </c>
      <c r="GV365">
        <f ca="1"/>
      </c>
      <c r="GW365">
        <f ca="1"/>
      </c>
      <c r="HI365" s="7"/>
    </row>
    <row r="366" spans="63:217" x14ac:dyDescent="0.55000000000000004">
      <c r="BK366">
        <f ca="1"/>
      </c>
      <c r="BL366">
        <f ca="1"/>
      </c>
      <c r="BM366">
        <f ca="1"/>
      </c>
      <c r="BN366">
        <f ca="1"/>
      </c>
      <c r="BO366">
        <f ca="1"/>
      </c>
      <c r="BP366">
        <f ca="1"/>
      </c>
      <c r="BQ366">
        <f ca="1"/>
      </c>
      <c r="BR366">
        <f ca="1"/>
      </c>
      <c r="BS366">
        <f ca="1"/>
      </c>
      <c r="BT366">
        <f ca="1"/>
      </c>
      <c r="BU366">
        <f ca="1"/>
      </c>
      <c r="BV366">
        <f ca="1"/>
      </c>
      <c r="BW366">
        <f ca="1"/>
      </c>
      <c r="BX366">
        <f ca="1"/>
      </c>
      <c r="BY366">
        <f ca="1"/>
      </c>
      <c r="BZ366">
        <f ca="1"/>
      </c>
      <c r="CA366">
        <f ca="1"/>
      </c>
      <c r="CB366">
        <f ca="1"/>
      </c>
      <c r="CC366">
        <f ca="1"/>
      </c>
      <c r="CD366">
        <f ca="1"/>
      </c>
      <c r="CE366">
        <f ca="1"/>
      </c>
      <c r="CF366">
        <f ca="1"/>
      </c>
      <c r="CG366">
        <f ca="1"/>
      </c>
      <c r="CH366">
        <f ca="1"/>
      </c>
      <c r="CI366">
        <f ca="1"/>
      </c>
      <c r="CJ366">
        <f ca="1"/>
      </c>
      <c r="CK366">
        <f ca="1"/>
      </c>
      <c r="CL366">
        <f ca="1"/>
      </c>
      <c r="CM366">
        <f ca="1"/>
      </c>
      <c r="CN366">
        <f ca="1"/>
      </c>
      <c r="CO366">
        <f ca="1"/>
      </c>
      <c r="CP366">
        <f ca="1"/>
      </c>
      <c r="CQ366">
        <f ca="1"/>
      </c>
      <c r="CR366">
        <f ca="1"/>
      </c>
      <c r="CS366">
        <f ca="1"/>
      </c>
      <c r="CT366">
        <f ca="1"/>
      </c>
      <c r="CU366">
        <f ca="1"/>
      </c>
      <c r="CV366">
        <f ca="1"/>
      </c>
      <c r="CW366">
        <f ca="1"/>
      </c>
      <c r="CX366">
        <f ca="1"/>
      </c>
      <c r="CY366">
        <f ca="1"/>
      </c>
      <c r="CZ366">
        <f ca="1"/>
      </c>
      <c r="DA366">
        <f ca="1"/>
      </c>
      <c r="DB366">
        <f ca="1"/>
      </c>
      <c r="DC366">
        <f ca="1"/>
      </c>
      <c r="DD366">
        <f ca="1"/>
      </c>
      <c r="DE366">
        <f ca="1"/>
      </c>
      <c r="DG366">
        <f ca="1"/>
      </c>
      <c r="DH366">
        <f ca="1"/>
      </c>
      <c r="DI366">
        <f ca="1"/>
      </c>
      <c r="DJ366">
        <f ca="1"/>
      </c>
      <c r="DK366">
        <f ca="1"/>
      </c>
      <c r="DL366">
        <f ca="1"/>
      </c>
      <c r="DM366">
        <f ca="1"/>
      </c>
      <c r="DN366">
        <f ca="1"/>
      </c>
      <c r="DO366">
        <f ca="1"/>
      </c>
      <c r="DP366">
        <f ca="1"/>
      </c>
      <c r="DQ366">
        <f ca="1"/>
      </c>
      <c r="DR366">
        <f ca="1"/>
      </c>
      <c r="DS366">
        <f ca="1"/>
      </c>
      <c r="DT366">
        <f ca="1"/>
      </c>
      <c r="DU366">
        <f ca="1"/>
      </c>
      <c r="DV366">
        <f ca="1"/>
      </c>
      <c r="DW366">
        <f ca="1"/>
      </c>
      <c r="DX366">
        <f ca="1"/>
      </c>
      <c r="DY366">
        <f ca="1"/>
      </c>
      <c r="DZ366">
        <f ca="1"/>
      </c>
      <c r="EA366">
        <f ca="1"/>
      </c>
      <c r="EB366">
        <f ca="1"/>
      </c>
      <c r="EC366">
        <f ca="1"/>
      </c>
      <c r="ED366">
        <f ca="1"/>
      </c>
      <c r="EE366">
        <f ca="1"/>
      </c>
      <c r="EF366">
        <f ca="1"/>
      </c>
      <c r="EG366">
        <f ca="1"/>
      </c>
      <c r="EH366">
        <f ca="1"/>
      </c>
      <c r="EI366">
        <f ca="1"/>
      </c>
      <c r="EJ366">
        <f ca="1"/>
      </c>
      <c r="EK366">
        <f ca="1"/>
      </c>
      <c r="EL366">
        <f ca="1"/>
      </c>
      <c r="EM366">
        <f ca="1"/>
      </c>
      <c r="EN366">
        <f ca="1"/>
      </c>
      <c r="EO366">
        <f ca="1"/>
      </c>
      <c r="EP366">
        <f ca="1"/>
      </c>
      <c r="EQ366">
        <f ca="1"/>
      </c>
      <c r="ER366">
        <f ca="1"/>
      </c>
      <c r="ES366">
        <f ca="1"/>
      </c>
      <c r="ET366">
        <f ca="1"/>
      </c>
      <c r="EU366">
        <f ca="1"/>
      </c>
      <c r="EV366">
        <f ca="1"/>
      </c>
      <c r="EW366">
        <f ca="1"/>
      </c>
      <c r="EX366">
        <f ca="1"/>
      </c>
      <c r="EY366">
        <f ca="1"/>
      </c>
      <c r="EZ366">
        <f ca="1"/>
      </c>
      <c r="FA366">
        <f ca="1"/>
      </c>
      <c r="FC366">
        <f ca="1"/>
      </c>
      <c r="FD366">
        <f ca="1"/>
      </c>
      <c r="FE366">
        <f ca="1"/>
      </c>
      <c r="FF366">
        <f ca="1"/>
      </c>
      <c r="FG366">
        <f ca="1"/>
      </c>
      <c r="FH366">
        <f ca="1"/>
      </c>
      <c r="FI366">
        <f ca="1"/>
      </c>
      <c r="FJ366">
        <f ca="1"/>
      </c>
      <c r="FK366">
        <f ca="1"/>
      </c>
      <c r="FL366">
        <f ca="1"/>
      </c>
      <c r="FM366">
        <f ca="1"/>
      </c>
      <c r="FN366">
        <f ca="1"/>
      </c>
      <c r="FO366">
        <f ca="1"/>
      </c>
      <c r="FP366">
        <f ca="1"/>
      </c>
      <c r="FQ366">
        <f ca="1"/>
      </c>
      <c r="FR366">
        <f ca="1"/>
      </c>
      <c r="FS366">
        <f ca="1"/>
      </c>
      <c r="FT366">
        <f ca="1"/>
      </c>
      <c r="FU366">
        <f ca="1"/>
      </c>
      <c r="FV366">
        <f ca="1"/>
      </c>
      <c r="FW366">
        <f ca="1"/>
      </c>
      <c r="FX366">
        <f ca="1"/>
      </c>
      <c r="FY366">
        <f ca="1"/>
      </c>
      <c r="FZ366">
        <f ca="1"/>
      </c>
      <c r="GA366">
        <f ca="1"/>
      </c>
      <c r="GB366">
        <f ca="1"/>
      </c>
      <c r="GC366">
        <f ca="1"/>
      </c>
      <c r="GD366">
        <f ca="1"/>
      </c>
      <c r="GE366">
        <f ca="1"/>
      </c>
      <c r="GF366">
        <f ca="1"/>
      </c>
      <c r="GG366">
        <f ca="1"/>
      </c>
      <c r="GH366">
        <f ca="1"/>
      </c>
      <c r="GI366">
        <f ca="1"/>
      </c>
      <c r="GJ366">
        <f ca="1"/>
      </c>
      <c r="GK366">
        <f ca="1"/>
      </c>
      <c r="GL366">
        <f ca="1"/>
      </c>
      <c r="GM366">
        <f ca="1"/>
      </c>
      <c r="GN366">
        <f ca="1"/>
      </c>
      <c r="GO366">
        <f ca="1"/>
      </c>
      <c r="GP366">
        <f ca="1"/>
      </c>
      <c r="GQ366">
        <f ca="1"/>
      </c>
      <c r="GR366">
        <f ca="1"/>
      </c>
      <c r="GS366">
        <f ca="1"/>
      </c>
      <c r="GT366">
        <f ca="1"/>
      </c>
      <c r="GU366">
        <f ca="1"/>
      </c>
      <c r="GV366">
        <f ca="1"/>
      </c>
      <c r="GW366">
        <f ca="1"/>
      </c>
      <c r="HI366" s="7"/>
    </row>
    <row r="367" spans="63:217" x14ac:dyDescent="0.55000000000000004">
      <c r="BK367">
        <f ca="1"/>
      </c>
      <c r="BL367">
        <f ca="1"/>
      </c>
      <c r="BM367">
        <f ca="1"/>
      </c>
      <c r="BN367">
        <f ca="1"/>
      </c>
      <c r="BO367">
        <f ca="1"/>
      </c>
      <c r="BP367">
        <f ca="1"/>
      </c>
      <c r="BQ367">
        <f ca="1"/>
      </c>
      <c r="BR367">
        <f ca="1"/>
      </c>
      <c r="BS367">
        <f ca="1"/>
      </c>
      <c r="BT367">
        <f ca="1"/>
      </c>
      <c r="BU367">
        <f ca="1"/>
      </c>
      <c r="BV367">
        <f ca="1"/>
      </c>
      <c r="BW367">
        <f ca="1"/>
      </c>
      <c r="BX367">
        <f ca="1"/>
      </c>
      <c r="BY367">
        <f ca="1"/>
      </c>
      <c r="BZ367">
        <f ca="1"/>
      </c>
      <c r="CA367">
        <f ca="1"/>
      </c>
      <c r="CB367">
        <f ca="1"/>
      </c>
      <c r="CC367">
        <f ca="1"/>
      </c>
      <c r="CD367">
        <f ca="1"/>
      </c>
      <c r="CE367">
        <f ca="1"/>
      </c>
      <c r="CF367">
        <f ca="1"/>
      </c>
      <c r="CG367">
        <f ca="1"/>
      </c>
      <c r="CH367">
        <f ca="1"/>
      </c>
      <c r="CI367">
        <f ca="1"/>
      </c>
      <c r="CJ367">
        <f ca="1"/>
      </c>
      <c r="CK367">
        <f ca="1"/>
      </c>
      <c r="CL367">
        <f ca="1"/>
      </c>
      <c r="CM367">
        <f ca="1"/>
      </c>
      <c r="CN367">
        <f ca="1"/>
      </c>
      <c r="CO367">
        <f ca="1"/>
      </c>
      <c r="CP367">
        <f ca="1"/>
      </c>
      <c r="CQ367">
        <f ca="1"/>
      </c>
      <c r="CR367">
        <f ca="1"/>
      </c>
      <c r="CS367">
        <f ca="1"/>
      </c>
      <c r="CT367">
        <f ca="1"/>
      </c>
      <c r="CU367">
        <f ca="1"/>
      </c>
      <c r="CV367">
        <f ca="1"/>
      </c>
      <c r="CW367">
        <f ca="1"/>
      </c>
      <c r="CX367">
        <f ca="1"/>
      </c>
      <c r="CY367">
        <f ca="1"/>
      </c>
      <c r="CZ367">
        <f ca="1"/>
      </c>
      <c r="DA367">
        <f ca="1"/>
      </c>
      <c r="DB367">
        <f ca="1"/>
      </c>
      <c r="DC367">
        <f ca="1"/>
      </c>
      <c r="DD367">
        <f ca="1"/>
      </c>
      <c r="DE367">
        <f ca="1"/>
      </c>
      <c r="DG367">
        <f ca="1"/>
      </c>
      <c r="DH367">
        <f ca="1"/>
      </c>
      <c r="DI367">
        <f ca="1"/>
      </c>
      <c r="DJ367">
        <f ca="1"/>
      </c>
      <c r="DK367">
        <f ca="1"/>
      </c>
      <c r="DL367">
        <f ca="1"/>
      </c>
      <c r="DM367">
        <f ca="1"/>
      </c>
      <c r="DN367">
        <f ca="1"/>
      </c>
      <c r="DO367">
        <f ca="1"/>
      </c>
      <c r="DP367">
        <f ca="1"/>
      </c>
      <c r="DQ367">
        <f ca="1"/>
      </c>
      <c r="DR367">
        <f ca="1"/>
      </c>
      <c r="DS367">
        <f ca="1"/>
      </c>
      <c r="DT367">
        <f ca="1"/>
      </c>
      <c r="DU367">
        <f ca="1"/>
      </c>
      <c r="DV367">
        <f ca="1"/>
      </c>
      <c r="DW367">
        <f ca="1"/>
      </c>
      <c r="DX367">
        <f ca="1"/>
      </c>
      <c r="DY367">
        <f ca="1"/>
      </c>
      <c r="DZ367">
        <f ca="1"/>
      </c>
      <c r="EA367">
        <f ca="1"/>
      </c>
      <c r="EB367">
        <f ca="1"/>
      </c>
      <c r="EC367">
        <f ca="1"/>
      </c>
      <c r="ED367">
        <f ca="1"/>
      </c>
      <c r="EE367">
        <f ca="1"/>
      </c>
      <c r="EF367">
        <f ca="1"/>
      </c>
      <c r="EG367">
        <f ca="1"/>
      </c>
      <c r="EH367">
        <f ca="1"/>
      </c>
      <c r="EI367">
        <f ca="1"/>
      </c>
      <c r="EJ367">
        <f ca="1"/>
      </c>
      <c r="EK367">
        <f ca="1"/>
      </c>
      <c r="EL367">
        <f ca="1"/>
      </c>
      <c r="EM367">
        <f ca="1"/>
      </c>
      <c r="EN367">
        <f ca="1"/>
      </c>
      <c r="EO367">
        <f ca="1"/>
      </c>
      <c r="EP367">
        <f ca="1"/>
      </c>
      <c r="EQ367">
        <f ca="1"/>
      </c>
      <c r="ER367">
        <f ca="1"/>
      </c>
      <c r="ES367">
        <f ca="1"/>
      </c>
      <c r="ET367">
        <f ca="1"/>
      </c>
      <c r="EU367">
        <f ca="1"/>
      </c>
      <c r="EV367">
        <f ca="1"/>
      </c>
      <c r="EW367">
        <f ca="1"/>
      </c>
      <c r="EX367">
        <f ca="1"/>
      </c>
      <c r="EY367">
        <f ca="1"/>
      </c>
      <c r="EZ367">
        <f ca="1"/>
      </c>
      <c r="FA367">
        <f ca="1"/>
      </c>
      <c r="FC367">
        <f ca="1"/>
      </c>
      <c r="FD367">
        <f ca="1"/>
      </c>
      <c r="FE367">
        <f ca="1"/>
      </c>
      <c r="FF367">
        <f ca="1"/>
      </c>
      <c r="FG367">
        <f ca="1"/>
      </c>
      <c r="FH367">
        <f ca="1"/>
      </c>
      <c r="FI367">
        <f ca="1"/>
      </c>
      <c r="FJ367">
        <f ca="1"/>
      </c>
      <c r="FK367">
        <f ca="1"/>
      </c>
      <c r="FL367">
        <f ca="1"/>
      </c>
      <c r="FM367">
        <f ca="1"/>
      </c>
      <c r="FN367">
        <f ca="1"/>
      </c>
      <c r="FO367">
        <f ca="1"/>
      </c>
      <c r="FP367">
        <f ca="1"/>
      </c>
      <c r="FQ367">
        <f ca="1"/>
      </c>
      <c r="FR367">
        <f ca="1"/>
      </c>
      <c r="FS367">
        <f ca="1"/>
      </c>
      <c r="FT367">
        <f ca="1"/>
      </c>
      <c r="FU367">
        <f ca="1"/>
      </c>
      <c r="FV367">
        <f ca="1"/>
      </c>
      <c r="FW367">
        <f ca="1"/>
      </c>
      <c r="FX367">
        <f ca="1"/>
      </c>
      <c r="FY367">
        <f ca="1"/>
      </c>
      <c r="FZ367">
        <f ca="1"/>
      </c>
      <c r="GA367">
        <f ca="1"/>
      </c>
      <c r="GB367">
        <f ca="1"/>
      </c>
      <c r="GC367">
        <f ca="1"/>
      </c>
      <c r="GD367">
        <f ca="1"/>
      </c>
      <c r="GE367">
        <f ca="1"/>
      </c>
      <c r="GF367">
        <f ca="1"/>
      </c>
      <c r="GG367">
        <f ca="1"/>
      </c>
      <c r="GH367">
        <f ca="1"/>
      </c>
      <c r="GI367">
        <f ca="1"/>
      </c>
      <c r="GJ367">
        <f ca="1"/>
      </c>
      <c r="GK367">
        <f ca="1"/>
      </c>
      <c r="GL367">
        <f ca="1"/>
      </c>
      <c r="GM367">
        <f ca="1"/>
      </c>
      <c r="GN367">
        <f ca="1"/>
      </c>
      <c r="GO367">
        <f ca="1"/>
      </c>
      <c r="GP367">
        <f ca="1"/>
      </c>
      <c r="GQ367">
        <f ca="1"/>
      </c>
      <c r="GR367">
        <f ca="1"/>
      </c>
      <c r="GS367">
        <f ca="1"/>
      </c>
      <c r="GT367">
        <f ca="1"/>
      </c>
      <c r="GU367">
        <f ca="1"/>
      </c>
      <c r="GV367">
        <f ca="1"/>
      </c>
      <c r="GW367">
        <f ca="1"/>
      </c>
      <c r="HI367" s="7"/>
    </row>
    <row r="368" spans="63:217" x14ac:dyDescent="0.55000000000000004">
      <c r="BK368">
        <f ca="1"/>
      </c>
      <c r="BL368">
        <f ca="1"/>
      </c>
      <c r="BM368">
        <f ca="1"/>
      </c>
      <c r="BN368">
        <f ca="1"/>
      </c>
      <c r="BO368">
        <f ca="1"/>
      </c>
      <c r="BP368">
        <f ca="1"/>
      </c>
      <c r="BQ368">
        <f ca="1"/>
      </c>
      <c r="BR368">
        <f ca="1"/>
      </c>
      <c r="BS368">
        <f ca="1"/>
      </c>
      <c r="BT368">
        <f ca="1"/>
      </c>
      <c r="BU368">
        <f ca="1"/>
      </c>
      <c r="BV368">
        <f ca="1"/>
      </c>
      <c r="BW368">
        <f ca="1"/>
      </c>
      <c r="BX368">
        <f ca="1"/>
      </c>
      <c r="BY368">
        <f ca="1"/>
      </c>
      <c r="BZ368">
        <f ca="1"/>
      </c>
      <c r="CA368">
        <f ca="1"/>
      </c>
      <c r="CB368">
        <f ca="1"/>
      </c>
      <c r="CC368">
        <f ca="1"/>
      </c>
      <c r="CD368">
        <f ca="1"/>
      </c>
      <c r="CE368">
        <f ca="1"/>
      </c>
      <c r="CF368">
        <f ca="1"/>
      </c>
      <c r="CG368">
        <f ca="1"/>
      </c>
      <c r="CH368">
        <f ca="1"/>
      </c>
      <c r="CI368">
        <f ca="1"/>
      </c>
      <c r="CJ368">
        <f ca="1"/>
      </c>
      <c r="CK368">
        <f ca="1"/>
      </c>
      <c r="CL368">
        <f ca="1"/>
      </c>
      <c r="CM368">
        <f ca="1"/>
      </c>
      <c r="CN368">
        <f ca="1"/>
      </c>
      <c r="CO368">
        <f ca="1"/>
      </c>
      <c r="CP368">
        <f ca="1"/>
      </c>
      <c r="CQ368">
        <f ca="1"/>
      </c>
      <c r="CR368">
        <f ca="1"/>
      </c>
      <c r="CS368">
        <f ca="1"/>
      </c>
      <c r="CT368">
        <f ca="1"/>
      </c>
      <c r="CU368">
        <f ca="1"/>
      </c>
      <c r="CV368">
        <f ca="1"/>
      </c>
      <c r="CW368">
        <f ca="1"/>
      </c>
      <c r="CX368">
        <f ca="1"/>
      </c>
      <c r="CY368">
        <f ca="1"/>
      </c>
      <c r="CZ368">
        <f ca="1"/>
      </c>
      <c r="DA368">
        <f ca="1"/>
      </c>
      <c r="DB368">
        <f ca="1"/>
      </c>
      <c r="DC368">
        <f ca="1"/>
      </c>
      <c r="DD368">
        <f ca="1"/>
      </c>
      <c r="DE368">
        <f ca="1"/>
      </c>
      <c r="DG368">
        <f ca="1"/>
      </c>
      <c r="DH368">
        <f ca="1"/>
      </c>
      <c r="DI368">
        <f ca="1"/>
      </c>
      <c r="DJ368">
        <f ca="1"/>
      </c>
      <c r="DK368">
        <f ca="1"/>
      </c>
      <c r="DL368">
        <f ca="1"/>
      </c>
      <c r="DM368">
        <f ca="1"/>
      </c>
      <c r="DN368">
        <f ca="1"/>
      </c>
      <c r="DO368">
        <f ca="1"/>
      </c>
      <c r="DP368">
        <f ca="1"/>
      </c>
      <c r="DQ368">
        <f ca="1"/>
      </c>
      <c r="DR368">
        <f ca="1"/>
      </c>
      <c r="DS368">
        <f ca="1"/>
      </c>
      <c r="DT368">
        <f ca="1"/>
      </c>
      <c r="DU368">
        <f ca="1"/>
      </c>
      <c r="DV368">
        <f ca="1"/>
      </c>
      <c r="DW368">
        <f ca="1"/>
      </c>
      <c r="DX368">
        <f ca="1"/>
      </c>
      <c r="DY368">
        <f ca="1"/>
      </c>
      <c r="DZ368">
        <f ca="1"/>
      </c>
      <c r="EA368">
        <f ca="1"/>
      </c>
      <c r="EB368">
        <f ca="1"/>
      </c>
      <c r="EC368">
        <f ca="1"/>
      </c>
      <c r="ED368">
        <f ca="1"/>
      </c>
      <c r="EE368">
        <f ca="1"/>
      </c>
      <c r="EF368">
        <f ca="1"/>
      </c>
      <c r="EG368">
        <f ca="1"/>
      </c>
      <c r="EH368">
        <f ca="1"/>
      </c>
      <c r="EI368">
        <f ca="1"/>
      </c>
      <c r="EJ368">
        <f ca="1"/>
      </c>
      <c r="EK368">
        <f ca="1"/>
      </c>
      <c r="EL368">
        <f ca="1"/>
      </c>
      <c r="EM368">
        <f ca="1"/>
      </c>
      <c r="EN368">
        <f ca="1"/>
      </c>
      <c r="EO368">
        <f ca="1"/>
      </c>
      <c r="EP368">
        <f ca="1"/>
      </c>
      <c r="EQ368">
        <f ca="1"/>
      </c>
      <c r="ER368">
        <f ca="1"/>
      </c>
      <c r="ES368">
        <f ca="1"/>
      </c>
      <c r="ET368">
        <f ca="1"/>
      </c>
      <c r="EU368">
        <f ca="1"/>
      </c>
      <c r="EV368">
        <f ca="1"/>
      </c>
      <c r="EW368">
        <f ca="1"/>
      </c>
      <c r="EX368">
        <f ca="1"/>
      </c>
      <c r="EY368">
        <f ca="1"/>
      </c>
      <c r="EZ368">
        <f ca="1"/>
      </c>
      <c r="FA368">
        <f ca="1"/>
      </c>
      <c r="FC368">
        <f ca="1"/>
      </c>
      <c r="FD368">
        <f ca="1"/>
      </c>
      <c r="FE368">
        <f ca="1"/>
      </c>
      <c r="FF368">
        <f ca="1"/>
      </c>
      <c r="FG368">
        <f ca="1"/>
      </c>
      <c r="FH368">
        <f ca="1"/>
      </c>
      <c r="FI368">
        <f ca="1"/>
      </c>
      <c r="FJ368">
        <f ca="1"/>
      </c>
      <c r="FK368">
        <f ca="1"/>
      </c>
      <c r="FL368">
        <f ca="1"/>
      </c>
      <c r="FM368">
        <f ca="1"/>
      </c>
      <c r="FN368">
        <f ca="1"/>
      </c>
      <c r="FO368">
        <f ca="1"/>
      </c>
      <c r="FP368">
        <f ca="1"/>
      </c>
      <c r="FQ368">
        <f ca="1"/>
      </c>
      <c r="FR368">
        <f ca="1"/>
      </c>
      <c r="FS368">
        <f ca="1"/>
      </c>
      <c r="FT368">
        <f ca="1"/>
      </c>
      <c r="FU368">
        <f ca="1"/>
      </c>
      <c r="FV368">
        <f ca="1"/>
      </c>
      <c r="FW368">
        <f ca="1"/>
      </c>
      <c r="FX368">
        <f ca="1"/>
      </c>
      <c r="FY368">
        <f ca="1"/>
      </c>
      <c r="FZ368">
        <f ca="1"/>
      </c>
      <c r="GA368">
        <f ca="1"/>
      </c>
      <c r="GB368">
        <f ca="1"/>
      </c>
      <c r="GC368">
        <f ca="1"/>
      </c>
      <c r="GD368">
        <f ca="1"/>
      </c>
      <c r="GE368">
        <f ca="1"/>
      </c>
      <c r="GF368">
        <f ca="1"/>
      </c>
      <c r="GG368">
        <f ca="1"/>
      </c>
      <c r="GH368">
        <f ca="1"/>
      </c>
      <c r="GI368">
        <f ca="1"/>
      </c>
      <c r="GJ368">
        <f ca="1"/>
      </c>
      <c r="GK368">
        <f ca="1"/>
      </c>
      <c r="GL368">
        <f ca="1"/>
      </c>
      <c r="GM368">
        <f ca="1"/>
      </c>
      <c r="GN368">
        <f ca="1"/>
      </c>
      <c r="GO368">
        <f ca="1"/>
      </c>
      <c r="GP368">
        <f ca="1"/>
      </c>
      <c r="GQ368">
        <f ca="1"/>
      </c>
      <c r="GR368">
        <f ca="1"/>
      </c>
      <c r="GS368">
        <f ca="1"/>
      </c>
      <c r="GT368">
        <f ca="1"/>
      </c>
      <c r="GU368">
        <f ca="1"/>
      </c>
      <c r="GV368">
        <f ca="1"/>
      </c>
      <c r="GW368">
        <f ca="1"/>
      </c>
      <c r="HI368" s="7"/>
    </row>
    <row r="369" spans="63:217" x14ac:dyDescent="0.55000000000000004">
      <c r="BK369">
        <f ca="1"/>
      </c>
      <c r="BL369">
        <f ca="1"/>
      </c>
      <c r="BM369">
        <f ca="1"/>
      </c>
      <c r="BN369">
        <f ca="1"/>
      </c>
      <c r="BO369">
        <f ca="1"/>
      </c>
      <c r="BP369">
        <f ca="1"/>
      </c>
      <c r="BQ369">
        <f ca="1"/>
      </c>
      <c r="BR369">
        <f ca="1"/>
      </c>
      <c r="BS369">
        <f ca="1"/>
      </c>
      <c r="BT369">
        <f ca="1"/>
      </c>
      <c r="BU369">
        <f ca="1"/>
      </c>
      <c r="BV369">
        <f ca="1"/>
      </c>
      <c r="BW369">
        <f ca="1"/>
      </c>
      <c r="BX369">
        <f ca="1"/>
      </c>
      <c r="BY369">
        <f ca="1"/>
      </c>
      <c r="BZ369">
        <f ca="1"/>
      </c>
      <c r="CA369">
        <f ca="1"/>
      </c>
      <c r="CB369">
        <f ca="1"/>
      </c>
      <c r="CC369">
        <f ca="1"/>
      </c>
      <c r="CD369">
        <f ca="1"/>
      </c>
      <c r="CE369">
        <f ca="1"/>
      </c>
      <c r="CF369">
        <f ca="1"/>
      </c>
      <c r="CG369">
        <f ca="1"/>
      </c>
      <c r="CH369">
        <f ca="1"/>
      </c>
      <c r="CI369">
        <f ca="1"/>
      </c>
      <c r="CJ369">
        <f ca="1"/>
      </c>
      <c r="CK369">
        <f ca="1"/>
      </c>
      <c r="CL369">
        <f ca="1"/>
      </c>
      <c r="CM369">
        <f ca="1"/>
      </c>
      <c r="CN369">
        <f ca="1"/>
      </c>
      <c r="CO369">
        <f ca="1"/>
      </c>
      <c r="CP369">
        <f ca="1"/>
      </c>
      <c r="CQ369">
        <f ca="1"/>
      </c>
      <c r="CR369">
        <f ca="1"/>
      </c>
      <c r="CS369">
        <f ca="1"/>
      </c>
      <c r="CT369">
        <f ca="1"/>
      </c>
      <c r="CU369">
        <f ca="1"/>
      </c>
      <c r="CV369">
        <f ca="1"/>
      </c>
      <c r="CW369">
        <f ca="1"/>
      </c>
      <c r="CX369">
        <f ca="1"/>
      </c>
      <c r="CY369">
        <f ca="1"/>
      </c>
      <c r="CZ369">
        <f ca="1"/>
      </c>
      <c r="DA369">
        <f ca="1"/>
      </c>
      <c r="DB369">
        <f ca="1"/>
      </c>
      <c r="DC369">
        <f ca="1"/>
      </c>
      <c r="DD369">
        <f ca="1"/>
      </c>
      <c r="DE369">
        <f ca="1"/>
      </c>
      <c r="DG369">
        <f ca="1"/>
      </c>
      <c r="DH369">
        <f ca="1"/>
      </c>
      <c r="DI369">
        <f ca="1"/>
      </c>
      <c r="DJ369">
        <f ca="1"/>
      </c>
      <c r="DK369">
        <f ca="1"/>
      </c>
      <c r="DL369">
        <f ca="1"/>
      </c>
      <c r="DM369">
        <f ca="1"/>
      </c>
      <c r="DN369">
        <f ca="1"/>
      </c>
      <c r="DO369">
        <f ca="1"/>
      </c>
      <c r="DP369">
        <f ca="1"/>
      </c>
      <c r="DQ369">
        <f ca="1"/>
      </c>
      <c r="DR369">
        <f ca="1"/>
      </c>
      <c r="DS369">
        <f ca="1"/>
      </c>
      <c r="DT369">
        <f ca="1"/>
      </c>
      <c r="DU369">
        <f ca="1"/>
      </c>
      <c r="DV369">
        <f ca="1"/>
      </c>
      <c r="DW369">
        <f ca="1"/>
      </c>
      <c r="DX369">
        <f ca="1"/>
      </c>
      <c r="DY369">
        <f ca="1"/>
      </c>
      <c r="DZ369">
        <f ca="1"/>
      </c>
      <c r="EA369">
        <f ca="1"/>
      </c>
      <c r="EB369">
        <f ca="1"/>
      </c>
      <c r="EC369">
        <f ca="1"/>
      </c>
      <c r="ED369">
        <f ca="1"/>
      </c>
      <c r="EE369">
        <f ca="1"/>
      </c>
      <c r="EF369">
        <f ca="1"/>
      </c>
      <c r="EG369">
        <f ca="1"/>
      </c>
      <c r="EH369">
        <f ca="1"/>
      </c>
      <c r="EI369">
        <f ca="1"/>
      </c>
      <c r="EJ369">
        <f ca="1"/>
      </c>
      <c r="EK369">
        <f ca="1"/>
      </c>
      <c r="EL369">
        <f ca="1"/>
      </c>
      <c r="EM369">
        <f ca="1"/>
      </c>
      <c r="EN369">
        <f ca="1"/>
      </c>
      <c r="EO369">
        <f ca="1"/>
      </c>
      <c r="EP369">
        <f ca="1"/>
      </c>
      <c r="EQ369">
        <f ca="1"/>
      </c>
      <c r="ER369">
        <f ca="1"/>
      </c>
      <c r="ES369">
        <f ca="1"/>
      </c>
      <c r="ET369">
        <f ca="1"/>
      </c>
      <c r="EU369">
        <f ca="1"/>
      </c>
      <c r="EV369">
        <f ca="1"/>
      </c>
      <c r="EW369">
        <f ca="1"/>
      </c>
      <c r="EX369">
        <f ca="1"/>
      </c>
      <c r="EY369">
        <f ca="1"/>
      </c>
      <c r="EZ369">
        <f ca="1"/>
      </c>
      <c r="FA369">
        <f ca="1"/>
      </c>
      <c r="FC369">
        <f ca="1"/>
      </c>
      <c r="FD369">
        <f ca="1"/>
      </c>
      <c r="FE369">
        <f ca="1"/>
      </c>
      <c r="FF369">
        <f ca="1"/>
      </c>
      <c r="FG369">
        <f ca="1"/>
      </c>
      <c r="FH369">
        <f ca="1"/>
      </c>
      <c r="FI369">
        <f ca="1"/>
      </c>
      <c r="FJ369">
        <f ca="1"/>
      </c>
      <c r="FK369">
        <f ca="1"/>
      </c>
      <c r="FL369">
        <f ca="1"/>
      </c>
      <c r="FM369">
        <f ca="1"/>
      </c>
      <c r="FN369">
        <f ca="1"/>
      </c>
      <c r="FO369">
        <f ca="1"/>
      </c>
      <c r="FP369">
        <f ca="1"/>
      </c>
      <c r="FQ369">
        <f ca="1"/>
      </c>
      <c r="FR369">
        <f ca="1"/>
      </c>
      <c r="FS369">
        <f ca="1"/>
      </c>
      <c r="FT369">
        <f ca="1"/>
      </c>
      <c r="FU369">
        <f ca="1"/>
      </c>
      <c r="FV369">
        <f ca="1"/>
      </c>
      <c r="FW369">
        <f ca="1"/>
      </c>
      <c r="FX369">
        <f ca="1"/>
      </c>
      <c r="FY369">
        <f ca="1"/>
      </c>
      <c r="FZ369">
        <f ca="1"/>
      </c>
      <c r="GA369">
        <f ca="1"/>
      </c>
      <c r="GB369">
        <f ca="1"/>
      </c>
      <c r="GC369">
        <f ca="1"/>
      </c>
      <c r="GD369">
        <f ca="1"/>
      </c>
      <c r="GE369">
        <f ca="1"/>
      </c>
      <c r="GF369">
        <f ca="1"/>
      </c>
      <c r="GG369">
        <f ca="1"/>
      </c>
      <c r="GH369">
        <f ca="1"/>
      </c>
      <c r="GI369">
        <f ca="1"/>
      </c>
      <c r="GJ369">
        <f ca="1"/>
      </c>
      <c r="GK369">
        <f ca="1"/>
      </c>
      <c r="GL369">
        <f ca="1"/>
      </c>
      <c r="GM369">
        <f ca="1"/>
      </c>
      <c r="GN369">
        <f ca="1"/>
      </c>
      <c r="GO369">
        <f ca="1"/>
      </c>
      <c r="GP369">
        <f ca="1"/>
      </c>
      <c r="GQ369">
        <f ca="1"/>
      </c>
      <c r="GR369">
        <f ca="1"/>
      </c>
      <c r="GS369">
        <f ca="1"/>
      </c>
      <c r="GT369">
        <f ca="1"/>
      </c>
      <c r="GU369">
        <f ca="1"/>
      </c>
      <c r="GV369">
        <f ca="1"/>
      </c>
      <c r="GW369">
        <f ca="1"/>
      </c>
      <c r="HI369" s="7"/>
    </row>
    <row r="370" spans="63:217" x14ac:dyDescent="0.55000000000000004">
      <c r="BK370">
        <f ca="1"/>
      </c>
      <c r="BL370">
        <f ca="1"/>
      </c>
      <c r="BM370">
        <f ca="1"/>
      </c>
      <c r="BN370">
        <f ca="1"/>
      </c>
      <c r="BO370">
        <f ca="1"/>
      </c>
      <c r="BP370">
        <f ca="1"/>
      </c>
      <c r="BQ370">
        <f ca="1"/>
      </c>
      <c r="BR370">
        <f ca="1"/>
      </c>
      <c r="BS370">
        <f ca="1"/>
      </c>
      <c r="BT370">
        <f ca="1"/>
      </c>
      <c r="BU370">
        <f ca="1"/>
      </c>
      <c r="BV370">
        <f ca="1"/>
      </c>
      <c r="BW370">
        <f ca="1"/>
      </c>
      <c r="BX370">
        <f ca="1"/>
      </c>
      <c r="BY370">
        <f ca="1"/>
      </c>
      <c r="BZ370">
        <f ca="1"/>
      </c>
      <c r="CA370">
        <f ca="1"/>
      </c>
      <c r="CB370">
        <f ca="1"/>
      </c>
      <c r="CC370">
        <f ca="1"/>
      </c>
      <c r="CD370">
        <f ca="1"/>
      </c>
      <c r="CE370">
        <f ca="1"/>
      </c>
      <c r="CF370">
        <f ca="1"/>
      </c>
      <c r="CG370">
        <f ca="1"/>
      </c>
      <c r="CH370">
        <f ca="1"/>
      </c>
      <c r="CI370">
        <f ca="1"/>
      </c>
      <c r="CJ370">
        <f ca="1"/>
      </c>
      <c r="CK370">
        <f ca="1"/>
      </c>
      <c r="CL370">
        <f ca="1"/>
      </c>
      <c r="CM370">
        <f ca="1"/>
      </c>
      <c r="CN370">
        <f ca="1"/>
      </c>
      <c r="CO370">
        <f ca="1"/>
      </c>
      <c r="CP370">
        <f ca="1"/>
      </c>
      <c r="CQ370">
        <f ca="1"/>
      </c>
      <c r="CR370">
        <f ca="1"/>
      </c>
      <c r="CS370">
        <f ca="1"/>
      </c>
      <c r="CT370">
        <f ca="1"/>
      </c>
      <c r="CU370">
        <f ca="1"/>
      </c>
      <c r="CV370">
        <f ca="1"/>
      </c>
      <c r="CW370">
        <f ca="1"/>
      </c>
      <c r="CX370">
        <f ca="1"/>
      </c>
      <c r="CY370">
        <f ca="1"/>
      </c>
      <c r="CZ370">
        <f ca="1"/>
      </c>
      <c r="DA370">
        <f ca="1"/>
      </c>
      <c r="DB370">
        <f ca="1"/>
      </c>
      <c r="DC370">
        <f ca="1"/>
      </c>
      <c r="DD370">
        <f ca="1"/>
      </c>
      <c r="DE370">
        <f ca="1"/>
      </c>
      <c r="DG370">
        <f ca="1"/>
      </c>
      <c r="DH370">
        <f ca="1"/>
      </c>
      <c r="DI370">
        <f ca="1"/>
      </c>
      <c r="DJ370">
        <f ca="1"/>
      </c>
      <c r="DK370">
        <f ca="1"/>
      </c>
      <c r="DL370">
        <f ca="1"/>
      </c>
      <c r="DM370">
        <f ca="1"/>
      </c>
      <c r="DN370">
        <f ca="1"/>
      </c>
      <c r="DO370">
        <f ca="1"/>
      </c>
      <c r="DP370">
        <f ca="1"/>
      </c>
      <c r="DQ370">
        <f ca="1"/>
      </c>
      <c r="DR370">
        <f ca="1"/>
      </c>
      <c r="DS370">
        <f ca="1"/>
      </c>
      <c r="DT370">
        <f ca="1"/>
      </c>
      <c r="DU370">
        <f ca="1"/>
      </c>
      <c r="DV370">
        <f ca="1"/>
      </c>
      <c r="DW370">
        <f ca="1"/>
      </c>
      <c r="DX370">
        <f ca="1"/>
      </c>
      <c r="DY370">
        <f ca="1"/>
      </c>
      <c r="DZ370">
        <f ca="1"/>
      </c>
      <c r="EA370">
        <f ca="1"/>
      </c>
      <c r="EB370">
        <f ca="1"/>
      </c>
      <c r="EC370">
        <f ca="1"/>
      </c>
      <c r="ED370">
        <f ca="1"/>
      </c>
      <c r="EE370">
        <f ca="1"/>
      </c>
      <c r="EF370">
        <f ca="1"/>
      </c>
      <c r="EG370">
        <f ca="1"/>
      </c>
      <c r="EH370">
        <f ca="1"/>
      </c>
      <c r="EI370">
        <f ca="1"/>
      </c>
      <c r="EJ370">
        <f ca="1"/>
      </c>
      <c r="EK370">
        <f ca="1"/>
      </c>
      <c r="EL370">
        <f ca="1"/>
      </c>
      <c r="EM370">
        <f ca="1"/>
      </c>
      <c r="EN370">
        <f ca="1"/>
      </c>
      <c r="EO370">
        <f ca="1"/>
      </c>
      <c r="EP370">
        <f ca="1"/>
      </c>
      <c r="EQ370">
        <f ca="1"/>
      </c>
      <c r="ER370">
        <f ca="1"/>
      </c>
      <c r="ES370">
        <f ca="1"/>
      </c>
      <c r="ET370">
        <f ca="1"/>
      </c>
      <c r="EU370">
        <f ca="1"/>
      </c>
      <c r="EV370">
        <f ca="1"/>
      </c>
      <c r="EW370">
        <f ca="1"/>
      </c>
      <c r="EX370">
        <f ca="1"/>
      </c>
      <c r="EY370">
        <f ca="1"/>
      </c>
      <c r="EZ370">
        <f ca="1"/>
      </c>
      <c r="FA370">
        <f ca="1"/>
      </c>
      <c r="FC370">
        <f ca="1"/>
      </c>
      <c r="FD370">
        <f ca="1"/>
      </c>
      <c r="FE370">
        <f ca="1"/>
      </c>
      <c r="FF370">
        <f ca="1"/>
      </c>
      <c r="FG370">
        <f ca="1"/>
      </c>
      <c r="FH370">
        <f ca="1"/>
      </c>
      <c r="FI370">
        <f ca="1"/>
      </c>
      <c r="FJ370">
        <f ca="1"/>
      </c>
      <c r="FK370">
        <f ca="1"/>
      </c>
      <c r="FL370">
        <f ca="1"/>
      </c>
      <c r="FM370">
        <f ca="1"/>
      </c>
      <c r="FN370">
        <f ca="1"/>
      </c>
      <c r="FO370">
        <f ca="1"/>
      </c>
      <c r="FP370">
        <f ca="1"/>
      </c>
      <c r="FQ370">
        <f ca="1"/>
      </c>
      <c r="FR370">
        <f ca="1"/>
      </c>
      <c r="FS370">
        <f ca="1"/>
      </c>
      <c r="FT370">
        <f ca="1"/>
      </c>
      <c r="FU370">
        <f ca="1"/>
      </c>
      <c r="FV370">
        <f ca="1"/>
      </c>
      <c r="FW370">
        <f ca="1"/>
      </c>
      <c r="FX370">
        <f ca="1"/>
      </c>
      <c r="FY370">
        <f ca="1"/>
      </c>
      <c r="FZ370">
        <f ca="1"/>
      </c>
      <c r="GA370">
        <f ca="1"/>
      </c>
      <c r="GB370">
        <f ca="1"/>
      </c>
      <c r="GC370">
        <f ca="1"/>
      </c>
      <c r="GD370">
        <f ca="1"/>
      </c>
      <c r="GE370">
        <f ca="1"/>
      </c>
      <c r="GF370">
        <f ca="1"/>
      </c>
      <c r="GG370">
        <f ca="1"/>
      </c>
      <c r="GH370">
        <f ca="1"/>
      </c>
      <c r="GI370">
        <f ca="1"/>
      </c>
      <c r="GJ370">
        <f ca="1"/>
      </c>
      <c r="GK370">
        <f ca="1"/>
      </c>
      <c r="GL370">
        <f ca="1"/>
      </c>
      <c r="GM370">
        <f ca="1"/>
      </c>
      <c r="GN370">
        <f ca="1"/>
      </c>
      <c r="GO370">
        <f ca="1"/>
      </c>
      <c r="GP370">
        <f ca="1"/>
      </c>
      <c r="GQ370">
        <f ca="1"/>
      </c>
      <c r="GR370">
        <f ca="1"/>
      </c>
      <c r="GS370">
        <f ca="1"/>
      </c>
      <c r="GT370">
        <f ca="1"/>
      </c>
      <c r="GU370">
        <f ca="1"/>
      </c>
      <c r="GV370">
        <f ca="1"/>
      </c>
      <c r="GW370">
        <f ca="1"/>
      </c>
      <c r="HI370" s="7"/>
    </row>
    <row r="371" spans="63:217" x14ac:dyDescent="0.55000000000000004">
      <c r="BK371">
        <f ca="1"/>
      </c>
      <c r="BL371">
        <f ca="1"/>
      </c>
      <c r="BM371">
        <f ca="1"/>
      </c>
      <c r="BN371">
        <f ca="1"/>
      </c>
      <c r="BO371">
        <f ca="1"/>
      </c>
      <c r="BP371">
        <f ca="1"/>
      </c>
      <c r="BQ371">
        <f ca="1"/>
      </c>
      <c r="BR371">
        <f ca="1"/>
      </c>
      <c r="BS371">
        <f ca="1"/>
      </c>
      <c r="BT371">
        <f ca="1"/>
      </c>
      <c r="BU371">
        <f ca="1"/>
      </c>
      <c r="BV371">
        <f ca="1"/>
      </c>
      <c r="BW371">
        <f ca="1"/>
      </c>
      <c r="BX371">
        <f ca="1"/>
      </c>
      <c r="BY371">
        <f ca="1"/>
      </c>
      <c r="BZ371">
        <f ca="1"/>
      </c>
      <c r="CA371">
        <f ca="1"/>
      </c>
      <c r="CB371">
        <f ca="1"/>
      </c>
      <c r="CC371">
        <f ca="1"/>
      </c>
      <c r="CD371">
        <f ca="1"/>
      </c>
      <c r="CE371">
        <f ca="1"/>
      </c>
      <c r="CF371">
        <f ca="1"/>
      </c>
      <c r="CG371">
        <f ca="1"/>
      </c>
      <c r="CH371">
        <f ca="1"/>
      </c>
      <c r="CI371">
        <f ca="1"/>
      </c>
      <c r="CJ371">
        <f ca="1"/>
      </c>
      <c r="CK371">
        <f ca="1"/>
      </c>
      <c r="CL371">
        <f ca="1"/>
      </c>
      <c r="CM371">
        <f ca="1"/>
      </c>
      <c r="CN371">
        <f ca="1"/>
      </c>
      <c r="CO371">
        <f ca="1"/>
      </c>
      <c r="CP371">
        <f ca="1"/>
      </c>
      <c r="CQ371">
        <f ca="1"/>
      </c>
      <c r="CR371">
        <f ca="1"/>
      </c>
      <c r="CS371">
        <f ca="1"/>
      </c>
      <c r="CT371">
        <f ca="1"/>
      </c>
      <c r="CU371">
        <f ca="1"/>
      </c>
      <c r="CV371">
        <f ca="1"/>
      </c>
      <c r="CW371">
        <f ca="1"/>
      </c>
      <c r="CX371">
        <f ca="1"/>
      </c>
      <c r="CY371">
        <f ca="1"/>
      </c>
      <c r="CZ371">
        <f ca="1"/>
      </c>
      <c r="DA371">
        <f ca="1"/>
      </c>
      <c r="DB371">
        <f ca="1"/>
      </c>
      <c r="DC371">
        <f ca="1"/>
      </c>
      <c r="DD371">
        <f ca="1"/>
      </c>
      <c r="DE371">
        <f ca="1"/>
      </c>
      <c r="DG371">
        <f ca="1"/>
      </c>
      <c r="DH371">
        <f ca="1"/>
      </c>
      <c r="DI371">
        <f ca="1"/>
      </c>
      <c r="DJ371">
        <f ca="1"/>
      </c>
      <c r="DK371">
        <f ca="1"/>
      </c>
      <c r="DL371">
        <f ca="1"/>
      </c>
      <c r="DM371">
        <f ca="1"/>
      </c>
      <c r="DN371">
        <f ca="1"/>
      </c>
      <c r="DO371">
        <f ca="1"/>
      </c>
      <c r="DP371">
        <f ca="1"/>
      </c>
      <c r="DQ371">
        <f ca="1"/>
      </c>
      <c r="DR371">
        <f ca="1"/>
      </c>
      <c r="DS371">
        <f ca="1"/>
      </c>
      <c r="DT371">
        <f ca="1"/>
      </c>
      <c r="DU371">
        <f ca="1"/>
      </c>
      <c r="DV371">
        <f ca="1"/>
      </c>
      <c r="DW371">
        <f ca="1"/>
      </c>
      <c r="DX371">
        <f ca="1"/>
      </c>
      <c r="DY371">
        <f ca="1"/>
      </c>
      <c r="DZ371">
        <f ca="1"/>
      </c>
      <c r="EA371">
        <f ca="1"/>
      </c>
      <c r="EB371">
        <f ca="1"/>
      </c>
      <c r="EC371">
        <f ca="1"/>
      </c>
      <c r="ED371">
        <f ca="1"/>
      </c>
      <c r="EE371">
        <f ca="1"/>
      </c>
      <c r="EF371">
        <f ca="1"/>
      </c>
      <c r="EG371">
        <f ca="1"/>
      </c>
      <c r="EH371">
        <f ca="1"/>
      </c>
      <c r="EI371">
        <f ca="1"/>
      </c>
      <c r="EJ371">
        <f ca="1"/>
      </c>
      <c r="EK371">
        <f ca="1"/>
      </c>
      <c r="EL371">
        <f ca="1"/>
      </c>
      <c r="EM371">
        <f ca="1"/>
      </c>
      <c r="EN371">
        <f ca="1"/>
      </c>
      <c r="EO371">
        <f ca="1"/>
      </c>
      <c r="EP371">
        <f ca="1"/>
      </c>
      <c r="EQ371">
        <f ca="1"/>
      </c>
      <c r="ER371">
        <f ca="1"/>
      </c>
      <c r="ES371">
        <f ca="1"/>
      </c>
      <c r="ET371">
        <f ca="1"/>
      </c>
      <c r="EU371">
        <f ca="1"/>
      </c>
      <c r="EV371">
        <f ca="1"/>
      </c>
      <c r="EW371">
        <f ca="1"/>
      </c>
      <c r="EX371">
        <f ca="1"/>
      </c>
      <c r="EY371">
        <f ca="1"/>
      </c>
      <c r="EZ371">
        <f ca="1"/>
      </c>
      <c r="FA371">
        <f ca="1"/>
      </c>
      <c r="FC371">
        <f ca="1"/>
      </c>
      <c r="FD371">
        <f ca="1"/>
      </c>
      <c r="FE371">
        <f ca="1"/>
      </c>
      <c r="FF371">
        <f ca="1"/>
      </c>
      <c r="FG371">
        <f ca="1"/>
      </c>
      <c r="FH371">
        <f ca="1"/>
      </c>
      <c r="FI371">
        <f ca="1"/>
      </c>
      <c r="FJ371">
        <f ca="1"/>
      </c>
      <c r="FK371">
        <f ca="1"/>
      </c>
      <c r="FL371">
        <f ca="1"/>
      </c>
      <c r="FM371">
        <f ca="1"/>
      </c>
      <c r="FN371">
        <f ca="1"/>
      </c>
      <c r="FO371">
        <f ca="1"/>
      </c>
      <c r="FP371">
        <f ca="1"/>
      </c>
      <c r="FQ371">
        <f ca="1"/>
      </c>
      <c r="FR371">
        <f ca="1"/>
      </c>
      <c r="FS371">
        <f ca="1"/>
      </c>
      <c r="FT371">
        <f ca="1"/>
      </c>
      <c r="FU371">
        <f ca="1"/>
      </c>
      <c r="FV371">
        <f ca="1"/>
      </c>
      <c r="FW371">
        <f ca="1"/>
      </c>
      <c r="FX371">
        <f ca="1"/>
      </c>
      <c r="FY371">
        <f ca="1"/>
      </c>
      <c r="FZ371">
        <f ca="1"/>
      </c>
      <c r="GA371">
        <f ca="1"/>
      </c>
      <c r="GB371">
        <f ca="1"/>
      </c>
      <c r="GC371">
        <f ca="1"/>
      </c>
      <c r="GD371">
        <f ca="1"/>
      </c>
      <c r="GE371">
        <f ca="1"/>
      </c>
      <c r="GF371">
        <f ca="1"/>
      </c>
      <c r="GG371">
        <f ca="1"/>
      </c>
      <c r="GH371">
        <f ca="1"/>
      </c>
      <c r="GI371">
        <f ca="1"/>
      </c>
      <c r="GJ371">
        <f ca="1"/>
      </c>
      <c r="GK371">
        <f ca="1"/>
      </c>
      <c r="GL371">
        <f ca="1"/>
      </c>
      <c r="GM371">
        <f ca="1"/>
      </c>
      <c r="GN371">
        <f ca="1"/>
      </c>
      <c r="GO371">
        <f ca="1"/>
      </c>
      <c r="GP371">
        <f ca="1"/>
      </c>
      <c r="GQ371">
        <f ca="1"/>
      </c>
      <c r="GR371">
        <f ca="1"/>
      </c>
      <c r="GS371">
        <f ca="1"/>
      </c>
      <c r="GT371">
        <f ca="1"/>
      </c>
      <c r="GU371">
        <f ca="1"/>
      </c>
      <c r="GV371">
        <f ca="1"/>
      </c>
      <c r="GW371">
        <f ca="1"/>
      </c>
      <c r="HI371" s="7"/>
    </row>
    <row r="372" spans="63:217" x14ac:dyDescent="0.55000000000000004">
      <c r="BK372">
        <f ca="1"/>
      </c>
      <c r="BL372">
        <f ca="1"/>
      </c>
      <c r="BM372">
        <f ca="1"/>
      </c>
      <c r="BN372">
        <f ca="1"/>
      </c>
      <c r="BO372">
        <f ca="1"/>
      </c>
      <c r="BP372">
        <f ca="1"/>
      </c>
      <c r="BQ372">
        <f ca="1"/>
      </c>
      <c r="BR372">
        <f ca="1"/>
      </c>
      <c r="BS372">
        <f ca="1"/>
      </c>
      <c r="BT372">
        <f ca="1"/>
      </c>
      <c r="BU372">
        <f ca="1"/>
      </c>
      <c r="BV372">
        <f ca="1"/>
      </c>
      <c r="BW372">
        <f ca="1"/>
      </c>
      <c r="BX372">
        <f ca="1"/>
      </c>
      <c r="BY372">
        <f ca="1"/>
      </c>
      <c r="BZ372">
        <f ca="1"/>
      </c>
      <c r="CA372">
        <f ca="1"/>
      </c>
      <c r="CB372">
        <f ca="1"/>
      </c>
      <c r="CC372">
        <f ca="1"/>
      </c>
      <c r="CD372">
        <f ca="1"/>
      </c>
      <c r="CE372">
        <f ca="1"/>
      </c>
      <c r="CF372">
        <f ca="1"/>
      </c>
      <c r="CG372">
        <f ca="1"/>
      </c>
      <c r="CH372">
        <f ca="1"/>
      </c>
      <c r="CI372">
        <f ca="1"/>
      </c>
      <c r="CJ372">
        <f ca="1"/>
      </c>
      <c r="CK372">
        <f ca="1"/>
      </c>
      <c r="CL372">
        <f ca="1"/>
      </c>
      <c r="CM372">
        <f ca="1"/>
      </c>
      <c r="CN372">
        <f ca="1"/>
      </c>
      <c r="CO372">
        <f ca="1"/>
      </c>
      <c r="CP372">
        <f ca="1"/>
      </c>
      <c r="CQ372">
        <f ca="1"/>
      </c>
      <c r="CR372">
        <f ca="1"/>
      </c>
      <c r="CS372">
        <f ca="1"/>
      </c>
      <c r="CT372">
        <f ca="1"/>
      </c>
      <c r="CU372">
        <f ca="1"/>
      </c>
      <c r="CV372">
        <f ca="1"/>
      </c>
      <c r="CW372">
        <f ca="1"/>
      </c>
      <c r="CX372">
        <f ca="1"/>
      </c>
      <c r="CY372">
        <f ca="1"/>
      </c>
      <c r="CZ372">
        <f ca="1"/>
      </c>
      <c r="DA372">
        <f ca="1"/>
      </c>
      <c r="DB372">
        <f ca="1"/>
      </c>
      <c r="DC372">
        <f ca="1"/>
      </c>
      <c r="DD372">
        <f ca="1"/>
      </c>
      <c r="DE372">
        <f ca="1"/>
      </c>
      <c r="DG372">
        <f ca="1"/>
      </c>
      <c r="DH372">
        <f ca="1"/>
      </c>
      <c r="DI372">
        <f ca="1"/>
      </c>
      <c r="DJ372">
        <f ca="1"/>
      </c>
      <c r="DK372">
        <f ca="1"/>
      </c>
      <c r="DL372">
        <f ca="1"/>
      </c>
      <c r="DM372">
        <f ca="1"/>
      </c>
      <c r="DN372">
        <f ca="1"/>
      </c>
      <c r="DO372">
        <f ca="1"/>
      </c>
      <c r="DP372">
        <f ca="1"/>
      </c>
      <c r="DQ372">
        <f ca="1"/>
      </c>
      <c r="DR372">
        <f ca="1"/>
      </c>
      <c r="DS372">
        <f ca="1"/>
      </c>
      <c r="DT372">
        <f ca="1"/>
      </c>
      <c r="DU372">
        <f ca="1"/>
      </c>
      <c r="DV372">
        <f ca="1"/>
      </c>
      <c r="DW372">
        <f ca="1"/>
      </c>
      <c r="DX372">
        <f ca="1"/>
      </c>
      <c r="DY372">
        <f ca="1"/>
      </c>
      <c r="DZ372">
        <f ca="1"/>
      </c>
      <c r="EA372">
        <f ca="1"/>
      </c>
      <c r="EB372">
        <f ca="1"/>
      </c>
      <c r="EC372">
        <f ca="1"/>
      </c>
      <c r="ED372">
        <f ca="1"/>
      </c>
      <c r="EE372">
        <f ca="1"/>
      </c>
      <c r="EF372">
        <f ca="1"/>
      </c>
      <c r="EG372">
        <f ca="1"/>
      </c>
      <c r="EH372">
        <f ca="1"/>
      </c>
      <c r="EI372">
        <f ca="1"/>
      </c>
      <c r="EJ372">
        <f ca="1"/>
      </c>
      <c r="EK372">
        <f ca="1"/>
      </c>
      <c r="EL372">
        <f ca="1"/>
      </c>
      <c r="EM372">
        <f ca="1"/>
      </c>
      <c r="EN372">
        <f ca="1"/>
      </c>
      <c r="EO372">
        <f ca="1"/>
      </c>
      <c r="EP372">
        <f ca="1"/>
      </c>
      <c r="EQ372">
        <f ca="1"/>
      </c>
      <c r="ER372">
        <f ca="1"/>
      </c>
      <c r="ES372">
        <f ca="1"/>
      </c>
      <c r="ET372">
        <f ca="1"/>
      </c>
      <c r="EU372">
        <f ca="1"/>
      </c>
      <c r="EV372">
        <f ca="1"/>
      </c>
      <c r="EW372">
        <f ca="1"/>
      </c>
      <c r="EX372">
        <f ca="1"/>
      </c>
      <c r="EY372">
        <f ca="1"/>
      </c>
      <c r="EZ372">
        <f ca="1"/>
      </c>
      <c r="FA372">
        <f ca="1"/>
      </c>
      <c r="FC372">
        <f ca="1"/>
      </c>
      <c r="FD372">
        <f ca="1"/>
      </c>
      <c r="FE372">
        <f ca="1"/>
      </c>
      <c r="FF372">
        <f ca="1"/>
      </c>
      <c r="FG372">
        <f ca="1"/>
      </c>
      <c r="FH372">
        <f ca="1"/>
      </c>
      <c r="FI372">
        <f ca="1"/>
      </c>
      <c r="FJ372">
        <f ca="1"/>
      </c>
      <c r="FK372">
        <f ca="1"/>
      </c>
      <c r="FL372">
        <f ca="1"/>
      </c>
      <c r="FM372">
        <f ca="1"/>
      </c>
      <c r="FN372">
        <f ca="1"/>
      </c>
      <c r="FO372">
        <f ca="1"/>
      </c>
      <c r="FP372">
        <f ca="1"/>
      </c>
      <c r="FQ372">
        <f ca="1"/>
      </c>
      <c r="FR372">
        <f ca="1"/>
      </c>
      <c r="FS372">
        <f ca="1"/>
      </c>
      <c r="FT372">
        <f ca="1"/>
      </c>
      <c r="FU372">
        <f ca="1"/>
      </c>
      <c r="FV372">
        <f ca="1"/>
      </c>
      <c r="FW372">
        <f ca="1"/>
      </c>
      <c r="FX372">
        <f ca="1"/>
      </c>
      <c r="FY372">
        <f ca="1"/>
      </c>
      <c r="FZ372">
        <f ca="1"/>
      </c>
      <c r="GA372">
        <f ca="1"/>
      </c>
      <c r="GB372">
        <f ca="1"/>
      </c>
      <c r="GC372">
        <f ca="1"/>
      </c>
      <c r="GD372">
        <f ca="1"/>
      </c>
      <c r="GE372">
        <f ca="1"/>
      </c>
      <c r="GF372">
        <f ca="1"/>
      </c>
      <c r="GG372">
        <f ca="1"/>
      </c>
      <c r="GH372">
        <f ca="1"/>
      </c>
      <c r="GI372">
        <f ca="1"/>
      </c>
      <c r="GJ372">
        <f ca="1"/>
      </c>
      <c r="GK372">
        <f ca="1"/>
      </c>
      <c r="GL372">
        <f ca="1"/>
      </c>
      <c r="GM372">
        <f ca="1"/>
      </c>
      <c r="GN372">
        <f ca="1"/>
      </c>
      <c r="GO372">
        <f ca="1"/>
      </c>
      <c r="GP372">
        <f ca="1"/>
      </c>
      <c r="GQ372">
        <f ca="1"/>
      </c>
      <c r="GR372">
        <f ca="1"/>
      </c>
      <c r="GS372">
        <f ca="1"/>
      </c>
      <c r="GT372">
        <f ca="1"/>
      </c>
      <c r="GU372">
        <f ca="1"/>
      </c>
      <c r="GV372">
        <f ca="1"/>
      </c>
      <c r="GW372">
        <f ca="1"/>
      </c>
      <c r="HI372" s="7"/>
    </row>
    <row r="373" spans="63:217" x14ac:dyDescent="0.55000000000000004">
      <c r="BK373">
        <f ca="1"/>
      </c>
      <c r="BL373">
        <f ca="1"/>
      </c>
      <c r="BM373">
        <f ca="1"/>
      </c>
      <c r="BN373">
        <f ca="1"/>
      </c>
      <c r="BO373">
        <f ca="1"/>
      </c>
      <c r="BP373">
        <f ca="1"/>
      </c>
      <c r="BQ373">
        <f ca="1"/>
      </c>
      <c r="BR373">
        <f ca="1"/>
      </c>
      <c r="BS373">
        <f ca="1"/>
      </c>
      <c r="BT373">
        <f ca="1"/>
      </c>
      <c r="BU373">
        <f ca="1"/>
      </c>
      <c r="BV373">
        <f ca="1"/>
      </c>
      <c r="BW373">
        <f ca="1"/>
      </c>
      <c r="BX373">
        <f ca="1"/>
      </c>
      <c r="BY373">
        <f ca="1"/>
      </c>
      <c r="BZ373">
        <f ca="1"/>
      </c>
      <c r="CA373">
        <f ca="1"/>
      </c>
      <c r="CB373">
        <f ca="1"/>
      </c>
      <c r="CC373">
        <f ca="1"/>
      </c>
      <c r="CD373">
        <f ca="1"/>
      </c>
      <c r="CE373">
        <f ca="1"/>
      </c>
      <c r="CF373">
        <f ca="1"/>
      </c>
      <c r="CG373">
        <f ca="1"/>
      </c>
      <c r="CH373">
        <f ca="1"/>
      </c>
      <c r="CI373">
        <f ca="1"/>
      </c>
      <c r="CJ373">
        <f ca="1"/>
      </c>
      <c r="CK373">
        <f ca="1"/>
      </c>
      <c r="CL373">
        <f ca="1"/>
      </c>
      <c r="CM373">
        <f ca="1"/>
      </c>
      <c r="CN373">
        <f ca="1"/>
      </c>
      <c r="CO373">
        <f ca="1"/>
      </c>
      <c r="CP373">
        <f ca="1"/>
      </c>
      <c r="CQ373">
        <f ca="1"/>
      </c>
      <c r="CR373">
        <f ca="1"/>
      </c>
      <c r="CS373">
        <f ca="1"/>
      </c>
      <c r="CT373">
        <f ca="1"/>
      </c>
      <c r="CU373">
        <f ca="1"/>
      </c>
      <c r="CV373">
        <f ca="1"/>
      </c>
      <c r="CW373">
        <f ca="1"/>
      </c>
      <c r="CX373">
        <f ca="1"/>
      </c>
      <c r="CY373">
        <f ca="1"/>
      </c>
      <c r="CZ373">
        <f ca="1"/>
      </c>
      <c r="DA373">
        <f ca="1"/>
      </c>
      <c r="DB373">
        <f ca="1"/>
      </c>
      <c r="DC373">
        <f ca="1"/>
      </c>
      <c r="DD373">
        <f ca="1"/>
      </c>
      <c r="DE373">
        <f ca="1"/>
      </c>
      <c r="DG373">
        <f ca="1"/>
      </c>
      <c r="DH373">
        <f ca="1"/>
      </c>
      <c r="DI373">
        <f ca="1"/>
      </c>
      <c r="DJ373">
        <f ca="1"/>
      </c>
      <c r="DK373">
        <f ca="1"/>
      </c>
      <c r="DL373">
        <f ca="1"/>
      </c>
      <c r="DM373">
        <f ca="1"/>
      </c>
      <c r="DN373">
        <f ca="1"/>
      </c>
      <c r="DO373">
        <f ca="1"/>
      </c>
      <c r="DP373">
        <f ca="1"/>
      </c>
      <c r="DQ373">
        <f ca="1"/>
      </c>
      <c r="DR373">
        <f ca="1"/>
      </c>
      <c r="DS373">
        <f ca="1"/>
      </c>
      <c r="DT373">
        <f ca="1"/>
      </c>
      <c r="DU373">
        <f ca="1"/>
      </c>
      <c r="DV373">
        <f ca="1"/>
      </c>
      <c r="DW373">
        <f ca="1"/>
      </c>
      <c r="DX373">
        <f ca="1"/>
      </c>
      <c r="DY373">
        <f ca="1"/>
      </c>
      <c r="DZ373">
        <f ca="1"/>
      </c>
      <c r="EA373">
        <f ca="1"/>
      </c>
      <c r="EB373">
        <f ca="1"/>
      </c>
      <c r="EC373">
        <f ca="1"/>
      </c>
      <c r="ED373">
        <f ca="1"/>
      </c>
      <c r="EE373">
        <f ca="1"/>
      </c>
      <c r="EF373">
        <f ca="1"/>
      </c>
      <c r="EG373">
        <f ca="1"/>
      </c>
      <c r="EH373">
        <f ca="1"/>
      </c>
      <c r="EI373">
        <f ca="1"/>
      </c>
      <c r="EJ373">
        <f ca="1"/>
      </c>
      <c r="EK373">
        <f ca="1"/>
      </c>
      <c r="EL373">
        <f ca="1"/>
      </c>
      <c r="EM373">
        <f ca="1"/>
      </c>
      <c r="EN373">
        <f ca="1"/>
      </c>
      <c r="EO373">
        <f ca="1"/>
      </c>
      <c r="EP373">
        <f ca="1"/>
      </c>
      <c r="EQ373">
        <f ca="1"/>
      </c>
      <c r="ER373">
        <f ca="1"/>
      </c>
      <c r="ES373">
        <f ca="1"/>
      </c>
      <c r="ET373">
        <f ca="1"/>
      </c>
      <c r="EU373">
        <f ca="1"/>
      </c>
      <c r="EV373">
        <f ca="1"/>
      </c>
      <c r="EW373">
        <f ca="1"/>
      </c>
      <c r="EX373">
        <f ca="1"/>
      </c>
      <c r="EY373">
        <f ca="1"/>
      </c>
      <c r="EZ373">
        <f ca="1"/>
      </c>
      <c r="FA373">
        <f ca="1"/>
      </c>
      <c r="FC373">
        <f ca="1"/>
      </c>
      <c r="FD373">
        <f ca="1"/>
      </c>
      <c r="FE373">
        <f ca="1"/>
      </c>
      <c r="FF373">
        <f ca="1"/>
      </c>
      <c r="FG373">
        <f ca="1"/>
      </c>
      <c r="FH373">
        <f ca="1"/>
      </c>
      <c r="FI373">
        <f ca="1"/>
      </c>
      <c r="FJ373">
        <f ca="1"/>
      </c>
      <c r="FK373">
        <f ca="1"/>
      </c>
      <c r="FL373">
        <f ca="1"/>
      </c>
      <c r="FM373">
        <f ca="1"/>
      </c>
      <c r="FN373">
        <f ca="1"/>
      </c>
      <c r="FO373">
        <f ca="1"/>
      </c>
      <c r="FP373">
        <f ca="1"/>
      </c>
      <c r="FQ373">
        <f ca="1"/>
      </c>
      <c r="FR373">
        <f ca="1"/>
      </c>
      <c r="FS373">
        <f ca="1"/>
      </c>
      <c r="FT373">
        <f ca="1"/>
      </c>
      <c r="FU373">
        <f ca="1"/>
      </c>
      <c r="FV373">
        <f ca="1"/>
      </c>
      <c r="FW373">
        <f ca="1"/>
      </c>
      <c r="FX373">
        <f ca="1"/>
      </c>
      <c r="FY373">
        <f ca="1"/>
      </c>
      <c r="FZ373">
        <f ca="1"/>
      </c>
      <c r="GA373">
        <f ca="1"/>
      </c>
      <c r="GB373">
        <f ca="1"/>
      </c>
      <c r="GC373">
        <f ca="1"/>
      </c>
      <c r="GD373">
        <f ca="1"/>
      </c>
      <c r="GE373">
        <f ca="1"/>
      </c>
      <c r="GF373">
        <f ca="1"/>
      </c>
      <c r="GG373">
        <f ca="1"/>
      </c>
      <c r="GH373">
        <f ca="1"/>
      </c>
      <c r="GI373">
        <f ca="1"/>
      </c>
      <c r="GJ373">
        <f ca="1"/>
      </c>
      <c r="GK373">
        <f ca="1"/>
      </c>
      <c r="GL373">
        <f ca="1"/>
      </c>
      <c r="GM373">
        <f ca="1"/>
      </c>
      <c r="GN373">
        <f ca="1"/>
      </c>
      <c r="GO373">
        <f ca="1"/>
      </c>
      <c r="GP373">
        <f ca="1"/>
      </c>
      <c r="GQ373">
        <f ca="1"/>
      </c>
      <c r="GR373">
        <f ca="1"/>
      </c>
      <c r="GS373">
        <f ca="1"/>
      </c>
      <c r="GT373">
        <f ca="1"/>
      </c>
      <c r="GU373">
        <f ca="1"/>
      </c>
      <c r="GV373">
        <f ca="1"/>
      </c>
      <c r="GW373">
        <f ca="1"/>
      </c>
      <c r="HI373" s="7"/>
    </row>
    <row r="374" spans="63:217" x14ac:dyDescent="0.55000000000000004">
      <c r="BK374">
        <f ca="1"/>
      </c>
      <c r="BL374">
        <f ca="1"/>
      </c>
      <c r="BM374">
        <f ca="1"/>
      </c>
      <c r="BN374">
        <f ca="1"/>
      </c>
      <c r="BO374">
        <f ca="1"/>
      </c>
      <c r="BP374">
        <f ca="1"/>
      </c>
      <c r="BQ374">
        <f ca="1"/>
      </c>
      <c r="BR374">
        <f ca="1"/>
      </c>
      <c r="BS374">
        <f ca="1"/>
      </c>
      <c r="BT374">
        <f ca="1"/>
      </c>
      <c r="BU374">
        <f ca="1"/>
      </c>
      <c r="BV374">
        <f ca="1"/>
      </c>
      <c r="BW374">
        <f ca="1"/>
      </c>
      <c r="BX374">
        <f ca="1"/>
      </c>
      <c r="BY374">
        <f ca="1"/>
      </c>
      <c r="BZ374">
        <f ca="1"/>
      </c>
      <c r="CA374">
        <f ca="1"/>
      </c>
      <c r="CB374">
        <f ca="1"/>
      </c>
      <c r="CC374">
        <f ca="1"/>
      </c>
      <c r="CD374">
        <f ca="1"/>
      </c>
      <c r="CE374">
        <f ca="1"/>
      </c>
      <c r="CF374">
        <f ca="1"/>
      </c>
      <c r="CG374">
        <f ca="1"/>
      </c>
      <c r="CH374">
        <f ca="1"/>
      </c>
      <c r="CI374">
        <f ca="1"/>
      </c>
      <c r="CJ374">
        <f ca="1"/>
      </c>
      <c r="CK374">
        <f ca="1"/>
      </c>
      <c r="CL374">
        <f ca="1"/>
      </c>
      <c r="CM374">
        <f ca="1"/>
      </c>
      <c r="CN374">
        <f ca="1"/>
      </c>
      <c r="CO374">
        <f ca="1"/>
      </c>
      <c r="CP374">
        <f ca="1"/>
      </c>
      <c r="CQ374">
        <f ca="1"/>
      </c>
      <c r="CR374">
        <f ca="1"/>
      </c>
      <c r="CS374">
        <f ca="1"/>
      </c>
      <c r="CT374">
        <f ca="1"/>
      </c>
      <c r="CU374">
        <f ca="1"/>
      </c>
      <c r="CV374">
        <f ca="1"/>
      </c>
      <c r="CW374">
        <f ca="1"/>
      </c>
      <c r="CX374">
        <f ca="1"/>
      </c>
      <c r="CY374">
        <f ca="1"/>
      </c>
      <c r="CZ374">
        <f ca="1"/>
      </c>
      <c r="DA374">
        <f ca="1"/>
      </c>
      <c r="DB374">
        <f ca="1"/>
      </c>
      <c r="DC374">
        <f ca="1"/>
      </c>
      <c r="DD374">
        <f ca="1"/>
      </c>
      <c r="DE374">
        <f ca="1"/>
      </c>
      <c r="DG374">
        <f ca="1"/>
      </c>
      <c r="DH374">
        <f ca="1"/>
      </c>
      <c r="DI374">
        <f ca="1"/>
      </c>
      <c r="DJ374">
        <f ca="1"/>
      </c>
      <c r="DK374">
        <f ca="1"/>
      </c>
      <c r="DL374">
        <f ca="1"/>
      </c>
      <c r="DM374">
        <f ca="1"/>
      </c>
      <c r="DN374">
        <f ca="1"/>
      </c>
      <c r="DO374">
        <f ca="1"/>
      </c>
      <c r="DP374">
        <f ca="1"/>
      </c>
      <c r="DQ374">
        <f ca="1"/>
      </c>
      <c r="DR374">
        <f ca="1"/>
      </c>
      <c r="DS374">
        <f ca="1"/>
      </c>
      <c r="DT374">
        <f ca="1"/>
      </c>
      <c r="DU374">
        <f ca="1"/>
      </c>
      <c r="DV374">
        <f ca="1"/>
      </c>
      <c r="DW374">
        <f ca="1"/>
      </c>
      <c r="DX374">
        <f ca="1"/>
      </c>
      <c r="DY374">
        <f ca="1"/>
      </c>
      <c r="DZ374">
        <f ca="1"/>
      </c>
      <c r="EA374">
        <f ca="1"/>
      </c>
      <c r="EB374">
        <f ca="1"/>
      </c>
      <c r="EC374">
        <f ca="1"/>
      </c>
      <c r="ED374">
        <f ca="1"/>
      </c>
      <c r="EE374">
        <f ca="1"/>
      </c>
      <c r="EF374">
        <f ca="1"/>
      </c>
      <c r="EG374">
        <f ca="1"/>
      </c>
      <c r="EH374">
        <f ca="1"/>
      </c>
      <c r="EI374">
        <f ca="1"/>
      </c>
      <c r="EJ374">
        <f ca="1"/>
      </c>
      <c r="EK374">
        <f ca="1"/>
      </c>
      <c r="EL374">
        <f ca="1"/>
      </c>
      <c r="EM374">
        <f ca="1"/>
      </c>
      <c r="EN374">
        <f ca="1"/>
      </c>
      <c r="EO374">
        <f ca="1"/>
      </c>
      <c r="EP374">
        <f ca="1"/>
      </c>
      <c r="EQ374">
        <f ca="1"/>
      </c>
      <c r="ER374">
        <f ca="1"/>
      </c>
      <c r="ES374">
        <f ca="1"/>
      </c>
      <c r="ET374">
        <f ca="1"/>
      </c>
      <c r="EU374">
        <f ca="1"/>
      </c>
      <c r="EV374">
        <f ca="1"/>
      </c>
      <c r="EW374">
        <f ca="1"/>
      </c>
      <c r="EX374">
        <f ca="1"/>
      </c>
      <c r="EY374">
        <f ca="1"/>
      </c>
      <c r="EZ374">
        <f ca="1"/>
      </c>
      <c r="FA374">
        <f ca="1"/>
      </c>
      <c r="FC374">
        <f ca="1"/>
      </c>
      <c r="FD374">
        <f ca="1"/>
      </c>
      <c r="FE374">
        <f ca="1"/>
      </c>
      <c r="FF374">
        <f ca="1"/>
      </c>
      <c r="FG374">
        <f ca="1"/>
      </c>
      <c r="FH374">
        <f ca="1"/>
      </c>
      <c r="FI374">
        <f ca="1"/>
      </c>
      <c r="FJ374">
        <f ca="1"/>
      </c>
      <c r="FK374">
        <f ca="1"/>
      </c>
      <c r="FL374">
        <f ca="1"/>
      </c>
      <c r="FM374">
        <f ca="1"/>
      </c>
      <c r="FN374">
        <f ca="1"/>
      </c>
      <c r="FO374">
        <f ca="1"/>
      </c>
      <c r="FP374">
        <f ca="1"/>
      </c>
      <c r="FQ374">
        <f ca="1"/>
      </c>
      <c r="FR374">
        <f ca="1"/>
      </c>
      <c r="FS374">
        <f ca="1"/>
      </c>
      <c r="FT374">
        <f ca="1"/>
      </c>
      <c r="FU374">
        <f ca="1"/>
      </c>
      <c r="FV374">
        <f ca="1"/>
      </c>
      <c r="FW374">
        <f ca="1"/>
      </c>
      <c r="FX374">
        <f ca="1"/>
      </c>
      <c r="FY374">
        <f ca="1"/>
      </c>
      <c r="FZ374">
        <f ca="1"/>
      </c>
      <c r="GA374">
        <f ca="1"/>
      </c>
      <c r="GB374">
        <f ca="1"/>
      </c>
      <c r="GC374">
        <f ca="1"/>
      </c>
      <c r="GD374">
        <f ca="1"/>
      </c>
      <c r="GE374">
        <f ca="1"/>
      </c>
      <c r="GF374">
        <f ca="1"/>
      </c>
      <c r="GG374">
        <f ca="1"/>
      </c>
      <c r="GH374">
        <f ca="1"/>
      </c>
      <c r="GI374">
        <f ca="1"/>
      </c>
      <c r="GJ374">
        <f ca="1"/>
      </c>
      <c r="GK374">
        <f ca="1"/>
      </c>
      <c r="GL374">
        <f ca="1"/>
      </c>
      <c r="GM374">
        <f ca="1"/>
      </c>
      <c r="GN374">
        <f ca="1"/>
      </c>
      <c r="GO374">
        <f ca="1"/>
      </c>
      <c r="GP374">
        <f ca="1"/>
      </c>
      <c r="GQ374">
        <f ca="1"/>
      </c>
      <c r="GR374">
        <f ca="1"/>
      </c>
      <c r="GS374">
        <f ca="1"/>
      </c>
      <c r="GT374">
        <f ca="1"/>
      </c>
      <c r="GU374">
        <f ca="1"/>
      </c>
      <c r="GV374">
        <f ca="1"/>
      </c>
      <c r="GW374">
        <f ca="1"/>
      </c>
      <c r="HI374" s="7"/>
    </row>
    <row r="375" spans="63:217" x14ac:dyDescent="0.55000000000000004">
      <c r="BK375">
        <f ca="1"/>
      </c>
      <c r="BL375">
        <f ca="1"/>
      </c>
      <c r="BM375">
        <f ca="1"/>
      </c>
      <c r="BN375">
        <f ca="1"/>
      </c>
      <c r="BO375">
        <f ca="1"/>
      </c>
      <c r="BP375">
        <f ca="1"/>
      </c>
      <c r="BQ375">
        <f ca="1"/>
      </c>
      <c r="BR375">
        <f ca="1"/>
      </c>
      <c r="BS375">
        <f ca="1"/>
      </c>
      <c r="BT375">
        <f ca="1"/>
      </c>
      <c r="BU375">
        <f ca="1"/>
      </c>
      <c r="BV375">
        <f ca="1"/>
      </c>
      <c r="BW375">
        <f ca="1"/>
      </c>
      <c r="BX375">
        <f ca="1"/>
      </c>
      <c r="BY375">
        <f ca="1"/>
      </c>
      <c r="BZ375">
        <f ca="1"/>
      </c>
      <c r="CA375">
        <f ca="1"/>
      </c>
      <c r="CB375">
        <f ca="1"/>
      </c>
      <c r="CC375">
        <f ca="1"/>
      </c>
      <c r="CD375">
        <f ca="1"/>
      </c>
      <c r="CE375">
        <f ca="1"/>
      </c>
      <c r="CF375">
        <f ca="1"/>
      </c>
      <c r="CG375">
        <f ca="1"/>
      </c>
      <c r="CH375">
        <f ca="1"/>
      </c>
      <c r="CI375">
        <f ca="1"/>
      </c>
      <c r="CJ375">
        <f ca="1"/>
      </c>
      <c r="CK375">
        <f ca="1"/>
      </c>
      <c r="CL375">
        <f ca="1"/>
      </c>
      <c r="CM375">
        <f ca="1"/>
      </c>
      <c r="CN375">
        <f ca="1"/>
      </c>
      <c r="CO375">
        <f ca="1"/>
      </c>
      <c r="CP375">
        <f ca="1"/>
      </c>
      <c r="CQ375">
        <f ca="1"/>
      </c>
      <c r="CR375">
        <f ca="1"/>
      </c>
      <c r="CS375">
        <f ca="1"/>
      </c>
      <c r="CT375">
        <f ca="1"/>
      </c>
      <c r="CU375">
        <f ca="1"/>
      </c>
      <c r="CV375">
        <f ca="1"/>
      </c>
      <c r="CW375">
        <f ca="1"/>
      </c>
      <c r="CX375">
        <f ca="1"/>
      </c>
      <c r="CY375">
        <f ca="1"/>
      </c>
      <c r="CZ375">
        <f ca="1"/>
      </c>
      <c r="DA375">
        <f ca="1"/>
      </c>
      <c r="DB375">
        <f ca="1"/>
      </c>
      <c r="DC375">
        <f ca="1"/>
      </c>
      <c r="DD375">
        <f ca="1"/>
      </c>
      <c r="DE375">
        <f ca="1"/>
      </c>
      <c r="DG375">
        <f ca="1"/>
      </c>
      <c r="DH375">
        <f ca="1"/>
      </c>
      <c r="DI375">
        <f ca="1"/>
      </c>
      <c r="DJ375">
        <f ca="1"/>
      </c>
      <c r="DK375">
        <f ca="1"/>
      </c>
      <c r="DL375">
        <f ca="1"/>
      </c>
      <c r="DM375">
        <f ca="1"/>
      </c>
      <c r="DN375">
        <f ca="1"/>
      </c>
      <c r="DO375">
        <f ca="1"/>
      </c>
      <c r="DP375">
        <f ca="1"/>
      </c>
      <c r="DQ375">
        <f ca="1"/>
      </c>
      <c r="DR375">
        <f ca="1"/>
      </c>
      <c r="DS375">
        <f ca="1"/>
      </c>
      <c r="DT375">
        <f ca="1"/>
      </c>
      <c r="DU375">
        <f ca="1"/>
      </c>
      <c r="DV375">
        <f ca="1"/>
      </c>
      <c r="DW375">
        <f ca="1"/>
      </c>
      <c r="DX375">
        <f ca="1"/>
      </c>
      <c r="DY375">
        <f ca="1"/>
      </c>
      <c r="DZ375">
        <f ca="1"/>
      </c>
      <c r="EA375">
        <f ca="1"/>
      </c>
      <c r="EB375">
        <f ca="1"/>
      </c>
      <c r="EC375">
        <f ca="1"/>
      </c>
      <c r="ED375">
        <f ca="1"/>
      </c>
      <c r="EE375">
        <f ca="1"/>
      </c>
      <c r="EF375">
        <f ca="1"/>
      </c>
      <c r="EG375">
        <f ca="1"/>
      </c>
      <c r="EH375">
        <f ca="1"/>
      </c>
      <c r="EI375">
        <f ca="1"/>
      </c>
      <c r="EJ375">
        <f ca="1"/>
      </c>
      <c r="EK375">
        <f ca="1"/>
      </c>
      <c r="EL375">
        <f ca="1"/>
      </c>
      <c r="EM375">
        <f ca="1"/>
      </c>
      <c r="EN375">
        <f ca="1"/>
      </c>
      <c r="EO375">
        <f ca="1"/>
      </c>
      <c r="EP375">
        <f ca="1"/>
      </c>
      <c r="EQ375">
        <f ca="1"/>
      </c>
      <c r="ER375">
        <f ca="1"/>
      </c>
      <c r="ES375">
        <f ca="1"/>
      </c>
      <c r="ET375">
        <f ca="1"/>
      </c>
      <c r="EU375">
        <f ca="1"/>
      </c>
      <c r="EV375">
        <f ca="1"/>
      </c>
      <c r="EW375">
        <f ca="1"/>
      </c>
      <c r="EX375">
        <f ca="1"/>
      </c>
      <c r="EY375">
        <f ca="1"/>
      </c>
      <c r="EZ375">
        <f ca="1"/>
      </c>
      <c r="FA375">
        <f ca="1"/>
      </c>
      <c r="FC375">
        <f ca="1"/>
      </c>
      <c r="FD375">
        <f ca="1"/>
      </c>
      <c r="FE375">
        <f ca="1"/>
      </c>
      <c r="FF375">
        <f ca="1"/>
      </c>
      <c r="FG375">
        <f ca="1"/>
      </c>
      <c r="FH375">
        <f ca="1"/>
      </c>
      <c r="FI375">
        <f ca="1"/>
      </c>
      <c r="FJ375">
        <f ca="1"/>
      </c>
      <c r="FK375">
        <f ca="1"/>
      </c>
      <c r="FL375">
        <f ca="1"/>
      </c>
      <c r="FM375">
        <f ca="1"/>
      </c>
      <c r="FN375">
        <f ca="1"/>
      </c>
      <c r="FO375">
        <f ca="1"/>
      </c>
      <c r="FP375">
        <f ca="1"/>
      </c>
      <c r="FQ375">
        <f ca="1"/>
      </c>
      <c r="FR375">
        <f ca="1"/>
      </c>
      <c r="FS375">
        <f ca="1"/>
      </c>
      <c r="FT375">
        <f ca="1"/>
      </c>
      <c r="FU375">
        <f ca="1"/>
      </c>
      <c r="FV375">
        <f ca="1"/>
      </c>
      <c r="FW375">
        <f ca="1"/>
      </c>
      <c r="FX375">
        <f ca="1"/>
      </c>
      <c r="FY375">
        <f ca="1"/>
      </c>
      <c r="FZ375">
        <f ca="1"/>
      </c>
      <c r="GA375">
        <f ca="1"/>
      </c>
      <c r="GB375">
        <f ca="1"/>
      </c>
      <c r="GC375">
        <f ca="1"/>
      </c>
      <c r="GD375">
        <f ca="1"/>
      </c>
      <c r="GE375">
        <f ca="1"/>
      </c>
      <c r="GF375">
        <f ca="1"/>
      </c>
      <c r="GG375">
        <f ca="1"/>
      </c>
      <c r="GH375">
        <f ca="1"/>
      </c>
      <c r="GI375">
        <f ca="1"/>
      </c>
      <c r="GJ375">
        <f ca="1"/>
      </c>
      <c r="GK375">
        <f ca="1"/>
      </c>
      <c r="GL375">
        <f ca="1"/>
      </c>
      <c r="GM375">
        <f ca="1"/>
      </c>
      <c r="GN375">
        <f ca="1"/>
      </c>
      <c r="GO375">
        <f ca="1"/>
      </c>
      <c r="GP375">
        <f ca="1"/>
      </c>
      <c r="GQ375">
        <f ca="1"/>
      </c>
      <c r="GR375">
        <f ca="1"/>
      </c>
      <c r="GS375">
        <f ca="1"/>
      </c>
      <c r="GT375">
        <f ca="1"/>
      </c>
      <c r="GU375">
        <f ca="1"/>
      </c>
      <c r="GV375">
        <f ca="1"/>
      </c>
      <c r="GW375">
        <f ca="1"/>
      </c>
      <c r="HI375" s="7"/>
    </row>
    <row r="376" spans="63:217" x14ac:dyDescent="0.55000000000000004">
      <c r="BK376">
        <f ca="1"/>
      </c>
      <c r="BL376">
        <f ca="1"/>
      </c>
      <c r="BM376">
        <f ca="1"/>
      </c>
      <c r="BN376">
        <f ca="1"/>
      </c>
      <c r="BO376">
        <f ca="1"/>
      </c>
      <c r="BP376">
        <f ca="1"/>
      </c>
      <c r="BQ376">
        <f ca="1"/>
      </c>
      <c r="BR376">
        <f ca="1"/>
      </c>
      <c r="BS376">
        <f ca="1"/>
      </c>
      <c r="BT376">
        <f ca="1"/>
      </c>
      <c r="BU376">
        <f ca="1"/>
      </c>
      <c r="BV376">
        <f ca="1"/>
      </c>
      <c r="BW376">
        <f ca="1"/>
      </c>
      <c r="BX376">
        <f ca="1"/>
      </c>
      <c r="BY376">
        <f ca="1"/>
      </c>
      <c r="BZ376">
        <f ca="1"/>
      </c>
      <c r="CA376">
        <f ca="1"/>
      </c>
      <c r="CB376">
        <f ca="1"/>
      </c>
      <c r="CC376">
        <f ca="1"/>
      </c>
      <c r="CD376">
        <f ca="1"/>
      </c>
      <c r="CE376">
        <f ca="1"/>
      </c>
      <c r="CF376">
        <f ca="1"/>
      </c>
      <c r="CG376">
        <f ca="1"/>
      </c>
      <c r="CH376">
        <f ca="1"/>
      </c>
      <c r="CI376">
        <f ca="1"/>
      </c>
      <c r="CJ376">
        <f ca="1"/>
      </c>
      <c r="CK376">
        <f ca="1"/>
      </c>
      <c r="CL376">
        <f ca="1"/>
      </c>
      <c r="CM376">
        <f ca="1"/>
      </c>
      <c r="CN376">
        <f ca="1"/>
      </c>
      <c r="CO376">
        <f ca="1"/>
      </c>
      <c r="CP376">
        <f ca="1"/>
      </c>
      <c r="CQ376">
        <f ca="1"/>
      </c>
      <c r="CR376">
        <f ca="1"/>
      </c>
      <c r="CS376">
        <f ca="1"/>
      </c>
      <c r="CT376">
        <f ca="1"/>
      </c>
      <c r="CU376">
        <f ca="1"/>
      </c>
      <c r="CV376">
        <f ca="1"/>
      </c>
      <c r="CW376">
        <f ca="1"/>
      </c>
      <c r="CX376">
        <f ca="1"/>
      </c>
      <c r="CY376">
        <f ca="1"/>
      </c>
      <c r="CZ376">
        <f ca="1"/>
      </c>
      <c r="DA376">
        <f ca="1"/>
      </c>
      <c r="DB376">
        <f ca="1"/>
      </c>
      <c r="DC376">
        <f ca="1"/>
      </c>
      <c r="DD376">
        <f ca="1"/>
      </c>
      <c r="DE376">
        <f ca="1"/>
      </c>
      <c r="DG376">
        <f ca="1"/>
      </c>
      <c r="DH376">
        <f ca="1"/>
      </c>
      <c r="DI376">
        <f ca="1"/>
      </c>
      <c r="DJ376">
        <f ca="1"/>
      </c>
      <c r="DK376">
        <f ca="1"/>
      </c>
      <c r="DL376">
        <f ca="1"/>
      </c>
      <c r="DM376">
        <f ca="1"/>
      </c>
      <c r="DN376">
        <f ca="1"/>
      </c>
      <c r="DO376">
        <f ca="1"/>
      </c>
      <c r="DP376">
        <f ca="1"/>
      </c>
      <c r="DQ376">
        <f ca="1"/>
      </c>
      <c r="DR376">
        <f ca="1"/>
      </c>
      <c r="DS376">
        <f ca="1"/>
      </c>
      <c r="DT376">
        <f ca="1"/>
      </c>
      <c r="DU376">
        <f ca="1"/>
      </c>
      <c r="DV376">
        <f ca="1"/>
      </c>
      <c r="DW376">
        <f ca="1"/>
      </c>
      <c r="DX376">
        <f ca="1"/>
      </c>
      <c r="DY376">
        <f ca="1"/>
      </c>
      <c r="DZ376">
        <f ca="1"/>
      </c>
      <c r="EA376">
        <f ca="1"/>
      </c>
      <c r="EB376">
        <f ca="1"/>
      </c>
      <c r="EC376">
        <f ca="1"/>
      </c>
      <c r="ED376">
        <f ca="1"/>
      </c>
      <c r="EE376">
        <f ca="1"/>
      </c>
      <c r="EF376">
        <f ca="1"/>
      </c>
      <c r="EG376">
        <f ca="1"/>
      </c>
      <c r="EH376">
        <f ca="1"/>
      </c>
      <c r="EI376">
        <f ca="1"/>
      </c>
      <c r="EJ376">
        <f ca="1"/>
      </c>
      <c r="EK376">
        <f ca="1"/>
      </c>
      <c r="EL376">
        <f ca="1"/>
      </c>
      <c r="EM376">
        <f ca="1"/>
      </c>
      <c r="EN376">
        <f ca="1"/>
      </c>
      <c r="EO376">
        <f ca="1"/>
      </c>
      <c r="EP376">
        <f ca="1"/>
      </c>
      <c r="EQ376">
        <f ca="1"/>
      </c>
      <c r="ER376">
        <f ca="1"/>
      </c>
      <c r="ES376">
        <f ca="1"/>
      </c>
      <c r="ET376">
        <f ca="1"/>
      </c>
      <c r="EU376">
        <f ca="1"/>
      </c>
      <c r="EV376">
        <f ca="1"/>
      </c>
      <c r="EW376">
        <f ca="1"/>
      </c>
      <c r="EX376">
        <f ca="1"/>
      </c>
      <c r="EY376">
        <f ca="1"/>
      </c>
      <c r="EZ376">
        <f ca="1"/>
      </c>
      <c r="FA376">
        <f ca="1"/>
      </c>
      <c r="FC376">
        <f ca="1"/>
      </c>
      <c r="FD376">
        <f ca="1"/>
      </c>
      <c r="FE376">
        <f ca="1"/>
      </c>
      <c r="FF376">
        <f ca="1"/>
      </c>
      <c r="FG376">
        <f ca="1"/>
      </c>
      <c r="FH376">
        <f ca="1"/>
      </c>
      <c r="FI376">
        <f ca="1"/>
      </c>
      <c r="FJ376">
        <f ca="1"/>
      </c>
      <c r="FK376">
        <f ca="1"/>
      </c>
      <c r="FL376">
        <f ca="1"/>
      </c>
      <c r="FM376">
        <f ca="1"/>
      </c>
      <c r="FN376">
        <f ca="1"/>
      </c>
      <c r="FO376">
        <f ca="1"/>
      </c>
      <c r="FP376">
        <f ca="1"/>
      </c>
      <c r="FQ376">
        <f ca="1"/>
      </c>
      <c r="FR376">
        <f ca="1"/>
      </c>
      <c r="FS376">
        <f ca="1"/>
      </c>
      <c r="FT376">
        <f ca="1"/>
      </c>
      <c r="FU376">
        <f ca="1"/>
      </c>
      <c r="FV376">
        <f ca="1"/>
      </c>
      <c r="FW376">
        <f ca="1"/>
      </c>
      <c r="FX376">
        <f ca="1"/>
      </c>
      <c r="FY376">
        <f ca="1"/>
      </c>
      <c r="FZ376">
        <f ca="1"/>
      </c>
      <c r="GA376">
        <f ca="1"/>
      </c>
      <c r="GB376">
        <f ca="1"/>
      </c>
      <c r="GC376">
        <f ca="1"/>
      </c>
      <c r="GD376">
        <f ca="1"/>
      </c>
      <c r="GE376">
        <f ca="1"/>
      </c>
      <c r="GF376">
        <f ca="1"/>
      </c>
      <c r="GG376">
        <f ca="1"/>
      </c>
      <c r="GH376">
        <f ca="1"/>
      </c>
      <c r="GI376">
        <f ca="1"/>
      </c>
      <c r="GJ376">
        <f ca="1"/>
      </c>
      <c r="GK376">
        <f ca="1"/>
      </c>
      <c r="GL376">
        <f ca="1"/>
      </c>
      <c r="GM376">
        <f ca="1"/>
      </c>
      <c r="GN376">
        <f ca="1"/>
      </c>
      <c r="GO376">
        <f ca="1"/>
      </c>
      <c r="GP376">
        <f ca="1"/>
      </c>
      <c r="GQ376">
        <f ca="1"/>
      </c>
      <c r="GR376">
        <f ca="1"/>
      </c>
      <c r="GS376">
        <f ca="1"/>
      </c>
      <c r="GT376">
        <f ca="1"/>
      </c>
      <c r="GU376">
        <f ca="1"/>
      </c>
      <c r="GV376">
        <f ca="1"/>
      </c>
      <c r="GW376">
        <f ca="1"/>
      </c>
      <c r="HI376" s="7"/>
    </row>
    <row r="377" spans="63:217" x14ac:dyDescent="0.55000000000000004">
      <c r="BK377">
        <f ca="1"/>
      </c>
      <c r="BL377">
        <f ca="1"/>
      </c>
      <c r="BM377">
        <f ca="1"/>
      </c>
      <c r="BN377">
        <f ca="1"/>
      </c>
      <c r="BO377">
        <f ca="1"/>
      </c>
      <c r="BP377">
        <f ca="1"/>
      </c>
      <c r="BQ377">
        <f ca="1"/>
      </c>
      <c r="BR377">
        <f ca="1"/>
      </c>
      <c r="BS377">
        <f ca="1"/>
      </c>
      <c r="BT377">
        <f ca="1"/>
      </c>
      <c r="BU377">
        <f ca="1"/>
      </c>
      <c r="BV377">
        <f ca="1"/>
      </c>
      <c r="BW377">
        <f ca="1"/>
      </c>
      <c r="BX377">
        <f ca="1"/>
      </c>
      <c r="BY377">
        <f ca="1"/>
      </c>
      <c r="BZ377">
        <f ca="1"/>
      </c>
      <c r="CA377">
        <f ca="1"/>
      </c>
      <c r="CB377">
        <f ca="1"/>
      </c>
      <c r="CC377">
        <f ca="1"/>
      </c>
      <c r="CD377">
        <f ca="1"/>
      </c>
      <c r="CE377">
        <f ca="1"/>
      </c>
      <c r="CF377">
        <f ca="1"/>
      </c>
      <c r="CG377">
        <f ca="1"/>
      </c>
      <c r="CH377">
        <f ca="1"/>
      </c>
      <c r="CI377">
        <f ca="1"/>
      </c>
      <c r="CJ377">
        <f ca="1"/>
      </c>
      <c r="CK377">
        <f ca="1"/>
      </c>
      <c r="CL377">
        <f ca="1"/>
      </c>
      <c r="CM377">
        <f ca="1"/>
      </c>
      <c r="CN377">
        <f ca="1"/>
      </c>
      <c r="CO377">
        <f ca="1"/>
      </c>
      <c r="CP377">
        <f ca="1"/>
      </c>
      <c r="CQ377">
        <f ca="1"/>
      </c>
      <c r="CR377">
        <f ca="1"/>
      </c>
      <c r="CS377">
        <f ca="1"/>
      </c>
      <c r="CT377">
        <f ca="1"/>
      </c>
      <c r="CU377">
        <f ca="1"/>
      </c>
      <c r="CV377">
        <f ca="1"/>
      </c>
      <c r="CW377">
        <f ca="1"/>
      </c>
      <c r="CX377">
        <f ca="1"/>
      </c>
      <c r="CY377">
        <f ca="1"/>
      </c>
      <c r="CZ377">
        <f ca="1"/>
      </c>
      <c r="DA377">
        <f ca="1"/>
      </c>
      <c r="DB377">
        <f ca="1"/>
      </c>
      <c r="DC377">
        <f ca="1"/>
      </c>
      <c r="DD377">
        <f ca="1"/>
      </c>
      <c r="DE377">
        <f ca="1"/>
      </c>
      <c r="DG377">
        <f ca="1"/>
      </c>
      <c r="DH377">
        <f ca="1"/>
      </c>
      <c r="DI377">
        <f ca="1"/>
      </c>
      <c r="DJ377">
        <f ca="1"/>
      </c>
      <c r="DK377">
        <f ca="1"/>
      </c>
      <c r="DL377">
        <f ca="1"/>
      </c>
      <c r="DM377">
        <f ca="1"/>
      </c>
      <c r="DN377">
        <f ca="1"/>
      </c>
      <c r="DO377">
        <f ca="1"/>
      </c>
      <c r="DP377">
        <f ca="1"/>
      </c>
      <c r="DQ377">
        <f ca="1"/>
      </c>
      <c r="DR377">
        <f ca="1"/>
      </c>
      <c r="DS377">
        <f ca="1"/>
      </c>
      <c r="DT377">
        <f ca="1"/>
      </c>
      <c r="DU377">
        <f ca="1"/>
      </c>
      <c r="DV377">
        <f ca="1"/>
      </c>
      <c r="DW377">
        <f ca="1"/>
      </c>
      <c r="DX377">
        <f ca="1"/>
      </c>
      <c r="DY377">
        <f ca="1"/>
      </c>
      <c r="DZ377">
        <f ca="1"/>
      </c>
      <c r="EA377">
        <f ca="1"/>
      </c>
      <c r="EB377">
        <f ca="1"/>
      </c>
      <c r="EC377">
        <f ca="1"/>
      </c>
      <c r="ED377">
        <f ca="1"/>
      </c>
      <c r="EE377">
        <f ca="1"/>
      </c>
      <c r="EF377">
        <f ca="1"/>
      </c>
      <c r="EG377">
        <f ca="1"/>
      </c>
      <c r="EH377">
        <f ca="1"/>
      </c>
      <c r="EI377">
        <f ca="1"/>
      </c>
      <c r="EJ377">
        <f ca="1"/>
      </c>
      <c r="EK377">
        <f ca="1"/>
      </c>
      <c r="EL377">
        <f ca="1"/>
      </c>
      <c r="EM377">
        <f ca="1"/>
      </c>
      <c r="EN377">
        <f ca="1"/>
      </c>
      <c r="EO377">
        <f ca="1"/>
      </c>
      <c r="EP377">
        <f ca="1"/>
      </c>
      <c r="EQ377">
        <f ca="1"/>
      </c>
      <c r="ER377">
        <f ca="1"/>
      </c>
      <c r="ES377">
        <f ca="1"/>
      </c>
      <c r="ET377">
        <f ca="1"/>
      </c>
      <c r="EU377">
        <f ca="1"/>
      </c>
      <c r="EV377">
        <f ca="1"/>
      </c>
      <c r="EW377">
        <f ca="1"/>
      </c>
      <c r="EX377">
        <f ca="1"/>
      </c>
      <c r="EY377">
        <f ca="1"/>
      </c>
      <c r="EZ377">
        <f ca="1"/>
      </c>
      <c r="FA377">
        <f ca="1"/>
      </c>
      <c r="FC377">
        <f ca="1"/>
      </c>
      <c r="FD377">
        <f ca="1"/>
      </c>
      <c r="FE377">
        <f ca="1"/>
      </c>
      <c r="FF377">
        <f ca="1"/>
      </c>
      <c r="FG377">
        <f ca="1"/>
      </c>
      <c r="FH377">
        <f ca="1"/>
      </c>
      <c r="FI377">
        <f ca="1"/>
      </c>
      <c r="FJ377">
        <f ca="1"/>
      </c>
      <c r="FK377">
        <f ca="1"/>
      </c>
      <c r="FL377">
        <f ca="1"/>
      </c>
      <c r="FM377">
        <f ca="1"/>
      </c>
      <c r="FN377">
        <f ca="1"/>
      </c>
      <c r="FO377">
        <f ca="1"/>
      </c>
      <c r="FP377">
        <f ca="1"/>
      </c>
      <c r="FQ377">
        <f ca="1"/>
      </c>
      <c r="FR377">
        <f ca="1"/>
      </c>
      <c r="FS377">
        <f ca="1"/>
      </c>
      <c r="FT377">
        <f ca="1"/>
      </c>
      <c r="FU377">
        <f ca="1"/>
      </c>
      <c r="FV377">
        <f ca="1"/>
      </c>
      <c r="FW377">
        <f ca="1"/>
      </c>
      <c r="FX377">
        <f ca="1"/>
      </c>
      <c r="FY377">
        <f ca="1"/>
      </c>
      <c r="FZ377">
        <f ca="1"/>
      </c>
      <c r="GA377">
        <f ca="1"/>
      </c>
      <c r="GB377">
        <f ca="1"/>
      </c>
      <c r="GC377">
        <f ca="1"/>
      </c>
      <c r="GD377">
        <f ca="1"/>
      </c>
      <c r="GE377">
        <f ca="1"/>
      </c>
      <c r="GF377">
        <f ca="1"/>
      </c>
      <c r="GG377">
        <f ca="1"/>
      </c>
      <c r="GH377">
        <f ca="1"/>
      </c>
      <c r="GI377">
        <f ca="1"/>
      </c>
      <c r="GJ377">
        <f ca="1"/>
      </c>
      <c r="GK377">
        <f ca="1"/>
      </c>
      <c r="GL377">
        <f ca="1"/>
      </c>
      <c r="GM377">
        <f ca="1"/>
      </c>
      <c r="GN377">
        <f ca="1"/>
      </c>
      <c r="GO377">
        <f ca="1"/>
      </c>
      <c r="GP377">
        <f ca="1"/>
      </c>
      <c r="GQ377">
        <f ca="1"/>
      </c>
      <c r="GR377">
        <f ca="1"/>
      </c>
      <c r="GS377">
        <f ca="1"/>
      </c>
      <c r="GT377">
        <f ca="1"/>
      </c>
      <c r="GU377">
        <f ca="1"/>
      </c>
      <c r="GV377">
        <f ca="1"/>
      </c>
      <c r="GW377">
        <f ca="1"/>
      </c>
      <c r="HI377" s="7"/>
    </row>
    <row r="378" spans="63:217" x14ac:dyDescent="0.55000000000000004">
      <c r="BK378">
        <f ca="1"/>
      </c>
      <c r="BL378">
        <f ca="1"/>
      </c>
      <c r="BM378">
        <f ca="1"/>
      </c>
      <c r="BN378">
        <f ca="1"/>
      </c>
      <c r="BO378">
        <f ca="1"/>
      </c>
      <c r="BP378">
        <f ca="1"/>
      </c>
      <c r="BQ378">
        <f ca="1"/>
      </c>
      <c r="BR378">
        <f ca="1"/>
      </c>
      <c r="BS378">
        <f ca="1"/>
      </c>
      <c r="BT378">
        <f ca="1"/>
      </c>
      <c r="BU378">
        <f ca="1"/>
      </c>
      <c r="BV378">
        <f ca="1"/>
      </c>
      <c r="BW378">
        <f ca="1"/>
      </c>
      <c r="BX378">
        <f ca="1"/>
      </c>
      <c r="BY378">
        <f ca="1"/>
      </c>
      <c r="BZ378">
        <f ca="1"/>
      </c>
      <c r="CA378">
        <f ca="1"/>
      </c>
      <c r="CB378">
        <f ca="1"/>
      </c>
      <c r="CC378">
        <f ca="1"/>
      </c>
      <c r="CD378">
        <f ca="1"/>
      </c>
      <c r="CE378">
        <f ca="1"/>
      </c>
      <c r="CF378">
        <f ca="1"/>
      </c>
      <c r="CG378">
        <f ca="1"/>
      </c>
      <c r="CH378">
        <f ca="1"/>
      </c>
      <c r="CI378">
        <f ca="1"/>
      </c>
      <c r="CJ378">
        <f ca="1"/>
      </c>
      <c r="CK378">
        <f ca="1"/>
      </c>
      <c r="CL378">
        <f ca="1"/>
      </c>
      <c r="CM378">
        <f ca="1"/>
      </c>
      <c r="CN378">
        <f ca="1"/>
      </c>
      <c r="CO378">
        <f ca="1"/>
      </c>
      <c r="CP378">
        <f ca="1"/>
      </c>
      <c r="CQ378">
        <f ca="1"/>
      </c>
      <c r="CR378">
        <f ca="1"/>
      </c>
      <c r="CS378">
        <f ca="1"/>
      </c>
      <c r="CT378">
        <f ca="1"/>
      </c>
      <c r="CU378">
        <f ca="1"/>
      </c>
      <c r="CV378">
        <f ca="1"/>
      </c>
      <c r="CW378">
        <f ca="1"/>
      </c>
      <c r="CX378">
        <f ca="1"/>
      </c>
      <c r="CY378">
        <f ca="1"/>
      </c>
      <c r="CZ378">
        <f ca="1"/>
      </c>
      <c r="DA378">
        <f ca="1"/>
      </c>
      <c r="DB378">
        <f ca="1"/>
      </c>
      <c r="DC378">
        <f ca="1"/>
      </c>
      <c r="DD378">
        <f ca="1"/>
      </c>
      <c r="DE378">
        <f ca="1"/>
      </c>
      <c r="DG378">
        <f ca="1"/>
      </c>
      <c r="DH378">
        <f ca="1"/>
      </c>
      <c r="DI378">
        <f ca="1"/>
      </c>
      <c r="DJ378">
        <f ca="1"/>
      </c>
      <c r="DK378">
        <f ca="1"/>
      </c>
      <c r="DL378">
        <f ca="1"/>
      </c>
      <c r="DM378">
        <f ca="1"/>
      </c>
      <c r="DN378">
        <f ca="1"/>
      </c>
      <c r="DO378">
        <f ca="1"/>
      </c>
      <c r="DP378">
        <f ca="1"/>
      </c>
      <c r="DQ378">
        <f ca="1"/>
      </c>
      <c r="DR378">
        <f ca="1"/>
      </c>
      <c r="DS378">
        <f ca="1"/>
      </c>
      <c r="DT378">
        <f ca="1"/>
      </c>
      <c r="DU378">
        <f ca="1"/>
      </c>
      <c r="DV378">
        <f ca="1"/>
      </c>
      <c r="DW378">
        <f ca="1"/>
      </c>
      <c r="DX378">
        <f ca="1"/>
      </c>
      <c r="DY378">
        <f ca="1"/>
      </c>
      <c r="DZ378">
        <f ca="1"/>
      </c>
      <c r="EA378">
        <f ca="1"/>
      </c>
      <c r="EB378">
        <f ca="1"/>
      </c>
      <c r="EC378">
        <f ca="1"/>
      </c>
      <c r="ED378">
        <f ca="1"/>
      </c>
      <c r="EE378">
        <f ca="1"/>
      </c>
      <c r="EF378">
        <f ca="1"/>
      </c>
      <c r="EG378">
        <f ca="1"/>
      </c>
      <c r="EH378">
        <f ca="1"/>
      </c>
      <c r="EI378">
        <f ca="1"/>
      </c>
      <c r="EJ378">
        <f ca="1"/>
      </c>
      <c r="EK378">
        <f ca="1"/>
      </c>
      <c r="EL378">
        <f ca="1"/>
      </c>
      <c r="EM378">
        <f ca="1"/>
      </c>
      <c r="EN378">
        <f ca="1"/>
      </c>
      <c r="EO378">
        <f ca="1"/>
      </c>
      <c r="EP378">
        <f ca="1"/>
      </c>
      <c r="EQ378">
        <f ca="1"/>
      </c>
      <c r="ER378">
        <f ca="1"/>
      </c>
      <c r="ES378">
        <f ca="1"/>
      </c>
      <c r="ET378">
        <f ca="1"/>
      </c>
      <c r="EU378">
        <f ca="1"/>
      </c>
      <c r="EV378">
        <f ca="1"/>
      </c>
      <c r="EW378">
        <f ca="1"/>
      </c>
      <c r="EX378">
        <f ca="1"/>
      </c>
      <c r="EY378">
        <f ca="1"/>
      </c>
      <c r="EZ378">
        <f ca="1"/>
      </c>
      <c r="FA378">
        <f ca="1"/>
      </c>
      <c r="FC378">
        <f ca="1"/>
      </c>
      <c r="FD378">
        <f ca="1"/>
      </c>
      <c r="FE378">
        <f ca="1"/>
      </c>
      <c r="FF378">
        <f ca="1"/>
      </c>
      <c r="FG378">
        <f ca="1"/>
      </c>
      <c r="FH378">
        <f ca="1"/>
      </c>
      <c r="FI378">
        <f ca="1"/>
      </c>
      <c r="FJ378">
        <f ca="1"/>
      </c>
      <c r="FK378">
        <f ca="1"/>
      </c>
      <c r="FL378">
        <f ca="1"/>
      </c>
      <c r="FM378">
        <f ca="1"/>
      </c>
      <c r="FN378">
        <f ca="1"/>
      </c>
      <c r="FO378">
        <f ca="1"/>
      </c>
      <c r="FP378">
        <f ca="1"/>
      </c>
      <c r="FQ378">
        <f ca="1"/>
      </c>
      <c r="FR378">
        <f ca="1"/>
      </c>
      <c r="FS378">
        <f ca="1"/>
      </c>
      <c r="FT378">
        <f ca="1"/>
      </c>
      <c r="FU378">
        <f ca="1"/>
      </c>
      <c r="FV378">
        <f ca="1"/>
      </c>
      <c r="FW378">
        <f ca="1"/>
      </c>
      <c r="FX378">
        <f ca="1"/>
      </c>
      <c r="FY378">
        <f ca="1"/>
      </c>
      <c r="FZ378">
        <f ca="1"/>
      </c>
      <c r="GA378">
        <f ca="1"/>
      </c>
      <c r="GB378">
        <f ca="1"/>
      </c>
      <c r="GC378">
        <f ca="1"/>
      </c>
      <c r="GD378">
        <f ca="1"/>
      </c>
      <c r="GE378">
        <f ca="1"/>
      </c>
      <c r="GF378">
        <f ca="1"/>
      </c>
      <c r="GG378">
        <f ca="1"/>
      </c>
      <c r="GH378">
        <f ca="1"/>
      </c>
      <c r="GI378">
        <f ca="1"/>
      </c>
      <c r="GJ378">
        <f ca="1"/>
      </c>
      <c r="GK378">
        <f ca="1"/>
      </c>
      <c r="GL378">
        <f ca="1"/>
      </c>
      <c r="GM378">
        <f ca="1"/>
      </c>
      <c r="GN378">
        <f ca="1"/>
      </c>
      <c r="GO378">
        <f ca="1"/>
      </c>
      <c r="GP378">
        <f ca="1"/>
      </c>
      <c r="GQ378">
        <f ca="1"/>
      </c>
      <c r="GR378">
        <f ca="1"/>
      </c>
      <c r="GS378">
        <f ca="1"/>
      </c>
      <c r="GT378">
        <f ca="1"/>
      </c>
      <c r="GU378">
        <f ca="1"/>
      </c>
      <c r="GV378">
        <f ca="1"/>
      </c>
      <c r="GW378">
        <f ca="1"/>
      </c>
      <c r="HI378" s="7"/>
    </row>
    <row r="379" spans="63:217" x14ac:dyDescent="0.55000000000000004">
      <c r="BK379">
        <f ca="1"/>
      </c>
      <c r="BL379">
        <f ca="1"/>
      </c>
      <c r="BM379">
        <f ca="1"/>
      </c>
      <c r="BN379">
        <f ca="1"/>
      </c>
      <c r="BO379">
        <f ca="1"/>
      </c>
      <c r="BP379">
        <f ca="1"/>
      </c>
      <c r="BQ379">
        <f ca="1"/>
      </c>
      <c r="BR379">
        <f ca="1"/>
      </c>
      <c r="BS379">
        <f ca="1"/>
      </c>
      <c r="BT379">
        <f ca="1"/>
      </c>
      <c r="BU379">
        <f ca="1"/>
      </c>
      <c r="BV379">
        <f ca="1"/>
      </c>
      <c r="BW379">
        <f ca="1"/>
      </c>
      <c r="BX379">
        <f ca="1"/>
      </c>
      <c r="BY379">
        <f ca="1"/>
      </c>
      <c r="BZ379">
        <f ca="1"/>
      </c>
      <c r="CA379">
        <f ca="1"/>
      </c>
      <c r="CB379">
        <f ca="1"/>
      </c>
      <c r="CC379">
        <f ca="1"/>
      </c>
      <c r="CD379">
        <f ca="1"/>
      </c>
      <c r="CE379">
        <f ca="1"/>
      </c>
      <c r="CF379">
        <f ca="1"/>
      </c>
      <c r="CG379">
        <f ca="1"/>
      </c>
      <c r="CH379">
        <f ca="1"/>
      </c>
      <c r="CI379">
        <f ca="1"/>
      </c>
      <c r="CJ379">
        <f ca="1"/>
      </c>
      <c r="CK379">
        <f ca="1"/>
      </c>
      <c r="CL379">
        <f ca="1"/>
      </c>
      <c r="CM379">
        <f ca="1"/>
      </c>
      <c r="CN379">
        <f ca="1"/>
      </c>
      <c r="CO379">
        <f ca="1"/>
      </c>
      <c r="CP379">
        <f ca="1"/>
      </c>
      <c r="CQ379">
        <f ca="1"/>
      </c>
      <c r="CR379">
        <f ca="1"/>
      </c>
      <c r="CS379">
        <f ca="1"/>
      </c>
      <c r="CT379">
        <f ca="1"/>
      </c>
      <c r="CU379">
        <f ca="1"/>
      </c>
      <c r="CV379">
        <f ca="1"/>
      </c>
      <c r="CW379">
        <f ca="1"/>
      </c>
      <c r="CX379">
        <f ca="1"/>
      </c>
      <c r="CY379">
        <f ca="1"/>
      </c>
      <c r="CZ379">
        <f ca="1"/>
      </c>
      <c r="DA379">
        <f ca="1"/>
      </c>
      <c r="DB379">
        <f ca="1"/>
      </c>
      <c r="DC379">
        <f ca="1"/>
      </c>
      <c r="DD379">
        <f ca="1"/>
      </c>
      <c r="DE379">
        <f ca="1"/>
      </c>
      <c r="DG379">
        <f ca="1"/>
      </c>
      <c r="DH379">
        <f ca="1"/>
      </c>
      <c r="DI379">
        <f ca="1"/>
      </c>
      <c r="DJ379">
        <f ca="1"/>
      </c>
      <c r="DK379">
        <f ca="1"/>
      </c>
      <c r="DL379">
        <f ca="1"/>
      </c>
      <c r="DM379">
        <f ca="1"/>
      </c>
      <c r="DN379">
        <f ca="1"/>
      </c>
      <c r="DO379">
        <f ca="1"/>
      </c>
      <c r="DP379">
        <f ca="1"/>
      </c>
      <c r="DQ379">
        <f ca="1"/>
      </c>
      <c r="DR379">
        <f ca="1"/>
      </c>
      <c r="DS379">
        <f ca="1"/>
      </c>
      <c r="DT379">
        <f ca="1"/>
      </c>
      <c r="DU379">
        <f ca="1"/>
      </c>
      <c r="DV379">
        <f ca="1"/>
      </c>
      <c r="DW379">
        <f ca="1"/>
      </c>
      <c r="DX379">
        <f ca="1"/>
      </c>
      <c r="DY379">
        <f ca="1"/>
      </c>
      <c r="DZ379">
        <f ca="1"/>
      </c>
      <c r="EA379">
        <f ca="1"/>
      </c>
      <c r="EB379">
        <f ca="1"/>
      </c>
      <c r="EC379">
        <f ca="1"/>
      </c>
      <c r="ED379">
        <f ca="1"/>
      </c>
      <c r="EE379">
        <f ca="1"/>
      </c>
      <c r="EF379">
        <f ca="1"/>
      </c>
      <c r="EG379">
        <f ca="1"/>
      </c>
      <c r="EH379">
        <f ca="1"/>
      </c>
      <c r="EI379">
        <f ca="1"/>
      </c>
      <c r="EJ379">
        <f ca="1"/>
      </c>
      <c r="EK379">
        <f ca="1"/>
      </c>
      <c r="EL379">
        <f ca="1"/>
      </c>
      <c r="EM379">
        <f ca="1"/>
      </c>
      <c r="EN379">
        <f ca="1"/>
      </c>
      <c r="EO379">
        <f ca="1"/>
      </c>
      <c r="EP379">
        <f ca="1"/>
      </c>
      <c r="EQ379">
        <f ca="1"/>
      </c>
      <c r="ER379">
        <f ca="1"/>
      </c>
      <c r="ES379">
        <f ca="1"/>
      </c>
      <c r="ET379">
        <f ca="1"/>
      </c>
      <c r="EU379">
        <f ca="1"/>
      </c>
      <c r="EV379">
        <f ca="1"/>
      </c>
      <c r="EW379">
        <f ca="1"/>
      </c>
      <c r="EX379">
        <f ca="1"/>
      </c>
      <c r="EY379">
        <f ca="1"/>
      </c>
      <c r="EZ379">
        <f ca="1"/>
      </c>
      <c r="FA379">
        <f ca="1"/>
      </c>
      <c r="FC379">
        <f ca="1"/>
      </c>
      <c r="FD379">
        <f ca="1"/>
      </c>
      <c r="FE379">
        <f ca="1"/>
      </c>
      <c r="FF379">
        <f ca="1"/>
      </c>
      <c r="FG379">
        <f ca="1"/>
      </c>
      <c r="FH379">
        <f ca="1"/>
      </c>
      <c r="FI379">
        <f ca="1"/>
      </c>
      <c r="FJ379">
        <f ca="1"/>
      </c>
      <c r="FK379">
        <f ca="1"/>
      </c>
      <c r="FL379">
        <f ca="1"/>
      </c>
      <c r="FM379">
        <f ca="1"/>
      </c>
      <c r="FN379">
        <f ca="1"/>
      </c>
      <c r="FO379">
        <f ca="1"/>
      </c>
      <c r="FP379">
        <f ca="1"/>
      </c>
      <c r="FQ379">
        <f ca="1"/>
      </c>
      <c r="FR379">
        <f ca="1"/>
      </c>
      <c r="FS379">
        <f ca="1"/>
      </c>
      <c r="FT379">
        <f ca="1"/>
      </c>
      <c r="FU379">
        <f ca="1"/>
      </c>
      <c r="FV379">
        <f ca="1"/>
      </c>
      <c r="FW379">
        <f ca="1"/>
      </c>
      <c r="FX379">
        <f ca="1"/>
      </c>
      <c r="FY379">
        <f ca="1"/>
      </c>
      <c r="FZ379">
        <f ca="1"/>
      </c>
      <c r="GA379">
        <f ca="1"/>
      </c>
      <c r="GB379">
        <f ca="1"/>
      </c>
      <c r="GC379">
        <f ca="1"/>
      </c>
      <c r="GD379">
        <f ca="1"/>
      </c>
      <c r="GE379">
        <f ca="1"/>
      </c>
      <c r="GF379">
        <f ca="1"/>
      </c>
      <c r="GG379">
        <f ca="1"/>
      </c>
      <c r="GH379">
        <f ca="1"/>
      </c>
      <c r="GI379">
        <f ca="1"/>
      </c>
      <c r="GJ379">
        <f ca="1"/>
      </c>
      <c r="GK379">
        <f ca="1"/>
      </c>
      <c r="GL379">
        <f ca="1"/>
      </c>
      <c r="GM379">
        <f ca="1"/>
      </c>
      <c r="GN379">
        <f ca="1"/>
      </c>
      <c r="GO379">
        <f ca="1"/>
      </c>
      <c r="GP379">
        <f ca="1"/>
      </c>
      <c r="GQ379">
        <f ca="1"/>
      </c>
      <c r="GR379">
        <f ca="1"/>
      </c>
      <c r="GS379">
        <f ca="1"/>
      </c>
      <c r="GT379">
        <f ca="1"/>
      </c>
      <c r="GU379">
        <f ca="1"/>
      </c>
      <c r="GV379">
        <f ca="1"/>
      </c>
      <c r="GW379">
        <f ca="1"/>
      </c>
      <c r="HI379" s="7"/>
    </row>
    <row r="380" spans="63:217" x14ac:dyDescent="0.55000000000000004">
      <c r="BK380">
        <f ca="1"/>
      </c>
      <c r="BL380">
        <f ca="1"/>
      </c>
      <c r="BM380">
        <f ca="1"/>
      </c>
      <c r="BN380">
        <f ca="1"/>
      </c>
      <c r="BO380">
        <f ca="1"/>
      </c>
      <c r="BP380">
        <f ca="1"/>
      </c>
      <c r="BQ380">
        <f ca="1"/>
      </c>
      <c r="BR380">
        <f ca="1"/>
      </c>
      <c r="BS380">
        <f ca="1"/>
      </c>
      <c r="BT380">
        <f ca="1"/>
      </c>
      <c r="BU380">
        <f ca="1"/>
      </c>
      <c r="BV380">
        <f ca="1"/>
      </c>
      <c r="BW380">
        <f ca="1"/>
      </c>
      <c r="BX380">
        <f ca="1"/>
      </c>
      <c r="BY380">
        <f ca="1"/>
      </c>
      <c r="BZ380">
        <f ca="1"/>
      </c>
      <c r="CA380">
        <f ca="1"/>
      </c>
      <c r="CB380">
        <f ca="1"/>
      </c>
      <c r="CC380">
        <f ca="1"/>
      </c>
      <c r="CD380">
        <f ca="1"/>
      </c>
      <c r="CE380">
        <f ca="1"/>
      </c>
      <c r="CF380">
        <f ca="1"/>
      </c>
      <c r="CG380">
        <f ca="1"/>
      </c>
      <c r="CH380">
        <f ca="1"/>
      </c>
      <c r="CI380">
        <f ca="1"/>
      </c>
      <c r="CJ380">
        <f ca="1"/>
      </c>
      <c r="CK380">
        <f ca="1"/>
      </c>
      <c r="CL380">
        <f ca="1"/>
      </c>
      <c r="CM380">
        <f ca="1"/>
      </c>
      <c r="CN380">
        <f ca="1"/>
      </c>
      <c r="CO380">
        <f ca="1"/>
      </c>
      <c r="CP380">
        <f ca="1"/>
      </c>
      <c r="CQ380">
        <f ca="1"/>
      </c>
      <c r="CR380">
        <f ca="1"/>
      </c>
      <c r="CS380">
        <f ca="1"/>
      </c>
      <c r="CT380">
        <f ca="1"/>
      </c>
      <c r="CU380">
        <f ca="1"/>
      </c>
      <c r="CV380">
        <f ca="1"/>
      </c>
      <c r="CW380">
        <f ca="1"/>
      </c>
      <c r="CX380">
        <f ca="1"/>
      </c>
      <c r="CY380">
        <f ca="1"/>
      </c>
      <c r="CZ380">
        <f ca="1"/>
      </c>
      <c r="DA380">
        <f ca="1"/>
      </c>
      <c r="DB380">
        <f ca="1"/>
      </c>
      <c r="DC380">
        <f ca="1"/>
      </c>
      <c r="DD380">
        <f ca="1"/>
      </c>
      <c r="DE380">
        <f ca="1"/>
      </c>
      <c r="DG380">
        <f ca="1"/>
      </c>
      <c r="DH380">
        <f ca="1"/>
      </c>
      <c r="DI380">
        <f ca="1"/>
      </c>
      <c r="DJ380">
        <f ca="1"/>
      </c>
      <c r="DK380">
        <f ca="1"/>
      </c>
      <c r="DL380">
        <f ca="1"/>
      </c>
      <c r="DM380">
        <f ca="1"/>
      </c>
      <c r="DN380">
        <f ca="1"/>
      </c>
      <c r="DO380">
        <f ca="1"/>
      </c>
      <c r="DP380">
        <f ca="1"/>
      </c>
      <c r="DQ380">
        <f ca="1"/>
      </c>
      <c r="DR380">
        <f ca="1"/>
      </c>
      <c r="DS380">
        <f ca="1"/>
      </c>
      <c r="DT380">
        <f ca="1"/>
      </c>
      <c r="DU380">
        <f ca="1"/>
      </c>
      <c r="DV380">
        <f ca="1"/>
      </c>
      <c r="DW380">
        <f ca="1"/>
      </c>
      <c r="DX380">
        <f ca="1"/>
      </c>
      <c r="DY380">
        <f ca="1"/>
      </c>
      <c r="DZ380">
        <f ca="1"/>
      </c>
      <c r="EA380">
        <f ca="1"/>
      </c>
      <c r="EB380">
        <f ca="1"/>
      </c>
      <c r="EC380">
        <f ca="1"/>
      </c>
      <c r="ED380">
        <f ca="1"/>
      </c>
      <c r="EE380">
        <f ca="1"/>
      </c>
      <c r="EF380">
        <f ca="1"/>
      </c>
      <c r="EG380">
        <f ca="1"/>
      </c>
      <c r="EH380">
        <f ca="1"/>
      </c>
      <c r="EI380">
        <f ca="1"/>
      </c>
      <c r="EJ380">
        <f ca="1"/>
      </c>
      <c r="EK380">
        <f ca="1"/>
      </c>
      <c r="EL380">
        <f ca="1"/>
      </c>
      <c r="EM380">
        <f ca="1"/>
      </c>
      <c r="EN380">
        <f ca="1"/>
      </c>
      <c r="EO380">
        <f ca="1"/>
      </c>
      <c r="EP380">
        <f ca="1"/>
      </c>
      <c r="EQ380">
        <f ca="1"/>
      </c>
      <c r="ER380">
        <f ca="1"/>
      </c>
      <c r="ES380">
        <f ca="1"/>
      </c>
      <c r="ET380">
        <f ca="1"/>
      </c>
      <c r="EU380">
        <f ca="1"/>
      </c>
      <c r="EV380">
        <f ca="1"/>
      </c>
      <c r="EW380">
        <f ca="1"/>
      </c>
      <c r="EX380">
        <f ca="1"/>
      </c>
      <c r="EY380">
        <f ca="1"/>
      </c>
      <c r="EZ380">
        <f ca="1"/>
      </c>
      <c r="FA380">
        <f ca="1"/>
      </c>
      <c r="FC380">
        <f ca="1"/>
      </c>
      <c r="FD380">
        <f ca="1"/>
      </c>
      <c r="FE380">
        <f ca="1"/>
      </c>
      <c r="FF380">
        <f ca="1"/>
      </c>
      <c r="FG380">
        <f ca="1"/>
      </c>
      <c r="FH380">
        <f ca="1"/>
      </c>
      <c r="FI380">
        <f ca="1"/>
      </c>
      <c r="FJ380">
        <f ca="1"/>
      </c>
      <c r="FK380">
        <f ca="1"/>
      </c>
      <c r="FL380">
        <f ca="1"/>
      </c>
      <c r="FM380">
        <f ca="1"/>
      </c>
      <c r="FN380">
        <f ca="1"/>
      </c>
      <c r="FO380">
        <f ca="1"/>
      </c>
      <c r="FP380">
        <f ca="1"/>
      </c>
      <c r="FQ380">
        <f ca="1"/>
      </c>
      <c r="FR380">
        <f ca="1"/>
      </c>
      <c r="FS380">
        <f ca="1"/>
      </c>
      <c r="FT380">
        <f ca="1"/>
      </c>
      <c r="FU380">
        <f ca="1"/>
      </c>
      <c r="FV380">
        <f ca="1"/>
      </c>
      <c r="FW380">
        <f ca="1"/>
      </c>
      <c r="FX380">
        <f ca="1"/>
      </c>
      <c r="FY380">
        <f ca="1"/>
      </c>
      <c r="FZ380">
        <f ca="1"/>
      </c>
      <c r="GA380">
        <f ca="1"/>
      </c>
      <c r="GB380">
        <f ca="1"/>
      </c>
      <c r="GC380">
        <f ca="1"/>
      </c>
      <c r="GD380">
        <f ca="1"/>
      </c>
      <c r="GE380">
        <f ca="1"/>
      </c>
      <c r="GF380">
        <f ca="1"/>
      </c>
      <c r="GG380">
        <f ca="1"/>
      </c>
      <c r="GH380">
        <f ca="1"/>
      </c>
      <c r="GI380">
        <f ca="1"/>
      </c>
      <c r="GJ380">
        <f ca="1"/>
      </c>
      <c r="GK380">
        <f ca="1"/>
      </c>
      <c r="GL380">
        <f ca="1"/>
      </c>
      <c r="GM380">
        <f ca="1"/>
      </c>
      <c r="GN380">
        <f ca="1"/>
      </c>
      <c r="GO380">
        <f ca="1"/>
      </c>
      <c r="GP380">
        <f ca="1"/>
      </c>
      <c r="GQ380">
        <f ca="1"/>
      </c>
      <c r="GR380">
        <f ca="1"/>
      </c>
      <c r="GS380">
        <f ca="1"/>
      </c>
      <c r="GT380">
        <f ca="1"/>
      </c>
      <c r="GU380">
        <f ca="1"/>
      </c>
      <c r="GV380">
        <f ca="1"/>
      </c>
      <c r="GW380">
        <f ca="1"/>
      </c>
      <c r="HI380" s="7"/>
    </row>
    <row r="381" spans="63:217" x14ac:dyDescent="0.55000000000000004">
      <c r="BK381">
        <f ca="1"/>
      </c>
      <c r="BL381">
        <f ca="1"/>
      </c>
      <c r="BM381">
        <f ca="1"/>
      </c>
      <c r="BN381">
        <f ca="1"/>
      </c>
      <c r="BO381">
        <f ca="1"/>
      </c>
      <c r="BP381">
        <f ca="1"/>
      </c>
      <c r="BQ381">
        <f ca="1"/>
      </c>
      <c r="BR381">
        <f ca="1"/>
      </c>
      <c r="BS381">
        <f ca="1"/>
      </c>
      <c r="BT381">
        <f ca="1"/>
      </c>
      <c r="BU381">
        <f ca="1"/>
      </c>
      <c r="BV381">
        <f ca="1"/>
      </c>
      <c r="BW381">
        <f ca="1"/>
      </c>
      <c r="BX381">
        <f ca="1"/>
      </c>
      <c r="BY381">
        <f ca="1"/>
      </c>
      <c r="BZ381">
        <f ca="1"/>
      </c>
      <c r="CA381">
        <f ca="1"/>
      </c>
      <c r="CB381">
        <f ca="1"/>
      </c>
      <c r="CC381">
        <f ca="1"/>
      </c>
      <c r="CD381">
        <f ca="1"/>
      </c>
      <c r="CE381">
        <f ca="1"/>
      </c>
      <c r="CF381">
        <f ca="1"/>
      </c>
      <c r="CG381">
        <f ca="1"/>
      </c>
      <c r="CH381">
        <f ca="1"/>
      </c>
      <c r="CI381">
        <f ca="1"/>
      </c>
      <c r="CJ381">
        <f ca="1"/>
      </c>
      <c r="CK381">
        <f ca="1"/>
      </c>
      <c r="CL381">
        <f ca="1"/>
      </c>
      <c r="CM381">
        <f ca="1"/>
      </c>
      <c r="CN381">
        <f ca="1"/>
      </c>
      <c r="CO381">
        <f ca="1"/>
      </c>
      <c r="CP381">
        <f ca="1"/>
      </c>
      <c r="CQ381">
        <f ca="1"/>
      </c>
      <c r="CR381">
        <f ca="1"/>
      </c>
      <c r="CS381">
        <f ca="1"/>
      </c>
      <c r="CT381">
        <f ca="1"/>
      </c>
      <c r="CU381">
        <f ca="1"/>
      </c>
      <c r="CV381">
        <f ca="1"/>
      </c>
      <c r="CW381">
        <f ca="1"/>
      </c>
      <c r="CX381">
        <f ca="1"/>
      </c>
      <c r="CY381">
        <f ca="1"/>
      </c>
      <c r="CZ381">
        <f ca="1"/>
      </c>
      <c r="DA381">
        <f ca="1"/>
      </c>
      <c r="DB381">
        <f ca="1"/>
      </c>
      <c r="DC381">
        <f ca="1"/>
      </c>
      <c r="DD381">
        <f ca="1"/>
      </c>
      <c r="DE381">
        <f ca="1"/>
      </c>
      <c r="DG381">
        <f ca="1"/>
      </c>
      <c r="DH381">
        <f ca="1"/>
      </c>
      <c r="DI381">
        <f ca="1"/>
      </c>
      <c r="DJ381">
        <f ca="1"/>
      </c>
      <c r="DK381">
        <f ca="1"/>
      </c>
      <c r="DL381">
        <f ca="1"/>
      </c>
      <c r="DM381">
        <f ca="1"/>
      </c>
      <c r="DN381">
        <f ca="1"/>
      </c>
      <c r="DO381">
        <f ca="1"/>
      </c>
      <c r="DP381">
        <f ca="1"/>
      </c>
      <c r="DQ381">
        <f ca="1"/>
      </c>
      <c r="DR381">
        <f ca="1"/>
      </c>
      <c r="DS381">
        <f ca="1"/>
      </c>
      <c r="DT381">
        <f ca="1"/>
      </c>
      <c r="DU381">
        <f ca="1"/>
      </c>
      <c r="DV381">
        <f ca="1"/>
      </c>
      <c r="DW381">
        <f ca="1"/>
      </c>
      <c r="DX381">
        <f ca="1"/>
      </c>
      <c r="DY381">
        <f ca="1"/>
      </c>
      <c r="DZ381">
        <f ca="1"/>
      </c>
      <c r="EA381">
        <f ca="1"/>
      </c>
      <c r="EB381">
        <f ca="1"/>
      </c>
      <c r="EC381">
        <f ca="1"/>
      </c>
      <c r="ED381">
        <f ca="1"/>
      </c>
      <c r="EE381">
        <f ca="1"/>
      </c>
      <c r="EF381">
        <f ca="1"/>
      </c>
      <c r="EG381">
        <f ca="1"/>
      </c>
      <c r="EH381">
        <f ca="1"/>
      </c>
      <c r="EI381">
        <f ca="1"/>
      </c>
      <c r="EJ381">
        <f ca="1"/>
      </c>
      <c r="EK381">
        <f ca="1"/>
      </c>
      <c r="EL381">
        <f ca="1"/>
      </c>
      <c r="EM381">
        <f ca="1"/>
      </c>
      <c r="EN381">
        <f ca="1"/>
      </c>
      <c r="EO381">
        <f ca="1"/>
      </c>
      <c r="EP381">
        <f ca="1"/>
      </c>
      <c r="EQ381">
        <f ca="1"/>
      </c>
      <c r="ER381">
        <f ca="1"/>
      </c>
      <c r="ES381">
        <f ca="1"/>
      </c>
      <c r="ET381">
        <f ca="1"/>
      </c>
      <c r="EU381">
        <f ca="1"/>
      </c>
      <c r="EV381">
        <f ca="1"/>
      </c>
      <c r="EW381">
        <f ca="1"/>
      </c>
      <c r="EX381">
        <f ca="1"/>
      </c>
      <c r="EY381">
        <f ca="1"/>
      </c>
      <c r="EZ381">
        <f ca="1"/>
      </c>
      <c r="FA381">
        <f ca="1"/>
      </c>
      <c r="FC381">
        <f ca="1"/>
      </c>
      <c r="FD381">
        <f ca="1"/>
      </c>
      <c r="FE381">
        <f ca="1"/>
      </c>
      <c r="FF381">
        <f ca="1"/>
      </c>
      <c r="FG381">
        <f ca="1"/>
      </c>
      <c r="FH381">
        <f ca="1"/>
      </c>
      <c r="FI381">
        <f ca="1"/>
      </c>
      <c r="FJ381">
        <f ca="1"/>
      </c>
      <c r="FK381">
        <f ca="1"/>
      </c>
      <c r="FL381">
        <f ca="1"/>
      </c>
      <c r="FM381">
        <f ca="1"/>
      </c>
      <c r="FN381">
        <f ca="1"/>
      </c>
      <c r="FO381">
        <f ca="1"/>
      </c>
      <c r="FP381">
        <f ca="1"/>
      </c>
      <c r="FQ381">
        <f ca="1"/>
      </c>
      <c r="FR381">
        <f ca="1"/>
      </c>
      <c r="FS381">
        <f ca="1"/>
      </c>
      <c r="FT381">
        <f ca="1"/>
      </c>
      <c r="FU381">
        <f ca="1"/>
      </c>
      <c r="FV381">
        <f ca="1"/>
      </c>
      <c r="FW381">
        <f ca="1"/>
      </c>
      <c r="FX381">
        <f ca="1"/>
      </c>
      <c r="FY381">
        <f ca="1"/>
      </c>
      <c r="FZ381">
        <f ca="1"/>
      </c>
      <c r="GA381">
        <f ca="1"/>
      </c>
      <c r="GB381">
        <f ca="1"/>
      </c>
      <c r="GC381">
        <f ca="1"/>
      </c>
      <c r="GD381">
        <f ca="1"/>
      </c>
      <c r="GE381">
        <f ca="1"/>
      </c>
      <c r="GF381">
        <f ca="1"/>
      </c>
      <c r="GG381">
        <f ca="1"/>
      </c>
      <c r="GH381">
        <f ca="1"/>
      </c>
      <c r="GI381">
        <f ca="1"/>
      </c>
      <c r="GJ381">
        <f ca="1"/>
      </c>
      <c r="GK381">
        <f ca="1"/>
      </c>
      <c r="GL381">
        <f ca="1"/>
      </c>
      <c r="GM381">
        <f ca="1"/>
      </c>
      <c r="GN381">
        <f ca="1"/>
      </c>
      <c r="GO381">
        <f ca="1"/>
      </c>
      <c r="GP381">
        <f ca="1"/>
      </c>
      <c r="GQ381">
        <f ca="1"/>
      </c>
      <c r="GR381">
        <f ca="1"/>
      </c>
      <c r="GS381">
        <f ca="1"/>
      </c>
      <c r="GT381">
        <f ca="1"/>
      </c>
      <c r="GU381">
        <f ca="1"/>
      </c>
      <c r="GV381">
        <f ca="1"/>
      </c>
      <c r="GW381">
        <f ca="1"/>
      </c>
      <c r="HI381" s="7"/>
    </row>
    <row r="382" spans="63:217" x14ac:dyDescent="0.55000000000000004">
      <c r="BK382">
        <f ca="1"/>
      </c>
      <c r="BL382">
        <f ca="1"/>
      </c>
      <c r="BM382">
        <f ca="1"/>
      </c>
      <c r="BN382">
        <f ca="1"/>
      </c>
      <c r="BO382">
        <f ca="1"/>
      </c>
      <c r="BP382">
        <f ca="1"/>
      </c>
      <c r="BQ382">
        <f ca="1"/>
      </c>
      <c r="BR382">
        <f ca="1"/>
      </c>
      <c r="BS382">
        <f ca="1"/>
      </c>
      <c r="BT382">
        <f ca="1"/>
      </c>
      <c r="BU382">
        <f ca="1"/>
      </c>
      <c r="BV382">
        <f ca="1"/>
      </c>
      <c r="BW382">
        <f ca="1"/>
      </c>
      <c r="BX382">
        <f ca="1"/>
      </c>
      <c r="BY382">
        <f ca="1"/>
      </c>
      <c r="BZ382">
        <f ca="1"/>
      </c>
      <c r="CA382">
        <f ca="1"/>
      </c>
      <c r="CB382">
        <f ca="1"/>
      </c>
      <c r="CC382">
        <f ca="1"/>
      </c>
      <c r="CD382">
        <f ca="1"/>
      </c>
      <c r="CE382">
        <f ca="1"/>
      </c>
      <c r="CF382">
        <f ca="1"/>
      </c>
      <c r="CG382">
        <f ca="1"/>
      </c>
      <c r="CH382">
        <f ca="1"/>
      </c>
      <c r="CI382">
        <f ca="1"/>
      </c>
      <c r="CJ382">
        <f ca="1"/>
      </c>
      <c r="CK382">
        <f ca="1"/>
      </c>
      <c r="CL382">
        <f ca="1"/>
      </c>
      <c r="CM382">
        <f ca="1"/>
      </c>
      <c r="CN382">
        <f ca="1"/>
      </c>
      <c r="CO382">
        <f ca="1"/>
      </c>
      <c r="CP382">
        <f ca="1"/>
      </c>
      <c r="CQ382">
        <f ca="1"/>
      </c>
      <c r="CR382">
        <f ca="1"/>
      </c>
      <c r="CS382">
        <f ca="1"/>
      </c>
      <c r="CT382">
        <f ca="1"/>
      </c>
      <c r="CU382">
        <f ca="1"/>
      </c>
      <c r="CV382">
        <f ca="1"/>
      </c>
      <c r="CW382">
        <f ca="1"/>
      </c>
      <c r="CX382">
        <f ca="1"/>
      </c>
      <c r="CY382">
        <f ca="1"/>
      </c>
      <c r="CZ382">
        <f ca="1"/>
      </c>
      <c r="DA382">
        <f ca="1"/>
      </c>
      <c r="DB382">
        <f ca="1"/>
      </c>
      <c r="DC382">
        <f ca="1"/>
      </c>
      <c r="DD382">
        <f ca="1"/>
      </c>
      <c r="DE382">
        <f ca="1"/>
      </c>
      <c r="DG382">
        <f ca="1"/>
      </c>
      <c r="DH382">
        <f ca="1"/>
      </c>
      <c r="DI382">
        <f ca="1"/>
      </c>
      <c r="DJ382">
        <f ca="1"/>
      </c>
      <c r="DK382">
        <f ca="1"/>
      </c>
      <c r="DL382">
        <f ca="1"/>
      </c>
      <c r="DM382">
        <f ca="1"/>
      </c>
      <c r="DN382">
        <f ca="1"/>
      </c>
      <c r="DO382">
        <f ca="1"/>
      </c>
      <c r="DP382">
        <f ca="1"/>
      </c>
      <c r="DQ382">
        <f ca="1"/>
      </c>
      <c r="DR382">
        <f ca="1"/>
      </c>
      <c r="DS382">
        <f ca="1"/>
      </c>
      <c r="DT382">
        <f ca="1"/>
      </c>
      <c r="DU382">
        <f ca="1"/>
      </c>
      <c r="DV382">
        <f ca="1"/>
      </c>
      <c r="DW382">
        <f ca="1"/>
      </c>
      <c r="DX382">
        <f ca="1"/>
      </c>
      <c r="DY382">
        <f ca="1"/>
      </c>
      <c r="DZ382">
        <f ca="1"/>
      </c>
      <c r="EA382">
        <f ca="1"/>
      </c>
      <c r="EB382">
        <f ca="1"/>
      </c>
      <c r="EC382">
        <f ca="1"/>
      </c>
      <c r="ED382">
        <f ca="1"/>
      </c>
      <c r="EE382">
        <f ca="1"/>
      </c>
      <c r="EF382">
        <f ca="1"/>
      </c>
      <c r="EG382">
        <f ca="1"/>
      </c>
      <c r="EH382">
        <f ca="1"/>
      </c>
      <c r="EI382">
        <f ca="1"/>
      </c>
      <c r="EJ382">
        <f ca="1"/>
      </c>
      <c r="EK382">
        <f ca="1"/>
      </c>
      <c r="EL382">
        <f ca="1"/>
      </c>
      <c r="EM382">
        <f ca="1"/>
      </c>
      <c r="EN382">
        <f ca="1"/>
      </c>
      <c r="EO382">
        <f ca="1"/>
      </c>
      <c r="EP382">
        <f ca="1"/>
      </c>
      <c r="EQ382">
        <f ca="1"/>
      </c>
      <c r="ER382">
        <f ca="1"/>
      </c>
      <c r="ES382">
        <f ca="1"/>
      </c>
      <c r="ET382">
        <f ca="1"/>
      </c>
      <c r="EU382">
        <f ca="1"/>
      </c>
      <c r="EV382">
        <f ca="1"/>
      </c>
      <c r="EW382">
        <f ca="1"/>
      </c>
      <c r="EX382">
        <f ca="1"/>
      </c>
      <c r="EY382">
        <f ca="1"/>
      </c>
      <c r="EZ382">
        <f ca="1"/>
      </c>
      <c r="FA382">
        <f ca="1"/>
      </c>
      <c r="FC382">
        <f ca="1"/>
      </c>
      <c r="FD382">
        <f ca="1"/>
      </c>
      <c r="FE382">
        <f ca="1"/>
      </c>
      <c r="FF382">
        <f ca="1"/>
      </c>
      <c r="FG382">
        <f ca="1"/>
      </c>
      <c r="FH382">
        <f ca="1"/>
      </c>
      <c r="FI382">
        <f ca="1"/>
      </c>
      <c r="FJ382">
        <f ca="1"/>
      </c>
      <c r="FK382">
        <f ca="1"/>
      </c>
      <c r="FL382">
        <f ca="1"/>
      </c>
      <c r="FM382">
        <f ca="1"/>
      </c>
      <c r="FN382">
        <f ca="1"/>
      </c>
      <c r="FO382">
        <f ca="1"/>
      </c>
      <c r="FP382">
        <f ca="1"/>
      </c>
      <c r="FQ382">
        <f ca="1"/>
      </c>
      <c r="FR382">
        <f ca="1"/>
      </c>
      <c r="FS382">
        <f ca="1"/>
      </c>
      <c r="FT382">
        <f ca="1"/>
      </c>
      <c r="FU382">
        <f ca="1"/>
      </c>
      <c r="FV382">
        <f ca="1"/>
      </c>
      <c r="FW382">
        <f ca="1"/>
      </c>
      <c r="FX382">
        <f ca="1"/>
      </c>
      <c r="FY382">
        <f ca="1"/>
      </c>
      <c r="FZ382">
        <f ca="1"/>
      </c>
      <c r="GA382">
        <f ca="1"/>
      </c>
      <c r="GB382">
        <f ca="1"/>
      </c>
      <c r="GC382">
        <f ca="1"/>
      </c>
      <c r="GD382">
        <f ca="1"/>
      </c>
      <c r="GE382">
        <f ca="1"/>
      </c>
      <c r="GF382">
        <f ca="1"/>
      </c>
      <c r="GG382">
        <f ca="1"/>
      </c>
      <c r="GH382">
        <f ca="1"/>
      </c>
      <c r="GI382">
        <f ca="1"/>
      </c>
      <c r="GJ382">
        <f ca="1"/>
      </c>
      <c r="GK382">
        <f ca="1"/>
      </c>
      <c r="GL382">
        <f ca="1"/>
      </c>
      <c r="GM382">
        <f ca="1"/>
      </c>
      <c r="GN382">
        <f ca="1"/>
      </c>
      <c r="GO382">
        <f ca="1"/>
      </c>
      <c r="GP382">
        <f ca="1"/>
      </c>
      <c r="GQ382">
        <f ca="1"/>
      </c>
      <c r="GR382">
        <f ca="1"/>
      </c>
      <c r="GS382">
        <f ca="1"/>
      </c>
      <c r="GT382">
        <f ca="1"/>
      </c>
      <c r="GU382">
        <f ca="1"/>
      </c>
      <c r="GV382">
        <f ca="1"/>
      </c>
      <c r="GW382">
        <f ca="1"/>
      </c>
      <c r="HI382" s="7"/>
    </row>
    <row r="383" spans="63:217" x14ac:dyDescent="0.55000000000000004">
      <c r="BK383">
        <f ca="1"/>
      </c>
      <c r="BL383">
        <f ca="1"/>
      </c>
      <c r="BM383">
        <f ca="1"/>
      </c>
      <c r="BN383">
        <f ca="1"/>
      </c>
      <c r="BO383">
        <f ca="1"/>
      </c>
      <c r="BP383">
        <f ca="1"/>
      </c>
      <c r="BQ383">
        <f ca="1"/>
      </c>
      <c r="BR383">
        <f ca="1"/>
      </c>
      <c r="BS383">
        <f ca="1"/>
      </c>
      <c r="BT383">
        <f ca="1"/>
      </c>
      <c r="BU383">
        <f ca="1"/>
      </c>
      <c r="BV383">
        <f ca="1"/>
      </c>
      <c r="BW383">
        <f ca="1"/>
      </c>
      <c r="BX383">
        <f ca="1"/>
      </c>
      <c r="BY383">
        <f ca="1"/>
      </c>
      <c r="BZ383">
        <f ca="1"/>
      </c>
      <c r="CA383">
        <f ca="1"/>
      </c>
      <c r="CB383">
        <f ca="1"/>
      </c>
      <c r="CC383">
        <f ca="1"/>
      </c>
      <c r="CD383">
        <f ca="1"/>
      </c>
      <c r="CE383">
        <f ca="1"/>
      </c>
      <c r="CF383">
        <f ca="1"/>
      </c>
      <c r="CG383">
        <f ca="1"/>
      </c>
      <c r="CH383">
        <f ca="1"/>
      </c>
      <c r="CI383">
        <f ca="1"/>
      </c>
      <c r="CJ383">
        <f ca="1"/>
      </c>
      <c r="CK383">
        <f ca="1"/>
      </c>
      <c r="CL383">
        <f ca="1"/>
      </c>
      <c r="CM383">
        <f ca="1"/>
      </c>
      <c r="CN383">
        <f ca="1"/>
      </c>
      <c r="CO383">
        <f ca="1"/>
      </c>
      <c r="CP383">
        <f ca="1"/>
      </c>
      <c r="CQ383">
        <f ca="1"/>
      </c>
      <c r="CR383">
        <f ca="1"/>
      </c>
      <c r="CS383">
        <f ca="1"/>
      </c>
      <c r="CT383">
        <f ca="1"/>
      </c>
      <c r="CU383">
        <f ca="1"/>
      </c>
      <c r="CV383">
        <f ca="1"/>
      </c>
      <c r="CW383">
        <f ca="1"/>
      </c>
      <c r="CX383">
        <f ca="1"/>
      </c>
      <c r="CY383">
        <f ca="1"/>
      </c>
      <c r="CZ383">
        <f ca="1"/>
      </c>
      <c r="DA383">
        <f ca="1"/>
      </c>
      <c r="DB383">
        <f ca="1"/>
      </c>
      <c r="DC383">
        <f ca="1"/>
      </c>
      <c r="DD383">
        <f ca="1"/>
      </c>
      <c r="DE383">
        <f ca="1"/>
      </c>
      <c r="DG383">
        <f ca="1"/>
      </c>
      <c r="DH383">
        <f ca="1"/>
      </c>
      <c r="DI383">
        <f ca="1"/>
      </c>
      <c r="DJ383">
        <f ca="1"/>
      </c>
      <c r="DK383">
        <f ca="1"/>
      </c>
      <c r="DL383">
        <f ca="1"/>
      </c>
      <c r="DM383">
        <f ca="1"/>
      </c>
      <c r="DN383">
        <f ca="1"/>
      </c>
      <c r="DO383">
        <f ca="1"/>
      </c>
      <c r="DP383">
        <f ca="1"/>
      </c>
      <c r="DQ383">
        <f ca="1"/>
      </c>
      <c r="DR383">
        <f ca="1"/>
      </c>
      <c r="DS383">
        <f ca="1"/>
      </c>
      <c r="DT383">
        <f ca="1"/>
      </c>
      <c r="DU383">
        <f ca="1"/>
      </c>
      <c r="DV383">
        <f ca="1"/>
      </c>
      <c r="DW383">
        <f ca="1"/>
      </c>
      <c r="DX383">
        <f ca="1"/>
      </c>
      <c r="DY383">
        <f ca="1"/>
      </c>
      <c r="DZ383">
        <f ca="1"/>
      </c>
      <c r="EA383">
        <f ca="1"/>
      </c>
      <c r="EB383">
        <f ca="1"/>
      </c>
      <c r="EC383">
        <f ca="1"/>
      </c>
      <c r="ED383">
        <f ca="1"/>
      </c>
      <c r="EE383">
        <f ca="1"/>
      </c>
      <c r="EF383">
        <f ca="1"/>
      </c>
      <c r="EG383">
        <f ca="1"/>
      </c>
      <c r="EH383">
        <f ca="1"/>
      </c>
      <c r="EI383">
        <f ca="1"/>
      </c>
      <c r="EJ383">
        <f ca="1"/>
      </c>
      <c r="EK383">
        <f ca="1"/>
      </c>
      <c r="EL383">
        <f ca="1"/>
      </c>
      <c r="EM383">
        <f ca="1"/>
      </c>
      <c r="EN383">
        <f ca="1"/>
      </c>
      <c r="EO383">
        <f ca="1"/>
      </c>
      <c r="EP383">
        <f ca="1"/>
      </c>
      <c r="EQ383">
        <f ca="1"/>
      </c>
      <c r="ER383">
        <f ca="1"/>
      </c>
      <c r="ES383">
        <f ca="1"/>
      </c>
      <c r="ET383">
        <f ca="1"/>
      </c>
      <c r="EU383">
        <f ca="1"/>
      </c>
      <c r="EV383">
        <f ca="1"/>
      </c>
      <c r="EW383">
        <f ca="1"/>
      </c>
      <c r="EX383">
        <f ca="1"/>
      </c>
      <c r="EY383">
        <f ca="1"/>
      </c>
      <c r="EZ383">
        <f ca="1"/>
      </c>
      <c r="FA383">
        <f ca="1"/>
      </c>
      <c r="FC383">
        <f ca="1"/>
      </c>
      <c r="FD383">
        <f ca="1"/>
      </c>
      <c r="FE383">
        <f ca="1"/>
      </c>
      <c r="FF383">
        <f ca="1"/>
      </c>
      <c r="FG383">
        <f ca="1"/>
      </c>
      <c r="FH383">
        <f ca="1"/>
      </c>
      <c r="FI383">
        <f ca="1"/>
      </c>
      <c r="FJ383">
        <f ca="1"/>
      </c>
      <c r="FK383">
        <f ca="1"/>
      </c>
      <c r="FL383">
        <f ca="1"/>
      </c>
      <c r="FM383">
        <f ca="1"/>
      </c>
      <c r="FN383">
        <f ca="1"/>
      </c>
      <c r="FO383">
        <f ca="1"/>
      </c>
      <c r="FP383">
        <f ca="1"/>
      </c>
      <c r="FQ383">
        <f ca="1"/>
      </c>
      <c r="FR383">
        <f ca="1"/>
      </c>
      <c r="FS383">
        <f ca="1"/>
      </c>
      <c r="FT383">
        <f ca="1"/>
      </c>
      <c r="FU383">
        <f ca="1"/>
      </c>
      <c r="FV383">
        <f ca="1"/>
      </c>
      <c r="FW383">
        <f ca="1"/>
      </c>
      <c r="FX383">
        <f ca="1"/>
      </c>
      <c r="FY383">
        <f ca="1"/>
      </c>
      <c r="FZ383">
        <f ca="1"/>
      </c>
      <c r="GA383">
        <f ca="1"/>
      </c>
      <c r="GB383">
        <f ca="1"/>
      </c>
      <c r="GC383">
        <f ca="1"/>
      </c>
      <c r="GD383">
        <f ca="1"/>
      </c>
      <c r="GE383">
        <f ca="1"/>
      </c>
      <c r="GF383">
        <f ca="1"/>
      </c>
      <c r="GG383">
        <f ca="1"/>
      </c>
      <c r="GH383">
        <f ca="1"/>
      </c>
      <c r="GI383">
        <f ca="1"/>
      </c>
      <c r="GJ383">
        <f ca="1"/>
      </c>
      <c r="GK383">
        <f ca="1"/>
      </c>
      <c r="GL383">
        <f ca="1"/>
      </c>
      <c r="GM383">
        <f ca="1"/>
      </c>
      <c r="GN383">
        <f ca="1"/>
      </c>
      <c r="GO383">
        <f ca="1"/>
      </c>
      <c r="GP383">
        <f ca="1"/>
      </c>
      <c r="GQ383">
        <f ca="1"/>
      </c>
      <c r="GR383">
        <f ca="1"/>
      </c>
      <c r="GS383">
        <f ca="1"/>
      </c>
      <c r="GT383">
        <f ca="1"/>
      </c>
      <c r="GU383">
        <f ca="1"/>
      </c>
      <c r="GV383">
        <f ca="1"/>
      </c>
      <c r="GW383">
        <f ca="1"/>
      </c>
      <c r="HI383" s="7"/>
    </row>
    <row r="384" spans="63:217" x14ac:dyDescent="0.55000000000000004">
      <c r="BK384">
        <f ca="1"/>
      </c>
      <c r="BL384">
        <f ca="1"/>
      </c>
      <c r="BM384">
        <f ca="1"/>
      </c>
      <c r="BN384">
        <f ca="1"/>
      </c>
      <c r="BO384">
        <f ca="1"/>
      </c>
      <c r="BP384">
        <f ca="1"/>
      </c>
      <c r="BQ384">
        <f ca="1"/>
      </c>
      <c r="BR384">
        <f ca="1"/>
      </c>
      <c r="BS384">
        <f ca="1"/>
      </c>
      <c r="BT384">
        <f ca="1"/>
      </c>
      <c r="BU384">
        <f ca="1"/>
      </c>
      <c r="BV384">
        <f ca="1"/>
      </c>
      <c r="BW384">
        <f ca="1"/>
      </c>
      <c r="BX384">
        <f ca="1"/>
      </c>
      <c r="BY384">
        <f ca="1"/>
      </c>
      <c r="BZ384">
        <f ca="1"/>
      </c>
      <c r="CA384">
        <f ca="1"/>
      </c>
      <c r="CB384">
        <f ca="1"/>
      </c>
      <c r="CC384">
        <f ca="1"/>
      </c>
      <c r="CD384">
        <f ca="1"/>
      </c>
      <c r="CE384">
        <f ca="1"/>
      </c>
      <c r="CF384">
        <f ca="1"/>
      </c>
      <c r="CG384">
        <f ca="1"/>
      </c>
      <c r="CH384">
        <f ca="1"/>
      </c>
      <c r="CI384">
        <f ca="1"/>
      </c>
      <c r="CJ384">
        <f ca="1"/>
      </c>
      <c r="CK384">
        <f ca="1"/>
      </c>
      <c r="CL384">
        <f ca="1"/>
      </c>
      <c r="CM384">
        <f ca="1"/>
      </c>
      <c r="CN384">
        <f ca="1"/>
      </c>
      <c r="CO384">
        <f ca="1"/>
      </c>
      <c r="CP384">
        <f ca="1"/>
      </c>
      <c r="CQ384">
        <f ca="1"/>
      </c>
      <c r="CR384">
        <f ca="1"/>
      </c>
      <c r="CS384">
        <f ca="1"/>
      </c>
      <c r="CT384">
        <f ca="1"/>
      </c>
      <c r="CU384">
        <f ca="1"/>
      </c>
      <c r="CV384">
        <f ca="1"/>
      </c>
      <c r="CW384">
        <f ca="1"/>
      </c>
      <c r="CX384">
        <f ca="1"/>
      </c>
      <c r="CY384">
        <f ca="1"/>
      </c>
      <c r="CZ384">
        <f ca="1"/>
      </c>
      <c r="DA384">
        <f ca="1"/>
      </c>
      <c r="DB384">
        <f ca="1"/>
      </c>
      <c r="DC384">
        <f ca="1"/>
      </c>
      <c r="DD384">
        <f ca="1"/>
      </c>
      <c r="DE384">
        <f ca="1"/>
      </c>
      <c r="DG384">
        <f ca="1"/>
      </c>
      <c r="DH384">
        <f ca="1"/>
      </c>
      <c r="DI384">
        <f ca="1"/>
      </c>
      <c r="DJ384">
        <f ca="1"/>
      </c>
      <c r="DK384">
        <f ca="1"/>
      </c>
      <c r="DL384">
        <f ca="1"/>
      </c>
      <c r="DM384">
        <f ca="1"/>
      </c>
      <c r="DN384">
        <f ca="1"/>
      </c>
      <c r="DO384">
        <f ca="1"/>
      </c>
      <c r="DP384">
        <f ca="1"/>
      </c>
      <c r="DQ384">
        <f ca="1"/>
      </c>
      <c r="DR384">
        <f ca="1"/>
      </c>
      <c r="DS384">
        <f ca="1"/>
      </c>
      <c r="DT384">
        <f ca="1"/>
      </c>
      <c r="DU384">
        <f ca="1"/>
      </c>
      <c r="DV384">
        <f ca="1"/>
      </c>
      <c r="DW384">
        <f ca="1"/>
      </c>
      <c r="DX384">
        <f ca="1"/>
      </c>
      <c r="DY384">
        <f ca="1"/>
      </c>
      <c r="DZ384">
        <f ca="1"/>
      </c>
      <c r="EA384">
        <f ca="1"/>
      </c>
      <c r="EB384">
        <f ca="1"/>
      </c>
      <c r="EC384">
        <f ca="1"/>
      </c>
      <c r="ED384">
        <f ca="1"/>
      </c>
      <c r="EE384">
        <f ca="1"/>
      </c>
      <c r="EF384">
        <f ca="1"/>
      </c>
      <c r="EG384">
        <f ca="1"/>
      </c>
      <c r="EH384">
        <f ca="1"/>
      </c>
      <c r="EI384">
        <f ca="1"/>
      </c>
      <c r="EJ384">
        <f ca="1"/>
      </c>
      <c r="EK384">
        <f ca="1"/>
      </c>
      <c r="EL384">
        <f ca="1"/>
      </c>
      <c r="EM384">
        <f ca="1"/>
      </c>
      <c r="EN384">
        <f ca="1"/>
      </c>
      <c r="EO384">
        <f ca="1"/>
      </c>
      <c r="EP384">
        <f ca="1"/>
      </c>
      <c r="EQ384">
        <f ca="1"/>
      </c>
      <c r="ER384">
        <f ca="1"/>
      </c>
      <c r="ES384">
        <f ca="1"/>
      </c>
      <c r="ET384">
        <f ca="1"/>
      </c>
      <c r="EU384">
        <f ca="1"/>
      </c>
      <c r="EV384">
        <f ca="1"/>
      </c>
      <c r="EW384">
        <f ca="1"/>
      </c>
      <c r="EX384">
        <f ca="1"/>
      </c>
      <c r="EY384">
        <f ca="1"/>
      </c>
      <c r="EZ384">
        <f ca="1"/>
      </c>
      <c r="FA384">
        <f ca="1"/>
      </c>
      <c r="FC384">
        <f ca="1"/>
      </c>
      <c r="FD384">
        <f ca="1"/>
      </c>
      <c r="FE384">
        <f ca="1"/>
      </c>
      <c r="FF384">
        <f ca="1"/>
      </c>
      <c r="FG384">
        <f ca="1"/>
      </c>
      <c r="FH384">
        <f ca="1"/>
      </c>
      <c r="FI384">
        <f ca="1"/>
      </c>
      <c r="FJ384">
        <f ca="1"/>
      </c>
      <c r="FK384">
        <f ca="1"/>
      </c>
      <c r="FL384">
        <f ca="1"/>
      </c>
      <c r="FM384">
        <f ca="1"/>
      </c>
      <c r="FN384">
        <f ca="1"/>
      </c>
      <c r="FO384">
        <f ca="1"/>
      </c>
      <c r="FP384">
        <f ca="1"/>
      </c>
      <c r="FQ384">
        <f ca="1"/>
      </c>
      <c r="FR384">
        <f ca="1"/>
      </c>
      <c r="FS384">
        <f ca="1"/>
      </c>
      <c r="FT384">
        <f ca="1"/>
      </c>
      <c r="FU384">
        <f ca="1"/>
      </c>
      <c r="FV384">
        <f ca="1"/>
      </c>
      <c r="FW384">
        <f ca="1"/>
      </c>
      <c r="FX384">
        <f ca="1"/>
      </c>
      <c r="FY384">
        <f ca="1"/>
      </c>
      <c r="FZ384">
        <f ca="1"/>
      </c>
      <c r="GA384">
        <f ca="1"/>
      </c>
      <c r="GB384">
        <f ca="1"/>
      </c>
      <c r="GC384">
        <f ca="1"/>
      </c>
      <c r="GD384">
        <f ca="1"/>
      </c>
      <c r="GE384">
        <f ca="1"/>
      </c>
      <c r="GF384">
        <f ca="1"/>
      </c>
      <c r="GG384">
        <f ca="1"/>
      </c>
      <c r="GH384">
        <f ca="1"/>
      </c>
      <c r="GI384">
        <f ca="1"/>
      </c>
      <c r="GJ384">
        <f ca="1"/>
      </c>
      <c r="GK384">
        <f ca="1"/>
      </c>
      <c r="GL384">
        <f ca="1"/>
      </c>
      <c r="GM384">
        <f ca="1"/>
      </c>
      <c r="GN384">
        <f ca="1"/>
      </c>
      <c r="GO384">
        <f ca="1"/>
      </c>
      <c r="GP384">
        <f ca="1"/>
      </c>
      <c r="GQ384">
        <f ca="1"/>
      </c>
      <c r="GR384">
        <f ca="1"/>
      </c>
      <c r="GS384">
        <f ca="1"/>
      </c>
      <c r="GT384">
        <f ca="1"/>
      </c>
      <c r="GU384">
        <f ca="1"/>
      </c>
      <c r="GV384">
        <f ca="1"/>
      </c>
      <c r="GW384">
        <f ca="1"/>
      </c>
      <c r="HI384" s="7"/>
    </row>
    <row r="385" spans="63:217" x14ac:dyDescent="0.55000000000000004">
      <c r="BK385">
        <f ca="1"/>
      </c>
      <c r="BL385">
        <f ca="1"/>
      </c>
      <c r="BM385">
        <f ca="1"/>
      </c>
      <c r="BN385">
        <f ca="1"/>
      </c>
      <c r="BO385">
        <f ca="1"/>
      </c>
      <c r="BP385">
        <f ca="1"/>
      </c>
      <c r="BQ385">
        <f ca="1"/>
      </c>
      <c r="BR385">
        <f ca="1"/>
      </c>
      <c r="BS385">
        <f ca="1"/>
      </c>
      <c r="BT385">
        <f ca="1"/>
      </c>
      <c r="BU385">
        <f ca="1"/>
      </c>
      <c r="BV385">
        <f ca="1"/>
      </c>
      <c r="BW385">
        <f ca="1"/>
      </c>
      <c r="BX385">
        <f ca="1"/>
      </c>
      <c r="BY385">
        <f ca="1"/>
      </c>
      <c r="BZ385">
        <f ca="1"/>
      </c>
      <c r="CA385">
        <f ca="1"/>
      </c>
      <c r="CB385">
        <f ca="1"/>
      </c>
      <c r="CC385">
        <f ca="1"/>
      </c>
      <c r="CD385">
        <f ca="1"/>
      </c>
      <c r="CE385">
        <f ca="1"/>
      </c>
      <c r="CF385">
        <f ca="1"/>
      </c>
      <c r="CG385">
        <f ca="1"/>
      </c>
      <c r="CH385">
        <f ca="1"/>
      </c>
      <c r="CI385">
        <f ca="1"/>
      </c>
      <c r="CJ385">
        <f ca="1"/>
      </c>
      <c r="CK385">
        <f ca="1"/>
      </c>
      <c r="CL385">
        <f ca="1"/>
      </c>
      <c r="CM385">
        <f ca="1"/>
      </c>
      <c r="CN385">
        <f ca="1"/>
      </c>
      <c r="CO385">
        <f ca="1"/>
      </c>
      <c r="CP385">
        <f ca="1"/>
      </c>
      <c r="CQ385">
        <f ca="1"/>
      </c>
      <c r="CR385">
        <f ca="1"/>
      </c>
      <c r="CS385">
        <f ca="1"/>
      </c>
      <c r="CT385">
        <f ca="1"/>
      </c>
      <c r="CU385">
        <f ca="1"/>
      </c>
      <c r="CV385">
        <f ca="1"/>
      </c>
      <c r="CW385">
        <f ca="1"/>
      </c>
      <c r="CX385">
        <f ca="1"/>
      </c>
      <c r="CY385">
        <f ca="1"/>
      </c>
      <c r="CZ385">
        <f ca="1"/>
      </c>
      <c r="DA385">
        <f ca="1"/>
      </c>
      <c r="DB385">
        <f ca="1"/>
      </c>
      <c r="DC385">
        <f ca="1"/>
      </c>
      <c r="DD385">
        <f ca="1"/>
      </c>
      <c r="DE385">
        <f ca="1"/>
      </c>
      <c r="DG385">
        <f ca="1"/>
      </c>
      <c r="DH385">
        <f ca="1"/>
      </c>
      <c r="DI385">
        <f ca="1"/>
      </c>
      <c r="DJ385">
        <f ca="1"/>
      </c>
      <c r="DK385">
        <f ca="1"/>
      </c>
      <c r="DL385">
        <f ca="1"/>
      </c>
      <c r="DM385">
        <f ca="1"/>
      </c>
      <c r="DN385">
        <f ca="1"/>
      </c>
      <c r="DO385">
        <f ca="1"/>
      </c>
      <c r="DP385">
        <f ca="1"/>
      </c>
      <c r="DQ385">
        <f ca="1"/>
      </c>
      <c r="DR385">
        <f ca="1"/>
      </c>
      <c r="DS385">
        <f ca="1"/>
      </c>
      <c r="DT385">
        <f ca="1"/>
      </c>
      <c r="DU385">
        <f ca="1"/>
      </c>
      <c r="DV385">
        <f ca="1"/>
      </c>
      <c r="DW385">
        <f ca="1"/>
      </c>
      <c r="DX385">
        <f ca="1"/>
      </c>
      <c r="DY385">
        <f ca="1"/>
      </c>
      <c r="DZ385">
        <f ca="1"/>
      </c>
      <c r="EA385">
        <f ca="1"/>
      </c>
      <c r="EB385">
        <f ca="1"/>
      </c>
      <c r="EC385">
        <f ca="1"/>
      </c>
      <c r="ED385">
        <f ca="1"/>
      </c>
      <c r="EE385">
        <f ca="1"/>
      </c>
      <c r="EF385">
        <f ca="1"/>
      </c>
      <c r="EG385">
        <f ca="1"/>
      </c>
      <c r="EH385">
        <f ca="1"/>
      </c>
      <c r="EI385">
        <f ca="1"/>
      </c>
      <c r="EJ385">
        <f ca="1"/>
      </c>
      <c r="EK385">
        <f ca="1"/>
      </c>
      <c r="EL385">
        <f ca="1"/>
      </c>
      <c r="EM385">
        <f ca="1"/>
      </c>
      <c r="EN385">
        <f ca="1"/>
      </c>
      <c r="EO385">
        <f ca="1"/>
      </c>
      <c r="EP385">
        <f ca="1"/>
      </c>
      <c r="EQ385">
        <f ca="1"/>
      </c>
      <c r="ER385">
        <f ca="1"/>
      </c>
      <c r="ES385">
        <f ca="1"/>
      </c>
      <c r="ET385">
        <f ca="1"/>
      </c>
      <c r="EU385">
        <f ca="1"/>
      </c>
      <c r="EV385">
        <f ca="1"/>
      </c>
      <c r="EW385">
        <f ca="1"/>
      </c>
      <c r="EX385">
        <f ca="1"/>
      </c>
      <c r="EY385">
        <f ca="1"/>
      </c>
      <c r="EZ385">
        <f ca="1"/>
      </c>
      <c r="FA385">
        <f ca="1"/>
      </c>
      <c r="FC385">
        <f ca="1"/>
      </c>
      <c r="FD385">
        <f ca="1"/>
      </c>
      <c r="FE385">
        <f ca="1"/>
      </c>
      <c r="FF385">
        <f ca="1"/>
      </c>
      <c r="FG385">
        <f ca="1"/>
      </c>
      <c r="FH385">
        <f ca="1"/>
      </c>
      <c r="FI385">
        <f ca="1"/>
      </c>
      <c r="FJ385">
        <f ca="1"/>
      </c>
      <c r="FK385">
        <f ca="1"/>
      </c>
      <c r="FL385">
        <f ca="1"/>
      </c>
      <c r="FM385">
        <f ca="1"/>
      </c>
      <c r="FN385">
        <f ca="1"/>
      </c>
      <c r="FO385">
        <f ca="1"/>
      </c>
      <c r="FP385">
        <f ca="1"/>
      </c>
      <c r="FQ385">
        <f ca="1"/>
      </c>
      <c r="FR385">
        <f ca="1"/>
      </c>
      <c r="FS385">
        <f ca="1"/>
      </c>
      <c r="FT385">
        <f ca="1"/>
      </c>
      <c r="FU385">
        <f ca="1"/>
      </c>
      <c r="FV385">
        <f ca="1"/>
      </c>
      <c r="FW385">
        <f ca="1"/>
      </c>
      <c r="FX385">
        <f ca="1"/>
      </c>
      <c r="FY385">
        <f ca="1"/>
      </c>
      <c r="FZ385">
        <f ca="1"/>
      </c>
      <c r="GA385">
        <f ca="1"/>
      </c>
      <c r="GB385">
        <f ca="1"/>
      </c>
      <c r="GC385">
        <f ca="1"/>
      </c>
      <c r="GD385">
        <f ca="1"/>
      </c>
      <c r="GE385">
        <f ca="1"/>
      </c>
      <c r="GF385">
        <f ca="1"/>
      </c>
      <c r="GG385">
        <f ca="1"/>
      </c>
      <c r="GH385">
        <f ca="1"/>
      </c>
      <c r="GI385">
        <f ca="1"/>
      </c>
      <c r="GJ385">
        <f ca="1"/>
      </c>
      <c r="GK385">
        <f ca="1"/>
      </c>
      <c r="GL385">
        <f ca="1"/>
      </c>
      <c r="GM385">
        <f ca="1"/>
      </c>
      <c r="GN385">
        <f ca="1"/>
      </c>
      <c r="GO385">
        <f ca="1"/>
      </c>
      <c r="GP385">
        <f ca="1"/>
      </c>
      <c r="GQ385">
        <f ca="1"/>
      </c>
      <c r="GR385">
        <f ca="1"/>
      </c>
      <c r="GS385">
        <f ca="1"/>
      </c>
      <c r="GT385">
        <f ca="1"/>
      </c>
      <c r="GU385">
        <f ca="1"/>
      </c>
      <c r="GV385">
        <f ca="1"/>
      </c>
      <c r="GW385">
        <f ca="1"/>
      </c>
      <c r="HI385" s="7"/>
    </row>
    <row r="386" spans="63:217" x14ac:dyDescent="0.55000000000000004">
      <c r="BK386">
        <f ca="1"/>
      </c>
      <c r="BL386">
        <f ca="1"/>
      </c>
      <c r="BM386">
        <f ca="1"/>
      </c>
      <c r="BN386">
        <f ca="1"/>
      </c>
      <c r="BO386">
        <f ca="1"/>
      </c>
      <c r="BP386">
        <f ca="1"/>
      </c>
      <c r="BQ386">
        <f ca="1"/>
      </c>
      <c r="BR386">
        <f ca="1"/>
      </c>
      <c r="BS386">
        <f ca="1"/>
      </c>
      <c r="BT386">
        <f ca="1"/>
      </c>
      <c r="BU386">
        <f ca="1"/>
      </c>
      <c r="BV386">
        <f ca="1"/>
      </c>
      <c r="BW386">
        <f ca="1"/>
      </c>
      <c r="BX386">
        <f ca="1"/>
      </c>
      <c r="BY386">
        <f ca="1"/>
      </c>
      <c r="BZ386">
        <f ca="1"/>
      </c>
      <c r="CA386">
        <f ca="1"/>
      </c>
      <c r="CB386">
        <f ca="1"/>
      </c>
      <c r="CC386">
        <f ca="1"/>
      </c>
      <c r="CD386">
        <f ca="1"/>
      </c>
      <c r="CE386">
        <f ca="1"/>
      </c>
      <c r="CF386">
        <f ca="1"/>
      </c>
      <c r="CG386">
        <f ca="1"/>
      </c>
      <c r="CH386">
        <f ca="1"/>
      </c>
      <c r="CI386">
        <f ca="1"/>
      </c>
      <c r="CJ386">
        <f ca="1"/>
      </c>
      <c r="CK386">
        <f ca="1"/>
      </c>
      <c r="CL386">
        <f ca="1"/>
      </c>
      <c r="CM386">
        <f ca="1"/>
      </c>
      <c r="CN386">
        <f ca="1"/>
      </c>
      <c r="CO386">
        <f ca="1"/>
      </c>
      <c r="CP386">
        <f ca="1"/>
      </c>
      <c r="CQ386">
        <f ca="1"/>
      </c>
      <c r="CR386">
        <f ca="1"/>
      </c>
      <c r="CS386">
        <f ca="1"/>
      </c>
      <c r="CT386">
        <f ca="1"/>
      </c>
      <c r="CU386">
        <f ca="1"/>
      </c>
      <c r="CV386">
        <f ca="1"/>
      </c>
      <c r="CW386">
        <f ca="1"/>
      </c>
      <c r="CX386">
        <f ca="1"/>
      </c>
      <c r="CY386">
        <f ca="1"/>
      </c>
      <c r="CZ386">
        <f ca="1"/>
      </c>
      <c r="DA386">
        <f ca="1"/>
      </c>
      <c r="DB386">
        <f ca="1"/>
      </c>
      <c r="DC386">
        <f ca="1"/>
      </c>
      <c r="DD386">
        <f ca="1"/>
      </c>
      <c r="DE386">
        <f ca="1"/>
      </c>
      <c r="DG386">
        <f ca="1"/>
      </c>
      <c r="DH386">
        <f ca="1"/>
      </c>
      <c r="DI386">
        <f ca="1"/>
      </c>
      <c r="DJ386">
        <f ca="1"/>
      </c>
      <c r="DK386">
        <f ca="1"/>
      </c>
      <c r="DL386">
        <f ca="1"/>
      </c>
      <c r="DM386">
        <f ca="1"/>
      </c>
      <c r="DN386">
        <f ca="1"/>
      </c>
      <c r="DO386">
        <f ca="1"/>
      </c>
      <c r="DP386">
        <f ca="1"/>
      </c>
      <c r="DQ386">
        <f ca="1"/>
      </c>
      <c r="DR386">
        <f ca="1"/>
      </c>
      <c r="DS386">
        <f ca="1"/>
      </c>
      <c r="DT386">
        <f ca="1"/>
      </c>
      <c r="DU386">
        <f ca="1"/>
      </c>
      <c r="DV386">
        <f ca="1"/>
      </c>
      <c r="DW386">
        <f ca="1"/>
      </c>
      <c r="DX386">
        <f ca="1"/>
      </c>
      <c r="DY386">
        <f ca="1"/>
      </c>
      <c r="DZ386">
        <f ca="1"/>
      </c>
      <c r="EA386">
        <f ca="1"/>
      </c>
      <c r="EB386">
        <f ca="1"/>
      </c>
      <c r="EC386">
        <f ca="1"/>
      </c>
      <c r="ED386">
        <f ca="1"/>
      </c>
      <c r="EE386">
        <f ca="1"/>
      </c>
      <c r="EF386">
        <f ca="1"/>
      </c>
      <c r="EG386">
        <f ca="1"/>
      </c>
      <c r="EH386">
        <f ca="1"/>
      </c>
      <c r="EI386">
        <f ca="1"/>
      </c>
      <c r="EJ386">
        <f ca="1"/>
      </c>
      <c r="EK386">
        <f ca="1"/>
      </c>
      <c r="EL386">
        <f ca="1"/>
      </c>
      <c r="EM386">
        <f ca="1"/>
      </c>
      <c r="EN386">
        <f ca="1"/>
      </c>
      <c r="EO386">
        <f ca="1"/>
      </c>
      <c r="EP386">
        <f ca="1"/>
      </c>
      <c r="EQ386">
        <f ca="1"/>
      </c>
      <c r="ER386">
        <f ca="1"/>
      </c>
      <c r="ES386">
        <f ca="1"/>
      </c>
      <c r="ET386">
        <f ca="1"/>
      </c>
      <c r="EU386">
        <f ca="1"/>
      </c>
      <c r="EV386">
        <f ca="1"/>
      </c>
      <c r="EW386">
        <f ca="1"/>
      </c>
      <c r="EX386">
        <f ca="1"/>
      </c>
      <c r="EY386">
        <f ca="1"/>
      </c>
      <c r="EZ386">
        <f ca="1"/>
      </c>
      <c r="FA386">
        <f ca="1"/>
      </c>
      <c r="FC386">
        <f ca="1"/>
      </c>
      <c r="FD386">
        <f ca="1"/>
      </c>
      <c r="FE386">
        <f ca="1"/>
      </c>
      <c r="FF386">
        <f ca="1"/>
      </c>
      <c r="FG386">
        <f ca="1"/>
      </c>
      <c r="FH386">
        <f ca="1"/>
      </c>
      <c r="FI386">
        <f ca="1"/>
      </c>
      <c r="FJ386">
        <f ca="1"/>
      </c>
      <c r="FK386">
        <f ca="1"/>
      </c>
      <c r="FL386">
        <f ca="1"/>
      </c>
      <c r="FM386">
        <f ca="1"/>
      </c>
      <c r="FN386">
        <f ca="1"/>
      </c>
      <c r="FO386">
        <f ca="1"/>
      </c>
      <c r="FP386">
        <f ca="1"/>
      </c>
      <c r="FQ386">
        <f ca="1"/>
      </c>
      <c r="FR386">
        <f ca="1"/>
      </c>
      <c r="FS386">
        <f ca="1"/>
      </c>
      <c r="FT386">
        <f ca="1"/>
      </c>
      <c r="FU386">
        <f ca="1"/>
      </c>
      <c r="FV386">
        <f ca="1"/>
      </c>
      <c r="FW386">
        <f ca="1"/>
      </c>
      <c r="FX386">
        <f ca="1"/>
      </c>
      <c r="FY386">
        <f ca="1"/>
      </c>
      <c r="FZ386">
        <f ca="1"/>
      </c>
      <c r="GA386">
        <f ca="1"/>
      </c>
      <c r="GB386">
        <f ca="1"/>
      </c>
      <c r="GC386">
        <f ca="1"/>
      </c>
      <c r="GD386">
        <f ca="1"/>
      </c>
      <c r="GE386">
        <f ca="1"/>
      </c>
      <c r="GF386">
        <f ca="1"/>
      </c>
      <c r="GG386">
        <f ca="1"/>
      </c>
      <c r="GH386">
        <f ca="1"/>
      </c>
      <c r="GI386">
        <f ca="1"/>
      </c>
      <c r="GJ386">
        <f ca="1"/>
      </c>
      <c r="GK386">
        <f ca="1"/>
      </c>
      <c r="GL386">
        <f ca="1"/>
      </c>
      <c r="GM386">
        <f ca="1"/>
      </c>
      <c r="GN386">
        <f ca="1"/>
      </c>
      <c r="GO386">
        <f ca="1"/>
      </c>
      <c r="GP386">
        <f ca="1"/>
      </c>
      <c r="GQ386">
        <f ca="1"/>
      </c>
      <c r="GR386">
        <f ca="1"/>
      </c>
      <c r="GS386">
        <f ca="1"/>
      </c>
      <c r="GT386">
        <f ca="1"/>
      </c>
      <c r="GU386">
        <f ca="1"/>
      </c>
      <c r="GV386">
        <f ca="1"/>
      </c>
      <c r="GW386">
        <f ca="1"/>
      </c>
      <c r="HI386" s="7"/>
    </row>
    <row r="387" spans="63:217" x14ac:dyDescent="0.55000000000000004">
      <c r="BK387">
        <f ca="1"/>
      </c>
      <c r="BL387">
        <f ca="1"/>
      </c>
      <c r="BM387">
        <f ca="1"/>
      </c>
      <c r="BN387">
        <f ca="1"/>
      </c>
      <c r="BO387">
        <f ca="1"/>
      </c>
      <c r="BP387">
        <f ca="1"/>
      </c>
      <c r="BQ387">
        <f ca="1"/>
      </c>
      <c r="BR387">
        <f ca="1"/>
      </c>
      <c r="BS387">
        <f ca="1"/>
      </c>
      <c r="BT387">
        <f ca="1"/>
      </c>
      <c r="BU387">
        <f ca="1"/>
      </c>
      <c r="BV387">
        <f ca="1"/>
      </c>
      <c r="BW387">
        <f ca="1"/>
      </c>
      <c r="BX387">
        <f ca="1"/>
      </c>
      <c r="BY387">
        <f ca="1"/>
      </c>
      <c r="BZ387">
        <f ca="1"/>
      </c>
      <c r="CA387">
        <f ca="1"/>
      </c>
      <c r="CB387">
        <f ca="1"/>
      </c>
      <c r="CC387">
        <f ca="1"/>
      </c>
      <c r="CD387">
        <f ca="1"/>
      </c>
      <c r="CE387">
        <f ca="1"/>
      </c>
      <c r="CF387">
        <f ca="1"/>
      </c>
      <c r="CG387">
        <f ca="1"/>
      </c>
      <c r="CH387">
        <f ca="1"/>
      </c>
      <c r="CI387">
        <f ca="1"/>
      </c>
      <c r="CJ387">
        <f ca="1"/>
      </c>
      <c r="CK387">
        <f ca="1"/>
      </c>
      <c r="CL387">
        <f ca="1"/>
      </c>
      <c r="CM387">
        <f ca="1"/>
      </c>
      <c r="CN387">
        <f ca="1"/>
      </c>
      <c r="CO387">
        <f ca="1"/>
      </c>
      <c r="CP387">
        <f ca="1"/>
      </c>
      <c r="CQ387">
        <f ca="1"/>
      </c>
      <c r="CR387">
        <f ca="1"/>
      </c>
      <c r="CS387">
        <f ca="1"/>
      </c>
      <c r="CT387">
        <f ca="1"/>
      </c>
      <c r="CU387">
        <f ca="1"/>
      </c>
      <c r="CV387">
        <f ca="1"/>
      </c>
      <c r="CW387">
        <f ca="1"/>
      </c>
      <c r="CX387">
        <f ca="1"/>
      </c>
      <c r="CY387">
        <f ca="1"/>
      </c>
      <c r="CZ387">
        <f ca="1"/>
      </c>
      <c r="DA387">
        <f ca="1"/>
      </c>
      <c r="DB387">
        <f ca="1"/>
      </c>
      <c r="DC387">
        <f ca="1"/>
      </c>
      <c r="DD387">
        <f ca="1"/>
      </c>
      <c r="DE387">
        <f ca="1"/>
      </c>
      <c r="DG387">
        <f ca="1"/>
      </c>
      <c r="DH387">
        <f ca="1"/>
      </c>
      <c r="DI387">
        <f ca="1"/>
      </c>
      <c r="DJ387">
        <f ca="1"/>
      </c>
      <c r="DK387">
        <f ca="1"/>
      </c>
      <c r="DL387">
        <f ca="1"/>
      </c>
      <c r="DM387">
        <f ca="1"/>
      </c>
      <c r="DN387">
        <f ca="1"/>
      </c>
      <c r="DO387">
        <f ca="1"/>
      </c>
      <c r="DP387">
        <f ca="1"/>
      </c>
      <c r="DQ387">
        <f ca="1"/>
      </c>
      <c r="DR387">
        <f ca="1"/>
      </c>
      <c r="DS387">
        <f ca="1"/>
      </c>
      <c r="DT387">
        <f ca="1"/>
      </c>
      <c r="DU387">
        <f ca="1"/>
      </c>
      <c r="DV387">
        <f ca="1"/>
      </c>
      <c r="DW387">
        <f ca="1"/>
      </c>
      <c r="DX387">
        <f ca="1"/>
      </c>
      <c r="DY387">
        <f ca="1"/>
      </c>
      <c r="DZ387">
        <f ca="1"/>
      </c>
      <c r="EA387">
        <f ca="1"/>
      </c>
      <c r="EB387">
        <f ca="1"/>
      </c>
      <c r="EC387">
        <f ca="1"/>
      </c>
      <c r="ED387">
        <f ca="1"/>
      </c>
      <c r="EE387">
        <f ca="1"/>
      </c>
      <c r="EF387">
        <f ca="1"/>
      </c>
      <c r="EG387">
        <f ca="1"/>
      </c>
      <c r="EH387">
        <f ca="1"/>
      </c>
      <c r="EI387">
        <f ca="1"/>
      </c>
      <c r="EJ387">
        <f ca="1"/>
      </c>
      <c r="EK387">
        <f ca="1"/>
      </c>
      <c r="EL387">
        <f ca="1"/>
      </c>
      <c r="EM387">
        <f ca="1"/>
      </c>
      <c r="EN387">
        <f ca="1"/>
      </c>
      <c r="EO387">
        <f ca="1"/>
      </c>
      <c r="EP387">
        <f ca="1"/>
      </c>
      <c r="EQ387">
        <f ca="1"/>
      </c>
      <c r="ER387">
        <f ca="1"/>
      </c>
      <c r="ES387">
        <f ca="1"/>
      </c>
      <c r="ET387">
        <f ca="1"/>
      </c>
      <c r="EU387">
        <f ca="1"/>
      </c>
      <c r="EV387">
        <f ca="1"/>
      </c>
      <c r="EW387">
        <f ca="1"/>
      </c>
      <c r="EX387">
        <f ca="1"/>
      </c>
      <c r="EY387">
        <f ca="1"/>
      </c>
      <c r="EZ387">
        <f ca="1"/>
      </c>
      <c r="FA387">
        <f ca="1"/>
      </c>
      <c r="FC387">
        <f ca="1"/>
      </c>
      <c r="FD387">
        <f ca="1"/>
      </c>
      <c r="FE387">
        <f ca="1"/>
      </c>
      <c r="FF387">
        <f ca="1"/>
      </c>
      <c r="FG387">
        <f ca="1"/>
      </c>
      <c r="FH387">
        <f ca="1"/>
      </c>
      <c r="FI387">
        <f ca="1"/>
      </c>
      <c r="FJ387">
        <f ca="1"/>
      </c>
      <c r="FK387">
        <f ca="1"/>
      </c>
      <c r="FL387">
        <f ca="1"/>
      </c>
      <c r="FM387">
        <f ca="1"/>
      </c>
      <c r="FN387">
        <f ca="1"/>
      </c>
      <c r="FO387">
        <f ca="1"/>
      </c>
      <c r="FP387">
        <f ca="1"/>
      </c>
      <c r="FQ387">
        <f ca="1"/>
      </c>
      <c r="FR387">
        <f ca="1"/>
      </c>
      <c r="FS387">
        <f ca="1"/>
      </c>
      <c r="FT387">
        <f ca="1"/>
      </c>
      <c r="FU387">
        <f ca="1"/>
      </c>
      <c r="FV387">
        <f ca="1"/>
      </c>
      <c r="FW387">
        <f ca="1"/>
      </c>
      <c r="FX387">
        <f ca="1"/>
      </c>
      <c r="FY387">
        <f ca="1"/>
      </c>
      <c r="FZ387">
        <f ca="1"/>
      </c>
      <c r="GA387">
        <f ca="1"/>
      </c>
      <c r="GB387">
        <f ca="1"/>
      </c>
      <c r="GC387">
        <f ca="1"/>
      </c>
      <c r="GD387">
        <f ca="1"/>
      </c>
      <c r="GE387">
        <f ca="1"/>
      </c>
      <c r="GF387">
        <f ca="1"/>
      </c>
      <c r="GG387">
        <f ca="1"/>
      </c>
      <c r="GH387">
        <f ca="1"/>
      </c>
      <c r="GI387">
        <f ca="1"/>
      </c>
      <c r="GJ387">
        <f ca="1"/>
      </c>
      <c r="GK387">
        <f ca="1"/>
      </c>
      <c r="GL387">
        <f ca="1"/>
      </c>
      <c r="GM387">
        <f ca="1"/>
      </c>
      <c r="GN387">
        <f ca="1"/>
      </c>
      <c r="GO387">
        <f ca="1"/>
      </c>
      <c r="GP387">
        <f ca="1"/>
      </c>
      <c r="GQ387">
        <f ca="1"/>
      </c>
      <c r="GR387">
        <f ca="1"/>
      </c>
      <c r="GS387">
        <f ca="1"/>
      </c>
      <c r="GT387">
        <f ca="1"/>
      </c>
      <c r="GU387">
        <f ca="1"/>
      </c>
      <c r="GV387">
        <f ca="1"/>
      </c>
      <c r="GW387">
        <f ca="1"/>
      </c>
      <c r="HI387" s="7"/>
    </row>
    <row r="388" spans="63:217" x14ac:dyDescent="0.55000000000000004">
      <c r="BK388">
        <f ca="1"/>
      </c>
      <c r="BL388">
        <f ca="1"/>
      </c>
      <c r="BM388">
        <f ca="1"/>
      </c>
      <c r="BN388">
        <f ca="1"/>
      </c>
      <c r="BO388">
        <f ca="1"/>
      </c>
      <c r="BP388">
        <f ca="1"/>
      </c>
      <c r="BQ388">
        <f ca="1"/>
      </c>
      <c r="BR388">
        <f ca="1"/>
      </c>
      <c r="BS388">
        <f ca="1"/>
      </c>
      <c r="BT388">
        <f ca="1"/>
      </c>
      <c r="BU388">
        <f ca="1"/>
      </c>
      <c r="BV388">
        <f ca="1"/>
      </c>
      <c r="BW388">
        <f ca="1"/>
      </c>
      <c r="BX388">
        <f ca="1"/>
      </c>
      <c r="BY388">
        <f ca="1"/>
      </c>
      <c r="BZ388">
        <f ca="1"/>
      </c>
      <c r="CA388">
        <f ca="1"/>
      </c>
      <c r="CB388">
        <f ca="1"/>
      </c>
      <c r="CC388">
        <f ca="1"/>
      </c>
      <c r="CD388">
        <f ca="1"/>
      </c>
      <c r="CE388">
        <f ca="1"/>
      </c>
      <c r="CF388">
        <f ca="1"/>
      </c>
      <c r="CG388">
        <f ca="1"/>
      </c>
      <c r="CH388">
        <f ca="1"/>
      </c>
      <c r="CI388">
        <f ca="1"/>
      </c>
      <c r="CJ388">
        <f ca="1"/>
      </c>
      <c r="CK388">
        <f ca="1"/>
      </c>
      <c r="CL388">
        <f ca="1"/>
      </c>
      <c r="CM388">
        <f ca="1"/>
      </c>
      <c r="CN388">
        <f ca="1"/>
      </c>
      <c r="CO388">
        <f ca="1"/>
      </c>
      <c r="CP388">
        <f ca="1"/>
      </c>
      <c r="CQ388">
        <f ca="1"/>
      </c>
      <c r="CR388">
        <f ca="1"/>
      </c>
      <c r="CS388">
        <f ca="1"/>
      </c>
      <c r="CT388">
        <f ca="1"/>
      </c>
      <c r="CU388">
        <f ca="1"/>
      </c>
      <c r="CV388">
        <f ca="1"/>
      </c>
      <c r="CW388">
        <f ca="1"/>
      </c>
      <c r="CX388">
        <f ca="1"/>
      </c>
      <c r="CY388">
        <f ca="1"/>
      </c>
      <c r="CZ388">
        <f ca="1"/>
      </c>
      <c r="DA388">
        <f ca="1"/>
      </c>
      <c r="DB388">
        <f ca="1"/>
      </c>
      <c r="DC388">
        <f ca="1"/>
      </c>
      <c r="DD388">
        <f ca="1"/>
      </c>
      <c r="DE388">
        <f ca="1"/>
      </c>
      <c r="DG388">
        <f ca="1"/>
      </c>
      <c r="DH388">
        <f ca="1"/>
      </c>
      <c r="DI388">
        <f ca="1"/>
      </c>
      <c r="DJ388">
        <f ca="1"/>
      </c>
      <c r="DK388">
        <f ca="1"/>
      </c>
      <c r="DL388">
        <f ca="1"/>
      </c>
      <c r="DM388">
        <f ca="1"/>
      </c>
      <c r="DN388">
        <f ca="1"/>
      </c>
      <c r="DO388">
        <f ca="1"/>
      </c>
      <c r="DP388">
        <f ca="1"/>
      </c>
      <c r="DQ388">
        <f ca="1"/>
      </c>
      <c r="DR388">
        <f ca="1"/>
      </c>
      <c r="DS388">
        <f ca="1"/>
      </c>
      <c r="DT388">
        <f ca="1"/>
      </c>
      <c r="DU388">
        <f ca="1"/>
      </c>
      <c r="DV388">
        <f ca="1"/>
      </c>
      <c r="DW388">
        <f ca="1"/>
      </c>
      <c r="DX388">
        <f ca="1"/>
      </c>
      <c r="DY388">
        <f ca="1"/>
      </c>
      <c r="DZ388">
        <f ca="1"/>
      </c>
      <c r="EA388">
        <f ca="1"/>
      </c>
      <c r="EB388">
        <f ca="1"/>
      </c>
      <c r="EC388">
        <f ca="1"/>
      </c>
      <c r="ED388">
        <f ca="1"/>
      </c>
      <c r="EE388">
        <f ca="1"/>
      </c>
      <c r="EF388">
        <f ca="1"/>
      </c>
      <c r="EG388">
        <f ca="1"/>
      </c>
      <c r="EH388">
        <f ca="1"/>
      </c>
      <c r="EI388">
        <f ca="1"/>
      </c>
      <c r="EJ388">
        <f ca="1"/>
      </c>
      <c r="EK388">
        <f ca="1"/>
      </c>
      <c r="EL388">
        <f ca="1"/>
      </c>
      <c r="EM388">
        <f ca="1"/>
      </c>
      <c r="EN388">
        <f ca="1"/>
      </c>
      <c r="EO388">
        <f ca="1"/>
      </c>
      <c r="EP388">
        <f ca="1"/>
      </c>
      <c r="EQ388">
        <f ca="1"/>
      </c>
      <c r="ER388">
        <f ca="1"/>
      </c>
      <c r="ES388">
        <f ca="1"/>
      </c>
      <c r="ET388">
        <f ca="1"/>
      </c>
      <c r="EU388">
        <f ca="1"/>
      </c>
      <c r="EV388">
        <f ca="1"/>
      </c>
      <c r="EW388">
        <f ca="1"/>
      </c>
      <c r="EX388">
        <f ca="1"/>
      </c>
      <c r="EY388">
        <f ca="1"/>
      </c>
      <c r="EZ388">
        <f ca="1"/>
      </c>
      <c r="FA388">
        <f ca="1"/>
      </c>
      <c r="FC388">
        <f ca="1"/>
      </c>
      <c r="FD388">
        <f ca="1"/>
      </c>
      <c r="FE388">
        <f ca="1"/>
      </c>
      <c r="FF388">
        <f ca="1"/>
      </c>
      <c r="FG388">
        <f ca="1"/>
      </c>
      <c r="FH388">
        <f ca="1"/>
      </c>
      <c r="FI388">
        <f ca="1"/>
      </c>
      <c r="FJ388">
        <f ca="1"/>
      </c>
      <c r="FK388">
        <f ca="1"/>
      </c>
      <c r="FL388">
        <f ca="1"/>
      </c>
      <c r="FM388">
        <f ca="1"/>
      </c>
      <c r="FN388">
        <f ca="1"/>
      </c>
      <c r="FO388">
        <f ca="1"/>
      </c>
      <c r="FP388">
        <f ca="1"/>
      </c>
      <c r="FQ388">
        <f ca="1"/>
      </c>
      <c r="FR388">
        <f ca="1"/>
      </c>
      <c r="FS388">
        <f ca="1"/>
      </c>
      <c r="FT388">
        <f ca="1"/>
      </c>
      <c r="FU388">
        <f ca="1"/>
      </c>
      <c r="FV388">
        <f ca="1"/>
      </c>
      <c r="FW388">
        <f ca="1"/>
      </c>
      <c r="FX388">
        <f ca="1"/>
      </c>
      <c r="FY388">
        <f ca="1"/>
      </c>
      <c r="FZ388">
        <f ca="1"/>
      </c>
      <c r="GA388">
        <f ca="1"/>
      </c>
      <c r="GB388">
        <f ca="1"/>
      </c>
      <c r="GC388">
        <f ca="1"/>
      </c>
      <c r="GD388">
        <f ca="1"/>
      </c>
      <c r="GE388">
        <f ca="1"/>
      </c>
      <c r="GF388">
        <f ca="1"/>
      </c>
      <c r="GG388">
        <f ca="1"/>
      </c>
      <c r="GH388">
        <f ca="1"/>
      </c>
      <c r="GI388">
        <f ca="1"/>
      </c>
      <c r="GJ388">
        <f ca="1"/>
      </c>
      <c r="GK388">
        <f ca="1"/>
      </c>
      <c r="GL388">
        <f ca="1"/>
      </c>
      <c r="GM388">
        <f ca="1"/>
      </c>
      <c r="GN388">
        <f ca="1"/>
      </c>
      <c r="GO388">
        <f ca="1"/>
      </c>
      <c r="GP388">
        <f ca="1"/>
      </c>
      <c r="GQ388">
        <f ca="1"/>
      </c>
      <c r="GR388">
        <f ca="1"/>
      </c>
      <c r="GS388">
        <f ca="1"/>
      </c>
      <c r="GT388">
        <f ca="1"/>
      </c>
      <c r="GU388">
        <f ca="1"/>
      </c>
      <c r="GV388">
        <f ca="1"/>
      </c>
      <c r="GW388">
        <f ca="1"/>
      </c>
      <c r="HI388" s="7"/>
    </row>
    <row r="389" spans="63:217" x14ac:dyDescent="0.55000000000000004">
      <c r="BK389">
        <f ca="1"/>
      </c>
      <c r="BL389">
        <f ca="1"/>
      </c>
      <c r="BM389">
        <f ca="1"/>
      </c>
      <c r="BN389">
        <f ca="1"/>
      </c>
      <c r="BO389">
        <f ca="1"/>
      </c>
      <c r="BP389">
        <f ca="1"/>
      </c>
      <c r="BQ389">
        <f ca="1"/>
      </c>
      <c r="BR389">
        <f ca="1"/>
      </c>
      <c r="BS389">
        <f ca="1"/>
      </c>
      <c r="BT389">
        <f ca="1"/>
      </c>
      <c r="BU389">
        <f ca="1"/>
      </c>
      <c r="BV389">
        <f ca="1"/>
      </c>
      <c r="BW389">
        <f ca="1"/>
      </c>
      <c r="BX389">
        <f ca="1"/>
      </c>
      <c r="BY389">
        <f ca="1"/>
      </c>
      <c r="BZ389">
        <f ca="1"/>
      </c>
      <c r="CA389">
        <f ca="1"/>
      </c>
      <c r="CB389">
        <f ca="1"/>
      </c>
      <c r="CC389">
        <f ca="1"/>
      </c>
      <c r="CD389">
        <f ca="1"/>
      </c>
      <c r="CE389">
        <f ca="1"/>
      </c>
      <c r="CF389">
        <f ca="1"/>
      </c>
      <c r="CG389">
        <f ca="1"/>
      </c>
      <c r="CH389">
        <f ca="1"/>
      </c>
      <c r="CI389">
        <f ca="1"/>
      </c>
      <c r="CJ389">
        <f ca="1"/>
      </c>
      <c r="CK389">
        <f ca="1"/>
      </c>
      <c r="CL389">
        <f ca="1"/>
      </c>
      <c r="CM389">
        <f ca="1"/>
      </c>
      <c r="CN389">
        <f ca="1"/>
      </c>
      <c r="CO389">
        <f ca="1"/>
      </c>
      <c r="CP389">
        <f ca="1"/>
      </c>
      <c r="CQ389">
        <f ca="1"/>
      </c>
      <c r="CR389">
        <f ca="1"/>
      </c>
      <c r="CS389">
        <f ca="1"/>
      </c>
      <c r="CT389">
        <f ca="1"/>
      </c>
      <c r="CU389">
        <f ca="1"/>
      </c>
      <c r="CV389">
        <f ca="1"/>
      </c>
      <c r="CW389">
        <f ca="1"/>
      </c>
      <c r="CX389">
        <f ca="1"/>
      </c>
      <c r="CY389">
        <f ca="1"/>
      </c>
      <c r="CZ389">
        <f ca="1"/>
      </c>
      <c r="DA389">
        <f ca="1"/>
      </c>
      <c r="DB389">
        <f ca="1"/>
      </c>
      <c r="DC389">
        <f ca="1"/>
      </c>
      <c r="DD389">
        <f ca="1"/>
      </c>
      <c r="DE389">
        <f ca="1"/>
      </c>
      <c r="DG389">
        <f ca="1"/>
      </c>
      <c r="DH389">
        <f ca="1"/>
      </c>
      <c r="DI389">
        <f ca="1"/>
      </c>
      <c r="DJ389">
        <f ca="1"/>
      </c>
      <c r="DK389">
        <f ca="1"/>
      </c>
      <c r="DL389">
        <f ca="1"/>
      </c>
      <c r="DM389">
        <f ca="1"/>
      </c>
      <c r="DN389">
        <f ca="1"/>
      </c>
      <c r="DO389">
        <f ca="1"/>
      </c>
      <c r="DP389">
        <f ca="1"/>
      </c>
      <c r="DQ389">
        <f ca="1"/>
      </c>
      <c r="DR389">
        <f ca="1"/>
      </c>
      <c r="DS389">
        <f ca="1"/>
      </c>
      <c r="DT389">
        <f ca="1"/>
      </c>
      <c r="DU389">
        <f ca="1"/>
      </c>
      <c r="DV389">
        <f ca="1"/>
      </c>
      <c r="DW389">
        <f ca="1"/>
      </c>
      <c r="DX389">
        <f ca="1"/>
      </c>
      <c r="DY389">
        <f ca="1"/>
      </c>
      <c r="DZ389">
        <f ca="1"/>
      </c>
      <c r="EA389">
        <f ca="1"/>
      </c>
      <c r="EB389">
        <f ca="1"/>
      </c>
      <c r="EC389">
        <f ca="1"/>
      </c>
      <c r="ED389">
        <f ca="1"/>
      </c>
      <c r="EE389">
        <f ca="1"/>
      </c>
      <c r="EF389">
        <f ca="1"/>
      </c>
      <c r="EG389">
        <f ca="1"/>
      </c>
      <c r="EH389">
        <f ca="1"/>
      </c>
      <c r="EI389">
        <f ca="1"/>
      </c>
      <c r="EJ389">
        <f ca="1"/>
      </c>
      <c r="EK389">
        <f ca="1"/>
      </c>
      <c r="EL389">
        <f ca="1"/>
      </c>
      <c r="EM389">
        <f ca="1"/>
      </c>
      <c r="EN389">
        <f ca="1"/>
      </c>
      <c r="EO389">
        <f ca="1"/>
      </c>
      <c r="EP389">
        <f ca="1"/>
      </c>
      <c r="EQ389">
        <f ca="1"/>
      </c>
      <c r="ER389">
        <f ca="1"/>
      </c>
      <c r="ES389">
        <f ca="1"/>
      </c>
      <c r="ET389">
        <f ca="1"/>
      </c>
      <c r="EU389">
        <f ca="1"/>
      </c>
      <c r="EV389">
        <f ca="1"/>
      </c>
      <c r="EW389">
        <f ca="1"/>
      </c>
      <c r="EX389">
        <f ca="1"/>
      </c>
      <c r="EY389">
        <f ca="1"/>
      </c>
      <c r="EZ389">
        <f ca="1"/>
      </c>
      <c r="FA389">
        <f ca="1"/>
      </c>
      <c r="FC389">
        <f ca="1"/>
      </c>
      <c r="FD389">
        <f ca="1"/>
      </c>
      <c r="FE389">
        <f ca="1"/>
      </c>
      <c r="FF389">
        <f ca="1"/>
      </c>
      <c r="FG389">
        <f ca="1"/>
      </c>
      <c r="FH389">
        <f ca="1"/>
      </c>
      <c r="FI389">
        <f ca="1"/>
      </c>
      <c r="FJ389">
        <f ca="1"/>
      </c>
      <c r="FK389">
        <f ca="1"/>
      </c>
      <c r="FL389">
        <f ca="1"/>
      </c>
      <c r="FM389">
        <f ca="1"/>
      </c>
      <c r="FN389">
        <f ca="1"/>
      </c>
      <c r="FO389">
        <f ca="1"/>
      </c>
      <c r="FP389">
        <f ca="1"/>
      </c>
      <c r="FQ389">
        <f ca="1"/>
      </c>
      <c r="FR389">
        <f ca="1"/>
      </c>
      <c r="FS389">
        <f ca="1"/>
      </c>
      <c r="FT389">
        <f ca="1"/>
      </c>
      <c r="FU389">
        <f ca="1"/>
      </c>
      <c r="FV389">
        <f ca="1"/>
      </c>
      <c r="FW389">
        <f ca="1"/>
      </c>
      <c r="FX389">
        <f ca="1"/>
      </c>
      <c r="FY389">
        <f ca="1"/>
      </c>
      <c r="FZ389">
        <f ca="1"/>
      </c>
      <c r="GA389">
        <f ca="1"/>
      </c>
      <c r="GB389">
        <f ca="1"/>
      </c>
      <c r="GC389">
        <f ca="1"/>
      </c>
      <c r="GD389">
        <f ca="1"/>
      </c>
      <c r="GE389">
        <f ca="1"/>
      </c>
      <c r="GF389">
        <f ca="1"/>
      </c>
      <c r="GG389">
        <f ca="1"/>
      </c>
      <c r="GH389">
        <f ca="1"/>
      </c>
      <c r="GI389">
        <f ca="1"/>
      </c>
      <c r="GJ389">
        <f ca="1"/>
      </c>
      <c r="GK389">
        <f ca="1"/>
      </c>
      <c r="GL389">
        <f ca="1"/>
      </c>
      <c r="GM389">
        <f ca="1"/>
      </c>
      <c r="GN389">
        <f ca="1"/>
      </c>
      <c r="GO389">
        <f ca="1"/>
      </c>
      <c r="GP389">
        <f ca="1"/>
      </c>
      <c r="GQ389">
        <f ca="1"/>
      </c>
      <c r="GR389">
        <f ca="1"/>
      </c>
      <c r="GS389">
        <f ca="1"/>
      </c>
      <c r="GT389">
        <f ca="1"/>
      </c>
      <c r="GU389">
        <f ca="1"/>
      </c>
      <c r="GV389">
        <f ca="1"/>
      </c>
      <c r="GW389">
        <f ca="1"/>
      </c>
      <c r="HI389" s="7"/>
    </row>
    <row r="390" spans="63:217" x14ac:dyDescent="0.55000000000000004">
      <c r="BK390">
        <f ca="1"/>
      </c>
      <c r="BL390">
        <f ca="1"/>
      </c>
      <c r="BM390">
        <f ca="1"/>
      </c>
      <c r="BN390">
        <f ca="1"/>
      </c>
      <c r="BO390">
        <f ca="1"/>
      </c>
      <c r="BP390">
        <f ca="1"/>
      </c>
      <c r="BQ390">
        <f ca="1"/>
      </c>
      <c r="BR390">
        <f ca="1"/>
      </c>
      <c r="BS390">
        <f ca="1"/>
      </c>
      <c r="BT390">
        <f ca="1"/>
      </c>
      <c r="BU390">
        <f ca="1"/>
      </c>
      <c r="BV390">
        <f ca="1"/>
      </c>
      <c r="BW390">
        <f ca="1"/>
      </c>
      <c r="BX390">
        <f ca="1"/>
      </c>
      <c r="BY390">
        <f ca="1"/>
      </c>
      <c r="BZ390">
        <f ca="1"/>
      </c>
      <c r="CA390">
        <f ca="1"/>
      </c>
      <c r="CB390">
        <f ca="1"/>
      </c>
      <c r="CC390">
        <f ca="1"/>
      </c>
      <c r="CD390">
        <f ca="1"/>
      </c>
      <c r="CE390">
        <f ca="1"/>
      </c>
      <c r="CF390">
        <f ca="1"/>
      </c>
      <c r="CG390">
        <f ca="1"/>
      </c>
      <c r="CH390">
        <f ca="1"/>
      </c>
      <c r="CI390">
        <f ca="1"/>
      </c>
      <c r="CJ390">
        <f ca="1"/>
      </c>
      <c r="CK390">
        <f ca="1"/>
      </c>
      <c r="CL390">
        <f ca="1"/>
      </c>
      <c r="CM390">
        <f ca="1"/>
      </c>
      <c r="CN390">
        <f ca="1"/>
      </c>
      <c r="CO390">
        <f ca="1"/>
      </c>
      <c r="CP390">
        <f ca="1"/>
      </c>
      <c r="CQ390">
        <f ca="1"/>
      </c>
      <c r="CR390">
        <f ca="1"/>
      </c>
      <c r="CS390">
        <f ca="1"/>
      </c>
      <c r="CT390">
        <f ca="1"/>
      </c>
      <c r="CU390">
        <f ca="1"/>
      </c>
      <c r="CV390">
        <f ca="1"/>
      </c>
      <c r="CW390">
        <f ca="1"/>
      </c>
      <c r="CX390">
        <f ca="1"/>
      </c>
      <c r="CY390">
        <f ca="1"/>
      </c>
      <c r="CZ390">
        <f ca="1"/>
      </c>
      <c r="DA390">
        <f ca="1"/>
      </c>
      <c r="DB390">
        <f ca="1"/>
      </c>
      <c r="DC390">
        <f ca="1"/>
      </c>
      <c r="DD390">
        <f ca="1"/>
      </c>
      <c r="DE390">
        <f ca="1"/>
      </c>
      <c r="DG390">
        <f ca="1"/>
      </c>
      <c r="DH390">
        <f ca="1"/>
      </c>
      <c r="DI390">
        <f ca="1"/>
      </c>
      <c r="DJ390">
        <f ca="1"/>
      </c>
      <c r="DK390">
        <f ca="1"/>
      </c>
      <c r="DL390">
        <f ca="1"/>
      </c>
      <c r="DM390">
        <f ca="1"/>
      </c>
      <c r="DN390">
        <f ca="1"/>
      </c>
      <c r="DO390">
        <f ca="1"/>
      </c>
      <c r="DP390">
        <f ca="1"/>
      </c>
      <c r="DQ390">
        <f ca="1"/>
      </c>
      <c r="DR390">
        <f ca="1"/>
      </c>
      <c r="DS390">
        <f ca="1"/>
      </c>
      <c r="DT390">
        <f ca="1"/>
      </c>
      <c r="DU390">
        <f ca="1"/>
      </c>
      <c r="DV390">
        <f ca="1"/>
      </c>
      <c r="DW390">
        <f ca="1"/>
      </c>
      <c r="DX390">
        <f ca="1"/>
      </c>
      <c r="DY390">
        <f ca="1"/>
      </c>
      <c r="DZ390">
        <f ca="1"/>
      </c>
      <c r="EA390">
        <f ca="1"/>
      </c>
      <c r="EB390">
        <f ca="1"/>
      </c>
      <c r="EC390">
        <f ca="1"/>
      </c>
      <c r="ED390">
        <f ca="1"/>
      </c>
      <c r="EE390">
        <f ca="1"/>
      </c>
      <c r="EF390">
        <f ca="1"/>
      </c>
      <c r="EG390">
        <f ca="1"/>
      </c>
      <c r="EH390">
        <f ca="1"/>
      </c>
      <c r="EI390">
        <f ca="1"/>
      </c>
      <c r="EJ390">
        <f ca="1"/>
      </c>
      <c r="EK390">
        <f ca="1"/>
      </c>
      <c r="EL390">
        <f ca="1"/>
      </c>
      <c r="EM390">
        <f ca="1"/>
      </c>
      <c r="EN390">
        <f ca="1"/>
      </c>
      <c r="EO390">
        <f ca="1"/>
      </c>
      <c r="EP390">
        <f ca="1"/>
      </c>
      <c r="EQ390">
        <f ca="1"/>
      </c>
      <c r="ER390">
        <f ca="1"/>
      </c>
      <c r="ES390">
        <f ca="1"/>
      </c>
      <c r="ET390">
        <f ca="1"/>
      </c>
      <c r="EU390">
        <f ca="1"/>
      </c>
      <c r="EV390">
        <f ca="1"/>
      </c>
      <c r="EW390">
        <f ca="1"/>
      </c>
      <c r="EX390">
        <f ca="1"/>
      </c>
      <c r="EY390">
        <f ca="1"/>
      </c>
      <c r="EZ390">
        <f ca="1"/>
      </c>
      <c r="FA390">
        <f ca="1"/>
      </c>
      <c r="FC390">
        <f ca="1"/>
      </c>
      <c r="FD390">
        <f ca="1"/>
      </c>
      <c r="FE390">
        <f ca="1"/>
      </c>
      <c r="FF390">
        <f ca="1"/>
      </c>
      <c r="FG390">
        <f ca="1"/>
      </c>
      <c r="FH390">
        <f ca="1"/>
      </c>
      <c r="FI390">
        <f ca="1"/>
      </c>
      <c r="FJ390">
        <f ca="1"/>
      </c>
      <c r="FK390">
        <f ca="1"/>
      </c>
      <c r="FL390">
        <f ca="1"/>
      </c>
      <c r="FM390">
        <f ca="1"/>
      </c>
      <c r="FN390">
        <f ca="1"/>
      </c>
      <c r="FO390">
        <f ca="1"/>
      </c>
      <c r="FP390">
        <f ca="1"/>
      </c>
      <c r="FQ390">
        <f ca="1"/>
      </c>
      <c r="FR390">
        <f ca="1"/>
      </c>
      <c r="FS390">
        <f ca="1"/>
      </c>
      <c r="FT390">
        <f ca="1"/>
      </c>
      <c r="FU390">
        <f ca="1"/>
      </c>
      <c r="FV390">
        <f ca="1"/>
      </c>
      <c r="FW390">
        <f ca="1"/>
      </c>
      <c r="FX390">
        <f ca="1"/>
      </c>
      <c r="FY390">
        <f ca="1"/>
      </c>
      <c r="FZ390">
        <f ca="1"/>
      </c>
      <c r="GA390">
        <f ca="1"/>
      </c>
      <c r="GB390">
        <f ca="1"/>
      </c>
      <c r="GC390">
        <f ca="1"/>
      </c>
      <c r="GD390">
        <f ca="1"/>
      </c>
      <c r="GE390">
        <f ca="1"/>
      </c>
      <c r="GF390">
        <f ca="1"/>
      </c>
      <c r="GG390">
        <f ca="1"/>
      </c>
      <c r="GH390">
        <f ca="1"/>
      </c>
      <c r="GI390">
        <f ca="1"/>
      </c>
      <c r="GJ390">
        <f ca="1"/>
      </c>
      <c r="GK390">
        <f ca="1"/>
      </c>
      <c r="GL390">
        <f ca="1"/>
      </c>
      <c r="GM390">
        <f ca="1"/>
      </c>
      <c r="GN390">
        <f ca="1"/>
      </c>
      <c r="GO390">
        <f ca="1"/>
      </c>
      <c r="GP390">
        <f ca="1"/>
      </c>
      <c r="GQ390">
        <f ca="1"/>
      </c>
      <c r="GR390">
        <f ca="1"/>
      </c>
      <c r="GS390">
        <f ca="1"/>
      </c>
      <c r="GT390">
        <f ca="1"/>
      </c>
      <c r="GU390">
        <f ca="1"/>
      </c>
      <c r="GV390">
        <f ca="1"/>
      </c>
      <c r="GW390">
        <f ca="1"/>
      </c>
      <c r="HI390" s="7"/>
    </row>
    <row r="391" spans="63:217" x14ac:dyDescent="0.55000000000000004">
      <c r="BK391">
        <f ca="1"/>
      </c>
      <c r="BL391">
        <f ca="1"/>
      </c>
      <c r="BM391">
        <f ca="1"/>
      </c>
      <c r="BN391">
        <f ca="1"/>
      </c>
      <c r="BO391">
        <f ca="1"/>
      </c>
      <c r="BP391">
        <f ca="1"/>
      </c>
      <c r="BQ391">
        <f ca="1"/>
      </c>
      <c r="BR391">
        <f ca="1"/>
      </c>
      <c r="BS391">
        <f ca="1"/>
      </c>
      <c r="BT391">
        <f ca="1"/>
      </c>
      <c r="BU391">
        <f ca="1"/>
      </c>
      <c r="BV391">
        <f ca="1"/>
      </c>
      <c r="BW391">
        <f ca="1"/>
      </c>
      <c r="BX391">
        <f ca="1"/>
      </c>
      <c r="BY391">
        <f ca="1"/>
      </c>
      <c r="BZ391">
        <f ca="1"/>
      </c>
      <c r="CA391">
        <f ca="1"/>
      </c>
      <c r="CB391">
        <f ca="1"/>
      </c>
      <c r="CC391">
        <f ca="1"/>
      </c>
      <c r="CD391">
        <f ca="1"/>
      </c>
      <c r="CE391">
        <f ca="1"/>
      </c>
      <c r="CF391">
        <f ca="1"/>
      </c>
      <c r="CG391">
        <f ca="1"/>
      </c>
      <c r="CH391">
        <f ca="1"/>
      </c>
      <c r="CI391">
        <f ca="1"/>
      </c>
      <c r="CJ391">
        <f ca="1"/>
      </c>
      <c r="CK391">
        <f ca="1"/>
      </c>
      <c r="CL391">
        <f ca="1"/>
      </c>
      <c r="CM391">
        <f ca="1"/>
      </c>
      <c r="CN391">
        <f ca="1"/>
      </c>
      <c r="CO391">
        <f ca="1"/>
      </c>
      <c r="CP391">
        <f ca="1"/>
      </c>
      <c r="CQ391">
        <f ca="1"/>
      </c>
      <c r="CR391">
        <f ca="1"/>
      </c>
      <c r="CS391">
        <f ca="1"/>
      </c>
      <c r="CT391">
        <f ca="1"/>
      </c>
      <c r="CU391">
        <f ca="1"/>
      </c>
      <c r="CV391">
        <f ca="1"/>
      </c>
      <c r="CW391">
        <f ca="1"/>
      </c>
      <c r="CX391">
        <f ca="1"/>
      </c>
      <c r="CY391">
        <f ca="1"/>
      </c>
      <c r="CZ391">
        <f ca="1"/>
      </c>
      <c r="DA391">
        <f ca="1"/>
      </c>
      <c r="DB391">
        <f ca="1"/>
      </c>
      <c r="DC391">
        <f ca="1"/>
      </c>
      <c r="DD391">
        <f ca="1"/>
      </c>
      <c r="DE391">
        <f ca="1"/>
      </c>
      <c r="DG391">
        <f ca="1"/>
      </c>
      <c r="DH391">
        <f ca="1"/>
      </c>
      <c r="DI391">
        <f ca="1"/>
      </c>
      <c r="DJ391">
        <f ca="1"/>
      </c>
      <c r="DK391">
        <f ca="1"/>
      </c>
      <c r="DL391">
        <f ca="1"/>
      </c>
      <c r="DM391">
        <f ca="1"/>
      </c>
      <c r="DN391">
        <f ca="1"/>
      </c>
      <c r="DO391">
        <f ca="1"/>
      </c>
      <c r="DP391">
        <f ca="1"/>
      </c>
      <c r="DQ391">
        <f ca="1"/>
      </c>
      <c r="DR391">
        <f ca="1"/>
      </c>
      <c r="DS391">
        <f ca="1"/>
      </c>
      <c r="DT391">
        <f ca="1"/>
      </c>
      <c r="DU391">
        <f ca="1"/>
      </c>
      <c r="DV391">
        <f ca="1"/>
      </c>
      <c r="DW391">
        <f ca="1"/>
      </c>
      <c r="DX391">
        <f ca="1"/>
      </c>
      <c r="DY391">
        <f ca="1"/>
      </c>
      <c r="DZ391">
        <f ca="1"/>
      </c>
      <c r="EA391">
        <f ca="1"/>
      </c>
      <c r="EB391">
        <f ca="1"/>
      </c>
      <c r="EC391">
        <f ca="1"/>
      </c>
      <c r="ED391">
        <f ca="1"/>
      </c>
      <c r="EE391">
        <f ca="1"/>
      </c>
      <c r="EF391">
        <f ca="1"/>
      </c>
      <c r="EG391">
        <f ca="1"/>
      </c>
      <c r="EH391">
        <f ca="1"/>
      </c>
      <c r="EI391">
        <f ca="1"/>
      </c>
      <c r="EJ391">
        <f ca="1"/>
      </c>
      <c r="EK391">
        <f ca="1"/>
      </c>
      <c r="EL391">
        <f ca="1"/>
      </c>
      <c r="EM391">
        <f ca="1"/>
      </c>
      <c r="EN391">
        <f ca="1"/>
      </c>
      <c r="EO391">
        <f ca="1"/>
      </c>
      <c r="EP391">
        <f ca="1"/>
      </c>
      <c r="EQ391">
        <f ca="1"/>
      </c>
      <c r="ER391">
        <f ca="1"/>
      </c>
      <c r="ES391">
        <f ca="1"/>
      </c>
      <c r="ET391">
        <f ca="1"/>
      </c>
      <c r="EU391">
        <f ca="1"/>
      </c>
      <c r="EV391">
        <f ca="1"/>
      </c>
      <c r="EW391">
        <f ca="1"/>
      </c>
      <c r="EX391">
        <f ca="1"/>
      </c>
      <c r="EY391">
        <f ca="1"/>
      </c>
      <c r="EZ391">
        <f ca="1"/>
      </c>
      <c r="FA391">
        <f ca="1"/>
      </c>
      <c r="FC391">
        <f ca="1"/>
      </c>
      <c r="FD391">
        <f ca="1"/>
      </c>
      <c r="FE391">
        <f ca="1"/>
      </c>
      <c r="FF391">
        <f ca="1"/>
      </c>
      <c r="FG391">
        <f ca="1"/>
      </c>
      <c r="FH391">
        <f ca="1"/>
      </c>
      <c r="FI391">
        <f ca="1"/>
      </c>
      <c r="FJ391">
        <f ca="1"/>
      </c>
      <c r="FK391">
        <f ca="1"/>
      </c>
      <c r="FL391">
        <f ca="1"/>
      </c>
      <c r="FM391">
        <f ca="1"/>
      </c>
      <c r="FN391">
        <f ca="1"/>
      </c>
      <c r="FO391">
        <f ca="1"/>
      </c>
      <c r="FP391">
        <f ca="1"/>
      </c>
      <c r="FQ391">
        <f ca="1"/>
      </c>
      <c r="FR391">
        <f ca="1"/>
      </c>
      <c r="FS391">
        <f ca="1"/>
      </c>
      <c r="FT391">
        <f ca="1"/>
      </c>
      <c r="FU391">
        <f ca="1"/>
      </c>
      <c r="FV391">
        <f ca="1"/>
      </c>
      <c r="FW391">
        <f ca="1"/>
      </c>
      <c r="FX391">
        <f ca="1"/>
      </c>
      <c r="FY391">
        <f ca="1"/>
      </c>
      <c r="FZ391">
        <f ca="1"/>
      </c>
      <c r="GA391">
        <f ca="1"/>
      </c>
      <c r="GB391">
        <f ca="1"/>
      </c>
      <c r="GC391">
        <f ca="1"/>
      </c>
      <c r="GD391">
        <f ca="1"/>
      </c>
      <c r="GE391">
        <f ca="1"/>
      </c>
      <c r="GF391">
        <f ca="1"/>
      </c>
      <c r="GG391">
        <f ca="1"/>
      </c>
      <c r="GH391">
        <f ca="1"/>
      </c>
      <c r="GI391">
        <f ca="1"/>
      </c>
      <c r="GJ391">
        <f ca="1"/>
      </c>
      <c r="GK391">
        <f ca="1"/>
      </c>
      <c r="GL391">
        <f ca="1"/>
      </c>
      <c r="GM391">
        <f ca="1"/>
      </c>
      <c r="GN391">
        <f ca="1"/>
      </c>
      <c r="GO391">
        <f ca="1"/>
      </c>
      <c r="GP391">
        <f ca="1"/>
      </c>
      <c r="GQ391">
        <f ca="1"/>
      </c>
      <c r="GR391">
        <f ca="1"/>
      </c>
      <c r="GS391">
        <f ca="1"/>
      </c>
      <c r="GT391">
        <f ca="1"/>
      </c>
      <c r="GU391">
        <f ca="1"/>
      </c>
      <c r="GV391">
        <f ca="1"/>
      </c>
      <c r="GW391">
        <f ca="1"/>
      </c>
      <c r="HI391" s="7"/>
    </row>
    <row r="392" spans="63:217" x14ac:dyDescent="0.55000000000000004">
      <c r="BK392">
        <f ca="1"/>
      </c>
      <c r="BL392">
        <f ca="1"/>
      </c>
      <c r="BM392">
        <f ca="1"/>
      </c>
      <c r="BN392">
        <f ca="1"/>
      </c>
      <c r="BO392">
        <f ca="1"/>
      </c>
      <c r="BP392">
        <f ca="1"/>
      </c>
      <c r="BQ392">
        <f ca="1"/>
      </c>
      <c r="BR392">
        <f ca="1"/>
      </c>
      <c r="BS392">
        <f ca="1"/>
      </c>
      <c r="BT392">
        <f ca="1"/>
      </c>
      <c r="BU392">
        <f ca="1"/>
      </c>
      <c r="BV392">
        <f ca="1"/>
      </c>
      <c r="BW392">
        <f ca="1"/>
      </c>
      <c r="BX392">
        <f ca="1"/>
      </c>
      <c r="BY392">
        <f ca="1"/>
      </c>
      <c r="BZ392">
        <f ca="1"/>
      </c>
      <c r="CA392">
        <f ca="1"/>
      </c>
      <c r="CB392">
        <f ca="1"/>
      </c>
      <c r="CC392">
        <f ca="1"/>
      </c>
      <c r="CD392">
        <f ca="1"/>
      </c>
      <c r="CE392">
        <f ca="1"/>
      </c>
      <c r="CF392">
        <f ca="1"/>
      </c>
      <c r="CG392">
        <f ca="1"/>
      </c>
      <c r="CH392">
        <f ca="1"/>
      </c>
      <c r="CI392">
        <f ca="1"/>
      </c>
      <c r="CJ392">
        <f ca="1"/>
      </c>
      <c r="CK392">
        <f ca="1"/>
      </c>
      <c r="CL392">
        <f ca="1"/>
      </c>
      <c r="CM392">
        <f ca="1"/>
      </c>
      <c r="CN392">
        <f ca="1"/>
      </c>
      <c r="CO392">
        <f ca="1"/>
      </c>
      <c r="CP392">
        <f ca="1"/>
      </c>
      <c r="CQ392">
        <f ca="1"/>
      </c>
      <c r="CR392">
        <f ca="1"/>
      </c>
      <c r="CS392">
        <f ca="1"/>
      </c>
      <c r="CT392">
        <f ca="1"/>
      </c>
      <c r="CU392">
        <f ca="1"/>
      </c>
      <c r="CV392">
        <f ca="1"/>
      </c>
      <c r="CW392">
        <f ca="1"/>
      </c>
      <c r="CX392">
        <f ca="1"/>
      </c>
      <c r="CY392">
        <f ca="1"/>
      </c>
      <c r="CZ392">
        <f ca="1"/>
      </c>
      <c r="DA392">
        <f ca="1"/>
      </c>
      <c r="DB392">
        <f ca="1"/>
      </c>
      <c r="DC392">
        <f ca="1"/>
      </c>
      <c r="DD392">
        <f ca="1"/>
      </c>
      <c r="DE392">
        <f ca="1"/>
      </c>
      <c r="DG392">
        <f ca="1"/>
      </c>
      <c r="DH392">
        <f ca="1"/>
      </c>
      <c r="DI392">
        <f ca="1"/>
      </c>
      <c r="DJ392">
        <f ca="1"/>
      </c>
      <c r="DK392">
        <f ca="1"/>
      </c>
      <c r="DL392">
        <f ca="1"/>
      </c>
      <c r="DM392">
        <f ca="1"/>
      </c>
      <c r="DN392">
        <f ca="1"/>
      </c>
      <c r="DO392">
        <f ca="1"/>
      </c>
      <c r="DP392">
        <f ca="1"/>
      </c>
      <c r="DQ392">
        <f ca="1"/>
      </c>
      <c r="DR392">
        <f ca="1"/>
      </c>
      <c r="DS392">
        <f ca="1"/>
      </c>
      <c r="DT392">
        <f ca="1"/>
      </c>
      <c r="DU392">
        <f ca="1"/>
      </c>
      <c r="DV392">
        <f ca="1"/>
      </c>
      <c r="DW392">
        <f ca="1"/>
      </c>
      <c r="DX392">
        <f ca="1"/>
      </c>
      <c r="DY392">
        <f ca="1"/>
      </c>
      <c r="DZ392">
        <f ca="1"/>
      </c>
      <c r="EA392">
        <f ca="1"/>
      </c>
      <c r="EB392">
        <f ca="1"/>
      </c>
      <c r="EC392">
        <f ca="1"/>
      </c>
      <c r="ED392">
        <f ca="1"/>
      </c>
      <c r="EE392">
        <f ca="1"/>
      </c>
      <c r="EF392">
        <f ca="1"/>
      </c>
      <c r="EG392">
        <f ca="1"/>
      </c>
      <c r="EH392">
        <f ca="1"/>
      </c>
      <c r="EI392">
        <f ca="1"/>
      </c>
      <c r="EJ392">
        <f ca="1"/>
      </c>
      <c r="EK392">
        <f ca="1"/>
      </c>
      <c r="EL392">
        <f ca="1"/>
      </c>
      <c r="EM392">
        <f ca="1"/>
      </c>
      <c r="EN392">
        <f ca="1"/>
      </c>
      <c r="EO392">
        <f ca="1"/>
      </c>
      <c r="EP392">
        <f ca="1"/>
      </c>
      <c r="EQ392">
        <f ca="1"/>
      </c>
      <c r="ER392">
        <f ca="1"/>
      </c>
      <c r="ES392">
        <f ca="1"/>
      </c>
      <c r="ET392">
        <f ca="1"/>
      </c>
      <c r="EU392">
        <f ca="1"/>
      </c>
      <c r="EV392">
        <f ca="1"/>
      </c>
      <c r="EW392">
        <f ca="1"/>
      </c>
      <c r="EX392">
        <f ca="1"/>
      </c>
      <c r="EY392">
        <f ca="1"/>
      </c>
      <c r="EZ392">
        <f ca="1"/>
      </c>
      <c r="FA392">
        <f ca="1"/>
      </c>
      <c r="FC392">
        <f ca="1"/>
      </c>
      <c r="FD392">
        <f ca="1"/>
      </c>
      <c r="FE392">
        <f ca="1"/>
      </c>
      <c r="FF392">
        <f ca="1"/>
      </c>
      <c r="FG392">
        <f ca="1"/>
      </c>
      <c r="FH392">
        <f ca="1"/>
      </c>
      <c r="FI392">
        <f ca="1"/>
      </c>
      <c r="FJ392">
        <f ca="1"/>
      </c>
      <c r="FK392">
        <f ca="1"/>
      </c>
      <c r="FL392">
        <f ca="1"/>
      </c>
      <c r="FM392">
        <f ca="1"/>
      </c>
      <c r="FN392">
        <f ca="1"/>
      </c>
      <c r="FO392">
        <f ca="1"/>
      </c>
      <c r="FP392">
        <f ca="1"/>
      </c>
      <c r="FQ392">
        <f ca="1"/>
      </c>
      <c r="FR392">
        <f ca="1"/>
      </c>
      <c r="FS392">
        <f ca="1"/>
      </c>
      <c r="FT392">
        <f ca="1"/>
      </c>
      <c r="FU392">
        <f ca="1"/>
      </c>
      <c r="FV392">
        <f ca="1"/>
      </c>
      <c r="FW392">
        <f ca="1"/>
      </c>
      <c r="FX392">
        <f ca="1"/>
      </c>
      <c r="FY392">
        <f ca="1"/>
      </c>
      <c r="FZ392">
        <f ca="1"/>
      </c>
      <c r="GA392">
        <f ca="1"/>
      </c>
      <c r="GB392">
        <f ca="1"/>
      </c>
      <c r="GC392">
        <f ca="1"/>
      </c>
      <c r="GD392">
        <f ca="1"/>
      </c>
      <c r="GE392">
        <f ca="1"/>
      </c>
      <c r="GF392">
        <f ca="1"/>
      </c>
      <c r="GG392">
        <f ca="1"/>
      </c>
      <c r="GH392">
        <f ca="1"/>
      </c>
      <c r="GI392">
        <f ca="1"/>
      </c>
      <c r="GJ392">
        <f ca="1"/>
      </c>
      <c r="GK392">
        <f ca="1"/>
      </c>
      <c r="GL392">
        <f ca="1"/>
      </c>
      <c r="GM392">
        <f ca="1"/>
      </c>
      <c r="GN392">
        <f ca="1"/>
      </c>
      <c r="GO392">
        <f ca="1"/>
      </c>
      <c r="GP392">
        <f ca="1"/>
      </c>
      <c r="GQ392">
        <f ca="1"/>
      </c>
      <c r="GR392">
        <f ca="1"/>
      </c>
      <c r="GS392">
        <f ca="1"/>
      </c>
      <c r="GT392">
        <f ca="1"/>
      </c>
      <c r="GU392">
        <f ca="1"/>
      </c>
      <c r="GV392">
        <f ca="1"/>
      </c>
      <c r="GW392">
        <f ca="1"/>
      </c>
      <c r="HI392" s="7"/>
    </row>
    <row r="393" spans="63:217" x14ac:dyDescent="0.55000000000000004">
      <c r="BK393">
        <f ca="1"/>
      </c>
      <c r="BL393">
        <f ca="1"/>
      </c>
      <c r="BM393">
        <f ca="1"/>
      </c>
      <c r="BN393">
        <f ca="1"/>
      </c>
      <c r="BO393">
        <f ca="1"/>
      </c>
      <c r="BP393">
        <f ca="1"/>
      </c>
      <c r="BQ393">
        <f ca="1"/>
      </c>
      <c r="BR393">
        <f ca="1"/>
      </c>
      <c r="BS393">
        <f ca="1"/>
      </c>
      <c r="BT393">
        <f ca="1"/>
      </c>
      <c r="BU393">
        <f ca="1"/>
      </c>
      <c r="BV393">
        <f ca="1"/>
      </c>
      <c r="BW393">
        <f ca="1"/>
      </c>
      <c r="BX393">
        <f ca="1"/>
      </c>
      <c r="BY393">
        <f ca="1"/>
      </c>
      <c r="BZ393">
        <f ca="1"/>
      </c>
      <c r="CA393">
        <f ca="1"/>
      </c>
      <c r="CB393">
        <f ca="1"/>
      </c>
      <c r="CC393">
        <f ca="1"/>
      </c>
      <c r="CD393">
        <f ca="1"/>
      </c>
      <c r="CE393">
        <f ca="1"/>
      </c>
      <c r="CF393">
        <f ca="1"/>
      </c>
      <c r="CG393">
        <f ca="1"/>
      </c>
      <c r="CH393">
        <f ca="1"/>
      </c>
      <c r="CI393">
        <f ca="1"/>
      </c>
      <c r="CJ393">
        <f ca="1"/>
      </c>
      <c r="CK393">
        <f ca="1"/>
      </c>
      <c r="CL393">
        <f ca="1"/>
      </c>
      <c r="CM393">
        <f ca="1"/>
      </c>
      <c r="CN393">
        <f ca="1"/>
      </c>
      <c r="CO393">
        <f ca="1"/>
      </c>
      <c r="CP393">
        <f ca="1"/>
      </c>
      <c r="CQ393">
        <f ca="1"/>
      </c>
      <c r="CR393">
        <f ca="1"/>
      </c>
      <c r="CS393">
        <f ca="1"/>
      </c>
      <c r="CT393">
        <f ca="1"/>
      </c>
      <c r="CU393">
        <f ca="1"/>
      </c>
      <c r="CV393">
        <f ca="1"/>
      </c>
      <c r="CW393">
        <f ca="1"/>
      </c>
      <c r="CX393">
        <f ca="1"/>
      </c>
      <c r="CY393">
        <f ca="1"/>
      </c>
      <c r="CZ393">
        <f ca="1"/>
      </c>
      <c r="DA393">
        <f ca="1"/>
      </c>
      <c r="DB393">
        <f ca="1"/>
      </c>
      <c r="DC393">
        <f ca="1"/>
      </c>
      <c r="DD393">
        <f ca="1"/>
      </c>
      <c r="DE393">
        <f ca="1"/>
      </c>
      <c r="DG393">
        <f ca="1"/>
      </c>
      <c r="DH393">
        <f ca="1"/>
      </c>
      <c r="DI393">
        <f ca="1"/>
      </c>
      <c r="DJ393">
        <f ca="1"/>
      </c>
      <c r="DK393">
        <f ca="1"/>
      </c>
      <c r="DL393">
        <f ca="1"/>
      </c>
      <c r="DM393">
        <f ca="1"/>
      </c>
      <c r="DN393">
        <f ca="1"/>
      </c>
      <c r="DO393">
        <f ca="1"/>
      </c>
      <c r="DP393">
        <f ca="1"/>
      </c>
      <c r="DQ393">
        <f ca="1"/>
      </c>
      <c r="DR393">
        <f ca="1"/>
      </c>
      <c r="DS393">
        <f ca="1"/>
      </c>
      <c r="DT393">
        <f ca="1"/>
      </c>
      <c r="DU393">
        <f ca="1"/>
      </c>
      <c r="DV393">
        <f ca="1"/>
      </c>
      <c r="DW393">
        <f ca="1"/>
      </c>
      <c r="DX393">
        <f ca="1"/>
      </c>
      <c r="DY393">
        <f ca="1"/>
      </c>
      <c r="DZ393">
        <f ca="1"/>
      </c>
      <c r="EA393">
        <f ca="1"/>
      </c>
      <c r="EB393">
        <f ca="1"/>
      </c>
      <c r="EC393">
        <f ca="1"/>
      </c>
      <c r="ED393">
        <f ca="1"/>
      </c>
      <c r="EE393">
        <f ca="1"/>
      </c>
      <c r="EF393">
        <f ca="1"/>
      </c>
      <c r="EG393">
        <f ca="1"/>
      </c>
      <c r="EH393">
        <f ca="1"/>
      </c>
      <c r="EI393">
        <f ca="1"/>
      </c>
      <c r="EJ393">
        <f ca="1"/>
      </c>
      <c r="EK393">
        <f ca="1"/>
      </c>
      <c r="EL393">
        <f ca="1"/>
      </c>
      <c r="EM393">
        <f ca="1"/>
      </c>
      <c r="EN393">
        <f ca="1"/>
      </c>
      <c r="EO393">
        <f ca="1"/>
      </c>
      <c r="EP393">
        <f ca="1"/>
      </c>
      <c r="EQ393">
        <f ca="1"/>
      </c>
      <c r="ER393">
        <f ca="1"/>
      </c>
      <c r="ES393">
        <f ca="1"/>
      </c>
      <c r="ET393">
        <f ca="1"/>
      </c>
      <c r="EU393">
        <f ca="1"/>
      </c>
      <c r="EV393">
        <f ca="1"/>
      </c>
      <c r="EW393">
        <f ca="1"/>
      </c>
      <c r="EX393">
        <f ca="1"/>
      </c>
      <c r="EY393">
        <f ca="1"/>
      </c>
      <c r="EZ393">
        <f ca="1"/>
      </c>
      <c r="FA393">
        <f ca="1"/>
      </c>
      <c r="FC393">
        <f ca="1"/>
      </c>
      <c r="FD393">
        <f ca="1"/>
      </c>
      <c r="FE393">
        <f ca="1"/>
      </c>
      <c r="FF393">
        <f ca="1"/>
      </c>
      <c r="FG393">
        <f ca="1"/>
      </c>
      <c r="FH393">
        <f ca="1"/>
      </c>
      <c r="FI393">
        <f ca="1"/>
      </c>
      <c r="FJ393">
        <f ca="1"/>
      </c>
      <c r="FK393">
        <f ca="1"/>
      </c>
      <c r="FL393">
        <f ca="1"/>
      </c>
      <c r="FM393">
        <f ca="1"/>
      </c>
      <c r="FN393">
        <f ca="1"/>
      </c>
      <c r="FO393">
        <f ca="1"/>
      </c>
      <c r="FP393">
        <f ca="1"/>
      </c>
      <c r="FQ393">
        <f ca="1"/>
      </c>
      <c r="FR393">
        <f ca="1"/>
      </c>
      <c r="FS393">
        <f ca="1"/>
      </c>
      <c r="FT393">
        <f ca="1"/>
      </c>
      <c r="FU393">
        <f ca="1"/>
      </c>
      <c r="FV393">
        <f ca="1"/>
      </c>
      <c r="FW393">
        <f ca="1"/>
      </c>
      <c r="FX393">
        <f ca="1"/>
      </c>
      <c r="FY393">
        <f ca="1"/>
      </c>
      <c r="FZ393">
        <f ca="1"/>
      </c>
      <c r="GA393">
        <f ca="1"/>
      </c>
      <c r="GB393">
        <f ca="1"/>
      </c>
      <c r="GC393">
        <f ca="1"/>
      </c>
      <c r="GD393">
        <f ca="1"/>
      </c>
      <c r="GE393">
        <f ca="1"/>
      </c>
      <c r="GF393">
        <f ca="1"/>
      </c>
      <c r="GG393">
        <f ca="1"/>
      </c>
      <c r="GH393">
        <f ca="1"/>
      </c>
      <c r="GI393">
        <f ca="1"/>
      </c>
      <c r="GJ393">
        <f ca="1"/>
      </c>
      <c r="GK393">
        <f ca="1"/>
      </c>
      <c r="GL393">
        <f ca="1"/>
      </c>
      <c r="GM393">
        <f ca="1"/>
      </c>
      <c r="GN393">
        <f ca="1"/>
      </c>
      <c r="GO393">
        <f ca="1"/>
      </c>
      <c r="GP393">
        <f ca="1"/>
      </c>
      <c r="GQ393">
        <f ca="1"/>
      </c>
      <c r="GR393">
        <f ca="1"/>
      </c>
      <c r="GS393">
        <f ca="1"/>
      </c>
      <c r="GT393">
        <f ca="1"/>
      </c>
      <c r="GU393">
        <f ca="1"/>
      </c>
      <c r="GV393">
        <f ca="1"/>
      </c>
      <c r="GW393">
        <f ca="1"/>
      </c>
      <c r="HI393" s="7"/>
    </row>
    <row r="394" spans="63:217" x14ac:dyDescent="0.55000000000000004">
      <c r="BK394">
        <f ca="1"/>
      </c>
      <c r="BL394">
        <f ca="1"/>
      </c>
      <c r="BM394">
        <f ca="1"/>
      </c>
      <c r="BN394">
        <f ca="1"/>
      </c>
      <c r="BO394">
        <f ca="1"/>
      </c>
      <c r="BP394">
        <f ca="1"/>
      </c>
      <c r="BQ394">
        <f ca="1"/>
      </c>
      <c r="BR394">
        <f ca="1"/>
      </c>
      <c r="BS394">
        <f ca="1"/>
      </c>
      <c r="BT394">
        <f ca="1"/>
      </c>
      <c r="BU394">
        <f ca="1"/>
      </c>
      <c r="BV394">
        <f ca="1"/>
      </c>
      <c r="BW394">
        <f ca="1"/>
      </c>
      <c r="BX394">
        <f ca="1"/>
      </c>
      <c r="BY394">
        <f ca="1"/>
      </c>
      <c r="BZ394">
        <f ca="1"/>
      </c>
      <c r="CA394">
        <f ca="1"/>
      </c>
      <c r="CB394">
        <f ca="1"/>
      </c>
      <c r="CC394">
        <f ca="1"/>
      </c>
      <c r="CD394">
        <f ca="1"/>
      </c>
      <c r="CE394">
        <f ca="1"/>
      </c>
      <c r="CF394">
        <f ca="1"/>
      </c>
      <c r="CG394">
        <f ca="1"/>
      </c>
      <c r="CH394">
        <f ca="1"/>
      </c>
      <c r="CI394">
        <f ca="1"/>
      </c>
      <c r="CJ394">
        <f ca="1"/>
      </c>
      <c r="CK394">
        <f ca="1"/>
      </c>
      <c r="CL394">
        <f ca="1"/>
      </c>
      <c r="CM394">
        <f ca="1"/>
      </c>
      <c r="CN394">
        <f ca="1"/>
      </c>
      <c r="CO394">
        <f ca="1"/>
      </c>
      <c r="CP394">
        <f ca="1"/>
      </c>
      <c r="CQ394">
        <f ca="1"/>
      </c>
      <c r="CR394">
        <f ca="1"/>
      </c>
      <c r="CS394">
        <f ca="1"/>
      </c>
      <c r="CT394">
        <f ca="1"/>
      </c>
      <c r="CU394">
        <f ca="1"/>
      </c>
      <c r="CV394">
        <f ca="1"/>
      </c>
      <c r="CW394">
        <f ca="1"/>
      </c>
      <c r="CX394">
        <f ca="1"/>
      </c>
      <c r="CY394">
        <f ca="1"/>
      </c>
      <c r="CZ394">
        <f ca="1"/>
      </c>
      <c r="DA394">
        <f ca="1"/>
      </c>
      <c r="DB394">
        <f ca="1"/>
      </c>
      <c r="DC394">
        <f ca="1"/>
      </c>
      <c r="DD394">
        <f ca="1"/>
      </c>
      <c r="DE394">
        <f ca="1"/>
      </c>
      <c r="DG394">
        <f ca="1"/>
      </c>
      <c r="DH394">
        <f ca="1"/>
      </c>
      <c r="DI394">
        <f ca="1"/>
      </c>
      <c r="DJ394">
        <f ca="1"/>
      </c>
      <c r="DK394">
        <f ca="1"/>
      </c>
      <c r="DL394">
        <f ca="1"/>
      </c>
      <c r="DM394">
        <f ca="1"/>
      </c>
      <c r="DN394">
        <f ca="1"/>
      </c>
      <c r="DO394">
        <f ca="1"/>
      </c>
      <c r="DP394">
        <f ca="1"/>
      </c>
      <c r="DQ394">
        <f ca="1"/>
      </c>
      <c r="DR394">
        <f ca="1"/>
      </c>
      <c r="DS394">
        <f ca="1"/>
      </c>
      <c r="DT394">
        <f ca="1"/>
      </c>
      <c r="DU394">
        <f ca="1"/>
      </c>
      <c r="DV394">
        <f ca="1"/>
      </c>
      <c r="DW394">
        <f ca="1"/>
      </c>
      <c r="DX394">
        <f ca="1"/>
      </c>
      <c r="DY394">
        <f ca="1"/>
      </c>
      <c r="DZ394">
        <f ca="1"/>
      </c>
      <c r="EA394">
        <f ca="1"/>
      </c>
      <c r="EB394">
        <f ca="1"/>
      </c>
      <c r="EC394">
        <f ca="1"/>
      </c>
      <c r="ED394">
        <f ca="1"/>
      </c>
      <c r="EE394">
        <f ca="1"/>
      </c>
      <c r="EF394">
        <f ca="1"/>
      </c>
      <c r="EG394">
        <f ca="1"/>
      </c>
      <c r="EH394">
        <f ca="1"/>
      </c>
      <c r="EI394">
        <f ca="1"/>
      </c>
      <c r="EJ394">
        <f ca="1"/>
      </c>
      <c r="EK394">
        <f ca="1"/>
      </c>
      <c r="EL394">
        <f ca="1"/>
      </c>
      <c r="EM394">
        <f ca="1"/>
      </c>
      <c r="EN394">
        <f ca="1"/>
      </c>
      <c r="EO394">
        <f ca="1"/>
      </c>
      <c r="EP394">
        <f ca="1"/>
      </c>
      <c r="EQ394">
        <f ca="1"/>
      </c>
      <c r="ER394">
        <f ca="1"/>
      </c>
      <c r="ES394">
        <f ca="1"/>
      </c>
      <c r="ET394">
        <f ca="1"/>
      </c>
      <c r="EU394">
        <f ca="1"/>
      </c>
      <c r="EV394">
        <f ca="1"/>
      </c>
      <c r="EW394">
        <f ca="1"/>
      </c>
      <c r="EX394">
        <f ca="1"/>
      </c>
      <c r="EY394">
        <f ca="1"/>
      </c>
      <c r="EZ394">
        <f ca="1"/>
      </c>
      <c r="FA394">
        <f ca="1"/>
      </c>
      <c r="FC394">
        <f ca="1"/>
      </c>
      <c r="FD394">
        <f ca="1"/>
      </c>
      <c r="FE394">
        <f ca="1"/>
      </c>
      <c r="FF394">
        <f ca="1"/>
      </c>
      <c r="FG394">
        <f ca="1"/>
      </c>
      <c r="FH394">
        <f ca="1"/>
      </c>
      <c r="FI394">
        <f ca="1"/>
      </c>
      <c r="FJ394">
        <f ca="1"/>
      </c>
      <c r="FK394">
        <f ca="1"/>
      </c>
      <c r="FL394">
        <f ca="1"/>
      </c>
      <c r="FM394">
        <f ca="1"/>
      </c>
      <c r="FN394">
        <f ca="1"/>
      </c>
      <c r="FO394">
        <f ca="1"/>
      </c>
      <c r="FP394">
        <f ca="1"/>
      </c>
      <c r="FQ394">
        <f ca="1"/>
      </c>
      <c r="FR394">
        <f ca="1"/>
      </c>
      <c r="FS394">
        <f ca="1"/>
      </c>
      <c r="FT394">
        <f ca="1"/>
      </c>
      <c r="FU394">
        <f ca="1"/>
      </c>
      <c r="FV394">
        <f ca="1"/>
      </c>
      <c r="FW394">
        <f ca="1"/>
      </c>
      <c r="FX394">
        <f ca="1"/>
      </c>
      <c r="FY394">
        <f ca="1"/>
      </c>
      <c r="FZ394">
        <f ca="1"/>
      </c>
      <c r="GA394">
        <f ca="1"/>
      </c>
      <c r="GB394">
        <f ca="1"/>
      </c>
      <c r="GC394">
        <f ca="1"/>
      </c>
      <c r="GD394">
        <f ca="1"/>
      </c>
      <c r="GE394">
        <f ca="1"/>
      </c>
      <c r="GF394">
        <f ca="1"/>
      </c>
      <c r="GG394">
        <f ca="1"/>
      </c>
      <c r="GH394">
        <f ca="1"/>
      </c>
      <c r="GI394">
        <f ca="1"/>
      </c>
      <c r="GJ394">
        <f ca="1"/>
      </c>
      <c r="GK394">
        <f ca="1"/>
      </c>
      <c r="GL394">
        <f ca="1"/>
      </c>
      <c r="GM394">
        <f ca="1"/>
      </c>
      <c r="GN394">
        <f ca="1"/>
      </c>
      <c r="GO394">
        <f ca="1"/>
      </c>
      <c r="GP394">
        <f ca="1"/>
      </c>
      <c r="GQ394">
        <f ca="1"/>
      </c>
      <c r="GR394">
        <f ca="1"/>
      </c>
      <c r="GS394">
        <f ca="1"/>
      </c>
      <c r="GT394">
        <f ca="1"/>
      </c>
      <c r="GU394">
        <f ca="1"/>
      </c>
      <c r="GV394">
        <f ca="1"/>
      </c>
      <c r="GW394">
        <f ca="1"/>
      </c>
      <c r="HI394" s="7"/>
    </row>
    <row r="395" spans="63:217" x14ac:dyDescent="0.55000000000000004">
      <c r="BK395">
        <f ca="1"/>
      </c>
      <c r="BL395">
        <f ca="1"/>
      </c>
      <c r="BM395">
        <f ca="1"/>
      </c>
      <c r="BN395">
        <f ca="1"/>
      </c>
      <c r="BO395">
        <f ca="1"/>
      </c>
      <c r="BP395">
        <f ca="1"/>
      </c>
      <c r="BQ395">
        <f ca="1"/>
      </c>
      <c r="BR395">
        <f ca="1"/>
      </c>
      <c r="BS395">
        <f ca="1"/>
      </c>
      <c r="BT395">
        <f ca="1"/>
      </c>
      <c r="BU395">
        <f ca="1"/>
      </c>
      <c r="BV395">
        <f ca="1"/>
      </c>
      <c r="BW395">
        <f ca="1"/>
      </c>
      <c r="BX395">
        <f ca="1"/>
      </c>
      <c r="BY395">
        <f ca="1"/>
      </c>
      <c r="BZ395">
        <f ca="1"/>
      </c>
      <c r="CA395">
        <f ca="1"/>
      </c>
      <c r="CB395">
        <f ca="1"/>
      </c>
      <c r="CC395">
        <f ca="1"/>
      </c>
      <c r="CD395">
        <f ca="1"/>
      </c>
      <c r="CE395">
        <f ca="1"/>
      </c>
      <c r="CF395">
        <f ca="1"/>
      </c>
      <c r="CG395">
        <f ca="1"/>
      </c>
      <c r="CH395">
        <f ca="1"/>
      </c>
      <c r="CI395">
        <f ca="1"/>
      </c>
      <c r="CJ395">
        <f ca="1"/>
      </c>
      <c r="CK395">
        <f ca="1"/>
      </c>
      <c r="CL395">
        <f ca="1"/>
      </c>
      <c r="CM395">
        <f ca="1"/>
      </c>
      <c r="CN395">
        <f ca="1"/>
      </c>
      <c r="CO395">
        <f ca="1"/>
      </c>
      <c r="CP395">
        <f ca="1"/>
      </c>
      <c r="CQ395">
        <f ca="1"/>
      </c>
      <c r="CR395">
        <f ca="1"/>
      </c>
      <c r="CS395">
        <f ca="1"/>
      </c>
      <c r="CT395">
        <f ca="1"/>
      </c>
      <c r="CU395">
        <f ca="1"/>
      </c>
      <c r="CV395">
        <f ca="1"/>
      </c>
      <c r="CW395">
        <f ca="1"/>
      </c>
      <c r="CX395">
        <f ca="1"/>
      </c>
      <c r="CY395">
        <f ca="1"/>
      </c>
      <c r="CZ395">
        <f ca="1"/>
      </c>
      <c r="DA395">
        <f ca="1"/>
      </c>
      <c r="DB395">
        <f ca="1"/>
      </c>
      <c r="DC395">
        <f ca="1"/>
      </c>
      <c r="DD395">
        <f ca="1"/>
      </c>
      <c r="DE395">
        <f ca="1"/>
      </c>
      <c r="DG395">
        <f ca="1"/>
      </c>
      <c r="DH395">
        <f ca="1"/>
      </c>
      <c r="DI395">
        <f ca="1"/>
      </c>
      <c r="DJ395">
        <f ca="1"/>
      </c>
      <c r="DK395">
        <f ca="1"/>
      </c>
      <c r="DL395">
        <f ca="1"/>
      </c>
      <c r="DM395">
        <f ca="1"/>
      </c>
      <c r="DN395">
        <f ca="1"/>
      </c>
      <c r="DO395">
        <f ca="1"/>
      </c>
      <c r="DP395">
        <f ca="1"/>
      </c>
      <c r="DQ395">
        <f ca="1"/>
      </c>
      <c r="DR395">
        <f ca="1"/>
      </c>
      <c r="DS395">
        <f ca="1"/>
      </c>
      <c r="DT395">
        <f ca="1"/>
      </c>
      <c r="DU395">
        <f ca="1"/>
      </c>
      <c r="DV395">
        <f ca="1"/>
      </c>
      <c r="DW395">
        <f ca="1"/>
      </c>
      <c r="DX395">
        <f ca="1"/>
      </c>
      <c r="DY395">
        <f ca="1"/>
      </c>
      <c r="DZ395">
        <f ca="1"/>
      </c>
      <c r="EA395">
        <f ca="1"/>
      </c>
      <c r="EB395">
        <f ca="1"/>
      </c>
      <c r="EC395">
        <f ca="1"/>
      </c>
      <c r="ED395">
        <f ca="1"/>
      </c>
      <c r="EE395">
        <f ca="1"/>
      </c>
      <c r="EF395">
        <f ca="1"/>
      </c>
      <c r="EG395">
        <f ca="1"/>
      </c>
      <c r="EH395">
        <f ca="1"/>
      </c>
      <c r="EI395">
        <f ca="1"/>
      </c>
      <c r="EJ395">
        <f ca="1"/>
      </c>
      <c r="EK395">
        <f ca="1"/>
      </c>
      <c r="EL395">
        <f ca="1"/>
      </c>
      <c r="EM395">
        <f ca="1"/>
      </c>
      <c r="EN395">
        <f ca="1"/>
      </c>
      <c r="EO395">
        <f ca="1"/>
      </c>
      <c r="EP395">
        <f ca="1"/>
      </c>
      <c r="EQ395">
        <f ca="1"/>
      </c>
      <c r="ER395">
        <f ca="1"/>
      </c>
      <c r="ES395">
        <f ca="1"/>
      </c>
      <c r="ET395">
        <f ca="1"/>
      </c>
      <c r="EU395">
        <f ca="1"/>
      </c>
      <c r="EV395">
        <f ca="1"/>
      </c>
      <c r="EW395">
        <f ca="1"/>
      </c>
      <c r="EX395">
        <f ca="1"/>
      </c>
      <c r="EY395">
        <f ca="1"/>
      </c>
      <c r="EZ395">
        <f ca="1"/>
      </c>
      <c r="FA395">
        <f ca="1"/>
      </c>
      <c r="FC395">
        <f ca="1"/>
      </c>
      <c r="FD395">
        <f ca="1"/>
      </c>
      <c r="FE395">
        <f ca="1"/>
      </c>
      <c r="FF395">
        <f ca="1"/>
      </c>
      <c r="FG395">
        <f ca="1"/>
      </c>
      <c r="FH395">
        <f ca="1"/>
      </c>
      <c r="FI395">
        <f ca="1"/>
      </c>
      <c r="FJ395">
        <f ca="1"/>
      </c>
      <c r="FK395">
        <f ca="1"/>
      </c>
      <c r="FL395">
        <f ca="1"/>
      </c>
      <c r="FM395">
        <f ca="1"/>
      </c>
      <c r="FN395">
        <f ca="1"/>
      </c>
      <c r="FO395">
        <f ca="1"/>
      </c>
      <c r="FP395">
        <f ca="1"/>
      </c>
      <c r="FQ395">
        <f ca="1"/>
      </c>
      <c r="FR395">
        <f ca="1"/>
      </c>
      <c r="FS395">
        <f ca="1"/>
      </c>
      <c r="FT395">
        <f ca="1"/>
      </c>
      <c r="FU395">
        <f ca="1"/>
      </c>
      <c r="FV395">
        <f ca="1"/>
      </c>
      <c r="FW395">
        <f ca="1"/>
      </c>
      <c r="FX395">
        <f ca="1"/>
      </c>
      <c r="FY395">
        <f ca="1"/>
      </c>
      <c r="FZ395">
        <f ca="1"/>
      </c>
      <c r="GA395">
        <f ca="1"/>
      </c>
      <c r="GB395">
        <f ca="1"/>
      </c>
      <c r="GC395">
        <f ca="1"/>
      </c>
      <c r="GD395">
        <f ca="1"/>
      </c>
      <c r="GE395">
        <f ca="1"/>
      </c>
      <c r="GF395">
        <f ca="1"/>
      </c>
      <c r="GG395">
        <f ca="1"/>
      </c>
      <c r="GH395">
        <f ca="1"/>
      </c>
      <c r="GI395">
        <f ca="1"/>
      </c>
      <c r="GJ395">
        <f ca="1"/>
      </c>
      <c r="GK395">
        <f ca="1"/>
      </c>
      <c r="GL395">
        <f ca="1"/>
      </c>
      <c r="GM395">
        <f ca="1"/>
      </c>
      <c r="GN395">
        <f ca="1"/>
      </c>
      <c r="GO395">
        <f ca="1"/>
      </c>
      <c r="GP395">
        <f ca="1"/>
      </c>
      <c r="GQ395">
        <f ca="1"/>
      </c>
      <c r="GR395">
        <f ca="1"/>
      </c>
      <c r="GS395">
        <f ca="1"/>
      </c>
      <c r="GT395">
        <f ca="1"/>
      </c>
      <c r="GU395">
        <f ca="1"/>
      </c>
      <c r="GV395">
        <f ca="1"/>
      </c>
      <c r="GW395">
        <f ca="1"/>
      </c>
      <c r="HI395" s="7"/>
    </row>
    <row r="396" spans="63:217" x14ac:dyDescent="0.55000000000000004">
      <c r="BK396">
        <f ca="1"/>
      </c>
      <c r="BL396">
        <f ca="1"/>
      </c>
      <c r="BM396">
        <f ca="1"/>
      </c>
      <c r="BN396">
        <f ca="1"/>
      </c>
      <c r="BO396">
        <f ca="1"/>
      </c>
      <c r="BP396">
        <f ca="1"/>
      </c>
      <c r="BQ396">
        <f ca="1"/>
      </c>
      <c r="BR396">
        <f ca="1"/>
      </c>
      <c r="BS396">
        <f ca="1"/>
      </c>
      <c r="BT396">
        <f ca="1"/>
      </c>
      <c r="BU396">
        <f ca="1"/>
      </c>
      <c r="BV396">
        <f ca="1"/>
      </c>
      <c r="BW396">
        <f ca="1"/>
      </c>
      <c r="BX396">
        <f ca="1"/>
      </c>
      <c r="BY396">
        <f ca="1"/>
      </c>
      <c r="BZ396">
        <f ca="1"/>
      </c>
      <c r="CA396">
        <f ca="1"/>
      </c>
      <c r="CB396">
        <f ca="1"/>
      </c>
      <c r="CC396">
        <f ca="1"/>
      </c>
      <c r="CD396">
        <f ca="1"/>
      </c>
      <c r="CE396">
        <f ca="1"/>
      </c>
      <c r="CF396">
        <f ca="1"/>
      </c>
      <c r="CG396">
        <f ca="1"/>
      </c>
      <c r="CH396">
        <f ca="1"/>
      </c>
      <c r="CI396">
        <f ca="1"/>
      </c>
      <c r="CJ396">
        <f ca="1"/>
      </c>
      <c r="CK396">
        <f ca="1"/>
      </c>
      <c r="CL396">
        <f ca="1"/>
      </c>
      <c r="CM396">
        <f ca="1"/>
      </c>
      <c r="CN396">
        <f ca="1"/>
      </c>
      <c r="CO396">
        <f ca="1"/>
      </c>
      <c r="CP396">
        <f ca="1"/>
      </c>
      <c r="CQ396">
        <f ca="1"/>
      </c>
      <c r="CR396">
        <f ca="1"/>
      </c>
      <c r="CS396">
        <f ca="1"/>
      </c>
      <c r="CT396">
        <f ca="1"/>
      </c>
      <c r="CU396">
        <f ca="1"/>
      </c>
      <c r="CV396">
        <f ca="1"/>
      </c>
      <c r="CW396">
        <f ca="1"/>
      </c>
      <c r="CX396">
        <f ca="1"/>
      </c>
      <c r="CY396">
        <f ca="1"/>
      </c>
      <c r="CZ396">
        <f ca="1"/>
      </c>
      <c r="DA396">
        <f ca="1"/>
      </c>
      <c r="DB396">
        <f ca="1"/>
      </c>
      <c r="DC396">
        <f ca="1"/>
      </c>
      <c r="DD396">
        <f ca="1"/>
      </c>
      <c r="DE396">
        <f ca="1"/>
      </c>
      <c r="DG396">
        <f ca="1"/>
      </c>
      <c r="DH396">
        <f ca="1"/>
      </c>
      <c r="DI396">
        <f ca="1"/>
      </c>
      <c r="DJ396">
        <f ca="1"/>
      </c>
      <c r="DK396">
        <f ca="1"/>
      </c>
      <c r="DL396">
        <f ca="1"/>
      </c>
      <c r="DM396">
        <f ca="1"/>
      </c>
      <c r="DN396">
        <f ca="1"/>
      </c>
      <c r="DO396">
        <f ca="1"/>
      </c>
      <c r="DP396">
        <f ca="1"/>
      </c>
      <c r="DQ396">
        <f ca="1"/>
      </c>
      <c r="DR396">
        <f ca="1"/>
      </c>
      <c r="DS396">
        <f ca="1"/>
      </c>
      <c r="DT396">
        <f ca="1"/>
      </c>
      <c r="DU396">
        <f ca="1"/>
      </c>
      <c r="DV396">
        <f ca="1"/>
      </c>
      <c r="DW396">
        <f ca="1"/>
      </c>
      <c r="DX396">
        <f ca="1"/>
      </c>
      <c r="DY396">
        <f ca="1"/>
      </c>
      <c r="DZ396">
        <f ca="1"/>
      </c>
      <c r="EA396">
        <f ca="1"/>
      </c>
      <c r="EB396">
        <f ca="1"/>
      </c>
      <c r="EC396">
        <f ca="1"/>
      </c>
      <c r="ED396">
        <f ca="1"/>
      </c>
      <c r="EE396">
        <f ca="1"/>
      </c>
      <c r="EF396">
        <f ca="1"/>
      </c>
      <c r="EG396">
        <f ca="1"/>
      </c>
      <c r="EH396">
        <f ca="1"/>
      </c>
      <c r="EI396">
        <f ca="1"/>
      </c>
      <c r="EJ396">
        <f ca="1"/>
      </c>
      <c r="EK396">
        <f ca="1"/>
      </c>
      <c r="EL396">
        <f ca="1"/>
      </c>
      <c r="EM396">
        <f ca="1"/>
      </c>
      <c r="EN396">
        <f ca="1"/>
      </c>
      <c r="EO396">
        <f ca="1"/>
      </c>
      <c r="EP396">
        <f ca="1"/>
      </c>
      <c r="EQ396">
        <f ca="1"/>
      </c>
      <c r="ER396">
        <f ca="1"/>
      </c>
      <c r="ES396">
        <f ca="1"/>
      </c>
      <c r="ET396">
        <f ca="1"/>
      </c>
      <c r="EU396">
        <f ca="1"/>
      </c>
      <c r="EV396">
        <f ca="1"/>
      </c>
      <c r="EW396">
        <f ca="1"/>
      </c>
      <c r="EX396">
        <f ca="1"/>
      </c>
      <c r="EY396">
        <f ca="1"/>
      </c>
      <c r="EZ396">
        <f ca="1"/>
      </c>
      <c r="FA396">
        <f ca="1"/>
      </c>
      <c r="FC396">
        <f ca="1"/>
      </c>
      <c r="FD396">
        <f ca="1"/>
      </c>
      <c r="FE396">
        <f ca="1"/>
      </c>
      <c r="FF396">
        <f ca="1"/>
      </c>
      <c r="FG396">
        <f ca="1"/>
      </c>
      <c r="FH396">
        <f ca="1"/>
      </c>
      <c r="FI396">
        <f ca="1"/>
      </c>
      <c r="FJ396">
        <f ca="1"/>
      </c>
      <c r="FK396">
        <f ca="1"/>
      </c>
      <c r="FL396">
        <f ca="1"/>
      </c>
      <c r="FM396">
        <f ca="1"/>
      </c>
      <c r="FN396">
        <f ca="1"/>
      </c>
      <c r="FO396">
        <f ca="1"/>
      </c>
      <c r="FP396">
        <f ca="1"/>
      </c>
      <c r="FQ396">
        <f ca="1"/>
      </c>
      <c r="FR396">
        <f ca="1"/>
      </c>
      <c r="FS396">
        <f ca="1"/>
      </c>
      <c r="FT396">
        <f ca="1"/>
      </c>
      <c r="FU396">
        <f ca="1"/>
      </c>
      <c r="FV396">
        <f ca="1"/>
      </c>
      <c r="FW396">
        <f ca="1"/>
      </c>
      <c r="FX396">
        <f ca="1"/>
      </c>
      <c r="FY396">
        <f ca="1"/>
      </c>
      <c r="FZ396">
        <f ca="1"/>
      </c>
      <c r="GA396">
        <f ca="1"/>
      </c>
      <c r="GB396">
        <f ca="1"/>
      </c>
      <c r="GC396">
        <f ca="1"/>
      </c>
      <c r="GD396">
        <f ca="1"/>
      </c>
      <c r="GE396">
        <f ca="1"/>
      </c>
      <c r="GF396">
        <f ca="1"/>
      </c>
      <c r="GG396">
        <f ca="1"/>
      </c>
      <c r="GH396">
        <f ca="1"/>
      </c>
      <c r="GI396">
        <f ca="1"/>
      </c>
      <c r="GJ396">
        <f ca="1"/>
      </c>
      <c r="GK396">
        <f ca="1"/>
      </c>
      <c r="GL396">
        <f ca="1"/>
      </c>
      <c r="GM396">
        <f ca="1"/>
      </c>
      <c r="GN396">
        <f ca="1"/>
      </c>
      <c r="GO396">
        <f ca="1"/>
      </c>
      <c r="GP396">
        <f ca="1"/>
      </c>
      <c r="GQ396">
        <f ca="1"/>
      </c>
      <c r="GR396">
        <f ca="1"/>
      </c>
      <c r="GS396">
        <f ca="1"/>
      </c>
      <c r="GT396">
        <f ca="1"/>
      </c>
      <c r="GU396">
        <f ca="1"/>
      </c>
      <c r="GV396">
        <f ca="1"/>
      </c>
      <c r="GW396">
        <f ca="1"/>
      </c>
      <c r="HI396" s="7"/>
    </row>
    <row r="397" spans="63:217" x14ac:dyDescent="0.55000000000000004">
      <c r="BK397">
        <f ca="1"/>
      </c>
      <c r="BL397">
        <f ca="1"/>
      </c>
      <c r="BM397">
        <f ca="1"/>
      </c>
      <c r="BN397">
        <f ca="1"/>
      </c>
      <c r="BO397">
        <f ca="1"/>
      </c>
      <c r="BP397">
        <f ca="1"/>
      </c>
      <c r="BQ397">
        <f ca="1"/>
      </c>
      <c r="BR397">
        <f ca="1"/>
      </c>
      <c r="BS397">
        <f ca="1"/>
      </c>
      <c r="BT397">
        <f ca="1"/>
      </c>
      <c r="BU397">
        <f ca="1"/>
      </c>
      <c r="BV397">
        <f ca="1"/>
      </c>
      <c r="BW397">
        <f ca="1"/>
      </c>
      <c r="BX397">
        <f ca="1"/>
      </c>
      <c r="BY397">
        <f ca="1"/>
      </c>
      <c r="BZ397">
        <f ca="1"/>
      </c>
      <c r="CA397">
        <f ca="1"/>
      </c>
      <c r="CB397">
        <f ca="1"/>
      </c>
      <c r="CC397">
        <f ca="1"/>
      </c>
      <c r="CD397">
        <f ca="1"/>
      </c>
      <c r="CE397">
        <f ca="1"/>
      </c>
      <c r="CF397">
        <f ca="1"/>
      </c>
      <c r="CG397">
        <f ca="1"/>
      </c>
      <c r="CH397">
        <f ca="1"/>
      </c>
      <c r="CI397">
        <f ca="1"/>
      </c>
      <c r="CJ397">
        <f ca="1"/>
      </c>
      <c r="CK397">
        <f ca="1"/>
      </c>
      <c r="CL397">
        <f ca="1"/>
      </c>
      <c r="CM397">
        <f ca="1"/>
      </c>
      <c r="CN397">
        <f ca="1"/>
      </c>
      <c r="CO397">
        <f ca="1"/>
      </c>
      <c r="CP397">
        <f ca="1"/>
      </c>
      <c r="CQ397">
        <f ca="1"/>
      </c>
      <c r="CR397">
        <f ca="1"/>
      </c>
      <c r="CS397">
        <f ca="1"/>
      </c>
      <c r="CT397">
        <f ca="1"/>
      </c>
      <c r="CU397">
        <f ca="1"/>
      </c>
      <c r="CV397">
        <f ca="1"/>
      </c>
      <c r="CW397">
        <f ca="1"/>
      </c>
      <c r="CX397">
        <f ca="1"/>
      </c>
      <c r="CY397">
        <f ca="1"/>
      </c>
      <c r="CZ397">
        <f ca="1"/>
      </c>
      <c r="DA397">
        <f ca="1"/>
      </c>
      <c r="DB397">
        <f ca="1"/>
      </c>
      <c r="DC397">
        <f ca="1"/>
      </c>
      <c r="DD397">
        <f ca="1"/>
      </c>
      <c r="DE397">
        <f ca="1"/>
      </c>
      <c r="DG397">
        <f ca="1"/>
      </c>
      <c r="DH397">
        <f ca="1"/>
      </c>
      <c r="DI397">
        <f ca="1"/>
      </c>
      <c r="DJ397">
        <f ca="1"/>
      </c>
      <c r="DK397">
        <f ca="1"/>
      </c>
      <c r="DL397">
        <f ca="1"/>
      </c>
      <c r="DM397">
        <f ca="1"/>
      </c>
      <c r="DN397">
        <f ca="1"/>
      </c>
      <c r="DO397">
        <f ca="1"/>
      </c>
      <c r="DP397">
        <f ca="1"/>
      </c>
      <c r="DQ397">
        <f ca="1"/>
      </c>
      <c r="DR397">
        <f ca="1"/>
      </c>
      <c r="DS397">
        <f ca="1"/>
      </c>
      <c r="DT397">
        <f ca="1"/>
      </c>
      <c r="DU397">
        <f ca="1"/>
      </c>
      <c r="DV397">
        <f ca="1"/>
      </c>
      <c r="DW397">
        <f ca="1"/>
      </c>
      <c r="DX397">
        <f ca="1"/>
      </c>
      <c r="DY397">
        <f ca="1"/>
      </c>
      <c r="DZ397">
        <f ca="1"/>
      </c>
      <c r="EA397">
        <f ca="1"/>
      </c>
      <c r="EB397">
        <f ca="1"/>
      </c>
      <c r="EC397">
        <f ca="1"/>
      </c>
      <c r="ED397">
        <f ca="1"/>
      </c>
      <c r="EE397">
        <f ca="1"/>
      </c>
      <c r="EF397">
        <f ca="1"/>
      </c>
      <c r="EG397">
        <f ca="1"/>
      </c>
      <c r="EH397">
        <f ca="1"/>
      </c>
      <c r="EI397">
        <f ca="1"/>
      </c>
      <c r="EJ397">
        <f ca="1"/>
      </c>
      <c r="EK397">
        <f ca="1"/>
      </c>
      <c r="EL397">
        <f ca="1"/>
      </c>
      <c r="EM397">
        <f ca="1"/>
      </c>
      <c r="EN397">
        <f ca="1"/>
      </c>
      <c r="EO397">
        <f ca="1"/>
      </c>
      <c r="EP397">
        <f ca="1"/>
      </c>
      <c r="EQ397">
        <f ca="1"/>
      </c>
      <c r="ER397">
        <f ca="1"/>
      </c>
      <c r="ES397">
        <f ca="1"/>
      </c>
      <c r="ET397">
        <f ca="1"/>
      </c>
      <c r="EU397">
        <f ca="1"/>
      </c>
      <c r="EV397">
        <f ca="1"/>
      </c>
      <c r="EW397">
        <f ca="1"/>
      </c>
      <c r="EX397">
        <f ca="1"/>
      </c>
      <c r="EY397">
        <f ca="1"/>
      </c>
      <c r="EZ397">
        <f ca="1"/>
      </c>
      <c r="FA397">
        <f ca="1"/>
      </c>
      <c r="FC397">
        <f ca="1"/>
      </c>
      <c r="FD397">
        <f ca="1"/>
      </c>
      <c r="FE397">
        <f ca="1"/>
      </c>
      <c r="FF397">
        <f ca="1"/>
      </c>
      <c r="FG397">
        <f ca="1"/>
      </c>
      <c r="FH397">
        <f ca="1"/>
      </c>
      <c r="FI397">
        <f ca="1"/>
      </c>
      <c r="FJ397">
        <f ca="1"/>
      </c>
      <c r="FK397">
        <f ca="1"/>
      </c>
      <c r="FL397">
        <f ca="1"/>
      </c>
      <c r="FM397">
        <f ca="1"/>
      </c>
      <c r="FN397">
        <f ca="1"/>
      </c>
      <c r="FO397">
        <f ca="1"/>
      </c>
      <c r="FP397">
        <f ca="1"/>
      </c>
      <c r="FQ397">
        <f ca="1"/>
      </c>
      <c r="FR397">
        <f ca="1"/>
      </c>
      <c r="FS397">
        <f ca="1"/>
      </c>
      <c r="FT397">
        <f ca="1"/>
      </c>
      <c r="FU397">
        <f ca="1"/>
      </c>
      <c r="FV397">
        <f ca="1"/>
      </c>
      <c r="FW397">
        <f ca="1"/>
      </c>
      <c r="FX397">
        <f ca="1"/>
      </c>
      <c r="FY397">
        <f ca="1"/>
      </c>
      <c r="FZ397">
        <f ca="1"/>
      </c>
      <c r="GA397">
        <f ca="1"/>
      </c>
      <c r="GB397">
        <f ca="1"/>
      </c>
      <c r="GC397">
        <f ca="1"/>
      </c>
      <c r="GD397">
        <f ca="1"/>
      </c>
      <c r="GE397">
        <f ca="1"/>
      </c>
      <c r="GF397">
        <f ca="1"/>
      </c>
      <c r="GG397">
        <f ca="1"/>
      </c>
      <c r="GH397">
        <f ca="1"/>
      </c>
      <c r="GI397">
        <f ca="1"/>
      </c>
      <c r="GJ397">
        <f ca="1"/>
      </c>
      <c r="GK397">
        <f ca="1"/>
      </c>
      <c r="GL397">
        <f ca="1"/>
      </c>
      <c r="GM397">
        <f ca="1"/>
      </c>
      <c r="GN397">
        <f ca="1"/>
      </c>
      <c r="GO397">
        <f ca="1"/>
      </c>
      <c r="GP397">
        <f ca="1"/>
      </c>
      <c r="GQ397">
        <f ca="1"/>
      </c>
      <c r="GR397">
        <f ca="1"/>
      </c>
      <c r="GS397">
        <f ca="1"/>
      </c>
      <c r="GT397">
        <f ca="1"/>
      </c>
      <c r="GU397">
        <f ca="1"/>
      </c>
      <c r="GV397">
        <f ca="1"/>
      </c>
      <c r="GW397">
        <f ca="1"/>
      </c>
      <c r="HI397" s="7"/>
    </row>
    <row r="398" spans="63:217" x14ac:dyDescent="0.55000000000000004">
      <c r="BK398">
        <f ca="1"/>
      </c>
      <c r="BL398">
        <f ca="1"/>
      </c>
      <c r="BM398">
        <f ca="1"/>
      </c>
      <c r="BN398">
        <f ca="1"/>
      </c>
      <c r="BO398">
        <f ca="1"/>
      </c>
      <c r="BP398">
        <f ca="1"/>
      </c>
      <c r="BQ398">
        <f ca="1"/>
      </c>
      <c r="BR398">
        <f ca="1"/>
      </c>
      <c r="BS398">
        <f ca="1"/>
      </c>
      <c r="BT398">
        <f ca="1"/>
      </c>
      <c r="BU398">
        <f ca="1"/>
      </c>
      <c r="BV398">
        <f ca="1"/>
      </c>
      <c r="BW398">
        <f ca="1"/>
      </c>
      <c r="BX398">
        <f ca="1"/>
      </c>
      <c r="BY398">
        <f ca="1"/>
      </c>
      <c r="BZ398">
        <f ca="1"/>
      </c>
      <c r="CA398">
        <f ca="1"/>
      </c>
      <c r="CB398">
        <f ca="1"/>
      </c>
      <c r="CC398">
        <f ca="1"/>
      </c>
      <c r="CD398">
        <f ca="1"/>
      </c>
      <c r="CE398">
        <f ca="1"/>
      </c>
      <c r="CF398">
        <f ca="1"/>
      </c>
      <c r="CG398">
        <f ca="1"/>
      </c>
      <c r="CH398">
        <f ca="1"/>
      </c>
      <c r="CI398">
        <f ca="1"/>
      </c>
      <c r="CJ398">
        <f ca="1"/>
      </c>
      <c r="CK398">
        <f ca="1"/>
      </c>
      <c r="CL398">
        <f ca="1"/>
      </c>
      <c r="CM398">
        <f ca="1"/>
      </c>
      <c r="CN398">
        <f ca="1"/>
      </c>
      <c r="CO398">
        <f ca="1"/>
      </c>
      <c r="CP398">
        <f ca="1"/>
      </c>
      <c r="CQ398">
        <f ca="1"/>
      </c>
      <c r="CR398">
        <f ca="1"/>
      </c>
      <c r="CS398">
        <f ca="1"/>
      </c>
      <c r="CT398">
        <f ca="1"/>
      </c>
      <c r="CU398">
        <f ca="1"/>
      </c>
      <c r="CV398">
        <f ca="1"/>
      </c>
      <c r="CW398">
        <f ca="1"/>
      </c>
      <c r="CX398">
        <f ca="1"/>
      </c>
      <c r="CY398">
        <f ca="1"/>
      </c>
      <c r="CZ398">
        <f ca="1"/>
      </c>
      <c r="DA398">
        <f ca="1"/>
      </c>
      <c r="DB398">
        <f ca="1"/>
      </c>
      <c r="DC398">
        <f ca="1"/>
      </c>
      <c r="DD398">
        <f ca="1"/>
      </c>
      <c r="DE398">
        <f ca="1"/>
      </c>
      <c r="DG398">
        <f ca="1"/>
      </c>
      <c r="DH398">
        <f ca="1"/>
      </c>
      <c r="DI398">
        <f ca="1"/>
      </c>
      <c r="DJ398">
        <f ca="1"/>
      </c>
      <c r="DK398">
        <f ca="1"/>
      </c>
      <c r="DL398">
        <f ca="1"/>
      </c>
      <c r="DM398">
        <f ca="1"/>
      </c>
      <c r="DN398">
        <f ca="1"/>
      </c>
      <c r="DO398">
        <f ca="1"/>
      </c>
      <c r="DP398">
        <f ca="1"/>
      </c>
      <c r="DQ398">
        <f ca="1"/>
      </c>
      <c r="DR398">
        <f ca="1"/>
      </c>
      <c r="DS398">
        <f ca="1"/>
      </c>
      <c r="DT398">
        <f ca="1"/>
      </c>
      <c r="DU398">
        <f ca="1"/>
      </c>
      <c r="DV398">
        <f ca="1"/>
      </c>
      <c r="DW398">
        <f ca="1"/>
      </c>
      <c r="DX398">
        <f ca="1"/>
      </c>
      <c r="DY398">
        <f ca="1"/>
      </c>
      <c r="DZ398">
        <f ca="1"/>
      </c>
      <c r="EA398">
        <f ca="1"/>
      </c>
      <c r="EB398">
        <f ca="1"/>
      </c>
      <c r="EC398">
        <f ca="1"/>
      </c>
      <c r="ED398">
        <f ca="1"/>
      </c>
      <c r="EE398">
        <f ca="1"/>
      </c>
      <c r="EF398">
        <f ca="1"/>
      </c>
      <c r="EG398">
        <f ca="1"/>
      </c>
      <c r="EH398">
        <f ca="1"/>
      </c>
      <c r="EI398">
        <f ca="1"/>
      </c>
      <c r="EJ398">
        <f ca="1"/>
      </c>
      <c r="EK398">
        <f ca="1"/>
      </c>
      <c r="EL398">
        <f ca="1"/>
      </c>
      <c r="EM398">
        <f ca="1"/>
      </c>
      <c r="EN398">
        <f ca="1"/>
      </c>
      <c r="EO398">
        <f ca="1"/>
      </c>
      <c r="EP398">
        <f ca="1"/>
      </c>
      <c r="EQ398">
        <f ca="1"/>
      </c>
      <c r="ER398">
        <f ca="1"/>
      </c>
      <c r="ES398">
        <f ca="1"/>
      </c>
      <c r="ET398">
        <f ca="1"/>
      </c>
      <c r="EU398">
        <f ca="1"/>
      </c>
      <c r="EV398">
        <f ca="1"/>
      </c>
      <c r="EW398">
        <f ca="1"/>
      </c>
      <c r="EX398">
        <f ca="1"/>
      </c>
      <c r="EY398">
        <f ca="1"/>
      </c>
      <c r="EZ398">
        <f ca="1"/>
      </c>
      <c r="FA398">
        <f ca="1"/>
      </c>
      <c r="FC398">
        <f ca="1"/>
      </c>
      <c r="FD398">
        <f ca="1"/>
      </c>
      <c r="FE398">
        <f ca="1"/>
      </c>
      <c r="FF398">
        <f ca="1"/>
      </c>
      <c r="FG398">
        <f ca="1"/>
      </c>
      <c r="FH398">
        <f ca="1"/>
      </c>
      <c r="FI398">
        <f ca="1"/>
      </c>
      <c r="FJ398">
        <f ca="1"/>
      </c>
      <c r="FK398">
        <f ca="1"/>
      </c>
      <c r="FL398">
        <f ca="1"/>
      </c>
      <c r="FM398">
        <f ca="1"/>
      </c>
      <c r="FN398">
        <f ca="1"/>
      </c>
      <c r="FO398">
        <f ca="1"/>
      </c>
      <c r="FP398">
        <f ca="1"/>
      </c>
      <c r="FQ398">
        <f ca="1"/>
      </c>
      <c r="FR398">
        <f ca="1"/>
      </c>
      <c r="FS398">
        <f ca="1"/>
      </c>
      <c r="FT398">
        <f ca="1"/>
      </c>
      <c r="FU398">
        <f ca="1"/>
      </c>
      <c r="FV398">
        <f ca="1"/>
      </c>
      <c r="FW398">
        <f ca="1"/>
      </c>
      <c r="FX398">
        <f ca="1"/>
      </c>
      <c r="FY398">
        <f ca="1"/>
      </c>
      <c r="FZ398">
        <f ca="1"/>
      </c>
      <c r="GA398">
        <f ca="1"/>
      </c>
      <c r="GB398">
        <f ca="1"/>
      </c>
      <c r="GC398">
        <f ca="1"/>
      </c>
      <c r="GD398">
        <f ca="1"/>
      </c>
      <c r="GE398">
        <f ca="1"/>
      </c>
      <c r="GF398">
        <f ca="1"/>
      </c>
      <c r="GG398">
        <f ca="1"/>
      </c>
      <c r="GH398">
        <f ca="1"/>
      </c>
      <c r="GI398">
        <f ca="1"/>
      </c>
      <c r="GJ398">
        <f ca="1"/>
      </c>
      <c r="GK398">
        <f ca="1"/>
      </c>
      <c r="GL398">
        <f ca="1"/>
      </c>
      <c r="GM398">
        <f ca="1"/>
      </c>
      <c r="GN398">
        <f ca="1"/>
      </c>
      <c r="GO398">
        <f ca="1"/>
      </c>
      <c r="GP398">
        <f ca="1"/>
      </c>
      <c r="GQ398">
        <f ca="1"/>
      </c>
      <c r="GR398">
        <f ca="1"/>
      </c>
      <c r="GS398">
        <f ca="1"/>
      </c>
      <c r="GT398">
        <f ca="1"/>
      </c>
      <c r="GU398">
        <f ca="1"/>
      </c>
      <c r="GV398">
        <f ca="1"/>
      </c>
      <c r="GW398">
        <f ca="1"/>
      </c>
      <c r="HI398" s="7"/>
    </row>
    <row r="399" spans="63:217" x14ac:dyDescent="0.55000000000000004">
      <c r="BK399">
        <f ca="1"/>
      </c>
      <c r="BL399">
        <f ca="1"/>
      </c>
      <c r="BM399">
        <f ca="1"/>
      </c>
      <c r="BN399">
        <f ca="1"/>
      </c>
      <c r="BO399">
        <f ca="1"/>
      </c>
      <c r="BP399">
        <f ca="1"/>
      </c>
      <c r="BQ399">
        <f ca="1"/>
      </c>
      <c r="BR399">
        <f ca="1"/>
      </c>
      <c r="BS399">
        <f ca="1"/>
      </c>
      <c r="BT399">
        <f ca="1"/>
      </c>
      <c r="BU399">
        <f ca="1"/>
      </c>
      <c r="BV399">
        <f ca="1"/>
      </c>
      <c r="BW399">
        <f ca="1"/>
      </c>
      <c r="BX399">
        <f ca="1"/>
      </c>
      <c r="BY399">
        <f ca="1"/>
      </c>
      <c r="BZ399">
        <f ca="1"/>
      </c>
      <c r="CA399">
        <f ca="1"/>
      </c>
      <c r="CB399">
        <f ca="1"/>
      </c>
      <c r="CC399">
        <f ca="1"/>
      </c>
      <c r="CD399">
        <f ca="1"/>
      </c>
      <c r="CE399">
        <f ca="1"/>
      </c>
      <c r="CF399">
        <f ca="1"/>
      </c>
      <c r="CG399">
        <f ca="1"/>
      </c>
      <c r="CH399">
        <f ca="1"/>
      </c>
      <c r="CI399">
        <f ca="1"/>
      </c>
      <c r="CJ399">
        <f ca="1"/>
      </c>
      <c r="CK399">
        <f ca="1"/>
      </c>
      <c r="CL399">
        <f ca="1"/>
      </c>
      <c r="CM399">
        <f ca="1"/>
      </c>
      <c r="CN399">
        <f ca="1"/>
      </c>
      <c r="CO399">
        <f ca="1"/>
      </c>
      <c r="CP399">
        <f ca="1"/>
      </c>
      <c r="CQ399">
        <f ca="1"/>
      </c>
      <c r="CR399">
        <f ca="1"/>
      </c>
      <c r="CS399">
        <f ca="1"/>
      </c>
      <c r="CT399">
        <f ca="1"/>
      </c>
      <c r="CU399">
        <f ca="1"/>
      </c>
      <c r="CV399">
        <f ca="1"/>
      </c>
      <c r="CW399">
        <f ca="1"/>
      </c>
      <c r="CX399">
        <f ca="1"/>
      </c>
      <c r="CY399">
        <f ca="1"/>
      </c>
      <c r="CZ399">
        <f ca="1"/>
      </c>
      <c r="DA399">
        <f ca="1"/>
      </c>
      <c r="DB399">
        <f ca="1"/>
      </c>
      <c r="DC399">
        <f ca="1"/>
      </c>
      <c r="DD399">
        <f ca="1"/>
      </c>
      <c r="DE399">
        <f ca="1"/>
      </c>
      <c r="DG399">
        <f ca="1"/>
      </c>
      <c r="DH399">
        <f ca="1"/>
      </c>
      <c r="DI399">
        <f ca="1"/>
      </c>
      <c r="DJ399">
        <f ca="1"/>
      </c>
      <c r="DK399">
        <f ca="1"/>
      </c>
      <c r="DL399">
        <f ca="1"/>
      </c>
      <c r="DM399">
        <f ca="1"/>
      </c>
      <c r="DN399">
        <f ca="1"/>
      </c>
      <c r="DO399">
        <f ca="1"/>
      </c>
      <c r="DP399">
        <f ca="1"/>
      </c>
      <c r="DQ399">
        <f ca="1"/>
      </c>
      <c r="DR399">
        <f ca="1"/>
      </c>
      <c r="DS399">
        <f ca="1"/>
      </c>
      <c r="DT399">
        <f ca="1"/>
      </c>
      <c r="DU399">
        <f ca="1"/>
      </c>
      <c r="DV399">
        <f ca="1"/>
      </c>
      <c r="DW399">
        <f ca="1"/>
      </c>
      <c r="DX399">
        <f ca="1"/>
      </c>
      <c r="DY399">
        <f ca="1"/>
      </c>
      <c r="DZ399">
        <f ca="1"/>
      </c>
      <c r="EA399">
        <f ca="1"/>
      </c>
      <c r="EB399">
        <f ca="1"/>
      </c>
      <c r="EC399">
        <f ca="1"/>
      </c>
      <c r="ED399">
        <f ca="1"/>
      </c>
      <c r="EE399">
        <f ca="1"/>
      </c>
      <c r="EF399">
        <f ca="1"/>
      </c>
      <c r="EG399">
        <f ca="1"/>
      </c>
      <c r="EH399">
        <f ca="1"/>
      </c>
      <c r="EI399">
        <f ca="1"/>
      </c>
      <c r="EJ399">
        <f ca="1"/>
      </c>
      <c r="EK399">
        <f ca="1"/>
      </c>
      <c r="EL399">
        <f ca="1"/>
      </c>
      <c r="EM399">
        <f ca="1"/>
      </c>
      <c r="EN399">
        <f ca="1"/>
      </c>
      <c r="EO399">
        <f ca="1"/>
      </c>
      <c r="EP399">
        <f ca="1"/>
      </c>
      <c r="EQ399">
        <f ca="1"/>
      </c>
      <c r="ER399">
        <f ca="1"/>
      </c>
      <c r="ES399">
        <f ca="1"/>
      </c>
      <c r="ET399">
        <f ca="1"/>
      </c>
      <c r="EU399">
        <f ca="1"/>
      </c>
      <c r="EV399">
        <f ca="1"/>
      </c>
      <c r="EW399">
        <f ca="1"/>
      </c>
      <c r="EX399">
        <f ca="1"/>
      </c>
      <c r="EY399">
        <f ca="1"/>
      </c>
      <c r="EZ399">
        <f ca="1"/>
      </c>
      <c r="FA399">
        <f ca="1"/>
      </c>
      <c r="FC399">
        <f ca="1"/>
      </c>
      <c r="FD399">
        <f ca="1"/>
      </c>
      <c r="FE399">
        <f ca="1"/>
      </c>
      <c r="FF399">
        <f ca="1"/>
      </c>
      <c r="FG399">
        <f ca="1"/>
      </c>
      <c r="FH399">
        <f ca="1"/>
      </c>
      <c r="FI399">
        <f ca="1"/>
      </c>
      <c r="FJ399">
        <f ca="1"/>
      </c>
      <c r="FK399">
        <f ca="1"/>
      </c>
      <c r="FL399">
        <f ca="1"/>
      </c>
      <c r="FM399">
        <f ca="1"/>
      </c>
      <c r="FN399">
        <f ca="1"/>
      </c>
      <c r="FO399">
        <f ca="1"/>
      </c>
      <c r="FP399">
        <f ca="1"/>
      </c>
      <c r="FQ399">
        <f ca="1"/>
      </c>
      <c r="FR399">
        <f ca="1"/>
      </c>
      <c r="FS399">
        <f ca="1"/>
      </c>
      <c r="FT399">
        <f ca="1"/>
      </c>
      <c r="FU399">
        <f ca="1"/>
      </c>
      <c r="FV399">
        <f ca="1"/>
      </c>
      <c r="FW399">
        <f ca="1"/>
      </c>
      <c r="FX399">
        <f ca="1"/>
      </c>
      <c r="FY399">
        <f ca="1"/>
      </c>
      <c r="FZ399">
        <f ca="1"/>
      </c>
      <c r="GA399">
        <f ca="1"/>
      </c>
      <c r="GB399">
        <f ca="1"/>
      </c>
      <c r="GC399">
        <f ca="1"/>
      </c>
      <c r="GD399">
        <f ca="1"/>
      </c>
      <c r="GE399">
        <f ca="1"/>
      </c>
      <c r="GF399">
        <f ca="1"/>
      </c>
      <c r="GG399">
        <f ca="1"/>
      </c>
      <c r="GH399">
        <f ca="1"/>
      </c>
      <c r="GI399">
        <f ca="1"/>
      </c>
      <c r="GJ399">
        <f ca="1"/>
      </c>
      <c r="GK399">
        <f ca="1"/>
      </c>
      <c r="GL399">
        <f ca="1"/>
      </c>
      <c r="GM399">
        <f ca="1"/>
      </c>
      <c r="GN399">
        <f ca="1"/>
      </c>
      <c r="GO399">
        <f ca="1"/>
      </c>
      <c r="GP399">
        <f ca="1"/>
      </c>
      <c r="GQ399">
        <f ca="1"/>
      </c>
      <c r="GR399">
        <f ca="1"/>
      </c>
      <c r="GS399">
        <f ca="1"/>
      </c>
      <c r="GT399">
        <f ca="1"/>
      </c>
      <c r="GU399">
        <f ca="1"/>
      </c>
      <c r="GV399">
        <f ca="1"/>
      </c>
      <c r="GW399">
        <f ca="1"/>
      </c>
      <c r="HI399" s="7"/>
    </row>
    <row r="400" spans="63:217" x14ac:dyDescent="0.55000000000000004">
      <c r="BK400">
        <f ca="1"/>
      </c>
      <c r="BL400">
        <f ca="1"/>
      </c>
      <c r="BM400">
        <f ca="1"/>
      </c>
      <c r="BN400">
        <f ca="1"/>
      </c>
      <c r="BO400">
        <f ca="1"/>
      </c>
      <c r="BP400">
        <f ca="1"/>
      </c>
      <c r="BQ400">
        <f ca="1"/>
      </c>
      <c r="BR400">
        <f ca="1"/>
      </c>
      <c r="BS400">
        <f ca="1"/>
      </c>
      <c r="BT400">
        <f ca="1"/>
      </c>
      <c r="BU400">
        <f ca="1"/>
      </c>
      <c r="BV400">
        <f ca="1"/>
      </c>
      <c r="BW400">
        <f ca="1"/>
      </c>
      <c r="BX400">
        <f ca="1"/>
      </c>
      <c r="BY400">
        <f ca="1"/>
      </c>
      <c r="BZ400">
        <f ca="1"/>
      </c>
      <c r="CA400">
        <f ca="1"/>
      </c>
      <c r="CB400">
        <f ca="1"/>
      </c>
      <c r="CC400">
        <f ca="1"/>
      </c>
      <c r="CD400">
        <f ca="1"/>
      </c>
      <c r="CE400">
        <f ca="1"/>
      </c>
      <c r="CF400">
        <f ca="1"/>
      </c>
      <c r="CG400">
        <f ca="1"/>
      </c>
      <c r="CH400">
        <f ca="1"/>
      </c>
      <c r="CI400">
        <f ca="1"/>
      </c>
      <c r="CJ400">
        <f ca="1"/>
      </c>
      <c r="CK400">
        <f ca="1"/>
      </c>
      <c r="CL400">
        <f ca="1"/>
      </c>
      <c r="CM400">
        <f ca="1"/>
      </c>
      <c r="CN400">
        <f ca="1"/>
      </c>
      <c r="CO400">
        <f ca="1"/>
      </c>
      <c r="CP400">
        <f ca="1"/>
      </c>
      <c r="CQ400">
        <f ca="1"/>
      </c>
      <c r="CR400">
        <f ca="1"/>
      </c>
      <c r="CS400">
        <f ca="1"/>
      </c>
      <c r="CT400">
        <f ca="1"/>
      </c>
      <c r="CU400">
        <f ca="1"/>
      </c>
      <c r="CV400">
        <f ca="1"/>
      </c>
      <c r="CW400">
        <f ca="1"/>
      </c>
      <c r="CX400">
        <f ca="1"/>
      </c>
      <c r="CY400">
        <f ca="1"/>
      </c>
      <c r="CZ400">
        <f ca="1"/>
      </c>
      <c r="DA400">
        <f ca="1"/>
      </c>
      <c r="DB400">
        <f ca="1"/>
      </c>
      <c r="DC400">
        <f ca="1"/>
      </c>
      <c r="DD400">
        <f ca="1"/>
      </c>
      <c r="DE400">
        <f ca="1"/>
      </c>
      <c r="DG400">
        <f ca="1"/>
      </c>
      <c r="DH400">
        <f ca="1"/>
      </c>
      <c r="DI400">
        <f ca="1"/>
      </c>
      <c r="DJ400">
        <f ca="1"/>
      </c>
      <c r="DK400">
        <f ca="1"/>
      </c>
      <c r="DL400">
        <f ca="1"/>
      </c>
      <c r="DM400">
        <f ca="1"/>
      </c>
      <c r="DN400">
        <f ca="1"/>
      </c>
      <c r="DO400">
        <f ca="1"/>
      </c>
      <c r="DP400">
        <f ca="1"/>
      </c>
      <c r="DQ400">
        <f ca="1"/>
      </c>
      <c r="DR400">
        <f ca="1"/>
      </c>
      <c r="DS400">
        <f ca="1"/>
      </c>
      <c r="DT400">
        <f ca="1"/>
      </c>
      <c r="DU400">
        <f ca="1"/>
      </c>
      <c r="DV400">
        <f ca="1"/>
      </c>
      <c r="DW400">
        <f ca="1"/>
      </c>
      <c r="DX400">
        <f ca="1"/>
      </c>
      <c r="DY400">
        <f ca="1"/>
      </c>
      <c r="DZ400">
        <f ca="1"/>
      </c>
      <c r="EA400">
        <f ca="1"/>
      </c>
      <c r="EB400">
        <f ca="1"/>
      </c>
      <c r="EC400">
        <f ca="1"/>
      </c>
      <c r="ED400">
        <f ca="1"/>
      </c>
      <c r="EE400">
        <f ca="1"/>
      </c>
      <c r="EF400">
        <f ca="1"/>
      </c>
      <c r="EG400">
        <f ca="1"/>
      </c>
      <c r="EH400">
        <f ca="1"/>
      </c>
      <c r="EI400">
        <f ca="1"/>
      </c>
      <c r="EJ400">
        <f ca="1"/>
      </c>
      <c r="EK400">
        <f ca="1"/>
      </c>
      <c r="EL400">
        <f ca="1"/>
      </c>
      <c r="EM400">
        <f ca="1"/>
      </c>
      <c r="EN400">
        <f ca="1"/>
      </c>
      <c r="EO400">
        <f ca="1"/>
      </c>
      <c r="EP400">
        <f ca="1"/>
      </c>
      <c r="EQ400">
        <f ca="1"/>
      </c>
      <c r="ER400">
        <f ca="1"/>
      </c>
      <c r="ES400">
        <f ca="1"/>
      </c>
      <c r="ET400">
        <f ca="1"/>
      </c>
      <c r="EU400">
        <f ca="1"/>
      </c>
      <c r="EV400">
        <f ca="1"/>
      </c>
      <c r="EW400">
        <f ca="1"/>
      </c>
      <c r="EX400">
        <f ca="1"/>
      </c>
      <c r="EY400">
        <f ca="1"/>
      </c>
      <c r="EZ400">
        <f ca="1"/>
      </c>
      <c r="FA400">
        <f ca="1"/>
      </c>
      <c r="FC400">
        <f ca="1"/>
      </c>
      <c r="FD400">
        <f ca="1"/>
      </c>
      <c r="FE400">
        <f ca="1"/>
      </c>
      <c r="FF400">
        <f ca="1"/>
      </c>
      <c r="FG400">
        <f ca="1"/>
      </c>
      <c r="FH400">
        <f ca="1"/>
      </c>
      <c r="FI400">
        <f ca="1"/>
      </c>
      <c r="FJ400">
        <f ca="1"/>
      </c>
      <c r="FK400">
        <f ca="1"/>
      </c>
      <c r="FL400">
        <f ca="1"/>
      </c>
      <c r="FM400">
        <f ca="1"/>
      </c>
      <c r="FN400">
        <f ca="1"/>
      </c>
      <c r="FO400">
        <f ca="1"/>
      </c>
      <c r="FP400">
        <f ca="1"/>
      </c>
      <c r="FQ400">
        <f ca="1"/>
      </c>
      <c r="FR400">
        <f ca="1"/>
      </c>
      <c r="FS400">
        <f ca="1"/>
      </c>
      <c r="FT400">
        <f ca="1"/>
      </c>
      <c r="FU400">
        <f ca="1"/>
      </c>
      <c r="FV400">
        <f ca="1"/>
      </c>
      <c r="FW400">
        <f ca="1"/>
      </c>
      <c r="FX400">
        <f ca="1"/>
      </c>
      <c r="FY400">
        <f ca="1"/>
      </c>
      <c r="FZ400">
        <f ca="1"/>
      </c>
      <c r="GA400">
        <f ca="1"/>
      </c>
      <c r="GB400">
        <f ca="1"/>
      </c>
      <c r="GC400">
        <f ca="1"/>
      </c>
      <c r="GD400">
        <f ca="1"/>
      </c>
      <c r="GE400">
        <f ca="1"/>
      </c>
      <c r="GF400">
        <f ca="1"/>
      </c>
      <c r="GG400">
        <f ca="1"/>
      </c>
      <c r="GH400">
        <f ca="1"/>
      </c>
      <c r="GI400">
        <f ca="1"/>
      </c>
      <c r="GJ400">
        <f ca="1"/>
      </c>
      <c r="GK400">
        <f ca="1"/>
      </c>
      <c r="GL400">
        <f ca="1"/>
      </c>
      <c r="GM400">
        <f ca="1"/>
      </c>
      <c r="GN400">
        <f ca="1"/>
      </c>
      <c r="GO400">
        <f ca="1"/>
      </c>
      <c r="GP400">
        <f ca="1"/>
      </c>
      <c r="GQ400">
        <f ca="1"/>
      </c>
      <c r="GR400">
        <f ca="1"/>
      </c>
      <c r="GS400">
        <f ca="1"/>
      </c>
      <c r="GT400">
        <f ca="1"/>
      </c>
      <c r="GU400">
        <f ca="1"/>
      </c>
      <c r="GV400">
        <f ca="1"/>
      </c>
      <c r="GW400">
        <f ca="1"/>
      </c>
      <c r="HI400" s="7"/>
    </row>
    <row r="401" spans="63:217" x14ac:dyDescent="0.55000000000000004">
      <c r="BK401">
        <f ca="1"/>
      </c>
      <c r="BL401">
        <f ca="1"/>
      </c>
      <c r="BM401">
        <f ca="1"/>
      </c>
      <c r="BN401">
        <f ca="1"/>
      </c>
      <c r="BO401">
        <f ca="1"/>
      </c>
      <c r="BP401">
        <f ca="1"/>
      </c>
      <c r="BQ401">
        <f ca="1"/>
      </c>
      <c r="BR401">
        <f ca="1"/>
      </c>
      <c r="BS401">
        <f ca="1"/>
      </c>
      <c r="BT401">
        <f ca="1"/>
      </c>
      <c r="BU401">
        <f ca="1"/>
      </c>
      <c r="BV401">
        <f ca="1"/>
      </c>
      <c r="BW401">
        <f ca="1"/>
      </c>
      <c r="BX401">
        <f ca="1"/>
      </c>
      <c r="BY401">
        <f ca="1"/>
      </c>
      <c r="BZ401">
        <f ca="1"/>
      </c>
      <c r="CA401">
        <f ca="1"/>
      </c>
      <c r="CB401">
        <f ca="1"/>
      </c>
      <c r="CC401">
        <f ca="1"/>
      </c>
      <c r="CD401">
        <f ca="1"/>
      </c>
      <c r="CE401">
        <f ca="1"/>
      </c>
      <c r="CF401">
        <f ca="1"/>
      </c>
      <c r="CG401">
        <f ca="1"/>
      </c>
      <c r="CH401">
        <f ca="1"/>
      </c>
      <c r="CI401">
        <f ca="1"/>
      </c>
      <c r="CJ401">
        <f ca="1"/>
      </c>
      <c r="CK401">
        <f ca="1"/>
      </c>
      <c r="CL401">
        <f ca="1"/>
      </c>
      <c r="CM401">
        <f ca="1"/>
      </c>
      <c r="CN401">
        <f ca="1"/>
      </c>
      <c r="CO401">
        <f ca="1"/>
      </c>
      <c r="CP401">
        <f ca="1"/>
      </c>
      <c r="CQ401">
        <f ca="1"/>
      </c>
      <c r="CR401">
        <f ca="1"/>
      </c>
      <c r="CS401">
        <f ca="1"/>
      </c>
      <c r="CT401">
        <f ca="1"/>
      </c>
      <c r="CU401">
        <f ca="1"/>
      </c>
      <c r="CV401">
        <f ca="1"/>
      </c>
      <c r="CW401">
        <f ca="1"/>
      </c>
      <c r="CX401">
        <f ca="1"/>
      </c>
      <c r="CY401">
        <f ca="1"/>
      </c>
      <c r="CZ401">
        <f ca="1"/>
      </c>
      <c r="DA401">
        <f ca="1"/>
      </c>
      <c r="DB401">
        <f ca="1"/>
      </c>
      <c r="DC401">
        <f ca="1"/>
      </c>
      <c r="DD401">
        <f ca="1"/>
      </c>
      <c r="DE401">
        <f ca="1"/>
      </c>
      <c r="DG401">
        <f ca="1"/>
      </c>
      <c r="DH401">
        <f ca="1"/>
      </c>
      <c r="DI401">
        <f ca="1"/>
      </c>
      <c r="DJ401">
        <f ca="1"/>
      </c>
      <c r="DK401">
        <f ca="1"/>
      </c>
      <c r="DL401">
        <f ca="1"/>
      </c>
      <c r="DM401">
        <f ca="1"/>
      </c>
      <c r="DN401">
        <f ca="1"/>
      </c>
      <c r="DO401">
        <f ca="1"/>
      </c>
      <c r="DP401">
        <f ca="1"/>
      </c>
      <c r="DQ401">
        <f ca="1"/>
      </c>
      <c r="DR401">
        <f ca="1"/>
      </c>
      <c r="DS401">
        <f ca="1"/>
      </c>
      <c r="DT401">
        <f ca="1"/>
      </c>
      <c r="DU401">
        <f ca="1"/>
      </c>
      <c r="DV401">
        <f ca="1"/>
      </c>
      <c r="DW401">
        <f ca="1"/>
      </c>
      <c r="DX401">
        <f ca="1"/>
      </c>
      <c r="DY401">
        <f ca="1"/>
      </c>
      <c r="DZ401">
        <f ca="1"/>
      </c>
      <c r="EA401">
        <f ca="1"/>
      </c>
      <c r="EB401">
        <f ca="1"/>
      </c>
      <c r="EC401">
        <f ca="1"/>
      </c>
      <c r="ED401">
        <f ca="1"/>
      </c>
      <c r="EE401">
        <f ca="1"/>
      </c>
      <c r="EF401">
        <f ca="1"/>
      </c>
      <c r="EG401">
        <f ca="1"/>
      </c>
      <c r="EH401">
        <f ca="1"/>
      </c>
      <c r="EI401">
        <f ca="1"/>
      </c>
      <c r="EJ401">
        <f ca="1"/>
      </c>
      <c r="EK401">
        <f ca="1"/>
      </c>
      <c r="EL401">
        <f ca="1"/>
      </c>
      <c r="EM401">
        <f ca="1"/>
      </c>
      <c r="EN401">
        <f ca="1"/>
      </c>
      <c r="EO401">
        <f ca="1"/>
      </c>
      <c r="EP401">
        <f ca="1"/>
      </c>
      <c r="EQ401">
        <f ca="1"/>
      </c>
      <c r="ER401">
        <f ca="1"/>
      </c>
      <c r="ES401">
        <f ca="1"/>
      </c>
      <c r="ET401">
        <f ca="1"/>
      </c>
      <c r="EU401">
        <f ca="1"/>
      </c>
      <c r="EV401">
        <f ca="1"/>
      </c>
      <c r="EW401">
        <f ca="1"/>
      </c>
      <c r="EX401">
        <f ca="1"/>
      </c>
      <c r="EY401">
        <f ca="1"/>
      </c>
      <c r="EZ401">
        <f ca="1"/>
      </c>
      <c r="FA401">
        <f ca="1"/>
      </c>
      <c r="FC401">
        <f ca="1"/>
      </c>
      <c r="FD401">
        <f ca="1"/>
      </c>
      <c r="FE401">
        <f ca="1"/>
      </c>
      <c r="FF401">
        <f ca="1"/>
      </c>
      <c r="FG401">
        <f ca="1"/>
      </c>
      <c r="FH401">
        <f ca="1"/>
      </c>
      <c r="FI401">
        <f ca="1"/>
      </c>
      <c r="FJ401">
        <f ca="1"/>
      </c>
      <c r="FK401">
        <f ca="1"/>
      </c>
      <c r="FL401">
        <f ca="1"/>
      </c>
      <c r="FM401">
        <f ca="1"/>
      </c>
      <c r="FN401">
        <f ca="1"/>
      </c>
      <c r="FO401">
        <f ca="1"/>
      </c>
      <c r="FP401">
        <f ca="1"/>
      </c>
      <c r="FQ401">
        <f ca="1"/>
      </c>
      <c r="FR401">
        <f ca="1"/>
      </c>
      <c r="FS401">
        <f ca="1"/>
      </c>
      <c r="FT401">
        <f ca="1"/>
      </c>
      <c r="FU401">
        <f ca="1"/>
      </c>
      <c r="FV401">
        <f ca="1"/>
      </c>
      <c r="FW401">
        <f ca="1"/>
      </c>
      <c r="FX401">
        <f ca="1"/>
      </c>
      <c r="FY401">
        <f ca="1"/>
      </c>
      <c r="FZ401">
        <f ca="1"/>
      </c>
      <c r="GA401">
        <f ca="1"/>
      </c>
      <c r="GB401">
        <f ca="1"/>
      </c>
      <c r="GC401">
        <f ca="1"/>
      </c>
      <c r="GD401">
        <f ca="1"/>
      </c>
      <c r="GE401">
        <f ca="1"/>
      </c>
      <c r="GF401">
        <f ca="1"/>
      </c>
      <c r="GG401">
        <f ca="1"/>
      </c>
      <c r="GH401">
        <f ca="1"/>
      </c>
      <c r="GI401">
        <f ca="1"/>
      </c>
      <c r="GJ401">
        <f ca="1"/>
      </c>
      <c r="GK401">
        <f ca="1"/>
      </c>
      <c r="GL401">
        <f ca="1"/>
      </c>
      <c r="GM401">
        <f ca="1"/>
      </c>
      <c r="GN401">
        <f ca="1"/>
      </c>
      <c r="GO401">
        <f ca="1"/>
      </c>
      <c r="GP401">
        <f ca="1"/>
      </c>
      <c r="GQ401">
        <f ca="1"/>
      </c>
      <c r="GR401">
        <f ca="1"/>
      </c>
      <c r="GS401">
        <f ca="1"/>
      </c>
      <c r="GT401">
        <f ca="1"/>
      </c>
      <c r="GU401">
        <f ca="1"/>
      </c>
      <c r="GV401">
        <f ca="1"/>
      </c>
      <c r="GW401">
        <f ca="1"/>
      </c>
      <c r="HI401" s="7"/>
    </row>
    <row r="402" spans="63:217" x14ac:dyDescent="0.55000000000000004">
      <c r="BK402">
        <f ca="1"/>
      </c>
      <c r="BL402">
        <f ca="1"/>
      </c>
      <c r="BM402">
        <f ca="1"/>
      </c>
      <c r="BN402">
        <f ca="1"/>
      </c>
      <c r="BO402">
        <f ca="1"/>
      </c>
      <c r="BP402">
        <f ca="1"/>
      </c>
      <c r="BQ402">
        <f ca="1"/>
      </c>
      <c r="BR402">
        <f ca="1"/>
      </c>
      <c r="BS402">
        <f ca="1"/>
      </c>
      <c r="BT402">
        <f ca="1"/>
      </c>
      <c r="BU402">
        <f ca="1"/>
      </c>
      <c r="BV402">
        <f ca="1"/>
      </c>
      <c r="BW402">
        <f ca="1"/>
      </c>
      <c r="BX402">
        <f ca="1"/>
      </c>
      <c r="BY402">
        <f ca="1"/>
      </c>
      <c r="BZ402">
        <f ca="1"/>
      </c>
      <c r="CA402">
        <f ca="1"/>
      </c>
      <c r="CB402">
        <f ca="1"/>
      </c>
      <c r="CC402">
        <f ca="1"/>
      </c>
      <c r="CD402">
        <f ca="1"/>
      </c>
      <c r="CE402">
        <f ca="1"/>
      </c>
      <c r="CF402">
        <f ca="1"/>
      </c>
      <c r="CG402">
        <f ca="1"/>
      </c>
      <c r="CH402">
        <f ca="1"/>
      </c>
      <c r="CI402">
        <f ca="1"/>
      </c>
      <c r="CJ402">
        <f ca="1"/>
      </c>
      <c r="CK402">
        <f ca="1"/>
      </c>
      <c r="CL402">
        <f ca="1"/>
      </c>
      <c r="CM402">
        <f ca="1"/>
      </c>
      <c r="CN402">
        <f ca="1"/>
      </c>
      <c r="CO402">
        <f ca="1"/>
      </c>
      <c r="CP402">
        <f ca="1"/>
      </c>
      <c r="CQ402">
        <f ca="1"/>
      </c>
      <c r="CR402">
        <f ca="1"/>
      </c>
      <c r="CS402">
        <f ca="1"/>
      </c>
      <c r="CT402">
        <f ca="1"/>
      </c>
      <c r="CU402">
        <f ca="1"/>
      </c>
      <c r="CV402">
        <f ca="1"/>
      </c>
      <c r="CW402">
        <f ca="1"/>
      </c>
      <c r="CX402">
        <f ca="1"/>
      </c>
      <c r="CY402">
        <f ca="1"/>
      </c>
      <c r="CZ402">
        <f ca="1"/>
      </c>
      <c r="DA402">
        <f ca="1"/>
      </c>
      <c r="DB402">
        <f ca="1"/>
      </c>
      <c r="DC402">
        <f ca="1"/>
      </c>
      <c r="DD402">
        <f ca="1"/>
      </c>
      <c r="DE402">
        <f ca="1"/>
      </c>
      <c r="DG402">
        <f ca="1"/>
      </c>
      <c r="DH402">
        <f ca="1"/>
      </c>
      <c r="DI402">
        <f ca="1"/>
      </c>
      <c r="DJ402">
        <f ca="1"/>
      </c>
      <c r="DK402">
        <f ca="1"/>
      </c>
      <c r="DL402">
        <f ca="1"/>
      </c>
      <c r="DM402">
        <f ca="1"/>
      </c>
      <c r="DN402">
        <f ca="1"/>
      </c>
      <c r="DO402">
        <f ca="1"/>
      </c>
      <c r="DP402">
        <f ca="1"/>
      </c>
      <c r="DQ402">
        <f ca="1"/>
      </c>
      <c r="DR402">
        <f ca="1"/>
      </c>
      <c r="DS402">
        <f ca="1"/>
      </c>
      <c r="DT402">
        <f ca="1"/>
      </c>
      <c r="DU402">
        <f ca="1"/>
      </c>
      <c r="DV402">
        <f ca="1"/>
      </c>
      <c r="DW402">
        <f ca="1"/>
      </c>
      <c r="DX402">
        <f ca="1"/>
      </c>
      <c r="DY402">
        <f ca="1"/>
      </c>
      <c r="DZ402">
        <f ca="1"/>
      </c>
      <c r="EA402">
        <f ca="1"/>
      </c>
      <c r="EB402">
        <f ca="1"/>
      </c>
      <c r="EC402">
        <f ca="1"/>
      </c>
      <c r="ED402">
        <f ca="1"/>
      </c>
      <c r="EE402">
        <f ca="1"/>
      </c>
      <c r="EF402">
        <f ca="1"/>
      </c>
      <c r="EG402">
        <f ca="1"/>
      </c>
      <c r="EH402">
        <f ca="1"/>
      </c>
      <c r="EI402">
        <f ca="1"/>
      </c>
      <c r="EJ402">
        <f ca="1"/>
      </c>
      <c r="EK402">
        <f ca="1"/>
      </c>
      <c r="EL402">
        <f ca="1"/>
      </c>
      <c r="EM402">
        <f ca="1"/>
      </c>
      <c r="EN402">
        <f ca="1"/>
      </c>
      <c r="EO402">
        <f ca="1"/>
      </c>
      <c r="EP402">
        <f ca="1"/>
      </c>
      <c r="EQ402">
        <f ca="1"/>
      </c>
      <c r="ER402">
        <f ca="1"/>
      </c>
      <c r="ES402">
        <f ca="1"/>
      </c>
      <c r="ET402">
        <f ca="1"/>
      </c>
      <c r="EU402">
        <f ca="1"/>
      </c>
      <c r="EV402">
        <f ca="1"/>
      </c>
      <c r="EW402">
        <f ca="1"/>
      </c>
      <c r="EX402">
        <f ca="1"/>
      </c>
      <c r="EY402">
        <f ca="1"/>
      </c>
      <c r="EZ402">
        <f ca="1"/>
      </c>
      <c r="FA402">
        <f ca="1"/>
      </c>
      <c r="FC402">
        <f ca="1"/>
      </c>
      <c r="FD402">
        <f ca="1"/>
      </c>
      <c r="FE402">
        <f ca="1"/>
      </c>
      <c r="FF402">
        <f ca="1"/>
      </c>
      <c r="FG402">
        <f ca="1"/>
      </c>
      <c r="FH402">
        <f ca="1"/>
      </c>
      <c r="FI402">
        <f ca="1"/>
      </c>
      <c r="FJ402">
        <f ca="1"/>
      </c>
      <c r="FK402">
        <f ca="1"/>
      </c>
      <c r="FL402">
        <f ca="1"/>
      </c>
      <c r="FM402">
        <f ca="1"/>
      </c>
      <c r="FN402">
        <f ca="1"/>
      </c>
      <c r="FO402">
        <f ca="1"/>
      </c>
      <c r="FP402">
        <f ca="1"/>
      </c>
      <c r="FQ402">
        <f ca="1"/>
      </c>
      <c r="FR402">
        <f ca="1"/>
      </c>
      <c r="FS402">
        <f ca="1"/>
      </c>
      <c r="FT402">
        <f ca="1"/>
      </c>
      <c r="FU402">
        <f ca="1"/>
      </c>
      <c r="FV402">
        <f ca="1"/>
      </c>
      <c r="FW402">
        <f ca="1"/>
      </c>
      <c r="FX402">
        <f ca="1"/>
      </c>
      <c r="FY402">
        <f ca="1"/>
      </c>
      <c r="FZ402">
        <f ca="1"/>
      </c>
      <c r="GA402">
        <f ca="1"/>
      </c>
      <c r="GB402">
        <f ca="1"/>
      </c>
      <c r="GC402">
        <f ca="1"/>
      </c>
      <c r="GD402">
        <f ca="1"/>
      </c>
      <c r="GE402">
        <f ca="1"/>
      </c>
      <c r="GF402">
        <f ca="1"/>
      </c>
      <c r="GG402">
        <f ca="1"/>
      </c>
      <c r="GH402">
        <f ca="1"/>
      </c>
      <c r="GI402">
        <f ca="1"/>
      </c>
      <c r="GJ402">
        <f ca="1"/>
      </c>
      <c r="GK402">
        <f ca="1"/>
      </c>
      <c r="GL402">
        <f ca="1"/>
      </c>
      <c r="GM402">
        <f ca="1"/>
      </c>
      <c r="GN402">
        <f ca="1"/>
      </c>
      <c r="GO402">
        <f ca="1"/>
      </c>
      <c r="GP402">
        <f ca="1"/>
      </c>
      <c r="GQ402">
        <f ca="1"/>
      </c>
      <c r="GR402">
        <f ca="1"/>
      </c>
      <c r="GS402">
        <f ca="1"/>
      </c>
      <c r="GT402">
        <f ca="1"/>
      </c>
      <c r="GU402">
        <f ca="1"/>
      </c>
      <c r="GV402">
        <f ca="1"/>
      </c>
      <c r="GW402">
        <f ca="1"/>
      </c>
      <c r="HI402" s="7"/>
    </row>
    <row r="403" spans="63:217" x14ac:dyDescent="0.55000000000000004">
      <c r="BK403">
        <f ca="1"/>
      </c>
      <c r="BL403">
        <f ca="1"/>
      </c>
      <c r="BM403">
        <f ca="1"/>
      </c>
      <c r="BN403">
        <f ca="1"/>
      </c>
      <c r="BO403">
        <f ca="1"/>
      </c>
      <c r="BP403">
        <f ca="1"/>
      </c>
      <c r="BQ403">
        <f ca="1"/>
      </c>
      <c r="BR403">
        <f ca="1"/>
      </c>
      <c r="BS403">
        <f ca="1"/>
      </c>
      <c r="BT403">
        <f ca="1"/>
      </c>
      <c r="BU403">
        <f ca="1"/>
      </c>
      <c r="BV403">
        <f ca="1"/>
      </c>
      <c r="BW403">
        <f ca="1"/>
      </c>
      <c r="BX403">
        <f ca="1"/>
      </c>
      <c r="BY403">
        <f ca="1"/>
      </c>
      <c r="BZ403">
        <f ca="1"/>
      </c>
      <c r="CA403">
        <f ca="1"/>
      </c>
      <c r="CB403">
        <f ca="1"/>
      </c>
      <c r="CC403">
        <f ca="1"/>
      </c>
      <c r="CD403">
        <f ca="1"/>
      </c>
      <c r="CE403">
        <f ca="1"/>
      </c>
      <c r="CF403">
        <f ca="1"/>
      </c>
      <c r="CG403">
        <f ca="1"/>
      </c>
      <c r="CH403">
        <f ca="1"/>
      </c>
      <c r="CI403">
        <f ca="1"/>
      </c>
      <c r="CJ403">
        <f ca="1"/>
      </c>
      <c r="CK403">
        <f ca="1"/>
      </c>
      <c r="CL403">
        <f ca="1"/>
      </c>
      <c r="CM403">
        <f ca="1"/>
      </c>
      <c r="CN403">
        <f ca="1"/>
      </c>
      <c r="CO403">
        <f ca="1"/>
      </c>
      <c r="CP403">
        <f ca="1"/>
      </c>
      <c r="CQ403">
        <f ca="1"/>
      </c>
      <c r="CR403">
        <f ca="1"/>
      </c>
      <c r="CS403">
        <f ca="1"/>
      </c>
      <c r="CT403">
        <f ca="1"/>
      </c>
      <c r="CU403">
        <f ca="1"/>
      </c>
      <c r="CV403">
        <f ca="1"/>
      </c>
      <c r="CW403">
        <f ca="1"/>
      </c>
      <c r="CX403">
        <f ca="1"/>
      </c>
      <c r="CY403">
        <f ca="1"/>
      </c>
      <c r="CZ403">
        <f ca="1"/>
      </c>
      <c r="DA403">
        <f ca="1"/>
      </c>
      <c r="DB403">
        <f ca="1"/>
      </c>
      <c r="DC403">
        <f ca="1"/>
      </c>
      <c r="DD403">
        <f ca="1"/>
      </c>
      <c r="DE403">
        <f ca="1"/>
      </c>
      <c r="DG403">
        <f ca="1"/>
      </c>
      <c r="DH403">
        <f ca="1"/>
      </c>
      <c r="DI403">
        <f ca="1"/>
      </c>
      <c r="DJ403">
        <f ca="1"/>
      </c>
      <c r="DK403">
        <f ca="1"/>
      </c>
      <c r="DL403">
        <f ca="1"/>
      </c>
      <c r="DM403">
        <f ca="1"/>
      </c>
      <c r="DN403">
        <f ca="1"/>
      </c>
      <c r="DO403">
        <f ca="1"/>
      </c>
      <c r="DP403">
        <f ca="1"/>
      </c>
      <c r="DQ403">
        <f ca="1"/>
      </c>
      <c r="DR403">
        <f ca="1"/>
      </c>
      <c r="DS403">
        <f ca="1"/>
      </c>
      <c r="DT403">
        <f ca="1"/>
      </c>
      <c r="DU403">
        <f ca="1"/>
      </c>
      <c r="DV403">
        <f ca="1"/>
      </c>
      <c r="DW403">
        <f ca="1"/>
      </c>
      <c r="DX403">
        <f ca="1"/>
      </c>
      <c r="DY403">
        <f ca="1"/>
      </c>
      <c r="DZ403">
        <f ca="1"/>
      </c>
      <c r="EA403">
        <f ca="1"/>
      </c>
      <c r="EB403">
        <f ca="1"/>
      </c>
      <c r="EC403">
        <f ca="1"/>
      </c>
      <c r="ED403">
        <f ca="1"/>
      </c>
      <c r="EE403">
        <f ca="1"/>
      </c>
      <c r="EF403">
        <f ca="1"/>
      </c>
      <c r="EG403">
        <f ca="1"/>
      </c>
      <c r="EH403">
        <f ca="1"/>
      </c>
      <c r="EI403">
        <f ca="1"/>
      </c>
      <c r="EJ403">
        <f ca="1"/>
      </c>
      <c r="EK403">
        <f ca="1"/>
      </c>
      <c r="EL403">
        <f ca="1"/>
      </c>
      <c r="EM403">
        <f ca="1"/>
      </c>
      <c r="EN403">
        <f ca="1"/>
      </c>
      <c r="EO403">
        <f ca="1"/>
      </c>
      <c r="EP403">
        <f ca="1"/>
      </c>
      <c r="EQ403">
        <f ca="1"/>
      </c>
      <c r="ER403">
        <f ca="1"/>
      </c>
      <c r="ES403">
        <f ca="1"/>
      </c>
      <c r="ET403">
        <f ca="1"/>
      </c>
      <c r="EU403">
        <f ca="1"/>
      </c>
      <c r="EV403">
        <f ca="1"/>
      </c>
      <c r="EW403">
        <f ca="1"/>
      </c>
      <c r="EX403">
        <f ca="1"/>
      </c>
      <c r="EY403">
        <f ca="1"/>
      </c>
      <c r="EZ403">
        <f ca="1"/>
      </c>
      <c r="FA403">
        <f ca="1"/>
      </c>
      <c r="FC403">
        <f ca="1"/>
      </c>
      <c r="FD403">
        <f ca="1"/>
      </c>
      <c r="FE403">
        <f ca="1"/>
      </c>
      <c r="FF403">
        <f ca="1"/>
      </c>
      <c r="FG403">
        <f ca="1"/>
      </c>
      <c r="FH403">
        <f ca="1"/>
      </c>
      <c r="FI403">
        <f ca="1"/>
      </c>
      <c r="FJ403">
        <f ca="1"/>
      </c>
      <c r="FK403">
        <f ca="1"/>
      </c>
      <c r="FL403">
        <f ca="1"/>
      </c>
      <c r="FM403">
        <f ca="1"/>
      </c>
      <c r="FN403">
        <f ca="1"/>
      </c>
      <c r="FO403">
        <f ca="1"/>
      </c>
      <c r="FP403">
        <f ca="1"/>
      </c>
      <c r="FQ403">
        <f ca="1"/>
      </c>
      <c r="FR403">
        <f ca="1"/>
      </c>
      <c r="FS403">
        <f ca="1"/>
      </c>
      <c r="FT403">
        <f ca="1"/>
      </c>
      <c r="FU403">
        <f ca="1"/>
      </c>
      <c r="FV403">
        <f ca="1"/>
      </c>
      <c r="FW403">
        <f ca="1"/>
      </c>
      <c r="FX403">
        <f ca="1"/>
      </c>
      <c r="FY403">
        <f ca="1"/>
      </c>
      <c r="FZ403">
        <f ca="1"/>
      </c>
      <c r="GA403">
        <f ca="1"/>
      </c>
      <c r="GB403">
        <f ca="1"/>
      </c>
      <c r="GC403">
        <f ca="1"/>
      </c>
      <c r="GD403">
        <f ca="1"/>
      </c>
      <c r="GE403">
        <f ca="1"/>
      </c>
      <c r="GF403">
        <f ca="1"/>
      </c>
      <c r="GG403">
        <f ca="1"/>
      </c>
      <c r="GH403">
        <f ca="1"/>
      </c>
      <c r="GI403">
        <f ca="1"/>
      </c>
      <c r="GJ403">
        <f ca="1"/>
      </c>
      <c r="GK403">
        <f ca="1"/>
      </c>
      <c r="GL403">
        <f ca="1"/>
      </c>
      <c r="GM403">
        <f ca="1"/>
      </c>
      <c r="GN403">
        <f ca="1"/>
      </c>
      <c r="GO403">
        <f ca="1"/>
      </c>
      <c r="GP403">
        <f ca="1"/>
      </c>
      <c r="GQ403">
        <f ca="1"/>
      </c>
      <c r="GR403">
        <f ca="1"/>
      </c>
      <c r="GS403">
        <f ca="1"/>
      </c>
      <c r="GT403">
        <f ca="1"/>
      </c>
      <c r="GU403">
        <f ca="1"/>
      </c>
      <c r="GV403">
        <f ca="1"/>
      </c>
      <c r="GW403">
        <f ca="1"/>
      </c>
      <c r="HI403" s="7"/>
    </row>
    <row r="404" spans="63:217" x14ac:dyDescent="0.55000000000000004">
      <c r="BK404">
        <f ca="1"/>
      </c>
      <c r="BL404">
        <f ca="1"/>
      </c>
      <c r="BM404">
        <f ca="1"/>
      </c>
      <c r="BN404">
        <f ca="1"/>
      </c>
      <c r="BO404">
        <f ca="1"/>
      </c>
      <c r="BP404">
        <f ca="1"/>
      </c>
      <c r="BQ404">
        <f ca="1"/>
      </c>
      <c r="BR404">
        <f ca="1"/>
      </c>
      <c r="BS404">
        <f ca="1"/>
      </c>
      <c r="BT404">
        <f ca="1"/>
      </c>
      <c r="BU404">
        <f ca="1"/>
      </c>
      <c r="BV404">
        <f ca="1"/>
      </c>
      <c r="BW404">
        <f ca="1"/>
      </c>
      <c r="BX404">
        <f ca="1"/>
      </c>
      <c r="BY404">
        <f ca="1"/>
      </c>
      <c r="BZ404">
        <f ca="1"/>
      </c>
      <c r="CA404">
        <f ca="1"/>
      </c>
      <c r="CB404">
        <f ca="1"/>
      </c>
      <c r="CC404">
        <f ca="1"/>
      </c>
      <c r="CD404">
        <f ca="1"/>
      </c>
      <c r="CE404">
        <f ca="1"/>
      </c>
      <c r="CF404">
        <f ca="1"/>
      </c>
      <c r="CG404">
        <f ca="1"/>
      </c>
      <c r="CH404">
        <f ca="1"/>
      </c>
      <c r="CI404">
        <f ca="1"/>
      </c>
      <c r="CJ404">
        <f ca="1"/>
      </c>
      <c r="CK404">
        <f ca="1"/>
      </c>
      <c r="CL404">
        <f ca="1"/>
      </c>
      <c r="CM404">
        <f ca="1"/>
      </c>
      <c r="CN404">
        <f ca="1"/>
      </c>
      <c r="CO404">
        <f ca="1"/>
      </c>
      <c r="CP404">
        <f ca="1"/>
      </c>
      <c r="CQ404">
        <f ca="1"/>
      </c>
      <c r="CR404">
        <f ca="1"/>
      </c>
      <c r="CS404">
        <f ca="1"/>
      </c>
      <c r="CT404">
        <f ca="1"/>
      </c>
      <c r="CU404">
        <f ca="1"/>
      </c>
      <c r="CV404">
        <f ca="1"/>
      </c>
      <c r="CW404">
        <f ca="1"/>
      </c>
      <c r="CX404">
        <f ca="1"/>
      </c>
      <c r="CY404">
        <f ca="1"/>
      </c>
      <c r="CZ404">
        <f ca="1"/>
      </c>
      <c r="DA404">
        <f ca="1"/>
      </c>
      <c r="DB404">
        <f ca="1"/>
      </c>
      <c r="DC404">
        <f ca="1"/>
      </c>
      <c r="DD404">
        <f ca="1"/>
      </c>
      <c r="DE404">
        <f ca="1"/>
      </c>
      <c r="DG404">
        <f ca="1"/>
      </c>
      <c r="DH404">
        <f ca="1"/>
      </c>
      <c r="DI404">
        <f ca="1"/>
      </c>
      <c r="DJ404">
        <f ca="1"/>
      </c>
      <c r="DK404">
        <f ca="1"/>
      </c>
      <c r="DL404">
        <f ca="1"/>
      </c>
      <c r="DM404">
        <f ca="1"/>
      </c>
      <c r="DN404">
        <f ca="1"/>
      </c>
      <c r="DO404">
        <f ca="1"/>
      </c>
      <c r="DP404">
        <f ca="1"/>
      </c>
      <c r="DQ404">
        <f ca="1"/>
      </c>
      <c r="DR404">
        <f ca="1"/>
      </c>
      <c r="DS404">
        <f ca="1"/>
      </c>
      <c r="DT404">
        <f ca="1"/>
      </c>
      <c r="DU404">
        <f ca="1"/>
      </c>
      <c r="DV404">
        <f ca="1"/>
      </c>
      <c r="DW404">
        <f ca="1"/>
      </c>
      <c r="DX404">
        <f ca="1"/>
      </c>
      <c r="DY404">
        <f ca="1"/>
      </c>
      <c r="DZ404">
        <f ca="1"/>
      </c>
      <c r="EA404">
        <f ca="1"/>
      </c>
      <c r="EB404">
        <f ca="1"/>
      </c>
      <c r="EC404">
        <f ca="1"/>
      </c>
      <c r="ED404">
        <f ca="1"/>
      </c>
      <c r="EE404">
        <f ca="1"/>
      </c>
      <c r="EF404">
        <f ca="1"/>
      </c>
      <c r="EG404">
        <f ca="1"/>
      </c>
      <c r="EH404">
        <f ca="1"/>
      </c>
      <c r="EI404">
        <f ca="1"/>
      </c>
      <c r="EJ404">
        <f ca="1"/>
      </c>
      <c r="EK404">
        <f ca="1"/>
      </c>
      <c r="EL404">
        <f ca="1"/>
      </c>
      <c r="EM404">
        <f ca="1"/>
      </c>
      <c r="EN404">
        <f ca="1"/>
      </c>
      <c r="EO404">
        <f ca="1"/>
      </c>
      <c r="EP404">
        <f ca="1"/>
      </c>
      <c r="EQ404">
        <f ca="1"/>
      </c>
      <c r="ER404">
        <f ca="1"/>
      </c>
      <c r="ES404">
        <f ca="1"/>
      </c>
      <c r="ET404">
        <f ca="1"/>
      </c>
      <c r="EU404">
        <f ca="1"/>
      </c>
      <c r="EV404">
        <f ca="1"/>
      </c>
      <c r="EW404">
        <f ca="1"/>
      </c>
      <c r="EX404">
        <f ca="1"/>
      </c>
      <c r="EY404">
        <f ca="1"/>
      </c>
      <c r="EZ404">
        <f ca="1"/>
      </c>
      <c r="FA404">
        <f ca="1"/>
      </c>
      <c r="FC404">
        <f ca="1"/>
      </c>
      <c r="FD404">
        <f ca="1"/>
      </c>
      <c r="FE404">
        <f ca="1"/>
      </c>
      <c r="FF404">
        <f ca="1"/>
      </c>
      <c r="FG404">
        <f ca="1"/>
      </c>
      <c r="FH404">
        <f ca="1"/>
      </c>
      <c r="FI404">
        <f ca="1"/>
      </c>
      <c r="FJ404">
        <f ca="1"/>
      </c>
      <c r="FK404">
        <f ca="1"/>
      </c>
      <c r="FL404">
        <f ca="1"/>
      </c>
      <c r="FM404">
        <f ca="1"/>
      </c>
      <c r="FN404">
        <f ca="1"/>
      </c>
      <c r="FO404">
        <f ca="1"/>
      </c>
      <c r="FP404">
        <f ca="1"/>
      </c>
      <c r="FQ404">
        <f ca="1"/>
      </c>
      <c r="FR404">
        <f ca="1"/>
      </c>
      <c r="FS404">
        <f ca="1"/>
      </c>
      <c r="FT404">
        <f ca="1"/>
      </c>
      <c r="FU404">
        <f ca="1"/>
      </c>
      <c r="FV404">
        <f ca="1"/>
      </c>
      <c r="FW404">
        <f ca="1"/>
      </c>
      <c r="FX404">
        <f ca="1"/>
      </c>
      <c r="FY404">
        <f ca="1"/>
      </c>
      <c r="FZ404">
        <f ca="1"/>
      </c>
      <c r="GA404">
        <f ca="1"/>
      </c>
      <c r="GB404">
        <f ca="1"/>
      </c>
      <c r="GC404">
        <f ca="1"/>
      </c>
      <c r="GD404">
        <f ca="1"/>
      </c>
      <c r="GE404">
        <f ca="1"/>
      </c>
      <c r="GF404">
        <f ca="1"/>
      </c>
      <c r="GG404">
        <f ca="1"/>
      </c>
      <c r="GH404">
        <f ca="1"/>
      </c>
      <c r="GI404">
        <f ca="1"/>
      </c>
      <c r="GJ404">
        <f ca="1"/>
      </c>
      <c r="GK404">
        <f ca="1"/>
      </c>
      <c r="GL404">
        <f ca="1"/>
      </c>
      <c r="GM404">
        <f ca="1"/>
      </c>
      <c r="GN404">
        <f ca="1"/>
      </c>
      <c r="GO404">
        <f ca="1"/>
      </c>
      <c r="GP404">
        <f ca="1"/>
      </c>
      <c r="GQ404">
        <f ca="1"/>
      </c>
      <c r="GR404">
        <f ca="1"/>
      </c>
      <c r="GS404">
        <f ca="1"/>
      </c>
      <c r="GT404">
        <f ca="1"/>
      </c>
      <c r="GU404">
        <f ca="1"/>
      </c>
      <c r="GV404">
        <f ca="1"/>
      </c>
      <c r="GW404">
        <f ca="1"/>
      </c>
      <c r="HI404" s="7"/>
    </row>
    <row r="405" spans="63:217" x14ac:dyDescent="0.55000000000000004">
      <c r="BK405">
        <f ca="1"/>
      </c>
      <c r="BL405">
        <f ca="1"/>
      </c>
      <c r="BM405">
        <f ca="1"/>
      </c>
      <c r="BN405">
        <f ca="1"/>
      </c>
      <c r="BO405">
        <f ca="1"/>
      </c>
      <c r="BP405">
        <f ca="1"/>
      </c>
      <c r="BQ405">
        <f ca="1"/>
      </c>
      <c r="BR405">
        <f ca="1"/>
      </c>
      <c r="BS405">
        <f ca="1"/>
      </c>
      <c r="BT405">
        <f ca="1"/>
      </c>
      <c r="BU405">
        <f ca="1"/>
      </c>
      <c r="BV405">
        <f ca="1"/>
      </c>
      <c r="BW405">
        <f ca="1"/>
      </c>
      <c r="BX405">
        <f ca="1"/>
      </c>
      <c r="BY405">
        <f ca="1"/>
      </c>
      <c r="BZ405">
        <f ca="1"/>
      </c>
      <c r="CA405">
        <f ca="1"/>
      </c>
      <c r="CB405">
        <f ca="1"/>
      </c>
      <c r="CC405">
        <f ca="1"/>
      </c>
      <c r="CD405">
        <f ca="1"/>
      </c>
      <c r="CE405">
        <f ca="1"/>
      </c>
      <c r="CF405">
        <f ca="1"/>
      </c>
      <c r="CG405">
        <f ca="1"/>
      </c>
      <c r="CH405">
        <f ca="1"/>
      </c>
      <c r="CI405">
        <f ca="1"/>
      </c>
      <c r="CJ405">
        <f ca="1"/>
      </c>
      <c r="CK405">
        <f ca="1"/>
      </c>
      <c r="CL405">
        <f ca="1"/>
      </c>
      <c r="CM405">
        <f ca="1"/>
      </c>
      <c r="CN405">
        <f ca="1"/>
      </c>
      <c r="CO405">
        <f ca="1"/>
      </c>
      <c r="CP405">
        <f ca="1"/>
      </c>
      <c r="CQ405">
        <f ca="1"/>
      </c>
      <c r="CR405">
        <f ca="1"/>
      </c>
      <c r="CS405">
        <f ca="1"/>
      </c>
      <c r="CT405">
        <f ca="1"/>
      </c>
      <c r="CU405">
        <f ca="1"/>
      </c>
      <c r="CV405">
        <f ca="1"/>
      </c>
      <c r="CW405">
        <f ca="1"/>
      </c>
      <c r="CX405">
        <f ca="1"/>
      </c>
      <c r="CY405">
        <f ca="1"/>
      </c>
      <c r="CZ405">
        <f ca="1"/>
      </c>
      <c r="DA405">
        <f ca="1"/>
      </c>
      <c r="DB405">
        <f ca="1"/>
      </c>
      <c r="DC405">
        <f ca="1"/>
      </c>
      <c r="DD405">
        <f ca="1"/>
      </c>
      <c r="DE405">
        <f ca="1"/>
      </c>
      <c r="DG405">
        <f ca="1"/>
      </c>
      <c r="DH405">
        <f ca="1"/>
      </c>
      <c r="DI405">
        <f ca="1"/>
      </c>
      <c r="DJ405">
        <f ca="1"/>
      </c>
      <c r="DK405">
        <f ca="1"/>
      </c>
      <c r="DL405">
        <f ca="1"/>
      </c>
      <c r="DM405">
        <f ca="1"/>
      </c>
      <c r="DN405">
        <f ca="1"/>
      </c>
      <c r="DO405">
        <f ca="1"/>
      </c>
      <c r="DP405">
        <f ca="1"/>
      </c>
      <c r="DQ405">
        <f ca="1"/>
      </c>
      <c r="DR405">
        <f ca="1"/>
      </c>
      <c r="DS405">
        <f ca="1"/>
      </c>
      <c r="DT405">
        <f ca="1"/>
      </c>
      <c r="DU405">
        <f ca="1"/>
      </c>
      <c r="DV405">
        <f ca="1"/>
      </c>
      <c r="DW405">
        <f ca="1"/>
      </c>
      <c r="DX405">
        <f ca="1"/>
      </c>
      <c r="DY405">
        <f ca="1"/>
      </c>
      <c r="DZ405">
        <f ca="1"/>
      </c>
      <c r="EA405">
        <f ca="1"/>
      </c>
      <c r="EB405">
        <f ca="1"/>
      </c>
      <c r="EC405">
        <f ca="1"/>
      </c>
      <c r="ED405">
        <f ca="1"/>
      </c>
      <c r="EE405">
        <f ca="1"/>
      </c>
      <c r="EF405">
        <f ca="1"/>
      </c>
      <c r="EG405">
        <f ca="1"/>
      </c>
      <c r="EH405">
        <f ca="1"/>
      </c>
      <c r="EI405">
        <f ca="1"/>
      </c>
      <c r="EJ405">
        <f ca="1"/>
      </c>
      <c r="EK405">
        <f ca="1"/>
      </c>
      <c r="EL405">
        <f ca="1"/>
      </c>
      <c r="EM405">
        <f ca="1"/>
      </c>
      <c r="EN405">
        <f ca="1"/>
      </c>
      <c r="EO405">
        <f ca="1"/>
      </c>
      <c r="EP405">
        <f ca="1"/>
      </c>
      <c r="EQ405">
        <f ca="1"/>
      </c>
      <c r="ER405">
        <f ca="1"/>
      </c>
      <c r="ES405">
        <f ca="1"/>
      </c>
      <c r="ET405">
        <f ca="1"/>
      </c>
      <c r="EU405">
        <f ca="1"/>
      </c>
      <c r="EV405">
        <f ca="1"/>
      </c>
      <c r="EW405">
        <f ca="1"/>
      </c>
      <c r="EX405">
        <f ca="1"/>
      </c>
      <c r="EY405">
        <f ca="1"/>
      </c>
      <c r="EZ405">
        <f ca="1"/>
      </c>
      <c r="FA405">
        <f ca="1"/>
      </c>
      <c r="FC405">
        <f ca="1"/>
      </c>
      <c r="FD405">
        <f ca="1"/>
      </c>
      <c r="FE405">
        <f ca="1"/>
      </c>
      <c r="FF405">
        <f ca="1"/>
      </c>
      <c r="FG405">
        <f ca="1"/>
      </c>
      <c r="FH405">
        <f ca="1"/>
      </c>
      <c r="FI405">
        <f ca="1"/>
      </c>
      <c r="FJ405">
        <f ca="1"/>
      </c>
      <c r="FK405">
        <f ca="1"/>
      </c>
      <c r="FL405">
        <f ca="1"/>
      </c>
      <c r="FM405">
        <f ca="1"/>
      </c>
      <c r="FN405">
        <f ca="1"/>
      </c>
      <c r="FO405">
        <f ca="1"/>
      </c>
      <c r="FP405">
        <f ca="1"/>
      </c>
      <c r="FQ405">
        <f ca="1"/>
      </c>
      <c r="FR405">
        <f ca="1"/>
      </c>
      <c r="FS405">
        <f ca="1"/>
      </c>
      <c r="FT405">
        <f ca="1"/>
      </c>
      <c r="FU405">
        <f ca="1"/>
      </c>
      <c r="FV405">
        <f ca="1"/>
      </c>
      <c r="FW405">
        <f ca="1"/>
      </c>
      <c r="FX405">
        <f ca="1"/>
      </c>
      <c r="FY405">
        <f ca="1"/>
      </c>
      <c r="FZ405">
        <f ca="1"/>
      </c>
      <c r="GA405">
        <f ca="1"/>
      </c>
      <c r="GB405">
        <f ca="1"/>
      </c>
      <c r="GC405">
        <f ca="1"/>
      </c>
      <c r="GD405">
        <f ca="1"/>
      </c>
      <c r="GE405">
        <f ca="1"/>
      </c>
      <c r="GF405">
        <f ca="1"/>
      </c>
      <c r="GG405">
        <f ca="1"/>
      </c>
      <c r="GH405">
        <f ca="1"/>
      </c>
      <c r="GI405">
        <f ca="1"/>
      </c>
      <c r="GJ405">
        <f ca="1"/>
      </c>
      <c r="GK405">
        <f ca="1"/>
      </c>
      <c r="GL405">
        <f ca="1"/>
      </c>
      <c r="GM405">
        <f ca="1"/>
      </c>
      <c r="GN405">
        <f ca="1"/>
      </c>
      <c r="GO405">
        <f ca="1"/>
      </c>
      <c r="GP405">
        <f ca="1"/>
      </c>
      <c r="GQ405">
        <f ca="1"/>
      </c>
      <c r="GR405">
        <f ca="1"/>
      </c>
      <c r="GS405">
        <f ca="1"/>
      </c>
      <c r="GT405">
        <f ca="1"/>
      </c>
      <c r="GU405">
        <f ca="1"/>
      </c>
      <c r="GV405">
        <f ca="1"/>
      </c>
      <c r="GW405">
        <f ca="1"/>
      </c>
      <c r="HI405" s="7"/>
    </row>
    <row r="406" spans="63:217" x14ac:dyDescent="0.55000000000000004">
      <c r="BK406">
        <f ca="1"/>
      </c>
      <c r="BL406">
        <f ca="1"/>
      </c>
      <c r="BM406">
        <f ca="1"/>
      </c>
      <c r="BN406">
        <f ca="1"/>
      </c>
      <c r="BO406">
        <f ca="1"/>
      </c>
      <c r="BP406">
        <f ca="1"/>
      </c>
      <c r="BQ406">
        <f ca="1"/>
      </c>
      <c r="BR406">
        <f ca="1"/>
      </c>
      <c r="BS406">
        <f ca="1"/>
      </c>
      <c r="BT406">
        <f ca="1"/>
      </c>
      <c r="BU406">
        <f ca="1"/>
      </c>
      <c r="BV406">
        <f ca="1"/>
      </c>
      <c r="BW406">
        <f ca="1"/>
      </c>
      <c r="BX406">
        <f ca="1"/>
      </c>
      <c r="BY406">
        <f ca="1"/>
      </c>
      <c r="BZ406">
        <f ca="1"/>
      </c>
      <c r="CA406">
        <f ca="1"/>
      </c>
      <c r="CB406">
        <f ca="1"/>
      </c>
      <c r="CC406">
        <f ca="1"/>
      </c>
      <c r="CD406">
        <f ca="1"/>
      </c>
      <c r="CE406">
        <f ca="1"/>
      </c>
      <c r="CF406">
        <f ca="1"/>
      </c>
      <c r="CG406">
        <f ca="1"/>
      </c>
      <c r="CH406">
        <f ca="1"/>
      </c>
      <c r="CI406">
        <f ca="1"/>
      </c>
      <c r="CJ406">
        <f ca="1"/>
      </c>
      <c r="CK406">
        <f ca="1"/>
      </c>
      <c r="CL406">
        <f ca="1"/>
      </c>
      <c r="CM406">
        <f ca="1"/>
      </c>
      <c r="CN406">
        <f ca="1"/>
      </c>
      <c r="CO406">
        <f ca="1"/>
      </c>
      <c r="CP406">
        <f ca="1"/>
      </c>
      <c r="CQ406">
        <f ca="1"/>
      </c>
      <c r="CR406">
        <f ca="1"/>
      </c>
      <c r="CS406">
        <f ca="1"/>
      </c>
      <c r="CT406">
        <f ca="1"/>
      </c>
      <c r="CU406">
        <f ca="1"/>
      </c>
      <c r="CV406">
        <f ca="1"/>
      </c>
      <c r="CW406">
        <f ca="1"/>
      </c>
      <c r="CX406">
        <f ca="1"/>
      </c>
      <c r="CY406">
        <f ca="1"/>
      </c>
      <c r="CZ406">
        <f ca="1"/>
      </c>
      <c r="DA406">
        <f ca="1"/>
      </c>
      <c r="DB406">
        <f ca="1"/>
      </c>
      <c r="DC406">
        <f ca="1"/>
      </c>
      <c r="DD406">
        <f ca="1"/>
      </c>
      <c r="DE406">
        <f ca="1"/>
      </c>
      <c r="DG406">
        <f ca="1"/>
      </c>
      <c r="DH406">
        <f ca="1"/>
      </c>
      <c r="DI406">
        <f ca="1"/>
      </c>
      <c r="DJ406">
        <f ca="1"/>
      </c>
      <c r="DK406">
        <f ca="1"/>
      </c>
      <c r="DL406">
        <f ca="1"/>
      </c>
      <c r="DM406">
        <f ca="1"/>
      </c>
      <c r="DN406">
        <f ca="1"/>
      </c>
      <c r="DO406">
        <f ca="1"/>
      </c>
      <c r="DP406">
        <f ca="1"/>
      </c>
      <c r="DQ406">
        <f ca="1"/>
      </c>
      <c r="DR406">
        <f ca="1"/>
      </c>
      <c r="DS406">
        <f ca="1"/>
      </c>
      <c r="DT406">
        <f ca="1"/>
      </c>
      <c r="DU406">
        <f ca="1"/>
      </c>
      <c r="DV406">
        <f ca="1"/>
      </c>
      <c r="DW406">
        <f ca="1"/>
      </c>
      <c r="DX406">
        <f ca="1"/>
      </c>
      <c r="DY406">
        <f ca="1"/>
      </c>
      <c r="DZ406">
        <f ca="1"/>
      </c>
      <c r="EA406">
        <f ca="1"/>
      </c>
      <c r="EB406">
        <f ca="1"/>
      </c>
      <c r="EC406">
        <f ca="1"/>
      </c>
      <c r="ED406">
        <f ca="1"/>
      </c>
      <c r="EE406">
        <f ca="1"/>
      </c>
      <c r="EF406">
        <f ca="1"/>
      </c>
      <c r="EG406">
        <f ca="1"/>
      </c>
      <c r="EH406">
        <f ca="1"/>
      </c>
      <c r="EI406">
        <f ca="1"/>
      </c>
      <c r="EJ406">
        <f ca="1"/>
      </c>
      <c r="EK406">
        <f ca="1"/>
      </c>
      <c r="EL406">
        <f ca="1"/>
      </c>
      <c r="EM406">
        <f ca="1"/>
      </c>
      <c r="EN406">
        <f ca="1"/>
      </c>
      <c r="EO406">
        <f ca="1"/>
      </c>
      <c r="EP406">
        <f ca="1"/>
      </c>
      <c r="EQ406">
        <f ca="1"/>
      </c>
      <c r="ER406">
        <f ca="1"/>
      </c>
      <c r="ES406">
        <f ca="1"/>
      </c>
      <c r="ET406">
        <f ca="1"/>
      </c>
      <c r="EU406">
        <f ca="1"/>
      </c>
      <c r="EV406">
        <f ca="1"/>
      </c>
      <c r="EW406">
        <f ca="1"/>
      </c>
      <c r="EX406">
        <f ca="1"/>
      </c>
      <c r="EY406">
        <f ca="1"/>
      </c>
      <c r="EZ406">
        <f ca="1"/>
      </c>
      <c r="FA406">
        <f ca="1"/>
      </c>
      <c r="FC406">
        <f ca="1"/>
      </c>
      <c r="FD406">
        <f ca="1"/>
      </c>
      <c r="FE406">
        <f ca="1"/>
      </c>
      <c r="FF406">
        <f ca="1"/>
      </c>
      <c r="FG406">
        <f ca="1"/>
      </c>
      <c r="FH406">
        <f ca="1"/>
      </c>
      <c r="FI406">
        <f ca="1"/>
      </c>
      <c r="FJ406">
        <f ca="1"/>
      </c>
      <c r="FK406">
        <f ca="1"/>
      </c>
      <c r="FL406">
        <f ca="1"/>
      </c>
      <c r="FM406">
        <f ca="1"/>
      </c>
      <c r="FN406">
        <f ca="1"/>
      </c>
      <c r="FO406">
        <f ca="1"/>
      </c>
      <c r="FP406">
        <f ca="1"/>
      </c>
      <c r="FQ406">
        <f ca="1"/>
      </c>
      <c r="FR406">
        <f ca="1"/>
      </c>
      <c r="FS406">
        <f ca="1"/>
      </c>
      <c r="FT406">
        <f ca="1"/>
      </c>
      <c r="FU406">
        <f ca="1"/>
      </c>
      <c r="FV406">
        <f ca="1"/>
      </c>
      <c r="FW406">
        <f ca="1"/>
      </c>
      <c r="FX406">
        <f ca="1"/>
      </c>
      <c r="FY406">
        <f ca="1"/>
      </c>
      <c r="FZ406">
        <f ca="1"/>
      </c>
      <c r="GA406">
        <f ca="1"/>
      </c>
      <c r="GB406">
        <f ca="1"/>
      </c>
      <c r="GC406">
        <f ca="1"/>
      </c>
      <c r="GD406">
        <f ca="1"/>
      </c>
      <c r="GE406">
        <f ca="1"/>
      </c>
      <c r="GF406">
        <f ca="1"/>
      </c>
      <c r="GG406">
        <f ca="1"/>
      </c>
      <c r="GH406">
        <f ca="1"/>
      </c>
      <c r="GI406">
        <f ca="1"/>
      </c>
      <c r="GJ406">
        <f ca="1"/>
      </c>
      <c r="GK406">
        <f ca="1"/>
      </c>
      <c r="GL406">
        <f ca="1"/>
      </c>
      <c r="GM406">
        <f ca="1"/>
      </c>
      <c r="GN406">
        <f ca="1"/>
      </c>
      <c r="GO406">
        <f ca="1"/>
      </c>
      <c r="GP406">
        <f ca="1"/>
      </c>
      <c r="GQ406">
        <f ca="1"/>
      </c>
      <c r="GR406">
        <f ca="1"/>
      </c>
      <c r="GS406">
        <f ca="1"/>
      </c>
      <c r="GT406">
        <f ca="1"/>
      </c>
      <c r="GU406">
        <f ca="1"/>
      </c>
      <c r="GV406">
        <f ca="1"/>
      </c>
      <c r="GW406">
        <f ca="1"/>
      </c>
      <c r="HI406" s="7"/>
    </row>
    <row r="407" spans="63:217" x14ac:dyDescent="0.55000000000000004">
      <c r="BK407">
        <f ca="1"/>
      </c>
      <c r="BL407">
        <f ca="1"/>
      </c>
      <c r="BM407">
        <f ca="1"/>
      </c>
      <c r="BN407">
        <f ca="1"/>
      </c>
      <c r="BO407">
        <f ca="1"/>
      </c>
      <c r="BP407">
        <f ca="1"/>
      </c>
      <c r="BQ407">
        <f ca="1"/>
      </c>
      <c r="BR407">
        <f ca="1"/>
      </c>
      <c r="BS407">
        <f ca="1"/>
      </c>
      <c r="BT407">
        <f ca="1"/>
      </c>
      <c r="BU407">
        <f ca="1"/>
      </c>
      <c r="BV407">
        <f ca="1"/>
      </c>
      <c r="BW407">
        <f ca="1"/>
      </c>
      <c r="BX407">
        <f ca="1"/>
      </c>
      <c r="BY407">
        <f ca="1"/>
      </c>
      <c r="BZ407">
        <f ca="1"/>
      </c>
      <c r="CA407">
        <f ca="1"/>
      </c>
      <c r="CB407">
        <f ca="1"/>
      </c>
      <c r="CC407">
        <f ca="1"/>
      </c>
      <c r="CD407">
        <f ca="1"/>
      </c>
      <c r="CE407">
        <f ca="1"/>
      </c>
      <c r="CF407">
        <f ca="1"/>
      </c>
      <c r="CG407">
        <f ca="1"/>
      </c>
      <c r="CH407">
        <f ca="1"/>
      </c>
      <c r="CI407">
        <f ca="1"/>
      </c>
      <c r="CJ407">
        <f ca="1"/>
      </c>
      <c r="CK407">
        <f ca="1"/>
      </c>
      <c r="CL407">
        <f ca="1"/>
      </c>
      <c r="CM407">
        <f ca="1"/>
      </c>
      <c r="CN407">
        <f ca="1"/>
      </c>
      <c r="CO407">
        <f ca="1"/>
      </c>
      <c r="CP407">
        <f ca="1"/>
      </c>
      <c r="CQ407">
        <f ca="1"/>
      </c>
      <c r="CR407">
        <f ca="1"/>
      </c>
      <c r="CS407">
        <f ca="1"/>
      </c>
      <c r="CT407">
        <f ca="1"/>
      </c>
      <c r="CU407">
        <f ca="1"/>
      </c>
      <c r="CV407">
        <f ca="1"/>
      </c>
      <c r="CW407">
        <f ca="1"/>
      </c>
      <c r="CX407">
        <f ca="1"/>
      </c>
      <c r="CY407">
        <f ca="1"/>
      </c>
      <c r="CZ407">
        <f ca="1"/>
      </c>
      <c r="DA407">
        <f ca="1"/>
      </c>
      <c r="DB407">
        <f ca="1"/>
      </c>
      <c r="DC407">
        <f ca="1"/>
      </c>
      <c r="DD407">
        <f ca="1"/>
      </c>
      <c r="DE407">
        <f ca="1"/>
      </c>
      <c r="DG407">
        <f ca="1"/>
      </c>
      <c r="DH407">
        <f ca="1"/>
      </c>
      <c r="DI407">
        <f ca="1"/>
      </c>
      <c r="DJ407">
        <f ca="1"/>
      </c>
      <c r="DK407">
        <f ca="1"/>
      </c>
      <c r="DL407">
        <f ca="1"/>
      </c>
      <c r="DM407">
        <f ca="1"/>
      </c>
      <c r="DN407">
        <f ca="1"/>
      </c>
      <c r="DO407">
        <f ca="1"/>
      </c>
      <c r="DP407">
        <f ca="1"/>
      </c>
      <c r="DQ407">
        <f ca="1"/>
      </c>
      <c r="DR407">
        <f ca="1"/>
      </c>
      <c r="DS407">
        <f ca="1"/>
      </c>
      <c r="DT407">
        <f ca="1"/>
      </c>
      <c r="DU407">
        <f ca="1"/>
      </c>
      <c r="DV407">
        <f ca="1"/>
      </c>
      <c r="DW407">
        <f ca="1"/>
      </c>
      <c r="DX407">
        <f ca="1"/>
      </c>
      <c r="DY407">
        <f ca="1"/>
      </c>
      <c r="DZ407">
        <f ca="1"/>
      </c>
      <c r="EA407">
        <f ca="1"/>
      </c>
      <c r="EB407">
        <f ca="1"/>
      </c>
      <c r="EC407">
        <f ca="1"/>
      </c>
      <c r="ED407">
        <f ca="1"/>
      </c>
      <c r="EE407">
        <f ca="1"/>
      </c>
      <c r="EF407">
        <f ca="1"/>
      </c>
      <c r="EG407">
        <f ca="1"/>
      </c>
      <c r="EH407">
        <f ca="1"/>
      </c>
      <c r="EI407">
        <f ca="1"/>
      </c>
      <c r="EJ407">
        <f ca="1"/>
      </c>
      <c r="EK407">
        <f ca="1"/>
      </c>
      <c r="EL407">
        <f ca="1"/>
      </c>
      <c r="EM407">
        <f ca="1"/>
      </c>
      <c r="EN407">
        <f ca="1"/>
      </c>
      <c r="EO407">
        <f ca="1"/>
      </c>
      <c r="EP407">
        <f ca="1"/>
      </c>
      <c r="EQ407">
        <f ca="1"/>
      </c>
      <c r="ER407">
        <f ca="1"/>
      </c>
      <c r="ES407">
        <f ca="1"/>
      </c>
      <c r="ET407">
        <f ca="1"/>
      </c>
      <c r="EU407">
        <f ca="1"/>
      </c>
      <c r="EV407">
        <f ca="1"/>
      </c>
      <c r="EW407">
        <f ca="1"/>
      </c>
      <c r="EX407">
        <f ca="1"/>
      </c>
      <c r="EY407">
        <f ca="1"/>
      </c>
      <c r="EZ407">
        <f ca="1"/>
      </c>
      <c r="FA407">
        <f ca="1"/>
      </c>
      <c r="FC407">
        <f ca="1"/>
      </c>
      <c r="FD407">
        <f ca="1"/>
      </c>
      <c r="FE407">
        <f ca="1"/>
      </c>
      <c r="FF407">
        <f ca="1"/>
      </c>
      <c r="FG407">
        <f ca="1"/>
      </c>
      <c r="FH407">
        <f ca="1"/>
      </c>
      <c r="FI407">
        <f ca="1"/>
      </c>
      <c r="FJ407">
        <f ca="1"/>
      </c>
      <c r="FK407">
        <f ca="1"/>
      </c>
      <c r="FL407">
        <f ca="1"/>
      </c>
      <c r="FM407">
        <f ca="1"/>
      </c>
      <c r="FN407">
        <f ca="1"/>
      </c>
      <c r="FO407">
        <f ca="1"/>
      </c>
      <c r="FP407">
        <f ca="1"/>
      </c>
      <c r="FQ407">
        <f ca="1"/>
      </c>
      <c r="FR407">
        <f ca="1"/>
      </c>
      <c r="FS407">
        <f ca="1"/>
      </c>
      <c r="FT407">
        <f ca="1"/>
      </c>
      <c r="FU407">
        <f ca="1"/>
      </c>
      <c r="FV407">
        <f ca="1"/>
      </c>
      <c r="FW407">
        <f ca="1"/>
      </c>
      <c r="FX407">
        <f ca="1"/>
      </c>
      <c r="FY407">
        <f ca="1"/>
      </c>
      <c r="FZ407">
        <f ca="1"/>
      </c>
      <c r="GA407">
        <f ca="1"/>
      </c>
      <c r="GB407">
        <f ca="1"/>
      </c>
      <c r="GC407">
        <f ca="1"/>
      </c>
      <c r="GD407">
        <f ca="1"/>
      </c>
      <c r="GE407">
        <f ca="1"/>
      </c>
      <c r="GF407">
        <f ca="1"/>
      </c>
      <c r="GG407">
        <f ca="1"/>
      </c>
      <c r="GH407">
        <f ca="1"/>
      </c>
      <c r="GI407">
        <f ca="1"/>
      </c>
      <c r="GJ407">
        <f ca="1"/>
      </c>
      <c r="GK407">
        <f ca="1"/>
      </c>
      <c r="GL407">
        <f ca="1"/>
      </c>
      <c r="GM407">
        <f ca="1"/>
      </c>
      <c r="GN407">
        <f ca="1"/>
      </c>
      <c r="GO407">
        <f ca="1"/>
      </c>
      <c r="GP407">
        <f ca="1"/>
      </c>
      <c r="GQ407">
        <f ca="1"/>
      </c>
      <c r="GR407">
        <f ca="1"/>
      </c>
      <c r="GS407">
        <f ca="1"/>
      </c>
      <c r="GT407">
        <f ca="1"/>
      </c>
      <c r="GU407">
        <f ca="1"/>
      </c>
      <c r="GV407">
        <f ca="1"/>
      </c>
      <c r="GW407">
        <f ca="1"/>
      </c>
      <c r="HI407" s="7"/>
    </row>
    <row r="408" spans="63:217" x14ac:dyDescent="0.55000000000000004">
      <c r="BK408">
        <f ca="1"/>
      </c>
      <c r="BL408">
        <f ca="1"/>
      </c>
      <c r="BM408">
        <f ca="1"/>
      </c>
      <c r="BN408">
        <f ca="1"/>
      </c>
      <c r="BO408">
        <f ca="1"/>
      </c>
      <c r="BP408">
        <f ca="1"/>
      </c>
      <c r="BQ408">
        <f ca="1"/>
      </c>
      <c r="BR408">
        <f ca="1"/>
      </c>
      <c r="BS408">
        <f ca="1"/>
      </c>
      <c r="BT408">
        <f ca="1"/>
      </c>
      <c r="BU408">
        <f ca="1"/>
      </c>
      <c r="BV408">
        <f ca="1"/>
      </c>
      <c r="BW408">
        <f ca="1"/>
      </c>
      <c r="BX408">
        <f ca="1"/>
      </c>
      <c r="BY408">
        <f ca="1"/>
      </c>
      <c r="BZ408">
        <f ca="1"/>
      </c>
      <c r="CA408">
        <f ca="1"/>
      </c>
      <c r="CB408">
        <f ca="1"/>
      </c>
      <c r="CC408">
        <f ca="1"/>
      </c>
      <c r="CD408">
        <f ca="1"/>
      </c>
      <c r="CE408">
        <f ca="1"/>
      </c>
      <c r="CF408">
        <f ca="1"/>
      </c>
      <c r="CG408">
        <f ca="1"/>
      </c>
      <c r="CH408">
        <f ca="1"/>
      </c>
      <c r="CI408">
        <f ca="1"/>
      </c>
      <c r="CJ408">
        <f ca="1"/>
      </c>
      <c r="CK408">
        <f ca="1"/>
      </c>
      <c r="CL408">
        <f ca="1"/>
      </c>
      <c r="CM408">
        <f ca="1"/>
      </c>
      <c r="CN408">
        <f ca="1"/>
      </c>
      <c r="CO408">
        <f ca="1"/>
      </c>
      <c r="CP408">
        <f ca="1"/>
      </c>
      <c r="CQ408">
        <f ca="1"/>
      </c>
      <c r="CR408">
        <f ca="1"/>
      </c>
      <c r="CS408">
        <f ca="1"/>
      </c>
      <c r="CT408">
        <f ca="1"/>
      </c>
      <c r="CU408">
        <f ca="1"/>
      </c>
      <c r="CV408">
        <f ca="1"/>
      </c>
      <c r="CW408">
        <f ca="1"/>
      </c>
      <c r="CX408">
        <f ca="1"/>
      </c>
      <c r="CY408">
        <f ca="1"/>
      </c>
      <c r="CZ408">
        <f ca="1"/>
      </c>
      <c r="DA408">
        <f ca="1"/>
      </c>
      <c r="DB408">
        <f ca="1"/>
      </c>
      <c r="DC408">
        <f ca="1"/>
      </c>
      <c r="DD408">
        <f ca="1"/>
      </c>
      <c r="DE408">
        <f ca="1"/>
      </c>
      <c r="DG408">
        <f ca="1"/>
      </c>
      <c r="DH408">
        <f ca="1"/>
      </c>
      <c r="DI408">
        <f ca="1"/>
      </c>
      <c r="DJ408">
        <f ca="1"/>
      </c>
      <c r="DK408">
        <f ca="1"/>
      </c>
      <c r="DL408">
        <f ca="1"/>
      </c>
      <c r="DM408">
        <f ca="1"/>
      </c>
      <c r="DN408">
        <f ca="1"/>
      </c>
      <c r="DO408">
        <f ca="1"/>
      </c>
      <c r="DP408">
        <f ca="1"/>
      </c>
      <c r="DQ408">
        <f ca="1"/>
      </c>
      <c r="DR408">
        <f ca="1"/>
      </c>
      <c r="DS408">
        <f ca="1"/>
      </c>
      <c r="DT408">
        <f ca="1"/>
      </c>
      <c r="DU408">
        <f ca="1"/>
      </c>
      <c r="DV408">
        <f ca="1"/>
      </c>
      <c r="DW408">
        <f ca="1"/>
      </c>
      <c r="DX408">
        <f ca="1"/>
      </c>
      <c r="DY408">
        <f ca="1"/>
      </c>
      <c r="DZ408">
        <f ca="1"/>
      </c>
      <c r="EA408">
        <f ca="1"/>
      </c>
      <c r="EB408">
        <f ca="1"/>
      </c>
      <c r="EC408">
        <f ca="1"/>
      </c>
      <c r="ED408">
        <f ca="1"/>
      </c>
      <c r="EE408">
        <f ca="1"/>
      </c>
      <c r="EF408">
        <f ca="1"/>
      </c>
      <c r="EG408">
        <f ca="1"/>
      </c>
      <c r="EH408">
        <f ca="1"/>
      </c>
      <c r="EI408">
        <f ca="1"/>
      </c>
      <c r="EJ408">
        <f ca="1"/>
      </c>
      <c r="EK408">
        <f ca="1"/>
      </c>
      <c r="EL408">
        <f ca="1"/>
      </c>
      <c r="EM408">
        <f ca="1"/>
      </c>
      <c r="EN408">
        <f ca="1"/>
      </c>
      <c r="EO408">
        <f ca="1"/>
      </c>
      <c r="EP408">
        <f ca="1"/>
      </c>
      <c r="EQ408">
        <f ca="1"/>
      </c>
      <c r="ER408">
        <f ca="1"/>
      </c>
      <c r="ES408">
        <f ca="1"/>
      </c>
      <c r="ET408">
        <f ca="1"/>
      </c>
      <c r="EU408">
        <f ca="1"/>
      </c>
      <c r="EV408">
        <f ca="1"/>
      </c>
      <c r="EW408">
        <f ca="1"/>
      </c>
      <c r="EX408">
        <f ca="1"/>
      </c>
      <c r="EY408">
        <f ca="1"/>
      </c>
      <c r="EZ408">
        <f ca="1"/>
      </c>
      <c r="FA408">
        <f ca="1"/>
      </c>
      <c r="FC408">
        <f ca="1"/>
      </c>
      <c r="FD408">
        <f ca="1"/>
      </c>
      <c r="FE408">
        <f ca="1"/>
      </c>
      <c r="FF408">
        <f ca="1"/>
      </c>
      <c r="FG408">
        <f ca="1"/>
      </c>
      <c r="FH408">
        <f ca="1"/>
      </c>
      <c r="FI408">
        <f ca="1"/>
      </c>
      <c r="FJ408">
        <f ca="1"/>
      </c>
      <c r="FK408">
        <f ca="1"/>
      </c>
      <c r="FL408">
        <f ca="1"/>
      </c>
      <c r="FM408">
        <f ca="1"/>
      </c>
      <c r="FN408">
        <f ca="1"/>
      </c>
      <c r="FO408">
        <f ca="1"/>
      </c>
      <c r="FP408">
        <f ca="1"/>
      </c>
      <c r="FQ408">
        <f ca="1"/>
      </c>
      <c r="FR408">
        <f ca="1"/>
      </c>
      <c r="FS408">
        <f ca="1"/>
      </c>
      <c r="FT408">
        <f ca="1"/>
      </c>
      <c r="FU408">
        <f ca="1"/>
      </c>
      <c r="FV408">
        <f ca="1"/>
      </c>
      <c r="FW408">
        <f ca="1"/>
      </c>
      <c r="FX408">
        <f ca="1"/>
      </c>
      <c r="FY408">
        <f ca="1"/>
      </c>
      <c r="FZ408">
        <f ca="1"/>
      </c>
      <c r="GA408">
        <f ca="1"/>
      </c>
      <c r="GB408">
        <f ca="1"/>
      </c>
      <c r="GC408">
        <f ca="1"/>
      </c>
      <c r="GD408">
        <f ca="1"/>
      </c>
      <c r="GE408">
        <f ca="1"/>
      </c>
      <c r="GF408">
        <f ca="1"/>
      </c>
      <c r="GG408">
        <f ca="1"/>
      </c>
      <c r="GH408">
        <f ca="1"/>
      </c>
      <c r="GI408">
        <f ca="1"/>
      </c>
      <c r="GJ408">
        <f ca="1"/>
      </c>
      <c r="GK408">
        <f ca="1"/>
      </c>
      <c r="GL408">
        <f ca="1"/>
      </c>
      <c r="GM408">
        <f ca="1"/>
      </c>
      <c r="GN408">
        <f ca="1"/>
      </c>
      <c r="GO408">
        <f ca="1"/>
      </c>
      <c r="GP408">
        <f ca="1"/>
      </c>
      <c r="GQ408">
        <f ca="1"/>
      </c>
      <c r="GR408">
        <f ca="1"/>
      </c>
      <c r="GS408">
        <f ca="1"/>
      </c>
      <c r="GT408">
        <f ca="1"/>
      </c>
      <c r="GU408">
        <f ca="1"/>
      </c>
      <c r="GV408">
        <f ca="1"/>
      </c>
      <c r="GW408">
        <f ca="1"/>
      </c>
      <c r="HI408" s="7"/>
    </row>
    <row r="409" spans="63:217" x14ac:dyDescent="0.55000000000000004">
      <c r="BK409">
        <f ca="1"/>
      </c>
      <c r="BL409">
        <f ca="1"/>
      </c>
      <c r="BM409">
        <f ca="1"/>
      </c>
      <c r="BN409">
        <f ca="1"/>
      </c>
      <c r="BO409">
        <f ca="1"/>
      </c>
      <c r="BP409">
        <f ca="1"/>
      </c>
      <c r="BQ409">
        <f ca="1"/>
      </c>
      <c r="BR409">
        <f ca="1"/>
      </c>
      <c r="BS409">
        <f ca="1"/>
      </c>
      <c r="BT409">
        <f ca="1"/>
      </c>
      <c r="BU409">
        <f ca="1"/>
      </c>
      <c r="BV409">
        <f ca="1"/>
      </c>
      <c r="BW409">
        <f ca="1"/>
      </c>
      <c r="BX409">
        <f ca="1"/>
      </c>
      <c r="BY409">
        <f ca="1"/>
      </c>
      <c r="BZ409">
        <f ca="1"/>
      </c>
      <c r="CA409">
        <f ca="1"/>
      </c>
      <c r="CB409">
        <f ca="1"/>
      </c>
      <c r="CC409">
        <f ca="1"/>
      </c>
      <c r="CD409">
        <f ca="1"/>
      </c>
      <c r="CE409">
        <f ca="1"/>
      </c>
      <c r="CF409">
        <f ca="1"/>
      </c>
      <c r="CG409">
        <f ca="1"/>
      </c>
      <c r="CH409">
        <f ca="1"/>
      </c>
      <c r="CI409">
        <f ca="1"/>
      </c>
      <c r="CJ409">
        <f ca="1"/>
      </c>
      <c r="CK409">
        <f ca="1"/>
      </c>
      <c r="CL409">
        <f ca="1"/>
      </c>
      <c r="CM409">
        <f ca="1"/>
      </c>
      <c r="CN409">
        <f ca="1"/>
      </c>
      <c r="CO409">
        <f ca="1"/>
      </c>
      <c r="CP409">
        <f ca="1"/>
      </c>
      <c r="CQ409">
        <f ca="1"/>
      </c>
      <c r="CR409">
        <f ca="1"/>
      </c>
      <c r="CS409">
        <f ca="1"/>
      </c>
      <c r="CT409">
        <f ca="1"/>
      </c>
      <c r="CU409">
        <f ca="1"/>
      </c>
      <c r="CV409">
        <f ca="1"/>
      </c>
      <c r="CW409">
        <f ca="1"/>
      </c>
      <c r="CX409">
        <f ca="1"/>
      </c>
      <c r="CY409">
        <f ca="1"/>
      </c>
      <c r="CZ409">
        <f ca="1"/>
      </c>
      <c r="DA409">
        <f ca="1"/>
      </c>
      <c r="DB409">
        <f ca="1"/>
      </c>
      <c r="DC409">
        <f ca="1"/>
      </c>
      <c r="DD409">
        <f ca="1"/>
      </c>
      <c r="DE409">
        <f ca="1"/>
      </c>
      <c r="DG409">
        <f ca="1"/>
      </c>
      <c r="DH409">
        <f ca="1"/>
      </c>
      <c r="DI409">
        <f ca="1"/>
      </c>
      <c r="DJ409">
        <f ca="1"/>
      </c>
      <c r="DK409">
        <f ca="1"/>
      </c>
      <c r="DL409">
        <f ca="1"/>
      </c>
      <c r="DM409">
        <f ca="1"/>
      </c>
      <c r="DN409">
        <f ca="1"/>
      </c>
      <c r="DO409">
        <f ca="1"/>
      </c>
      <c r="DP409">
        <f ca="1"/>
      </c>
      <c r="DQ409">
        <f ca="1"/>
      </c>
      <c r="DR409">
        <f ca="1"/>
      </c>
      <c r="DS409">
        <f ca="1"/>
      </c>
      <c r="DT409">
        <f ca="1"/>
      </c>
      <c r="DU409">
        <f ca="1"/>
      </c>
      <c r="DV409">
        <f ca="1"/>
      </c>
      <c r="DW409">
        <f ca="1"/>
      </c>
      <c r="DX409">
        <f ca="1"/>
      </c>
      <c r="DY409">
        <f ca="1"/>
      </c>
      <c r="DZ409">
        <f ca="1"/>
      </c>
      <c r="EA409">
        <f ca="1"/>
      </c>
      <c r="EB409">
        <f ca="1"/>
      </c>
      <c r="EC409">
        <f ca="1"/>
      </c>
      <c r="ED409">
        <f ca="1"/>
      </c>
      <c r="EE409">
        <f ca="1"/>
      </c>
      <c r="EF409">
        <f ca="1"/>
      </c>
      <c r="EG409">
        <f ca="1"/>
      </c>
      <c r="EH409">
        <f ca="1"/>
      </c>
      <c r="EI409">
        <f ca="1"/>
      </c>
      <c r="EJ409">
        <f ca="1"/>
      </c>
      <c r="EK409">
        <f ca="1"/>
      </c>
      <c r="EL409">
        <f ca="1"/>
      </c>
      <c r="EM409">
        <f ca="1"/>
      </c>
      <c r="EN409">
        <f ca="1"/>
      </c>
      <c r="EO409">
        <f ca="1"/>
      </c>
      <c r="EP409">
        <f ca="1"/>
      </c>
      <c r="EQ409">
        <f ca="1"/>
      </c>
      <c r="ER409">
        <f ca="1"/>
      </c>
      <c r="ES409">
        <f ca="1"/>
      </c>
      <c r="ET409">
        <f ca="1"/>
      </c>
      <c r="EU409">
        <f ca="1"/>
      </c>
      <c r="EV409">
        <f ca="1"/>
      </c>
      <c r="EW409">
        <f ca="1"/>
      </c>
      <c r="EX409">
        <f ca="1"/>
      </c>
      <c r="EY409">
        <f ca="1"/>
      </c>
      <c r="EZ409">
        <f ca="1"/>
      </c>
      <c r="FA409">
        <f ca="1"/>
      </c>
      <c r="FC409">
        <f ca="1"/>
      </c>
      <c r="FD409">
        <f ca="1"/>
      </c>
      <c r="FE409">
        <f ca="1"/>
      </c>
      <c r="FF409">
        <f ca="1"/>
      </c>
      <c r="FG409">
        <f ca="1"/>
      </c>
      <c r="FH409">
        <f ca="1"/>
      </c>
      <c r="FI409">
        <f ca="1"/>
      </c>
      <c r="FJ409">
        <f ca="1"/>
      </c>
      <c r="FK409">
        <f ca="1"/>
      </c>
      <c r="FL409">
        <f ca="1"/>
      </c>
      <c r="FM409">
        <f ca="1"/>
      </c>
      <c r="FN409">
        <f ca="1"/>
      </c>
      <c r="FO409">
        <f ca="1"/>
      </c>
      <c r="FP409">
        <f ca="1"/>
      </c>
      <c r="FQ409">
        <f ca="1"/>
      </c>
      <c r="FR409">
        <f ca="1"/>
      </c>
      <c r="FS409">
        <f ca="1"/>
      </c>
      <c r="FT409">
        <f ca="1"/>
      </c>
      <c r="FU409">
        <f ca="1"/>
      </c>
      <c r="FV409">
        <f ca="1"/>
      </c>
      <c r="FW409">
        <f ca="1"/>
      </c>
      <c r="FX409">
        <f ca="1"/>
      </c>
      <c r="FY409">
        <f ca="1"/>
      </c>
      <c r="FZ409">
        <f ca="1"/>
      </c>
      <c r="GA409">
        <f ca="1"/>
      </c>
      <c r="GB409">
        <f ca="1"/>
      </c>
      <c r="GC409">
        <f ca="1"/>
      </c>
      <c r="GD409">
        <f ca="1"/>
      </c>
      <c r="GE409">
        <f ca="1"/>
      </c>
      <c r="GF409">
        <f ca="1"/>
      </c>
      <c r="GG409">
        <f ca="1"/>
      </c>
      <c r="GH409">
        <f ca="1"/>
      </c>
      <c r="GI409">
        <f ca="1"/>
      </c>
      <c r="GJ409">
        <f ca="1"/>
      </c>
      <c r="GK409">
        <f ca="1"/>
      </c>
      <c r="GL409">
        <f ca="1"/>
      </c>
      <c r="GM409">
        <f ca="1"/>
      </c>
      <c r="GN409">
        <f ca="1"/>
      </c>
      <c r="GO409">
        <f ca="1"/>
      </c>
      <c r="GP409">
        <f ca="1"/>
      </c>
      <c r="GQ409">
        <f ca="1"/>
      </c>
      <c r="GR409">
        <f ca="1"/>
      </c>
      <c r="GS409">
        <f ca="1"/>
      </c>
      <c r="GT409">
        <f ca="1"/>
      </c>
      <c r="GU409">
        <f ca="1"/>
      </c>
      <c r="GV409">
        <f ca="1"/>
      </c>
      <c r="GW409">
        <f ca="1"/>
      </c>
      <c r="HI409" s="7"/>
    </row>
    <row r="410" spans="63:217" x14ac:dyDescent="0.55000000000000004">
      <c r="BK410">
        <f ca="1"/>
      </c>
      <c r="BL410">
        <f ca="1"/>
      </c>
      <c r="BM410">
        <f ca="1"/>
      </c>
      <c r="BN410">
        <f ca="1"/>
      </c>
      <c r="BO410">
        <f ca="1"/>
      </c>
      <c r="BP410">
        <f ca="1"/>
      </c>
      <c r="BQ410">
        <f ca="1"/>
      </c>
      <c r="BR410">
        <f ca="1"/>
      </c>
      <c r="BS410">
        <f ca="1"/>
      </c>
      <c r="BT410">
        <f ca="1"/>
      </c>
      <c r="BU410">
        <f ca="1"/>
      </c>
      <c r="BV410">
        <f ca="1"/>
      </c>
      <c r="BW410">
        <f ca="1"/>
      </c>
      <c r="BX410">
        <f ca="1"/>
      </c>
      <c r="BY410">
        <f ca="1"/>
      </c>
      <c r="BZ410">
        <f ca="1"/>
      </c>
      <c r="CA410">
        <f ca="1"/>
      </c>
      <c r="CB410">
        <f ca="1"/>
      </c>
      <c r="CC410">
        <f ca="1"/>
      </c>
      <c r="CD410">
        <f ca="1"/>
      </c>
      <c r="CE410">
        <f ca="1"/>
      </c>
      <c r="CF410">
        <f ca="1"/>
      </c>
      <c r="CG410">
        <f ca="1"/>
      </c>
      <c r="CH410">
        <f ca="1"/>
      </c>
      <c r="CI410">
        <f ca="1"/>
      </c>
      <c r="CJ410">
        <f ca="1"/>
      </c>
      <c r="CK410">
        <f ca="1"/>
      </c>
      <c r="CL410">
        <f ca="1"/>
      </c>
      <c r="CM410">
        <f ca="1"/>
      </c>
      <c r="CN410">
        <f ca="1"/>
      </c>
      <c r="CO410">
        <f ca="1"/>
      </c>
      <c r="CP410">
        <f ca="1"/>
      </c>
      <c r="CQ410">
        <f ca="1"/>
      </c>
      <c r="CR410">
        <f ca="1"/>
      </c>
      <c r="CS410">
        <f ca="1"/>
      </c>
      <c r="CT410">
        <f ca="1"/>
      </c>
      <c r="CU410">
        <f ca="1"/>
      </c>
      <c r="CV410">
        <f ca="1"/>
      </c>
      <c r="CW410">
        <f ca="1"/>
      </c>
      <c r="CX410">
        <f ca="1"/>
      </c>
      <c r="CY410">
        <f ca="1"/>
      </c>
      <c r="CZ410">
        <f ca="1"/>
      </c>
      <c r="DA410">
        <f ca="1"/>
      </c>
      <c r="DB410">
        <f ca="1"/>
      </c>
      <c r="DC410">
        <f ca="1"/>
      </c>
      <c r="DD410">
        <f ca="1"/>
      </c>
      <c r="DE410">
        <f ca="1"/>
      </c>
      <c r="DG410">
        <f ca="1"/>
      </c>
      <c r="DH410">
        <f ca="1"/>
      </c>
      <c r="DI410">
        <f ca="1"/>
      </c>
      <c r="DJ410">
        <f ca="1"/>
      </c>
      <c r="DK410">
        <f ca="1"/>
      </c>
      <c r="DL410">
        <f ca="1"/>
      </c>
      <c r="DM410">
        <f ca="1"/>
      </c>
      <c r="DN410">
        <f ca="1"/>
      </c>
      <c r="DO410">
        <f ca="1"/>
      </c>
      <c r="DP410">
        <f ca="1"/>
      </c>
      <c r="DQ410">
        <f ca="1"/>
      </c>
      <c r="DR410">
        <f ca="1"/>
      </c>
      <c r="DS410">
        <f ca="1"/>
      </c>
      <c r="DT410">
        <f ca="1"/>
      </c>
      <c r="DU410">
        <f ca="1"/>
      </c>
      <c r="DV410">
        <f ca="1"/>
      </c>
      <c r="DW410">
        <f ca="1"/>
      </c>
      <c r="DX410">
        <f ca="1"/>
      </c>
      <c r="DY410">
        <f ca="1"/>
      </c>
      <c r="DZ410">
        <f ca="1"/>
      </c>
      <c r="EA410">
        <f ca="1"/>
      </c>
      <c r="EB410">
        <f ca="1"/>
      </c>
      <c r="EC410">
        <f ca="1"/>
      </c>
      <c r="ED410">
        <f ca="1"/>
      </c>
      <c r="EE410">
        <f ca="1"/>
      </c>
      <c r="EF410">
        <f ca="1"/>
      </c>
      <c r="EG410">
        <f ca="1"/>
      </c>
      <c r="EH410">
        <f ca="1"/>
      </c>
      <c r="EI410">
        <f ca="1"/>
      </c>
      <c r="EJ410">
        <f ca="1"/>
      </c>
      <c r="EK410">
        <f ca="1"/>
      </c>
      <c r="EL410">
        <f ca="1"/>
      </c>
      <c r="EM410">
        <f ca="1"/>
      </c>
      <c r="EN410">
        <f ca="1"/>
      </c>
      <c r="EO410">
        <f ca="1"/>
      </c>
      <c r="EP410">
        <f ca="1"/>
      </c>
      <c r="EQ410">
        <f ca="1"/>
      </c>
      <c r="ER410">
        <f ca="1"/>
      </c>
      <c r="ES410">
        <f ca="1"/>
      </c>
      <c r="ET410">
        <f ca="1"/>
      </c>
      <c r="EU410">
        <f ca="1"/>
      </c>
      <c r="EV410">
        <f ca="1"/>
      </c>
      <c r="EW410">
        <f ca="1"/>
      </c>
      <c r="EX410">
        <f ca="1"/>
      </c>
      <c r="EY410">
        <f ca="1"/>
      </c>
      <c r="EZ410">
        <f ca="1"/>
      </c>
      <c r="FA410">
        <f ca="1"/>
      </c>
      <c r="FC410">
        <f ca="1"/>
      </c>
      <c r="FD410">
        <f ca="1"/>
      </c>
      <c r="FE410">
        <f ca="1"/>
      </c>
      <c r="FF410">
        <f ca="1"/>
      </c>
      <c r="FG410">
        <f ca="1"/>
      </c>
      <c r="FH410">
        <f ca="1"/>
      </c>
      <c r="FI410">
        <f ca="1"/>
      </c>
      <c r="FJ410">
        <f ca="1"/>
      </c>
      <c r="FK410">
        <f ca="1"/>
      </c>
      <c r="FL410">
        <f ca="1"/>
      </c>
      <c r="FM410">
        <f ca="1"/>
      </c>
      <c r="FN410">
        <f ca="1"/>
      </c>
      <c r="FO410">
        <f ca="1"/>
      </c>
      <c r="FP410">
        <f ca="1"/>
      </c>
      <c r="FQ410">
        <f ca="1"/>
      </c>
      <c r="FR410">
        <f ca="1"/>
      </c>
      <c r="FS410">
        <f ca="1"/>
      </c>
      <c r="FT410">
        <f ca="1"/>
      </c>
      <c r="FU410">
        <f ca="1"/>
      </c>
      <c r="FV410">
        <f ca="1"/>
      </c>
      <c r="FW410">
        <f ca="1"/>
      </c>
      <c r="FX410">
        <f ca="1"/>
      </c>
      <c r="FY410">
        <f ca="1"/>
      </c>
      <c r="FZ410">
        <f ca="1"/>
      </c>
      <c r="GA410">
        <f ca="1"/>
      </c>
      <c r="GB410">
        <f ca="1"/>
      </c>
      <c r="GC410">
        <f ca="1"/>
      </c>
      <c r="GD410">
        <f ca="1"/>
      </c>
      <c r="GE410">
        <f ca="1"/>
      </c>
      <c r="GF410">
        <f ca="1"/>
      </c>
      <c r="GG410">
        <f ca="1"/>
      </c>
      <c r="GH410">
        <f ca="1"/>
      </c>
      <c r="GI410">
        <f ca="1"/>
      </c>
      <c r="GJ410">
        <f ca="1"/>
      </c>
      <c r="GK410">
        <f ca="1"/>
      </c>
      <c r="GL410">
        <f ca="1"/>
      </c>
      <c r="GM410">
        <f ca="1"/>
      </c>
      <c r="GN410">
        <f ca="1"/>
      </c>
      <c r="GO410">
        <f ca="1"/>
      </c>
      <c r="GP410">
        <f ca="1"/>
      </c>
      <c r="GQ410">
        <f ca="1"/>
      </c>
      <c r="GR410">
        <f ca="1"/>
      </c>
      <c r="GS410">
        <f ca="1"/>
      </c>
      <c r="GT410">
        <f ca="1"/>
      </c>
      <c r="GU410">
        <f ca="1"/>
      </c>
      <c r="GV410">
        <f ca="1"/>
      </c>
      <c r="GW410">
        <f ca="1"/>
      </c>
      <c r="HI410" s="7"/>
    </row>
    <row r="411" spans="63:217" x14ac:dyDescent="0.55000000000000004">
      <c r="BK411">
        <f ca="1"/>
      </c>
      <c r="BL411">
        <f ca="1"/>
      </c>
      <c r="BM411">
        <f ca="1"/>
      </c>
      <c r="BN411">
        <f ca="1"/>
      </c>
      <c r="BO411">
        <f ca="1"/>
      </c>
      <c r="BP411">
        <f ca="1"/>
      </c>
      <c r="BQ411">
        <f ca="1"/>
      </c>
      <c r="BR411">
        <f ca="1"/>
      </c>
      <c r="BS411">
        <f ca="1"/>
      </c>
      <c r="BT411">
        <f ca="1"/>
      </c>
      <c r="BU411">
        <f ca="1"/>
      </c>
      <c r="BV411">
        <f ca="1"/>
      </c>
      <c r="BW411">
        <f ca="1"/>
      </c>
      <c r="BX411">
        <f ca="1"/>
      </c>
      <c r="BY411">
        <f ca="1"/>
      </c>
      <c r="BZ411">
        <f ca="1"/>
      </c>
      <c r="CA411">
        <f ca="1"/>
      </c>
      <c r="CB411">
        <f ca="1"/>
      </c>
      <c r="CC411">
        <f ca="1"/>
      </c>
      <c r="CD411">
        <f ca="1"/>
      </c>
      <c r="CE411">
        <f ca="1"/>
      </c>
      <c r="CF411">
        <f ca="1"/>
      </c>
      <c r="CG411">
        <f ca="1"/>
      </c>
      <c r="CH411">
        <f ca="1"/>
      </c>
      <c r="CI411">
        <f ca="1"/>
      </c>
      <c r="CJ411">
        <f ca="1"/>
      </c>
      <c r="CK411">
        <f ca="1"/>
      </c>
      <c r="CL411">
        <f ca="1"/>
      </c>
      <c r="CM411">
        <f ca="1"/>
      </c>
      <c r="CN411">
        <f ca="1"/>
      </c>
      <c r="CO411">
        <f ca="1"/>
      </c>
      <c r="CP411">
        <f ca="1"/>
      </c>
      <c r="CQ411">
        <f ca="1"/>
      </c>
      <c r="CR411">
        <f ca="1"/>
      </c>
      <c r="CS411">
        <f ca="1"/>
      </c>
      <c r="CT411">
        <f ca="1"/>
      </c>
      <c r="CU411">
        <f ca="1"/>
      </c>
      <c r="CV411">
        <f ca="1"/>
      </c>
      <c r="CW411">
        <f ca="1"/>
      </c>
      <c r="CX411">
        <f ca="1"/>
      </c>
      <c r="CY411">
        <f ca="1"/>
      </c>
      <c r="CZ411">
        <f ca="1"/>
      </c>
      <c r="DA411">
        <f ca="1"/>
      </c>
      <c r="DB411">
        <f ca="1"/>
      </c>
      <c r="DC411">
        <f ca="1"/>
      </c>
      <c r="DD411">
        <f ca="1"/>
      </c>
      <c r="DE411">
        <f ca="1"/>
      </c>
      <c r="DG411">
        <f ca="1"/>
      </c>
      <c r="DH411">
        <f ca="1"/>
      </c>
      <c r="DI411">
        <f ca="1"/>
      </c>
      <c r="DJ411">
        <f ca="1"/>
      </c>
      <c r="DK411">
        <f ca="1"/>
      </c>
      <c r="DL411">
        <f ca="1"/>
      </c>
      <c r="DM411">
        <f ca="1"/>
      </c>
      <c r="DN411">
        <f ca="1"/>
      </c>
      <c r="DO411">
        <f ca="1"/>
      </c>
      <c r="DP411">
        <f ca="1"/>
      </c>
      <c r="DQ411">
        <f ca="1"/>
      </c>
      <c r="DR411">
        <f ca="1"/>
      </c>
      <c r="DS411">
        <f ca="1"/>
      </c>
      <c r="DT411">
        <f ca="1"/>
      </c>
      <c r="DU411">
        <f ca="1"/>
      </c>
      <c r="DV411">
        <f ca="1"/>
      </c>
      <c r="DW411">
        <f ca="1"/>
      </c>
      <c r="DX411">
        <f ca="1"/>
      </c>
      <c r="DY411">
        <f ca="1"/>
      </c>
      <c r="DZ411">
        <f ca="1"/>
      </c>
      <c r="EA411">
        <f ca="1"/>
      </c>
      <c r="EB411">
        <f ca="1"/>
      </c>
      <c r="EC411">
        <f ca="1"/>
      </c>
      <c r="ED411">
        <f ca="1"/>
      </c>
      <c r="EE411">
        <f ca="1"/>
      </c>
      <c r="EF411">
        <f ca="1"/>
      </c>
      <c r="EG411">
        <f ca="1"/>
      </c>
      <c r="EH411">
        <f ca="1"/>
      </c>
      <c r="EI411">
        <f ca="1"/>
      </c>
      <c r="EJ411">
        <f ca="1"/>
      </c>
      <c r="EK411">
        <f ca="1"/>
      </c>
      <c r="EL411">
        <f ca="1"/>
      </c>
      <c r="EM411">
        <f ca="1"/>
      </c>
      <c r="EN411">
        <f ca="1"/>
      </c>
      <c r="EO411">
        <f ca="1"/>
      </c>
      <c r="EP411">
        <f ca="1"/>
      </c>
      <c r="EQ411">
        <f ca="1"/>
      </c>
      <c r="ER411">
        <f ca="1"/>
      </c>
      <c r="ES411">
        <f ca="1"/>
      </c>
      <c r="ET411">
        <f ca="1"/>
      </c>
      <c r="EU411">
        <f ca="1"/>
      </c>
      <c r="EV411">
        <f ca="1"/>
      </c>
      <c r="EW411">
        <f ca="1"/>
      </c>
      <c r="EX411">
        <f ca="1"/>
      </c>
      <c r="EY411">
        <f ca="1"/>
      </c>
      <c r="EZ411">
        <f ca="1"/>
      </c>
      <c r="FA411">
        <f ca="1"/>
      </c>
      <c r="FC411">
        <f ca="1"/>
      </c>
      <c r="FD411">
        <f ca="1"/>
      </c>
      <c r="FE411">
        <f ca="1"/>
      </c>
      <c r="FF411">
        <f ca="1"/>
      </c>
      <c r="FG411">
        <f ca="1"/>
      </c>
      <c r="FH411">
        <f ca="1"/>
      </c>
      <c r="FI411">
        <f ca="1"/>
      </c>
      <c r="FJ411">
        <f ca="1"/>
      </c>
      <c r="FK411">
        <f ca="1"/>
      </c>
      <c r="FL411">
        <f ca="1"/>
      </c>
      <c r="FM411">
        <f ca="1"/>
      </c>
      <c r="FN411">
        <f ca="1"/>
      </c>
      <c r="FO411">
        <f ca="1"/>
      </c>
      <c r="FP411">
        <f ca="1"/>
      </c>
      <c r="FQ411">
        <f ca="1"/>
      </c>
      <c r="FR411">
        <f ca="1"/>
      </c>
      <c r="FS411">
        <f ca="1"/>
      </c>
      <c r="FT411">
        <f ca="1"/>
      </c>
      <c r="FU411">
        <f ca="1"/>
      </c>
      <c r="FV411">
        <f ca="1"/>
      </c>
      <c r="FW411">
        <f ca="1"/>
      </c>
      <c r="FX411">
        <f ca="1"/>
      </c>
      <c r="FY411">
        <f ca="1"/>
      </c>
      <c r="FZ411">
        <f ca="1"/>
      </c>
      <c r="GA411">
        <f ca="1"/>
      </c>
      <c r="GB411">
        <f ca="1"/>
      </c>
      <c r="GC411">
        <f ca="1"/>
      </c>
      <c r="GD411">
        <f ca="1"/>
      </c>
      <c r="GE411">
        <f ca="1"/>
      </c>
      <c r="GF411">
        <f ca="1"/>
      </c>
      <c r="GG411">
        <f ca="1"/>
      </c>
      <c r="GH411">
        <f ca="1"/>
      </c>
      <c r="GI411">
        <f ca="1"/>
      </c>
      <c r="GJ411">
        <f ca="1"/>
      </c>
      <c r="GK411">
        <f ca="1"/>
      </c>
      <c r="GL411">
        <f ca="1"/>
      </c>
      <c r="GM411">
        <f ca="1"/>
      </c>
      <c r="GN411">
        <f ca="1"/>
      </c>
      <c r="GO411">
        <f ca="1"/>
      </c>
      <c r="GP411">
        <f ca="1"/>
      </c>
      <c r="GQ411">
        <f ca="1"/>
      </c>
      <c r="GR411">
        <f ca="1"/>
      </c>
      <c r="GS411">
        <f ca="1"/>
      </c>
      <c r="GT411">
        <f ca="1"/>
      </c>
      <c r="GU411">
        <f ca="1"/>
      </c>
      <c r="GV411">
        <f ca="1"/>
      </c>
      <c r="GW411">
        <f ca="1"/>
      </c>
      <c r="HI411" s="7"/>
    </row>
    <row r="412" spans="63:217" x14ac:dyDescent="0.55000000000000004">
      <c r="BK412">
        <f ca="1"/>
      </c>
      <c r="BL412">
        <f ca="1"/>
      </c>
      <c r="BM412">
        <f ca="1"/>
      </c>
      <c r="BN412">
        <f ca="1"/>
      </c>
      <c r="BO412">
        <f ca="1"/>
      </c>
      <c r="BP412">
        <f ca="1"/>
      </c>
      <c r="BQ412">
        <f ca="1"/>
      </c>
      <c r="BR412">
        <f ca="1"/>
      </c>
      <c r="BS412">
        <f ca="1"/>
      </c>
      <c r="BT412">
        <f ca="1"/>
      </c>
      <c r="BU412">
        <f ca="1"/>
      </c>
      <c r="BV412">
        <f ca="1"/>
      </c>
      <c r="BW412">
        <f ca="1"/>
      </c>
      <c r="BX412">
        <f ca="1"/>
      </c>
      <c r="BY412">
        <f ca="1"/>
      </c>
      <c r="BZ412">
        <f ca="1"/>
      </c>
      <c r="CA412">
        <f ca="1"/>
      </c>
      <c r="CB412">
        <f ca="1"/>
      </c>
      <c r="CC412">
        <f ca="1"/>
      </c>
      <c r="CD412">
        <f ca="1"/>
      </c>
      <c r="CE412">
        <f ca="1"/>
      </c>
      <c r="CF412">
        <f ca="1"/>
      </c>
      <c r="CG412">
        <f ca="1"/>
      </c>
      <c r="CH412">
        <f ca="1"/>
      </c>
      <c r="CI412">
        <f ca="1"/>
      </c>
      <c r="CJ412">
        <f ca="1"/>
      </c>
      <c r="CK412">
        <f ca="1"/>
      </c>
      <c r="CL412">
        <f ca="1"/>
      </c>
      <c r="CM412">
        <f ca="1"/>
      </c>
      <c r="CN412">
        <f ca="1"/>
      </c>
      <c r="CO412">
        <f ca="1"/>
      </c>
      <c r="CP412">
        <f ca="1"/>
      </c>
      <c r="CQ412">
        <f ca="1"/>
      </c>
      <c r="CR412">
        <f ca="1"/>
      </c>
      <c r="CS412">
        <f ca="1"/>
      </c>
      <c r="CT412">
        <f ca="1"/>
      </c>
      <c r="CU412">
        <f ca="1"/>
      </c>
      <c r="CV412">
        <f ca="1"/>
      </c>
      <c r="CW412">
        <f ca="1"/>
      </c>
      <c r="CX412">
        <f ca="1"/>
      </c>
      <c r="CY412">
        <f ca="1"/>
      </c>
      <c r="CZ412">
        <f ca="1"/>
      </c>
      <c r="DA412">
        <f ca="1"/>
      </c>
      <c r="DB412">
        <f ca="1"/>
      </c>
      <c r="DC412">
        <f ca="1"/>
      </c>
      <c r="DD412">
        <f ca="1"/>
      </c>
      <c r="DE412">
        <f ca="1"/>
      </c>
      <c r="DG412">
        <f ca="1"/>
      </c>
      <c r="DH412">
        <f ca="1"/>
      </c>
      <c r="DI412">
        <f ca="1"/>
      </c>
      <c r="DJ412">
        <f ca="1"/>
      </c>
      <c r="DK412">
        <f ca="1"/>
      </c>
      <c r="DL412">
        <f ca="1"/>
      </c>
      <c r="DM412">
        <f ca="1"/>
      </c>
      <c r="DN412">
        <f ca="1"/>
      </c>
      <c r="DO412">
        <f ca="1"/>
      </c>
      <c r="DP412">
        <f ca="1"/>
      </c>
      <c r="DQ412">
        <f ca="1"/>
      </c>
      <c r="DR412">
        <f ca="1"/>
      </c>
      <c r="DS412">
        <f ca="1"/>
      </c>
      <c r="DT412">
        <f ca="1"/>
      </c>
      <c r="DU412">
        <f ca="1"/>
      </c>
      <c r="DV412">
        <f ca="1"/>
      </c>
      <c r="DW412">
        <f ca="1"/>
      </c>
      <c r="DX412">
        <f ca="1"/>
      </c>
      <c r="DY412">
        <f ca="1"/>
      </c>
      <c r="DZ412">
        <f ca="1"/>
      </c>
      <c r="EA412">
        <f ca="1"/>
      </c>
      <c r="EB412">
        <f ca="1"/>
      </c>
      <c r="EC412">
        <f ca="1"/>
      </c>
      <c r="ED412">
        <f ca="1"/>
      </c>
      <c r="EE412">
        <f ca="1"/>
      </c>
      <c r="EF412">
        <f ca="1"/>
      </c>
      <c r="EG412">
        <f ca="1"/>
      </c>
      <c r="EH412">
        <f ca="1"/>
      </c>
      <c r="EI412">
        <f ca="1"/>
      </c>
      <c r="EJ412">
        <f ca="1"/>
      </c>
      <c r="EK412">
        <f ca="1"/>
      </c>
      <c r="EL412">
        <f ca="1"/>
      </c>
      <c r="EM412">
        <f ca="1"/>
      </c>
      <c r="EN412">
        <f ca="1"/>
      </c>
      <c r="EO412">
        <f ca="1"/>
      </c>
      <c r="EP412">
        <f ca="1"/>
      </c>
      <c r="EQ412">
        <f ca="1"/>
      </c>
      <c r="ER412">
        <f ca="1"/>
      </c>
      <c r="ES412">
        <f ca="1"/>
      </c>
      <c r="ET412">
        <f ca="1"/>
      </c>
      <c r="EU412">
        <f ca="1"/>
      </c>
      <c r="EV412">
        <f ca="1"/>
      </c>
      <c r="EW412">
        <f ca="1"/>
      </c>
      <c r="EX412">
        <f ca="1"/>
      </c>
      <c r="EY412">
        <f ca="1"/>
      </c>
      <c r="EZ412">
        <f ca="1"/>
      </c>
      <c r="FA412">
        <f ca="1"/>
      </c>
      <c r="FC412">
        <f ca="1"/>
      </c>
      <c r="FD412">
        <f ca="1"/>
      </c>
      <c r="FE412">
        <f ca="1"/>
      </c>
      <c r="FF412">
        <f ca="1"/>
      </c>
      <c r="FG412">
        <f ca="1"/>
      </c>
      <c r="FH412">
        <f ca="1"/>
      </c>
      <c r="FI412">
        <f ca="1"/>
      </c>
      <c r="FJ412">
        <f ca="1"/>
      </c>
      <c r="FK412">
        <f ca="1"/>
      </c>
      <c r="FL412">
        <f ca="1"/>
      </c>
      <c r="FM412">
        <f ca="1"/>
      </c>
      <c r="FN412">
        <f ca="1"/>
      </c>
      <c r="FO412">
        <f ca="1"/>
      </c>
      <c r="FP412">
        <f ca="1"/>
      </c>
      <c r="FQ412">
        <f ca="1"/>
      </c>
      <c r="FR412">
        <f ca="1"/>
      </c>
      <c r="FS412">
        <f ca="1"/>
      </c>
      <c r="FT412">
        <f ca="1"/>
      </c>
      <c r="FU412">
        <f ca="1"/>
      </c>
      <c r="FV412">
        <f ca="1"/>
      </c>
      <c r="FW412">
        <f ca="1"/>
      </c>
      <c r="FX412">
        <f ca="1"/>
      </c>
      <c r="FY412">
        <f ca="1"/>
      </c>
      <c r="FZ412">
        <f ca="1"/>
      </c>
      <c r="GA412">
        <f ca="1"/>
      </c>
      <c r="GB412">
        <f ca="1"/>
      </c>
      <c r="GC412">
        <f ca="1"/>
      </c>
      <c r="GD412">
        <f ca="1"/>
      </c>
      <c r="GE412">
        <f ca="1"/>
      </c>
      <c r="GF412">
        <f ca="1"/>
      </c>
      <c r="GG412">
        <f ca="1"/>
      </c>
      <c r="GH412">
        <f ca="1"/>
      </c>
      <c r="GI412">
        <f ca="1"/>
      </c>
      <c r="GJ412">
        <f ca="1"/>
      </c>
      <c r="GK412">
        <f ca="1"/>
      </c>
      <c r="GL412">
        <f ca="1"/>
      </c>
      <c r="GM412">
        <f ca="1"/>
      </c>
      <c r="GN412">
        <f ca="1"/>
      </c>
      <c r="GO412">
        <f ca="1"/>
      </c>
      <c r="GP412">
        <f ca="1"/>
      </c>
      <c r="GQ412">
        <f ca="1"/>
      </c>
      <c r="GR412">
        <f ca="1"/>
      </c>
      <c r="GS412">
        <f ca="1"/>
      </c>
      <c r="GT412">
        <f ca="1"/>
      </c>
      <c r="GU412">
        <f ca="1"/>
      </c>
      <c r="GV412">
        <f ca="1"/>
      </c>
      <c r="GW412">
        <f ca="1"/>
      </c>
      <c r="HI412" s="7"/>
    </row>
    <row r="413" spans="63:217" x14ac:dyDescent="0.55000000000000004">
      <c r="BK413">
        <f ca="1"/>
      </c>
      <c r="BL413">
        <f ca="1"/>
      </c>
      <c r="BM413">
        <f ca="1"/>
      </c>
      <c r="BN413">
        <f ca="1"/>
      </c>
      <c r="BO413">
        <f ca="1"/>
      </c>
      <c r="BP413">
        <f ca="1"/>
      </c>
      <c r="BQ413">
        <f ca="1"/>
      </c>
      <c r="BR413">
        <f ca="1"/>
      </c>
      <c r="BS413">
        <f ca="1"/>
      </c>
      <c r="BT413">
        <f ca="1"/>
      </c>
      <c r="BU413">
        <f ca="1"/>
      </c>
      <c r="BV413">
        <f ca="1"/>
      </c>
      <c r="BW413">
        <f ca="1"/>
      </c>
      <c r="BX413">
        <f ca="1"/>
      </c>
      <c r="BY413">
        <f ca="1"/>
      </c>
      <c r="BZ413">
        <f ca="1"/>
      </c>
      <c r="CA413">
        <f ca="1"/>
      </c>
      <c r="CB413">
        <f ca="1"/>
      </c>
      <c r="CC413">
        <f ca="1"/>
      </c>
      <c r="CD413">
        <f ca="1"/>
      </c>
      <c r="CE413">
        <f ca="1"/>
      </c>
      <c r="CF413">
        <f ca="1"/>
      </c>
      <c r="CG413">
        <f ca="1"/>
      </c>
      <c r="CH413">
        <f ca="1"/>
      </c>
      <c r="CI413">
        <f ca="1"/>
      </c>
      <c r="CJ413">
        <f ca="1"/>
      </c>
      <c r="CK413">
        <f ca="1"/>
      </c>
      <c r="CL413">
        <f ca="1"/>
      </c>
      <c r="CM413">
        <f ca="1"/>
      </c>
      <c r="CN413">
        <f ca="1"/>
      </c>
      <c r="CO413">
        <f ca="1"/>
      </c>
      <c r="CP413">
        <f ca="1"/>
      </c>
      <c r="CQ413">
        <f ca="1"/>
      </c>
      <c r="CR413">
        <f ca="1"/>
      </c>
      <c r="CS413">
        <f ca="1"/>
      </c>
      <c r="CT413">
        <f ca="1"/>
      </c>
      <c r="CU413">
        <f ca="1"/>
      </c>
      <c r="CV413">
        <f ca="1"/>
      </c>
      <c r="CW413">
        <f ca="1"/>
      </c>
      <c r="CX413">
        <f ca="1"/>
      </c>
      <c r="CY413">
        <f ca="1"/>
      </c>
      <c r="CZ413">
        <f ca="1"/>
      </c>
      <c r="DA413">
        <f ca="1"/>
      </c>
      <c r="DB413">
        <f ca="1"/>
      </c>
      <c r="DC413">
        <f ca="1"/>
      </c>
      <c r="DD413">
        <f ca="1"/>
      </c>
      <c r="DE413">
        <f ca="1"/>
      </c>
      <c r="DG413">
        <f ca="1"/>
      </c>
      <c r="DH413">
        <f ca="1"/>
      </c>
      <c r="DI413">
        <f ca="1"/>
      </c>
      <c r="DJ413">
        <f ca="1"/>
      </c>
      <c r="DK413">
        <f ca="1"/>
      </c>
      <c r="DL413">
        <f ca="1"/>
      </c>
      <c r="DM413">
        <f ca="1"/>
      </c>
      <c r="DN413">
        <f ca="1"/>
      </c>
      <c r="DO413">
        <f ca="1"/>
      </c>
      <c r="DP413">
        <f ca="1"/>
      </c>
      <c r="DQ413">
        <f ca="1"/>
      </c>
      <c r="DR413">
        <f ca="1"/>
      </c>
      <c r="DS413">
        <f ca="1"/>
      </c>
      <c r="DT413">
        <f ca="1"/>
      </c>
      <c r="DU413">
        <f ca="1"/>
      </c>
      <c r="DV413">
        <f ca="1"/>
      </c>
      <c r="DW413">
        <f ca="1"/>
      </c>
      <c r="DX413">
        <f ca="1"/>
      </c>
      <c r="DY413">
        <f ca="1"/>
      </c>
      <c r="DZ413">
        <f ca="1"/>
      </c>
      <c r="EA413">
        <f ca="1"/>
      </c>
      <c r="EB413">
        <f ca="1"/>
      </c>
      <c r="EC413">
        <f ca="1"/>
      </c>
      <c r="ED413">
        <f ca="1"/>
      </c>
      <c r="EE413">
        <f ca="1"/>
      </c>
      <c r="EF413">
        <f ca="1"/>
      </c>
      <c r="EG413">
        <f ca="1"/>
      </c>
      <c r="EH413">
        <f ca="1"/>
      </c>
      <c r="EI413">
        <f ca="1"/>
      </c>
      <c r="EJ413">
        <f ca="1"/>
      </c>
      <c r="EK413">
        <f ca="1"/>
      </c>
      <c r="EL413">
        <f ca="1"/>
      </c>
      <c r="EM413">
        <f ca="1"/>
      </c>
      <c r="EN413">
        <f ca="1"/>
      </c>
      <c r="EO413">
        <f ca="1"/>
      </c>
      <c r="EP413">
        <f ca="1"/>
      </c>
      <c r="EQ413">
        <f ca="1"/>
      </c>
      <c r="ER413">
        <f ca="1"/>
      </c>
      <c r="ES413">
        <f ca="1"/>
      </c>
      <c r="ET413">
        <f ca="1"/>
      </c>
      <c r="EU413">
        <f ca="1"/>
      </c>
      <c r="EV413">
        <f ca="1"/>
      </c>
      <c r="EW413">
        <f ca="1"/>
      </c>
      <c r="EX413">
        <f ca="1"/>
      </c>
      <c r="EY413">
        <f ca="1"/>
      </c>
      <c r="EZ413">
        <f ca="1"/>
      </c>
      <c r="FA413">
        <f ca="1"/>
      </c>
      <c r="FC413">
        <f ca="1"/>
      </c>
      <c r="FD413">
        <f ca="1"/>
      </c>
      <c r="FE413">
        <f ca="1"/>
      </c>
      <c r="FF413">
        <f ca="1"/>
      </c>
      <c r="FG413">
        <f ca="1"/>
      </c>
      <c r="FH413">
        <f ca="1"/>
      </c>
      <c r="FI413">
        <f ca="1"/>
      </c>
      <c r="FJ413">
        <f ca="1"/>
      </c>
      <c r="FK413">
        <f ca="1"/>
      </c>
      <c r="FL413">
        <f ca="1"/>
      </c>
      <c r="FM413">
        <f ca="1"/>
      </c>
      <c r="FN413">
        <f ca="1"/>
      </c>
      <c r="FO413">
        <f ca="1"/>
      </c>
      <c r="FP413">
        <f ca="1"/>
      </c>
      <c r="FQ413">
        <f ca="1"/>
      </c>
      <c r="FR413">
        <f ca="1"/>
      </c>
      <c r="FS413">
        <f ca="1"/>
      </c>
      <c r="FT413">
        <f ca="1"/>
      </c>
      <c r="FU413">
        <f ca="1"/>
      </c>
      <c r="FV413">
        <f ca="1"/>
      </c>
      <c r="FW413">
        <f ca="1"/>
      </c>
      <c r="FX413">
        <f ca="1"/>
      </c>
      <c r="FY413">
        <f ca="1"/>
      </c>
      <c r="FZ413">
        <f ca="1"/>
      </c>
      <c r="GA413">
        <f ca="1"/>
      </c>
      <c r="GB413">
        <f ca="1"/>
      </c>
      <c r="GC413">
        <f ca="1"/>
      </c>
      <c r="GD413">
        <f ca="1"/>
      </c>
      <c r="GE413">
        <f ca="1"/>
      </c>
      <c r="GF413">
        <f ca="1"/>
      </c>
      <c r="GG413">
        <f ca="1"/>
      </c>
      <c r="GH413">
        <f ca="1"/>
      </c>
      <c r="GI413">
        <f ca="1"/>
      </c>
      <c r="GJ413">
        <f ca="1"/>
      </c>
      <c r="GK413">
        <f ca="1"/>
      </c>
      <c r="GL413">
        <f ca="1"/>
      </c>
      <c r="GM413">
        <f ca="1"/>
      </c>
      <c r="GN413">
        <f ca="1"/>
      </c>
      <c r="GO413">
        <f ca="1"/>
      </c>
      <c r="GP413">
        <f ca="1"/>
      </c>
      <c r="GQ413">
        <f ca="1"/>
      </c>
      <c r="GR413">
        <f ca="1"/>
      </c>
      <c r="GS413">
        <f ca="1"/>
      </c>
      <c r="GT413">
        <f ca="1"/>
      </c>
      <c r="GU413">
        <f ca="1"/>
      </c>
      <c r="GV413">
        <f ca="1"/>
      </c>
      <c r="GW413">
        <f ca="1"/>
      </c>
      <c r="HI413" s="7"/>
    </row>
    <row r="414" spans="63:217" x14ac:dyDescent="0.55000000000000004">
      <c r="BK414">
        <f ca="1"/>
      </c>
      <c r="BL414">
        <f ca="1"/>
      </c>
      <c r="BM414">
        <f ca="1"/>
      </c>
      <c r="BN414">
        <f ca="1"/>
      </c>
      <c r="BO414">
        <f ca="1"/>
      </c>
      <c r="BP414">
        <f ca="1"/>
      </c>
      <c r="BQ414">
        <f ca="1"/>
      </c>
      <c r="BR414">
        <f ca="1"/>
      </c>
      <c r="BS414">
        <f ca="1"/>
      </c>
      <c r="BT414">
        <f ca="1"/>
      </c>
      <c r="BU414">
        <f ca="1"/>
      </c>
      <c r="BV414">
        <f ca="1"/>
      </c>
      <c r="BW414">
        <f ca="1"/>
      </c>
      <c r="BX414">
        <f ca="1"/>
      </c>
      <c r="BY414">
        <f ca="1"/>
      </c>
      <c r="BZ414">
        <f ca="1"/>
      </c>
      <c r="CA414">
        <f ca="1"/>
      </c>
      <c r="CB414">
        <f ca="1"/>
      </c>
      <c r="CC414">
        <f ca="1"/>
      </c>
      <c r="CD414">
        <f ca="1"/>
      </c>
      <c r="CE414">
        <f ca="1"/>
      </c>
      <c r="CF414">
        <f ca="1"/>
      </c>
      <c r="CG414">
        <f ca="1"/>
      </c>
      <c r="CH414">
        <f ca="1"/>
      </c>
      <c r="CI414">
        <f ca="1"/>
      </c>
      <c r="CJ414">
        <f ca="1"/>
      </c>
      <c r="CK414">
        <f ca="1"/>
      </c>
      <c r="CL414">
        <f ca="1"/>
      </c>
      <c r="CM414">
        <f ca="1"/>
      </c>
      <c r="CN414">
        <f ca="1"/>
      </c>
      <c r="CO414">
        <f ca="1"/>
      </c>
      <c r="CP414">
        <f ca="1"/>
      </c>
      <c r="CQ414">
        <f ca="1"/>
      </c>
      <c r="CR414">
        <f ca="1"/>
      </c>
      <c r="CS414">
        <f ca="1"/>
      </c>
      <c r="CT414">
        <f ca="1"/>
      </c>
      <c r="CU414">
        <f ca="1"/>
      </c>
      <c r="CV414">
        <f ca="1"/>
      </c>
      <c r="CW414">
        <f ca="1"/>
      </c>
      <c r="CX414">
        <f ca="1"/>
      </c>
      <c r="CY414">
        <f ca="1"/>
      </c>
      <c r="CZ414">
        <f ca="1"/>
      </c>
      <c r="DA414">
        <f ca="1"/>
      </c>
      <c r="DB414">
        <f ca="1"/>
      </c>
      <c r="DC414">
        <f ca="1"/>
      </c>
      <c r="DD414">
        <f ca="1"/>
      </c>
      <c r="DE414">
        <f ca="1"/>
      </c>
      <c r="DG414">
        <f ca="1"/>
      </c>
      <c r="DH414">
        <f ca="1"/>
      </c>
      <c r="DI414">
        <f ca="1"/>
      </c>
      <c r="DJ414">
        <f ca="1"/>
      </c>
      <c r="DK414">
        <f ca="1"/>
      </c>
      <c r="DL414">
        <f ca="1"/>
      </c>
      <c r="DM414">
        <f ca="1"/>
      </c>
      <c r="DN414">
        <f ca="1"/>
      </c>
      <c r="DO414">
        <f ca="1"/>
      </c>
      <c r="DP414">
        <f ca="1"/>
      </c>
      <c r="DQ414">
        <f ca="1"/>
      </c>
      <c r="DR414">
        <f ca="1"/>
      </c>
      <c r="DS414">
        <f ca="1"/>
      </c>
      <c r="DT414">
        <f ca="1"/>
      </c>
      <c r="DU414">
        <f ca="1"/>
      </c>
      <c r="DV414">
        <f ca="1"/>
      </c>
      <c r="DW414">
        <f ca="1"/>
      </c>
      <c r="DX414">
        <f ca="1"/>
      </c>
      <c r="DY414">
        <f ca="1"/>
      </c>
      <c r="DZ414">
        <f ca="1"/>
      </c>
      <c r="EA414">
        <f ca="1"/>
      </c>
      <c r="EB414">
        <f ca="1"/>
      </c>
      <c r="EC414">
        <f ca="1"/>
      </c>
      <c r="ED414">
        <f ca="1"/>
      </c>
      <c r="EE414">
        <f ca="1"/>
      </c>
      <c r="EF414">
        <f ca="1"/>
      </c>
      <c r="EG414">
        <f ca="1"/>
      </c>
      <c r="EH414">
        <f ca="1"/>
      </c>
      <c r="EI414">
        <f ca="1"/>
      </c>
      <c r="EJ414">
        <f ca="1"/>
      </c>
      <c r="EK414">
        <f ca="1"/>
      </c>
      <c r="EL414">
        <f ca="1"/>
      </c>
      <c r="EM414">
        <f ca="1"/>
      </c>
      <c r="EN414">
        <f ca="1"/>
      </c>
      <c r="EO414">
        <f ca="1"/>
      </c>
      <c r="EP414">
        <f ca="1"/>
      </c>
      <c r="EQ414">
        <f ca="1"/>
      </c>
      <c r="ER414">
        <f ca="1"/>
      </c>
      <c r="ES414">
        <f ca="1"/>
      </c>
      <c r="ET414">
        <f ca="1"/>
      </c>
      <c r="EU414">
        <f ca="1"/>
      </c>
      <c r="EV414">
        <f ca="1"/>
      </c>
      <c r="EW414">
        <f ca="1"/>
      </c>
      <c r="EX414">
        <f ca="1"/>
      </c>
      <c r="EY414">
        <f ca="1"/>
      </c>
      <c r="EZ414">
        <f ca="1"/>
      </c>
      <c r="FA414">
        <f ca="1"/>
      </c>
      <c r="FC414">
        <f ca="1"/>
      </c>
      <c r="FD414">
        <f ca="1"/>
      </c>
      <c r="FE414">
        <f ca="1"/>
      </c>
      <c r="FF414">
        <f ca="1"/>
      </c>
      <c r="FG414">
        <f ca="1"/>
      </c>
      <c r="FH414">
        <f ca="1"/>
      </c>
      <c r="FI414">
        <f ca="1"/>
      </c>
      <c r="FJ414">
        <f ca="1"/>
      </c>
      <c r="FK414">
        <f ca="1"/>
      </c>
      <c r="FL414">
        <f ca="1"/>
      </c>
      <c r="FM414">
        <f ca="1"/>
      </c>
      <c r="FN414">
        <f ca="1"/>
      </c>
      <c r="FO414">
        <f ca="1"/>
      </c>
      <c r="FP414">
        <f ca="1"/>
      </c>
      <c r="FQ414">
        <f ca="1"/>
      </c>
      <c r="FR414">
        <f ca="1"/>
      </c>
      <c r="FS414">
        <f ca="1"/>
      </c>
      <c r="FT414">
        <f ca="1"/>
      </c>
      <c r="FU414">
        <f ca="1"/>
      </c>
      <c r="FV414">
        <f ca="1"/>
      </c>
      <c r="FW414">
        <f ca="1"/>
      </c>
      <c r="FX414">
        <f ca="1"/>
      </c>
      <c r="FY414">
        <f ca="1"/>
      </c>
      <c r="FZ414">
        <f ca="1"/>
      </c>
      <c r="GA414">
        <f ca="1"/>
      </c>
      <c r="GB414">
        <f ca="1"/>
      </c>
      <c r="GC414">
        <f ca="1"/>
      </c>
      <c r="GD414">
        <f ca="1"/>
      </c>
      <c r="GE414">
        <f ca="1"/>
      </c>
      <c r="GF414">
        <f ca="1"/>
      </c>
      <c r="GG414">
        <f ca="1"/>
      </c>
      <c r="GH414">
        <f ca="1"/>
      </c>
      <c r="GI414">
        <f ca="1"/>
      </c>
      <c r="GJ414">
        <f ca="1"/>
      </c>
      <c r="GK414">
        <f ca="1"/>
      </c>
      <c r="GL414">
        <f ca="1"/>
      </c>
      <c r="GM414">
        <f ca="1"/>
      </c>
      <c r="GN414">
        <f ca="1"/>
      </c>
      <c r="GO414">
        <f ca="1"/>
      </c>
      <c r="GP414">
        <f ca="1"/>
      </c>
      <c r="GQ414">
        <f ca="1"/>
      </c>
      <c r="GR414">
        <f ca="1"/>
      </c>
      <c r="GS414">
        <f ca="1"/>
      </c>
      <c r="GT414">
        <f ca="1"/>
      </c>
      <c r="GU414">
        <f ca="1"/>
      </c>
      <c r="GV414">
        <f ca="1"/>
      </c>
      <c r="GW414">
        <f ca="1"/>
      </c>
      <c r="HI414" s="7"/>
    </row>
    <row r="415" spans="63:217" x14ac:dyDescent="0.55000000000000004">
      <c r="BK415">
        <f ca="1"/>
      </c>
      <c r="BL415">
        <f ca="1"/>
      </c>
      <c r="BM415">
        <f ca="1"/>
      </c>
      <c r="BN415">
        <f ca="1"/>
      </c>
      <c r="BO415">
        <f ca="1"/>
      </c>
      <c r="BP415">
        <f ca="1"/>
      </c>
      <c r="BQ415">
        <f ca="1"/>
      </c>
      <c r="BR415">
        <f ca="1"/>
      </c>
      <c r="BS415">
        <f ca="1"/>
      </c>
      <c r="BT415">
        <f ca="1"/>
      </c>
      <c r="BU415">
        <f ca="1"/>
      </c>
      <c r="BV415">
        <f ca="1"/>
      </c>
      <c r="BW415">
        <f ca="1"/>
      </c>
      <c r="BX415">
        <f ca="1"/>
      </c>
      <c r="BY415">
        <f ca="1"/>
      </c>
      <c r="BZ415">
        <f ca="1"/>
      </c>
      <c r="CA415">
        <f ca="1"/>
      </c>
      <c r="CB415">
        <f ca="1"/>
      </c>
      <c r="CC415">
        <f ca="1"/>
      </c>
      <c r="CD415">
        <f ca="1"/>
      </c>
      <c r="CE415">
        <f ca="1"/>
      </c>
      <c r="CF415">
        <f ca="1"/>
      </c>
      <c r="CG415">
        <f ca="1"/>
      </c>
      <c r="CH415">
        <f ca="1"/>
      </c>
      <c r="CI415">
        <f ca="1"/>
      </c>
      <c r="CJ415">
        <f ca="1"/>
      </c>
      <c r="CK415">
        <f ca="1"/>
      </c>
      <c r="CL415">
        <f ca="1"/>
      </c>
      <c r="CM415">
        <f ca="1"/>
      </c>
      <c r="CN415">
        <f ca="1"/>
      </c>
      <c r="CO415">
        <f ca="1"/>
      </c>
      <c r="CP415">
        <f ca="1"/>
      </c>
      <c r="CQ415">
        <f ca="1"/>
      </c>
      <c r="CR415">
        <f ca="1"/>
      </c>
      <c r="CS415">
        <f ca="1"/>
      </c>
      <c r="CT415">
        <f ca="1"/>
      </c>
      <c r="CU415">
        <f ca="1"/>
      </c>
      <c r="CV415">
        <f ca="1"/>
      </c>
      <c r="CW415">
        <f ca="1"/>
      </c>
      <c r="CX415">
        <f ca="1"/>
      </c>
      <c r="CY415">
        <f ca="1"/>
      </c>
      <c r="CZ415">
        <f ca="1"/>
      </c>
      <c r="DA415">
        <f ca="1"/>
      </c>
      <c r="DB415">
        <f ca="1"/>
      </c>
      <c r="DC415">
        <f ca="1"/>
      </c>
      <c r="DD415">
        <f ca="1"/>
      </c>
      <c r="DE415">
        <f ca="1"/>
      </c>
      <c r="DG415">
        <f ca="1"/>
      </c>
      <c r="DH415">
        <f ca="1"/>
      </c>
      <c r="DI415">
        <f ca="1"/>
      </c>
      <c r="DJ415">
        <f ca="1"/>
      </c>
      <c r="DK415">
        <f ca="1"/>
      </c>
      <c r="DL415">
        <f ca="1"/>
      </c>
      <c r="DM415">
        <f ca="1"/>
      </c>
      <c r="DN415">
        <f ca="1"/>
      </c>
      <c r="DO415">
        <f ca="1"/>
      </c>
      <c r="DP415">
        <f ca="1"/>
      </c>
      <c r="DQ415">
        <f ca="1"/>
      </c>
      <c r="DR415">
        <f ca="1"/>
      </c>
      <c r="DS415">
        <f ca="1"/>
      </c>
      <c r="DT415">
        <f ca="1"/>
      </c>
      <c r="DU415">
        <f ca="1"/>
      </c>
      <c r="DV415">
        <f ca="1"/>
      </c>
      <c r="DW415">
        <f ca="1"/>
      </c>
      <c r="DX415">
        <f ca="1"/>
      </c>
      <c r="DY415">
        <f ca="1"/>
      </c>
      <c r="DZ415">
        <f ca="1"/>
      </c>
      <c r="EA415">
        <f ca="1"/>
      </c>
      <c r="EB415">
        <f ca="1"/>
      </c>
      <c r="EC415">
        <f ca="1"/>
      </c>
      <c r="ED415">
        <f ca="1"/>
      </c>
      <c r="EE415">
        <f ca="1"/>
      </c>
      <c r="EF415">
        <f ca="1"/>
      </c>
      <c r="EG415">
        <f ca="1"/>
      </c>
      <c r="EH415">
        <f ca="1"/>
      </c>
      <c r="EI415">
        <f ca="1"/>
      </c>
      <c r="EJ415">
        <f ca="1"/>
      </c>
      <c r="EK415">
        <f ca="1"/>
      </c>
      <c r="EL415">
        <f ca="1"/>
      </c>
      <c r="EM415">
        <f ca="1"/>
      </c>
      <c r="EN415">
        <f ca="1"/>
      </c>
      <c r="EO415">
        <f ca="1"/>
      </c>
      <c r="EP415">
        <f ca="1"/>
      </c>
      <c r="EQ415">
        <f ca="1"/>
      </c>
      <c r="ER415">
        <f ca="1"/>
      </c>
      <c r="ES415">
        <f ca="1"/>
      </c>
      <c r="ET415">
        <f ca="1"/>
      </c>
      <c r="EU415">
        <f ca="1"/>
      </c>
      <c r="EV415">
        <f ca="1"/>
      </c>
      <c r="EW415">
        <f ca="1"/>
      </c>
      <c r="EX415">
        <f ca="1"/>
      </c>
      <c r="EY415">
        <f ca="1"/>
      </c>
      <c r="EZ415">
        <f ca="1"/>
      </c>
      <c r="FA415">
        <f ca="1"/>
      </c>
      <c r="FC415">
        <f ca="1"/>
      </c>
      <c r="FD415">
        <f ca="1"/>
      </c>
      <c r="FE415">
        <f ca="1"/>
      </c>
      <c r="FF415">
        <f ca="1"/>
      </c>
      <c r="FG415">
        <f ca="1"/>
      </c>
      <c r="FH415">
        <f ca="1"/>
      </c>
      <c r="FI415">
        <f ca="1"/>
      </c>
      <c r="FJ415">
        <f ca="1"/>
      </c>
      <c r="FK415">
        <f ca="1"/>
      </c>
      <c r="FL415">
        <f ca="1"/>
      </c>
      <c r="FM415">
        <f ca="1"/>
      </c>
      <c r="FN415">
        <f ca="1"/>
      </c>
      <c r="FO415">
        <f ca="1"/>
      </c>
      <c r="FP415">
        <f ca="1"/>
      </c>
      <c r="FQ415">
        <f ca="1"/>
      </c>
      <c r="FR415">
        <f ca="1"/>
      </c>
      <c r="FS415">
        <f ca="1"/>
      </c>
      <c r="FT415">
        <f ca="1"/>
      </c>
      <c r="FU415">
        <f ca="1"/>
      </c>
      <c r="FV415">
        <f ca="1"/>
      </c>
      <c r="FW415">
        <f ca="1"/>
      </c>
      <c r="FX415">
        <f ca="1"/>
      </c>
      <c r="FY415">
        <f ca="1"/>
      </c>
      <c r="FZ415">
        <f ca="1"/>
      </c>
      <c r="GA415">
        <f ca="1"/>
      </c>
      <c r="GB415">
        <f ca="1"/>
      </c>
      <c r="GC415">
        <f ca="1"/>
      </c>
      <c r="GD415">
        <f ca="1"/>
      </c>
      <c r="GE415">
        <f ca="1"/>
      </c>
      <c r="GF415">
        <f ca="1"/>
      </c>
      <c r="GG415">
        <f ca="1"/>
      </c>
      <c r="GH415">
        <f ca="1"/>
      </c>
      <c r="GI415">
        <f ca="1"/>
      </c>
      <c r="GJ415">
        <f ca="1"/>
      </c>
      <c r="GK415">
        <f ca="1"/>
      </c>
      <c r="GL415">
        <f ca="1"/>
      </c>
      <c r="GM415">
        <f ca="1"/>
      </c>
      <c r="GN415">
        <f ca="1"/>
      </c>
      <c r="GO415">
        <f ca="1"/>
      </c>
      <c r="GP415">
        <f ca="1"/>
      </c>
      <c r="GQ415">
        <f ca="1"/>
      </c>
      <c r="GR415">
        <f ca="1"/>
      </c>
      <c r="GS415">
        <f ca="1"/>
      </c>
      <c r="GT415">
        <f ca="1"/>
      </c>
      <c r="GU415">
        <f ca="1"/>
      </c>
      <c r="GV415">
        <f ca="1"/>
      </c>
      <c r="GW415">
        <f ca="1"/>
      </c>
      <c r="HI415" s="7"/>
    </row>
    <row r="416" spans="63:217" x14ac:dyDescent="0.55000000000000004">
      <c r="BK416">
        <f ca="1"/>
      </c>
      <c r="BL416">
        <f ca="1"/>
      </c>
      <c r="BM416">
        <f ca="1"/>
      </c>
      <c r="BN416">
        <f ca="1"/>
      </c>
      <c r="BO416">
        <f ca="1"/>
      </c>
      <c r="BP416">
        <f ca="1"/>
      </c>
      <c r="BQ416">
        <f ca="1"/>
      </c>
      <c r="BR416">
        <f ca="1"/>
      </c>
      <c r="BS416">
        <f ca="1"/>
      </c>
      <c r="BT416">
        <f ca="1"/>
      </c>
      <c r="BU416">
        <f ca="1"/>
      </c>
      <c r="BV416">
        <f ca="1"/>
      </c>
      <c r="BW416">
        <f ca="1"/>
      </c>
      <c r="BX416">
        <f ca="1"/>
      </c>
      <c r="BY416">
        <f ca="1"/>
      </c>
      <c r="BZ416">
        <f ca="1"/>
      </c>
      <c r="CA416">
        <f ca="1"/>
      </c>
      <c r="CB416">
        <f ca="1"/>
      </c>
      <c r="CC416">
        <f ca="1"/>
      </c>
      <c r="CD416">
        <f ca="1"/>
      </c>
      <c r="CE416">
        <f ca="1"/>
      </c>
      <c r="CF416">
        <f ca="1"/>
      </c>
      <c r="CG416">
        <f ca="1"/>
      </c>
      <c r="CH416">
        <f ca="1"/>
      </c>
      <c r="CI416">
        <f ca="1"/>
      </c>
      <c r="CJ416">
        <f ca="1"/>
      </c>
      <c r="CK416">
        <f ca="1"/>
      </c>
      <c r="CL416">
        <f ca="1"/>
      </c>
      <c r="CM416">
        <f ca="1"/>
      </c>
      <c r="CN416">
        <f ca="1"/>
      </c>
      <c r="CO416">
        <f ca="1"/>
      </c>
      <c r="CP416">
        <f ca="1"/>
      </c>
      <c r="CQ416">
        <f ca="1"/>
      </c>
      <c r="CR416">
        <f ca="1"/>
      </c>
      <c r="CS416">
        <f ca="1"/>
      </c>
      <c r="CT416">
        <f ca="1"/>
      </c>
      <c r="CU416">
        <f ca="1"/>
      </c>
      <c r="CV416">
        <f ca="1"/>
      </c>
      <c r="CW416">
        <f ca="1"/>
      </c>
      <c r="CX416">
        <f ca="1"/>
      </c>
      <c r="CY416">
        <f ca="1"/>
      </c>
      <c r="CZ416">
        <f ca="1"/>
      </c>
      <c r="DA416">
        <f ca="1"/>
      </c>
      <c r="DB416">
        <f ca="1"/>
      </c>
      <c r="DC416">
        <f ca="1"/>
      </c>
      <c r="DD416">
        <f ca="1"/>
      </c>
      <c r="DE416">
        <f ca="1"/>
      </c>
      <c r="DG416">
        <f ca="1"/>
      </c>
      <c r="DH416">
        <f ca="1"/>
      </c>
      <c r="DI416">
        <f ca="1"/>
      </c>
      <c r="DJ416">
        <f ca="1"/>
      </c>
      <c r="DK416">
        <f ca="1"/>
      </c>
      <c r="DL416">
        <f ca="1"/>
      </c>
      <c r="DM416">
        <f ca="1"/>
      </c>
      <c r="DN416">
        <f ca="1"/>
      </c>
      <c r="DO416">
        <f ca="1"/>
      </c>
      <c r="DP416">
        <f ca="1"/>
      </c>
      <c r="DQ416">
        <f ca="1"/>
      </c>
      <c r="DR416">
        <f ca="1"/>
      </c>
      <c r="DS416">
        <f ca="1"/>
      </c>
      <c r="DT416">
        <f ca="1"/>
      </c>
      <c r="DU416">
        <f ca="1"/>
      </c>
      <c r="DV416">
        <f ca="1"/>
      </c>
      <c r="DW416">
        <f ca="1"/>
      </c>
      <c r="DX416">
        <f ca="1"/>
      </c>
      <c r="DY416">
        <f ca="1"/>
      </c>
      <c r="DZ416">
        <f ca="1"/>
      </c>
      <c r="EA416">
        <f ca="1"/>
      </c>
      <c r="EB416">
        <f ca="1"/>
      </c>
      <c r="EC416">
        <f ca="1"/>
      </c>
      <c r="ED416">
        <f ca="1"/>
      </c>
      <c r="EE416">
        <f ca="1"/>
      </c>
      <c r="EF416">
        <f ca="1"/>
      </c>
      <c r="EG416">
        <f ca="1"/>
      </c>
      <c r="EH416">
        <f ca="1"/>
      </c>
      <c r="EI416">
        <f ca="1"/>
      </c>
      <c r="EJ416">
        <f ca="1"/>
      </c>
      <c r="EK416">
        <f ca="1"/>
      </c>
      <c r="EL416">
        <f ca="1"/>
      </c>
      <c r="EM416">
        <f ca="1"/>
      </c>
      <c r="EN416">
        <f ca="1"/>
      </c>
      <c r="EO416">
        <f ca="1"/>
      </c>
      <c r="EP416">
        <f ca="1"/>
      </c>
      <c r="EQ416">
        <f ca="1"/>
      </c>
      <c r="ER416">
        <f ca="1"/>
      </c>
      <c r="ES416">
        <f ca="1"/>
      </c>
      <c r="ET416">
        <f ca="1"/>
      </c>
      <c r="EU416">
        <f ca="1"/>
      </c>
      <c r="EV416">
        <f ca="1"/>
      </c>
      <c r="EW416">
        <f ca="1"/>
      </c>
      <c r="EX416">
        <f ca="1"/>
      </c>
      <c r="EY416">
        <f ca="1"/>
      </c>
      <c r="EZ416">
        <f ca="1"/>
      </c>
      <c r="FA416">
        <f ca="1"/>
      </c>
      <c r="FC416">
        <f ca="1"/>
      </c>
      <c r="FD416">
        <f ca="1"/>
      </c>
      <c r="FE416">
        <f ca="1"/>
      </c>
      <c r="FF416">
        <f ca="1"/>
      </c>
      <c r="FG416">
        <f ca="1"/>
      </c>
      <c r="FH416">
        <f ca="1"/>
      </c>
      <c r="FI416">
        <f ca="1"/>
      </c>
      <c r="FJ416">
        <f ca="1"/>
      </c>
      <c r="FK416">
        <f ca="1"/>
      </c>
      <c r="FL416">
        <f ca="1"/>
      </c>
      <c r="FM416">
        <f ca="1"/>
      </c>
      <c r="FN416">
        <f ca="1"/>
      </c>
      <c r="FO416">
        <f ca="1"/>
      </c>
      <c r="FP416">
        <f ca="1"/>
      </c>
      <c r="FQ416">
        <f ca="1"/>
      </c>
      <c r="FR416">
        <f ca="1"/>
      </c>
      <c r="FS416">
        <f ca="1"/>
      </c>
      <c r="FT416">
        <f ca="1"/>
      </c>
      <c r="FU416">
        <f ca="1"/>
      </c>
      <c r="FV416">
        <f ca="1"/>
      </c>
      <c r="FW416">
        <f ca="1"/>
      </c>
      <c r="FX416">
        <f ca="1"/>
      </c>
      <c r="FY416">
        <f ca="1"/>
      </c>
      <c r="FZ416">
        <f ca="1"/>
      </c>
      <c r="GA416">
        <f ca="1"/>
      </c>
      <c r="GB416">
        <f ca="1"/>
      </c>
      <c r="GC416">
        <f ca="1"/>
      </c>
      <c r="GD416">
        <f ca="1"/>
      </c>
      <c r="GE416">
        <f ca="1"/>
      </c>
      <c r="GF416">
        <f ca="1"/>
      </c>
      <c r="GG416">
        <f ca="1"/>
      </c>
      <c r="GH416">
        <f ca="1"/>
      </c>
      <c r="GI416">
        <f ca="1"/>
      </c>
      <c r="GJ416">
        <f ca="1"/>
      </c>
      <c r="GK416">
        <f ca="1"/>
      </c>
      <c r="GL416">
        <f ca="1"/>
      </c>
      <c r="GM416">
        <f ca="1"/>
      </c>
      <c r="GN416">
        <f ca="1"/>
      </c>
      <c r="GO416">
        <f ca="1"/>
      </c>
      <c r="GP416">
        <f ca="1"/>
      </c>
      <c r="GQ416">
        <f ca="1"/>
      </c>
      <c r="GR416">
        <f ca="1"/>
      </c>
      <c r="GS416">
        <f ca="1"/>
      </c>
      <c r="GT416">
        <f ca="1"/>
      </c>
      <c r="GU416">
        <f ca="1"/>
      </c>
      <c r="GV416">
        <f ca="1"/>
      </c>
      <c r="GW416">
        <f ca="1"/>
      </c>
      <c r="HI416" s="7"/>
    </row>
    <row r="417" spans="63:217" x14ac:dyDescent="0.55000000000000004">
      <c r="BK417">
        <f ca="1"/>
      </c>
      <c r="BL417">
        <f ca="1"/>
      </c>
      <c r="BM417">
        <f ca="1"/>
      </c>
      <c r="BN417">
        <f ca="1"/>
      </c>
      <c r="BO417">
        <f ca="1"/>
      </c>
      <c r="BP417">
        <f ca="1"/>
      </c>
      <c r="BQ417">
        <f ca="1"/>
      </c>
      <c r="BR417">
        <f ca="1"/>
      </c>
      <c r="BS417">
        <f ca="1"/>
      </c>
      <c r="BT417">
        <f ca="1"/>
      </c>
      <c r="BU417">
        <f ca="1"/>
      </c>
      <c r="BV417">
        <f ca="1"/>
      </c>
      <c r="BW417">
        <f ca="1"/>
      </c>
      <c r="BX417">
        <f ca="1"/>
      </c>
      <c r="BY417">
        <f ca="1"/>
      </c>
      <c r="BZ417">
        <f ca="1"/>
      </c>
      <c r="CA417">
        <f ca="1"/>
      </c>
      <c r="CB417">
        <f ca="1"/>
      </c>
      <c r="CC417">
        <f ca="1"/>
      </c>
      <c r="CD417">
        <f ca="1"/>
      </c>
      <c r="CE417">
        <f ca="1"/>
      </c>
      <c r="CF417">
        <f ca="1"/>
      </c>
      <c r="CG417">
        <f ca="1"/>
      </c>
      <c r="CH417">
        <f ca="1"/>
      </c>
      <c r="CI417">
        <f ca="1"/>
      </c>
      <c r="CJ417">
        <f ca="1"/>
      </c>
      <c r="CK417">
        <f ca="1"/>
      </c>
      <c r="CL417">
        <f ca="1"/>
      </c>
      <c r="CM417">
        <f ca="1"/>
      </c>
      <c r="CN417">
        <f ca="1"/>
      </c>
      <c r="CO417">
        <f ca="1"/>
      </c>
      <c r="CP417">
        <f ca="1"/>
      </c>
      <c r="CQ417">
        <f ca="1"/>
      </c>
      <c r="CR417">
        <f ca="1"/>
      </c>
      <c r="CS417">
        <f ca="1"/>
      </c>
      <c r="CT417">
        <f ca="1"/>
      </c>
      <c r="CU417">
        <f ca="1"/>
      </c>
      <c r="CV417">
        <f ca="1"/>
      </c>
      <c r="CW417">
        <f ca="1"/>
      </c>
      <c r="CX417">
        <f ca="1"/>
      </c>
      <c r="CY417">
        <f ca="1"/>
      </c>
      <c r="CZ417">
        <f ca="1"/>
      </c>
      <c r="DA417">
        <f ca="1"/>
      </c>
      <c r="DB417">
        <f ca="1"/>
      </c>
      <c r="DC417">
        <f ca="1"/>
      </c>
      <c r="DD417">
        <f ca="1"/>
      </c>
      <c r="DE417">
        <f ca="1"/>
      </c>
      <c r="DG417">
        <f ca="1"/>
      </c>
      <c r="DH417">
        <f ca="1"/>
      </c>
      <c r="DI417">
        <f ca="1"/>
      </c>
      <c r="DJ417">
        <f ca="1"/>
      </c>
      <c r="DK417">
        <f ca="1"/>
      </c>
      <c r="DL417">
        <f ca="1"/>
      </c>
      <c r="DM417">
        <f ca="1"/>
      </c>
      <c r="DN417">
        <f ca="1"/>
      </c>
      <c r="DO417">
        <f ca="1"/>
      </c>
      <c r="DP417">
        <f ca="1"/>
      </c>
      <c r="DQ417">
        <f ca="1"/>
      </c>
      <c r="DR417">
        <f ca="1"/>
      </c>
      <c r="DS417">
        <f ca="1"/>
      </c>
      <c r="DT417">
        <f ca="1"/>
      </c>
      <c r="DU417">
        <f ca="1"/>
      </c>
      <c r="DV417">
        <f ca="1"/>
      </c>
      <c r="DW417">
        <f ca="1"/>
      </c>
      <c r="DX417">
        <f ca="1"/>
      </c>
      <c r="DY417">
        <f ca="1"/>
      </c>
      <c r="DZ417">
        <f ca="1"/>
      </c>
      <c r="EA417">
        <f ca="1"/>
      </c>
      <c r="EB417">
        <f ca="1"/>
      </c>
      <c r="EC417">
        <f ca="1"/>
      </c>
      <c r="ED417">
        <f ca="1"/>
      </c>
      <c r="EE417">
        <f ca="1"/>
      </c>
      <c r="EF417">
        <f ca="1"/>
      </c>
      <c r="EG417">
        <f ca="1"/>
      </c>
      <c r="EH417">
        <f ca="1"/>
      </c>
      <c r="EI417">
        <f ca="1"/>
      </c>
      <c r="EJ417">
        <f ca="1"/>
      </c>
      <c r="EK417">
        <f ca="1"/>
      </c>
      <c r="EL417">
        <f ca="1"/>
      </c>
      <c r="EM417">
        <f ca="1"/>
      </c>
      <c r="EN417">
        <f ca="1"/>
      </c>
      <c r="EO417">
        <f ca="1"/>
      </c>
      <c r="EP417">
        <f ca="1"/>
      </c>
      <c r="EQ417">
        <f ca="1"/>
      </c>
      <c r="ER417">
        <f ca="1"/>
      </c>
      <c r="ES417">
        <f ca="1"/>
      </c>
      <c r="ET417">
        <f ca="1"/>
      </c>
      <c r="EU417">
        <f ca="1"/>
      </c>
      <c r="EV417">
        <f ca="1"/>
      </c>
      <c r="EW417">
        <f ca="1"/>
      </c>
      <c r="EX417">
        <f ca="1"/>
      </c>
      <c r="EY417">
        <f ca="1"/>
      </c>
      <c r="EZ417">
        <f ca="1"/>
      </c>
      <c r="FA417">
        <f ca="1"/>
      </c>
      <c r="FC417">
        <f ca="1"/>
      </c>
      <c r="FD417">
        <f ca="1"/>
      </c>
      <c r="FE417">
        <f ca="1"/>
      </c>
      <c r="FF417">
        <f ca="1"/>
      </c>
      <c r="FG417">
        <f ca="1"/>
      </c>
      <c r="FH417">
        <f ca="1"/>
      </c>
      <c r="FI417">
        <f ca="1"/>
      </c>
      <c r="FJ417">
        <f ca="1"/>
      </c>
      <c r="FK417">
        <f ca="1"/>
      </c>
      <c r="FL417">
        <f ca="1"/>
      </c>
      <c r="FM417">
        <f ca="1"/>
      </c>
      <c r="FN417">
        <f ca="1"/>
      </c>
      <c r="FO417">
        <f ca="1"/>
      </c>
      <c r="FP417">
        <f ca="1"/>
      </c>
      <c r="FQ417">
        <f ca="1"/>
      </c>
      <c r="FR417">
        <f ca="1"/>
      </c>
      <c r="FS417">
        <f ca="1"/>
      </c>
      <c r="FT417">
        <f ca="1"/>
      </c>
      <c r="FU417">
        <f ca="1"/>
      </c>
      <c r="FV417">
        <f ca="1"/>
      </c>
      <c r="FW417">
        <f ca="1"/>
      </c>
      <c r="FX417">
        <f ca="1"/>
      </c>
      <c r="FY417">
        <f ca="1"/>
      </c>
      <c r="FZ417">
        <f ca="1"/>
      </c>
      <c r="GA417">
        <f ca="1"/>
      </c>
      <c r="GB417">
        <f ca="1"/>
      </c>
      <c r="GC417">
        <f ca="1"/>
      </c>
      <c r="GD417">
        <f ca="1"/>
      </c>
      <c r="GE417">
        <f ca="1"/>
      </c>
      <c r="GF417">
        <f ca="1"/>
      </c>
      <c r="GG417">
        <f ca="1"/>
      </c>
      <c r="GH417">
        <f ca="1"/>
      </c>
      <c r="GI417">
        <f ca="1"/>
      </c>
      <c r="GJ417">
        <f ca="1"/>
      </c>
      <c r="GK417">
        <f ca="1"/>
      </c>
      <c r="GL417">
        <f ca="1"/>
      </c>
      <c r="GM417">
        <f ca="1"/>
      </c>
      <c r="GN417">
        <f ca="1"/>
      </c>
      <c r="GO417">
        <f ca="1"/>
      </c>
      <c r="GP417">
        <f ca="1"/>
      </c>
      <c r="GQ417">
        <f ca="1"/>
      </c>
      <c r="GR417">
        <f ca="1"/>
      </c>
      <c r="GS417">
        <f ca="1"/>
      </c>
      <c r="GT417">
        <f ca="1"/>
      </c>
      <c r="GU417">
        <f ca="1"/>
      </c>
      <c r="GV417">
        <f ca="1"/>
      </c>
      <c r="GW417">
        <f ca="1"/>
      </c>
      <c r="HI417" s="7"/>
    </row>
    <row r="418" spans="63:217" x14ac:dyDescent="0.55000000000000004">
      <c r="BK418">
        <f ca="1"/>
      </c>
      <c r="BL418">
        <f ca="1"/>
      </c>
      <c r="BM418">
        <f ca="1"/>
      </c>
      <c r="BN418">
        <f ca="1"/>
      </c>
      <c r="BO418">
        <f ca="1"/>
      </c>
      <c r="BP418">
        <f ca="1"/>
      </c>
      <c r="BQ418">
        <f ca="1"/>
      </c>
      <c r="BR418">
        <f ca="1"/>
      </c>
      <c r="BS418">
        <f ca="1"/>
      </c>
      <c r="BT418">
        <f ca="1"/>
      </c>
      <c r="BU418">
        <f ca="1"/>
      </c>
      <c r="BV418">
        <f ca="1"/>
      </c>
      <c r="BW418">
        <f ca="1"/>
      </c>
      <c r="BX418">
        <f ca="1"/>
      </c>
      <c r="BY418">
        <f ca="1"/>
      </c>
      <c r="BZ418">
        <f ca="1"/>
      </c>
      <c r="CA418">
        <f ca="1"/>
      </c>
      <c r="CB418">
        <f ca="1"/>
      </c>
      <c r="CC418">
        <f ca="1"/>
      </c>
      <c r="CD418">
        <f ca="1"/>
      </c>
      <c r="CE418">
        <f ca="1"/>
      </c>
      <c r="CF418">
        <f ca="1"/>
      </c>
      <c r="CG418">
        <f ca="1"/>
      </c>
      <c r="CH418">
        <f ca="1"/>
      </c>
      <c r="CI418">
        <f ca="1"/>
      </c>
      <c r="CJ418">
        <f ca="1"/>
      </c>
      <c r="CK418">
        <f ca="1"/>
      </c>
      <c r="CL418">
        <f ca="1"/>
      </c>
      <c r="CM418">
        <f ca="1"/>
      </c>
      <c r="CN418">
        <f ca="1"/>
      </c>
      <c r="CO418">
        <f ca="1"/>
      </c>
      <c r="CP418">
        <f ca="1"/>
      </c>
      <c r="CQ418">
        <f ca="1"/>
      </c>
      <c r="CR418">
        <f ca="1"/>
      </c>
      <c r="CS418">
        <f ca="1"/>
      </c>
      <c r="CT418">
        <f ca="1"/>
      </c>
      <c r="CU418">
        <f ca="1"/>
      </c>
      <c r="CV418">
        <f ca="1"/>
      </c>
      <c r="CW418">
        <f ca="1"/>
      </c>
      <c r="CX418">
        <f ca="1"/>
      </c>
      <c r="CY418">
        <f ca="1"/>
      </c>
      <c r="CZ418">
        <f ca="1"/>
      </c>
      <c r="DA418">
        <f ca="1"/>
      </c>
      <c r="DB418">
        <f ca="1"/>
      </c>
      <c r="DC418">
        <f ca="1"/>
      </c>
      <c r="DD418">
        <f ca="1"/>
      </c>
      <c r="DE418">
        <f ca="1"/>
      </c>
      <c r="DG418">
        <f ca="1"/>
      </c>
      <c r="DH418">
        <f ca="1"/>
      </c>
      <c r="DI418">
        <f ca="1"/>
      </c>
      <c r="DJ418">
        <f ca="1"/>
      </c>
      <c r="DK418">
        <f ca="1"/>
      </c>
      <c r="DL418">
        <f ca="1"/>
      </c>
      <c r="DM418">
        <f ca="1"/>
      </c>
      <c r="DN418">
        <f ca="1"/>
      </c>
      <c r="DO418">
        <f ca="1"/>
      </c>
      <c r="DP418">
        <f ca="1"/>
      </c>
      <c r="DQ418">
        <f ca="1"/>
      </c>
      <c r="DR418">
        <f ca="1"/>
      </c>
      <c r="DS418">
        <f ca="1"/>
      </c>
      <c r="DT418">
        <f ca="1"/>
      </c>
      <c r="DU418">
        <f ca="1"/>
      </c>
      <c r="DV418">
        <f ca="1"/>
      </c>
      <c r="DW418">
        <f ca="1"/>
      </c>
      <c r="DX418">
        <f ca="1"/>
      </c>
      <c r="DY418">
        <f ca="1"/>
      </c>
      <c r="DZ418">
        <f ca="1"/>
      </c>
      <c r="EA418">
        <f ca="1"/>
      </c>
      <c r="EB418">
        <f ca="1"/>
      </c>
      <c r="EC418">
        <f ca="1"/>
      </c>
      <c r="ED418">
        <f ca="1"/>
      </c>
      <c r="EE418">
        <f ca="1"/>
      </c>
      <c r="EF418">
        <f ca="1"/>
      </c>
      <c r="EG418">
        <f ca="1"/>
      </c>
      <c r="EH418">
        <f ca="1"/>
      </c>
      <c r="EI418">
        <f ca="1"/>
      </c>
      <c r="EJ418">
        <f ca="1"/>
      </c>
      <c r="EK418">
        <f ca="1"/>
      </c>
      <c r="EL418">
        <f ca="1"/>
      </c>
      <c r="EM418">
        <f ca="1"/>
      </c>
      <c r="EN418">
        <f ca="1"/>
      </c>
      <c r="EO418">
        <f ca="1"/>
      </c>
      <c r="EP418">
        <f ca="1"/>
      </c>
      <c r="EQ418">
        <f ca="1"/>
      </c>
      <c r="ER418">
        <f ca="1"/>
      </c>
      <c r="ES418">
        <f ca="1"/>
      </c>
      <c r="ET418">
        <f ca="1"/>
      </c>
      <c r="EU418">
        <f ca="1"/>
      </c>
      <c r="EV418">
        <f ca="1"/>
      </c>
      <c r="EW418">
        <f ca="1"/>
      </c>
      <c r="EX418">
        <f ca="1"/>
      </c>
      <c r="EY418">
        <f ca="1"/>
      </c>
      <c r="EZ418">
        <f ca="1"/>
      </c>
      <c r="FA418">
        <f ca="1"/>
      </c>
      <c r="FC418">
        <f ca="1"/>
      </c>
      <c r="FD418">
        <f ca="1"/>
      </c>
      <c r="FE418">
        <f ca="1"/>
      </c>
      <c r="FF418">
        <f ca="1"/>
      </c>
      <c r="FG418">
        <f ca="1"/>
      </c>
      <c r="FH418">
        <f ca="1"/>
      </c>
      <c r="FI418">
        <f ca="1"/>
      </c>
      <c r="FJ418">
        <f ca="1"/>
      </c>
      <c r="FK418">
        <f ca="1"/>
      </c>
      <c r="FL418">
        <f ca="1"/>
      </c>
      <c r="FM418">
        <f ca="1"/>
      </c>
      <c r="FN418">
        <f ca="1"/>
      </c>
      <c r="FO418">
        <f ca="1"/>
      </c>
      <c r="FP418">
        <f ca="1"/>
      </c>
      <c r="FQ418">
        <f ca="1"/>
      </c>
      <c r="FR418">
        <f ca="1"/>
      </c>
      <c r="FS418">
        <f ca="1"/>
      </c>
      <c r="FT418">
        <f ca="1"/>
      </c>
      <c r="FU418">
        <f ca="1"/>
      </c>
      <c r="FV418">
        <f ca="1"/>
      </c>
      <c r="FW418">
        <f ca="1"/>
      </c>
      <c r="FX418">
        <f ca="1"/>
      </c>
      <c r="FY418">
        <f ca="1"/>
      </c>
      <c r="FZ418">
        <f ca="1"/>
      </c>
      <c r="GA418">
        <f ca="1"/>
      </c>
      <c r="GB418">
        <f ca="1"/>
      </c>
      <c r="GC418">
        <f ca="1"/>
      </c>
      <c r="GD418">
        <f ca="1"/>
      </c>
      <c r="GE418">
        <f ca="1"/>
      </c>
      <c r="GF418">
        <f ca="1"/>
      </c>
      <c r="GG418">
        <f ca="1"/>
      </c>
      <c r="GH418">
        <f ca="1"/>
      </c>
      <c r="GI418">
        <f ca="1"/>
      </c>
      <c r="GJ418">
        <f ca="1"/>
      </c>
      <c r="GK418">
        <f ca="1"/>
      </c>
      <c r="GL418">
        <f ca="1"/>
      </c>
      <c r="GM418">
        <f ca="1"/>
      </c>
      <c r="GN418">
        <f ca="1"/>
      </c>
      <c r="GO418">
        <f ca="1"/>
      </c>
      <c r="GP418">
        <f ca="1"/>
      </c>
      <c r="GQ418">
        <f ca="1"/>
      </c>
      <c r="GR418">
        <f ca="1"/>
      </c>
      <c r="GS418">
        <f ca="1"/>
      </c>
      <c r="GT418">
        <f ca="1"/>
      </c>
      <c r="GU418">
        <f ca="1"/>
      </c>
      <c r="GV418">
        <f ca="1"/>
      </c>
      <c r="GW418">
        <f ca="1"/>
      </c>
      <c r="HI418" s="7"/>
    </row>
    <row r="419" spans="63:217" x14ac:dyDescent="0.55000000000000004">
      <c r="BK419">
        <f ca="1"/>
      </c>
      <c r="BL419">
        <f ca="1"/>
      </c>
      <c r="BM419">
        <f ca="1"/>
      </c>
      <c r="BN419">
        <f ca="1"/>
      </c>
      <c r="BO419">
        <f ca="1"/>
      </c>
      <c r="BP419">
        <f ca="1"/>
      </c>
      <c r="BQ419">
        <f ca="1"/>
      </c>
      <c r="BR419">
        <f ca="1"/>
      </c>
      <c r="BS419">
        <f ca="1"/>
      </c>
      <c r="BT419">
        <f ca="1"/>
      </c>
      <c r="BU419">
        <f ca="1"/>
      </c>
      <c r="BV419">
        <f ca="1"/>
      </c>
      <c r="BW419">
        <f ca="1"/>
      </c>
      <c r="BX419">
        <f ca="1"/>
      </c>
      <c r="BY419">
        <f ca="1"/>
      </c>
      <c r="BZ419">
        <f ca="1"/>
      </c>
      <c r="CA419">
        <f ca="1"/>
      </c>
      <c r="CB419">
        <f ca="1"/>
      </c>
      <c r="CC419">
        <f ca="1"/>
      </c>
      <c r="CD419">
        <f ca="1"/>
      </c>
      <c r="CE419">
        <f ca="1"/>
      </c>
      <c r="CF419">
        <f ca="1"/>
      </c>
      <c r="CG419">
        <f ca="1"/>
      </c>
      <c r="CH419">
        <f ca="1"/>
      </c>
      <c r="CI419">
        <f ca="1"/>
      </c>
      <c r="CJ419">
        <f ca="1"/>
      </c>
      <c r="CK419">
        <f ca="1"/>
      </c>
      <c r="CL419">
        <f ca="1"/>
      </c>
      <c r="CM419">
        <f ca="1"/>
      </c>
      <c r="CN419">
        <f ca="1"/>
      </c>
      <c r="CO419">
        <f ca="1"/>
      </c>
      <c r="CP419">
        <f ca="1"/>
      </c>
      <c r="CQ419">
        <f ca="1"/>
      </c>
      <c r="CR419">
        <f ca="1"/>
      </c>
      <c r="CS419">
        <f ca="1"/>
      </c>
      <c r="CT419">
        <f ca="1"/>
      </c>
      <c r="CU419">
        <f ca="1"/>
      </c>
      <c r="CV419">
        <f ca="1"/>
      </c>
      <c r="CW419">
        <f ca="1"/>
      </c>
      <c r="CX419">
        <f ca="1"/>
      </c>
      <c r="CY419">
        <f ca="1"/>
      </c>
      <c r="CZ419">
        <f ca="1"/>
      </c>
      <c r="DA419">
        <f ca="1"/>
      </c>
      <c r="DB419">
        <f ca="1"/>
      </c>
      <c r="DC419">
        <f ca="1"/>
      </c>
      <c r="DD419">
        <f ca="1"/>
      </c>
      <c r="DE419">
        <f ca="1"/>
      </c>
      <c r="DG419">
        <f ca="1"/>
      </c>
      <c r="DH419">
        <f ca="1"/>
      </c>
      <c r="DI419">
        <f ca="1"/>
      </c>
      <c r="DJ419">
        <f ca="1"/>
      </c>
      <c r="DK419">
        <f ca="1"/>
      </c>
      <c r="DL419">
        <f ca="1"/>
      </c>
      <c r="DM419">
        <f ca="1"/>
      </c>
      <c r="DN419">
        <f ca="1"/>
      </c>
      <c r="DO419">
        <f ca="1"/>
      </c>
      <c r="DP419">
        <f ca="1"/>
      </c>
      <c r="DQ419">
        <f ca="1"/>
      </c>
      <c r="DR419">
        <f ca="1"/>
      </c>
      <c r="DS419">
        <f ca="1"/>
      </c>
      <c r="DT419">
        <f ca="1"/>
      </c>
      <c r="DU419">
        <f ca="1"/>
      </c>
      <c r="DV419">
        <f ca="1"/>
      </c>
      <c r="DW419">
        <f ca="1"/>
      </c>
      <c r="DX419">
        <f ca="1"/>
      </c>
      <c r="DY419">
        <f ca="1"/>
      </c>
      <c r="DZ419">
        <f ca="1"/>
      </c>
      <c r="EA419">
        <f ca="1"/>
      </c>
      <c r="EB419">
        <f ca="1"/>
      </c>
      <c r="EC419">
        <f ca="1"/>
      </c>
      <c r="ED419">
        <f ca="1"/>
      </c>
      <c r="EE419">
        <f ca="1"/>
      </c>
      <c r="EF419">
        <f ca="1"/>
      </c>
      <c r="EG419">
        <f ca="1"/>
      </c>
      <c r="EH419">
        <f ca="1"/>
      </c>
      <c r="EI419">
        <f ca="1"/>
      </c>
      <c r="EJ419">
        <f ca="1"/>
      </c>
      <c r="EK419">
        <f ca="1"/>
      </c>
      <c r="EL419">
        <f ca="1"/>
      </c>
      <c r="EM419">
        <f ca="1"/>
      </c>
      <c r="EN419">
        <f ca="1"/>
      </c>
      <c r="EO419">
        <f ca="1"/>
      </c>
      <c r="EP419">
        <f ca="1"/>
      </c>
      <c r="EQ419">
        <f ca="1"/>
      </c>
      <c r="ER419">
        <f ca="1"/>
      </c>
      <c r="ES419">
        <f ca="1"/>
      </c>
      <c r="ET419">
        <f ca="1"/>
      </c>
      <c r="EU419">
        <f ca="1"/>
      </c>
      <c r="EV419">
        <f ca="1"/>
      </c>
      <c r="EW419">
        <f ca="1"/>
      </c>
      <c r="EX419">
        <f ca="1"/>
      </c>
      <c r="EY419">
        <f ca="1"/>
      </c>
      <c r="EZ419">
        <f ca="1"/>
      </c>
      <c r="FA419">
        <f ca="1"/>
      </c>
      <c r="FC419">
        <f ca="1"/>
      </c>
      <c r="FD419">
        <f ca="1"/>
      </c>
      <c r="FE419">
        <f ca="1"/>
      </c>
      <c r="FF419">
        <f ca="1"/>
      </c>
      <c r="FG419">
        <f ca="1"/>
      </c>
      <c r="FH419">
        <f ca="1"/>
      </c>
      <c r="FI419">
        <f ca="1"/>
      </c>
      <c r="FJ419">
        <f ca="1"/>
      </c>
      <c r="FK419">
        <f ca="1"/>
      </c>
      <c r="FL419">
        <f ca="1"/>
      </c>
      <c r="FM419">
        <f ca="1"/>
      </c>
      <c r="FN419">
        <f ca="1"/>
      </c>
      <c r="FO419">
        <f ca="1"/>
      </c>
      <c r="FP419">
        <f ca="1"/>
      </c>
      <c r="FQ419">
        <f ca="1"/>
      </c>
      <c r="FR419">
        <f ca="1"/>
      </c>
      <c r="FS419">
        <f ca="1"/>
      </c>
      <c r="FT419">
        <f ca="1"/>
      </c>
      <c r="FU419">
        <f ca="1"/>
      </c>
      <c r="FV419">
        <f ca="1"/>
      </c>
      <c r="FW419">
        <f ca="1"/>
      </c>
      <c r="FX419">
        <f ca="1"/>
      </c>
      <c r="FY419">
        <f ca="1"/>
      </c>
      <c r="FZ419">
        <f ca="1"/>
      </c>
      <c r="GA419">
        <f ca="1"/>
      </c>
      <c r="GB419">
        <f ca="1"/>
      </c>
      <c r="GC419">
        <f ca="1"/>
      </c>
      <c r="GD419">
        <f ca="1"/>
      </c>
      <c r="GE419">
        <f ca="1"/>
      </c>
      <c r="GF419">
        <f ca="1"/>
      </c>
      <c r="GG419">
        <f ca="1"/>
      </c>
      <c r="GH419">
        <f ca="1"/>
      </c>
      <c r="GI419">
        <f ca="1"/>
      </c>
      <c r="GJ419">
        <f ca="1"/>
      </c>
      <c r="GK419">
        <f ca="1"/>
      </c>
      <c r="GL419">
        <f ca="1"/>
      </c>
      <c r="GM419">
        <f ca="1"/>
      </c>
      <c r="GN419">
        <f ca="1"/>
      </c>
      <c r="GO419">
        <f ca="1"/>
      </c>
      <c r="GP419">
        <f ca="1"/>
      </c>
      <c r="GQ419">
        <f ca="1"/>
      </c>
      <c r="GR419">
        <f ca="1"/>
      </c>
      <c r="GS419">
        <f ca="1"/>
      </c>
      <c r="GT419">
        <f ca="1"/>
      </c>
      <c r="GU419">
        <f ca="1"/>
      </c>
      <c r="GV419">
        <f ca="1"/>
      </c>
      <c r="GW419">
        <f ca="1"/>
      </c>
      <c r="HI419" s="7"/>
    </row>
    <row r="420" spans="63:217" x14ac:dyDescent="0.55000000000000004">
      <c r="BK420">
        <f ca="1"/>
      </c>
      <c r="BL420">
        <f ca="1"/>
      </c>
      <c r="BM420">
        <f ca="1"/>
      </c>
      <c r="BN420">
        <f ca="1"/>
      </c>
      <c r="BO420">
        <f ca="1"/>
      </c>
      <c r="BP420">
        <f ca="1"/>
      </c>
      <c r="BQ420">
        <f ca="1"/>
      </c>
      <c r="BR420">
        <f ca="1"/>
      </c>
      <c r="BS420">
        <f ca="1"/>
      </c>
      <c r="BT420">
        <f ca="1"/>
      </c>
      <c r="BU420">
        <f ca="1"/>
      </c>
      <c r="BV420">
        <f ca="1"/>
      </c>
      <c r="BW420">
        <f ca="1"/>
      </c>
      <c r="BX420">
        <f ca="1"/>
      </c>
      <c r="BY420">
        <f ca="1"/>
      </c>
      <c r="BZ420">
        <f ca="1"/>
      </c>
      <c r="CA420">
        <f ca="1"/>
      </c>
      <c r="CB420">
        <f ca="1"/>
      </c>
      <c r="CC420">
        <f ca="1"/>
      </c>
      <c r="CD420">
        <f ca="1"/>
      </c>
      <c r="CE420">
        <f ca="1"/>
      </c>
      <c r="CF420">
        <f ca="1"/>
      </c>
      <c r="CG420">
        <f ca="1"/>
      </c>
      <c r="CH420">
        <f ca="1"/>
      </c>
      <c r="CI420">
        <f ca="1"/>
      </c>
      <c r="CJ420">
        <f ca="1"/>
      </c>
      <c r="CK420">
        <f ca="1"/>
      </c>
      <c r="CL420">
        <f ca="1"/>
      </c>
      <c r="CM420">
        <f ca="1"/>
      </c>
      <c r="CN420">
        <f ca="1"/>
      </c>
      <c r="CO420">
        <f ca="1"/>
      </c>
      <c r="CP420">
        <f ca="1"/>
      </c>
      <c r="CQ420">
        <f ca="1"/>
      </c>
      <c r="CR420">
        <f ca="1"/>
      </c>
      <c r="CS420">
        <f ca="1"/>
      </c>
      <c r="CT420">
        <f ca="1"/>
      </c>
      <c r="CU420">
        <f ca="1"/>
      </c>
      <c r="CV420">
        <f ca="1"/>
      </c>
      <c r="CW420">
        <f ca="1"/>
      </c>
      <c r="CX420">
        <f ca="1"/>
      </c>
      <c r="CY420">
        <f ca="1"/>
      </c>
      <c r="CZ420">
        <f ca="1"/>
      </c>
      <c r="DA420">
        <f ca="1"/>
      </c>
      <c r="DB420">
        <f ca="1"/>
      </c>
      <c r="DC420">
        <f ca="1"/>
      </c>
      <c r="DD420">
        <f ca="1"/>
      </c>
      <c r="DE420">
        <f ca="1"/>
      </c>
      <c r="DG420">
        <f ca="1"/>
      </c>
      <c r="DH420">
        <f ca="1"/>
      </c>
      <c r="DI420">
        <f ca="1"/>
      </c>
      <c r="DJ420">
        <f ca="1"/>
      </c>
      <c r="DK420">
        <f ca="1"/>
      </c>
      <c r="DL420">
        <f ca="1"/>
      </c>
      <c r="DM420">
        <f ca="1"/>
      </c>
      <c r="DN420">
        <f ca="1"/>
      </c>
      <c r="DO420">
        <f ca="1"/>
      </c>
      <c r="DP420">
        <f ca="1"/>
      </c>
      <c r="DQ420">
        <f ca="1"/>
      </c>
      <c r="DR420">
        <f ca="1"/>
      </c>
      <c r="DS420">
        <f ca="1"/>
      </c>
      <c r="DT420">
        <f ca="1"/>
      </c>
      <c r="DU420">
        <f ca="1"/>
      </c>
      <c r="DV420">
        <f ca="1"/>
      </c>
      <c r="DW420">
        <f ca="1"/>
      </c>
      <c r="DX420">
        <f ca="1"/>
      </c>
      <c r="DY420">
        <f ca="1"/>
      </c>
      <c r="DZ420">
        <f ca="1"/>
      </c>
      <c r="EA420">
        <f ca="1"/>
      </c>
      <c r="EB420">
        <f ca="1"/>
      </c>
      <c r="EC420">
        <f ca="1"/>
      </c>
      <c r="ED420">
        <f ca="1"/>
      </c>
      <c r="EE420">
        <f ca="1"/>
      </c>
      <c r="EF420">
        <f ca="1"/>
      </c>
      <c r="EG420">
        <f ca="1"/>
      </c>
      <c r="EH420">
        <f ca="1"/>
      </c>
      <c r="EI420">
        <f ca="1"/>
      </c>
      <c r="EJ420">
        <f ca="1"/>
      </c>
      <c r="EK420">
        <f ca="1"/>
      </c>
      <c r="EL420">
        <f ca="1"/>
      </c>
      <c r="EM420">
        <f ca="1"/>
      </c>
      <c r="EN420">
        <f ca="1"/>
      </c>
      <c r="EO420">
        <f ca="1"/>
      </c>
      <c r="EP420">
        <f ca="1"/>
      </c>
      <c r="EQ420">
        <f ca="1"/>
      </c>
      <c r="ER420">
        <f ca="1"/>
      </c>
      <c r="ES420">
        <f ca="1"/>
      </c>
      <c r="ET420">
        <f ca="1"/>
      </c>
      <c r="EU420">
        <f ca="1"/>
      </c>
      <c r="EV420">
        <f ca="1"/>
      </c>
      <c r="EW420">
        <f ca="1"/>
      </c>
      <c r="EX420">
        <f ca="1"/>
      </c>
      <c r="EY420">
        <f ca="1"/>
      </c>
      <c r="EZ420">
        <f ca="1"/>
      </c>
      <c r="FA420">
        <f ca="1"/>
      </c>
      <c r="FC420">
        <f ca="1"/>
      </c>
      <c r="FD420">
        <f ca="1"/>
      </c>
      <c r="FE420">
        <f ca="1"/>
      </c>
      <c r="FF420">
        <f ca="1"/>
      </c>
      <c r="FG420">
        <f ca="1"/>
      </c>
      <c r="FH420">
        <f ca="1"/>
      </c>
      <c r="FI420">
        <f ca="1"/>
      </c>
      <c r="FJ420">
        <f ca="1"/>
      </c>
      <c r="FK420">
        <f ca="1"/>
      </c>
      <c r="FL420">
        <f ca="1"/>
      </c>
      <c r="FM420">
        <f ca="1"/>
      </c>
      <c r="FN420">
        <f ca="1"/>
      </c>
      <c r="FO420">
        <f ca="1"/>
      </c>
      <c r="FP420">
        <f ca="1"/>
      </c>
      <c r="FQ420">
        <f ca="1"/>
      </c>
      <c r="FR420">
        <f ca="1"/>
      </c>
      <c r="FS420">
        <f ca="1"/>
      </c>
      <c r="FT420">
        <f ca="1"/>
      </c>
      <c r="FU420">
        <f ca="1"/>
      </c>
      <c r="FV420">
        <f ca="1"/>
      </c>
      <c r="FW420">
        <f ca="1"/>
      </c>
      <c r="FX420">
        <f ca="1"/>
      </c>
      <c r="FY420">
        <f ca="1"/>
      </c>
      <c r="FZ420">
        <f ca="1"/>
      </c>
      <c r="GA420">
        <f ca="1"/>
      </c>
      <c r="GB420">
        <f ca="1"/>
      </c>
      <c r="GC420">
        <f ca="1"/>
      </c>
      <c r="GD420">
        <f ca="1"/>
      </c>
      <c r="GE420">
        <f ca="1"/>
      </c>
      <c r="GF420">
        <f ca="1"/>
      </c>
      <c r="GG420">
        <f ca="1"/>
      </c>
      <c r="GH420">
        <f ca="1"/>
      </c>
      <c r="GI420">
        <f ca="1"/>
      </c>
      <c r="GJ420">
        <f ca="1"/>
      </c>
      <c r="GK420">
        <f ca="1"/>
      </c>
      <c r="GL420">
        <f ca="1"/>
      </c>
      <c r="GM420">
        <f ca="1"/>
      </c>
      <c r="GN420">
        <f ca="1"/>
      </c>
      <c r="GO420">
        <f ca="1"/>
      </c>
      <c r="GP420">
        <f ca="1"/>
      </c>
      <c r="GQ420">
        <f ca="1"/>
      </c>
      <c r="GR420">
        <f ca="1"/>
      </c>
      <c r="GS420">
        <f ca="1"/>
      </c>
      <c r="GT420">
        <f ca="1"/>
      </c>
      <c r="GU420">
        <f ca="1"/>
      </c>
      <c r="GV420">
        <f ca="1"/>
      </c>
      <c r="GW420">
        <f ca="1"/>
      </c>
      <c r="HI420" s="7"/>
    </row>
    <row r="421" spans="63:217" x14ac:dyDescent="0.55000000000000004">
      <c r="BK421">
        <f ca="1"/>
      </c>
      <c r="BL421">
        <f ca="1"/>
      </c>
      <c r="BM421">
        <f ca="1"/>
      </c>
      <c r="BN421">
        <f ca="1"/>
      </c>
      <c r="BO421">
        <f ca="1"/>
      </c>
      <c r="BP421">
        <f ca="1"/>
      </c>
      <c r="BQ421">
        <f ca="1"/>
      </c>
      <c r="BR421">
        <f ca="1"/>
      </c>
      <c r="BS421">
        <f ca="1"/>
      </c>
      <c r="BT421">
        <f ca="1"/>
      </c>
      <c r="BU421">
        <f ca="1"/>
      </c>
      <c r="BV421">
        <f ca="1"/>
      </c>
      <c r="BW421">
        <f ca="1"/>
      </c>
      <c r="BX421">
        <f ca="1"/>
      </c>
      <c r="BY421">
        <f ca="1"/>
      </c>
      <c r="BZ421">
        <f ca="1"/>
      </c>
      <c r="CA421">
        <f ca="1"/>
      </c>
      <c r="CB421">
        <f ca="1"/>
      </c>
      <c r="CC421">
        <f ca="1"/>
      </c>
      <c r="CD421">
        <f ca="1"/>
      </c>
      <c r="CE421">
        <f ca="1"/>
      </c>
      <c r="CF421">
        <f ca="1"/>
      </c>
      <c r="CG421">
        <f ca="1"/>
      </c>
      <c r="CH421">
        <f ca="1"/>
      </c>
      <c r="CI421">
        <f ca="1"/>
      </c>
      <c r="CJ421">
        <f ca="1"/>
      </c>
      <c r="CK421">
        <f ca="1"/>
      </c>
      <c r="CL421">
        <f ca="1"/>
      </c>
      <c r="CM421">
        <f ca="1"/>
      </c>
      <c r="CN421">
        <f ca="1"/>
      </c>
      <c r="CO421">
        <f ca="1"/>
      </c>
      <c r="CP421">
        <f ca="1"/>
      </c>
      <c r="CQ421">
        <f ca="1"/>
      </c>
      <c r="CR421">
        <f ca="1"/>
      </c>
      <c r="CS421">
        <f ca="1"/>
      </c>
      <c r="CT421">
        <f ca="1"/>
      </c>
      <c r="CU421">
        <f ca="1"/>
      </c>
      <c r="CV421">
        <f ca="1"/>
      </c>
      <c r="CW421">
        <f ca="1"/>
      </c>
      <c r="CX421">
        <f ca="1"/>
      </c>
      <c r="CY421">
        <f ca="1"/>
      </c>
      <c r="CZ421">
        <f ca="1"/>
      </c>
      <c r="DA421">
        <f ca="1"/>
      </c>
      <c r="DB421">
        <f ca="1"/>
      </c>
      <c r="DC421">
        <f ca="1"/>
      </c>
      <c r="DD421">
        <f ca="1"/>
      </c>
      <c r="DE421">
        <f ca="1"/>
      </c>
      <c r="DG421">
        <f ca="1"/>
      </c>
      <c r="DH421">
        <f ca="1"/>
      </c>
      <c r="DI421">
        <f ca="1"/>
      </c>
      <c r="DJ421">
        <f ca="1"/>
      </c>
      <c r="DK421">
        <f ca="1"/>
      </c>
      <c r="DL421">
        <f ca="1"/>
      </c>
      <c r="DM421">
        <f ca="1"/>
      </c>
      <c r="DN421">
        <f ca="1"/>
      </c>
      <c r="DO421">
        <f ca="1"/>
      </c>
      <c r="DP421">
        <f ca="1"/>
      </c>
      <c r="DQ421">
        <f ca="1"/>
      </c>
      <c r="DR421">
        <f ca="1"/>
      </c>
      <c r="DS421">
        <f ca="1"/>
      </c>
      <c r="DT421">
        <f ca="1"/>
      </c>
      <c r="DU421">
        <f ca="1"/>
      </c>
      <c r="DV421">
        <f ca="1"/>
      </c>
      <c r="DW421">
        <f ca="1"/>
      </c>
      <c r="DX421">
        <f ca="1"/>
      </c>
      <c r="DY421">
        <f ca="1"/>
      </c>
      <c r="DZ421">
        <f ca="1"/>
      </c>
      <c r="EA421">
        <f ca="1"/>
      </c>
      <c r="EB421">
        <f ca="1"/>
      </c>
      <c r="EC421">
        <f ca="1"/>
      </c>
      <c r="ED421">
        <f ca="1"/>
      </c>
      <c r="EE421">
        <f ca="1"/>
      </c>
      <c r="EF421">
        <f ca="1"/>
      </c>
      <c r="EG421">
        <f ca="1"/>
      </c>
      <c r="EH421">
        <f ca="1"/>
      </c>
      <c r="EI421">
        <f ca="1"/>
      </c>
      <c r="EJ421">
        <f ca="1"/>
      </c>
      <c r="EK421">
        <f ca="1"/>
      </c>
      <c r="EL421">
        <f ca="1"/>
      </c>
      <c r="EM421">
        <f ca="1"/>
      </c>
      <c r="EN421">
        <f ca="1"/>
      </c>
      <c r="EO421">
        <f ca="1"/>
      </c>
      <c r="EP421">
        <f ca="1"/>
      </c>
      <c r="EQ421">
        <f ca="1"/>
      </c>
      <c r="ER421">
        <f ca="1"/>
      </c>
      <c r="ES421">
        <f ca="1"/>
      </c>
      <c r="ET421">
        <f ca="1"/>
      </c>
      <c r="EU421">
        <f ca="1"/>
      </c>
      <c r="EV421">
        <f ca="1"/>
      </c>
      <c r="EW421">
        <f ca="1"/>
      </c>
      <c r="EX421">
        <f ca="1"/>
      </c>
      <c r="EY421">
        <f ca="1"/>
      </c>
      <c r="EZ421">
        <f ca="1"/>
      </c>
      <c r="FA421">
        <f ca="1"/>
      </c>
      <c r="FC421">
        <f ca="1"/>
      </c>
      <c r="FD421">
        <f ca="1"/>
      </c>
      <c r="FE421">
        <f ca="1"/>
      </c>
      <c r="FF421">
        <f ca="1"/>
      </c>
      <c r="FG421">
        <f ca="1"/>
      </c>
      <c r="FH421">
        <f ca="1"/>
      </c>
      <c r="FI421">
        <f ca="1"/>
      </c>
      <c r="FJ421">
        <f ca="1"/>
      </c>
      <c r="FK421">
        <f ca="1"/>
      </c>
      <c r="FL421">
        <f ca="1"/>
      </c>
      <c r="FM421">
        <f ca="1"/>
      </c>
      <c r="FN421">
        <f ca="1"/>
      </c>
      <c r="FO421">
        <f ca="1"/>
      </c>
      <c r="FP421">
        <f ca="1"/>
      </c>
      <c r="FQ421">
        <f ca="1"/>
      </c>
      <c r="FR421">
        <f ca="1"/>
      </c>
      <c r="FS421">
        <f ca="1"/>
      </c>
      <c r="FT421">
        <f ca="1"/>
      </c>
      <c r="FU421">
        <f ca="1"/>
      </c>
      <c r="FV421">
        <f ca="1"/>
      </c>
      <c r="FW421">
        <f ca="1"/>
      </c>
      <c r="FX421">
        <f ca="1"/>
      </c>
      <c r="FY421">
        <f ca="1"/>
      </c>
      <c r="FZ421">
        <f ca="1"/>
      </c>
      <c r="GA421">
        <f ca="1"/>
      </c>
      <c r="GB421">
        <f ca="1"/>
      </c>
      <c r="GC421">
        <f ca="1"/>
      </c>
      <c r="GD421">
        <f ca="1"/>
      </c>
      <c r="GE421">
        <f ca="1"/>
      </c>
      <c r="GF421">
        <f ca="1"/>
      </c>
      <c r="GG421">
        <f ca="1"/>
      </c>
      <c r="GH421">
        <f ca="1"/>
      </c>
      <c r="GI421">
        <f ca="1"/>
      </c>
      <c r="GJ421">
        <f ca="1"/>
      </c>
      <c r="GK421">
        <f ca="1"/>
      </c>
      <c r="GL421">
        <f ca="1"/>
      </c>
      <c r="GM421">
        <f ca="1"/>
      </c>
      <c r="GN421">
        <f ca="1"/>
      </c>
      <c r="GO421">
        <f ca="1"/>
      </c>
      <c r="GP421">
        <f ca="1"/>
      </c>
      <c r="GQ421">
        <f ca="1"/>
      </c>
      <c r="GR421">
        <f ca="1"/>
      </c>
      <c r="GS421">
        <f ca="1"/>
      </c>
      <c r="GT421">
        <f ca="1"/>
      </c>
      <c r="GU421">
        <f ca="1"/>
      </c>
      <c r="GV421">
        <f ca="1"/>
      </c>
      <c r="GW421">
        <f ca="1"/>
      </c>
      <c r="HI421" s="7"/>
    </row>
    <row r="422" spans="63:217" x14ac:dyDescent="0.55000000000000004">
      <c r="BK422">
        <f ca="1"/>
      </c>
      <c r="BL422">
        <f ca="1"/>
      </c>
      <c r="BM422">
        <f ca="1"/>
      </c>
      <c r="BN422">
        <f ca="1"/>
      </c>
      <c r="BO422">
        <f ca="1"/>
      </c>
      <c r="BP422">
        <f ca="1"/>
      </c>
      <c r="BQ422">
        <f ca="1"/>
      </c>
      <c r="BR422">
        <f ca="1"/>
      </c>
      <c r="BS422">
        <f ca="1"/>
      </c>
      <c r="BT422">
        <f ca="1"/>
      </c>
      <c r="BU422">
        <f ca="1"/>
      </c>
      <c r="BV422">
        <f ca="1"/>
      </c>
      <c r="BW422">
        <f ca="1"/>
      </c>
      <c r="BX422">
        <f ca="1"/>
      </c>
      <c r="BY422">
        <f ca="1"/>
      </c>
      <c r="BZ422">
        <f ca="1"/>
      </c>
      <c r="CA422">
        <f ca="1"/>
      </c>
      <c r="CB422">
        <f ca="1"/>
      </c>
      <c r="CC422">
        <f ca="1"/>
      </c>
      <c r="CD422">
        <f ca="1"/>
      </c>
      <c r="CE422">
        <f ca="1"/>
      </c>
      <c r="CF422">
        <f ca="1"/>
      </c>
      <c r="CG422">
        <f ca="1"/>
      </c>
      <c r="CH422">
        <f ca="1"/>
      </c>
      <c r="CI422">
        <f ca="1"/>
      </c>
      <c r="CJ422">
        <f ca="1"/>
      </c>
      <c r="CK422">
        <f ca="1"/>
      </c>
      <c r="CL422">
        <f ca="1"/>
      </c>
      <c r="CM422">
        <f ca="1"/>
      </c>
      <c r="CN422">
        <f ca="1"/>
      </c>
      <c r="CO422">
        <f ca="1"/>
      </c>
      <c r="CP422">
        <f ca="1"/>
      </c>
      <c r="CQ422">
        <f ca="1"/>
      </c>
      <c r="CR422">
        <f ca="1"/>
      </c>
      <c r="CS422">
        <f ca="1"/>
      </c>
      <c r="CT422">
        <f ca="1"/>
      </c>
      <c r="CU422">
        <f ca="1"/>
      </c>
      <c r="CV422">
        <f ca="1"/>
      </c>
      <c r="CW422">
        <f ca="1"/>
      </c>
      <c r="CX422">
        <f ca="1"/>
      </c>
      <c r="CY422">
        <f ca="1"/>
      </c>
      <c r="CZ422">
        <f ca="1"/>
      </c>
      <c r="DA422">
        <f ca="1"/>
      </c>
      <c r="DB422">
        <f ca="1"/>
      </c>
      <c r="DC422">
        <f ca="1"/>
      </c>
      <c r="DD422">
        <f ca="1"/>
      </c>
      <c r="DE422">
        <f ca="1"/>
      </c>
      <c r="DG422">
        <f ca="1"/>
      </c>
      <c r="DH422">
        <f ca="1"/>
      </c>
      <c r="DI422">
        <f ca="1"/>
      </c>
      <c r="DJ422">
        <f ca="1"/>
      </c>
      <c r="DK422">
        <f ca="1"/>
      </c>
      <c r="DL422">
        <f ca="1"/>
      </c>
      <c r="DM422">
        <f ca="1"/>
      </c>
      <c r="DN422">
        <f ca="1"/>
      </c>
      <c r="DO422">
        <f ca="1"/>
      </c>
      <c r="DP422">
        <f ca="1"/>
      </c>
      <c r="DQ422">
        <f ca="1"/>
      </c>
      <c r="DR422">
        <f ca="1"/>
      </c>
      <c r="DS422">
        <f ca="1"/>
      </c>
      <c r="DT422">
        <f ca="1"/>
      </c>
      <c r="DU422">
        <f ca="1"/>
      </c>
      <c r="DV422">
        <f ca="1"/>
      </c>
      <c r="DW422">
        <f ca="1"/>
      </c>
      <c r="DX422">
        <f ca="1"/>
      </c>
      <c r="DY422">
        <f ca="1"/>
      </c>
      <c r="DZ422">
        <f ca="1"/>
      </c>
      <c r="EA422">
        <f ca="1"/>
      </c>
      <c r="EB422">
        <f ca="1"/>
      </c>
      <c r="EC422">
        <f ca="1"/>
      </c>
      <c r="ED422">
        <f ca="1"/>
      </c>
      <c r="EE422">
        <f ca="1"/>
      </c>
      <c r="EF422">
        <f ca="1"/>
      </c>
      <c r="EG422">
        <f ca="1"/>
      </c>
      <c r="EH422">
        <f ca="1"/>
      </c>
      <c r="EI422">
        <f ca="1"/>
      </c>
      <c r="EJ422">
        <f ca="1"/>
      </c>
      <c r="EK422">
        <f ca="1"/>
      </c>
      <c r="EL422">
        <f ca="1"/>
      </c>
      <c r="EM422">
        <f ca="1"/>
      </c>
      <c r="EN422">
        <f ca="1"/>
      </c>
      <c r="EO422">
        <f ca="1"/>
      </c>
      <c r="EP422">
        <f ca="1"/>
      </c>
      <c r="EQ422">
        <f ca="1"/>
      </c>
      <c r="ER422">
        <f ca="1"/>
      </c>
      <c r="ES422">
        <f ca="1"/>
      </c>
      <c r="ET422">
        <f ca="1"/>
      </c>
      <c r="EU422">
        <f ca="1"/>
      </c>
      <c r="EV422">
        <f ca="1"/>
      </c>
      <c r="EW422">
        <f ca="1"/>
      </c>
      <c r="EX422">
        <f ca="1"/>
      </c>
      <c r="EY422">
        <f ca="1"/>
      </c>
      <c r="EZ422">
        <f ca="1"/>
      </c>
      <c r="FA422">
        <f ca="1"/>
      </c>
      <c r="FC422">
        <f ca="1"/>
      </c>
      <c r="FD422">
        <f ca="1"/>
      </c>
      <c r="FE422">
        <f ca="1"/>
      </c>
      <c r="FF422">
        <f ca="1"/>
      </c>
      <c r="FG422">
        <f ca="1"/>
      </c>
      <c r="FH422">
        <f ca="1"/>
      </c>
      <c r="FI422">
        <f ca="1"/>
      </c>
      <c r="FJ422">
        <f ca="1"/>
      </c>
      <c r="FK422">
        <f ca="1"/>
      </c>
      <c r="FL422">
        <f ca="1"/>
      </c>
      <c r="FM422">
        <f ca="1"/>
      </c>
      <c r="FN422">
        <f ca="1"/>
      </c>
      <c r="FO422">
        <f ca="1"/>
      </c>
      <c r="FP422">
        <f ca="1"/>
      </c>
      <c r="FQ422">
        <f ca="1"/>
      </c>
      <c r="FR422">
        <f ca="1"/>
      </c>
      <c r="FS422">
        <f ca="1"/>
      </c>
      <c r="FT422">
        <f ca="1"/>
      </c>
      <c r="FU422">
        <f ca="1"/>
      </c>
      <c r="FV422">
        <f ca="1"/>
      </c>
      <c r="FW422">
        <f ca="1"/>
      </c>
      <c r="FX422">
        <f ca="1"/>
      </c>
      <c r="FY422">
        <f ca="1"/>
      </c>
      <c r="FZ422">
        <f ca="1"/>
      </c>
      <c r="GA422">
        <f ca="1"/>
      </c>
      <c r="GB422">
        <f ca="1"/>
      </c>
      <c r="GC422">
        <f ca="1"/>
      </c>
      <c r="GD422">
        <f ca="1"/>
      </c>
      <c r="GE422">
        <f ca="1"/>
      </c>
      <c r="GF422">
        <f ca="1"/>
      </c>
      <c r="GG422">
        <f ca="1"/>
      </c>
      <c r="GH422">
        <f ca="1"/>
      </c>
      <c r="GI422">
        <f ca="1"/>
      </c>
      <c r="GJ422">
        <f ca="1"/>
      </c>
      <c r="GK422">
        <f ca="1"/>
      </c>
      <c r="GL422">
        <f ca="1"/>
      </c>
      <c r="GM422">
        <f ca="1"/>
      </c>
      <c r="GN422">
        <f ca="1"/>
      </c>
      <c r="GO422">
        <f ca="1"/>
      </c>
      <c r="GP422">
        <f ca="1"/>
      </c>
      <c r="GQ422">
        <f ca="1"/>
      </c>
      <c r="GR422">
        <f ca="1"/>
      </c>
      <c r="GS422">
        <f ca="1"/>
      </c>
      <c r="GT422">
        <f ca="1"/>
      </c>
      <c r="GU422">
        <f ca="1"/>
      </c>
      <c r="GV422">
        <f ca="1"/>
      </c>
      <c r="GW422">
        <f ca="1"/>
      </c>
      <c r="HI422" s="7"/>
    </row>
    <row r="423" spans="63:217" x14ac:dyDescent="0.55000000000000004">
      <c r="BK423">
        <f ca="1"/>
      </c>
      <c r="BL423">
        <f ca="1"/>
      </c>
      <c r="BM423">
        <f ca="1"/>
      </c>
      <c r="BN423">
        <f ca="1"/>
      </c>
      <c r="BO423">
        <f ca="1"/>
      </c>
      <c r="BP423">
        <f ca="1"/>
      </c>
      <c r="BQ423">
        <f ca="1"/>
      </c>
      <c r="BR423">
        <f ca="1"/>
      </c>
      <c r="BS423">
        <f ca="1"/>
      </c>
      <c r="BT423">
        <f ca="1"/>
      </c>
      <c r="BU423">
        <f ca="1"/>
      </c>
      <c r="BV423">
        <f ca="1"/>
      </c>
      <c r="BW423">
        <f ca="1"/>
      </c>
      <c r="BX423">
        <f ca="1"/>
      </c>
      <c r="BY423">
        <f ca="1"/>
      </c>
      <c r="BZ423">
        <f ca="1"/>
      </c>
      <c r="CA423">
        <f ca="1"/>
      </c>
      <c r="CB423">
        <f ca="1"/>
      </c>
      <c r="CC423">
        <f ca="1"/>
      </c>
      <c r="CD423">
        <f ca="1"/>
      </c>
      <c r="CE423">
        <f ca="1"/>
      </c>
      <c r="CF423">
        <f ca="1"/>
      </c>
      <c r="CG423">
        <f ca="1"/>
      </c>
      <c r="CH423">
        <f ca="1"/>
      </c>
      <c r="CI423">
        <f ca="1"/>
      </c>
      <c r="CJ423">
        <f ca="1"/>
      </c>
      <c r="CK423">
        <f ca="1"/>
      </c>
      <c r="CL423">
        <f ca="1"/>
      </c>
      <c r="CM423">
        <f ca="1"/>
      </c>
      <c r="CN423">
        <f ca="1"/>
      </c>
      <c r="CO423">
        <f ca="1"/>
      </c>
      <c r="CP423">
        <f ca="1"/>
      </c>
      <c r="CQ423">
        <f ca="1"/>
      </c>
      <c r="CR423">
        <f ca="1"/>
      </c>
      <c r="CS423">
        <f ca="1"/>
      </c>
      <c r="CT423">
        <f ca="1"/>
      </c>
      <c r="CU423">
        <f ca="1"/>
      </c>
      <c r="CV423">
        <f ca="1"/>
      </c>
      <c r="CW423">
        <f ca="1"/>
      </c>
      <c r="CX423">
        <f ca="1"/>
      </c>
      <c r="CY423">
        <f ca="1"/>
      </c>
      <c r="CZ423">
        <f ca="1"/>
      </c>
      <c r="DA423">
        <f ca="1"/>
      </c>
      <c r="DB423">
        <f ca="1"/>
      </c>
      <c r="DC423">
        <f ca="1"/>
      </c>
      <c r="DD423">
        <f ca="1"/>
      </c>
      <c r="DE423">
        <f ca="1"/>
      </c>
      <c r="DG423">
        <f ca="1"/>
      </c>
      <c r="DH423">
        <f ca="1"/>
      </c>
      <c r="DI423">
        <f ca="1"/>
      </c>
      <c r="DJ423">
        <f ca="1"/>
      </c>
      <c r="DK423">
        <f ca="1"/>
      </c>
      <c r="DL423">
        <f ca="1"/>
      </c>
      <c r="DM423">
        <f ca="1"/>
      </c>
      <c r="DN423">
        <f ca="1"/>
      </c>
      <c r="DO423">
        <f ca="1"/>
      </c>
      <c r="DP423">
        <f ca="1"/>
      </c>
      <c r="DQ423">
        <f ca="1"/>
      </c>
      <c r="DR423">
        <f ca="1"/>
      </c>
      <c r="DS423">
        <f ca="1"/>
      </c>
      <c r="DT423">
        <f ca="1"/>
      </c>
      <c r="DU423">
        <f ca="1"/>
      </c>
      <c r="DV423">
        <f ca="1"/>
      </c>
      <c r="DW423">
        <f ca="1"/>
      </c>
      <c r="DX423">
        <f ca="1"/>
      </c>
      <c r="DY423">
        <f ca="1"/>
      </c>
      <c r="DZ423">
        <f ca="1"/>
      </c>
      <c r="EA423">
        <f ca="1"/>
      </c>
      <c r="EB423">
        <f ca="1"/>
      </c>
      <c r="EC423">
        <f ca="1"/>
      </c>
      <c r="ED423">
        <f ca="1"/>
      </c>
      <c r="EE423">
        <f ca="1"/>
      </c>
      <c r="EF423">
        <f ca="1"/>
      </c>
      <c r="EG423">
        <f ca="1"/>
      </c>
      <c r="EH423">
        <f ca="1"/>
      </c>
      <c r="EI423">
        <f ca="1"/>
      </c>
      <c r="EJ423">
        <f ca="1"/>
      </c>
      <c r="EK423">
        <f ca="1"/>
      </c>
      <c r="EL423">
        <f ca="1"/>
      </c>
      <c r="EM423">
        <f ca="1"/>
      </c>
      <c r="EN423">
        <f ca="1"/>
      </c>
      <c r="EO423">
        <f ca="1"/>
      </c>
      <c r="EP423">
        <f ca="1"/>
      </c>
      <c r="EQ423">
        <f ca="1"/>
      </c>
      <c r="ER423">
        <f ca="1"/>
      </c>
      <c r="ES423">
        <f ca="1"/>
      </c>
      <c r="ET423">
        <f ca="1"/>
      </c>
      <c r="EU423">
        <f ca="1"/>
      </c>
      <c r="EV423">
        <f ca="1"/>
      </c>
      <c r="EW423">
        <f ca="1"/>
      </c>
      <c r="EX423">
        <f ca="1"/>
      </c>
      <c r="EY423">
        <f ca="1"/>
      </c>
      <c r="EZ423">
        <f ca="1"/>
      </c>
      <c r="FA423">
        <f ca="1"/>
      </c>
      <c r="FC423">
        <f ca="1"/>
      </c>
      <c r="FD423">
        <f ca="1"/>
      </c>
      <c r="FE423">
        <f ca="1"/>
      </c>
      <c r="FF423">
        <f ca="1"/>
      </c>
      <c r="FG423">
        <f ca="1"/>
      </c>
      <c r="FH423">
        <f ca="1"/>
      </c>
      <c r="FI423">
        <f ca="1"/>
      </c>
      <c r="FJ423">
        <f ca="1"/>
      </c>
      <c r="FK423">
        <f ca="1"/>
      </c>
      <c r="FL423">
        <f ca="1"/>
      </c>
      <c r="FM423">
        <f ca="1"/>
      </c>
      <c r="FN423">
        <f ca="1"/>
      </c>
      <c r="FO423">
        <f ca="1"/>
      </c>
      <c r="FP423">
        <f ca="1"/>
      </c>
      <c r="FQ423">
        <f ca="1"/>
      </c>
      <c r="FR423">
        <f ca="1"/>
      </c>
      <c r="FS423">
        <f ca="1"/>
      </c>
      <c r="FT423">
        <f ca="1"/>
      </c>
      <c r="FU423">
        <f ca="1"/>
      </c>
      <c r="FV423">
        <f ca="1"/>
      </c>
      <c r="FW423">
        <f ca="1"/>
      </c>
      <c r="FX423">
        <f ca="1"/>
      </c>
      <c r="FY423">
        <f ca="1"/>
      </c>
      <c r="FZ423">
        <f ca="1"/>
      </c>
      <c r="GA423">
        <f ca="1"/>
      </c>
      <c r="GB423">
        <f ca="1"/>
      </c>
      <c r="GC423">
        <f ca="1"/>
      </c>
      <c r="GD423">
        <f ca="1"/>
      </c>
      <c r="GE423">
        <f ca="1"/>
      </c>
      <c r="GF423">
        <f ca="1"/>
      </c>
      <c r="GG423">
        <f ca="1"/>
      </c>
      <c r="GH423">
        <f ca="1"/>
      </c>
      <c r="GI423">
        <f ca="1"/>
      </c>
      <c r="GJ423">
        <f ca="1"/>
      </c>
      <c r="GK423">
        <f ca="1"/>
      </c>
      <c r="GL423">
        <f ca="1"/>
      </c>
      <c r="GM423">
        <f ca="1"/>
      </c>
      <c r="GN423">
        <f ca="1"/>
      </c>
      <c r="GO423">
        <f ca="1"/>
      </c>
      <c r="GP423">
        <f ca="1"/>
      </c>
      <c r="GQ423">
        <f ca="1"/>
      </c>
      <c r="GR423">
        <f ca="1"/>
      </c>
      <c r="GS423">
        <f ca="1"/>
      </c>
      <c r="GT423">
        <f ca="1"/>
      </c>
      <c r="GU423">
        <f ca="1"/>
      </c>
      <c r="GV423">
        <f ca="1"/>
      </c>
      <c r="GW423">
        <f ca="1"/>
      </c>
      <c r="HI423" s="7"/>
    </row>
    <row r="424" spans="63:217" x14ac:dyDescent="0.55000000000000004">
      <c r="BK424">
        <f ca="1"/>
      </c>
      <c r="BL424">
        <f ca="1"/>
      </c>
      <c r="BM424">
        <f ca="1"/>
      </c>
      <c r="BN424">
        <f ca="1"/>
      </c>
      <c r="BO424">
        <f ca="1"/>
      </c>
      <c r="BP424">
        <f ca="1"/>
      </c>
      <c r="BQ424">
        <f ca="1"/>
      </c>
      <c r="BR424">
        <f ca="1"/>
      </c>
      <c r="BS424">
        <f ca="1"/>
      </c>
      <c r="BT424">
        <f ca="1"/>
      </c>
      <c r="BU424">
        <f ca="1"/>
      </c>
      <c r="BV424">
        <f ca="1"/>
      </c>
      <c r="BW424">
        <f ca="1"/>
      </c>
      <c r="BX424">
        <f ca="1"/>
      </c>
      <c r="BY424">
        <f ca="1"/>
      </c>
      <c r="BZ424">
        <f ca="1"/>
      </c>
      <c r="CA424">
        <f ca="1"/>
      </c>
      <c r="CB424">
        <f ca="1"/>
      </c>
      <c r="CC424">
        <f ca="1"/>
      </c>
      <c r="CD424">
        <f ca="1"/>
      </c>
      <c r="CE424">
        <f ca="1"/>
      </c>
      <c r="CF424">
        <f ca="1"/>
      </c>
      <c r="CG424">
        <f ca="1"/>
      </c>
      <c r="CH424">
        <f ca="1"/>
      </c>
      <c r="CI424">
        <f ca="1"/>
      </c>
      <c r="CJ424">
        <f ca="1"/>
      </c>
      <c r="CK424">
        <f ca="1"/>
      </c>
      <c r="CL424">
        <f ca="1"/>
      </c>
      <c r="CM424">
        <f ca="1"/>
      </c>
      <c r="CN424">
        <f ca="1"/>
      </c>
      <c r="CO424">
        <f ca="1"/>
      </c>
      <c r="CP424">
        <f ca="1"/>
      </c>
      <c r="CQ424">
        <f ca="1"/>
      </c>
      <c r="CR424">
        <f ca="1"/>
      </c>
      <c r="CS424">
        <f ca="1"/>
      </c>
      <c r="CT424">
        <f ca="1"/>
      </c>
      <c r="CU424">
        <f ca="1"/>
      </c>
      <c r="CV424">
        <f ca="1"/>
      </c>
      <c r="CW424">
        <f ca="1"/>
      </c>
      <c r="CX424">
        <f ca="1"/>
      </c>
      <c r="CY424">
        <f ca="1"/>
      </c>
      <c r="CZ424">
        <f ca="1"/>
      </c>
      <c r="DA424">
        <f ca="1"/>
      </c>
      <c r="DB424">
        <f ca="1"/>
      </c>
      <c r="DC424">
        <f ca="1"/>
      </c>
      <c r="DD424">
        <f ca="1"/>
      </c>
      <c r="DE424">
        <f ca="1"/>
      </c>
      <c r="DG424">
        <f ca="1"/>
      </c>
      <c r="DH424">
        <f ca="1"/>
      </c>
      <c r="DI424">
        <f ca="1"/>
      </c>
      <c r="DJ424">
        <f ca="1"/>
      </c>
      <c r="DK424">
        <f ca="1"/>
      </c>
      <c r="DL424">
        <f ca="1"/>
      </c>
      <c r="DM424">
        <f ca="1"/>
      </c>
      <c r="DN424">
        <f ca="1"/>
      </c>
      <c r="DO424">
        <f ca="1"/>
      </c>
      <c r="DP424">
        <f ca="1"/>
      </c>
      <c r="DQ424">
        <f ca="1"/>
      </c>
      <c r="DR424">
        <f ca="1"/>
      </c>
      <c r="DS424">
        <f ca="1"/>
      </c>
      <c r="DT424">
        <f ca="1"/>
      </c>
      <c r="DU424">
        <f ca="1"/>
      </c>
      <c r="DV424">
        <f ca="1"/>
      </c>
      <c r="DW424">
        <f ca="1"/>
      </c>
      <c r="DX424">
        <f ca="1"/>
      </c>
      <c r="DY424">
        <f ca="1"/>
      </c>
      <c r="DZ424">
        <f ca="1"/>
      </c>
      <c r="EA424">
        <f ca="1"/>
      </c>
      <c r="EB424">
        <f ca="1"/>
      </c>
      <c r="EC424">
        <f ca="1"/>
      </c>
      <c r="ED424">
        <f ca="1"/>
      </c>
      <c r="EE424">
        <f ca="1"/>
      </c>
      <c r="EF424">
        <f ca="1"/>
      </c>
      <c r="EG424">
        <f ca="1"/>
      </c>
      <c r="EH424">
        <f ca="1"/>
      </c>
      <c r="EI424">
        <f ca="1"/>
      </c>
      <c r="EJ424">
        <f ca="1"/>
      </c>
      <c r="EK424">
        <f ca="1"/>
      </c>
      <c r="EL424">
        <f ca="1"/>
      </c>
      <c r="EM424">
        <f ca="1"/>
      </c>
      <c r="EN424">
        <f ca="1"/>
      </c>
      <c r="EO424">
        <f ca="1"/>
      </c>
      <c r="EP424">
        <f ca="1"/>
      </c>
      <c r="EQ424">
        <f ca="1"/>
      </c>
      <c r="ER424">
        <f ca="1"/>
      </c>
      <c r="ES424">
        <f ca="1"/>
      </c>
      <c r="ET424">
        <f ca="1"/>
      </c>
      <c r="EU424">
        <f ca="1"/>
      </c>
      <c r="EV424">
        <f ca="1"/>
      </c>
      <c r="EW424">
        <f ca="1"/>
      </c>
      <c r="EX424">
        <f ca="1"/>
      </c>
      <c r="EY424">
        <f ca="1"/>
      </c>
      <c r="EZ424">
        <f ca="1"/>
      </c>
      <c r="FA424">
        <f ca="1"/>
      </c>
      <c r="FC424">
        <f ca="1"/>
      </c>
      <c r="FD424">
        <f ca="1"/>
      </c>
      <c r="FE424">
        <f ca="1"/>
      </c>
      <c r="FF424">
        <f ca="1"/>
      </c>
      <c r="FG424">
        <f ca="1"/>
      </c>
      <c r="FH424">
        <f ca="1"/>
      </c>
      <c r="FI424">
        <f ca="1"/>
      </c>
      <c r="FJ424">
        <f ca="1"/>
      </c>
      <c r="FK424">
        <f ca="1"/>
      </c>
      <c r="FL424">
        <f ca="1"/>
      </c>
      <c r="FM424">
        <f ca="1"/>
      </c>
      <c r="FN424">
        <f ca="1"/>
      </c>
      <c r="FO424">
        <f ca="1"/>
      </c>
      <c r="FP424">
        <f ca="1"/>
      </c>
      <c r="FQ424">
        <f ca="1"/>
      </c>
      <c r="FR424">
        <f ca="1"/>
      </c>
      <c r="FS424">
        <f ca="1"/>
      </c>
      <c r="FT424">
        <f ca="1"/>
      </c>
      <c r="FU424">
        <f ca="1"/>
      </c>
      <c r="FV424">
        <f ca="1"/>
      </c>
      <c r="FW424">
        <f ca="1"/>
      </c>
      <c r="FX424">
        <f ca="1"/>
      </c>
      <c r="FY424">
        <f ca="1"/>
      </c>
      <c r="FZ424">
        <f ca="1"/>
      </c>
      <c r="GA424">
        <f ca="1"/>
      </c>
      <c r="GB424">
        <f ca="1"/>
      </c>
      <c r="GC424">
        <f ca="1"/>
      </c>
      <c r="GD424">
        <f ca="1"/>
      </c>
      <c r="GE424">
        <f ca="1"/>
      </c>
      <c r="GF424">
        <f ca="1"/>
      </c>
      <c r="GG424">
        <f ca="1"/>
      </c>
      <c r="GH424">
        <f ca="1"/>
      </c>
      <c r="GI424">
        <f ca="1"/>
      </c>
      <c r="GJ424">
        <f ca="1"/>
      </c>
      <c r="GK424">
        <f ca="1"/>
      </c>
      <c r="GL424">
        <f ca="1"/>
      </c>
      <c r="GM424">
        <f ca="1"/>
      </c>
      <c r="GN424">
        <f ca="1"/>
      </c>
      <c r="GO424">
        <f ca="1"/>
      </c>
      <c r="GP424">
        <f ca="1"/>
      </c>
      <c r="GQ424">
        <f ca="1"/>
      </c>
      <c r="GR424">
        <f ca="1"/>
      </c>
      <c r="GS424">
        <f ca="1"/>
      </c>
      <c r="GT424">
        <f ca="1"/>
      </c>
      <c r="GU424">
        <f ca="1"/>
      </c>
      <c r="GV424">
        <f ca="1"/>
      </c>
      <c r="GW424">
        <f ca="1"/>
      </c>
      <c r="HI424" s="7"/>
    </row>
    <row r="425" spans="63:217" x14ac:dyDescent="0.55000000000000004">
      <c r="BK425">
        <f ca="1"/>
      </c>
      <c r="BL425">
        <f ca="1"/>
      </c>
      <c r="BM425">
        <f ca="1"/>
      </c>
      <c r="BN425">
        <f ca="1"/>
      </c>
      <c r="BO425">
        <f ca="1"/>
      </c>
      <c r="BP425">
        <f ca="1"/>
      </c>
      <c r="BQ425">
        <f ca="1"/>
      </c>
      <c r="BR425">
        <f ca="1"/>
      </c>
      <c r="BS425">
        <f ca="1"/>
      </c>
      <c r="BT425">
        <f ca="1"/>
      </c>
      <c r="BU425">
        <f ca="1"/>
      </c>
      <c r="BV425">
        <f ca="1"/>
      </c>
      <c r="BW425">
        <f ca="1"/>
      </c>
      <c r="BX425">
        <f ca="1"/>
      </c>
      <c r="BY425">
        <f ca="1"/>
      </c>
      <c r="BZ425">
        <f ca="1"/>
      </c>
      <c r="CA425">
        <f ca="1"/>
      </c>
      <c r="CB425">
        <f ca="1"/>
      </c>
      <c r="CC425">
        <f ca="1"/>
      </c>
      <c r="CD425">
        <f ca="1"/>
      </c>
      <c r="CE425">
        <f ca="1"/>
      </c>
      <c r="CF425">
        <f ca="1"/>
      </c>
      <c r="CG425">
        <f ca="1"/>
      </c>
      <c r="CH425">
        <f ca="1"/>
      </c>
      <c r="CI425">
        <f ca="1"/>
      </c>
      <c r="CJ425">
        <f ca="1"/>
      </c>
      <c r="CK425">
        <f ca="1"/>
      </c>
      <c r="CL425">
        <f ca="1"/>
      </c>
      <c r="CM425">
        <f ca="1"/>
      </c>
      <c r="CN425">
        <f ca="1"/>
      </c>
      <c r="CO425">
        <f ca="1"/>
      </c>
      <c r="CP425">
        <f ca="1"/>
      </c>
      <c r="CQ425">
        <f ca="1"/>
      </c>
      <c r="CR425">
        <f ca="1"/>
      </c>
      <c r="CS425">
        <f ca="1"/>
      </c>
      <c r="CT425">
        <f ca="1"/>
      </c>
      <c r="CU425">
        <f ca="1"/>
      </c>
      <c r="CV425">
        <f ca="1"/>
      </c>
      <c r="CW425">
        <f ca="1"/>
      </c>
      <c r="CX425">
        <f ca="1"/>
      </c>
      <c r="CY425">
        <f ca="1"/>
      </c>
      <c r="CZ425">
        <f ca="1"/>
      </c>
      <c r="DA425">
        <f ca="1"/>
      </c>
      <c r="DB425">
        <f ca="1"/>
      </c>
      <c r="DC425">
        <f ca="1"/>
      </c>
      <c r="DD425">
        <f ca="1"/>
      </c>
      <c r="DE425">
        <f ca="1"/>
      </c>
      <c r="DG425">
        <f ca="1"/>
      </c>
      <c r="DH425">
        <f ca="1"/>
      </c>
      <c r="DI425">
        <f ca="1"/>
      </c>
      <c r="DJ425">
        <f ca="1"/>
      </c>
      <c r="DK425">
        <f ca="1"/>
      </c>
      <c r="DL425">
        <f ca="1"/>
      </c>
      <c r="DM425">
        <f ca="1"/>
      </c>
      <c r="DN425">
        <f ca="1"/>
      </c>
      <c r="DO425">
        <f ca="1"/>
      </c>
      <c r="DP425">
        <f ca="1"/>
      </c>
      <c r="DQ425">
        <f ca="1"/>
      </c>
      <c r="DR425">
        <f ca="1"/>
      </c>
      <c r="DS425">
        <f ca="1"/>
      </c>
      <c r="DT425">
        <f ca="1"/>
      </c>
      <c r="DU425">
        <f ca="1"/>
      </c>
      <c r="DV425">
        <f ca="1"/>
      </c>
      <c r="DW425">
        <f ca="1"/>
      </c>
      <c r="DX425">
        <f ca="1"/>
      </c>
      <c r="DY425">
        <f ca="1"/>
      </c>
      <c r="DZ425">
        <f ca="1"/>
      </c>
      <c r="EA425">
        <f ca="1"/>
      </c>
      <c r="EB425">
        <f ca="1"/>
      </c>
      <c r="EC425">
        <f ca="1"/>
      </c>
      <c r="ED425">
        <f ca="1"/>
      </c>
      <c r="EE425">
        <f ca="1"/>
      </c>
      <c r="EF425">
        <f ca="1"/>
      </c>
      <c r="EG425">
        <f ca="1"/>
      </c>
      <c r="EH425">
        <f ca="1"/>
      </c>
      <c r="EI425">
        <f ca="1"/>
      </c>
      <c r="EJ425">
        <f ca="1"/>
      </c>
      <c r="EK425">
        <f ca="1"/>
      </c>
      <c r="EL425">
        <f ca="1"/>
      </c>
      <c r="EM425">
        <f ca="1"/>
      </c>
      <c r="EN425">
        <f ca="1"/>
      </c>
      <c r="EO425">
        <f ca="1"/>
      </c>
      <c r="EP425">
        <f ca="1"/>
      </c>
      <c r="EQ425">
        <f ca="1"/>
      </c>
      <c r="ER425">
        <f ca="1"/>
      </c>
      <c r="ES425">
        <f ca="1"/>
      </c>
      <c r="ET425">
        <f ca="1"/>
      </c>
      <c r="EU425">
        <f ca="1"/>
      </c>
      <c r="EV425">
        <f ca="1"/>
      </c>
      <c r="EW425">
        <f ca="1"/>
      </c>
      <c r="EX425">
        <f ca="1"/>
      </c>
      <c r="EY425">
        <f ca="1"/>
      </c>
      <c r="EZ425">
        <f ca="1"/>
      </c>
      <c r="FA425">
        <f ca="1"/>
      </c>
      <c r="FC425">
        <f ca="1"/>
      </c>
      <c r="FD425">
        <f ca="1"/>
      </c>
      <c r="FE425">
        <f ca="1"/>
      </c>
      <c r="FF425">
        <f ca="1"/>
      </c>
      <c r="FG425">
        <f ca="1"/>
      </c>
      <c r="FH425">
        <f ca="1"/>
      </c>
      <c r="FI425">
        <f ca="1"/>
      </c>
      <c r="FJ425">
        <f ca="1"/>
      </c>
      <c r="FK425">
        <f ca="1"/>
      </c>
      <c r="FL425">
        <f ca="1"/>
      </c>
      <c r="FM425">
        <f ca="1"/>
      </c>
      <c r="FN425">
        <f ca="1"/>
      </c>
      <c r="FO425">
        <f ca="1"/>
      </c>
      <c r="FP425">
        <f ca="1"/>
      </c>
      <c r="FQ425">
        <f ca="1"/>
      </c>
      <c r="FR425">
        <f ca="1"/>
      </c>
      <c r="FS425">
        <f ca="1"/>
      </c>
      <c r="FT425">
        <f ca="1"/>
      </c>
      <c r="FU425">
        <f ca="1"/>
      </c>
      <c r="FV425">
        <f ca="1"/>
      </c>
      <c r="FW425">
        <f ca="1"/>
      </c>
      <c r="FX425">
        <f ca="1"/>
      </c>
      <c r="FY425">
        <f ca="1"/>
      </c>
      <c r="FZ425">
        <f ca="1"/>
      </c>
      <c r="GA425">
        <f ca="1"/>
      </c>
      <c r="GB425">
        <f ca="1"/>
      </c>
      <c r="GC425">
        <f ca="1"/>
      </c>
      <c r="GD425">
        <f ca="1"/>
      </c>
      <c r="GE425">
        <f ca="1"/>
      </c>
      <c r="GF425">
        <f ca="1"/>
      </c>
      <c r="GG425">
        <f ca="1"/>
      </c>
      <c r="GH425">
        <f ca="1"/>
      </c>
      <c r="GI425">
        <f ca="1"/>
      </c>
      <c r="GJ425">
        <f ca="1"/>
      </c>
      <c r="GK425">
        <f ca="1"/>
      </c>
      <c r="GL425">
        <f ca="1"/>
      </c>
      <c r="GM425">
        <f ca="1"/>
      </c>
      <c r="GN425">
        <f ca="1"/>
      </c>
      <c r="GO425">
        <f ca="1"/>
      </c>
      <c r="GP425">
        <f ca="1"/>
      </c>
      <c r="GQ425">
        <f ca="1"/>
      </c>
      <c r="GR425">
        <f ca="1"/>
      </c>
      <c r="GS425">
        <f ca="1"/>
      </c>
      <c r="GT425">
        <f ca="1"/>
      </c>
      <c r="GU425">
        <f ca="1"/>
      </c>
      <c r="GV425">
        <f ca="1"/>
      </c>
      <c r="GW425">
        <f ca="1"/>
      </c>
      <c r="HI425" s="7"/>
    </row>
    <row r="426" spans="63:217" x14ac:dyDescent="0.55000000000000004">
      <c r="BK426">
        <f ca="1"/>
      </c>
      <c r="BL426">
        <f ca="1"/>
      </c>
      <c r="BM426">
        <f ca="1"/>
      </c>
      <c r="BN426">
        <f ca="1"/>
      </c>
      <c r="BO426">
        <f ca="1"/>
      </c>
      <c r="BP426">
        <f ca="1"/>
      </c>
      <c r="BQ426">
        <f ca="1"/>
      </c>
      <c r="BR426">
        <f ca="1"/>
      </c>
      <c r="BS426">
        <f ca="1"/>
      </c>
      <c r="BT426">
        <f ca="1"/>
      </c>
      <c r="BU426">
        <f ca="1"/>
      </c>
      <c r="BV426">
        <f ca="1"/>
      </c>
      <c r="BW426">
        <f ca="1"/>
      </c>
      <c r="BX426">
        <f ca="1"/>
      </c>
      <c r="BY426">
        <f ca="1"/>
      </c>
      <c r="BZ426">
        <f ca="1"/>
      </c>
      <c r="CA426">
        <f ca="1"/>
      </c>
      <c r="CB426">
        <f ca="1"/>
      </c>
      <c r="CC426">
        <f ca="1"/>
      </c>
      <c r="CD426">
        <f ca="1"/>
      </c>
      <c r="CE426">
        <f ca="1"/>
      </c>
      <c r="CF426">
        <f ca="1"/>
      </c>
      <c r="CG426">
        <f ca="1"/>
      </c>
      <c r="CH426">
        <f ca="1"/>
      </c>
      <c r="CI426">
        <f ca="1"/>
      </c>
      <c r="CJ426">
        <f ca="1"/>
      </c>
      <c r="CK426">
        <f ca="1"/>
      </c>
      <c r="CL426">
        <f ca="1"/>
      </c>
      <c r="CM426">
        <f ca="1"/>
      </c>
      <c r="CN426">
        <f ca="1"/>
      </c>
      <c r="CO426">
        <f ca="1"/>
      </c>
      <c r="CP426">
        <f ca="1"/>
      </c>
      <c r="CQ426">
        <f ca="1"/>
      </c>
      <c r="CR426">
        <f ca="1"/>
      </c>
      <c r="CS426">
        <f ca="1"/>
      </c>
      <c r="CT426">
        <f ca="1"/>
      </c>
      <c r="CU426">
        <f ca="1"/>
      </c>
      <c r="CV426">
        <f ca="1"/>
      </c>
      <c r="CW426">
        <f ca="1"/>
      </c>
      <c r="CX426">
        <f ca="1"/>
      </c>
      <c r="CY426">
        <f ca="1"/>
      </c>
      <c r="CZ426">
        <f ca="1"/>
      </c>
      <c r="DA426">
        <f ca="1"/>
      </c>
      <c r="DB426">
        <f ca="1"/>
      </c>
      <c r="DC426">
        <f ca="1"/>
      </c>
      <c r="DD426">
        <f ca="1"/>
      </c>
      <c r="DE426">
        <f ca="1"/>
      </c>
      <c r="DG426">
        <f ca="1"/>
      </c>
      <c r="DH426">
        <f ca="1"/>
      </c>
      <c r="DI426">
        <f ca="1"/>
      </c>
      <c r="DJ426">
        <f ca="1"/>
      </c>
      <c r="DK426">
        <f ca="1"/>
      </c>
      <c r="DL426">
        <f ca="1"/>
      </c>
      <c r="DM426">
        <f ca="1"/>
      </c>
      <c r="DN426">
        <f ca="1"/>
      </c>
      <c r="DO426">
        <f ca="1"/>
      </c>
      <c r="DP426">
        <f ca="1"/>
      </c>
      <c r="DQ426">
        <f ca="1"/>
      </c>
      <c r="DR426">
        <f ca="1"/>
      </c>
      <c r="DS426">
        <f ca="1"/>
      </c>
      <c r="DT426">
        <f ca="1"/>
      </c>
      <c r="DU426">
        <f ca="1"/>
      </c>
      <c r="DV426">
        <f ca="1"/>
      </c>
      <c r="DW426">
        <f ca="1"/>
      </c>
      <c r="DX426">
        <f ca="1"/>
      </c>
      <c r="DY426">
        <f ca="1"/>
      </c>
      <c r="DZ426">
        <f ca="1"/>
      </c>
      <c r="EA426">
        <f ca="1"/>
      </c>
      <c r="EB426">
        <f ca="1"/>
      </c>
      <c r="EC426">
        <f ca="1"/>
      </c>
      <c r="ED426">
        <f ca="1"/>
      </c>
      <c r="EE426">
        <f ca="1"/>
      </c>
      <c r="EF426">
        <f ca="1"/>
      </c>
      <c r="EG426">
        <f ca="1"/>
      </c>
      <c r="EH426">
        <f ca="1"/>
      </c>
      <c r="EI426">
        <f ca="1"/>
      </c>
      <c r="EJ426">
        <f ca="1"/>
      </c>
      <c r="EK426">
        <f ca="1"/>
      </c>
      <c r="EL426">
        <f ca="1"/>
      </c>
      <c r="EM426">
        <f ca="1"/>
      </c>
      <c r="EN426">
        <f ca="1"/>
      </c>
      <c r="EO426">
        <f ca="1"/>
      </c>
      <c r="EP426">
        <f ca="1"/>
      </c>
      <c r="EQ426">
        <f ca="1"/>
      </c>
      <c r="ER426">
        <f ca="1"/>
      </c>
      <c r="ES426">
        <f ca="1"/>
      </c>
      <c r="ET426">
        <f ca="1"/>
      </c>
      <c r="EU426">
        <f ca="1"/>
      </c>
      <c r="EV426">
        <f ca="1"/>
      </c>
      <c r="EW426">
        <f ca="1"/>
      </c>
      <c r="EX426">
        <f ca="1"/>
      </c>
      <c r="EY426">
        <f ca="1"/>
      </c>
      <c r="EZ426">
        <f ca="1"/>
      </c>
      <c r="FA426">
        <f ca="1"/>
      </c>
      <c r="FC426">
        <f ca="1"/>
      </c>
      <c r="FD426">
        <f ca="1"/>
      </c>
      <c r="FE426">
        <f ca="1"/>
      </c>
      <c r="FF426">
        <f ca="1"/>
      </c>
      <c r="FG426">
        <f ca="1"/>
      </c>
      <c r="FH426">
        <f ca="1"/>
      </c>
      <c r="FI426">
        <f ca="1"/>
      </c>
      <c r="FJ426">
        <f ca="1"/>
      </c>
      <c r="FK426">
        <f ca="1"/>
      </c>
      <c r="FL426">
        <f ca="1"/>
      </c>
      <c r="FM426">
        <f ca="1"/>
      </c>
      <c r="FN426">
        <f ca="1"/>
      </c>
      <c r="FO426">
        <f ca="1"/>
      </c>
      <c r="FP426">
        <f ca="1"/>
      </c>
      <c r="FQ426">
        <f ca="1"/>
      </c>
      <c r="FR426">
        <f ca="1"/>
      </c>
      <c r="FS426">
        <f ca="1"/>
      </c>
      <c r="FT426">
        <f ca="1"/>
      </c>
      <c r="FU426">
        <f ca="1"/>
      </c>
      <c r="FV426">
        <f ca="1"/>
      </c>
      <c r="FW426">
        <f ca="1"/>
      </c>
      <c r="FX426">
        <f ca="1"/>
      </c>
      <c r="FY426">
        <f ca="1"/>
      </c>
      <c r="FZ426">
        <f ca="1"/>
      </c>
      <c r="GA426">
        <f ca="1"/>
      </c>
      <c r="GB426">
        <f ca="1"/>
      </c>
      <c r="GC426">
        <f ca="1"/>
      </c>
      <c r="GD426">
        <f ca="1"/>
      </c>
      <c r="GE426">
        <f ca="1"/>
      </c>
      <c r="GF426">
        <f ca="1"/>
      </c>
      <c r="GG426">
        <f ca="1"/>
      </c>
      <c r="GH426">
        <f ca="1"/>
      </c>
      <c r="GI426">
        <f ca="1"/>
      </c>
      <c r="GJ426">
        <f ca="1"/>
      </c>
      <c r="GK426">
        <f ca="1"/>
      </c>
      <c r="GL426">
        <f ca="1"/>
      </c>
      <c r="GM426">
        <f ca="1"/>
      </c>
      <c r="GN426">
        <f ca="1"/>
      </c>
      <c r="GO426">
        <f ca="1"/>
      </c>
      <c r="GP426">
        <f ca="1"/>
      </c>
      <c r="GQ426">
        <f ca="1"/>
      </c>
      <c r="GR426">
        <f ca="1"/>
      </c>
      <c r="GS426">
        <f ca="1"/>
      </c>
      <c r="GT426">
        <f ca="1"/>
      </c>
      <c r="GU426">
        <f ca="1"/>
      </c>
      <c r="GV426">
        <f ca="1"/>
      </c>
      <c r="GW426">
        <f ca="1"/>
      </c>
      <c r="HI426" s="7"/>
    </row>
    <row r="427" spans="63:217" x14ac:dyDescent="0.55000000000000004">
      <c r="BK427">
        <f ca="1"/>
      </c>
      <c r="BL427">
        <f ca="1"/>
      </c>
      <c r="BM427">
        <f ca="1"/>
      </c>
      <c r="BN427">
        <f ca="1"/>
      </c>
      <c r="BO427">
        <f ca="1"/>
      </c>
      <c r="BP427">
        <f ca="1"/>
      </c>
      <c r="BQ427">
        <f ca="1"/>
      </c>
      <c r="BR427">
        <f ca="1"/>
      </c>
      <c r="BS427">
        <f ca="1"/>
      </c>
      <c r="BT427">
        <f ca="1"/>
      </c>
      <c r="BU427">
        <f ca="1"/>
      </c>
      <c r="BV427">
        <f ca="1"/>
      </c>
      <c r="BW427">
        <f ca="1"/>
      </c>
      <c r="BX427">
        <f ca="1"/>
      </c>
      <c r="BY427">
        <f ca="1"/>
      </c>
      <c r="BZ427">
        <f ca="1"/>
      </c>
      <c r="CA427">
        <f ca="1"/>
      </c>
      <c r="CB427">
        <f ca="1"/>
      </c>
      <c r="CC427">
        <f ca="1"/>
      </c>
      <c r="CD427">
        <f ca="1"/>
      </c>
      <c r="CE427">
        <f ca="1"/>
      </c>
      <c r="CF427">
        <f ca="1"/>
      </c>
      <c r="CG427">
        <f ca="1"/>
      </c>
      <c r="CH427">
        <f ca="1"/>
      </c>
      <c r="CI427">
        <f ca="1"/>
      </c>
      <c r="CJ427">
        <f ca="1"/>
      </c>
      <c r="CK427">
        <f ca="1"/>
      </c>
      <c r="CL427">
        <f ca="1"/>
      </c>
      <c r="CM427">
        <f ca="1"/>
      </c>
      <c r="CN427">
        <f ca="1"/>
      </c>
      <c r="CO427">
        <f ca="1"/>
      </c>
      <c r="CP427">
        <f ca="1"/>
      </c>
      <c r="CQ427">
        <f ca="1"/>
      </c>
      <c r="CR427">
        <f ca="1"/>
      </c>
      <c r="CS427">
        <f ca="1"/>
      </c>
      <c r="CT427">
        <f ca="1"/>
      </c>
      <c r="CU427">
        <f ca="1"/>
      </c>
      <c r="CV427">
        <f ca="1"/>
      </c>
      <c r="CW427">
        <f ca="1"/>
      </c>
      <c r="CX427">
        <f ca="1"/>
      </c>
      <c r="CY427">
        <f ca="1"/>
      </c>
      <c r="CZ427">
        <f ca="1"/>
      </c>
      <c r="DA427">
        <f ca="1"/>
      </c>
      <c r="DB427">
        <f ca="1"/>
      </c>
      <c r="DC427">
        <f ca="1"/>
      </c>
      <c r="DD427">
        <f ca="1"/>
      </c>
      <c r="DE427">
        <f ca="1"/>
      </c>
      <c r="DG427">
        <f ca="1"/>
      </c>
      <c r="DH427">
        <f ca="1"/>
      </c>
      <c r="DI427">
        <f ca="1"/>
      </c>
      <c r="DJ427">
        <f ca="1"/>
      </c>
      <c r="DK427">
        <f ca="1"/>
      </c>
      <c r="DL427">
        <f ca="1"/>
      </c>
      <c r="DM427">
        <f ca="1"/>
      </c>
      <c r="DN427">
        <f ca="1"/>
      </c>
      <c r="DO427">
        <f ca="1"/>
      </c>
      <c r="DP427">
        <f ca="1"/>
      </c>
      <c r="DQ427">
        <f ca="1"/>
      </c>
      <c r="DR427">
        <f ca="1"/>
      </c>
      <c r="DS427">
        <f ca="1"/>
      </c>
      <c r="DT427">
        <f ca="1"/>
      </c>
      <c r="DU427">
        <f ca="1"/>
      </c>
      <c r="DV427">
        <f ca="1"/>
      </c>
      <c r="DW427">
        <f ca="1"/>
      </c>
      <c r="DX427">
        <f ca="1"/>
      </c>
      <c r="DY427">
        <f ca="1"/>
      </c>
      <c r="DZ427">
        <f ca="1"/>
      </c>
      <c r="EA427">
        <f ca="1"/>
      </c>
      <c r="EB427">
        <f ca="1"/>
      </c>
      <c r="EC427">
        <f ca="1"/>
      </c>
      <c r="ED427">
        <f ca="1"/>
      </c>
      <c r="EE427">
        <f ca="1"/>
      </c>
      <c r="EF427">
        <f ca="1"/>
      </c>
      <c r="EG427">
        <f ca="1"/>
      </c>
      <c r="EH427">
        <f ca="1"/>
      </c>
      <c r="EI427">
        <f ca="1"/>
      </c>
      <c r="EJ427">
        <f ca="1"/>
      </c>
      <c r="EK427">
        <f ca="1"/>
      </c>
      <c r="EL427">
        <f ca="1"/>
      </c>
      <c r="EM427">
        <f ca="1"/>
      </c>
      <c r="EN427">
        <f ca="1"/>
      </c>
      <c r="EO427">
        <f ca="1"/>
      </c>
      <c r="EP427">
        <f ca="1"/>
      </c>
      <c r="EQ427">
        <f ca="1"/>
      </c>
      <c r="ER427">
        <f ca="1"/>
      </c>
      <c r="ES427">
        <f ca="1"/>
      </c>
      <c r="ET427">
        <f ca="1"/>
      </c>
      <c r="EU427">
        <f ca="1"/>
      </c>
      <c r="EV427">
        <f ca="1"/>
      </c>
      <c r="EW427">
        <f ca="1"/>
      </c>
      <c r="EX427">
        <f ca="1"/>
      </c>
      <c r="EY427">
        <f ca="1"/>
      </c>
      <c r="EZ427">
        <f ca="1"/>
      </c>
      <c r="FA427">
        <f ca="1"/>
      </c>
      <c r="FC427">
        <f ca="1"/>
      </c>
      <c r="FD427">
        <f ca="1"/>
      </c>
      <c r="FE427">
        <f ca="1"/>
      </c>
      <c r="FF427">
        <f ca="1"/>
      </c>
      <c r="FG427">
        <f ca="1"/>
      </c>
      <c r="FH427">
        <f ca="1"/>
      </c>
      <c r="FI427">
        <f ca="1"/>
      </c>
      <c r="FJ427">
        <f ca="1"/>
      </c>
      <c r="FK427">
        <f ca="1"/>
      </c>
      <c r="FL427">
        <f ca="1"/>
      </c>
      <c r="FM427">
        <f ca="1"/>
      </c>
      <c r="FN427">
        <f ca="1"/>
      </c>
      <c r="FO427">
        <f ca="1"/>
      </c>
      <c r="FP427">
        <f ca="1"/>
      </c>
      <c r="FQ427">
        <f ca="1"/>
      </c>
      <c r="FR427">
        <f ca="1"/>
      </c>
      <c r="FS427">
        <f ca="1"/>
      </c>
      <c r="FT427">
        <f ca="1"/>
      </c>
      <c r="FU427">
        <f ca="1"/>
      </c>
      <c r="FV427">
        <f ca="1"/>
      </c>
      <c r="FW427">
        <f ca="1"/>
      </c>
      <c r="FX427">
        <f ca="1"/>
      </c>
      <c r="FY427">
        <f ca="1"/>
      </c>
      <c r="FZ427">
        <f ca="1"/>
      </c>
      <c r="GA427">
        <f ca="1"/>
      </c>
      <c r="GB427">
        <f ca="1"/>
      </c>
      <c r="GC427">
        <f ca="1"/>
      </c>
      <c r="GD427">
        <f ca="1"/>
      </c>
      <c r="GE427">
        <f ca="1"/>
      </c>
      <c r="GF427">
        <f ca="1"/>
      </c>
      <c r="GG427">
        <f ca="1"/>
      </c>
      <c r="GH427">
        <f ca="1"/>
      </c>
      <c r="GI427">
        <f ca="1"/>
      </c>
      <c r="GJ427">
        <f ca="1"/>
      </c>
      <c r="GK427">
        <f ca="1"/>
      </c>
      <c r="GL427">
        <f ca="1"/>
      </c>
      <c r="GM427">
        <f ca="1"/>
      </c>
      <c r="GN427">
        <f ca="1"/>
      </c>
      <c r="GO427">
        <f ca="1"/>
      </c>
      <c r="GP427">
        <f ca="1"/>
      </c>
      <c r="GQ427">
        <f ca="1"/>
      </c>
      <c r="GR427">
        <f ca="1"/>
      </c>
      <c r="GS427">
        <f ca="1"/>
      </c>
      <c r="GT427">
        <f ca="1"/>
      </c>
      <c r="GU427">
        <f ca="1"/>
      </c>
      <c r="GV427">
        <f ca="1"/>
      </c>
      <c r="GW427">
        <f ca="1"/>
      </c>
      <c r="HI427" s="7"/>
    </row>
    <row r="428" spans="63:217" x14ac:dyDescent="0.55000000000000004">
      <c r="BK428">
        <f ca="1"/>
      </c>
      <c r="BL428">
        <f ca="1"/>
      </c>
      <c r="BM428">
        <f ca="1"/>
      </c>
      <c r="BN428">
        <f ca="1"/>
      </c>
      <c r="BO428">
        <f ca="1"/>
      </c>
      <c r="BP428">
        <f ca="1"/>
      </c>
      <c r="BQ428">
        <f ca="1"/>
      </c>
      <c r="BR428">
        <f ca="1"/>
      </c>
      <c r="BS428">
        <f ca="1"/>
      </c>
      <c r="BT428">
        <f ca="1"/>
      </c>
      <c r="BU428">
        <f ca="1"/>
      </c>
      <c r="BV428">
        <f ca="1"/>
      </c>
      <c r="BW428">
        <f ca="1"/>
      </c>
      <c r="BX428">
        <f ca="1"/>
      </c>
      <c r="BY428">
        <f ca="1"/>
      </c>
      <c r="BZ428">
        <f ca="1"/>
      </c>
      <c r="CA428">
        <f ca="1"/>
      </c>
      <c r="CB428">
        <f ca="1"/>
      </c>
      <c r="CC428">
        <f ca="1"/>
      </c>
      <c r="CD428">
        <f ca="1"/>
      </c>
      <c r="CE428">
        <f ca="1"/>
      </c>
      <c r="CF428">
        <f ca="1"/>
      </c>
      <c r="CG428">
        <f ca="1"/>
      </c>
      <c r="CH428">
        <f ca="1"/>
      </c>
      <c r="CI428">
        <f ca="1"/>
      </c>
      <c r="CJ428">
        <f ca="1"/>
      </c>
      <c r="CK428">
        <f ca="1"/>
      </c>
      <c r="CL428">
        <f ca="1"/>
      </c>
      <c r="CM428">
        <f ca="1"/>
      </c>
      <c r="CN428">
        <f ca="1"/>
      </c>
      <c r="CO428">
        <f ca="1"/>
      </c>
      <c r="CP428">
        <f ca="1"/>
      </c>
      <c r="CQ428">
        <f ca="1"/>
      </c>
      <c r="CR428">
        <f ca="1"/>
      </c>
      <c r="CS428">
        <f ca="1"/>
      </c>
      <c r="CT428">
        <f ca="1"/>
      </c>
      <c r="CU428">
        <f ca="1"/>
      </c>
      <c r="CV428">
        <f ca="1"/>
      </c>
      <c r="CW428">
        <f ca="1"/>
      </c>
      <c r="CX428">
        <f ca="1"/>
      </c>
      <c r="CY428">
        <f ca="1"/>
      </c>
      <c r="CZ428">
        <f ca="1"/>
      </c>
      <c r="DA428">
        <f ca="1"/>
      </c>
      <c r="DB428">
        <f ca="1"/>
      </c>
      <c r="DC428">
        <f ca="1"/>
      </c>
      <c r="DD428">
        <f ca="1"/>
      </c>
      <c r="DE428">
        <f ca="1"/>
      </c>
      <c r="DG428">
        <f ca="1"/>
      </c>
      <c r="DH428">
        <f ca="1"/>
      </c>
      <c r="DI428">
        <f ca="1"/>
      </c>
      <c r="DJ428">
        <f ca="1"/>
      </c>
      <c r="DK428">
        <f ca="1"/>
      </c>
      <c r="DL428">
        <f ca="1"/>
      </c>
      <c r="DM428">
        <f ca="1"/>
      </c>
      <c r="DN428">
        <f ca="1"/>
      </c>
      <c r="DO428">
        <f ca="1"/>
      </c>
      <c r="DP428">
        <f ca="1"/>
      </c>
      <c r="DQ428">
        <f ca="1"/>
      </c>
      <c r="DR428">
        <f ca="1"/>
      </c>
      <c r="DS428">
        <f ca="1"/>
      </c>
      <c r="DT428">
        <f ca="1"/>
      </c>
      <c r="DU428">
        <f ca="1"/>
      </c>
      <c r="DV428">
        <f ca="1"/>
      </c>
      <c r="DW428">
        <f ca="1"/>
      </c>
      <c r="DX428">
        <f ca="1"/>
      </c>
      <c r="DY428">
        <f ca="1"/>
      </c>
      <c r="DZ428">
        <f ca="1"/>
      </c>
      <c r="EA428">
        <f ca="1"/>
      </c>
      <c r="EB428">
        <f ca="1"/>
      </c>
      <c r="EC428">
        <f ca="1"/>
      </c>
      <c r="ED428">
        <f ca="1"/>
      </c>
      <c r="EE428">
        <f ca="1"/>
      </c>
      <c r="EF428">
        <f ca="1"/>
      </c>
      <c r="EG428">
        <f ca="1"/>
      </c>
      <c r="EH428">
        <f ca="1"/>
      </c>
      <c r="EI428">
        <f ca="1"/>
      </c>
      <c r="EJ428">
        <f ca="1"/>
      </c>
      <c r="EK428">
        <f ca="1"/>
      </c>
      <c r="EL428">
        <f ca="1"/>
      </c>
      <c r="EM428">
        <f ca="1"/>
      </c>
      <c r="EN428">
        <f ca="1"/>
      </c>
      <c r="EO428">
        <f ca="1"/>
      </c>
      <c r="EP428">
        <f ca="1"/>
      </c>
      <c r="EQ428">
        <f ca="1"/>
      </c>
      <c r="ER428">
        <f ca="1"/>
      </c>
      <c r="ES428">
        <f ca="1"/>
      </c>
      <c r="ET428">
        <f ca="1"/>
      </c>
      <c r="EU428">
        <f ca="1"/>
      </c>
      <c r="EV428">
        <f ca="1"/>
      </c>
      <c r="EW428">
        <f ca="1"/>
      </c>
      <c r="EX428">
        <f ca="1"/>
      </c>
      <c r="EY428">
        <f ca="1"/>
      </c>
      <c r="EZ428">
        <f ca="1"/>
      </c>
      <c r="FA428">
        <f ca="1"/>
      </c>
      <c r="FC428">
        <f ca="1"/>
      </c>
      <c r="FD428">
        <f ca="1"/>
      </c>
      <c r="FE428">
        <f ca="1"/>
      </c>
      <c r="FF428">
        <f ca="1"/>
      </c>
      <c r="FG428">
        <f ca="1"/>
      </c>
      <c r="FH428">
        <f ca="1"/>
      </c>
      <c r="FI428">
        <f ca="1"/>
      </c>
      <c r="FJ428">
        <f ca="1"/>
      </c>
      <c r="FK428">
        <f ca="1"/>
      </c>
      <c r="FL428">
        <f ca="1"/>
      </c>
      <c r="FM428">
        <f ca="1"/>
      </c>
      <c r="FN428">
        <f ca="1"/>
      </c>
      <c r="FO428">
        <f ca="1"/>
      </c>
      <c r="FP428">
        <f ca="1"/>
      </c>
      <c r="FQ428">
        <f ca="1"/>
      </c>
      <c r="FR428">
        <f ca="1"/>
      </c>
      <c r="FS428">
        <f ca="1"/>
      </c>
      <c r="FT428">
        <f ca="1"/>
      </c>
      <c r="FU428">
        <f ca="1"/>
      </c>
      <c r="FV428">
        <f ca="1"/>
      </c>
      <c r="FW428">
        <f ca="1"/>
      </c>
      <c r="FX428">
        <f ca="1"/>
      </c>
      <c r="FY428">
        <f ca="1"/>
      </c>
      <c r="FZ428">
        <f ca="1"/>
      </c>
      <c r="GA428">
        <f ca="1"/>
      </c>
      <c r="GB428">
        <f ca="1"/>
      </c>
      <c r="GC428">
        <f ca="1"/>
      </c>
      <c r="GD428">
        <f ca="1"/>
      </c>
      <c r="GE428">
        <f ca="1"/>
      </c>
      <c r="GF428">
        <f ca="1"/>
      </c>
      <c r="GG428">
        <f ca="1"/>
      </c>
      <c r="GH428">
        <f ca="1"/>
      </c>
      <c r="GI428">
        <f ca="1"/>
      </c>
      <c r="GJ428">
        <f ca="1"/>
      </c>
      <c r="GK428">
        <f ca="1"/>
      </c>
      <c r="GL428">
        <f ca="1"/>
      </c>
      <c r="GM428">
        <f ca="1"/>
      </c>
      <c r="GN428">
        <f ca="1"/>
      </c>
      <c r="GO428">
        <f ca="1"/>
      </c>
      <c r="GP428">
        <f ca="1"/>
      </c>
      <c r="GQ428">
        <f ca="1"/>
      </c>
      <c r="GR428">
        <f ca="1"/>
      </c>
      <c r="GS428">
        <f ca="1"/>
      </c>
      <c r="GT428">
        <f ca="1"/>
      </c>
      <c r="GU428">
        <f ca="1"/>
      </c>
      <c r="GV428">
        <f ca="1"/>
      </c>
      <c r="GW428">
        <f ca="1"/>
      </c>
      <c r="HI428" s="7"/>
    </row>
    <row r="429" spans="63:217" x14ac:dyDescent="0.55000000000000004">
      <c r="BK429">
        <f ca="1"/>
      </c>
      <c r="BL429">
        <f ca="1"/>
      </c>
      <c r="BM429">
        <f ca="1"/>
      </c>
      <c r="BN429">
        <f ca="1"/>
      </c>
      <c r="BO429">
        <f ca="1"/>
      </c>
      <c r="BP429">
        <f ca="1"/>
      </c>
      <c r="BQ429">
        <f ca="1"/>
      </c>
      <c r="BR429">
        <f ca="1"/>
      </c>
      <c r="BS429">
        <f ca="1"/>
      </c>
      <c r="BT429">
        <f ca="1"/>
      </c>
      <c r="BU429">
        <f ca="1"/>
      </c>
      <c r="BV429">
        <f ca="1"/>
      </c>
      <c r="BW429">
        <f ca="1"/>
      </c>
      <c r="BX429">
        <f ca="1"/>
      </c>
      <c r="BY429">
        <f ca="1"/>
      </c>
      <c r="BZ429">
        <f ca="1"/>
      </c>
      <c r="CA429">
        <f ca="1"/>
      </c>
      <c r="CB429">
        <f ca="1"/>
      </c>
      <c r="CC429">
        <f ca="1"/>
      </c>
      <c r="CD429">
        <f ca="1"/>
      </c>
      <c r="CE429">
        <f ca="1"/>
      </c>
      <c r="CF429">
        <f ca="1"/>
      </c>
      <c r="CG429">
        <f ca="1"/>
      </c>
      <c r="CH429">
        <f ca="1"/>
      </c>
      <c r="CI429">
        <f ca="1"/>
      </c>
      <c r="CJ429">
        <f ca="1"/>
      </c>
      <c r="CK429">
        <f ca="1"/>
      </c>
      <c r="CL429">
        <f ca="1"/>
      </c>
      <c r="CM429">
        <f ca="1"/>
      </c>
      <c r="CN429">
        <f ca="1"/>
      </c>
      <c r="CO429">
        <f ca="1"/>
      </c>
      <c r="CP429">
        <f ca="1"/>
      </c>
      <c r="CQ429">
        <f ca="1"/>
      </c>
      <c r="CR429">
        <f ca="1"/>
      </c>
      <c r="CS429">
        <f ca="1"/>
      </c>
      <c r="CT429">
        <f ca="1"/>
      </c>
      <c r="CU429">
        <f ca="1"/>
      </c>
      <c r="CV429">
        <f ca="1"/>
      </c>
      <c r="CW429">
        <f ca="1"/>
      </c>
      <c r="CX429">
        <f ca="1"/>
      </c>
      <c r="CY429">
        <f ca="1"/>
      </c>
      <c r="CZ429">
        <f ca="1"/>
      </c>
      <c r="DA429">
        <f ca="1"/>
      </c>
      <c r="DB429">
        <f ca="1"/>
      </c>
      <c r="DC429">
        <f ca="1"/>
      </c>
      <c r="DD429">
        <f ca="1"/>
      </c>
      <c r="DE429">
        <f ca="1"/>
      </c>
      <c r="DG429">
        <f ca="1"/>
      </c>
      <c r="DH429">
        <f ca="1"/>
      </c>
      <c r="DI429">
        <f ca="1"/>
      </c>
      <c r="DJ429">
        <f ca="1"/>
      </c>
      <c r="DK429">
        <f ca="1"/>
      </c>
      <c r="DL429">
        <f ca="1"/>
      </c>
      <c r="DM429">
        <f ca="1"/>
      </c>
      <c r="DN429">
        <f ca="1"/>
      </c>
      <c r="DO429">
        <f ca="1"/>
      </c>
      <c r="DP429">
        <f ca="1"/>
      </c>
      <c r="DQ429">
        <f ca="1"/>
      </c>
      <c r="DR429">
        <f ca="1"/>
      </c>
      <c r="DS429">
        <f ca="1"/>
      </c>
      <c r="DT429">
        <f ca="1"/>
      </c>
      <c r="DU429">
        <f ca="1"/>
      </c>
      <c r="DV429">
        <f ca="1"/>
      </c>
      <c r="DW429">
        <f ca="1"/>
      </c>
      <c r="DX429">
        <f ca="1"/>
      </c>
      <c r="DY429">
        <f ca="1"/>
      </c>
      <c r="DZ429">
        <f ca="1"/>
      </c>
      <c r="EA429">
        <f ca="1"/>
      </c>
      <c r="EB429">
        <f ca="1"/>
      </c>
      <c r="EC429">
        <f ca="1"/>
      </c>
      <c r="ED429">
        <f ca="1"/>
      </c>
      <c r="EE429">
        <f ca="1"/>
      </c>
      <c r="EF429">
        <f ca="1"/>
      </c>
      <c r="EG429">
        <f ca="1"/>
      </c>
      <c r="EH429">
        <f ca="1"/>
      </c>
      <c r="EI429">
        <f ca="1"/>
      </c>
      <c r="EJ429">
        <f ca="1"/>
      </c>
      <c r="EK429">
        <f ca="1"/>
      </c>
      <c r="EL429">
        <f ca="1"/>
      </c>
      <c r="EM429">
        <f ca="1"/>
      </c>
      <c r="EN429">
        <f ca="1"/>
      </c>
      <c r="EO429">
        <f ca="1"/>
      </c>
      <c r="EP429">
        <f ca="1"/>
      </c>
      <c r="EQ429">
        <f ca="1"/>
      </c>
      <c r="ER429">
        <f ca="1"/>
      </c>
      <c r="ES429">
        <f ca="1"/>
      </c>
      <c r="ET429">
        <f ca="1"/>
      </c>
      <c r="EU429">
        <f ca="1"/>
      </c>
      <c r="EV429">
        <f ca="1"/>
      </c>
      <c r="EW429">
        <f ca="1"/>
      </c>
      <c r="EX429">
        <f ca="1"/>
      </c>
      <c r="EY429">
        <f ca="1"/>
      </c>
      <c r="EZ429">
        <f ca="1"/>
      </c>
      <c r="FA429">
        <f ca="1"/>
      </c>
      <c r="FC429">
        <f ca="1"/>
      </c>
      <c r="FD429">
        <f ca="1"/>
      </c>
      <c r="FE429">
        <f ca="1"/>
      </c>
      <c r="FF429">
        <f ca="1"/>
      </c>
      <c r="FG429">
        <f ca="1"/>
      </c>
      <c r="FH429">
        <f ca="1"/>
      </c>
      <c r="FI429">
        <f ca="1"/>
      </c>
      <c r="FJ429">
        <f ca="1"/>
      </c>
      <c r="FK429">
        <f ca="1"/>
      </c>
      <c r="FL429">
        <f ca="1"/>
      </c>
      <c r="FM429">
        <f ca="1"/>
      </c>
      <c r="FN429">
        <f ca="1"/>
      </c>
      <c r="FO429">
        <f ca="1"/>
      </c>
      <c r="FP429">
        <f ca="1"/>
      </c>
      <c r="FQ429">
        <f ca="1"/>
      </c>
      <c r="FR429">
        <f ca="1"/>
      </c>
      <c r="FS429">
        <f ca="1"/>
      </c>
      <c r="FT429">
        <f ca="1"/>
      </c>
      <c r="FU429">
        <f ca="1"/>
      </c>
      <c r="FV429">
        <f ca="1"/>
      </c>
      <c r="FW429">
        <f ca="1"/>
      </c>
      <c r="FX429">
        <f ca="1"/>
      </c>
      <c r="FY429">
        <f ca="1"/>
      </c>
      <c r="FZ429">
        <f ca="1"/>
      </c>
      <c r="GA429">
        <f ca="1"/>
      </c>
      <c r="GB429">
        <f ca="1"/>
      </c>
      <c r="GC429">
        <f ca="1"/>
      </c>
      <c r="GD429">
        <f ca="1"/>
      </c>
      <c r="GE429">
        <f ca="1"/>
      </c>
      <c r="GF429">
        <f ca="1"/>
      </c>
      <c r="GG429">
        <f ca="1"/>
      </c>
      <c r="GH429">
        <f ca="1"/>
      </c>
      <c r="GI429">
        <f ca="1"/>
      </c>
      <c r="GJ429">
        <f ca="1"/>
      </c>
      <c r="GK429">
        <f ca="1"/>
      </c>
      <c r="GL429">
        <f ca="1"/>
      </c>
      <c r="GM429">
        <f ca="1"/>
      </c>
      <c r="GN429">
        <f ca="1"/>
      </c>
      <c r="GO429">
        <f ca="1"/>
      </c>
      <c r="GP429">
        <f ca="1"/>
      </c>
      <c r="GQ429">
        <f ca="1"/>
      </c>
      <c r="GR429">
        <f ca="1"/>
      </c>
      <c r="GS429">
        <f ca="1"/>
      </c>
      <c r="GT429">
        <f ca="1"/>
      </c>
      <c r="GU429">
        <f ca="1"/>
      </c>
      <c r="GV429">
        <f ca="1"/>
      </c>
      <c r="GW429">
        <f ca="1"/>
      </c>
      <c r="HI429" s="7"/>
    </row>
    <row r="430" spans="63:217" x14ac:dyDescent="0.55000000000000004">
      <c r="BK430">
        <f ca="1"/>
      </c>
      <c r="BL430">
        <f ca="1"/>
      </c>
      <c r="BM430">
        <f ca="1"/>
      </c>
      <c r="BN430">
        <f ca="1"/>
      </c>
      <c r="BO430">
        <f ca="1"/>
      </c>
      <c r="BP430">
        <f ca="1"/>
      </c>
      <c r="BQ430">
        <f ca="1"/>
      </c>
      <c r="BR430">
        <f ca="1"/>
      </c>
      <c r="BS430">
        <f ca="1"/>
      </c>
      <c r="BT430">
        <f ca="1"/>
      </c>
      <c r="BU430">
        <f ca="1"/>
      </c>
      <c r="BV430">
        <f ca="1"/>
      </c>
      <c r="BW430">
        <f ca="1"/>
      </c>
      <c r="BX430">
        <f ca="1"/>
      </c>
      <c r="BY430">
        <f ca="1"/>
      </c>
      <c r="BZ430">
        <f ca="1"/>
      </c>
      <c r="CA430">
        <f ca="1"/>
      </c>
      <c r="CB430">
        <f ca="1"/>
      </c>
      <c r="CC430">
        <f ca="1"/>
      </c>
      <c r="CD430">
        <f ca="1"/>
      </c>
      <c r="CE430">
        <f ca="1"/>
      </c>
      <c r="CF430">
        <f ca="1"/>
      </c>
      <c r="CG430">
        <f ca="1"/>
      </c>
      <c r="CH430">
        <f ca="1"/>
      </c>
      <c r="CI430">
        <f ca="1"/>
      </c>
      <c r="CJ430">
        <f ca="1"/>
      </c>
      <c r="CK430">
        <f ca="1"/>
      </c>
      <c r="CL430">
        <f ca="1"/>
      </c>
      <c r="CM430">
        <f ca="1"/>
      </c>
      <c r="CN430">
        <f ca="1"/>
      </c>
      <c r="CO430">
        <f ca="1"/>
      </c>
      <c r="CP430">
        <f ca="1"/>
      </c>
      <c r="CQ430">
        <f ca="1"/>
      </c>
      <c r="CR430">
        <f ca="1"/>
      </c>
      <c r="CS430">
        <f ca="1"/>
      </c>
      <c r="CT430">
        <f ca="1"/>
      </c>
      <c r="CU430">
        <f ca="1"/>
      </c>
      <c r="CV430">
        <f ca="1"/>
      </c>
      <c r="CW430">
        <f ca="1"/>
      </c>
      <c r="CX430">
        <f ca="1"/>
      </c>
      <c r="CY430">
        <f ca="1"/>
      </c>
      <c r="CZ430">
        <f ca="1"/>
      </c>
      <c r="DA430">
        <f ca="1"/>
      </c>
      <c r="DB430">
        <f ca="1"/>
      </c>
      <c r="DC430">
        <f ca="1"/>
      </c>
      <c r="DD430">
        <f ca="1"/>
      </c>
      <c r="DE430">
        <f ca="1"/>
      </c>
      <c r="DG430">
        <f ca="1"/>
      </c>
      <c r="DH430">
        <f ca="1"/>
      </c>
      <c r="DI430">
        <f ca="1"/>
      </c>
      <c r="DJ430">
        <f ca="1"/>
      </c>
      <c r="DK430">
        <f ca="1"/>
      </c>
      <c r="DL430">
        <f ca="1"/>
      </c>
      <c r="DM430">
        <f ca="1"/>
      </c>
      <c r="DN430">
        <f ca="1"/>
      </c>
      <c r="DO430">
        <f ca="1"/>
      </c>
      <c r="DP430">
        <f ca="1"/>
      </c>
      <c r="DQ430">
        <f ca="1"/>
      </c>
      <c r="DR430">
        <f ca="1"/>
      </c>
      <c r="DS430">
        <f ca="1"/>
      </c>
      <c r="DT430">
        <f ca="1"/>
      </c>
      <c r="DU430">
        <f ca="1"/>
      </c>
      <c r="DV430">
        <f ca="1"/>
      </c>
      <c r="DW430">
        <f ca="1"/>
      </c>
      <c r="DX430">
        <f ca="1"/>
      </c>
      <c r="DY430">
        <f ca="1"/>
      </c>
      <c r="DZ430">
        <f ca="1"/>
      </c>
      <c r="EA430">
        <f ca="1"/>
      </c>
      <c r="EB430">
        <f ca="1"/>
      </c>
      <c r="EC430">
        <f ca="1"/>
      </c>
      <c r="ED430">
        <f ca="1"/>
      </c>
      <c r="EE430">
        <f ca="1"/>
      </c>
      <c r="EF430">
        <f ca="1"/>
      </c>
      <c r="EG430">
        <f ca="1"/>
      </c>
      <c r="EH430">
        <f ca="1"/>
      </c>
      <c r="EI430">
        <f ca="1"/>
      </c>
      <c r="EJ430">
        <f ca="1"/>
      </c>
      <c r="EK430">
        <f ca="1"/>
      </c>
      <c r="EL430">
        <f ca="1"/>
      </c>
      <c r="EM430">
        <f ca="1"/>
      </c>
      <c r="EN430">
        <f ca="1"/>
      </c>
      <c r="EO430">
        <f ca="1"/>
      </c>
      <c r="EP430">
        <f ca="1"/>
      </c>
      <c r="EQ430">
        <f ca="1"/>
      </c>
      <c r="ER430">
        <f ca="1"/>
      </c>
      <c r="ES430">
        <f ca="1"/>
      </c>
      <c r="ET430">
        <f ca="1"/>
      </c>
      <c r="EU430">
        <f ca="1"/>
      </c>
      <c r="EV430">
        <f ca="1"/>
      </c>
      <c r="EW430">
        <f ca="1"/>
      </c>
      <c r="EX430">
        <f ca="1"/>
      </c>
      <c r="EY430">
        <f ca="1"/>
      </c>
      <c r="EZ430">
        <f ca="1"/>
      </c>
      <c r="FA430">
        <f ca="1"/>
      </c>
      <c r="FC430">
        <f ca="1"/>
      </c>
      <c r="FD430">
        <f ca="1"/>
      </c>
      <c r="FE430">
        <f ca="1"/>
      </c>
      <c r="FF430">
        <f ca="1"/>
      </c>
      <c r="FG430">
        <f ca="1"/>
      </c>
      <c r="FH430">
        <f ca="1"/>
      </c>
      <c r="FI430">
        <f ca="1"/>
      </c>
      <c r="FJ430">
        <f ca="1"/>
      </c>
      <c r="FK430">
        <f ca="1"/>
      </c>
      <c r="FL430">
        <f ca="1"/>
      </c>
      <c r="FM430">
        <f ca="1"/>
      </c>
      <c r="FN430">
        <f ca="1"/>
      </c>
      <c r="FO430">
        <f ca="1"/>
      </c>
      <c r="FP430">
        <f ca="1"/>
      </c>
      <c r="FQ430">
        <f ca="1"/>
      </c>
      <c r="FR430">
        <f ca="1"/>
      </c>
      <c r="FS430">
        <f ca="1"/>
      </c>
      <c r="FT430">
        <f ca="1"/>
      </c>
      <c r="FU430">
        <f ca="1"/>
      </c>
      <c r="FV430">
        <f ca="1"/>
      </c>
      <c r="FW430">
        <f ca="1"/>
      </c>
      <c r="FX430">
        <f ca="1"/>
      </c>
      <c r="FY430">
        <f ca="1"/>
      </c>
      <c r="FZ430">
        <f ca="1"/>
      </c>
      <c r="GA430">
        <f ca="1"/>
      </c>
      <c r="GB430">
        <f ca="1"/>
      </c>
      <c r="GC430">
        <f ca="1"/>
      </c>
      <c r="GD430">
        <f ca="1"/>
      </c>
      <c r="GE430">
        <f ca="1"/>
      </c>
      <c r="GF430">
        <f ca="1"/>
      </c>
      <c r="GG430">
        <f ca="1"/>
      </c>
      <c r="GH430">
        <f ca="1"/>
      </c>
      <c r="GI430">
        <f ca="1"/>
      </c>
      <c r="GJ430">
        <f ca="1"/>
      </c>
      <c r="GK430">
        <f ca="1"/>
      </c>
      <c r="GL430">
        <f ca="1"/>
      </c>
      <c r="GM430">
        <f ca="1"/>
      </c>
      <c r="GN430">
        <f ca="1"/>
      </c>
      <c r="GO430">
        <f ca="1"/>
      </c>
      <c r="GP430">
        <f ca="1"/>
      </c>
      <c r="GQ430">
        <f ca="1"/>
      </c>
      <c r="GR430">
        <f ca="1"/>
      </c>
      <c r="GS430">
        <f ca="1"/>
      </c>
      <c r="GT430">
        <f ca="1"/>
      </c>
      <c r="GU430">
        <f ca="1"/>
      </c>
      <c r="GV430">
        <f ca="1"/>
      </c>
      <c r="GW430">
        <f ca="1"/>
      </c>
      <c r="HI430" s="7"/>
    </row>
    <row r="431" spans="63:217" x14ac:dyDescent="0.55000000000000004">
      <c r="BK431">
        <f ca="1"/>
      </c>
      <c r="BL431">
        <f ca="1"/>
      </c>
      <c r="BM431">
        <f ca="1"/>
      </c>
      <c r="BN431">
        <f ca="1"/>
      </c>
      <c r="BO431">
        <f ca="1"/>
      </c>
      <c r="BP431">
        <f ca="1"/>
      </c>
      <c r="BQ431">
        <f ca="1"/>
      </c>
      <c r="BR431">
        <f ca="1"/>
      </c>
      <c r="BS431">
        <f ca="1"/>
      </c>
      <c r="BT431">
        <f ca="1"/>
      </c>
      <c r="BU431">
        <f ca="1"/>
      </c>
      <c r="BV431">
        <f ca="1"/>
      </c>
      <c r="BW431">
        <f ca="1"/>
      </c>
      <c r="BX431">
        <f ca="1"/>
      </c>
      <c r="BY431">
        <f ca="1"/>
      </c>
      <c r="BZ431">
        <f ca="1"/>
      </c>
      <c r="CA431">
        <f ca="1"/>
      </c>
      <c r="CB431">
        <f ca="1"/>
      </c>
      <c r="CC431">
        <f ca="1"/>
      </c>
      <c r="CD431">
        <f ca="1"/>
      </c>
      <c r="CE431">
        <f ca="1"/>
      </c>
      <c r="CF431">
        <f ca="1"/>
      </c>
      <c r="CG431">
        <f ca="1"/>
      </c>
      <c r="CH431">
        <f ca="1"/>
      </c>
      <c r="CI431">
        <f ca="1"/>
      </c>
      <c r="CJ431">
        <f ca="1"/>
      </c>
      <c r="CK431">
        <f ca="1"/>
      </c>
      <c r="CL431">
        <f ca="1"/>
      </c>
      <c r="CM431">
        <f ca="1"/>
      </c>
      <c r="CN431">
        <f ca="1"/>
      </c>
      <c r="CO431">
        <f ca="1"/>
      </c>
      <c r="CP431">
        <f ca="1"/>
      </c>
      <c r="CQ431">
        <f ca="1"/>
      </c>
      <c r="CR431">
        <f ca="1"/>
      </c>
      <c r="CS431">
        <f ca="1"/>
      </c>
      <c r="CT431">
        <f ca="1"/>
      </c>
      <c r="CU431">
        <f ca="1"/>
      </c>
      <c r="CV431">
        <f ca="1"/>
      </c>
      <c r="CW431">
        <f ca="1"/>
      </c>
      <c r="CX431">
        <f ca="1"/>
      </c>
      <c r="CY431">
        <f ca="1"/>
      </c>
      <c r="CZ431">
        <f ca="1"/>
      </c>
      <c r="DA431">
        <f ca="1"/>
      </c>
      <c r="DB431">
        <f ca="1"/>
      </c>
      <c r="DC431">
        <f ca="1"/>
      </c>
      <c r="DD431">
        <f ca="1"/>
      </c>
      <c r="DE431">
        <f ca="1"/>
      </c>
      <c r="DG431">
        <f ca="1"/>
      </c>
      <c r="DH431">
        <f ca="1"/>
      </c>
      <c r="DI431">
        <f ca="1"/>
      </c>
      <c r="DJ431">
        <f ca="1"/>
      </c>
      <c r="DK431">
        <f ca="1"/>
      </c>
      <c r="DL431">
        <f ca="1"/>
      </c>
      <c r="DM431">
        <f ca="1"/>
      </c>
      <c r="DN431">
        <f ca="1"/>
      </c>
      <c r="DO431">
        <f ca="1"/>
      </c>
      <c r="DP431">
        <f ca="1"/>
      </c>
      <c r="DQ431">
        <f ca="1"/>
      </c>
      <c r="DR431">
        <f ca="1"/>
      </c>
      <c r="DS431">
        <f ca="1"/>
      </c>
      <c r="DT431">
        <f ca="1"/>
      </c>
      <c r="DU431">
        <f ca="1"/>
      </c>
      <c r="DV431">
        <f ca="1"/>
      </c>
      <c r="DW431">
        <f ca="1"/>
      </c>
      <c r="DX431">
        <f ca="1"/>
      </c>
      <c r="DY431">
        <f ca="1"/>
      </c>
      <c r="DZ431">
        <f ca="1"/>
      </c>
      <c r="EA431">
        <f ca="1"/>
      </c>
      <c r="EB431">
        <f ca="1"/>
      </c>
      <c r="EC431">
        <f ca="1"/>
      </c>
      <c r="ED431">
        <f ca="1"/>
      </c>
      <c r="EE431">
        <f ca="1"/>
      </c>
      <c r="EF431">
        <f ca="1"/>
      </c>
      <c r="EG431">
        <f ca="1"/>
      </c>
      <c r="EH431">
        <f ca="1"/>
      </c>
      <c r="EI431">
        <f ca="1"/>
      </c>
      <c r="EJ431">
        <f ca="1"/>
      </c>
      <c r="EK431">
        <f ca="1"/>
      </c>
      <c r="EL431">
        <f ca="1"/>
      </c>
      <c r="EM431">
        <f ca="1"/>
      </c>
      <c r="EN431">
        <f ca="1"/>
      </c>
      <c r="EO431">
        <f ca="1"/>
      </c>
      <c r="EP431">
        <f ca="1"/>
      </c>
      <c r="EQ431">
        <f ca="1"/>
      </c>
      <c r="ER431">
        <f ca="1"/>
      </c>
      <c r="ES431">
        <f ca="1"/>
      </c>
      <c r="ET431">
        <f ca="1"/>
      </c>
      <c r="EU431">
        <f ca="1"/>
      </c>
      <c r="EV431">
        <f ca="1"/>
      </c>
      <c r="EW431">
        <f ca="1"/>
      </c>
      <c r="EX431">
        <f ca="1"/>
      </c>
      <c r="EY431">
        <f ca="1"/>
      </c>
      <c r="EZ431">
        <f ca="1"/>
      </c>
      <c r="FA431">
        <f ca="1"/>
      </c>
      <c r="FC431">
        <f ca="1"/>
      </c>
      <c r="FD431">
        <f ca="1"/>
      </c>
      <c r="FE431">
        <f ca="1"/>
      </c>
      <c r="FF431">
        <f ca="1"/>
      </c>
      <c r="FG431">
        <f ca="1"/>
      </c>
      <c r="FH431">
        <f ca="1"/>
      </c>
      <c r="FI431">
        <f ca="1"/>
      </c>
      <c r="FJ431">
        <f ca="1"/>
      </c>
      <c r="FK431">
        <f ca="1"/>
      </c>
      <c r="FL431">
        <f ca="1"/>
      </c>
      <c r="FM431">
        <f ca="1"/>
      </c>
      <c r="FN431">
        <f ca="1"/>
      </c>
      <c r="FO431">
        <f ca="1"/>
      </c>
      <c r="FP431">
        <f ca="1"/>
      </c>
      <c r="FQ431">
        <f ca="1"/>
      </c>
      <c r="FR431">
        <f ca="1"/>
      </c>
      <c r="FS431">
        <f ca="1"/>
      </c>
      <c r="FT431">
        <f ca="1"/>
      </c>
      <c r="FU431">
        <f ca="1"/>
      </c>
      <c r="FV431">
        <f ca="1"/>
      </c>
      <c r="FW431">
        <f ca="1"/>
      </c>
      <c r="FX431">
        <f ca="1"/>
      </c>
      <c r="FY431">
        <f ca="1"/>
      </c>
      <c r="FZ431">
        <f ca="1"/>
      </c>
      <c r="GA431">
        <f ca="1"/>
      </c>
      <c r="GB431">
        <f ca="1"/>
      </c>
      <c r="GC431">
        <f ca="1"/>
      </c>
      <c r="GD431">
        <f ca="1"/>
      </c>
      <c r="GE431">
        <f ca="1"/>
      </c>
      <c r="GF431">
        <f ca="1"/>
      </c>
      <c r="GG431">
        <f ca="1"/>
      </c>
      <c r="GH431">
        <f ca="1"/>
      </c>
      <c r="GI431">
        <f ca="1"/>
      </c>
      <c r="GJ431">
        <f ca="1"/>
      </c>
      <c r="GK431">
        <f ca="1"/>
      </c>
      <c r="GL431">
        <f ca="1"/>
      </c>
      <c r="GM431">
        <f ca="1"/>
      </c>
      <c r="GN431">
        <f ca="1"/>
      </c>
      <c r="GO431">
        <f ca="1"/>
      </c>
      <c r="GP431">
        <f ca="1"/>
      </c>
      <c r="GQ431">
        <f ca="1"/>
      </c>
      <c r="GR431">
        <f ca="1"/>
      </c>
      <c r="GS431">
        <f ca="1"/>
      </c>
      <c r="GT431">
        <f ca="1"/>
      </c>
      <c r="GU431">
        <f ca="1"/>
      </c>
      <c r="GV431">
        <f ca="1"/>
      </c>
      <c r="GW431">
        <f ca="1"/>
      </c>
      <c r="HI431" s="7"/>
    </row>
    <row r="432" spans="63:217" x14ac:dyDescent="0.55000000000000004">
      <c r="BK432">
        <f ca="1"/>
      </c>
      <c r="BL432">
        <f ca="1"/>
      </c>
      <c r="BM432">
        <f ca="1"/>
      </c>
      <c r="BN432">
        <f ca="1"/>
      </c>
      <c r="BO432">
        <f ca="1"/>
      </c>
      <c r="BP432">
        <f ca="1"/>
      </c>
      <c r="BQ432">
        <f ca="1"/>
      </c>
      <c r="BR432">
        <f ca="1"/>
      </c>
      <c r="BS432">
        <f ca="1"/>
      </c>
      <c r="BT432">
        <f ca="1"/>
      </c>
      <c r="BU432">
        <f ca="1"/>
      </c>
      <c r="BV432">
        <f ca="1"/>
      </c>
      <c r="BW432">
        <f ca="1"/>
      </c>
      <c r="BX432">
        <f ca="1"/>
      </c>
      <c r="BY432">
        <f ca="1"/>
      </c>
      <c r="BZ432">
        <f ca="1"/>
      </c>
      <c r="CA432">
        <f ca="1"/>
      </c>
      <c r="CB432">
        <f ca="1"/>
      </c>
      <c r="CC432">
        <f ca="1"/>
      </c>
      <c r="CD432">
        <f ca="1"/>
      </c>
      <c r="CE432">
        <f ca="1"/>
      </c>
      <c r="CF432">
        <f ca="1"/>
      </c>
      <c r="CG432">
        <f ca="1"/>
      </c>
      <c r="CH432">
        <f ca="1"/>
      </c>
      <c r="CI432">
        <f ca="1"/>
      </c>
      <c r="CJ432">
        <f ca="1"/>
      </c>
      <c r="CK432">
        <f ca="1"/>
      </c>
      <c r="CL432">
        <f ca="1"/>
      </c>
      <c r="CM432">
        <f ca="1"/>
      </c>
      <c r="CN432">
        <f ca="1"/>
      </c>
      <c r="CO432">
        <f ca="1"/>
      </c>
      <c r="CP432">
        <f ca="1"/>
      </c>
      <c r="CQ432">
        <f ca="1"/>
      </c>
      <c r="CR432">
        <f ca="1"/>
      </c>
      <c r="CS432">
        <f ca="1"/>
      </c>
      <c r="CT432">
        <f ca="1"/>
      </c>
      <c r="CU432">
        <f ca="1"/>
      </c>
      <c r="CV432">
        <f ca="1"/>
      </c>
      <c r="CW432">
        <f ca="1"/>
      </c>
      <c r="CX432">
        <f ca="1"/>
      </c>
      <c r="CY432">
        <f ca="1"/>
      </c>
      <c r="CZ432">
        <f ca="1"/>
      </c>
      <c r="DA432">
        <f ca="1"/>
      </c>
      <c r="DB432">
        <f ca="1"/>
      </c>
      <c r="DC432">
        <f ca="1"/>
      </c>
      <c r="DD432">
        <f ca="1"/>
      </c>
      <c r="DE432">
        <f ca="1"/>
      </c>
      <c r="DG432">
        <f ca="1"/>
      </c>
      <c r="DH432">
        <f ca="1"/>
      </c>
      <c r="DI432">
        <f ca="1"/>
      </c>
      <c r="DJ432">
        <f ca="1"/>
      </c>
      <c r="DK432">
        <f ca="1"/>
      </c>
      <c r="DL432">
        <f ca="1"/>
      </c>
      <c r="DM432">
        <f ca="1"/>
      </c>
      <c r="DN432">
        <f ca="1"/>
      </c>
      <c r="DO432">
        <f ca="1"/>
      </c>
      <c r="DP432">
        <f ca="1"/>
      </c>
      <c r="DQ432">
        <f ca="1"/>
      </c>
      <c r="DR432">
        <f ca="1"/>
      </c>
      <c r="DS432">
        <f ca="1"/>
      </c>
      <c r="DT432">
        <f ca="1"/>
      </c>
      <c r="DU432">
        <f ca="1"/>
      </c>
      <c r="DV432">
        <f ca="1"/>
      </c>
      <c r="DW432">
        <f ca="1"/>
      </c>
      <c r="DX432">
        <f ca="1"/>
      </c>
      <c r="DY432">
        <f ca="1"/>
      </c>
      <c r="DZ432">
        <f ca="1"/>
      </c>
      <c r="EA432">
        <f ca="1"/>
      </c>
      <c r="EB432">
        <f ca="1"/>
      </c>
      <c r="EC432">
        <f ca="1"/>
      </c>
      <c r="ED432">
        <f ca="1"/>
      </c>
      <c r="EE432">
        <f ca="1"/>
      </c>
      <c r="EF432">
        <f ca="1"/>
      </c>
      <c r="EG432">
        <f ca="1"/>
      </c>
      <c r="EH432">
        <f ca="1"/>
      </c>
      <c r="EI432">
        <f ca="1"/>
      </c>
      <c r="EJ432">
        <f ca="1"/>
      </c>
      <c r="EK432">
        <f ca="1"/>
      </c>
      <c r="EL432">
        <f ca="1"/>
      </c>
      <c r="EM432">
        <f ca="1"/>
      </c>
      <c r="EN432">
        <f ca="1"/>
      </c>
      <c r="EO432">
        <f ca="1"/>
      </c>
      <c r="EP432">
        <f ca="1"/>
      </c>
      <c r="EQ432">
        <f ca="1"/>
      </c>
      <c r="ER432">
        <f ca="1"/>
      </c>
      <c r="ES432">
        <f ca="1"/>
      </c>
      <c r="ET432">
        <f ca="1"/>
      </c>
      <c r="EU432">
        <f ca="1"/>
      </c>
      <c r="EV432">
        <f ca="1"/>
      </c>
      <c r="EW432">
        <f ca="1"/>
      </c>
      <c r="EX432">
        <f ca="1"/>
      </c>
      <c r="EY432">
        <f ca="1"/>
      </c>
      <c r="EZ432">
        <f ca="1"/>
      </c>
      <c r="FA432">
        <f ca="1"/>
      </c>
      <c r="FC432">
        <f ca="1"/>
      </c>
      <c r="FD432">
        <f ca="1"/>
      </c>
      <c r="FE432">
        <f ca="1"/>
      </c>
      <c r="FF432">
        <f ca="1"/>
      </c>
      <c r="FG432">
        <f ca="1"/>
      </c>
      <c r="FH432">
        <f ca="1"/>
      </c>
      <c r="FI432">
        <f ca="1"/>
      </c>
      <c r="FJ432">
        <f ca="1"/>
      </c>
      <c r="FK432">
        <f ca="1"/>
      </c>
      <c r="FL432">
        <f ca="1"/>
      </c>
      <c r="FM432">
        <f ca="1"/>
      </c>
      <c r="FN432">
        <f ca="1"/>
      </c>
      <c r="FO432">
        <f ca="1"/>
      </c>
      <c r="FP432">
        <f ca="1"/>
      </c>
      <c r="FQ432">
        <f ca="1"/>
      </c>
      <c r="FR432">
        <f ca="1"/>
      </c>
      <c r="FS432">
        <f ca="1"/>
      </c>
      <c r="FT432">
        <f ca="1"/>
      </c>
      <c r="FU432">
        <f ca="1"/>
      </c>
      <c r="FV432">
        <f ca="1"/>
      </c>
      <c r="FW432">
        <f ca="1"/>
      </c>
      <c r="FX432">
        <f ca="1"/>
      </c>
      <c r="FY432">
        <f ca="1"/>
      </c>
      <c r="FZ432">
        <f ca="1"/>
      </c>
      <c r="GA432">
        <f ca="1"/>
      </c>
      <c r="GB432">
        <f ca="1"/>
      </c>
      <c r="GC432">
        <f ca="1"/>
      </c>
      <c r="GD432">
        <f ca="1"/>
      </c>
      <c r="GE432">
        <f ca="1"/>
      </c>
      <c r="GF432">
        <f ca="1"/>
      </c>
      <c r="GG432">
        <f ca="1"/>
      </c>
      <c r="GH432">
        <f ca="1"/>
      </c>
      <c r="GI432">
        <f ca="1"/>
      </c>
      <c r="GJ432">
        <f ca="1"/>
      </c>
      <c r="GK432">
        <f ca="1"/>
      </c>
      <c r="GL432">
        <f ca="1"/>
      </c>
      <c r="GM432">
        <f ca="1"/>
      </c>
      <c r="GN432">
        <f ca="1"/>
      </c>
      <c r="GO432">
        <f ca="1"/>
      </c>
      <c r="GP432">
        <f ca="1"/>
      </c>
      <c r="GQ432">
        <f ca="1"/>
      </c>
      <c r="GR432">
        <f ca="1"/>
      </c>
      <c r="GS432">
        <f ca="1"/>
      </c>
      <c r="GT432">
        <f ca="1"/>
      </c>
      <c r="GU432">
        <f ca="1"/>
      </c>
      <c r="GV432">
        <f ca="1"/>
      </c>
      <c r="GW432">
        <f ca="1"/>
      </c>
      <c r="HI432" s="7"/>
    </row>
    <row r="433" spans="63:217" x14ac:dyDescent="0.55000000000000004">
      <c r="BK433">
        <f ca="1"/>
      </c>
      <c r="BL433">
        <f ca="1"/>
      </c>
      <c r="BM433">
        <f ca="1"/>
      </c>
      <c r="BN433">
        <f ca="1"/>
      </c>
      <c r="BO433">
        <f ca="1"/>
      </c>
      <c r="BP433">
        <f ca="1"/>
      </c>
      <c r="BQ433">
        <f ca="1"/>
      </c>
      <c r="BR433">
        <f ca="1"/>
      </c>
      <c r="BS433">
        <f ca="1"/>
      </c>
      <c r="BT433">
        <f ca="1"/>
      </c>
      <c r="BU433">
        <f ca="1"/>
      </c>
      <c r="BV433">
        <f ca="1"/>
      </c>
      <c r="BW433">
        <f ca="1"/>
      </c>
      <c r="BX433">
        <f ca="1"/>
      </c>
      <c r="BY433">
        <f ca="1"/>
      </c>
      <c r="BZ433">
        <f ca="1"/>
      </c>
      <c r="CA433">
        <f ca="1"/>
      </c>
      <c r="CB433">
        <f ca="1"/>
      </c>
      <c r="CC433">
        <f ca="1"/>
      </c>
      <c r="CD433">
        <f ca="1"/>
      </c>
      <c r="CE433">
        <f ca="1"/>
      </c>
      <c r="CF433">
        <f ca="1"/>
      </c>
      <c r="CG433">
        <f ca="1"/>
      </c>
      <c r="CH433">
        <f ca="1"/>
      </c>
      <c r="CI433">
        <f ca="1"/>
      </c>
      <c r="CJ433">
        <f ca="1"/>
      </c>
      <c r="CK433">
        <f ca="1"/>
      </c>
      <c r="CL433">
        <f ca="1"/>
      </c>
      <c r="CM433">
        <f ca="1"/>
      </c>
      <c r="CN433">
        <f ca="1"/>
      </c>
      <c r="CO433">
        <f ca="1"/>
      </c>
      <c r="CP433">
        <f ca="1"/>
      </c>
      <c r="CQ433">
        <f ca="1"/>
      </c>
      <c r="CR433">
        <f ca="1"/>
      </c>
      <c r="CS433">
        <f ca="1"/>
      </c>
      <c r="CT433">
        <f ca="1"/>
      </c>
      <c r="CU433">
        <f ca="1"/>
      </c>
      <c r="CV433">
        <f ca="1"/>
      </c>
      <c r="CW433">
        <f ca="1"/>
      </c>
      <c r="CX433">
        <f ca="1"/>
      </c>
      <c r="CY433">
        <f ca="1"/>
      </c>
      <c r="CZ433">
        <f ca="1"/>
      </c>
      <c r="DA433">
        <f ca="1"/>
      </c>
      <c r="DB433">
        <f ca="1"/>
      </c>
      <c r="DC433">
        <f ca="1"/>
      </c>
      <c r="DD433">
        <f ca="1"/>
      </c>
      <c r="DE433">
        <f ca="1"/>
      </c>
      <c r="DG433">
        <f ca="1"/>
      </c>
      <c r="DH433">
        <f ca="1"/>
      </c>
      <c r="DI433">
        <f ca="1"/>
      </c>
      <c r="DJ433">
        <f ca="1"/>
      </c>
      <c r="DK433">
        <f ca="1"/>
      </c>
      <c r="DL433">
        <f ca="1"/>
      </c>
      <c r="DM433">
        <f ca="1"/>
      </c>
      <c r="DN433">
        <f ca="1"/>
      </c>
      <c r="DO433">
        <f ca="1"/>
      </c>
      <c r="DP433">
        <f ca="1"/>
      </c>
      <c r="DQ433">
        <f ca="1"/>
      </c>
      <c r="DR433">
        <f ca="1"/>
      </c>
      <c r="DS433">
        <f ca="1"/>
      </c>
      <c r="DT433">
        <f ca="1"/>
      </c>
      <c r="DU433">
        <f ca="1"/>
      </c>
      <c r="DV433">
        <f ca="1"/>
      </c>
      <c r="DW433">
        <f ca="1"/>
      </c>
      <c r="DX433">
        <f ca="1"/>
      </c>
      <c r="DY433">
        <f ca="1"/>
      </c>
      <c r="DZ433">
        <f ca="1"/>
      </c>
      <c r="EA433">
        <f ca="1"/>
      </c>
      <c r="EB433">
        <f ca="1"/>
      </c>
      <c r="EC433">
        <f ca="1"/>
      </c>
      <c r="ED433">
        <f ca="1"/>
      </c>
      <c r="EE433">
        <f ca="1"/>
      </c>
      <c r="EF433">
        <f ca="1"/>
      </c>
      <c r="EG433">
        <f ca="1"/>
      </c>
      <c r="EH433">
        <f ca="1"/>
      </c>
      <c r="EI433">
        <f ca="1"/>
      </c>
      <c r="EJ433">
        <f ca="1"/>
      </c>
      <c r="EK433">
        <f ca="1"/>
      </c>
      <c r="EL433">
        <f ca="1"/>
      </c>
      <c r="EM433">
        <f ca="1"/>
      </c>
      <c r="EN433">
        <f ca="1"/>
      </c>
      <c r="EO433">
        <f ca="1"/>
      </c>
      <c r="EP433">
        <f ca="1"/>
      </c>
      <c r="EQ433">
        <f ca="1"/>
      </c>
      <c r="ER433">
        <f ca="1"/>
      </c>
      <c r="ES433">
        <f ca="1"/>
      </c>
      <c r="ET433">
        <f ca="1"/>
      </c>
      <c r="EU433">
        <f ca="1"/>
      </c>
      <c r="EV433">
        <f ca="1"/>
      </c>
      <c r="EW433">
        <f ca="1"/>
      </c>
      <c r="EX433">
        <f ca="1"/>
      </c>
      <c r="EY433">
        <f ca="1"/>
      </c>
      <c r="EZ433">
        <f ca="1"/>
      </c>
      <c r="FA433">
        <f ca="1"/>
      </c>
      <c r="FC433">
        <f ca="1"/>
      </c>
      <c r="FD433">
        <f ca="1"/>
      </c>
      <c r="FE433">
        <f ca="1"/>
      </c>
      <c r="FF433">
        <f ca="1"/>
      </c>
      <c r="FG433">
        <f ca="1"/>
      </c>
      <c r="FH433">
        <f ca="1"/>
      </c>
      <c r="FI433">
        <f ca="1"/>
      </c>
      <c r="FJ433">
        <f ca="1"/>
      </c>
      <c r="FK433">
        <f ca="1"/>
      </c>
      <c r="FL433">
        <f ca="1"/>
      </c>
      <c r="FM433">
        <f ca="1"/>
      </c>
      <c r="FN433">
        <f ca="1"/>
      </c>
      <c r="FO433">
        <f ca="1"/>
      </c>
      <c r="FP433">
        <f ca="1"/>
      </c>
      <c r="FQ433">
        <f ca="1"/>
      </c>
      <c r="FR433">
        <f ca="1"/>
      </c>
      <c r="FS433">
        <f ca="1"/>
      </c>
      <c r="FT433">
        <f ca="1"/>
      </c>
      <c r="FU433">
        <f ca="1"/>
      </c>
      <c r="FV433">
        <f ca="1"/>
      </c>
      <c r="FW433">
        <f ca="1"/>
      </c>
      <c r="FX433">
        <f ca="1"/>
      </c>
      <c r="FY433">
        <f ca="1"/>
      </c>
      <c r="FZ433">
        <f ca="1"/>
      </c>
      <c r="GA433">
        <f ca="1"/>
      </c>
      <c r="GB433">
        <f ca="1"/>
      </c>
      <c r="GC433">
        <f ca="1"/>
      </c>
      <c r="GD433">
        <f ca="1"/>
      </c>
      <c r="GE433">
        <f ca="1"/>
      </c>
      <c r="GF433">
        <f ca="1"/>
      </c>
      <c r="GG433">
        <f ca="1"/>
      </c>
      <c r="GH433">
        <f ca="1"/>
      </c>
      <c r="GI433">
        <f ca="1"/>
      </c>
      <c r="GJ433">
        <f ca="1"/>
      </c>
      <c r="GK433">
        <f ca="1"/>
      </c>
      <c r="GL433">
        <f ca="1"/>
      </c>
      <c r="GM433">
        <f ca="1"/>
      </c>
      <c r="GN433">
        <f ca="1"/>
      </c>
      <c r="GO433">
        <f ca="1"/>
      </c>
      <c r="GP433">
        <f ca="1"/>
      </c>
      <c r="GQ433">
        <f ca="1"/>
      </c>
      <c r="GR433">
        <f ca="1"/>
      </c>
      <c r="GS433">
        <f ca="1"/>
      </c>
      <c r="GT433">
        <f ca="1"/>
      </c>
      <c r="GU433">
        <f ca="1"/>
      </c>
      <c r="GV433">
        <f ca="1"/>
      </c>
      <c r="GW433">
        <f ca="1"/>
      </c>
      <c r="HI433" s="7"/>
    </row>
    <row r="434" spans="63:217" x14ac:dyDescent="0.55000000000000004">
      <c r="BK434">
        <f ca="1"/>
      </c>
      <c r="BL434">
        <f ca="1"/>
      </c>
      <c r="BM434">
        <f ca="1"/>
      </c>
      <c r="BN434">
        <f ca="1"/>
      </c>
      <c r="BO434">
        <f ca="1"/>
      </c>
      <c r="BP434">
        <f ca="1"/>
      </c>
      <c r="BQ434">
        <f ca="1"/>
      </c>
      <c r="BR434">
        <f ca="1"/>
      </c>
      <c r="BS434">
        <f ca="1"/>
      </c>
      <c r="BT434">
        <f ca="1"/>
      </c>
      <c r="BU434">
        <f ca="1"/>
      </c>
      <c r="BV434">
        <f ca="1"/>
      </c>
      <c r="BW434">
        <f ca="1"/>
      </c>
      <c r="BX434">
        <f ca="1"/>
      </c>
      <c r="BY434">
        <f ca="1"/>
      </c>
      <c r="BZ434">
        <f ca="1"/>
      </c>
      <c r="CA434">
        <f ca="1"/>
      </c>
      <c r="CB434">
        <f ca="1"/>
      </c>
      <c r="CC434">
        <f ca="1"/>
      </c>
      <c r="CD434">
        <f ca="1"/>
      </c>
      <c r="CE434">
        <f ca="1"/>
      </c>
      <c r="CF434">
        <f ca="1"/>
      </c>
      <c r="CG434">
        <f ca="1"/>
      </c>
      <c r="CH434">
        <f ca="1"/>
      </c>
      <c r="CI434">
        <f ca="1"/>
      </c>
      <c r="CJ434">
        <f ca="1"/>
      </c>
      <c r="CK434">
        <f ca="1"/>
      </c>
      <c r="CL434">
        <f ca="1"/>
      </c>
      <c r="CM434">
        <f ca="1"/>
      </c>
      <c r="CN434">
        <f ca="1"/>
      </c>
      <c r="CO434">
        <f ca="1"/>
      </c>
      <c r="CP434">
        <f ca="1"/>
      </c>
      <c r="CQ434">
        <f ca="1"/>
      </c>
      <c r="CR434">
        <f ca="1"/>
      </c>
      <c r="CS434">
        <f ca="1"/>
      </c>
      <c r="CT434">
        <f ca="1"/>
      </c>
      <c r="CU434">
        <f ca="1"/>
      </c>
      <c r="CV434">
        <f ca="1"/>
      </c>
      <c r="CW434">
        <f ca="1"/>
      </c>
      <c r="CX434">
        <f ca="1"/>
      </c>
      <c r="CY434">
        <f ca="1"/>
      </c>
      <c r="CZ434">
        <f ca="1"/>
      </c>
      <c r="DA434">
        <f ca="1"/>
      </c>
      <c r="DB434">
        <f ca="1"/>
      </c>
      <c r="DC434">
        <f ca="1"/>
      </c>
      <c r="DD434">
        <f ca="1"/>
      </c>
      <c r="DE434">
        <f ca="1"/>
      </c>
      <c r="DG434">
        <f ca="1"/>
      </c>
      <c r="DH434">
        <f ca="1"/>
      </c>
      <c r="DI434">
        <f ca="1"/>
      </c>
      <c r="DJ434">
        <f ca="1"/>
      </c>
      <c r="DK434">
        <f ca="1"/>
      </c>
      <c r="DL434">
        <f ca="1"/>
      </c>
      <c r="DM434">
        <f ca="1"/>
      </c>
      <c r="DN434">
        <f ca="1"/>
      </c>
      <c r="DO434">
        <f ca="1"/>
      </c>
      <c r="DP434">
        <f ca="1"/>
      </c>
      <c r="DQ434">
        <f ca="1"/>
      </c>
      <c r="DR434">
        <f ca="1"/>
      </c>
      <c r="DS434">
        <f ca="1"/>
      </c>
      <c r="DT434">
        <f ca="1"/>
      </c>
      <c r="DU434">
        <f ca="1"/>
      </c>
      <c r="DV434">
        <f ca="1"/>
      </c>
      <c r="DW434">
        <f ca="1"/>
      </c>
      <c r="DX434">
        <f ca="1"/>
      </c>
      <c r="DY434">
        <f ca="1"/>
      </c>
      <c r="DZ434">
        <f ca="1"/>
      </c>
      <c r="EA434">
        <f ca="1"/>
      </c>
      <c r="EB434">
        <f ca="1"/>
      </c>
      <c r="EC434">
        <f ca="1"/>
      </c>
      <c r="ED434">
        <f ca="1"/>
      </c>
      <c r="EE434">
        <f ca="1"/>
      </c>
      <c r="EF434">
        <f ca="1"/>
      </c>
      <c r="EG434">
        <f ca="1"/>
      </c>
      <c r="EH434">
        <f ca="1"/>
      </c>
      <c r="EI434">
        <f ca="1"/>
      </c>
      <c r="EJ434">
        <f ca="1"/>
      </c>
      <c r="EK434">
        <f ca="1"/>
      </c>
      <c r="EL434">
        <f ca="1"/>
      </c>
      <c r="EM434">
        <f ca="1"/>
      </c>
      <c r="EN434">
        <f ca="1"/>
      </c>
      <c r="EO434">
        <f ca="1"/>
      </c>
      <c r="EP434">
        <f ca="1"/>
      </c>
      <c r="EQ434">
        <f ca="1"/>
      </c>
      <c r="ER434">
        <f ca="1"/>
      </c>
      <c r="ES434">
        <f ca="1"/>
      </c>
      <c r="ET434">
        <f ca="1"/>
      </c>
      <c r="EU434">
        <f ca="1"/>
      </c>
      <c r="EV434">
        <f ca="1"/>
      </c>
      <c r="EW434">
        <f ca="1"/>
      </c>
      <c r="EX434">
        <f ca="1"/>
      </c>
      <c r="EY434">
        <f ca="1"/>
      </c>
      <c r="EZ434">
        <f ca="1"/>
      </c>
      <c r="FA434">
        <f ca="1"/>
      </c>
      <c r="FC434">
        <f ca="1"/>
      </c>
      <c r="FD434">
        <f ca="1"/>
      </c>
      <c r="FE434">
        <f ca="1"/>
      </c>
      <c r="FF434">
        <f ca="1"/>
      </c>
      <c r="FG434">
        <f ca="1"/>
      </c>
      <c r="FH434">
        <f ca="1"/>
      </c>
      <c r="FI434">
        <f ca="1"/>
      </c>
      <c r="FJ434">
        <f ca="1"/>
      </c>
      <c r="FK434">
        <f ca="1"/>
      </c>
      <c r="FL434">
        <f ca="1"/>
      </c>
      <c r="FM434">
        <f ca="1"/>
      </c>
      <c r="FN434">
        <f ca="1"/>
      </c>
      <c r="FO434">
        <f ca="1"/>
      </c>
      <c r="FP434">
        <f ca="1"/>
      </c>
      <c r="FQ434">
        <f ca="1"/>
      </c>
      <c r="FR434">
        <f ca="1"/>
      </c>
      <c r="FS434">
        <f ca="1"/>
      </c>
      <c r="FT434">
        <f ca="1"/>
      </c>
      <c r="FU434">
        <f ca="1"/>
      </c>
      <c r="FV434">
        <f ca="1"/>
      </c>
      <c r="FW434">
        <f ca="1"/>
      </c>
      <c r="FX434">
        <f ca="1"/>
      </c>
      <c r="FY434">
        <f ca="1"/>
      </c>
      <c r="FZ434">
        <f ca="1"/>
      </c>
      <c r="GA434">
        <f ca="1"/>
      </c>
      <c r="GB434">
        <f ca="1"/>
      </c>
      <c r="GC434">
        <f ca="1"/>
      </c>
      <c r="GD434">
        <f ca="1"/>
      </c>
      <c r="GE434">
        <f ca="1"/>
      </c>
      <c r="GF434">
        <f ca="1"/>
      </c>
      <c r="GG434">
        <f ca="1"/>
      </c>
      <c r="GH434">
        <f ca="1"/>
      </c>
      <c r="GI434">
        <f ca="1"/>
      </c>
      <c r="GJ434">
        <f ca="1"/>
      </c>
      <c r="GK434">
        <f ca="1"/>
      </c>
      <c r="GL434">
        <f ca="1"/>
      </c>
      <c r="GM434">
        <f ca="1"/>
      </c>
      <c r="GN434">
        <f ca="1"/>
      </c>
      <c r="GO434">
        <f ca="1"/>
      </c>
      <c r="GP434">
        <f ca="1"/>
      </c>
      <c r="GQ434">
        <f ca="1"/>
      </c>
      <c r="GR434">
        <f ca="1"/>
      </c>
      <c r="GS434">
        <f ca="1"/>
      </c>
      <c r="GT434">
        <f ca="1"/>
      </c>
      <c r="GU434">
        <f ca="1"/>
      </c>
      <c r="GV434">
        <f ca="1"/>
      </c>
      <c r="GW434">
        <f ca="1"/>
      </c>
      <c r="HI434" s="7"/>
    </row>
    <row r="435" spans="63:217" x14ac:dyDescent="0.55000000000000004">
      <c r="BK435">
        <f ca="1"/>
      </c>
      <c r="BL435">
        <f ca="1"/>
      </c>
      <c r="BM435">
        <f ca="1"/>
      </c>
      <c r="BN435">
        <f ca="1"/>
      </c>
      <c r="BO435">
        <f ca="1"/>
      </c>
      <c r="BP435">
        <f ca="1"/>
      </c>
      <c r="BQ435">
        <f ca="1"/>
      </c>
      <c r="BR435">
        <f ca="1"/>
      </c>
      <c r="BS435">
        <f ca="1"/>
      </c>
      <c r="BT435">
        <f ca="1"/>
      </c>
      <c r="BU435">
        <f ca="1"/>
      </c>
      <c r="BV435">
        <f ca="1"/>
      </c>
      <c r="BW435">
        <f ca="1"/>
      </c>
      <c r="BX435">
        <f ca="1"/>
      </c>
      <c r="BY435">
        <f ca="1"/>
      </c>
      <c r="BZ435">
        <f ca="1"/>
      </c>
      <c r="CA435">
        <f ca="1"/>
      </c>
      <c r="CB435">
        <f ca="1"/>
      </c>
      <c r="CC435">
        <f ca="1"/>
      </c>
      <c r="CD435">
        <f ca="1"/>
      </c>
      <c r="CE435">
        <f ca="1"/>
      </c>
      <c r="CF435">
        <f ca="1"/>
      </c>
      <c r="CG435">
        <f ca="1"/>
      </c>
      <c r="CH435">
        <f ca="1"/>
      </c>
      <c r="CI435">
        <f ca="1"/>
      </c>
      <c r="CJ435">
        <f ca="1"/>
      </c>
      <c r="CK435">
        <f ca="1"/>
      </c>
      <c r="CL435">
        <f ca="1"/>
      </c>
      <c r="CM435">
        <f ca="1"/>
      </c>
      <c r="CN435">
        <f ca="1"/>
      </c>
      <c r="CO435">
        <f ca="1"/>
      </c>
      <c r="CP435">
        <f ca="1"/>
      </c>
      <c r="CQ435">
        <f ca="1"/>
      </c>
      <c r="CR435">
        <f ca="1"/>
      </c>
      <c r="CS435">
        <f ca="1"/>
      </c>
      <c r="CT435">
        <f ca="1"/>
      </c>
      <c r="CU435">
        <f ca="1"/>
      </c>
      <c r="CV435">
        <f ca="1"/>
      </c>
      <c r="CW435">
        <f ca="1"/>
      </c>
      <c r="CX435">
        <f ca="1"/>
      </c>
      <c r="CY435">
        <f ca="1"/>
      </c>
      <c r="CZ435">
        <f ca="1"/>
      </c>
      <c r="DA435">
        <f ca="1"/>
      </c>
      <c r="DB435">
        <f ca="1"/>
      </c>
      <c r="DC435">
        <f ca="1"/>
      </c>
      <c r="DD435">
        <f ca="1"/>
      </c>
      <c r="DE435">
        <f ca="1"/>
      </c>
      <c r="DG435">
        <f ca="1"/>
      </c>
      <c r="DH435">
        <f ca="1"/>
      </c>
      <c r="DI435">
        <f ca="1"/>
      </c>
      <c r="DJ435">
        <f ca="1"/>
      </c>
      <c r="DK435">
        <f ca="1"/>
      </c>
      <c r="DL435">
        <f ca="1"/>
      </c>
      <c r="DM435">
        <f ca="1"/>
      </c>
      <c r="DN435">
        <f ca="1"/>
      </c>
      <c r="DO435">
        <f ca="1"/>
      </c>
      <c r="DP435">
        <f ca="1"/>
      </c>
      <c r="DQ435">
        <f ca="1"/>
      </c>
      <c r="DR435">
        <f ca="1"/>
      </c>
      <c r="DS435">
        <f ca="1"/>
      </c>
      <c r="DT435">
        <f ca="1"/>
      </c>
      <c r="DU435">
        <f ca="1"/>
      </c>
      <c r="DV435">
        <f ca="1"/>
      </c>
      <c r="DW435">
        <f ca="1"/>
      </c>
      <c r="DX435">
        <f ca="1"/>
      </c>
      <c r="DY435">
        <f ca="1"/>
      </c>
      <c r="DZ435">
        <f ca="1"/>
      </c>
      <c r="EA435">
        <f ca="1"/>
      </c>
      <c r="EB435">
        <f ca="1"/>
      </c>
      <c r="EC435">
        <f ca="1"/>
      </c>
      <c r="ED435">
        <f ca="1"/>
      </c>
      <c r="EE435">
        <f ca="1"/>
      </c>
      <c r="EF435">
        <f ca="1"/>
      </c>
      <c r="EG435">
        <f ca="1"/>
      </c>
      <c r="EH435">
        <f ca="1"/>
      </c>
      <c r="EI435">
        <f ca="1"/>
      </c>
      <c r="EJ435">
        <f ca="1"/>
      </c>
      <c r="EK435">
        <f ca="1"/>
      </c>
      <c r="EL435">
        <f ca="1"/>
      </c>
      <c r="EM435">
        <f ca="1"/>
      </c>
      <c r="EN435">
        <f ca="1"/>
      </c>
      <c r="EO435">
        <f ca="1"/>
      </c>
      <c r="EP435">
        <f ca="1"/>
      </c>
      <c r="EQ435">
        <f ca="1"/>
      </c>
      <c r="ER435">
        <f ca="1"/>
      </c>
      <c r="ES435">
        <f ca="1"/>
      </c>
      <c r="ET435">
        <f ca="1"/>
      </c>
      <c r="EU435">
        <f ca="1"/>
      </c>
      <c r="EV435">
        <f ca="1"/>
      </c>
      <c r="EW435">
        <f ca="1"/>
      </c>
      <c r="EX435">
        <f ca="1"/>
      </c>
      <c r="EY435">
        <f ca="1"/>
      </c>
      <c r="EZ435">
        <f ca="1"/>
      </c>
      <c r="FA435">
        <f ca="1"/>
      </c>
      <c r="FC435">
        <f ca="1"/>
      </c>
      <c r="FD435">
        <f ca="1"/>
      </c>
      <c r="FE435">
        <f ca="1"/>
      </c>
      <c r="FF435">
        <f ca="1"/>
      </c>
      <c r="FG435">
        <f ca="1"/>
      </c>
      <c r="FH435">
        <f ca="1"/>
      </c>
      <c r="FI435">
        <f ca="1"/>
      </c>
      <c r="FJ435">
        <f ca="1"/>
      </c>
      <c r="FK435">
        <f ca="1"/>
      </c>
      <c r="FL435">
        <f ca="1"/>
      </c>
      <c r="FM435">
        <f ca="1"/>
      </c>
      <c r="FN435">
        <f ca="1"/>
      </c>
      <c r="FO435">
        <f ca="1"/>
      </c>
      <c r="FP435">
        <f ca="1"/>
      </c>
      <c r="FQ435">
        <f ca="1"/>
      </c>
      <c r="FR435">
        <f ca="1"/>
      </c>
      <c r="FS435">
        <f ca="1"/>
      </c>
      <c r="FT435">
        <f ca="1"/>
      </c>
      <c r="FU435">
        <f ca="1"/>
      </c>
      <c r="FV435">
        <f ca="1"/>
      </c>
      <c r="FW435">
        <f ca="1"/>
      </c>
      <c r="FX435">
        <f ca="1"/>
      </c>
      <c r="FY435">
        <f ca="1"/>
      </c>
      <c r="FZ435">
        <f ca="1"/>
      </c>
      <c r="GA435">
        <f ca="1"/>
      </c>
      <c r="GB435">
        <f ca="1"/>
      </c>
      <c r="GC435">
        <f ca="1"/>
      </c>
      <c r="GD435">
        <f ca="1"/>
      </c>
      <c r="GE435">
        <f ca="1"/>
      </c>
      <c r="GF435">
        <f ca="1"/>
      </c>
      <c r="GG435">
        <f ca="1"/>
      </c>
      <c r="GH435">
        <f ca="1"/>
      </c>
      <c r="GI435">
        <f ca="1"/>
      </c>
      <c r="GJ435">
        <f ca="1"/>
      </c>
      <c r="GK435">
        <f ca="1"/>
      </c>
      <c r="GL435">
        <f ca="1"/>
      </c>
      <c r="GM435">
        <f ca="1"/>
      </c>
      <c r="GN435">
        <f ca="1"/>
      </c>
      <c r="GO435">
        <f ca="1"/>
      </c>
      <c r="GP435">
        <f ca="1"/>
      </c>
      <c r="GQ435">
        <f ca="1"/>
      </c>
      <c r="GR435">
        <f ca="1"/>
      </c>
      <c r="GS435">
        <f ca="1"/>
      </c>
      <c r="GT435">
        <f ca="1"/>
      </c>
      <c r="GU435">
        <f ca="1"/>
      </c>
      <c r="GV435">
        <f ca="1"/>
      </c>
      <c r="GW435">
        <f ca="1"/>
      </c>
      <c r="HI435" s="7"/>
    </row>
    <row r="436" spans="63:217" x14ac:dyDescent="0.55000000000000004">
      <c r="BK436">
        <f ca="1"/>
      </c>
      <c r="BL436">
        <f ca="1"/>
      </c>
      <c r="BM436">
        <f ca="1"/>
      </c>
      <c r="BN436">
        <f ca="1"/>
      </c>
      <c r="BO436">
        <f ca="1"/>
      </c>
      <c r="BP436">
        <f ca="1"/>
      </c>
      <c r="BQ436">
        <f ca="1"/>
      </c>
      <c r="BR436">
        <f ca="1"/>
      </c>
      <c r="BS436">
        <f ca="1"/>
      </c>
      <c r="BT436">
        <f ca="1"/>
      </c>
      <c r="BU436">
        <f ca="1"/>
      </c>
      <c r="BV436">
        <f ca="1"/>
      </c>
      <c r="BW436">
        <f ca="1"/>
      </c>
      <c r="BX436">
        <f ca="1"/>
      </c>
      <c r="BY436">
        <f ca="1"/>
      </c>
      <c r="BZ436">
        <f ca="1"/>
      </c>
      <c r="CA436">
        <f ca="1"/>
      </c>
      <c r="CB436">
        <f ca="1"/>
      </c>
      <c r="CC436">
        <f ca="1"/>
      </c>
      <c r="CD436">
        <f ca="1"/>
      </c>
      <c r="CE436">
        <f ca="1"/>
      </c>
      <c r="CF436">
        <f ca="1"/>
      </c>
      <c r="CG436">
        <f ca="1"/>
      </c>
      <c r="CH436">
        <f ca="1"/>
      </c>
      <c r="CI436">
        <f ca="1"/>
      </c>
      <c r="CJ436">
        <f ca="1"/>
      </c>
      <c r="CK436">
        <f ca="1"/>
      </c>
      <c r="CL436">
        <f ca="1"/>
      </c>
      <c r="CM436">
        <f ca="1"/>
      </c>
      <c r="CN436">
        <f ca="1"/>
      </c>
      <c r="CO436">
        <f ca="1"/>
      </c>
      <c r="CP436">
        <f ca="1"/>
      </c>
      <c r="CQ436">
        <f ca="1"/>
      </c>
      <c r="CR436">
        <f ca="1"/>
      </c>
      <c r="CS436">
        <f ca="1"/>
      </c>
      <c r="CT436">
        <f ca="1"/>
      </c>
      <c r="CU436">
        <f ca="1"/>
      </c>
      <c r="CV436">
        <f ca="1"/>
      </c>
      <c r="CW436">
        <f ca="1"/>
      </c>
      <c r="CX436">
        <f ca="1"/>
      </c>
      <c r="CY436">
        <f ca="1"/>
      </c>
      <c r="CZ436">
        <f ca="1"/>
      </c>
      <c r="DA436">
        <f ca="1"/>
      </c>
      <c r="DB436">
        <f ca="1"/>
      </c>
      <c r="DC436">
        <f ca="1"/>
      </c>
      <c r="DD436">
        <f ca="1"/>
      </c>
      <c r="DE436">
        <f ca="1"/>
      </c>
      <c r="DG436">
        <f ca="1"/>
      </c>
      <c r="DH436">
        <f ca="1"/>
      </c>
      <c r="DI436">
        <f ca="1"/>
      </c>
      <c r="DJ436">
        <f ca="1"/>
      </c>
      <c r="DK436">
        <f ca="1"/>
      </c>
      <c r="DL436">
        <f ca="1"/>
      </c>
      <c r="DM436">
        <f ca="1"/>
      </c>
      <c r="DN436">
        <f ca="1"/>
      </c>
      <c r="DO436">
        <f ca="1"/>
      </c>
      <c r="DP436">
        <f ca="1"/>
      </c>
      <c r="DQ436">
        <f ca="1"/>
      </c>
      <c r="DR436">
        <f ca="1"/>
      </c>
      <c r="DS436">
        <f ca="1"/>
      </c>
      <c r="DT436">
        <f ca="1"/>
      </c>
      <c r="DU436">
        <f ca="1"/>
      </c>
      <c r="DV436">
        <f ca="1"/>
      </c>
      <c r="DW436">
        <f ca="1"/>
      </c>
      <c r="DX436">
        <f ca="1"/>
      </c>
      <c r="DY436">
        <f ca="1"/>
      </c>
      <c r="DZ436">
        <f ca="1"/>
      </c>
      <c r="EA436">
        <f ca="1"/>
      </c>
      <c r="EB436">
        <f ca="1"/>
      </c>
      <c r="EC436">
        <f ca="1"/>
      </c>
      <c r="ED436">
        <f ca="1"/>
      </c>
      <c r="EE436">
        <f ca="1"/>
      </c>
      <c r="EF436">
        <f ca="1"/>
      </c>
      <c r="EG436">
        <f ca="1"/>
      </c>
      <c r="EH436">
        <f ca="1"/>
      </c>
      <c r="EI436">
        <f ca="1"/>
      </c>
      <c r="EJ436">
        <f ca="1"/>
      </c>
      <c r="EK436">
        <f ca="1"/>
      </c>
      <c r="EL436">
        <f ca="1"/>
      </c>
      <c r="EM436">
        <f ca="1"/>
      </c>
      <c r="EN436">
        <f ca="1"/>
      </c>
      <c r="EO436">
        <f ca="1"/>
      </c>
      <c r="EP436">
        <f ca="1"/>
      </c>
      <c r="EQ436">
        <f ca="1"/>
      </c>
      <c r="ER436">
        <f ca="1"/>
      </c>
      <c r="ES436">
        <f ca="1"/>
      </c>
      <c r="ET436">
        <f ca="1"/>
      </c>
      <c r="EU436">
        <f ca="1"/>
      </c>
      <c r="EV436">
        <f ca="1"/>
      </c>
      <c r="EW436">
        <f ca="1"/>
      </c>
      <c r="EX436">
        <f ca="1"/>
      </c>
      <c r="EY436">
        <f ca="1"/>
      </c>
      <c r="EZ436">
        <f ca="1"/>
      </c>
      <c r="FA436">
        <f ca="1"/>
      </c>
      <c r="FC436">
        <f ca="1"/>
      </c>
      <c r="FD436">
        <f ca="1"/>
      </c>
      <c r="FE436">
        <f ca="1"/>
      </c>
      <c r="FF436">
        <f ca="1"/>
      </c>
      <c r="FG436">
        <f ca="1"/>
      </c>
      <c r="FH436">
        <f ca="1"/>
      </c>
      <c r="FI436">
        <f ca="1"/>
      </c>
      <c r="FJ436">
        <f ca="1"/>
      </c>
      <c r="FK436">
        <f ca="1"/>
      </c>
      <c r="FL436">
        <f ca="1"/>
      </c>
      <c r="FM436">
        <f ca="1"/>
      </c>
      <c r="FN436">
        <f ca="1"/>
      </c>
      <c r="FO436">
        <f ca="1"/>
      </c>
      <c r="FP436">
        <f ca="1"/>
      </c>
      <c r="FQ436">
        <f ca="1"/>
      </c>
      <c r="FR436">
        <f ca="1"/>
      </c>
      <c r="FS436">
        <f ca="1"/>
      </c>
      <c r="FT436">
        <f ca="1"/>
      </c>
      <c r="FU436">
        <f ca="1"/>
      </c>
      <c r="FV436">
        <f ca="1"/>
      </c>
      <c r="FW436">
        <f ca="1"/>
      </c>
      <c r="FX436">
        <f ca="1"/>
      </c>
      <c r="FY436">
        <f ca="1"/>
      </c>
      <c r="FZ436">
        <f ca="1"/>
      </c>
      <c r="GA436">
        <f ca="1"/>
      </c>
      <c r="GB436">
        <f ca="1"/>
      </c>
      <c r="GC436">
        <f ca="1"/>
      </c>
      <c r="GD436">
        <f ca="1"/>
      </c>
      <c r="GE436">
        <f ca="1"/>
      </c>
      <c r="GF436">
        <f ca="1"/>
      </c>
      <c r="GG436">
        <f ca="1"/>
      </c>
      <c r="GH436">
        <f ca="1"/>
      </c>
      <c r="GI436">
        <f ca="1"/>
      </c>
      <c r="GJ436">
        <f ca="1"/>
      </c>
      <c r="GK436">
        <f ca="1"/>
      </c>
      <c r="GL436">
        <f ca="1"/>
      </c>
      <c r="GM436">
        <f ca="1"/>
      </c>
      <c r="GN436">
        <f ca="1"/>
      </c>
      <c r="GO436">
        <f ca="1"/>
      </c>
      <c r="GP436">
        <f ca="1"/>
      </c>
      <c r="GQ436">
        <f ca="1"/>
      </c>
      <c r="GR436">
        <f ca="1"/>
      </c>
      <c r="GS436">
        <f ca="1"/>
      </c>
      <c r="GT436">
        <f ca="1"/>
      </c>
      <c r="GU436">
        <f ca="1"/>
      </c>
      <c r="GV436">
        <f ca="1"/>
      </c>
      <c r="GW436">
        <f ca="1"/>
      </c>
      <c r="HI436" s="7"/>
    </row>
    <row r="437" spans="63:217" x14ac:dyDescent="0.55000000000000004">
      <c r="BK437">
        <f ca="1"/>
      </c>
      <c r="BL437">
        <f ca="1"/>
      </c>
      <c r="BM437">
        <f ca="1"/>
      </c>
      <c r="BN437">
        <f ca="1"/>
      </c>
      <c r="BO437">
        <f ca="1"/>
      </c>
      <c r="BP437">
        <f ca="1"/>
      </c>
      <c r="BQ437">
        <f ca="1"/>
      </c>
      <c r="BR437">
        <f ca="1"/>
      </c>
      <c r="BS437">
        <f ca="1"/>
      </c>
      <c r="BT437">
        <f ca="1"/>
      </c>
      <c r="BU437">
        <f ca="1"/>
      </c>
      <c r="BV437">
        <f ca="1"/>
      </c>
      <c r="BW437">
        <f ca="1"/>
      </c>
      <c r="BX437">
        <f ca="1"/>
      </c>
      <c r="BY437">
        <f ca="1"/>
      </c>
      <c r="BZ437">
        <f ca="1"/>
      </c>
      <c r="CA437">
        <f ca="1"/>
      </c>
      <c r="CB437">
        <f ca="1"/>
      </c>
      <c r="CC437">
        <f ca="1"/>
      </c>
      <c r="CD437">
        <f ca="1"/>
      </c>
      <c r="CE437">
        <f ca="1"/>
      </c>
      <c r="CF437">
        <f ca="1"/>
      </c>
      <c r="CG437">
        <f ca="1"/>
      </c>
      <c r="CH437">
        <f ca="1"/>
      </c>
      <c r="CI437">
        <f ca="1"/>
      </c>
      <c r="CJ437">
        <f ca="1"/>
      </c>
      <c r="CK437">
        <f ca="1"/>
      </c>
      <c r="CL437">
        <f ca="1"/>
      </c>
      <c r="CM437">
        <f ca="1"/>
      </c>
      <c r="CN437">
        <f ca="1"/>
      </c>
      <c r="CO437">
        <f ca="1"/>
      </c>
      <c r="CP437">
        <f ca="1"/>
      </c>
      <c r="CQ437">
        <f ca="1"/>
      </c>
      <c r="CR437">
        <f ca="1"/>
      </c>
      <c r="CS437">
        <f ca="1"/>
      </c>
      <c r="CT437">
        <f ca="1"/>
      </c>
      <c r="CU437">
        <f ca="1"/>
      </c>
      <c r="CV437">
        <f ca="1"/>
      </c>
      <c r="CW437">
        <f ca="1"/>
      </c>
      <c r="CX437">
        <f ca="1"/>
      </c>
      <c r="CY437">
        <f ca="1"/>
      </c>
      <c r="CZ437">
        <f ca="1"/>
      </c>
      <c r="DA437">
        <f ca="1"/>
      </c>
      <c r="DB437">
        <f ca="1"/>
      </c>
      <c r="DC437">
        <f ca="1"/>
      </c>
      <c r="DD437">
        <f ca="1"/>
      </c>
      <c r="DE437">
        <f ca="1"/>
      </c>
      <c r="DG437">
        <f ca="1"/>
      </c>
      <c r="DH437">
        <f ca="1"/>
      </c>
      <c r="DI437">
        <f ca="1"/>
      </c>
      <c r="DJ437">
        <f ca="1"/>
      </c>
      <c r="DK437">
        <f ca="1"/>
      </c>
      <c r="DL437">
        <f ca="1"/>
      </c>
      <c r="DM437">
        <f ca="1"/>
      </c>
      <c r="DN437">
        <f ca="1"/>
      </c>
      <c r="DO437">
        <f ca="1"/>
      </c>
      <c r="DP437">
        <f ca="1"/>
      </c>
      <c r="DQ437">
        <f ca="1"/>
      </c>
      <c r="DR437">
        <f ca="1"/>
      </c>
      <c r="DS437">
        <f ca="1"/>
      </c>
      <c r="DT437">
        <f ca="1"/>
      </c>
      <c r="DU437">
        <f ca="1"/>
      </c>
      <c r="DV437">
        <f ca="1"/>
      </c>
      <c r="DW437">
        <f ca="1"/>
      </c>
      <c r="DX437">
        <f ca="1"/>
      </c>
      <c r="DY437">
        <f ca="1"/>
      </c>
      <c r="DZ437">
        <f ca="1"/>
      </c>
      <c r="EA437">
        <f ca="1"/>
      </c>
      <c r="EB437">
        <f ca="1"/>
      </c>
      <c r="EC437">
        <f ca="1"/>
      </c>
      <c r="ED437">
        <f ca="1"/>
      </c>
      <c r="EE437">
        <f ca="1"/>
      </c>
      <c r="EF437">
        <f ca="1"/>
      </c>
      <c r="EG437">
        <f ca="1"/>
      </c>
      <c r="EH437">
        <f ca="1"/>
      </c>
      <c r="EI437">
        <f ca="1"/>
      </c>
      <c r="EJ437">
        <f ca="1"/>
      </c>
      <c r="EK437">
        <f ca="1"/>
      </c>
      <c r="EL437">
        <f ca="1"/>
      </c>
      <c r="EM437">
        <f ca="1"/>
      </c>
      <c r="EN437">
        <f ca="1"/>
      </c>
      <c r="EO437">
        <f ca="1"/>
      </c>
      <c r="EP437">
        <f ca="1"/>
      </c>
      <c r="EQ437">
        <f ca="1"/>
      </c>
      <c r="ER437">
        <f ca="1"/>
      </c>
      <c r="ES437">
        <f ca="1"/>
      </c>
      <c r="ET437">
        <f ca="1"/>
      </c>
      <c r="EU437">
        <f ca="1"/>
      </c>
      <c r="EV437">
        <f ca="1"/>
      </c>
      <c r="EW437">
        <f ca="1"/>
      </c>
      <c r="EX437">
        <f ca="1"/>
      </c>
      <c r="EY437">
        <f ca="1"/>
      </c>
      <c r="EZ437">
        <f ca="1"/>
      </c>
      <c r="FA437">
        <f ca="1"/>
      </c>
      <c r="FC437">
        <f ca="1"/>
      </c>
      <c r="FD437">
        <f ca="1"/>
      </c>
      <c r="FE437">
        <f ca="1"/>
      </c>
      <c r="FF437">
        <f ca="1"/>
      </c>
      <c r="FG437">
        <f ca="1"/>
      </c>
      <c r="FH437">
        <f ca="1"/>
      </c>
      <c r="FI437">
        <f ca="1"/>
      </c>
      <c r="FJ437">
        <f ca="1"/>
      </c>
      <c r="FK437">
        <f ca="1"/>
      </c>
      <c r="FL437">
        <f ca="1"/>
      </c>
      <c r="FM437">
        <f ca="1"/>
      </c>
      <c r="FN437">
        <f ca="1"/>
      </c>
      <c r="FO437">
        <f ca="1"/>
      </c>
      <c r="FP437">
        <f ca="1"/>
      </c>
      <c r="FQ437">
        <f ca="1"/>
      </c>
      <c r="FR437">
        <f ca="1"/>
      </c>
      <c r="FS437">
        <f ca="1"/>
      </c>
      <c r="FT437">
        <f ca="1"/>
      </c>
      <c r="FU437">
        <f ca="1"/>
      </c>
      <c r="FV437">
        <f ca="1"/>
      </c>
      <c r="FW437">
        <f ca="1"/>
      </c>
      <c r="FX437">
        <f ca="1"/>
      </c>
      <c r="FY437">
        <f ca="1"/>
      </c>
      <c r="FZ437">
        <f ca="1"/>
      </c>
      <c r="GA437">
        <f ca="1"/>
      </c>
      <c r="GB437">
        <f ca="1"/>
      </c>
      <c r="GC437">
        <f ca="1"/>
      </c>
      <c r="GD437">
        <f ca="1"/>
      </c>
      <c r="GE437">
        <f ca="1"/>
      </c>
      <c r="GF437">
        <f ca="1"/>
      </c>
      <c r="GG437">
        <f ca="1"/>
      </c>
      <c r="GH437">
        <f ca="1"/>
      </c>
      <c r="GI437">
        <f ca="1"/>
      </c>
      <c r="GJ437">
        <f ca="1"/>
      </c>
      <c r="GK437">
        <f ca="1"/>
      </c>
      <c r="GL437">
        <f ca="1"/>
      </c>
      <c r="GM437">
        <f ca="1"/>
      </c>
      <c r="GN437">
        <f ca="1"/>
      </c>
      <c r="GO437">
        <f ca="1"/>
      </c>
      <c r="GP437">
        <f ca="1"/>
      </c>
      <c r="GQ437">
        <f ca="1"/>
      </c>
      <c r="GR437">
        <f ca="1"/>
      </c>
      <c r="GS437">
        <f ca="1"/>
      </c>
      <c r="GT437">
        <f ca="1"/>
      </c>
      <c r="GU437">
        <f ca="1"/>
      </c>
      <c r="GV437">
        <f ca="1"/>
      </c>
      <c r="GW437">
        <f ca="1"/>
      </c>
      <c r="HI437" s="7"/>
    </row>
    <row r="438" spans="63:217" x14ac:dyDescent="0.55000000000000004">
      <c r="BK438">
        <f ca="1"/>
      </c>
      <c r="BL438">
        <f ca="1"/>
      </c>
      <c r="BM438">
        <f ca="1"/>
      </c>
      <c r="BN438">
        <f ca="1"/>
      </c>
      <c r="BO438">
        <f ca="1"/>
      </c>
      <c r="BP438">
        <f ca="1"/>
      </c>
      <c r="BQ438">
        <f ca="1"/>
      </c>
      <c r="BR438">
        <f ca="1"/>
      </c>
      <c r="BS438">
        <f ca="1"/>
      </c>
      <c r="BT438">
        <f ca="1"/>
      </c>
      <c r="BU438">
        <f ca="1"/>
      </c>
      <c r="BV438">
        <f ca="1"/>
      </c>
      <c r="BW438">
        <f ca="1"/>
      </c>
      <c r="BX438">
        <f ca="1"/>
      </c>
      <c r="BY438">
        <f ca="1"/>
      </c>
      <c r="BZ438">
        <f ca="1"/>
      </c>
      <c r="CA438">
        <f ca="1"/>
      </c>
      <c r="CB438">
        <f ca="1"/>
      </c>
      <c r="CC438">
        <f ca="1"/>
      </c>
      <c r="CD438">
        <f ca="1"/>
      </c>
      <c r="CE438">
        <f ca="1"/>
      </c>
      <c r="CF438">
        <f ca="1"/>
      </c>
      <c r="CG438">
        <f ca="1"/>
      </c>
      <c r="CH438">
        <f ca="1"/>
      </c>
      <c r="CI438">
        <f ca="1"/>
      </c>
      <c r="CJ438">
        <f ca="1"/>
      </c>
      <c r="CK438">
        <f ca="1"/>
      </c>
      <c r="CL438">
        <f ca="1"/>
      </c>
      <c r="CM438">
        <f ca="1"/>
      </c>
      <c r="CN438">
        <f ca="1"/>
      </c>
      <c r="CO438">
        <f ca="1"/>
      </c>
      <c r="CP438">
        <f ca="1"/>
      </c>
      <c r="CQ438">
        <f ca="1"/>
      </c>
      <c r="CR438">
        <f ca="1"/>
      </c>
      <c r="CS438">
        <f ca="1"/>
      </c>
      <c r="CT438">
        <f ca="1"/>
      </c>
      <c r="CU438">
        <f ca="1"/>
      </c>
      <c r="CV438">
        <f ca="1"/>
      </c>
      <c r="CW438">
        <f ca="1"/>
      </c>
      <c r="CX438">
        <f ca="1"/>
      </c>
      <c r="CY438">
        <f ca="1"/>
      </c>
      <c r="CZ438">
        <f ca="1"/>
      </c>
      <c r="DA438">
        <f ca="1"/>
      </c>
      <c r="DB438">
        <f ca="1"/>
      </c>
      <c r="DC438">
        <f ca="1"/>
      </c>
      <c r="DD438">
        <f ca="1"/>
      </c>
      <c r="DE438">
        <f ca="1"/>
      </c>
      <c r="DG438">
        <f ca="1"/>
      </c>
      <c r="DH438">
        <f ca="1"/>
      </c>
      <c r="DI438">
        <f ca="1"/>
      </c>
      <c r="DJ438">
        <f ca="1"/>
      </c>
      <c r="DK438">
        <f ca="1"/>
      </c>
      <c r="DL438">
        <f ca="1"/>
      </c>
      <c r="DM438">
        <f ca="1"/>
      </c>
      <c r="DN438">
        <f ca="1"/>
      </c>
      <c r="DO438">
        <f ca="1"/>
      </c>
      <c r="DP438">
        <f ca="1"/>
      </c>
      <c r="DQ438">
        <f ca="1"/>
      </c>
      <c r="DR438">
        <f ca="1"/>
      </c>
      <c r="DS438">
        <f ca="1"/>
      </c>
      <c r="DT438">
        <f ca="1"/>
      </c>
      <c r="DU438">
        <f ca="1"/>
      </c>
      <c r="DV438">
        <f ca="1"/>
      </c>
      <c r="DW438">
        <f ca="1"/>
      </c>
      <c r="DX438">
        <f ca="1"/>
      </c>
      <c r="DY438">
        <f ca="1"/>
      </c>
      <c r="DZ438">
        <f ca="1"/>
      </c>
      <c r="EA438">
        <f ca="1"/>
      </c>
      <c r="EB438">
        <f ca="1"/>
      </c>
      <c r="EC438">
        <f ca="1"/>
      </c>
      <c r="ED438">
        <f ca="1"/>
      </c>
      <c r="EE438">
        <f ca="1"/>
      </c>
      <c r="EF438">
        <f ca="1"/>
      </c>
      <c r="EG438">
        <f ca="1"/>
      </c>
      <c r="EH438">
        <f ca="1"/>
      </c>
      <c r="EI438">
        <f ca="1"/>
      </c>
      <c r="EJ438">
        <f ca="1"/>
      </c>
      <c r="EK438">
        <f ca="1"/>
      </c>
      <c r="EL438">
        <f ca="1"/>
      </c>
      <c r="EM438">
        <f ca="1"/>
      </c>
      <c r="EN438">
        <f ca="1"/>
      </c>
      <c r="EO438">
        <f ca="1"/>
      </c>
      <c r="EP438">
        <f ca="1"/>
      </c>
      <c r="EQ438">
        <f ca="1"/>
      </c>
      <c r="ER438">
        <f ca="1"/>
      </c>
      <c r="ES438">
        <f ca="1"/>
      </c>
      <c r="ET438">
        <f ca="1"/>
      </c>
      <c r="EU438">
        <f ca="1"/>
      </c>
      <c r="EV438">
        <f ca="1"/>
      </c>
      <c r="EW438">
        <f ca="1"/>
      </c>
      <c r="EX438">
        <f ca="1"/>
      </c>
      <c r="EY438">
        <f ca="1"/>
      </c>
      <c r="EZ438">
        <f ca="1"/>
      </c>
      <c r="FA438">
        <f ca="1"/>
      </c>
      <c r="FC438">
        <f ca="1"/>
      </c>
      <c r="FD438">
        <f ca="1"/>
      </c>
      <c r="FE438">
        <f ca="1"/>
      </c>
      <c r="FF438">
        <f ca="1"/>
      </c>
      <c r="FG438">
        <f ca="1"/>
      </c>
      <c r="FH438">
        <f ca="1"/>
      </c>
      <c r="FI438">
        <f ca="1"/>
      </c>
      <c r="FJ438">
        <f ca="1"/>
      </c>
      <c r="FK438">
        <f ca="1"/>
      </c>
      <c r="FL438">
        <f ca="1"/>
      </c>
      <c r="FM438">
        <f ca="1"/>
      </c>
      <c r="FN438">
        <f ca="1"/>
      </c>
      <c r="FO438">
        <f ca="1"/>
      </c>
      <c r="FP438">
        <f ca="1"/>
      </c>
      <c r="FQ438">
        <f ca="1"/>
      </c>
      <c r="FR438">
        <f ca="1"/>
      </c>
      <c r="FS438">
        <f ca="1"/>
      </c>
      <c r="FT438">
        <f ca="1"/>
      </c>
      <c r="FU438">
        <f ca="1"/>
      </c>
      <c r="FV438">
        <f ca="1"/>
      </c>
      <c r="FW438">
        <f ca="1"/>
      </c>
      <c r="FX438">
        <f ca="1"/>
      </c>
      <c r="FY438">
        <f ca="1"/>
      </c>
      <c r="FZ438">
        <f ca="1"/>
      </c>
      <c r="GA438">
        <f ca="1"/>
      </c>
      <c r="GB438">
        <f ca="1"/>
      </c>
      <c r="GC438">
        <f ca="1"/>
      </c>
      <c r="GD438">
        <f ca="1"/>
      </c>
      <c r="GE438">
        <f ca="1"/>
      </c>
      <c r="GF438">
        <f ca="1"/>
      </c>
      <c r="GG438">
        <f ca="1"/>
      </c>
      <c r="GH438">
        <f ca="1"/>
      </c>
      <c r="GI438">
        <f ca="1"/>
      </c>
      <c r="GJ438">
        <f ca="1"/>
      </c>
      <c r="GK438">
        <f ca="1"/>
      </c>
      <c r="GL438">
        <f ca="1"/>
      </c>
      <c r="GM438">
        <f ca="1"/>
      </c>
      <c r="GN438">
        <f ca="1"/>
      </c>
      <c r="GO438">
        <f ca="1"/>
      </c>
      <c r="GP438">
        <f ca="1"/>
      </c>
      <c r="GQ438">
        <f ca="1"/>
      </c>
      <c r="GR438">
        <f ca="1"/>
      </c>
      <c r="GS438">
        <f ca="1"/>
      </c>
      <c r="GT438">
        <f ca="1"/>
      </c>
      <c r="GU438">
        <f ca="1"/>
      </c>
      <c r="GV438">
        <f ca="1"/>
      </c>
      <c r="GW438">
        <f ca="1"/>
      </c>
      <c r="HI438" s="7"/>
    </row>
    <row r="439" spans="63:217" x14ac:dyDescent="0.55000000000000004">
      <c r="BK439">
        <f ca="1"/>
      </c>
      <c r="BL439">
        <f ca="1"/>
      </c>
      <c r="BM439">
        <f ca="1"/>
      </c>
      <c r="BN439">
        <f ca="1"/>
      </c>
      <c r="BO439">
        <f ca="1"/>
      </c>
      <c r="BP439">
        <f ca="1"/>
      </c>
      <c r="BQ439">
        <f ca="1"/>
      </c>
      <c r="BR439">
        <f ca="1"/>
      </c>
      <c r="BS439">
        <f ca="1"/>
      </c>
      <c r="BT439">
        <f ca="1"/>
      </c>
      <c r="BU439">
        <f ca="1"/>
      </c>
      <c r="BV439">
        <f ca="1"/>
      </c>
      <c r="BW439">
        <f ca="1"/>
      </c>
      <c r="BX439">
        <f ca="1"/>
      </c>
      <c r="BY439">
        <f ca="1"/>
      </c>
      <c r="BZ439">
        <f ca="1"/>
      </c>
      <c r="CA439">
        <f ca="1"/>
      </c>
      <c r="CB439">
        <f ca="1"/>
      </c>
      <c r="CC439">
        <f ca="1"/>
      </c>
      <c r="CD439">
        <f ca="1"/>
      </c>
      <c r="CE439">
        <f ca="1"/>
      </c>
      <c r="CF439">
        <f ca="1"/>
      </c>
      <c r="CG439">
        <f ca="1"/>
      </c>
      <c r="CH439">
        <f ca="1"/>
      </c>
      <c r="CI439">
        <f ca="1"/>
      </c>
      <c r="CJ439">
        <f ca="1"/>
      </c>
      <c r="CK439">
        <f ca="1"/>
      </c>
      <c r="CL439">
        <f ca="1"/>
      </c>
      <c r="CM439">
        <f ca="1"/>
      </c>
      <c r="CN439">
        <f ca="1"/>
      </c>
      <c r="CO439">
        <f ca="1"/>
      </c>
      <c r="CP439">
        <f ca="1"/>
      </c>
      <c r="CQ439">
        <f ca="1"/>
      </c>
      <c r="CR439">
        <f ca="1"/>
      </c>
      <c r="CS439">
        <f ca="1"/>
      </c>
      <c r="CT439">
        <f ca="1"/>
      </c>
      <c r="CU439">
        <f ca="1"/>
      </c>
      <c r="CV439">
        <f ca="1"/>
      </c>
      <c r="CW439">
        <f ca="1"/>
      </c>
      <c r="CX439">
        <f ca="1"/>
      </c>
      <c r="CY439">
        <f ca="1"/>
      </c>
      <c r="CZ439">
        <f ca="1"/>
      </c>
      <c r="DA439">
        <f ca="1"/>
      </c>
      <c r="DB439">
        <f ca="1"/>
      </c>
      <c r="DC439">
        <f ca="1"/>
      </c>
      <c r="DD439">
        <f ca="1"/>
      </c>
      <c r="DE439">
        <f ca="1"/>
      </c>
      <c r="DG439">
        <f ca="1"/>
      </c>
      <c r="DH439">
        <f ca="1"/>
      </c>
      <c r="DI439">
        <f ca="1"/>
      </c>
      <c r="DJ439">
        <f ca="1"/>
      </c>
      <c r="DK439">
        <f ca="1"/>
      </c>
      <c r="DL439">
        <f ca="1"/>
      </c>
      <c r="DM439">
        <f ca="1"/>
      </c>
      <c r="DN439">
        <f ca="1"/>
      </c>
      <c r="DO439">
        <f ca="1"/>
      </c>
      <c r="DP439">
        <f ca="1"/>
      </c>
      <c r="DQ439">
        <f ca="1"/>
      </c>
      <c r="DR439">
        <f ca="1"/>
      </c>
      <c r="DS439">
        <f ca="1"/>
      </c>
      <c r="DT439">
        <f ca="1"/>
      </c>
      <c r="DU439">
        <f ca="1"/>
      </c>
      <c r="DV439">
        <f ca="1"/>
      </c>
      <c r="DW439">
        <f ca="1"/>
      </c>
      <c r="DX439">
        <f ca="1"/>
      </c>
      <c r="DY439">
        <f ca="1"/>
      </c>
      <c r="DZ439">
        <f ca="1"/>
      </c>
      <c r="EA439">
        <f ca="1"/>
      </c>
      <c r="EB439">
        <f ca="1"/>
      </c>
      <c r="EC439">
        <f ca="1"/>
      </c>
      <c r="ED439">
        <f ca="1"/>
      </c>
      <c r="EE439">
        <f ca="1"/>
      </c>
      <c r="EF439">
        <f ca="1"/>
      </c>
      <c r="EG439">
        <f ca="1"/>
      </c>
      <c r="EH439">
        <f ca="1"/>
      </c>
      <c r="EI439">
        <f ca="1"/>
      </c>
      <c r="EJ439">
        <f ca="1"/>
      </c>
      <c r="EK439">
        <f ca="1"/>
      </c>
      <c r="EL439">
        <f ca="1"/>
      </c>
      <c r="EM439">
        <f ca="1"/>
      </c>
      <c r="EN439">
        <f ca="1"/>
      </c>
      <c r="EO439">
        <f ca="1"/>
      </c>
      <c r="EP439">
        <f ca="1"/>
      </c>
      <c r="EQ439">
        <f ca="1"/>
      </c>
      <c r="ER439">
        <f ca="1"/>
      </c>
      <c r="ES439">
        <f ca="1"/>
      </c>
      <c r="ET439">
        <f ca="1"/>
      </c>
      <c r="EU439">
        <f ca="1"/>
      </c>
      <c r="EV439">
        <f ca="1"/>
      </c>
      <c r="EW439">
        <f ca="1"/>
      </c>
      <c r="EX439">
        <f ca="1"/>
      </c>
      <c r="EY439">
        <f ca="1"/>
      </c>
      <c r="EZ439">
        <f ca="1"/>
      </c>
      <c r="FA439">
        <f ca="1"/>
      </c>
      <c r="FC439">
        <f ca="1"/>
      </c>
      <c r="FD439">
        <f ca="1"/>
      </c>
      <c r="FE439">
        <f ca="1"/>
      </c>
      <c r="FF439">
        <f ca="1"/>
      </c>
      <c r="FG439">
        <f ca="1"/>
      </c>
      <c r="FH439">
        <f ca="1"/>
      </c>
      <c r="FI439">
        <f ca="1"/>
      </c>
      <c r="FJ439">
        <f ca="1"/>
      </c>
      <c r="FK439">
        <f ca="1"/>
      </c>
      <c r="FL439">
        <f ca="1"/>
      </c>
      <c r="FM439">
        <f ca="1"/>
      </c>
      <c r="FN439">
        <f ca="1"/>
      </c>
      <c r="FO439">
        <f ca="1"/>
      </c>
      <c r="FP439">
        <f ca="1"/>
      </c>
      <c r="FQ439">
        <f ca="1"/>
      </c>
      <c r="FR439">
        <f ca="1"/>
      </c>
      <c r="FS439">
        <f ca="1"/>
      </c>
      <c r="FT439">
        <f ca="1"/>
      </c>
      <c r="FU439">
        <f ca="1"/>
      </c>
      <c r="FV439">
        <f ca="1"/>
      </c>
      <c r="FW439">
        <f ca="1"/>
      </c>
      <c r="FX439">
        <f ca="1"/>
      </c>
      <c r="FY439">
        <f ca="1"/>
      </c>
      <c r="FZ439">
        <f ca="1"/>
      </c>
      <c r="GA439">
        <f ca="1"/>
      </c>
      <c r="GB439">
        <f ca="1"/>
      </c>
      <c r="GC439">
        <f ca="1"/>
      </c>
      <c r="GD439">
        <f ca="1"/>
      </c>
      <c r="GE439">
        <f ca="1"/>
      </c>
      <c r="GF439">
        <f ca="1"/>
      </c>
      <c r="GG439">
        <f ca="1"/>
      </c>
      <c r="GH439">
        <f ca="1"/>
      </c>
      <c r="GI439">
        <f ca="1"/>
      </c>
      <c r="GJ439">
        <f ca="1"/>
      </c>
      <c r="GK439">
        <f ca="1"/>
      </c>
      <c r="GL439">
        <f ca="1"/>
      </c>
      <c r="GM439">
        <f ca="1"/>
      </c>
      <c r="GN439">
        <f ca="1"/>
      </c>
      <c r="GO439">
        <f ca="1"/>
      </c>
      <c r="GP439">
        <f ca="1"/>
      </c>
      <c r="GQ439">
        <f ca="1"/>
      </c>
      <c r="GR439">
        <f ca="1"/>
      </c>
      <c r="GS439">
        <f ca="1"/>
      </c>
      <c r="GT439">
        <f ca="1"/>
      </c>
      <c r="GU439">
        <f ca="1"/>
      </c>
      <c r="GV439">
        <f ca="1"/>
      </c>
      <c r="GW439">
        <f ca="1"/>
      </c>
      <c r="HI439" s="7"/>
    </row>
    <row r="440" spans="63:217" x14ac:dyDescent="0.55000000000000004">
      <c r="BK440">
        <f ca="1"/>
      </c>
      <c r="BL440">
        <f ca="1"/>
      </c>
      <c r="BM440">
        <f ca="1"/>
      </c>
      <c r="BN440">
        <f ca="1"/>
      </c>
      <c r="BO440">
        <f ca="1"/>
      </c>
      <c r="BP440">
        <f ca="1"/>
      </c>
      <c r="BQ440">
        <f ca="1"/>
      </c>
      <c r="BR440">
        <f ca="1"/>
      </c>
      <c r="BS440">
        <f ca="1"/>
      </c>
      <c r="BT440">
        <f ca="1"/>
      </c>
      <c r="BU440">
        <f ca="1"/>
      </c>
      <c r="BV440">
        <f ca="1"/>
      </c>
      <c r="BW440">
        <f ca="1"/>
      </c>
      <c r="BX440">
        <f ca="1"/>
      </c>
      <c r="BY440">
        <f ca="1"/>
      </c>
      <c r="BZ440">
        <f ca="1"/>
      </c>
      <c r="CA440">
        <f ca="1"/>
      </c>
      <c r="CB440">
        <f ca="1"/>
      </c>
      <c r="CC440">
        <f ca="1"/>
      </c>
      <c r="CD440">
        <f ca="1"/>
      </c>
      <c r="CE440">
        <f ca="1"/>
      </c>
      <c r="CF440">
        <f ca="1"/>
      </c>
      <c r="CG440">
        <f ca="1"/>
      </c>
      <c r="CH440">
        <f ca="1"/>
      </c>
      <c r="CI440">
        <f ca="1"/>
      </c>
      <c r="CJ440">
        <f ca="1"/>
      </c>
      <c r="CK440">
        <f ca="1"/>
      </c>
      <c r="CL440">
        <f ca="1"/>
      </c>
      <c r="CM440">
        <f ca="1"/>
      </c>
      <c r="CN440">
        <f ca="1"/>
      </c>
      <c r="CO440">
        <f ca="1"/>
      </c>
      <c r="CP440">
        <f ca="1"/>
      </c>
      <c r="CQ440">
        <f ca="1"/>
      </c>
      <c r="CR440">
        <f ca="1"/>
      </c>
      <c r="CS440">
        <f ca="1"/>
      </c>
      <c r="CT440">
        <f ca="1"/>
      </c>
      <c r="CU440">
        <f ca="1"/>
      </c>
      <c r="CV440">
        <f ca="1"/>
      </c>
      <c r="CW440">
        <f ca="1"/>
      </c>
      <c r="CX440">
        <f ca="1"/>
      </c>
      <c r="CY440">
        <f ca="1"/>
      </c>
      <c r="CZ440">
        <f ca="1"/>
      </c>
      <c r="DA440">
        <f ca="1"/>
      </c>
      <c r="DB440">
        <f ca="1"/>
      </c>
      <c r="DC440">
        <f ca="1"/>
      </c>
      <c r="DD440">
        <f ca="1"/>
      </c>
      <c r="DE440">
        <f ca="1"/>
      </c>
      <c r="DG440">
        <f ca="1"/>
      </c>
      <c r="DH440">
        <f ca="1"/>
      </c>
      <c r="DI440">
        <f ca="1"/>
      </c>
      <c r="DJ440">
        <f ca="1"/>
      </c>
      <c r="DK440">
        <f ca="1"/>
      </c>
      <c r="DL440">
        <f ca="1"/>
      </c>
      <c r="DM440">
        <f ca="1"/>
      </c>
      <c r="DN440">
        <f ca="1"/>
      </c>
      <c r="DO440">
        <f ca="1"/>
      </c>
      <c r="DP440">
        <f ca="1"/>
      </c>
      <c r="DQ440">
        <f ca="1"/>
      </c>
      <c r="DR440">
        <f ca="1"/>
      </c>
      <c r="DS440">
        <f ca="1"/>
      </c>
      <c r="DT440">
        <f ca="1"/>
      </c>
      <c r="DU440">
        <f ca="1"/>
      </c>
      <c r="DV440">
        <f ca="1"/>
      </c>
      <c r="DW440">
        <f ca="1"/>
      </c>
      <c r="DX440">
        <f ca="1"/>
      </c>
      <c r="DY440">
        <f ca="1"/>
      </c>
      <c r="DZ440">
        <f ca="1"/>
      </c>
      <c r="EA440">
        <f ca="1"/>
      </c>
      <c r="EB440">
        <f ca="1"/>
      </c>
      <c r="EC440">
        <f ca="1"/>
      </c>
      <c r="ED440">
        <f ca="1"/>
      </c>
      <c r="EE440">
        <f ca="1"/>
      </c>
      <c r="EF440">
        <f ca="1"/>
      </c>
      <c r="EG440">
        <f ca="1"/>
      </c>
      <c r="EH440">
        <f ca="1"/>
      </c>
      <c r="EI440">
        <f ca="1"/>
      </c>
      <c r="EJ440">
        <f ca="1"/>
      </c>
      <c r="EK440">
        <f ca="1"/>
      </c>
      <c r="EL440">
        <f ca="1"/>
      </c>
      <c r="EM440">
        <f ca="1"/>
      </c>
      <c r="EN440">
        <f ca="1"/>
      </c>
      <c r="EO440">
        <f ca="1"/>
      </c>
      <c r="EP440">
        <f ca="1"/>
      </c>
      <c r="EQ440">
        <f ca="1"/>
      </c>
      <c r="ER440">
        <f ca="1"/>
      </c>
      <c r="ES440">
        <f ca="1"/>
      </c>
      <c r="ET440">
        <f ca="1"/>
      </c>
      <c r="EU440">
        <f ca="1"/>
      </c>
      <c r="EV440">
        <f ca="1"/>
      </c>
      <c r="EW440">
        <f ca="1"/>
      </c>
      <c r="EX440">
        <f ca="1"/>
      </c>
      <c r="EY440">
        <f ca="1"/>
      </c>
      <c r="EZ440">
        <f ca="1"/>
      </c>
      <c r="FA440">
        <f ca="1"/>
      </c>
      <c r="FC440">
        <f ca="1"/>
      </c>
      <c r="FD440">
        <f ca="1"/>
      </c>
      <c r="FE440">
        <f ca="1"/>
      </c>
      <c r="FF440">
        <f ca="1"/>
      </c>
      <c r="FG440">
        <f ca="1"/>
      </c>
      <c r="FH440">
        <f ca="1"/>
      </c>
      <c r="FI440">
        <f ca="1"/>
      </c>
      <c r="FJ440">
        <f ca="1"/>
      </c>
      <c r="FK440">
        <f ca="1"/>
      </c>
      <c r="FL440">
        <f ca="1"/>
      </c>
      <c r="FM440">
        <f ca="1"/>
      </c>
      <c r="FN440">
        <f ca="1"/>
      </c>
      <c r="FO440">
        <f ca="1"/>
      </c>
      <c r="FP440">
        <f ca="1"/>
      </c>
      <c r="FQ440">
        <f ca="1"/>
      </c>
      <c r="FR440">
        <f ca="1"/>
      </c>
      <c r="FS440">
        <f ca="1"/>
      </c>
      <c r="FT440">
        <f ca="1"/>
      </c>
      <c r="FU440">
        <f ca="1"/>
      </c>
      <c r="FV440">
        <f ca="1"/>
      </c>
      <c r="FW440">
        <f ca="1"/>
      </c>
      <c r="FX440">
        <f ca="1"/>
      </c>
      <c r="FY440">
        <f ca="1"/>
      </c>
      <c r="FZ440">
        <f ca="1"/>
      </c>
      <c r="GA440">
        <f ca="1"/>
      </c>
      <c r="GB440">
        <f ca="1"/>
      </c>
      <c r="GC440">
        <f ca="1"/>
      </c>
      <c r="GD440">
        <f ca="1"/>
      </c>
      <c r="GE440">
        <f ca="1"/>
      </c>
      <c r="GF440">
        <f ca="1"/>
      </c>
      <c r="GG440">
        <f ca="1"/>
      </c>
      <c r="GH440">
        <f ca="1"/>
      </c>
      <c r="GI440">
        <f ca="1"/>
      </c>
      <c r="GJ440">
        <f ca="1"/>
      </c>
      <c r="GK440">
        <f ca="1"/>
      </c>
      <c r="GL440">
        <f ca="1"/>
      </c>
      <c r="GM440">
        <f ca="1"/>
      </c>
      <c r="GN440">
        <f ca="1"/>
      </c>
      <c r="GO440">
        <f ca="1"/>
      </c>
      <c r="GP440">
        <f ca="1"/>
      </c>
      <c r="GQ440">
        <f ca="1"/>
      </c>
      <c r="GR440">
        <f ca="1"/>
      </c>
      <c r="GS440">
        <f ca="1"/>
      </c>
      <c r="GT440">
        <f ca="1"/>
      </c>
      <c r="GU440">
        <f ca="1"/>
      </c>
      <c r="GV440">
        <f ca="1"/>
      </c>
      <c r="GW440">
        <f ca="1"/>
      </c>
      <c r="HI440" s="7"/>
    </row>
    <row r="441" spans="63:217" x14ac:dyDescent="0.55000000000000004">
      <c r="BK441">
        <f ca="1"/>
      </c>
      <c r="BL441">
        <f ca="1"/>
      </c>
      <c r="BM441">
        <f ca="1"/>
      </c>
      <c r="BN441">
        <f ca="1"/>
      </c>
      <c r="BO441">
        <f ca="1"/>
      </c>
      <c r="BP441">
        <f ca="1"/>
      </c>
      <c r="BQ441">
        <f ca="1"/>
      </c>
      <c r="BR441">
        <f ca="1"/>
      </c>
      <c r="BS441">
        <f ca="1"/>
      </c>
      <c r="BT441">
        <f ca="1"/>
      </c>
      <c r="BU441">
        <f ca="1"/>
      </c>
      <c r="BV441">
        <f ca="1"/>
      </c>
      <c r="BW441">
        <f ca="1"/>
      </c>
      <c r="BX441">
        <f ca="1"/>
      </c>
      <c r="BY441">
        <f ca="1"/>
      </c>
      <c r="BZ441">
        <f ca="1"/>
      </c>
      <c r="CA441">
        <f ca="1"/>
      </c>
      <c r="CB441">
        <f ca="1"/>
      </c>
      <c r="CC441">
        <f ca="1"/>
      </c>
      <c r="CD441">
        <f ca="1"/>
      </c>
      <c r="CE441">
        <f ca="1"/>
      </c>
      <c r="CF441">
        <f ca="1"/>
      </c>
      <c r="CG441">
        <f ca="1"/>
      </c>
      <c r="CH441">
        <f ca="1"/>
      </c>
      <c r="CI441">
        <f ca="1"/>
      </c>
      <c r="CJ441">
        <f ca="1"/>
      </c>
      <c r="CK441">
        <f ca="1"/>
      </c>
      <c r="CL441">
        <f ca="1"/>
      </c>
      <c r="CM441">
        <f ca="1"/>
      </c>
      <c r="CN441">
        <f ca="1"/>
      </c>
      <c r="CO441">
        <f ca="1"/>
      </c>
      <c r="CP441">
        <f ca="1"/>
      </c>
      <c r="CQ441">
        <f ca="1"/>
      </c>
      <c r="CR441">
        <f ca="1"/>
      </c>
      <c r="CS441">
        <f ca="1"/>
      </c>
      <c r="CT441">
        <f ca="1"/>
      </c>
      <c r="CU441">
        <f ca="1"/>
      </c>
      <c r="CV441">
        <f ca="1"/>
      </c>
      <c r="CW441">
        <f ca="1"/>
      </c>
      <c r="CX441">
        <f ca="1"/>
      </c>
      <c r="CY441">
        <f ca="1"/>
      </c>
      <c r="CZ441">
        <f ca="1"/>
      </c>
      <c r="DA441">
        <f ca="1"/>
      </c>
      <c r="DB441">
        <f ca="1"/>
      </c>
      <c r="DC441">
        <f ca="1"/>
      </c>
      <c r="DD441">
        <f ca="1"/>
      </c>
      <c r="DE441">
        <f ca="1"/>
      </c>
      <c r="DG441">
        <f ca="1"/>
      </c>
      <c r="DH441">
        <f ca="1"/>
      </c>
      <c r="DI441">
        <f ca="1"/>
      </c>
      <c r="DJ441">
        <f ca="1"/>
      </c>
      <c r="DK441">
        <f ca="1"/>
      </c>
      <c r="DL441">
        <f ca="1"/>
      </c>
      <c r="DM441">
        <f ca="1"/>
      </c>
      <c r="DN441">
        <f ca="1"/>
      </c>
      <c r="DO441">
        <f ca="1"/>
      </c>
      <c r="DP441">
        <f ca="1"/>
      </c>
      <c r="DQ441">
        <f ca="1"/>
      </c>
      <c r="DR441">
        <f ca="1"/>
      </c>
      <c r="DS441">
        <f ca="1"/>
      </c>
      <c r="DT441">
        <f ca="1"/>
      </c>
      <c r="DU441">
        <f ca="1"/>
      </c>
      <c r="DV441">
        <f ca="1"/>
      </c>
      <c r="DW441">
        <f ca="1"/>
      </c>
      <c r="DX441">
        <f ca="1"/>
      </c>
      <c r="DY441">
        <f ca="1"/>
      </c>
      <c r="DZ441">
        <f ca="1"/>
      </c>
      <c r="EA441">
        <f ca="1"/>
      </c>
      <c r="EB441">
        <f ca="1"/>
      </c>
      <c r="EC441">
        <f ca="1"/>
      </c>
      <c r="ED441">
        <f ca="1"/>
      </c>
      <c r="EE441">
        <f ca="1"/>
      </c>
      <c r="EF441">
        <f ca="1"/>
      </c>
      <c r="EG441">
        <f ca="1"/>
      </c>
      <c r="EH441">
        <f ca="1"/>
      </c>
      <c r="EI441">
        <f ca="1"/>
      </c>
      <c r="EJ441">
        <f ca="1"/>
      </c>
      <c r="EK441">
        <f ca="1"/>
      </c>
      <c r="EL441">
        <f ca="1"/>
      </c>
      <c r="EM441">
        <f ca="1"/>
      </c>
      <c r="EN441">
        <f ca="1"/>
      </c>
      <c r="EO441">
        <f ca="1"/>
      </c>
      <c r="EP441">
        <f ca="1"/>
      </c>
      <c r="EQ441">
        <f ca="1"/>
      </c>
      <c r="ER441">
        <f ca="1"/>
      </c>
      <c r="ES441">
        <f ca="1"/>
      </c>
      <c r="ET441">
        <f ca="1"/>
      </c>
      <c r="EU441">
        <f ca="1"/>
      </c>
      <c r="EV441">
        <f ca="1"/>
      </c>
      <c r="EW441">
        <f ca="1"/>
      </c>
      <c r="EX441">
        <f ca="1"/>
      </c>
      <c r="EY441">
        <f ca="1"/>
      </c>
      <c r="EZ441">
        <f ca="1"/>
      </c>
      <c r="FA441">
        <f ca="1"/>
      </c>
      <c r="FC441">
        <f ca="1"/>
      </c>
      <c r="FD441">
        <f ca="1"/>
      </c>
      <c r="FE441">
        <f ca="1"/>
      </c>
      <c r="FF441">
        <f ca="1"/>
      </c>
      <c r="FG441">
        <f ca="1"/>
      </c>
      <c r="FH441">
        <f ca="1"/>
      </c>
      <c r="FI441">
        <f ca="1"/>
      </c>
      <c r="FJ441">
        <f ca="1"/>
      </c>
      <c r="FK441">
        <f ca="1"/>
      </c>
      <c r="FL441">
        <f ca="1"/>
      </c>
      <c r="FM441">
        <f ca="1"/>
      </c>
      <c r="FN441">
        <f ca="1"/>
      </c>
      <c r="FO441">
        <f ca="1"/>
      </c>
      <c r="FP441">
        <f ca="1"/>
      </c>
      <c r="FQ441">
        <f ca="1"/>
      </c>
      <c r="FR441">
        <f ca="1"/>
      </c>
      <c r="FS441">
        <f ca="1"/>
      </c>
      <c r="FT441">
        <f ca="1"/>
      </c>
      <c r="FU441">
        <f ca="1"/>
      </c>
      <c r="FV441">
        <f ca="1"/>
      </c>
      <c r="FW441">
        <f ca="1"/>
      </c>
      <c r="FX441">
        <f ca="1"/>
      </c>
      <c r="FY441">
        <f ca="1"/>
      </c>
      <c r="FZ441">
        <f ca="1"/>
      </c>
      <c r="GA441">
        <f ca="1"/>
      </c>
      <c r="GB441">
        <f ca="1"/>
      </c>
      <c r="GC441">
        <f ca="1"/>
      </c>
      <c r="GD441">
        <f ca="1"/>
      </c>
      <c r="GE441">
        <f ca="1"/>
      </c>
      <c r="GF441">
        <f ca="1"/>
      </c>
      <c r="GG441">
        <f ca="1"/>
      </c>
      <c r="GH441">
        <f ca="1"/>
      </c>
      <c r="GI441">
        <f ca="1"/>
      </c>
      <c r="GJ441">
        <f ca="1"/>
      </c>
      <c r="GK441">
        <f ca="1"/>
      </c>
      <c r="GL441">
        <f ca="1"/>
      </c>
      <c r="GM441">
        <f ca="1"/>
      </c>
      <c r="GN441">
        <f ca="1"/>
      </c>
      <c r="GO441">
        <f ca="1"/>
      </c>
      <c r="GP441">
        <f ca="1"/>
      </c>
      <c r="GQ441">
        <f ca="1"/>
      </c>
      <c r="GR441">
        <f ca="1"/>
      </c>
      <c r="GS441">
        <f ca="1"/>
      </c>
      <c r="GT441">
        <f ca="1"/>
      </c>
      <c r="GU441">
        <f ca="1"/>
      </c>
      <c r="GV441">
        <f ca="1"/>
      </c>
      <c r="GW441">
        <f ca="1"/>
      </c>
      <c r="HI441" s="7"/>
    </row>
    <row r="442" spans="63:217" x14ac:dyDescent="0.55000000000000004">
      <c r="BK442">
        <f ca="1"/>
      </c>
      <c r="BL442">
        <f ca="1"/>
      </c>
      <c r="BM442">
        <f ca="1"/>
      </c>
      <c r="BN442">
        <f ca="1"/>
      </c>
      <c r="BO442">
        <f ca="1"/>
      </c>
      <c r="BP442">
        <f ca="1"/>
      </c>
      <c r="BQ442">
        <f ca="1"/>
      </c>
      <c r="BR442">
        <f ca="1"/>
      </c>
      <c r="BS442">
        <f ca="1"/>
      </c>
      <c r="BT442">
        <f ca="1"/>
      </c>
      <c r="BU442">
        <f ca="1"/>
      </c>
      <c r="BV442">
        <f ca="1"/>
      </c>
      <c r="BW442">
        <f ca="1"/>
      </c>
      <c r="BX442">
        <f ca="1"/>
      </c>
      <c r="BY442">
        <f ca="1"/>
      </c>
      <c r="BZ442">
        <f ca="1"/>
      </c>
      <c r="CA442">
        <f ca="1"/>
      </c>
      <c r="CB442">
        <f ca="1"/>
      </c>
      <c r="CC442">
        <f ca="1"/>
      </c>
      <c r="CD442">
        <f ca="1"/>
      </c>
      <c r="CE442">
        <f ca="1"/>
      </c>
      <c r="CF442">
        <f ca="1"/>
      </c>
      <c r="CG442">
        <f ca="1"/>
      </c>
      <c r="CH442">
        <f ca="1"/>
      </c>
      <c r="CI442">
        <f ca="1"/>
      </c>
      <c r="CJ442">
        <f ca="1"/>
      </c>
      <c r="CK442">
        <f ca="1"/>
      </c>
      <c r="CL442">
        <f ca="1"/>
      </c>
      <c r="CM442">
        <f ca="1"/>
      </c>
      <c r="CN442">
        <f ca="1"/>
      </c>
      <c r="CO442">
        <f ca="1"/>
      </c>
      <c r="CP442">
        <f ca="1"/>
      </c>
      <c r="CQ442">
        <f ca="1"/>
      </c>
      <c r="CR442">
        <f ca="1"/>
      </c>
      <c r="CS442">
        <f ca="1"/>
      </c>
      <c r="CT442">
        <f ca="1"/>
      </c>
      <c r="CU442">
        <f ca="1"/>
      </c>
      <c r="CV442">
        <f ca="1"/>
      </c>
      <c r="CW442">
        <f ca="1"/>
      </c>
      <c r="CX442">
        <f ca="1"/>
      </c>
      <c r="CY442">
        <f ca="1"/>
      </c>
      <c r="CZ442">
        <f ca="1"/>
      </c>
      <c r="DA442">
        <f ca="1"/>
      </c>
      <c r="DB442">
        <f ca="1"/>
      </c>
      <c r="DC442">
        <f ca="1"/>
      </c>
      <c r="DD442">
        <f ca="1"/>
      </c>
      <c r="DE442">
        <f ca="1"/>
      </c>
      <c r="DG442">
        <f ca="1"/>
      </c>
      <c r="DH442">
        <f ca="1"/>
      </c>
      <c r="DI442">
        <f ca="1"/>
      </c>
      <c r="DJ442">
        <f ca="1"/>
      </c>
      <c r="DK442">
        <f ca="1"/>
      </c>
      <c r="DL442">
        <f ca="1"/>
      </c>
      <c r="DM442">
        <f ca="1"/>
      </c>
      <c r="DN442">
        <f ca="1"/>
      </c>
      <c r="DO442">
        <f ca="1"/>
      </c>
      <c r="DP442">
        <f ca="1"/>
      </c>
      <c r="DQ442">
        <f ca="1"/>
      </c>
      <c r="DR442">
        <f ca="1"/>
      </c>
      <c r="DS442">
        <f ca="1"/>
      </c>
      <c r="DT442">
        <f ca="1"/>
      </c>
      <c r="DU442">
        <f ca="1"/>
      </c>
      <c r="DV442">
        <f ca="1"/>
      </c>
      <c r="DW442">
        <f ca="1"/>
      </c>
      <c r="DX442">
        <f ca="1"/>
      </c>
      <c r="DY442">
        <f ca="1"/>
      </c>
      <c r="DZ442">
        <f ca="1"/>
      </c>
      <c r="EA442">
        <f ca="1"/>
      </c>
      <c r="EB442">
        <f ca="1"/>
      </c>
      <c r="EC442">
        <f ca="1"/>
      </c>
      <c r="ED442">
        <f ca="1"/>
      </c>
      <c r="EE442">
        <f ca="1"/>
      </c>
      <c r="EF442">
        <f ca="1"/>
      </c>
      <c r="EG442">
        <f ca="1"/>
      </c>
      <c r="EH442">
        <f ca="1"/>
      </c>
      <c r="EI442">
        <f ca="1"/>
      </c>
      <c r="EJ442">
        <f ca="1"/>
      </c>
      <c r="EK442">
        <f ca="1"/>
      </c>
      <c r="EL442">
        <f ca="1"/>
      </c>
      <c r="EM442">
        <f ca="1"/>
      </c>
      <c r="EN442">
        <f ca="1"/>
      </c>
      <c r="EO442">
        <f ca="1"/>
      </c>
      <c r="EP442">
        <f ca="1"/>
      </c>
      <c r="EQ442">
        <f ca="1"/>
      </c>
      <c r="ER442">
        <f ca="1"/>
      </c>
      <c r="ES442">
        <f ca="1"/>
      </c>
      <c r="ET442">
        <f ca="1"/>
      </c>
      <c r="EU442">
        <f ca="1"/>
      </c>
      <c r="EV442">
        <f ca="1"/>
      </c>
      <c r="EW442">
        <f ca="1"/>
      </c>
      <c r="EX442">
        <f ca="1"/>
      </c>
      <c r="EY442">
        <f ca="1"/>
      </c>
      <c r="EZ442">
        <f ca="1"/>
      </c>
      <c r="FA442">
        <f ca="1"/>
      </c>
      <c r="FC442">
        <f ca="1"/>
      </c>
      <c r="FD442">
        <f ca="1"/>
      </c>
      <c r="FE442">
        <f ca="1"/>
      </c>
      <c r="FF442">
        <f ca="1"/>
      </c>
      <c r="FG442">
        <f ca="1"/>
      </c>
      <c r="FH442">
        <f ca="1"/>
      </c>
      <c r="FI442">
        <f ca="1"/>
      </c>
      <c r="FJ442">
        <f ca="1"/>
      </c>
      <c r="FK442">
        <f ca="1"/>
      </c>
      <c r="FL442">
        <f ca="1"/>
      </c>
      <c r="FM442">
        <f ca="1"/>
      </c>
      <c r="FN442">
        <f ca="1"/>
      </c>
      <c r="FO442">
        <f ca="1"/>
      </c>
      <c r="FP442">
        <f ca="1"/>
      </c>
      <c r="FQ442">
        <f ca="1"/>
      </c>
      <c r="FR442">
        <f ca="1"/>
      </c>
      <c r="FS442">
        <f ca="1"/>
      </c>
      <c r="FT442">
        <f ca="1"/>
      </c>
      <c r="FU442">
        <f ca="1"/>
      </c>
      <c r="FV442">
        <f ca="1"/>
      </c>
      <c r="FW442">
        <f ca="1"/>
      </c>
      <c r="FX442">
        <f ca="1"/>
      </c>
      <c r="FY442">
        <f ca="1"/>
      </c>
      <c r="FZ442">
        <f ca="1"/>
      </c>
      <c r="GA442">
        <f ca="1"/>
      </c>
      <c r="GB442">
        <f ca="1"/>
      </c>
      <c r="GC442">
        <f ca="1"/>
      </c>
      <c r="GD442">
        <f ca="1"/>
      </c>
      <c r="GE442">
        <f ca="1"/>
      </c>
      <c r="GF442">
        <f ca="1"/>
      </c>
      <c r="GG442">
        <f ca="1"/>
      </c>
      <c r="GH442">
        <f ca="1"/>
      </c>
      <c r="GI442">
        <f ca="1"/>
      </c>
      <c r="GJ442">
        <f ca="1"/>
      </c>
      <c r="GK442">
        <f ca="1"/>
      </c>
      <c r="GL442">
        <f ca="1"/>
      </c>
      <c r="GM442">
        <f ca="1"/>
      </c>
      <c r="GN442">
        <f ca="1"/>
      </c>
      <c r="GO442">
        <f ca="1"/>
      </c>
      <c r="GP442">
        <f ca="1"/>
      </c>
      <c r="GQ442">
        <f ca="1"/>
      </c>
      <c r="GR442">
        <f ca="1"/>
      </c>
      <c r="GS442">
        <f ca="1"/>
      </c>
      <c r="GT442">
        <f ca="1"/>
      </c>
      <c r="GU442">
        <f ca="1"/>
      </c>
      <c r="GV442">
        <f ca="1"/>
      </c>
      <c r="GW442">
        <f ca="1"/>
      </c>
      <c r="HI442" s="7"/>
    </row>
    <row r="443" spans="63:217" x14ac:dyDescent="0.55000000000000004">
      <c r="BK443">
        <f ca="1"/>
      </c>
      <c r="BL443">
        <f ca="1"/>
      </c>
      <c r="BM443">
        <f ca="1"/>
      </c>
      <c r="BN443">
        <f ca="1"/>
      </c>
      <c r="BO443">
        <f ca="1"/>
      </c>
      <c r="BP443">
        <f ca="1"/>
      </c>
      <c r="BQ443">
        <f ca="1"/>
      </c>
      <c r="BR443">
        <f ca="1"/>
      </c>
      <c r="BS443">
        <f ca="1"/>
      </c>
      <c r="BT443">
        <f ca="1"/>
      </c>
      <c r="BU443">
        <f ca="1"/>
      </c>
      <c r="BV443">
        <f ca="1"/>
      </c>
      <c r="BW443">
        <f ca="1"/>
      </c>
      <c r="BX443">
        <f ca="1"/>
      </c>
      <c r="BY443">
        <f ca="1"/>
      </c>
      <c r="BZ443">
        <f ca="1"/>
      </c>
      <c r="CA443">
        <f ca="1"/>
      </c>
      <c r="CB443">
        <f ca="1"/>
      </c>
      <c r="CC443">
        <f ca="1"/>
      </c>
      <c r="CD443">
        <f ca="1"/>
      </c>
      <c r="CE443">
        <f ca="1"/>
      </c>
      <c r="CF443">
        <f ca="1"/>
      </c>
      <c r="CG443">
        <f ca="1"/>
      </c>
      <c r="CH443">
        <f ca="1"/>
      </c>
      <c r="CI443">
        <f ca="1"/>
      </c>
      <c r="CJ443">
        <f ca="1"/>
      </c>
      <c r="CK443">
        <f ca="1"/>
      </c>
      <c r="CL443">
        <f ca="1"/>
      </c>
      <c r="CM443">
        <f ca="1"/>
      </c>
      <c r="CN443">
        <f ca="1"/>
      </c>
      <c r="CO443">
        <f ca="1"/>
      </c>
      <c r="CP443">
        <f ca="1"/>
      </c>
      <c r="CQ443">
        <f ca="1"/>
      </c>
      <c r="CR443">
        <f ca="1"/>
      </c>
      <c r="CS443">
        <f ca="1"/>
      </c>
      <c r="CT443">
        <f ca="1"/>
      </c>
      <c r="CU443">
        <f ca="1"/>
      </c>
      <c r="CV443">
        <f ca="1"/>
      </c>
      <c r="CW443">
        <f ca="1"/>
      </c>
      <c r="CX443">
        <f ca="1"/>
      </c>
      <c r="CY443">
        <f ca="1"/>
      </c>
      <c r="CZ443">
        <f ca="1"/>
      </c>
      <c r="DA443">
        <f ca="1"/>
      </c>
      <c r="DB443">
        <f ca="1"/>
      </c>
      <c r="DC443">
        <f ca="1"/>
      </c>
      <c r="DD443">
        <f ca="1"/>
      </c>
      <c r="DE443">
        <f ca="1"/>
      </c>
      <c r="DG443">
        <f ca="1"/>
      </c>
      <c r="DH443">
        <f ca="1"/>
      </c>
      <c r="DI443">
        <f ca="1"/>
      </c>
      <c r="DJ443">
        <f ca="1"/>
      </c>
      <c r="DK443">
        <f ca="1"/>
      </c>
      <c r="DL443">
        <f ca="1"/>
      </c>
      <c r="DM443">
        <f ca="1"/>
      </c>
      <c r="DN443">
        <f ca="1"/>
      </c>
      <c r="DO443">
        <f ca="1"/>
      </c>
      <c r="DP443">
        <f ca="1"/>
      </c>
      <c r="DQ443">
        <f ca="1"/>
      </c>
      <c r="DR443">
        <f ca="1"/>
      </c>
      <c r="DS443">
        <f ca="1"/>
      </c>
      <c r="DT443">
        <f ca="1"/>
      </c>
      <c r="DU443">
        <f ca="1"/>
      </c>
      <c r="DV443">
        <f ca="1"/>
      </c>
      <c r="DW443">
        <f ca="1"/>
      </c>
      <c r="DX443">
        <f ca="1"/>
      </c>
      <c r="DY443">
        <f ca="1"/>
      </c>
      <c r="DZ443">
        <f ca="1"/>
      </c>
      <c r="EA443">
        <f ca="1"/>
      </c>
      <c r="EB443">
        <f ca="1"/>
      </c>
      <c r="EC443">
        <f ca="1"/>
      </c>
      <c r="ED443">
        <f ca="1"/>
      </c>
      <c r="EE443">
        <f ca="1"/>
      </c>
      <c r="EF443">
        <f ca="1"/>
      </c>
      <c r="EG443">
        <f ca="1"/>
      </c>
      <c r="EH443">
        <f ca="1"/>
      </c>
      <c r="EI443">
        <f ca="1"/>
      </c>
      <c r="EJ443">
        <f ca="1"/>
      </c>
      <c r="EK443">
        <f ca="1"/>
      </c>
      <c r="EL443">
        <f ca="1"/>
      </c>
      <c r="EM443">
        <f ca="1"/>
      </c>
      <c r="EN443">
        <f ca="1"/>
      </c>
      <c r="EO443">
        <f ca="1"/>
      </c>
      <c r="EP443">
        <f ca="1"/>
      </c>
      <c r="EQ443">
        <f ca="1"/>
      </c>
      <c r="ER443">
        <f ca="1"/>
      </c>
      <c r="ES443">
        <f ca="1"/>
      </c>
      <c r="ET443">
        <f ca="1"/>
      </c>
      <c r="EU443">
        <f ca="1"/>
      </c>
      <c r="EV443">
        <f ca="1"/>
      </c>
      <c r="EW443">
        <f ca="1"/>
      </c>
      <c r="EX443">
        <f ca="1"/>
      </c>
      <c r="EY443">
        <f ca="1"/>
      </c>
      <c r="EZ443">
        <f ca="1"/>
      </c>
      <c r="FA443">
        <f ca="1"/>
      </c>
      <c r="FC443">
        <f ca="1"/>
      </c>
      <c r="FD443">
        <f ca="1"/>
      </c>
      <c r="FE443">
        <f ca="1"/>
      </c>
      <c r="FF443">
        <f ca="1"/>
      </c>
      <c r="FG443">
        <f ca="1"/>
      </c>
      <c r="FH443">
        <f ca="1"/>
      </c>
      <c r="FI443">
        <f ca="1"/>
      </c>
      <c r="FJ443">
        <f ca="1"/>
      </c>
      <c r="FK443">
        <f ca="1"/>
      </c>
      <c r="FL443">
        <f ca="1"/>
      </c>
      <c r="FM443">
        <f ca="1"/>
      </c>
      <c r="FN443">
        <f ca="1"/>
      </c>
      <c r="FO443">
        <f ca="1"/>
      </c>
      <c r="FP443">
        <f ca="1"/>
      </c>
      <c r="FQ443">
        <f ca="1"/>
      </c>
      <c r="FR443">
        <f ca="1"/>
      </c>
      <c r="FS443">
        <f ca="1"/>
      </c>
      <c r="FT443">
        <f ca="1"/>
      </c>
      <c r="FU443">
        <f ca="1"/>
      </c>
      <c r="FV443">
        <f ca="1"/>
      </c>
      <c r="FW443">
        <f ca="1"/>
      </c>
      <c r="FX443">
        <f ca="1"/>
      </c>
      <c r="FY443">
        <f ca="1"/>
      </c>
      <c r="FZ443">
        <f ca="1"/>
      </c>
      <c r="GA443">
        <f ca="1"/>
      </c>
      <c r="GB443">
        <f ca="1"/>
      </c>
      <c r="GC443">
        <f ca="1"/>
      </c>
      <c r="GD443">
        <f ca="1"/>
      </c>
      <c r="GE443">
        <f ca="1"/>
      </c>
      <c r="GF443">
        <f ca="1"/>
      </c>
      <c r="GG443">
        <f ca="1"/>
      </c>
      <c r="GH443">
        <f ca="1"/>
      </c>
      <c r="GI443">
        <f ca="1"/>
      </c>
      <c r="GJ443">
        <f ca="1"/>
      </c>
      <c r="GK443">
        <f ca="1"/>
      </c>
      <c r="GL443">
        <f ca="1"/>
      </c>
      <c r="GM443">
        <f ca="1"/>
      </c>
      <c r="GN443">
        <f ca="1"/>
      </c>
      <c r="GO443">
        <f ca="1"/>
      </c>
      <c r="GP443">
        <f ca="1"/>
      </c>
      <c r="GQ443">
        <f ca="1"/>
      </c>
      <c r="GR443">
        <f ca="1"/>
      </c>
      <c r="GS443">
        <f ca="1"/>
      </c>
      <c r="GT443">
        <f ca="1"/>
      </c>
      <c r="GU443">
        <f ca="1"/>
      </c>
      <c r="GV443">
        <f ca="1"/>
      </c>
      <c r="GW443">
        <f ca="1"/>
      </c>
      <c r="HI443" s="7"/>
    </row>
    <row r="444" spans="63:217" x14ac:dyDescent="0.55000000000000004">
      <c r="BK444">
        <f ca="1"/>
      </c>
      <c r="BL444">
        <f ca="1"/>
      </c>
      <c r="BM444">
        <f ca="1"/>
      </c>
      <c r="BN444">
        <f ca="1"/>
      </c>
      <c r="BO444">
        <f ca="1"/>
      </c>
      <c r="BP444">
        <f ca="1"/>
      </c>
      <c r="BQ444">
        <f ca="1"/>
      </c>
      <c r="BR444">
        <f ca="1"/>
      </c>
      <c r="BS444">
        <f ca="1"/>
      </c>
      <c r="BT444">
        <f ca="1"/>
      </c>
      <c r="BU444">
        <f ca="1"/>
      </c>
      <c r="BV444">
        <f ca="1"/>
      </c>
      <c r="BW444">
        <f ca="1"/>
      </c>
      <c r="BX444">
        <f ca="1"/>
      </c>
      <c r="BY444">
        <f ca="1"/>
      </c>
      <c r="BZ444">
        <f ca="1"/>
      </c>
      <c r="CA444">
        <f ca="1"/>
      </c>
      <c r="CB444">
        <f ca="1"/>
      </c>
      <c r="CC444">
        <f ca="1"/>
      </c>
      <c r="CD444">
        <f ca="1"/>
      </c>
      <c r="CE444">
        <f ca="1"/>
      </c>
      <c r="CF444">
        <f ca="1"/>
      </c>
      <c r="CG444">
        <f ca="1"/>
      </c>
      <c r="CH444">
        <f ca="1"/>
      </c>
      <c r="CI444">
        <f ca="1"/>
      </c>
      <c r="CJ444">
        <f ca="1"/>
      </c>
      <c r="CK444">
        <f ca="1"/>
      </c>
      <c r="CL444">
        <f ca="1"/>
      </c>
      <c r="CM444">
        <f ca="1"/>
      </c>
      <c r="CN444">
        <f ca="1"/>
      </c>
      <c r="CO444">
        <f ca="1"/>
      </c>
      <c r="CP444">
        <f ca="1"/>
      </c>
      <c r="CQ444">
        <f ca="1"/>
      </c>
      <c r="CR444">
        <f ca="1"/>
      </c>
      <c r="CS444">
        <f ca="1"/>
      </c>
      <c r="CT444">
        <f ca="1"/>
      </c>
      <c r="CU444">
        <f ca="1"/>
      </c>
      <c r="CV444">
        <f ca="1"/>
      </c>
      <c r="CW444">
        <f ca="1"/>
      </c>
      <c r="CX444">
        <f ca="1"/>
      </c>
      <c r="CY444">
        <f ca="1"/>
      </c>
      <c r="CZ444">
        <f ca="1"/>
      </c>
      <c r="DA444">
        <f ca="1"/>
      </c>
      <c r="DB444">
        <f ca="1"/>
      </c>
      <c r="DC444">
        <f ca="1"/>
      </c>
      <c r="DD444">
        <f ca="1"/>
      </c>
      <c r="DE444">
        <f ca="1"/>
      </c>
      <c r="DG444">
        <f ca="1"/>
      </c>
      <c r="DH444">
        <f ca="1"/>
      </c>
      <c r="DI444">
        <f ca="1"/>
      </c>
      <c r="DJ444">
        <f ca="1"/>
      </c>
      <c r="DK444">
        <f ca="1"/>
      </c>
      <c r="DL444">
        <f ca="1"/>
      </c>
      <c r="DM444">
        <f ca="1"/>
      </c>
      <c r="DN444">
        <f ca="1"/>
      </c>
      <c r="DO444">
        <f ca="1"/>
      </c>
      <c r="DP444">
        <f ca="1"/>
      </c>
      <c r="DQ444">
        <f ca="1"/>
      </c>
      <c r="DR444">
        <f ca="1"/>
      </c>
      <c r="DS444">
        <f ca="1"/>
      </c>
      <c r="DT444">
        <f ca="1"/>
      </c>
      <c r="DU444">
        <f ca="1"/>
      </c>
      <c r="DV444">
        <f ca="1"/>
      </c>
      <c r="DW444">
        <f ca="1"/>
      </c>
      <c r="DX444">
        <f ca="1"/>
      </c>
      <c r="DY444">
        <f ca="1"/>
      </c>
      <c r="DZ444">
        <f ca="1"/>
      </c>
      <c r="EA444">
        <f ca="1"/>
      </c>
      <c r="EB444">
        <f ca="1"/>
      </c>
      <c r="EC444">
        <f ca="1"/>
      </c>
      <c r="ED444">
        <f ca="1"/>
      </c>
      <c r="EE444">
        <f ca="1"/>
      </c>
      <c r="EF444">
        <f ca="1"/>
      </c>
      <c r="EG444">
        <f ca="1"/>
      </c>
      <c r="EH444">
        <f ca="1"/>
      </c>
      <c r="EI444">
        <f ca="1"/>
      </c>
      <c r="EJ444">
        <f ca="1"/>
      </c>
      <c r="EK444">
        <f ca="1"/>
      </c>
      <c r="EL444">
        <f ca="1"/>
      </c>
      <c r="EM444">
        <f ca="1"/>
      </c>
      <c r="EN444">
        <f ca="1"/>
      </c>
      <c r="EO444">
        <f ca="1"/>
      </c>
      <c r="EP444">
        <f ca="1"/>
      </c>
      <c r="EQ444">
        <f ca="1"/>
      </c>
      <c r="ER444">
        <f ca="1"/>
      </c>
      <c r="ES444">
        <f ca="1"/>
      </c>
      <c r="ET444">
        <f ca="1"/>
      </c>
      <c r="EU444">
        <f ca="1"/>
      </c>
      <c r="EV444">
        <f ca="1"/>
      </c>
      <c r="EW444">
        <f ca="1"/>
      </c>
      <c r="EX444">
        <f ca="1"/>
      </c>
      <c r="EY444">
        <f ca="1"/>
      </c>
      <c r="EZ444">
        <f ca="1"/>
      </c>
      <c r="FA444">
        <f ca="1"/>
      </c>
      <c r="FC444">
        <f ca="1"/>
      </c>
      <c r="FD444">
        <f ca="1"/>
      </c>
      <c r="FE444">
        <f ca="1"/>
      </c>
      <c r="FF444">
        <f ca="1"/>
      </c>
      <c r="FG444">
        <f ca="1"/>
      </c>
      <c r="FH444">
        <f ca="1"/>
      </c>
      <c r="FI444">
        <f ca="1"/>
      </c>
      <c r="FJ444">
        <f ca="1"/>
      </c>
      <c r="FK444">
        <f ca="1"/>
      </c>
      <c r="FL444">
        <f ca="1"/>
      </c>
      <c r="FM444">
        <f ca="1"/>
      </c>
      <c r="FN444">
        <f ca="1"/>
      </c>
      <c r="FO444">
        <f ca="1"/>
      </c>
      <c r="FP444">
        <f ca="1"/>
      </c>
      <c r="FQ444">
        <f ca="1"/>
      </c>
      <c r="FR444">
        <f ca="1"/>
      </c>
      <c r="FS444">
        <f ca="1"/>
      </c>
      <c r="FT444">
        <f ca="1"/>
      </c>
      <c r="FU444">
        <f ca="1"/>
      </c>
      <c r="FV444">
        <f ca="1"/>
      </c>
      <c r="FW444">
        <f ca="1"/>
      </c>
      <c r="FX444">
        <f ca="1"/>
      </c>
      <c r="FY444">
        <f ca="1"/>
      </c>
      <c r="FZ444">
        <f ca="1"/>
      </c>
      <c r="GA444">
        <f ca="1"/>
      </c>
      <c r="GB444">
        <f ca="1"/>
      </c>
      <c r="GC444">
        <f ca="1"/>
      </c>
      <c r="GD444">
        <f ca="1"/>
      </c>
      <c r="GE444">
        <f ca="1"/>
      </c>
      <c r="GF444">
        <f ca="1"/>
      </c>
      <c r="GG444">
        <f ca="1"/>
      </c>
      <c r="GH444">
        <f ca="1"/>
      </c>
      <c r="GI444">
        <f ca="1"/>
      </c>
      <c r="GJ444">
        <f ca="1"/>
      </c>
      <c r="GK444">
        <f ca="1"/>
      </c>
      <c r="GL444">
        <f ca="1"/>
      </c>
      <c r="GM444">
        <f ca="1"/>
      </c>
      <c r="GN444">
        <f ca="1"/>
      </c>
      <c r="GO444">
        <f ca="1"/>
      </c>
      <c r="GP444">
        <f ca="1"/>
      </c>
      <c r="GQ444">
        <f ca="1"/>
      </c>
      <c r="GR444">
        <f ca="1"/>
      </c>
      <c r="GS444">
        <f ca="1"/>
      </c>
      <c r="GT444">
        <f ca="1"/>
      </c>
      <c r="GU444">
        <f ca="1"/>
      </c>
      <c r="GV444">
        <f ca="1"/>
      </c>
      <c r="GW444">
        <f ca="1"/>
      </c>
      <c r="HI444" s="7"/>
    </row>
    <row r="445" spans="63:217" x14ac:dyDescent="0.55000000000000004">
      <c r="BK445">
        <f ca="1"/>
      </c>
      <c r="BL445">
        <f ca="1"/>
      </c>
      <c r="BM445">
        <f ca="1"/>
      </c>
      <c r="BN445">
        <f ca="1"/>
      </c>
      <c r="BO445">
        <f ca="1"/>
      </c>
      <c r="BP445">
        <f ca="1"/>
      </c>
      <c r="BQ445">
        <f ca="1"/>
      </c>
      <c r="BR445">
        <f ca="1"/>
      </c>
      <c r="BS445">
        <f ca="1"/>
      </c>
      <c r="BT445">
        <f ca="1"/>
      </c>
      <c r="BU445">
        <f ca="1"/>
      </c>
      <c r="BV445">
        <f ca="1"/>
      </c>
      <c r="BW445">
        <f ca="1"/>
      </c>
      <c r="BX445">
        <f ca="1"/>
      </c>
      <c r="BY445">
        <f ca="1"/>
      </c>
      <c r="BZ445">
        <f ca="1"/>
      </c>
      <c r="CA445">
        <f ca="1"/>
      </c>
      <c r="CB445">
        <f ca="1"/>
      </c>
      <c r="CC445">
        <f ca="1"/>
      </c>
      <c r="CD445">
        <f ca="1"/>
      </c>
      <c r="CE445">
        <f ca="1"/>
      </c>
      <c r="CF445">
        <f ca="1"/>
      </c>
      <c r="CG445">
        <f ca="1"/>
      </c>
      <c r="CH445">
        <f ca="1"/>
      </c>
      <c r="CI445">
        <f ca="1"/>
      </c>
      <c r="CJ445">
        <f ca="1"/>
      </c>
      <c r="CK445">
        <f ca="1"/>
      </c>
      <c r="CL445">
        <f ca="1"/>
      </c>
      <c r="CM445">
        <f ca="1"/>
      </c>
      <c r="CN445">
        <f ca="1"/>
      </c>
      <c r="CO445">
        <f ca="1"/>
      </c>
      <c r="CP445">
        <f ca="1"/>
      </c>
      <c r="CQ445">
        <f ca="1"/>
      </c>
      <c r="CR445">
        <f ca="1"/>
      </c>
      <c r="CS445">
        <f ca="1"/>
      </c>
      <c r="CT445">
        <f ca="1"/>
      </c>
      <c r="CU445">
        <f ca="1"/>
      </c>
      <c r="CV445">
        <f ca="1"/>
      </c>
      <c r="CW445">
        <f ca="1"/>
      </c>
      <c r="CX445">
        <f ca="1"/>
      </c>
      <c r="CY445">
        <f ca="1"/>
      </c>
      <c r="CZ445">
        <f ca="1"/>
      </c>
      <c r="DA445">
        <f ca="1"/>
      </c>
      <c r="DB445">
        <f ca="1"/>
      </c>
      <c r="DC445">
        <f ca="1"/>
      </c>
      <c r="DD445">
        <f ca="1"/>
      </c>
      <c r="DE445">
        <f ca="1"/>
      </c>
      <c r="DG445">
        <f ca="1"/>
      </c>
      <c r="DH445">
        <f ca="1"/>
      </c>
      <c r="DI445">
        <f ca="1"/>
      </c>
      <c r="DJ445">
        <f ca="1"/>
      </c>
      <c r="DK445">
        <f ca="1"/>
      </c>
      <c r="DL445">
        <f ca="1"/>
      </c>
      <c r="DM445">
        <f ca="1"/>
      </c>
      <c r="DN445">
        <f ca="1"/>
      </c>
      <c r="DO445">
        <f ca="1"/>
      </c>
      <c r="DP445">
        <f ca="1"/>
      </c>
      <c r="DQ445">
        <f ca="1"/>
      </c>
      <c r="DR445">
        <f ca="1"/>
      </c>
      <c r="DS445">
        <f ca="1"/>
      </c>
      <c r="DT445">
        <f ca="1"/>
      </c>
      <c r="DU445">
        <f ca="1"/>
      </c>
      <c r="DV445">
        <f ca="1"/>
      </c>
      <c r="DW445">
        <f ca="1"/>
      </c>
      <c r="DX445">
        <f ca="1"/>
      </c>
      <c r="DY445">
        <f ca="1"/>
      </c>
      <c r="DZ445">
        <f ca="1"/>
      </c>
      <c r="EA445">
        <f ca="1"/>
      </c>
      <c r="EB445">
        <f ca="1"/>
      </c>
      <c r="EC445">
        <f ca="1"/>
      </c>
      <c r="ED445">
        <f ca="1"/>
      </c>
      <c r="EE445">
        <f ca="1"/>
      </c>
      <c r="EF445">
        <f ca="1"/>
      </c>
      <c r="EG445">
        <f ca="1"/>
      </c>
      <c r="EH445">
        <f ca="1"/>
      </c>
      <c r="EI445">
        <f ca="1"/>
      </c>
      <c r="EJ445">
        <f ca="1"/>
      </c>
      <c r="EK445">
        <f ca="1"/>
      </c>
      <c r="EL445">
        <f ca="1"/>
      </c>
      <c r="EM445">
        <f ca="1"/>
      </c>
      <c r="EN445">
        <f ca="1"/>
      </c>
      <c r="EO445">
        <f ca="1"/>
      </c>
      <c r="EP445">
        <f ca="1"/>
      </c>
      <c r="EQ445">
        <f ca="1"/>
      </c>
      <c r="ER445">
        <f ca="1"/>
      </c>
      <c r="ES445">
        <f ca="1"/>
      </c>
      <c r="ET445">
        <f ca="1"/>
      </c>
      <c r="EU445">
        <f ca="1"/>
      </c>
      <c r="EV445">
        <f ca="1"/>
      </c>
      <c r="EW445">
        <f ca="1"/>
      </c>
      <c r="EX445">
        <f ca="1"/>
      </c>
      <c r="EY445">
        <f ca="1"/>
      </c>
      <c r="EZ445">
        <f ca="1"/>
      </c>
      <c r="FA445">
        <f ca="1"/>
      </c>
      <c r="FC445">
        <f ca="1"/>
      </c>
      <c r="FD445">
        <f ca="1"/>
      </c>
      <c r="FE445">
        <f ca="1"/>
      </c>
      <c r="FF445">
        <f ca="1"/>
      </c>
      <c r="FG445">
        <f ca="1"/>
      </c>
      <c r="FH445">
        <f ca="1"/>
      </c>
      <c r="FI445">
        <f ca="1"/>
      </c>
      <c r="FJ445">
        <f ca="1"/>
      </c>
      <c r="FK445">
        <f ca="1"/>
      </c>
      <c r="FL445">
        <f ca="1"/>
      </c>
      <c r="FM445">
        <f ca="1"/>
      </c>
      <c r="FN445">
        <f ca="1"/>
      </c>
      <c r="FO445">
        <f ca="1"/>
      </c>
      <c r="FP445">
        <f ca="1"/>
      </c>
      <c r="FQ445">
        <f ca="1"/>
      </c>
      <c r="FR445">
        <f ca="1"/>
      </c>
      <c r="FS445">
        <f ca="1"/>
      </c>
      <c r="FT445">
        <f ca="1"/>
      </c>
      <c r="FU445">
        <f ca="1"/>
      </c>
      <c r="FV445">
        <f ca="1"/>
      </c>
      <c r="FW445">
        <f ca="1"/>
      </c>
      <c r="FX445">
        <f ca="1"/>
      </c>
      <c r="FY445">
        <f ca="1"/>
      </c>
      <c r="FZ445">
        <f ca="1"/>
      </c>
      <c r="GA445">
        <f ca="1"/>
      </c>
      <c r="GB445">
        <f ca="1"/>
      </c>
      <c r="GC445">
        <f ca="1"/>
      </c>
      <c r="GD445">
        <f ca="1"/>
      </c>
      <c r="GE445">
        <f ca="1"/>
      </c>
      <c r="GF445">
        <f ca="1"/>
      </c>
      <c r="GG445">
        <f ca="1"/>
      </c>
      <c r="GH445">
        <f ca="1"/>
      </c>
      <c r="GI445">
        <f ca="1"/>
      </c>
      <c r="GJ445">
        <f ca="1"/>
      </c>
      <c r="GK445">
        <f ca="1"/>
      </c>
      <c r="GL445">
        <f ca="1"/>
      </c>
      <c r="GM445">
        <f ca="1"/>
      </c>
      <c r="GN445">
        <f ca="1"/>
      </c>
      <c r="GO445">
        <f ca="1"/>
      </c>
      <c r="GP445">
        <f ca="1"/>
      </c>
      <c r="GQ445">
        <f ca="1"/>
      </c>
      <c r="GR445">
        <f ca="1"/>
      </c>
      <c r="GS445">
        <f ca="1"/>
      </c>
      <c r="GT445">
        <f ca="1"/>
      </c>
      <c r="GU445">
        <f ca="1"/>
      </c>
      <c r="GV445">
        <f ca="1"/>
      </c>
      <c r="GW445">
        <f ca="1"/>
      </c>
      <c r="HI445" s="7"/>
    </row>
    <row r="446" spans="63:217" x14ac:dyDescent="0.55000000000000004">
      <c r="BK446">
        <f ca="1"/>
      </c>
      <c r="BL446">
        <f ca="1"/>
      </c>
      <c r="BM446">
        <f ca="1"/>
      </c>
      <c r="BN446">
        <f ca="1"/>
      </c>
      <c r="BO446">
        <f ca="1"/>
      </c>
      <c r="BP446">
        <f ca="1"/>
      </c>
      <c r="BQ446">
        <f ca="1"/>
      </c>
      <c r="BR446">
        <f ca="1"/>
      </c>
      <c r="BS446">
        <f ca="1"/>
      </c>
      <c r="BT446">
        <f ca="1"/>
      </c>
      <c r="BU446">
        <f ca="1"/>
      </c>
      <c r="BV446">
        <f ca="1"/>
      </c>
      <c r="BW446">
        <f ca="1"/>
      </c>
      <c r="BX446">
        <f ca="1"/>
      </c>
      <c r="BY446">
        <f ca="1"/>
      </c>
      <c r="BZ446">
        <f ca="1"/>
      </c>
      <c r="CA446">
        <f ca="1"/>
      </c>
      <c r="CB446">
        <f ca="1"/>
      </c>
      <c r="CC446">
        <f ca="1"/>
      </c>
      <c r="CD446">
        <f ca="1"/>
      </c>
      <c r="CE446">
        <f ca="1"/>
      </c>
      <c r="CF446">
        <f ca="1"/>
      </c>
      <c r="CG446">
        <f ca="1"/>
      </c>
      <c r="CH446">
        <f ca="1"/>
      </c>
      <c r="CI446">
        <f ca="1"/>
      </c>
      <c r="CJ446">
        <f ca="1"/>
      </c>
      <c r="CK446">
        <f ca="1"/>
      </c>
      <c r="CL446">
        <f ca="1"/>
      </c>
      <c r="CM446">
        <f ca="1"/>
      </c>
      <c r="CN446">
        <f ca="1"/>
      </c>
      <c r="CO446">
        <f ca="1"/>
      </c>
      <c r="CP446">
        <f ca="1"/>
      </c>
      <c r="CQ446">
        <f ca="1"/>
      </c>
      <c r="CR446">
        <f ca="1"/>
      </c>
      <c r="CS446">
        <f ca="1"/>
      </c>
      <c r="CT446">
        <f ca="1"/>
      </c>
      <c r="CU446">
        <f ca="1"/>
      </c>
      <c r="CV446">
        <f ca="1"/>
      </c>
      <c r="CW446">
        <f ca="1"/>
      </c>
      <c r="CX446">
        <f ca="1"/>
      </c>
      <c r="CY446">
        <f ca="1"/>
      </c>
      <c r="CZ446">
        <f ca="1"/>
      </c>
      <c r="DA446">
        <f ca="1"/>
      </c>
      <c r="DB446">
        <f ca="1"/>
      </c>
      <c r="DC446">
        <f ca="1"/>
      </c>
      <c r="DD446">
        <f ca="1"/>
      </c>
      <c r="DE446">
        <f ca="1"/>
      </c>
      <c r="DG446">
        <f ca="1"/>
      </c>
      <c r="DH446">
        <f ca="1"/>
      </c>
      <c r="DI446">
        <f ca="1"/>
      </c>
      <c r="DJ446">
        <f ca="1"/>
      </c>
      <c r="DK446">
        <f ca="1"/>
      </c>
      <c r="DL446">
        <f ca="1"/>
      </c>
      <c r="DM446">
        <f ca="1"/>
      </c>
      <c r="DN446">
        <f ca="1"/>
      </c>
      <c r="DO446">
        <f ca="1"/>
      </c>
      <c r="DP446">
        <f ca="1"/>
      </c>
      <c r="DQ446">
        <f ca="1"/>
      </c>
      <c r="DR446">
        <f ca="1"/>
      </c>
      <c r="DS446">
        <f ca="1"/>
      </c>
      <c r="DT446">
        <f ca="1"/>
      </c>
      <c r="DU446">
        <f ca="1"/>
      </c>
      <c r="DV446">
        <f ca="1"/>
      </c>
      <c r="DW446">
        <f ca="1"/>
      </c>
      <c r="DX446">
        <f ca="1"/>
      </c>
      <c r="DY446">
        <f ca="1"/>
      </c>
      <c r="DZ446">
        <f ca="1"/>
      </c>
      <c r="EA446">
        <f ca="1"/>
      </c>
      <c r="EB446">
        <f ca="1"/>
      </c>
      <c r="EC446">
        <f ca="1"/>
      </c>
      <c r="ED446">
        <f ca="1"/>
      </c>
      <c r="EE446">
        <f ca="1"/>
      </c>
      <c r="EF446">
        <f ca="1"/>
      </c>
      <c r="EG446">
        <f ca="1"/>
      </c>
      <c r="EH446">
        <f ca="1"/>
      </c>
      <c r="EI446">
        <f ca="1"/>
      </c>
      <c r="EJ446">
        <f ca="1"/>
      </c>
      <c r="EK446">
        <f ca="1"/>
      </c>
      <c r="EL446">
        <f ca="1"/>
      </c>
      <c r="EM446">
        <f ca="1"/>
      </c>
      <c r="EN446">
        <f ca="1"/>
      </c>
      <c r="EO446">
        <f ca="1"/>
      </c>
      <c r="EP446">
        <f ca="1"/>
      </c>
      <c r="EQ446">
        <f ca="1"/>
      </c>
      <c r="ER446">
        <f ca="1"/>
      </c>
      <c r="ES446">
        <f ca="1"/>
      </c>
      <c r="ET446">
        <f ca="1"/>
      </c>
      <c r="EU446">
        <f ca="1"/>
      </c>
      <c r="EV446">
        <f ca="1"/>
      </c>
      <c r="EW446">
        <f ca="1"/>
      </c>
      <c r="EX446">
        <f ca="1"/>
      </c>
      <c r="EY446">
        <f ca="1"/>
      </c>
      <c r="EZ446">
        <f ca="1"/>
      </c>
      <c r="FA446">
        <f ca="1"/>
      </c>
      <c r="FC446">
        <f ca="1"/>
      </c>
      <c r="FD446">
        <f ca="1"/>
      </c>
      <c r="FE446">
        <f ca="1"/>
      </c>
      <c r="FF446">
        <f ca="1"/>
      </c>
      <c r="FG446">
        <f ca="1"/>
      </c>
      <c r="FH446">
        <f ca="1"/>
      </c>
      <c r="FI446">
        <f ca="1"/>
      </c>
      <c r="FJ446">
        <f ca="1"/>
      </c>
      <c r="FK446">
        <f ca="1"/>
      </c>
      <c r="FL446">
        <f ca="1"/>
      </c>
      <c r="FM446">
        <f ca="1"/>
      </c>
      <c r="FN446">
        <f ca="1"/>
      </c>
      <c r="FO446">
        <f ca="1"/>
      </c>
      <c r="FP446">
        <f ca="1"/>
      </c>
      <c r="FQ446">
        <f ca="1"/>
      </c>
      <c r="FR446">
        <f ca="1"/>
      </c>
      <c r="FS446">
        <f ca="1"/>
      </c>
      <c r="FT446">
        <f ca="1"/>
      </c>
      <c r="FU446">
        <f ca="1"/>
      </c>
      <c r="FV446">
        <f ca="1"/>
      </c>
      <c r="FW446">
        <f ca="1"/>
      </c>
      <c r="FX446">
        <f ca="1"/>
      </c>
      <c r="FY446">
        <f ca="1"/>
      </c>
      <c r="FZ446">
        <f ca="1"/>
      </c>
      <c r="GA446">
        <f ca="1"/>
      </c>
      <c r="GB446">
        <f ca="1"/>
      </c>
      <c r="GC446">
        <f ca="1"/>
      </c>
      <c r="GD446">
        <f ca="1"/>
      </c>
      <c r="GE446">
        <f ca="1"/>
      </c>
      <c r="GF446">
        <f ca="1"/>
      </c>
      <c r="GG446">
        <f ca="1"/>
      </c>
      <c r="GH446">
        <f ca="1"/>
      </c>
      <c r="GI446">
        <f ca="1"/>
      </c>
      <c r="GJ446">
        <f ca="1"/>
      </c>
      <c r="GK446">
        <f ca="1"/>
      </c>
      <c r="GL446">
        <f ca="1"/>
      </c>
      <c r="GM446">
        <f ca="1"/>
      </c>
      <c r="GN446">
        <f ca="1"/>
      </c>
      <c r="GO446">
        <f ca="1"/>
      </c>
      <c r="GP446">
        <f ca="1"/>
      </c>
      <c r="GQ446">
        <f ca="1"/>
      </c>
      <c r="GR446">
        <f ca="1"/>
      </c>
      <c r="GS446">
        <f ca="1"/>
      </c>
      <c r="GT446">
        <f ca="1"/>
      </c>
      <c r="GU446">
        <f ca="1"/>
      </c>
      <c r="GV446">
        <f ca="1"/>
      </c>
      <c r="GW446">
        <f ca="1"/>
      </c>
      <c r="HI446" s="7"/>
    </row>
    <row r="447" spans="63:217" x14ac:dyDescent="0.55000000000000004">
      <c r="BK447">
        <f ca="1"/>
      </c>
      <c r="BL447">
        <f ca="1"/>
      </c>
      <c r="BM447">
        <f ca="1"/>
      </c>
      <c r="BN447">
        <f ca="1"/>
      </c>
      <c r="BO447">
        <f ca="1"/>
      </c>
      <c r="BP447">
        <f ca="1"/>
      </c>
      <c r="BQ447">
        <f ca="1"/>
      </c>
      <c r="BR447">
        <f ca="1"/>
      </c>
      <c r="BS447">
        <f ca="1"/>
      </c>
      <c r="BT447">
        <f ca="1"/>
      </c>
      <c r="BU447">
        <f ca="1"/>
      </c>
      <c r="BV447">
        <f ca="1"/>
      </c>
      <c r="BW447">
        <f ca="1"/>
      </c>
      <c r="BX447">
        <f ca="1"/>
      </c>
      <c r="BY447">
        <f ca="1"/>
      </c>
      <c r="BZ447">
        <f ca="1"/>
      </c>
      <c r="CA447">
        <f ca="1"/>
      </c>
      <c r="CB447">
        <f ca="1"/>
      </c>
      <c r="CC447">
        <f ca="1"/>
      </c>
      <c r="CD447">
        <f ca="1"/>
      </c>
      <c r="CE447">
        <f ca="1"/>
      </c>
      <c r="CF447">
        <f ca="1"/>
      </c>
      <c r="CG447">
        <f ca="1"/>
      </c>
      <c r="CH447">
        <f ca="1"/>
      </c>
      <c r="CI447">
        <f ca="1"/>
      </c>
      <c r="CJ447">
        <f ca="1"/>
      </c>
      <c r="CK447">
        <f ca="1"/>
      </c>
      <c r="CL447">
        <f ca="1"/>
      </c>
      <c r="CM447">
        <f ca="1"/>
      </c>
      <c r="CN447">
        <f ca="1"/>
      </c>
      <c r="CO447">
        <f ca="1"/>
      </c>
      <c r="CP447">
        <f ca="1"/>
      </c>
      <c r="CQ447">
        <f ca="1"/>
      </c>
      <c r="CR447">
        <f ca="1"/>
      </c>
      <c r="CS447">
        <f ca="1"/>
      </c>
      <c r="CT447">
        <f ca="1"/>
      </c>
      <c r="CU447">
        <f ca="1"/>
      </c>
      <c r="CV447">
        <f ca="1"/>
      </c>
      <c r="CW447">
        <f ca="1"/>
      </c>
      <c r="CX447">
        <f ca="1"/>
      </c>
      <c r="CY447">
        <f ca="1"/>
      </c>
      <c r="CZ447">
        <f ca="1"/>
      </c>
      <c r="DA447">
        <f ca="1"/>
      </c>
      <c r="DB447">
        <f ca="1"/>
      </c>
      <c r="DC447">
        <f ca="1"/>
      </c>
      <c r="DD447">
        <f ca="1"/>
      </c>
      <c r="DE447">
        <f ca="1"/>
      </c>
      <c r="DG447">
        <f ca="1"/>
      </c>
      <c r="DH447">
        <f ca="1"/>
      </c>
      <c r="DI447">
        <f ca="1"/>
      </c>
      <c r="DJ447">
        <f ca="1"/>
      </c>
      <c r="DK447">
        <f ca="1"/>
      </c>
      <c r="DL447">
        <f ca="1"/>
      </c>
      <c r="DM447">
        <f ca="1"/>
      </c>
      <c r="DN447">
        <f ca="1"/>
      </c>
      <c r="DO447">
        <f ca="1"/>
      </c>
      <c r="DP447">
        <f ca="1"/>
      </c>
      <c r="DQ447">
        <f ca="1"/>
      </c>
      <c r="DR447">
        <f ca="1"/>
      </c>
      <c r="DS447">
        <f ca="1"/>
      </c>
      <c r="DT447">
        <f ca="1"/>
      </c>
      <c r="DU447">
        <f ca="1"/>
      </c>
      <c r="DV447">
        <f ca="1"/>
      </c>
      <c r="DW447">
        <f ca="1"/>
      </c>
      <c r="DX447">
        <f ca="1"/>
      </c>
      <c r="DY447">
        <f ca="1"/>
      </c>
      <c r="DZ447">
        <f ca="1"/>
      </c>
      <c r="EA447">
        <f ca="1"/>
      </c>
      <c r="EB447">
        <f ca="1"/>
      </c>
      <c r="EC447">
        <f ca="1"/>
      </c>
      <c r="ED447">
        <f ca="1"/>
      </c>
      <c r="EE447">
        <f ca="1"/>
      </c>
      <c r="EF447">
        <f ca="1"/>
      </c>
      <c r="EG447">
        <f ca="1"/>
      </c>
      <c r="EH447">
        <f ca="1"/>
      </c>
      <c r="EI447">
        <f ca="1"/>
      </c>
      <c r="EJ447">
        <f ca="1"/>
      </c>
      <c r="EK447">
        <f ca="1"/>
      </c>
      <c r="EL447">
        <f ca="1"/>
      </c>
      <c r="EM447">
        <f ca="1"/>
      </c>
      <c r="EN447">
        <f ca="1"/>
      </c>
      <c r="EO447">
        <f ca="1"/>
      </c>
      <c r="EP447">
        <f ca="1"/>
      </c>
      <c r="EQ447">
        <f ca="1"/>
      </c>
      <c r="ER447">
        <f ca="1"/>
      </c>
      <c r="ES447">
        <f ca="1"/>
      </c>
      <c r="ET447">
        <f ca="1"/>
      </c>
      <c r="EU447">
        <f ca="1"/>
      </c>
      <c r="EV447">
        <f ca="1"/>
      </c>
      <c r="EW447">
        <f ca="1"/>
      </c>
      <c r="EX447">
        <f ca="1"/>
      </c>
      <c r="EY447">
        <f ca="1"/>
      </c>
      <c r="EZ447">
        <f ca="1"/>
      </c>
      <c r="FA447">
        <f ca="1"/>
      </c>
      <c r="FC447">
        <f ca="1"/>
      </c>
      <c r="FD447">
        <f ca="1"/>
      </c>
      <c r="FE447">
        <f ca="1"/>
      </c>
      <c r="FF447">
        <f ca="1"/>
      </c>
      <c r="FG447">
        <f ca="1"/>
      </c>
      <c r="FH447">
        <f ca="1"/>
      </c>
      <c r="FI447">
        <f ca="1"/>
      </c>
      <c r="FJ447">
        <f ca="1"/>
      </c>
      <c r="FK447">
        <f ca="1"/>
      </c>
      <c r="FL447">
        <f ca="1"/>
      </c>
      <c r="FM447">
        <f ca="1"/>
      </c>
      <c r="FN447">
        <f ca="1"/>
      </c>
      <c r="FO447">
        <f ca="1"/>
      </c>
      <c r="FP447">
        <f ca="1"/>
      </c>
      <c r="FQ447">
        <f ca="1"/>
      </c>
      <c r="FR447">
        <f ca="1"/>
      </c>
      <c r="FS447">
        <f ca="1"/>
      </c>
      <c r="FT447">
        <f ca="1"/>
      </c>
      <c r="FU447">
        <f ca="1"/>
      </c>
      <c r="FV447">
        <f ca="1"/>
      </c>
      <c r="FW447">
        <f ca="1"/>
      </c>
      <c r="FX447">
        <f ca="1"/>
      </c>
      <c r="FY447">
        <f ca="1"/>
      </c>
      <c r="FZ447">
        <f ca="1"/>
      </c>
      <c r="GA447">
        <f ca="1"/>
      </c>
      <c r="GB447">
        <f ca="1"/>
      </c>
      <c r="GC447">
        <f ca="1"/>
      </c>
      <c r="GD447">
        <f ca="1"/>
      </c>
      <c r="GE447">
        <f ca="1"/>
      </c>
      <c r="GF447">
        <f ca="1"/>
      </c>
      <c r="GG447">
        <f ca="1"/>
      </c>
      <c r="GH447">
        <f ca="1"/>
      </c>
      <c r="GI447">
        <f ca="1"/>
      </c>
      <c r="GJ447">
        <f ca="1"/>
      </c>
      <c r="GK447">
        <f ca="1"/>
      </c>
      <c r="GL447">
        <f ca="1"/>
      </c>
      <c r="GM447">
        <f ca="1"/>
      </c>
      <c r="GN447">
        <f ca="1"/>
      </c>
      <c r="GO447">
        <f ca="1"/>
      </c>
      <c r="GP447">
        <f ca="1"/>
      </c>
      <c r="GQ447">
        <f ca="1"/>
      </c>
      <c r="GR447">
        <f ca="1"/>
      </c>
      <c r="GS447">
        <f ca="1"/>
      </c>
      <c r="GT447">
        <f ca="1"/>
      </c>
      <c r="GU447">
        <f ca="1"/>
      </c>
      <c r="GV447">
        <f ca="1"/>
      </c>
      <c r="GW447">
        <f ca="1"/>
      </c>
      <c r="HI447" s="7"/>
    </row>
    <row r="448" spans="63:217" x14ac:dyDescent="0.55000000000000004">
      <c r="BK448">
        <f ca="1"/>
      </c>
      <c r="BL448">
        <f ca="1"/>
      </c>
      <c r="BM448">
        <f ca="1"/>
      </c>
      <c r="BN448">
        <f ca="1"/>
      </c>
      <c r="BO448">
        <f ca="1"/>
      </c>
      <c r="BP448">
        <f ca="1"/>
      </c>
      <c r="BQ448">
        <f ca="1"/>
      </c>
      <c r="BR448">
        <f ca="1"/>
      </c>
      <c r="BS448">
        <f ca="1"/>
      </c>
      <c r="BT448">
        <f ca="1"/>
      </c>
      <c r="BU448">
        <f ca="1"/>
      </c>
      <c r="BV448">
        <f ca="1"/>
      </c>
      <c r="BW448">
        <f ca="1"/>
      </c>
      <c r="BX448">
        <f ca="1"/>
      </c>
      <c r="BY448">
        <f ca="1"/>
      </c>
      <c r="BZ448">
        <f ca="1"/>
      </c>
      <c r="CA448">
        <f ca="1"/>
      </c>
      <c r="CB448">
        <f ca="1"/>
      </c>
      <c r="CC448">
        <f ca="1"/>
      </c>
      <c r="CD448">
        <f ca="1"/>
      </c>
      <c r="CE448">
        <f ca="1"/>
      </c>
      <c r="CF448">
        <f ca="1"/>
      </c>
      <c r="CG448">
        <f ca="1"/>
      </c>
      <c r="CH448">
        <f ca="1"/>
      </c>
      <c r="CI448">
        <f ca="1"/>
      </c>
      <c r="CJ448">
        <f ca="1"/>
      </c>
      <c r="CK448">
        <f ca="1"/>
      </c>
      <c r="CL448">
        <f ca="1"/>
      </c>
      <c r="CM448">
        <f ca="1"/>
      </c>
      <c r="CN448">
        <f ca="1"/>
      </c>
      <c r="CO448">
        <f ca="1"/>
      </c>
      <c r="CP448">
        <f ca="1"/>
      </c>
      <c r="CQ448">
        <f ca="1"/>
      </c>
      <c r="CR448">
        <f ca="1"/>
      </c>
      <c r="CS448">
        <f ca="1"/>
      </c>
      <c r="CT448">
        <f ca="1"/>
      </c>
      <c r="CU448">
        <f ca="1"/>
      </c>
      <c r="CV448">
        <f ca="1"/>
      </c>
      <c r="CW448">
        <f ca="1"/>
      </c>
      <c r="CX448">
        <f ca="1"/>
      </c>
      <c r="CY448">
        <f ca="1"/>
      </c>
      <c r="CZ448">
        <f ca="1"/>
      </c>
      <c r="DA448">
        <f ca="1"/>
      </c>
      <c r="DB448">
        <f ca="1"/>
      </c>
      <c r="DC448">
        <f ca="1"/>
      </c>
      <c r="DD448">
        <f ca="1"/>
      </c>
      <c r="DE448">
        <f ca="1"/>
      </c>
      <c r="DG448">
        <f ca="1"/>
      </c>
      <c r="DH448">
        <f ca="1"/>
      </c>
      <c r="DI448">
        <f ca="1"/>
      </c>
      <c r="DJ448">
        <f ca="1"/>
      </c>
      <c r="DK448">
        <f ca="1"/>
      </c>
      <c r="DL448">
        <f ca="1"/>
      </c>
      <c r="DM448">
        <f ca="1"/>
      </c>
      <c r="DN448">
        <f ca="1"/>
      </c>
      <c r="DO448">
        <f ca="1"/>
      </c>
      <c r="DP448">
        <f ca="1"/>
      </c>
      <c r="DQ448">
        <f ca="1"/>
      </c>
      <c r="DR448">
        <f ca="1"/>
      </c>
      <c r="DS448">
        <f ca="1"/>
      </c>
      <c r="DT448">
        <f ca="1"/>
      </c>
      <c r="DU448">
        <f ca="1"/>
      </c>
      <c r="DV448">
        <f ca="1"/>
      </c>
      <c r="DW448">
        <f ca="1"/>
      </c>
      <c r="DX448">
        <f ca="1"/>
      </c>
      <c r="DY448">
        <f ca="1"/>
      </c>
      <c r="DZ448">
        <f ca="1"/>
      </c>
      <c r="EA448">
        <f ca="1"/>
      </c>
      <c r="EB448">
        <f ca="1"/>
      </c>
      <c r="EC448">
        <f ca="1"/>
      </c>
      <c r="ED448">
        <f ca="1"/>
      </c>
      <c r="EE448">
        <f ca="1"/>
      </c>
      <c r="EF448">
        <f ca="1"/>
      </c>
      <c r="EG448">
        <f ca="1"/>
      </c>
      <c r="EH448">
        <f ca="1"/>
      </c>
      <c r="EI448">
        <f ca="1"/>
      </c>
      <c r="EJ448">
        <f ca="1"/>
      </c>
      <c r="EK448">
        <f ca="1"/>
      </c>
      <c r="EL448">
        <f ca="1"/>
      </c>
      <c r="EM448">
        <f ca="1"/>
      </c>
      <c r="EN448">
        <f ca="1"/>
      </c>
      <c r="EO448">
        <f ca="1"/>
      </c>
      <c r="EP448">
        <f ca="1"/>
      </c>
      <c r="EQ448">
        <f ca="1"/>
      </c>
      <c r="ER448">
        <f ca="1"/>
      </c>
      <c r="ES448">
        <f ca="1"/>
      </c>
      <c r="ET448">
        <f ca="1"/>
      </c>
      <c r="EU448">
        <f ca="1"/>
      </c>
      <c r="EV448">
        <f ca="1"/>
      </c>
      <c r="EW448">
        <f ca="1"/>
      </c>
      <c r="EX448">
        <f ca="1"/>
      </c>
      <c r="EY448">
        <f ca="1"/>
      </c>
      <c r="EZ448">
        <f ca="1"/>
      </c>
      <c r="FA448">
        <f ca="1"/>
      </c>
      <c r="FC448">
        <f ca="1"/>
      </c>
      <c r="FD448">
        <f ca="1"/>
      </c>
      <c r="FE448">
        <f ca="1"/>
      </c>
      <c r="FF448">
        <f ca="1"/>
      </c>
      <c r="FG448">
        <f ca="1"/>
      </c>
      <c r="FH448">
        <f ca="1"/>
      </c>
      <c r="FI448">
        <f ca="1"/>
      </c>
      <c r="FJ448">
        <f ca="1"/>
      </c>
      <c r="FK448">
        <f ca="1"/>
      </c>
      <c r="FL448">
        <f ca="1"/>
      </c>
      <c r="FM448">
        <f ca="1"/>
      </c>
      <c r="FN448">
        <f ca="1"/>
      </c>
      <c r="FO448">
        <f ca="1"/>
      </c>
      <c r="FP448">
        <f ca="1"/>
      </c>
      <c r="FQ448">
        <f ca="1"/>
      </c>
      <c r="FR448">
        <f ca="1"/>
      </c>
      <c r="FS448">
        <f ca="1"/>
      </c>
      <c r="FT448">
        <f ca="1"/>
      </c>
      <c r="FU448">
        <f ca="1"/>
      </c>
      <c r="FV448">
        <f ca="1"/>
      </c>
      <c r="FW448">
        <f ca="1"/>
      </c>
      <c r="FX448">
        <f ca="1"/>
      </c>
      <c r="FY448">
        <f ca="1"/>
      </c>
      <c r="FZ448">
        <f ca="1"/>
      </c>
      <c r="GA448">
        <f ca="1"/>
      </c>
      <c r="GB448">
        <f ca="1"/>
      </c>
      <c r="GC448">
        <f ca="1"/>
      </c>
      <c r="GD448">
        <f ca="1"/>
      </c>
      <c r="GE448">
        <f ca="1"/>
      </c>
      <c r="GF448">
        <f ca="1"/>
      </c>
      <c r="GG448">
        <f ca="1"/>
      </c>
      <c r="GH448">
        <f ca="1"/>
      </c>
      <c r="GI448">
        <f ca="1"/>
      </c>
      <c r="GJ448">
        <f ca="1"/>
      </c>
      <c r="GK448">
        <f ca="1"/>
      </c>
      <c r="GL448">
        <f ca="1"/>
      </c>
      <c r="GM448">
        <f ca="1"/>
      </c>
      <c r="GN448">
        <f ca="1"/>
      </c>
      <c r="GO448">
        <f ca="1"/>
      </c>
      <c r="GP448">
        <f ca="1"/>
      </c>
      <c r="GQ448">
        <f ca="1"/>
      </c>
      <c r="GR448">
        <f ca="1"/>
      </c>
      <c r="GS448">
        <f ca="1"/>
      </c>
      <c r="GT448">
        <f ca="1"/>
      </c>
      <c r="GU448">
        <f ca="1"/>
      </c>
      <c r="GV448">
        <f ca="1"/>
      </c>
      <c r="GW448">
        <f ca="1"/>
      </c>
      <c r="HI448" s="7"/>
    </row>
    <row r="449" spans="63:217" x14ac:dyDescent="0.55000000000000004">
      <c r="BK449">
        <f ca="1"/>
      </c>
      <c r="BL449">
        <f ca="1"/>
      </c>
      <c r="BM449">
        <f ca="1"/>
      </c>
      <c r="BN449">
        <f ca="1"/>
      </c>
      <c r="BO449">
        <f ca="1"/>
      </c>
      <c r="BP449">
        <f ca="1"/>
      </c>
      <c r="BQ449">
        <f ca="1"/>
      </c>
      <c r="BR449">
        <f ca="1"/>
      </c>
      <c r="BS449">
        <f ca="1"/>
      </c>
      <c r="BT449">
        <f ca="1"/>
      </c>
      <c r="BU449">
        <f ca="1"/>
      </c>
      <c r="BV449">
        <f ca="1"/>
      </c>
      <c r="BW449">
        <f ca="1"/>
      </c>
      <c r="BX449">
        <f ca="1"/>
      </c>
      <c r="BY449">
        <f ca="1"/>
      </c>
      <c r="BZ449">
        <f ca="1"/>
      </c>
      <c r="CA449">
        <f ca="1"/>
      </c>
      <c r="CB449">
        <f ca="1"/>
      </c>
      <c r="CC449">
        <f ca="1"/>
      </c>
      <c r="CD449">
        <f ca="1"/>
      </c>
      <c r="CE449">
        <f ca="1"/>
      </c>
      <c r="CF449">
        <f ca="1"/>
      </c>
      <c r="CG449">
        <f ca="1"/>
      </c>
      <c r="CH449">
        <f ca="1"/>
      </c>
      <c r="CI449">
        <f ca="1"/>
      </c>
      <c r="CJ449">
        <f ca="1"/>
      </c>
      <c r="CK449">
        <f ca="1"/>
      </c>
      <c r="CL449">
        <f ca="1"/>
      </c>
      <c r="CM449">
        <f ca="1"/>
      </c>
      <c r="CN449">
        <f ca="1"/>
      </c>
      <c r="CO449">
        <f ca="1"/>
      </c>
      <c r="CP449">
        <f ca="1"/>
      </c>
      <c r="CQ449">
        <f ca="1"/>
      </c>
      <c r="CR449">
        <f ca="1"/>
      </c>
      <c r="CS449">
        <f ca="1"/>
      </c>
      <c r="CT449">
        <f ca="1"/>
      </c>
      <c r="CU449">
        <f ca="1"/>
      </c>
      <c r="CV449">
        <f ca="1"/>
      </c>
      <c r="CW449">
        <f ca="1"/>
      </c>
      <c r="CX449">
        <f ca="1"/>
      </c>
      <c r="CY449">
        <f ca="1"/>
      </c>
      <c r="CZ449">
        <f ca="1"/>
      </c>
      <c r="DA449">
        <f ca="1"/>
      </c>
      <c r="DB449">
        <f ca="1"/>
      </c>
      <c r="DC449">
        <f ca="1"/>
      </c>
      <c r="DD449">
        <f ca="1"/>
      </c>
      <c r="DE449">
        <f ca="1"/>
      </c>
      <c r="DG449">
        <f ca="1"/>
      </c>
      <c r="DH449">
        <f ca="1"/>
      </c>
      <c r="DI449">
        <f ca="1"/>
      </c>
      <c r="DJ449">
        <f ca="1"/>
      </c>
      <c r="DK449">
        <f ca="1"/>
      </c>
      <c r="DL449">
        <f ca="1"/>
      </c>
      <c r="DM449">
        <f ca="1"/>
      </c>
      <c r="DN449">
        <f ca="1"/>
      </c>
      <c r="DO449">
        <f ca="1"/>
      </c>
      <c r="DP449">
        <f ca="1"/>
      </c>
      <c r="DQ449">
        <f ca="1"/>
      </c>
      <c r="DR449">
        <f ca="1"/>
      </c>
      <c r="DS449">
        <f ca="1"/>
      </c>
      <c r="DT449">
        <f ca="1"/>
      </c>
      <c r="DU449">
        <f ca="1"/>
      </c>
      <c r="DV449">
        <f ca="1"/>
      </c>
      <c r="DW449">
        <f ca="1"/>
      </c>
      <c r="DX449">
        <f ca="1"/>
      </c>
      <c r="DY449">
        <f ca="1"/>
      </c>
      <c r="DZ449">
        <f ca="1"/>
      </c>
      <c r="EA449">
        <f ca="1"/>
      </c>
      <c r="EB449">
        <f ca="1"/>
      </c>
      <c r="EC449">
        <f ca="1"/>
      </c>
      <c r="ED449">
        <f ca="1"/>
      </c>
      <c r="EE449">
        <f ca="1"/>
      </c>
      <c r="EF449">
        <f ca="1"/>
      </c>
      <c r="EG449">
        <f ca="1"/>
      </c>
      <c r="EH449">
        <f ca="1"/>
      </c>
      <c r="EI449">
        <f ca="1"/>
      </c>
      <c r="EJ449">
        <f ca="1"/>
      </c>
      <c r="EK449">
        <f ca="1"/>
      </c>
      <c r="EL449">
        <f ca="1"/>
      </c>
      <c r="EM449">
        <f ca="1"/>
      </c>
      <c r="EN449">
        <f ca="1"/>
      </c>
      <c r="EO449">
        <f ca="1"/>
      </c>
      <c r="EP449">
        <f ca="1"/>
      </c>
      <c r="EQ449">
        <f ca="1"/>
      </c>
      <c r="ER449">
        <f ca="1"/>
      </c>
      <c r="ES449">
        <f ca="1"/>
      </c>
      <c r="ET449">
        <f ca="1"/>
      </c>
      <c r="EU449">
        <f ca="1"/>
      </c>
      <c r="EV449">
        <f ca="1"/>
      </c>
      <c r="EW449">
        <f ca="1"/>
      </c>
      <c r="EX449">
        <f ca="1"/>
      </c>
      <c r="EY449">
        <f ca="1"/>
      </c>
      <c r="EZ449">
        <f ca="1"/>
      </c>
      <c r="FA449">
        <f ca="1"/>
      </c>
      <c r="FC449">
        <f ca="1"/>
      </c>
      <c r="FD449">
        <f ca="1"/>
      </c>
      <c r="FE449">
        <f ca="1"/>
      </c>
      <c r="FF449">
        <f ca="1"/>
      </c>
      <c r="FG449">
        <f ca="1"/>
      </c>
      <c r="FH449">
        <f ca="1"/>
      </c>
      <c r="FI449">
        <f ca="1"/>
      </c>
      <c r="FJ449">
        <f ca="1"/>
      </c>
      <c r="FK449">
        <f ca="1"/>
      </c>
      <c r="FL449">
        <f ca="1"/>
      </c>
      <c r="FM449">
        <f ca="1"/>
      </c>
      <c r="FN449">
        <f ca="1"/>
      </c>
      <c r="FO449">
        <f ca="1"/>
      </c>
      <c r="FP449">
        <f ca="1"/>
      </c>
      <c r="FQ449">
        <f ca="1"/>
      </c>
      <c r="FR449">
        <f ca="1"/>
      </c>
      <c r="FS449">
        <f ca="1"/>
      </c>
      <c r="FT449">
        <f ca="1"/>
      </c>
      <c r="FU449">
        <f ca="1"/>
      </c>
      <c r="FV449">
        <f ca="1"/>
      </c>
      <c r="FW449">
        <f ca="1"/>
      </c>
      <c r="FX449">
        <f ca="1"/>
      </c>
      <c r="FY449">
        <f ca="1"/>
      </c>
      <c r="FZ449">
        <f ca="1"/>
      </c>
      <c r="GA449">
        <f ca="1"/>
      </c>
      <c r="GB449">
        <f ca="1"/>
      </c>
      <c r="GC449">
        <f ca="1"/>
      </c>
      <c r="GD449">
        <f ca="1"/>
      </c>
      <c r="GE449">
        <f ca="1"/>
      </c>
      <c r="GF449">
        <f ca="1"/>
      </c>
      <c r="GG449">
        <f ca="1"/>
      </c>
      <c r="GH449">
        <f ca="1"/>
      </c>
      <c r="GI449">
        <f ca="1"/>
      </c>
      <c r="GJ449">
        <f ca="1"/>
      </c>
      <c r="GK449">
        <f ca="1"/>
      </c>
      <c r="GL449">
        <f ca="1"/>
      </c>
      <c r="GM449">
        <f ca="1"/>
      </c>
      <c r="GN449">
        <f ca="1"/>
      </c>
      <c r="GO449">
        <f ca="1"/>
      </c>
      <c r="GP449">
        <f ca="1"/>
      </c>
      <c r="GQ449">
        <f ca="1"/>
      </c>
      <c r="GR449">
        <f ca="1"/>
      </c>
      <c r="GS449">
        <f ca="1"/>
      </c>
      <c r="GT449">
        <f ca="1"/>
      </c>
      <c r="GU449">
        <f ca="1"/>
      </c>
      <c r="GV449">
        <f ca="1"/>
      </c>
      <c r="GW449">
        <f ca="1"/>
      </c>
      <c r="HI449" s="7"/>
    </row>
    <row r="450" spans="63:217" x14ac:dyDescent="0.55000000000000004">
      <c r="BK450">
        <f ca="1"/>
      </c>
      <c r="BL450">
        <f ca="1"/>
      </c>
      <c r="BM450">
        <f ca="1"/>
      </c>
      <c r="BN450">
        <f ca="1"/>
      </c>
      <c r="BO450">
        <f ca="1"/>
      </c>
      <c r="BP450">
        <f ca="1"/>
      </c>
      <c r="BQ450">
        <f ca="1"/>
      </c>
      <c r="BR450">
        <f ca="1"/>
      </c>
      <c r="BS450">
        <f ca="1"/>
      </c>
      <c r="BT450">
        <f ca="1"/>
      </c>
      <c r="BU450">
        <f ca="1"/>
      </c>
      <c r="BV450">
        <f ca="1"/>
      </c>
      <c r="BW450">
        <f ca="1"/>
      </c>
      <c r="BX450">
        <f ca="1"/>
      </c>
      <c r="BY450">
        <f ca="1"/>
      </c>
      <c r="BZ450">
        <f ca="1"/>
      </c>
      <c r="CA450">
        <f ca="1"/>
      </c>
      <c r="CB450">
        <f ca="1"/>
      </c>
      <c r="CC450">
        <f ca="1"/>
      </c>
      <c r="CD450">
        <f ca="1"/>
      </c>
      <c r="CE450">
        <f ca="1"/>
      </c>
      <c r="CF450">
        <f ca="1"/>
      </c>
      <c r="CG450">
        <f ca="1"/>
      </c>
      <c r="CH450">
        <f ca="1"/>
      </c>
      <c r="CI450">
        <f ca="1"/>
      </c>
      <c r="CJ450">
        <f ca="1"/>
      </c>
      <c r="CK450">
        <f ca="1"/>
      </c>
      <c r="CL450">
        <f ca="1"/>
      </c>
      <c r="CM450">
        <f ca="1"/>
      </c>
      <c r="CN450">
        <f ca="1"/>
      </c>
      <c r="CO450">
        <f ca="1"/>
      </c>
      <c r="CP450">
        <f ca="1"/>
      </c>
      <c r="CQ450">
        <f ca="1"/>
      </c>
      <c r="CR450">
        <f ca="1"/>
      </c>
      <c r="CS450">
        <f ca="1"/>
      </c>
      <c r="CT450">
        <f ca="1"/>
      </c>
      <c r="CU450">
        <f ca="1"/>
      </c>
      <c r="CV450">
        <f ca="1"/>
      </c>
      <c r="CW450">
        <f ca="1"/>
      </c>
      <c r="CX450">
        <f ca="1"/>
      </c>
      <c r="CY450">
        <f ca="1"/>
      </c>
      <c r="CZ450">
        <f ca="1"/>
      </c>
      <c r="DA450">
        <f ca="1"/>
      </c>
      <c r="DB450">
        <f ca="1"/>
      </c>
      <c r="DC450">
        <f ca="1"/>
      </c>
      <c r="DD450">
        <f ca="1"/>
      </c>
      <c r="DE450">
        <f ca="1"/>
      </c>
      <c r="DG450">
        <f ca="1"/>
      </c>
      <c r="DH450">
        <f ca="1"/>
      </c>
      <c r="DI450">
        <f ca="1"/>
      </c>
      <c r="DJ450">
        <f ca="1"/>
      </c>
      <c r="DK450">
        <f ca="1"/>
      </c>
      <c r="DL450">
        <f ca="1"/>
      </c>
      <c r="DM450">
        <f ca="1"/>
      </c>
      <c r="DN450">
        <f ca="1"/>
      </c>
      <c r="DO450">
        <f ca="1"/>
      </c>
      <c r="DP450">
        <f ca="1"/>
      </c>
      <c r="DQ450">
        <f ca="1"/>
      </c>
      <c r="DR450">
        <f ca="1"/>
      </c>
      <c r="DS450">
        <f ca="1"/>
      </c>
      <c r="DT450">
        <f ca="1"/>
      </c>
      <c r="DU450">
        <f ca="1"/>
      </c>
      <c r="DV450">
        <f ca="1"/>
      </c>
      <c r="DW450">
        <f ca="1"/>
      </c>
      <c r="DX450">
        <f ca="1"/>
      </c>
      <c r="DY450">
        <f ca="1"/>
      </c>
      <c r="DZ450">
        <f ca="1"/>
      </c>
      <c r="EA450">
        <f ca="1"/>
      </c>
      <c r="EB450">
        <f ca="1"/>
      </c>
      <c r="EC450">
        <f ca="1"/>
      </c>
      <c r="ED450">
        <f ca="1"/>
      </c>
      <c r="EE450">
        <f ca="1"/>
      </c>
      <c r="EF450">
        <f ca="1"/>
      </c>
      <c r="EG450">
        <f ca="1"/>
      </c>
      <c r="EH450">
        <f ca="1"/>
      </c>
      <c r="EI450">
        <f ca="1"/>
      </c>
      <c r="EJ450">
        <f ca="1"/>
      </c>
      <c r="EK450">
        <f ca="1"/>
      </c>
      <c r="EL450">
        <f ca="1"/>
      </c>
      <c r="EM450">
        <f ca="1"/>
      </c>
      <c r="EN450">
        <f ca="1"/>
      </c>
      <c r="EO450">
        <f ca="1"/>
      </c>
      <c r="EP450">
        <f ca="1"/>
      </c>
      <c r="EQ450">
        <f ca="1"/>
      </c>
      <c r="ER450">
        <f ca="1"/>
      </c>
      <c r="ES450">
        <f ca="1"/>
      </c>
      <c r="ET450">
        <f ca="1"/>
      </c>
      <c r="EU450">
        <f ca="1"/>
      </c>
      <c r="EV450">
        <f ca="1"/>
      </c>
      <c r="EW450">
        <f ca="1"/>
      </c>
      <c r="EX450">
        <f ca="1"/>
      </c>
      <c r="EY450">
        <f ca="1"/>
      </c>
      <c r="EZ450">
        <f ca="1"/>
      </c>
      <c r="FA450">
        <f ca="1"/>
      </c>
      <c r="FC450">
        <f ca="1"/>
      </c>
      <c r="FD450">
        <f ca="1"/>
      </c>
      <c r="FE450">
        <f ca="1"/>
      </c>
      <c r="FF450">
        <f ca="1"/>
      </c>
      <c r="FG450">
        <f ca="1"/>
      </c>
      <c r="FH450">
        <f ca="1"/>
      </c>
      <c r="FI450">
        <f ca="1"/>
      </c>
      <c r="FJ450">
        <f ca="1"/>
      </c>
      <c r="FK450">
        <f ca="1"/>
      </c>
      <c r="FL450">
        <f ca="1"/>
      </c>
      <c r="FM450">
        <f ca="1"/>
      </c>
      <c r="FN450">
        <f ca="1"/>
      </c>
      <c r="FO450">
        <f ca="1"/>
      </c>
      <c r="FP450">
        <f ca="1"/>
      </c>
      <c r="FQ450">
        <f ca="1"/>
      </c>
      <c r="FR450">
        <f ca="1"/>
      </c>
      <c r="FS450">
        <f ca="1"/>
      </c>
      <c r="FT450">
        <f ca="1"/>
      </c>
      <c r="FU450">
        <f ca="1"/>
      </c>
      <c r="FV450">
        <f ca="1"/>
      </c>
      <c r="FW450">
        <f ca="1"/>
      </c>
      <c r="FX450">
        <f ca="1"/>
      </c>
      <c r="FY450">
        <f ca="1"/>
      </c>
      <c r="FZ450">
        <f ca="1"/>
      </c>
      <c r="GA450">
        <f ca="1"/>
      </c>
      <c r="GB450">
        <f ca="1"/>
      </c>
      <c r="GC450">
        <f ca="1"/>
      </c>
      <c r="GD450">
        <f ca="1"/>
      </c>
      <c r="GE450">
        <f ca="1"/>
      </c>
      <c r="GF450">
        <f ca="1"/>
      </c>
      <c r="GG450">
        <f ca="1"/>
      </c>
      <c r="GH450">
        <f ca="1"/>
      </c>
      <c r="GI450">
        <f ca="1"/>
      </c>
      <c r="GJ450">
        <f ca="1"/>
      </c>
      <c r="GK450">
        <f ca="1"/>
      </c>
      <c r="GL450">
        <f ca="1"/>
      </c>
      <c r="GM450">
        <f ca="1"/>
      </c>
      <c r="GN450">
        <f ca="1"/>
      </c>
      <c r="GO450">
        <f ca="1"/>
      </c>
      <c r="GP450">
        <f ca="1"/>
      </c>
      <c r="GQ450">
        <f ca="1"/>
      </c>
      <c r="GR450">
        <f ca="1"/>
      </c>
      <c r="GS450">
        <f ca="1"/>
      </c>
      <c r="GT450">
        <f ca="1"/>
      </c>
      <c r="GU450">
        <f ca="1"/>
      </c>
      <c r="GV450">
        <f ca="1"/>
      </c>
      <c r="GW450">
        <f ca="1"/>
      </c>
      <c r="HI450" s="7"/>
    </row>
    <row r="451" spans="63:217" x14ac:dyDescent="0.55000000000000004">
      <c r="BK451">
        <f ca="1"/>
      </c>
      <c r="BL451">
        <f ca="1"/>
      </c>
      <c r="BM451">
        <f ca="1"/>
      </c>
      <c r="BN451">
        <f ca="1"/>
      </c>
      <c r="BO451">
        <f ca="1"/>
      </c>
      <c r="BP451">
        <f ca="1"/>
      </c>
      <c r="BQ451">
        <f ca="1"/>
      </c>
      <c r="BR451">
        <f ca="1"/>
      </c>
      <c r="BS451">
        <f ca="1"/>
      </c>
      <c r="BT451">
        <f ca="1"/>
      </c>
      <c r="BU451">
        <f ca="1"/>
      </c>
      <c r="BV451">
        <f ca="1"/>
      </c>
      <c r="BW451">
        <f ca="1"/>
      </c>
      <c r="BX451">
        <f ca="1"/>
      </c>
      <c r="BY451">
        <f ca="1"/>
      </c>
      <c r="BZ451">
        <f ca="1"/>
      </c>
      <c r="CA451">
        <f ca="1"/>
      </c>
      <c r="CB451">
        <f ca="1"/>
      </c>
      <c r="CC451">
        <f ca="1"/>
      </c>
      <c r="CD451">
        <f ca="1"/>
      </c>
      <c r="CE451">
        <f ca="1"/>
      </c>
      <c r="CF451">
        <f ca="1"/>
      </c>
      <c r="CG451">
        <f ca="1"/>
      </c>
      <c r="CH451">
        <f ca="1"/>
      </c>
      <c r="CI451">
        <f ca="1"/>
      </c>
      <c r="CJ451">
        <f ca="1"/>
      </c>
      <c r="CK451">
        <f ca="1"/>
      </c>
      <c r="CL451">
        <f ca="1"/>
      </c>
      <c r="CM451">
        <f ca="1"/>
      </c>
      <c r="CN451">
        <f ca="1"/>
      </c>
      <c r="CO451">
        <f ca="1"/>
      </c>
      <c r="CP451">
        <f ca="1"/>
      </c>
      <c r="CQ451">
        <f ca="1"/>
      </c>
      <c r="CR451">
        <f ca="1"/>
      </c>
      <c r="CS451">
        <f ca="1"/>
      </c>
      <c r="CT451">
        <f ca="1"/>
      </c>
      <c r="CU451">
        <f ca="1"/>
      </c>
      <c r="CV451">
        <f ca="1"/>
      </c>
      <c r="CW451">
        <f ca="1"/>
      </c>
      <c r="CX451">
        <f ca="1"/>
      </c>
      <c r="CY451">
        <f ca="1"/>
      </c>
      <c r="CZ451">
        <f ca="1"/>
      </c>
      <c r="DA451">
        <f ca="1"/>
      </c>
      <c r="DB451">
        <f ca="1"/>
      </c>
      <c r="DC451">
        <f ca="1"/>
      </c>
      <c r="DD451">
        <f ca="1"/>
      </c>
      <c r="DE451">
        <f ca="1"/>
      </c>
      <c r="DG451">
        <f ca="1"/>
      </c>
      <c r="DH451">
        <f ca="1"/>
      </c>
      <c r="DI451">
        <f ca="1"/>
      </c>
      <c r="DJ451">
        <f ca="1"/>
      </c>
      <c r="DK451">
        <f ca="1"/>
      </c>
      <c r="DL451">
        <f ca="1"/>
      </c>
      <c r="DM451">
        <f ca="1"/>
      </c>
      <c r="DN451">
        <f ca="1"/>
      </c>
      <c r="DO451">
        <f ca="1"/>
      </c>
      <c r="DP451">
        <f ca="1"/>
      </c>
      <c r="DQ451">
        <f ca="1"/>
      </c>
      <c r="DR451">
        <f ca="1"/>
      </c>
      <c r="DS451">
        <f ca="1"/>
      </c>
      <c r="DT451">
        <f ca="1"/>
      </c>
      <c r="DU451">
        <f ca="1"/>
      </c>
      <c r="DV451">
        <f ca="1"/>
      </c>
      <c r="DW451">
        <f ca="1"/>
      </c>
      <c r="DX451">
        <f ca="1"/>
      </c>
      <c r="DY451">
        <f ca="1"/>
      </c>
      <c r="DZ451">
        <f ca="1"/>
      </c>
      <c r="EA451">
        <f ca="1"/>
      </c>
      <c r="EB451">
        <f ca="1"/>
      </c>
      <c r="EC451">
        <f ca="1"/>
      </c>
      <c r="ED451">
        <f ca="1"/>
      </c>
      <c r="EE451">
        <f ca="1"/>
      </c>
      <c r="EF451">
        <f ca="1"/>
      </c>
      <c r="EG451">
        <f ca="1"/>
      </c>
      <c r="EH451">
        <f ca="1"/>
      </c>
      <c r="EI451">
        <f ca="1"/>
      </c>
      <c r="EJ451">
        <f ca="1"/>
      </c>
      <c r="EK451">
        <f ca="1"/>
      </c>
      <c r="EL451">
        <f ca="1"/>
      </c>
      <c r="EM451">
        <f ca="1"/>
      </c>
      <c r="EN451">
        <f ca="1"/>
      </c>
      <c r="EO451">
        <f ca="1"/>
      </c>
      <c r="EP451">
        <f ca="1"/>
      </c>
      <c r="EQ451">
        <f ca="1"/>
      </c>
      <c r="ER451">
        <f ca="1"/>
      </c>
      <c r="ES451">
        <f ca="1"/>
      </c>
      <c r="ET451">
        <f ca="1"/>
      </c>
      <c r="EU451">
        <f ca="1"/>
      </c>
      <c r="EV451">
        <f ca="1"/>
      </c>
      <c r="EW451">
        <f ca="1"/>
      </c>
      <c r="EX451">
        <f ca="1"/>
      </c>
      <c r="EY451">
        <f ca="1"/>
      </c>
      <c r="EZ451">
        <f ca="1"/>
      </c>
      <c r="FA451">
        <f ca="1"/>
      </c>
      <c r="FC451">
        <f ca="1"/>
      </c>
      <c r="FD451">
        <f ca="1"/>
      </c>
      <c r="FE451">
        <f ca="1"/>
      </c>
      <c r="FF451">
        <f ca="1"/>
      </c>
      <c r="FG451">
        <f ca="1"/>
      </c>
      <c r="FH451">
        <f ca="1"/>
      </c>
      <c r="FI451">
        <f ca="1"/>
      </c>
      <c r="FJ451">
        <f ca="1"/>
      </c>
      <c r="FK451">
        <f ca="1"/>
      </c>
      <c r="FL451">
        <f ca="1"/>
      </c>
      <c r="FM451">
        <f ca="1"/>
      </c>
      <c r="FN451">
        <f ca="1"/>
      </c>
      <c r="FO451">
        <f ca="1"/>
      </c>
      <c r="FP451">
        <f ca="1"/>
      </c>
      <c r="FQ451">
        <f ca="1"/>
      </c>
      <c r="FR451">
        <f ca="1"/>
      </c>
      <c r="FS451">
        <f ca="1"/>
      </c>
      <c r="FT451">
        <f ca="1"/>
      </c>
      <c r="FU451">
        <f ca="1"/>
      </c>
      <c r="FV451">
        <f ca="1"/>
      </c>
      <c r="FW451">
        <f ca="1"/>
      </c>
      <c r="FX451">
        <f ca="1"/>
      </c>
      <c r="FY451">
        <f ca="1"/>
      </c>
      <c r="FZ451">
        <f ca="1"/>
      </c>
      <c r="GA451">
        <f ca="1"/>
      </c>
      <c r="GB451">
        <f ca="1"/>
      </c>
      <c r="GC451">
        <f ca="1"/>
      </c>
      <c r="GD451">
        <f ca="1"/>
      </c>
      <c r="GE451">
        <f ca="1"/>
      </c>
      <c r="GF451">
        <f ca="1"/>
      </c>
      <c r="GG451">
        <f ca="1"/>
      </c>
      <c r="GH451">
        <f ca="1"/>
      </c>
      <c r="GI451">
        <f ca="1"/>
      </c>
      <c r="GJ451">
        <f ca="1"/>
      </c>
      <c r="GK451">
        <f ca="1"/>
      </c>
      <c r="GL451">
        <f ca="1"/>
      </c>
      <c r="GM451">
        <f ca="1"/>
      </c>
      <c r="GN451">
        <f ca="1"/>
      </c>
      <c r="GO451">
        <f ca="1"/>
      </c>
      <c r="GP451">
        <f ca="1"/>
      </c>
      <c r="GQ451">
        <f ca="1"/>
      </c>
      <c r="GR451">
        <f ca="1"/>
      </c>
      <c r="GS451">
        <f ca="1"/>
      </c>
      <c r="GT451">
        <f ca="1"/>
      </c>
      <c r="GU451">
        <f ca="1"/>
      </c>
      <c r="GV451">
        <f ca="1"/>
      </c>
      <c r="GW451">
        <f ca="1"/>
      </c>
      <c r="HI451" s="7"/>
    </row>
    <row r="452" spans="63:217" x14ac:dyDescent="0.55000000000000004">
      <c r="BK452">
        <f ca="1"/>
      </c>
      <c r="BL452">
        <f ca="1"/>
      </c>
      <c r="BM452">
        <f ca="1"/>
      </c>
      <c r="BN452">
        <f ca="1"/>
      </c>
      <c r="BO452">
        <f ca="1"/>
      </c>
      <c r="BP452">
        <f ca="1"/>
      </c>
      <c r="BQ452">
        <f ca="1"/>
      </c>
      <c r="BR452">
        <f ca="1"/>
      </c>
      <c r="BS452">
        <f ca="1"/>
      </c>
      <c r="BT452">
        <f ca="1"/>
      </c>
      <c r="BU452">
        <f ca="1"/>
      </c>
      <c r="BV452">
        <f ca="1"/>
      </c>
      <c r="BW452">
        <f ca="1"/>
      </c>
      <c r="BX452">
        <f ca="1"/>
      </c>
      <c r="BY452">
        <f ca="1"/>
      </c>
      <c r="BZ452">
        <f ca="1"/>
      </c>
      <c r="CA452">
        <f ca="1"/>
      </c>
      <c r="CB452">
        <f ca="1"/>
      </c>
      <c r="CC452">
        <f ca="1"/>
      </c>
      <c r="CD452">
        <f ca="1"/>
      </c>
      <c r="CE452">
        <f ca="1"/>
      </c>
      <c r="CF452">
        <f ca="1"/>
      </c>
      <c r="CG452">
        <f ca="1"/>
      </c>
      <c r="CH452">
        <f ca="1"/>
      </c>
      <c r="CI452">
        <f ca="1"/>
      </c>
      <c r="CJ452">
        <f ca="1"/>
      </c>
      <c r="CK452">
        <f ca="1"/>
      </c>
      <c r="CL452">
        <f ca="1"/>
      </c>
      <c r="CM452">
        <f ca="1"/>
      </c>
      <c r="CN452">
        <f ca="1"/>
      </c>
      <c r="CO452">
        <f ca="1"/>
      </c>
      <c r="CP452">
        <f ca="1"/>
      </c>
      <c r="CQ452">
        <f ca="1"/>
      </c>
      <c r="CR452">
        <f ca="1"/>
      </c>
      <c r="CS452">
        <f ca="1"/>
      </c>
      <c r="CT452">
        <f ca="1"/>
      </c>
      <c r="CU452">
        <f ca="1"/>
      </c>
      <c r="CV452">
        <f ca="1"/>
      </c>
      <c r="CW452">
        <f ca="1"/>
      </c>
      <c r="CX452">
        <f ca="1"/>
      </c>
      <c r="CY452">
        <f ca="1"/>
      </c>
      <c r="CZ452">
        <f ca="1"/>
      </c>
      <c r="DA452">
        <f ca="1"/>
      </c>
      <c r="DB452">
        <f ca="1"/>
      </c>
      <c r="DC452">
        <f ca="1"/>
      </c>
      <c r="DD452">
        <f ca="1"/>
      </c>
      <c r="DE452">
        <f ca="1"/>
      </c>
      <c r="DG452">
        <f ca="1"/>
      </c>
      <c r="DH452">
        <f ca="1"/>
      </c>
      <c r="DI452">
        <f ca="1"/>
      </c>
      <c r="DJ452">
        <f ca="1"/>
      </c>
      <c r="DK452">
        <f ca="1"/>
      </c>
      <c r="DL452">
        <f ca="1"/>
      </c>
      <c r="DM452">
        <f ca="1"/>
      </c>
      <c r="DN452">
        <f ca="1"/>
      </c>
      <c r="DO452">
        <f ca="1"/>
      </c>
      <c r="DP452">
        <f ca="1"/>
      </c>
      <c r="DQ452">
        <f ca="1"/>
      </c>
      <c r="DR452">
        <f ca="1"/>
      </c>
      <c r="DS452">
        <f ca="1"/>
      </c>
      <c r="DT452">
        <f ca="1"/>
      </c>
      <c r="DU452">
        <f ca="1"/>
      </c>
      <c r="DV452">
        <f ca="1"/>
      </c>
      <c r="DW452">
        <f ca="1"/>
      </c>
      <c r="DX452">
        <f ca="1"/>
      </c>
      <c r="DY452">
        <f ca="1"/>
      </c>
      <c r="DZ452">
        <f ca="1"/>
      </c>
      <c r="EA452">
        <f ca="1"/>
      </c>
      <c r="EB452">
        <f ca="1"/>
      </c>
      <c r="EC452">
        <f ca="1"/>
      </c>
      <c r="ED452">
        <f ca="1"/>
      </c>
      <c r="EE452">
        <f ca="1"/>
      </c>
      <c r="EF452">
        <f ca="1"/>
      </c>
      <c r="EG452">
        <f ca="1"/>
      </c>
      <c r="EH452">
        <f ca="1"/>
      </c>
      <c r="EI452">
        <f ca="1"/>
      </c>
      <c r="EJ452">
        <f ca="1"/>
      </c>
      <c r="EK452">
        <f ca="1"/>
      </c>
      <c r="EL452">
        <f ca="1"/>
      </c>
      <c r="EM452">
        <f ca="1"/>
      </c>
      <c r="EN452">
        <f ca="1"/>
      </c>
      <c r="EO452">
        <f ca="1"/>
      </c>
      <c r="EP452">
        <f ca="1"/>
      </c>
      <c r="EQ452">
        <f ca="1"/>
      </c>
      <c r="ER452">
        <f ca="1"/>
      </c>
      <c r="ES452">
        <f ca="1"/>
      </c>
      <c r="ET452">
        <f ca="1"/>
      </c>
      <c r="EU452">
        <f ca="1"/>
      </c>
      <c r="EV452">
        <f ca="1"/>
      </c>
      <c r="EW452">
        <f ca="1"/>
      </c>
      <c r="EX452">
        <f ca="1"/>
      </c>
      <c r="EY452">
        <f ca="1"/>
      </c>
      <c r="EZ452">
        <f ca="1"/>
      </c>
      <c r="FA452">
        <f ca="1"/>
      </c>
      <c r="FC452">
        <f ca="1"/>
      </c>
      <c r="FD452">
        <f ca="1"/>
      </c>
      <c r="FE452">
        <f ca="1"/>
      </c>
      <c r="FF452">
        <f ca="1"/>
      </c>
      <c r="FG452">
        <f ca="1"/>
      </c>
      <c r="FH452">
        <f ca="1"/>
      </c>
      <c r="FI452">
        <f ca="1"/>
      </c>
      <c r="FJ452">
        <f ca="1"/>
      </c>
      <c r="FK452">
        <f ca="1"/>
      </c>
      <c r="FL452">
        <f ca="1"/>
      </c>
      <c r="FM452">
        <f ca="1"/>
      </c>
      <c r="FN452">
        <f ca="1"/>
      </c>
      <c r="FO452">
        <f ca="1"/>
      </c>
      <c r="FP452">
        <f ca="1"/>
      </c>
      <c r="FQ452">
        <f ca="1"/>
      </c>
      <c r="FR452">
        <f ca="1"/>
      </c>
      <c r="FS452">
        <f ca="1"/>
      </c>
      <c r="FT452">
        <f ca="1"/>
      </c>
      <c r="FU452">
        <f ca="1"/>
      </c>
      <c r="FV452">
        <f ca="1"/>
      </c>
      <c r="FW452">
        <f ca="1"/>
      </c>
      <c r="FX452">
        <f ca="1"/>
      </c>
      <c r="FY452">
        <f ca="1"/>
      </c>
      <c r="FZ452">
        <f ca="1"/>
      </c>
      <c r="GA452">
        <f ca="1"/>
      </c>
      <c r="GB452">
        <f ca="1"/>
      </c>
      <c r="GC452">
        <f ca="1"/>
      </c>
      <c r="GD452">
        <f ca="1"/>
      </c>
      <c r="GE452">
        <f ca="1"/>
      </c>
      <c r="GF452">
        <f ca="1"/>
      </c>
      <c r="GG452">
        <f ca="1"/>
      </c>
      <c r="GH452">
        <f ca="1"/>
      </c>
      <c r="GI452">
        <f ca="1"/>
      </c>
      <c r="GJ452">
        <f ca="1"/>
      </c>
      <c r="GK452">
        <f ca="1"/>
      </c>
      <c r="GL452">
        <f ca="1"/>
      </c>
      <c r="GM452">
        <f ca="1"/>
      </c>
      <c r="GN452">
        <f ca="1"/>
      </c>
      <c r="GO452">
        <f ca="1"/>
      </c>
      <c r="GP452">
        <f ca="1"/>
      </c>
      <c r="GQ452">
        <f ca="1"/>
      </c>
      <c r="GR452">
        <f ca="1"/>
      </c>
      <c r="GS452">
        <f ca="1"/>
      </c>
      <c r="GT452">
        <f ca="1"/>
      </c>
      <c r="GU452">
        <f ca="1"/>
      </c>
      <c r="GV452">
        <f ca="1"/>
      </c>
      <c r="GW452">
        <f ca="1"/>
      </c>
      <c r="HI452" s="7"/>
    </row>
    <row r="453" spans="63:217" x14ac:dyDescent="0.55000000000000004">
      <c r="BK453">
        <f ca="1"/>
      </c>
      <c r="BL453">
        <f ca="1"/>
      </c>
      <c r="BM453">
        <f ca="1"/>
      </c>
      <c r="BN453">
        <f ca="1"/>
      </c>
      <c r="BO453">
        <f ca="1"/>
      </c>
      <c r="BP453">
        <f ca="1"/>
      </c>
      <c r="BQ453">
        <f ca="1"/>
      </c>
      <c r="BR453">
        <f ca="1"/>
      </c>
      <c r="BS453">
        <f ca="1"/>
      </c>
      <c r="BT453">
        <f ca="1"/>
      </c>
      <c r="BU453">
        <f ca="1"/>
      </c>
      <c r="BV453">
        <f ca="1"/>
      </c>
      <c r="BW453">
        <f ca="1"/>
      </c>
      <c r="BX453">
        <f ca="1"/>
      </c>
      <c r="BY453">
        <f ca="1"/>
      </c>
      <c r="BZ453">
        <f ca="1"/>
      </c>
      <c r="CA453">
        <f ca="1"/>
      </c>
      <c r="CB453">
        <f ca="1"/>
      </c>
      <c r="CC453">
        <f ca="1"/>
      </c>
      <c r="CD453">
        <f ca="1"/>
      </c>
      <c r="CE453">
        <f ca="1"/>
      </c>
      <c r="CF453">
        <f ca="1"/>
      </c>
      <c r="CG453">
        <f ca="1"/>
      </c>
      <c r="CH453">
        <f ca="1"/>
      </c>
      <c r="CI453">
        <f ca="1"/>
      </c>
      <c r="CJ453">
        <f ca="1"/>
      </c>
      <c r="CK453">
        <f ca="1"/>
      </c>
      <c r="CL453">
        <f ca="1"/>
      </c>
      <c r="CM453">
        <f ca="1"/>
      </c>
      <c r="CN453">
        <f ca="1"/>
      </c>
      <c r="CO453">
        <f ca="1"/>
      </c>
      <c r="CP453">
        <f ca="1"/>
      </c>
      <c r="CQ453">
        <f ca="1"/>
      </c>
      <c r="CR453">
        <f ca="1"/>
      </c>
      <c r="CS453">
        <f ca="1"/>
      </c>
      <c r="CT453">
        <f ca="1"/>
      </c>
      <c r="CU453">
        <f ca="1"/>
      </c>
      <c r="CV453">
        <f ca="1"/>
      </c>
      <c r="CW453">
        <f ca="1"/>
      </c>
      <c r="CX453">
        <f ca="1"/>
      </c>
      <c r="CY453">
        <f ca="1"/>
      </c>
      <c r="CZ453">
        <f ca="1"/>
      </c>
      <c r="DA453">
        <f ca="1"/>
      </c>
      <c r="DB453">
        <f ca="1"/>
      </c>
      <c r="DC453">
        <f ca="1"/>
      </c>
      <c r="DD453">
        <f ca="1"/>
      </c>
      <c r="DE453">
        <f ca="1"/>
      </c>
      <c r="DG453">
        <f ca="1"/>
      </c>
      <c r="DH453">
        <f ca="1"/>
      </c>
      <c r="DI453">
        <f ca="1"/>
      </c>
      <c r="DJ453">
        <f ca="1"/>
      </c>
      <c r="DK453">
        <f ca="1"/>
      </c>
      <c r="DL453">
        <f ca="1"/>
      </c>
      <c r="DM453">
        <f ca="1"/>
      </c>
      <c r="DN453">
        <f ca="1"/>
      </c>
      <c r="DO453">
        <f ca="1"/>
      </c>
      <c r="DP453">
        <f ca="1"/>
      </c>
      <c r="DQ453">
        <f ca="1"/>
      </c>
      <c r="DR453">
        <f ca="1"/>
      </c>
      <c r="DS453">
        <f ca="1"/>
      </c>
      <c r="DT453">
        <f ca="1"/>
      </c>
      <c r="DU453">
        <f ca="1"/>
      </c>
      <c r="DV453">
        <f ca="1"/>
      </c>
      <c r="DW453">
        <f ca="1"/>
      </c>
      <c r="DX453">
        <f ca="1"/>
      </c>
      <c r="DY453">
        <f ca="1"/>
      </c>
      <c r="DZ453">
        <f ca="1"/>
      </c>
      <c r="EA453">
        <f ca="1"/>
      </c>
      <c r="EB453">
        <f ca="1"/>
      </c>
      <c r="EC453">
        <f ca="1"/>
      </c>
      <c r="ED453">
        <f ca="1"/>
      </c>
      <c r="EE453">
        <f ca="1"/>
      </c>
      <c r="EF453">
        <f ca="1"/>
      </c>
      <c r="EG453">
        <f ca="1"/>
      </c>
      <c r="EH453">
        <f ca="1"/>
      </c>
      <c r="EI453">
        <f ca="1"/>
      </c>
      <c r="EJ453">
        <f ca="1"/>
      </c>
      <c r="EK453">
        <f ca="1"/>
      </c>
      <c r="EL453">
        <f ca="1"/>
      </c>
      <c r="EM453">
        <f ca="1"/>
      </c>
      <c r="EN453">
        <f ca="1"/>
      </c>
      <c r="EO453">
        <f ca="1"/>
      </c>
      <c r="EP453">
        <f ca="1"/>
      </c>
      <c r="EQ453">
        <f ca="1"/>
      </c>
      <c r="ER453">
        <f ca="1"/>
      </c>
      <c r="ES453">
        <f ca="1"/>
      </c>
      <c r="ET453">
        <f ca="1"/>
      </c>
      <c r="EU453">
        <f ca="1"/>
      </c>
      <c r="EV453">
        <f ca="1"/>
      </c>
      <c r="EW453">
        <f ca="1"/>
      </c>
      <c r="EX453">
        <f ca="1"/>
      </c>
      <c r="EY453">
        <f ca="1"/>
      </c>
      <c r="EZ453">
        <f ca="1"/>
      </c>
      <c r="FA453">
        <f ca="1"/>
      </c>
      <c r="FC453">
        <f ca="1"/>
      </c>
      <c r="FD453">
        <f ca="1"/>
      </c>
      <c r="FE453">
        <f ca="1"/>
      </c>
      <c r="FF453">
        <f ca="1"/>
      </c>
      <c r="FG453">
        <f ca="1"/>
      </c>
      <c r="FH453">
        <f ca="1"/>
      </c>
      <c r="FI453">
        <f ca="1"/>
      </c>
      <c r="FJ453">
        <f ca="1"/>
      </c>
      <c r="FK453">
        <f ca="1"/>
      </c>
      <c r="FL453">
        <f ca="1"/>
      </c>
      <c r="FM453">
        <f ca="1"/>
      </c>
      <c r="FN453">
        <f ca="1"/>
      </c>
      <c r="FO453">
        <f ca="1"/>
      </c>
      <c r="FP453">
        <f ca="1"/>
      </c>
      <c r="FQ453">
        <f ca="1"/>
      </c>
      <c r="FR453">
        <f ca="1"/>
      </c>
      <c r="FS453">
        <f ca="1"/>
      </c>
      <c r="FT453">
        <f ca="1"/>
      </c>
      <c r="FU453">
        <f ca="1"/>
      </c>
      <c r="FV453">
        <f ca="1"/>
      </c>
      <c r="FW453">
        <f ca="1"/>
      </c>
      <c r="FX453">
        <f ca="1"/>
      </c>
      <c r="FY453">
        <f ca="1"/>
      </c>
      <c r="FZ453">
        <f ca="1"/>
      </c>
      <c r="GA453">
        <f ca="1"/>
      </c>
      <c r="GB453">
        <f ca="1"/>
      </c>
      <c r="GC453">
        <f ca="1"/>
      </c>
      <c r="GD453">
        <f ca="1"/>
      </c>
      <c r="GE453">
        <f ca="1"/>
      </c>
      <c r="GF453">
        <f ca="1"/>
      </c>
      <c r="GG453">
        <f ca="1"/>
      </c>
      <c r="GH453">
        <f ca="1"/>
      </c>
      <c r="GI453">
        <f ca="1"/>
      </c>
      <c r="GJ453">
        <f ca="1"/>
      </c>
      <c r="GK453">
        <f ca="1"/>
      </c>
      <c r="GL453">
        <f ca="1"/>
      </c>
      <c r="GM453">
        <f ca="1"/>
      </c>
      <c r="GN453">
        <f ca="1"/>
      </c>
      <c r="GO453">
        <f ca="1"/>
      </c>
      <c r="GP453">
        <f ca="1"/>
      </c>
      <c r="GQ453">
        <f ca="1"/>
      </c>
      <c r="GR453">
        <f ca="1"/>
      </c>
      <c r="GS453">
        <f ca="1"/>
      </c>
      <c r="GT453">
        <f ca="1"/>
      </c>
      <c r="GU453">
        <f ca="1"/>
      </c>
      <c r="GV453">
        <f ca="1"/>
      </c>
      <c r="GW453">
        <f ca="1"/>
      </c>
      <c r="HI453" s="7"/>
    </row>
    <row r="454" spans="63:217" x14ac:dyDescent="0.55000000000000004">
      <c r="BK454">
        <f ca="1"/>
      </c>
      <c r="BL454">
        <f ca="1"/>
      </c>
      <c r="BM454">
        <f ca="1"/>
      </c>
      <c r="BN454">
        <f ca="1"/>
      </c>
      <c r="BO454">
        <f ca="1"/>
      </c>
      <c r="BP454">
        <f ca="1"/>
      </c>
      <c r="BQ454">
        <f ca="1"/>
      </c>
      <c r="BR454">
        <f ca="1"/>
      </c>
      <c r="BS454">
        <f ca="1"/>
      </c>
      <c r="BT454">
        <f ca="1"/>
      </c>
      <c r="BU454">
        <f ca="1"/>
      </c>
      <c r="BV454">
        <f ca="1"/>
      </c>
      <c r="BW454">
        <f ca="1"/>
      </c>
      <c r="BX454">
        <f ca="1"/>
      </c>
      <c r="BY454">
        <f ca="1"/>
      </c>
      <c r="BZ454">
        <f ca="1"/>
      </c>
      <c r="CA454">
        <f ca="1"/>
      </c>
      <c r="CB454">
        <f ca="1"/>
      </c>
      <c r="CC454">
        <f ca="1"/>
      </c>
      <c r="CD454">
        <f ca="1"/>
      </c>
      <c r="CE454">
        <f ca="1"/>
      </c>
      <c r="CF454">
        <f ca="1"/>
      </c>
      <c r="CG454">
        <f ca="1"/>
      </c>
      <c r="CH454">
        <f ca="1"/>
      </c>
      <c r="CI454">
        <f ca="1"/>
      </c>
      <c r="CJ454">
        <f ca="1"/>
      </c>
      <c r="CK454">
        <f ca="1"/>
      </c>
      <c r="CL454">
        <f ca="1"/>
      </c>
      <c r="CM454">
        <f ca="1"/>
      </c>
      <c r="CN454">
        <f ca="1"/>
      </c>
      <c r="CO454">
        <f ca="1"/>
      </c>
      <c r="CP454">
        <f ca="1"/>
      </c>
      <c r="CQ454">
        <f ca="1"/>
      </c>
      <c r="CR454">
        <f ca="1"/>
      </c>
      <c r="CS454">
        <f ca="1"/>
      </c>
      <c r="CT454">
        <f ca="1"/>
      </c>
      <c r="CU454">
        <f ca="1"/>
      </c>
      <c r="CV454">
        <f ca="1"/>
      </c>
      <c r="CW454">
        <f ca="1"/>
      </c>
      <c r="CX454">
        <f ca="1"/>
      </c>
      <c r="CY454">
        <f ca="1"/>
      </c>
      <c r="CZ454">
        <f ca="1"/>
      </c>
      <c r="DA454">
        <f ca="1"/>
      </c>
      <c r="DB454">
        <f ca="1"/>
      </c>
      <c r="DC454">
        <f ca="1"/>
      </c>
      <c r="DD454">
        <f ca="1"/>
      </c>
      <c r="DE454">
        <f ca="1"/>
      </c>
      <c r="DG454">
        <f ca="1"/>
      </c>
      <c r="DH454">
        <f ca="1"/>
      </c>
      <c r="DI454">
        <f ca="1"/>
      </c>
      <c r="DJ454">
        <f ca="1"/>
      </c>
      <c r="DK454">
        <f ca="1"/>
      </c>
      <c r="DL454">
        <f ca="1"/>
      </c>
      <c r="DM454">
        <f ca="1"/>
      </c>
      <c r="DN454">
        <f ca="1"/>
      </c>
      <c r="DO454">
        <f ca="1"/>
      </c>
      <c r="DP454">
        <f ca="1"/>
      </c>
      <c r="DQ454">
        <f ca="1"/>
      </c>
      <c r="DR454">
        <f ca="1"/>
      </c>
      <c r="DS454">
        <f ca="1"/>
      </c>
      <c r="DT454">
        <f ca="1"/>
      </c>
      <c r="DU454">
        <f ca="1"/>
      </c>
      <c r="DV454">
        <f ca="1"/>
      </c>
      <c r="DW454">
        <f ca="1"/>
      </c>
      <c r="DX454">
        <f ca="1"/>
      </c>
      <c r="DY454">
        <f ca="1"/>
      </c>
      <c r="DZ454">
        <f ca="1"/>
      </c>
      <c r="EA454">
        <f ca="1"/>
      </c>
      <c r="EB454">
        <f ca="1"/>
      </c>
      <c r="EC454">
        <f ca="1"/>
      </c>
      <c r="ED454">
        <f ca="1"/>
      </c>
      <c r="EE454">
        <f ca="1"/>
      </c>
      <c r="EF454">
        <f ca="1"/>
      </c>
      <c r="EG454">
        <f ca="1"/>
      </c>
      <c r="EH454">
        <f ca="1"/>
      </c>
      <c r="EI454">
        <f ca="1"/>
      </c>
      <c r="EJ454">
        <f ca="1"/>
      </c>
      <c r="EK454">
        <f ca="1"/>
      </c>
      <c r="EL454">
        <f ca="1"/>
      </c>
      <c r="EM454">
        <f ca="1"/>
      </c>
      <c r="EN454">
        <f ca="1"/>
      </c>
      <c r="EO454">
        <f ca="1"/>
      </c>
      <c r="EP454">
        <f ca="1"/>
      </c>
      <c r="EQ454">
        <f ca="1"/>
      </c>
      <c r="ER454">
        <f ca="1"/>
      </c>
      <c r="ES454">
        <f ca="1"/>
      </c>
      <c r="ET454">
        <f ca="1"/>
      </c>
      <c r="EU454">
        <f ca="1"/>
      </c>
      <c r="EV454">
        <f ca="1"/>
      </c>
      <c r="EW454">
        <f ca="1"/>
      </c>
      <c r="EX454">
        <f ca="1"/>
      </c>
      <c r="EY454">
        <f ca="1"/>
      </c>
      <c r="EZ454">
        <f ca="1"/>
      </c>
      <c r="FA454">
        <f ca="1"/>
      </c>
      <c r="FC454">
        <f ca="1"/>
      </c>
      <c r="FD454">
        <f ca="1"/>
      </c>
      <c r="FE454">
        <f ca="1"/>
      </c>
      <c r="FF454">
        <f ca="1"/>
      </c>
      <c r="FG454">
        <f ca="1"/>
      </c>
      <c r="FH454">
        <f ca="1"/>
      </c>
      <c r="FI454">
        <f ca="1"/>
      </c>
      <c r="FJ454">
        <f ca="1"/>
      </c>
      <c r="FK454">
        <f ca="1"/>
      </c>
      <c r="FL454">
        <f ca="1"/>
      </c>
      <c r="FM454">
        <f ca="1"/>
      </c>
      <c r="FN454">
        <f ca="1"/>
      </c>
      <c r="FO454">
        <f ca="1"/>
      </c>
      <c r="FP454">
        <f ca="1"/>
      </c>
      <c r="FQ454">
        <f ca="1"/>
      </c>
      <c r="FR454">
        <f ca="1"/>
      </c>
      <c r="FS454">
        <f ca="1"/>
      </c>
      <c r="FT454">
        <f ca="1"/>
      </c>
      <c r="FU454">
        <f ca="1"/>
      </c>
      <c r="FV454">
        <f ca="1"/>
      </c>
      <c r="FW454">
        <f ca="1"/>
      </c>
      <c r="FX454">
        <f ca="1"/>
      </c>
      <c r="FY454">
        <f ca="1"/>
      </c>
      <c r="FZ454">
        <f ca="1"/>
      </c>
      <c r="GA454">
        <f ca="1"/>
      </c>
      <c r="GB454">
        <f ca="1"/>
      </c>
      <c r="GC454">
        <f ca="1"/>
      </c>
      <c r="GD454">
        <f ca="1"/>
      </c>
      <c r="GE454">
        <f ca="1"/>
      </c>
      <c r="GF454">
        <f ca="1"/>
      </c>
      <c r="GG454">
        <f ca="1"/>
      </c>
      <c r="GH454">
        <f ca="1"/>
      </c>
      <c r="GI454">
        <f ca="1"/>
      </c>
      <c r="GJ454">
        <f ca="1"/>
      </c>
      <c r="GK454">
        <f ca="1"/>
      </c>
      <c r="GL454">
        <f ca="1"/>
      </c>
      <c r="GM454">
        <f ca="1"/>
      </c>
      <c r="GN454">
        <f ca="1"/>
      </c>
      <c r="GO454">
        <f ca="1"/>
      </c>
      <c r="GP454">
        <f ca="1"/>
      </c>
      <c r="GQ454">
        <f ca="1"/>
      </c>
      <c r="GR454">
        <f ca="1"/>
      </c>
      <c r="GS454">
        <f ca="1"/>
      </c>
      <c r="GT454">
        <f ca="1"/>
      </c>
      <c r="GU454">
        <f ca="1"/>
      </c>
      <c r="GV454">
        <f ca="1"/>
      </c>
      <c r="GW454">
        <f ca="1"/>
      </c>
      <c r="HI454" s="7"/>
    </row>
    <row r="455" spans="63:217" x14ac:dyDescent="0.55000000000000004">
      <c r="BK455">
        <f ca="1"/>
      </c>
      <c r="BL455">
        <f ca="1"/>
      </c>
      <c r="BM455">
        <f ca="1"/>
      </c>
      <c r="BN455">
        <f ca="1"/>
      </c>
      <c r="BO455">
        <f ca="1"/>
      </c>
      <c r="BP455">
        <f ca="1"/>
      </c>
      <c r="BQ455">
        <f ca="1"/>
      </c>
      <c r="BR455">
        <f ca="1"/>
      </c>
      <c r="BS455">
        <f ca="1"/>
      </c>
      <c r="BT455">
        <f ca="1"/>
      </c>
      <c r="BU455">
        <f ca="1"/>
      </c>
      <c r="BV455">
        <f ca="1"/>
      </c>
      <c r="BW455">
        <f ca="1"/>
      </c>
      <c r="BX455">
        <f ca="1"/>
      </c>
      <c r="BY455">
        <f ca="1"/>
      </c>
      <c r="BZ455">
        <f ca="1"/>
      </c>
      <c r="CA455">
        <f ca="1"/>
      </c>
      <c r="CB455">
        <f ca="1"/>
      </c>
      <c r="CC455">
        <f ca="1"/>
      </c>
      <c r="CD455">
        <f ca="1"/>
      </c>
      <c r="CE455">
        <f ca="1"/>
      </c>
      <c r="CF455">
        <f ca="1"/>
      </c>
      <c r="CG455">
        <f ca="1"/>
      </c>
      <c r="CH455">
        <f ca="1"/>
      </c>
      <c r="CI455">
        <f ca="1"/>
      </c>
      <c r="CJ455">
        <f ca="1"/>
      </c>
      <c r="CK455">
        <f ca="1"/>
      </c>
      <c r="CL455">
        <f ca="1"/>
      </c>
      <c r="CM455">
        <f ca="1"/>
      </c>
      <c r="CN455">
        <f ca="1"/>
      </c>
      <c r="CO455">
        <f ca="1"/>
      </c>
      <c r="CP455">
        <f ca="1"/>
      </c>
      <c r="CQ455">
        <f ca="1"/>
      </c>
      <c r="CR455">
        <f ca="1"/>
      </c>
      <c r="CS455">
        <f ca="1"/>
      </c>
      <c r="CT455">
        <f ca="1"/>
      </c>
      <c r="CU455">
        <f ca="1"/>
      </c>
      <c r="CV455">
        <f ca="1"/>
      </c>
      <c r="CW455">
        <f ca="1"/>
      </c>
      <c r="CX455">
        <f ca="1"/>
      </c>
      <c r="CY455">
        <f ca="1"/>
      </c>
      <c r="CZ455">
        <f ca="1"/>
      </c>
      <c r="DA455">
        <f ca="1"/>
      </c>
      <c r="DB455">
        <f ca="1"/>
      </c>
      <c r="DC455">
        <f ca="1"/>
      </c>
      <c r="DD455">
        <f ca="1"/>
      </c>
      <c r="DE455">
        <f ca="1"/>
      </c>
      <c r="DG455">
        <f ca="1"/>
      </c>
      <c r="DH455">
        <f ca="1"/>
      </c>
      <c r="DI455">
        <f ca="1"/>
      </c>
      <c r="DJ455">
        <f ca="1"/>
      </c>
      <c r="DK455">
        <f ca="1"/>
      </c>
      <c r="DL455">
        <f ca="1"/>
      </c>
      <c r="DM455">
        <f ca="1"/>
      </c>
      <c r="DN455">
        <f ca="1"/>
      </c>
      <c r="DO455">
        <f ca="1"/>
      </c>
      <c r="DP455">
        <f ca="1"/>
      </c>
      <c r="DQ455">
        <f ca="1"/>
      </c>
      <c r="DR455">
        <f ca="1"/>
      </c>
      <c r="DS455">
        <f ca="1"/>
      </c>
      <c r="DT455">
        <f ca="1"/>
      </c>
      <c r="DU455">
        <f ca="1"/>
      </c>
      <c r="DV455">
        <f ca="1"/>
      </c>
      <c r="DW455">
        <f ca="1"/>
      </c>
      <c r="DX455">
        <f ca="1"/>
      </c>
      <c r="DY455">
        <f ca="1"/>
      </c>
      <c r="DZ455">
        <f ca="1"/>
      </c>
      <c r="EA455">
        <f ca="1"/>
      </c>
      <c r="EB455">
        <f ca="1"/>
      </c>
      <c r="EC455">
        <f ca="1"/>
      </c>
      <c r="ED455">
        <f ca="1"/>
      </c>
      <c r="EE455">
        <f ca="1"/>
      </c>
      <c r="EF455">
        <f ca="1"/>
      </c>
      <c r="EG455">
        <f ca="1"/>
      </c>
      <c r="EH455">
        <f ca="1"/>
      </c>
      <c r="EI455">
        <f ca="1"/>
      </c>
      <c r="EJ455">
        <f ca="1"/>
      </c>
      <c r="EK455">
        <f ca="1"/>
      </c>
      <c r="EL455">
        <f ca="1"/>
      </c>
      <c r="EM455">
        <f ca="1"/>
      </c>
      <c r="EN455">
        <f ca="1"/>
      </c>
      <c r="EO455">
        <f ca="1"/>
      </c>
      <c r="EP455">
        <f ca="1"/>
      </c>
      <c r="EQ455">
        <f ca="1"/>
      </c>
      <c r="ER455">
        <f ca="1"/>
      </c>
      <c r="ES455">
        <f ca="1"/>
      </c>
      <c r="ET455">
        <f ca="1"/>
      </c>
      <c r="EU455">
        <f ca="1"/>
      </c>
      <c r="EV455">
        <f ca="1"/>
      </c>
      <c r="EW455">
        <f ca="1"/>
      </c>
      <c r="EX455">
        <f ca="1"/>
      </c>
      <c r="EY455">
        <f ca="1"/>
      </c>
      <c r="EZ455">
        <f ca="1"/>
      </c>
      <c r="FA455">
        <f ca="1"/>
      </c>
      <c r="FC455">
        <f ca="1"/>
      </c>
      <c r="FD455">
        <f ca="1"/>
      </c>
      <c r="FE455">
        <f ca="1"/>
      </c>
      <c r="FF455">
        <f ca="1"/>
      </c>
      <c r="FG455">
        <f ca="1"/>
      </c>
      <c r="FH455">
        <f ca="1"/>
      </c>
      <c r="FI455">
        <f ca="1"/>
      </c>
      <c r="FJ455">
        <f ca="1"/>
      </c>
      <c r="FK455">
        <f ca="1"/>
      </c>
      <c r="FL455">
        <f ca="1"/>
      </c>
      <c r="FM455">
        <f ca="1"/>
      </c>
      <c r="FN455">
        <f ca="1"/>
      </c>
      <c r="FO455">
        <f ca="1"/>
      </c>
      <c r="FP455">
        <f ca="1"/>
      </c>
      <c r="FQ455">
        <f ca="1"/>
      </c>
      <c r="FR455">
        <f ca="1"/>
      </c>
      <c r="FS455">
        <f ca="1"/>
      </c>
      <c r="FT455">
        <f ca="1"/>
      </c>
      <c r="FU455">
        <f ca="1"/>
      </c>
      <c r="FV455">
        <f ca="1"/>
      </c>
      <c r="FW455">
        <f ca="1"/>
      </c>
      <c r="FX455">
        <f ca="1"/>
      </c>
      <c r="FY455">
        <f ca="1"/>
      </c>
      <c r="FZ455">
        <f ca="1"/>
      </c>
      <c r="GA455">
        <f ca="1"/>
      </c>
      <c r="GB455">
        <f ca="1"/>
      </c>
      <c r="GC455">
        <f ca="1"/>
      </c>
      <c r="GD455">
        <f ca="1"/>
      </c>
      <c r="GE455">
        <f ca="1"/>
      </c>
      <c r="GF455">
        <f ca="1"/>
      </c>
      <c r="GG455">
        <f ca="1"/>
      </c>
      <c r="GH455">
        <f ca="1"/>
      </c>
      <c r="GI455">
        <f ca="1"/>
      </c>
      <c r="GJ455">
        <f ca="1"/>
      </c>
      <c r="GK455">
        <f ca="1"/>
      </c>
      <c r="GL455">
        <f ca="1"/>
      </c>
      <c r="GM455">
        <f ca="1"/>
      </c>
      <c r="GN455">
        <f ca="1"/>
      </c>
      <c r="GO455">
        <f ca="1"/>
      </c>
      <c r="GP455">
        <f ca="1"/>
      </c>
      <c r="GQ455">
        <f ca="1"/>
      </c>
      <c r="GR455">
        <f ca="1"/>
      </c>
      <c r="GS455">
        <f ca="1"/>
      </c>
      <c r="GT455">
        <f ca="1"/>
      </c>
      <c r="GU455">
        <f ca="1"/>
      </c>
      <c r="GV455">
        <f ca="1"/>
      </c>
      <c r="GW455">
        <f ca="1"/>
      </c>
      <c r="HI455" s="7"/>
    </row>
    <row r="456" spans="63:217" x14ac:dyDescent="0.55000000000000004">
      <c r="BK456">
        <f ca="1"/>
      </c>
      <c r="BL456">
        <f ca="1"/>
      </c>
      <c r="BM456">
        <f ca="1"/>
      </c>
      <c r="BN456">
        <f ca="1"/>
      </c>
      <c r="BO456">
        <f ca="1"/>
      </c>
      <c r="BP456">
        <f ca="1"/>
      </c>
      <c r="BQ456">
        <f ca="1"/>
      </c>
      <c r="BR456">
        <f ca="1"/>
      </c>
      <c r="BS456">
        <f ca="1"/>
      </c>
      <c r="BT456">
        <f ca="1"/>
      </c>
      <c r="BU456">
        <f ca="1"/>
      </c>
      <c r="BV456">
        <f ca="1"/>
      </c>
      <c r="BW456">
        <f ca="1"/>
      </c>
      <c r="BX456">
        <f ca="1"/>
      </c>
      <c r="BY456">
        <f ca="1"/>
      </c>
      <c r="BZ456">
        <f ca="1"/>
      </c>
      <c r="CA456">
        <f ca="1"/>
      </c>
      <c r="CB456">
        <f ca="1"/>
      </c>
      <c r="CC456">
        <f ca="1"/>
      </c>
      <c r="CD456">
        <f ca="1"/>
      </c>
      <c r="CE456">
        <f ca="1"/>
      </c>
      <c r="CF456">
        <f ca="1"/>
      </c>
      <c r="CG456">
        <f ca="1"/>
      </c>
      <c r="CH456">
        <f ca="1"/>
      </c>
      <c r="CI456">
        <f ca="1"/>
      </c>
      <c r="CJ456">
        <f ca="1"/>
      </c>
      <c r="CK456">
        <f ca="1"/>
      </c>
      <c r="CL456">
        <f ca="1"/>
      </c>
      <c r="CM456">
        <f ca="1"/>
      </c>
      <c r="CN456">
        <f ca="1"/>
      </c>
      <c r="CO456">
        <f ca="1"/>
      </c>
      <c r="CP456">
        <f ca="1"/>
      </c>
      <c r="CQ456">
        <f ca="1"/>
      </c>
      <c r="CR456">
        <f ca="1"/>
      </c>
      <c r="CS456">
        <f ca="1"/>
      </c>
      <c r="CT456">
        <f ca="1"/>
      </c>
      <c r="CU456">
        <f ca="1"/>
      </c>
      <c r="CV456">
        <f ca="1"/>
      </c>
      <c r="CW456">
        <f ca="1"/>
      </c>
      <c r="CX456">
        <f ca="1"/>
      </c>
      <c r="CY456">
        <f ca="1"/>
      </c>
      <c r="CZ456">
        <f ca="1"/>
      </c>
      <c r="DA456">
        <f ca="1"/>
      </c>
      <c r="DB456">
        <f ca="1"/>
      </c>
      <c r="DC456">
        <f ca="1"/>
      </c>
      <c r="DD456">
        <f ca="1"/>
      </c>
      <c r="DE456">
        <f ca="1"/>
      </c>
      <c r="DG456">
        <f ca="1"/>
      </c>
      <c r="DH456">
        <f ca="1"/>
      </c>
      <c r="DI456">
        <f ca="1"/>
      </c>
      <c r="DJ456">
        <f ca="1"/>
      </c>
      <c r="DK456">
        <f ca="1"/>
      </c>
      <c r="DL456">
        <f ca="1"/>
      </c>
      <c r="DM456">
        <f ca="1"/>
      </c>
      <c r="DN456">
        <f ca="1"/>
      </c>
      <c r="DO456">
        <f ca="1"/>
      </c>
      <c r="DP456">
        <f ca="1"/>
      </c>
      <c r="DQ456">
        <f ca="1"/>
      </c>
      <c r="DR456">
        <f ca="1"/>
      </c>
      <c r="DS456">
        <f ca="1"/>
      </c>
      <c r="DT456">
        <f ca="1"/>
      </c>
      <c r="DU456">
        <f ca="1"/>
      </c>
      <c r="DV456">
        <f ca="1"/>
      </c>
      <c r="DW456">
        <f ca="1"/>
      </c>
      <c r="DX456">
        <f ca="1"/>
      </c>
      <c r="DY456">
        <f ca="1"/>
      </c>
      <c r="DZ456">
        <f ca="1"/>
      </c>
      <c r="EA456">
        <f ca="1"/>
      </c>
      <c r="EB456">
        <f ca="1"/>
      </c>
      <c r="EC456">
        <f ca="1"/>
      </c>
      <c r="ED456">
        <f ca="1"/>
      </c>
      <c r="EE456">
        <f ca="1"/>
      </c>
      <c r="EF456">
        <f ca="1"/>
      </c>
      <c r="EG456">
        <f ca="1"/>
      </c>
      <c r="EH456">
        <f ca="1"/>
      </c>
      <c r="EI456">
        <f ca="1"/>
      </c>
      <c r="EJ456">
        <f ca="1"/>
      </c>
      <c r="EK456">
        <f ca="1"/>
      </c>
      <c r="EL456">
        <f ca="1"/>
      </c>
      <c r="EM456">
        <f ca="1"/>
      </c>
      <c r="EN456">
        <f ca="1"/>
      </c>
      <c r="EO456">
        <f ca="1"/>
      </c>
      <c r="EP456">
        <f ca="1"/>
      </c>
      <c r="EQ456">
        <f ca="1"/>
      </c>
      <c r="ER456">
        <f ca="1"/>
      </c>
      <c r="ES456">
        <f ca="1"/>
      </c>
      <c r="ET456">
        <f ca="1"/>
      </c>
      <c r="EU456">
        <f ca="1"/>
      </c>
      <c r="EV456">
        <f ca="1"/>
      </c>
      <c r="EW456">
        <f ca="1"/>
      </c>
      <c r="EX456">
        <f ca="1"/>
      </c>
      <c r="EY456">
        <f ca="1"/>
      </c>
      <c r="EZ456">
        <f ca="1"/>
      </c>
      <c r="FA456">
        <f ca="1"/>
      </c>
      <c r="FC456">
        <f ca="1"/>
      </c>
      <c r="FD456">
        <f ca="1"/>
      </c>
      <c r="FE456">
        <f ca="1"/>
      </c>
      <c r="FF456">
        <f ca="1"/>
      </c>
      <c r="FG456">
        <f ca="1"/>
      </c>
      <c r="FH456">
        <f ca="1"/>
      </c>
      <c r="FI456">
        <f ca="1"/>
      </c>
      <c r="FJ456">
        <f ca="1"/>
      </c>
      <c r="FK456">
        <f ca="1"/>
      </c>
      <c r="FL456">
        <f ca="1"/>
      </c>
      <c r="FM456">
        <f ca="1"/>
      </c>
      <c r="FN456">
        <f ca="1"/>
      </c>
      <c r="FO456">
        <f ca="1"/>
      </c>
      <c r="FP456">
        <f ca="1"/>
      </c>
      <c r="FQ456">
        <f ca="1"/>
      </c>
      <c r="FR456">
        <f ca="1"/>
      </c>
      <c r="FS456">
        <f ca="1"/>
      </c>
      <c r="FT456">
        <f ca="1"/>
      </c>
      <c r="FU456">
        <f ca="1"/>
      </c>
      <c r="FV456">
        <f ca="1"/>
      </c>
      <c r="FW456">
        <f ca="1"/>
      </c>
      <c r="FX456">
        <f ca="1"/>
      </c>
      <c r="FY456">
        <f ca="1"/>
      </c>
      <c r="FZ456">
        <f ca="1"/>
      </c>
      <c r="GA456">
        <f ca="1"/>
      </c>
      <c r="GB456">
        <f ca="1"/>
      </c>
      <c r="GC456">
        <f ca="1"/>
      </c>
      <c r="GD456">
        <f ca="1"/>
      </c>
      <c r="GE456">
        <f ca="1"/>
      </c>
      <c r="GF456">
        <f ca="1"/>
      </c>
      <c r="GG456">
        <f ca="1"/>
      </c>
      <c r="GH456">
        <f ca="1"/>
      </c>
      <c r="GI456">
        <f ca="1"/>
      </c>
      <c r="GJ456">
        <f ca="1"/>
      </c>
      <c r="GK456">
        <f ca="1"/>
      </c>
      <c r="GL456">
        <f ca="1"/>
      </c>
      <c r="GM456">
        <f ca="1"/>
      </c>
      <c r="GN456">
        <f ca="1"/>
      </c>
      <c r="GO456">
        <f ca="1"/>
      </c>
      <c r="GP456">
        <f ca="1"/>
      </c>
      <c r="GQ456">
        <f ca="1"/>
      </c>
      <c r="GR456">
        <f ca="1"/>
      </c>
      <c r="GS456">
        <f ca="1"/>
      </c>
      <c r="GT456">
        <f ca="1"/>
      </c>
      <c r="GU456">
        <f ca="1"/>
      </c>
      <c r="GV456">
        <f ca="1"/>
      </c>
      <c r="GW456">
        <f ca="1"/>
      </c>
      <c r="HI456" s="7"/>
    </row>
    <row r="457" spans="63:217" x14ac:dyDescent="0.55000000000000004">
      <c r="BK457">
        <f ca="1"/>
      </c>
      <c r="BL457">
        <f ca="1"/>
      </c>
      <c r="BM457">
        <f ca="1"/>
      </c>
      <c r="BN457">
        <f ca="1"/>
      </c>
      <c r="BO457">
        <f ca="1"/>
      </c>
      <c r="BP457">
        <f ca="1"/>
      </c>
      <c r="BQ457">
        <f ca="1"/>
      </c>
      <c r="BR457">
        <f ca="1"/>
      </c>
      <c r="BS457">
        <f ca="1"/>
      </c>
      <c r="BT457">
        <f ca="1"/>
      </c>
      <c r="BU457">
        <f ca="1"/>
      </c>
      <c r="BV457">
        <f ca="1"/>
      </c>
      <c r="BW457">
        <f ca="1"/>
      </c>
      <c r="BX457">
        <f ca="1"/>
      </c>
      <c r="BY457">
        <f ca="1"/>
      </c>
      <c r="BZ457">
        <f ca="1"/>
      </c>
      <c r="CA457">
        <f ca="1"/>
      </c>
      <c r="CB457">
        <f ca="1"/>
      </c>
      <c r="CC457">
        <f ca="1"/>
      </c>
      <c r="CD457">
        <f ca="1"/>
      </c>
      <c r="CE457">
        <f ca="1"/>
      </c>
      <c r="CF457">
        <f ca="1"/>
      </c>
      <c r="CG457">
        <f ca="1"/>
      </c>
      <c r="CH457">
        <f ca="1"/>
      </c>
      <c r="CI457">
        <f ca="1"/>
      </c>
      <c r="CJ457">
        <f ca="1"/>
      </c>
      <c r="CK457">
        <f ca="1"/>
      </c>
      <c r="CL457">
        <f ca="1"/>
      </c>
      <c r="CM457">
        <f ca="1"/>
      </c>
      <c r="CN457">
        <f ca="1"/>
      </c>
      <c r="CO457">
        <f ca="1"/>
      </c>
      <c r="CP457">
        <f ca="1"/>
      </c>
      <c r="CQ457">
        <f ca="1"/>
      </c>
      <c r="CR457">
        <f ca="1"/>
      </c>
      <c r="CS457">
        <f ca="1"/>
      </c>
      <c r="CT457">
        <f ca="1"/>
      </c>
      <c r="CU457">
        <f ca="1"/>
      </c>
      <c r="CV457">
        <f ca="1"/>
      </c>
      <c r="CW457">
        <f ca="1"/>
      </c>
      <c r="CX457">
        <f ca="1"/>
      </c>
      <c r="CY457">
        <f ca="1"/>
      </c>
      <c r="CZ457">
        <f ca="1"/>
      </c>
      <c r="DA457">
        <f ca="1"/>
      </c>
      <c r="DB457">
        <f ca="1"/>
      </c>
      <c r="DC457">
        <f ca="1"/>
      </c>
      <c r="DD457">
        <f ca="1"/>
      </c>
      <c r="DE457">
        <f ca="1"/>
      </c>
      <c r="DG457">
        <f ca="1"/>
      </c>
      <c r="DH457">
        <f ca="1"/>
      </c>
      <c r="DI457">
        <f ca="1"/>
      </c>
      <c r="DJ457">
        <f ca="1"/>
      </c>
      <c r="DK457">
        <f ca="1"/>
      </c>
      <c r="DL457">
        <f ca="1"/>
      </c>
      <c r="DM457">
        <f ca="1"/>
      </c>
      <c r="DN457">
        <f ca="1"/>
      </c>
      <c r="DO457">
        <f ca="1"/>
      </c>
      <c r="DP457">
        <f ca="1"/>
      </c>
      <c r="DQ457">
        <f ca="1"/>
      </c>
      <c r="DR457">
        <f ca="1"/>
      </c>
      <c r="DS457">
        <f ca="1"/>
      </c>
      <c r="DT457">
        <f ca="1"/>
      </c>
      <c r="DU457">
        <f ca="1"/>
      </c>
      <c r="DV457">
        <f ca="1"/>
      </c>
      <c r="DW457">
        <f ca="1"/>
      </c>
      <c r="DX457">
        <f ca="1"/>
      </c>
      <c r="DY457">
        <f ca="1"/>
      </c>
      <c r="DZ457">
        <f ca="1"/>
      </c>
      <c r="EA457">
        <f ca="1"/>
      </c>
      <c r="EB457">
        <f ca="1"/>
      </c>
      <c r="EC457">
        <f ca="1"/>
      </c>
      <c r="ED457">
        <f ca="1"/>
      </c>
      <c r="EE457">
        <f ca="1"/>
      </c>
      <c r="EF457">
        <f ca="1"/>
      </c>
      <c r="EG457">
        <f ca="1"/>
      </c>
      <c r="EH457">
        <f ca="1"/>
      </c>
      <c r="EI457">
        <f ca="1"/>
      </c>
      <c r="EJ457">
        <f ca="1"/>
      </c>
      <c r="EK457">
        <f ca="1"/>
      </c>
      <c r="EL457">
        <f ca="1"/>
      </c>
      <c r="EM457">
        <f ca="1"/>
      </c>
      <c r="EN457">
        <f ca="1"/>
      </c>
      <c r="EO457">
        <f ca="1"/>
      </c>
      <c r="EP457">
        <f ca="1"/>
      </c>
      <c r="EQ457">
        <f ca="1"/>
      </c>
      <c r="ER457">
        <f ca="1"/>
      </c>
      <c r="ES457">
        <f ca="1"/>
      </c>
      <c r="ET457">
        <f ca="1"/>
      </c>
      <c r="EU457">
        <f ca="1"/>
      </c>
      <c r="EV457">
        <f ca="1"/>
      </c>
      <c r="EW457">
        <f ca="1"/>
      </c>
      <c r="EX457">
        <f ca="1"/>
      </c>
      <c r="EY457">
        <f ca="1"/>
      </c>
      <c r="EZ457">
        <f ca="1"/>
      </c>
      <c r="FA457">
        <f ca="1"/>
      </c>
      <c r="FC457">
        <f ca="1"/>
      </c>
      <c r="FD457">
        <f ca="1"/>
      </c>
      <c r="FE457">
        <f ca="1"/>
      </c>
      <c r="FF457">
        <f ca="1"/>
      </c>
      <c r="FG457">
        <f ca="1"/>
      </c>
      <c r="FH457">
        <f ca="1"/>
      </c>
      <c r="FI457">
        <f ca="1"/>
      </c>
      <c r="FJ457">
        <f ca="1"/>
      </c>
      <c r="FK457">
        <f ca="1"/>
      </c>
      <c r="FL457">
        <f ca="1"/>
      </c>
      <c r="FM457">
        <f ca="1"/>
      </c>
      <c r="FN457">
        <f ca="1"/>
      </c>
      <c r="FO457">
        <f ca="1"/>
      </c>
      <c r="FP457">
        <f ca="1"/>
      </c>
      <c r="FQ457">
        <f ca="1"/>
      </c>
      <c r="FR457">
        <f ca="1"/>
      </c>
      <c r="FS457">
        <f ca="1"/>
      </c>
      <c r="FT457">
        <f ca="1"/>
      </c>
      <c r="FU457">
        <f ca="1"/>
      </c>
      <c r="FV457">
        <f ca="1"/>
      </c>
      <c r="FW457">
        <f ca="1"/>
      </c>
      <c r="FX457">
        <f ca="1"/>
      </c>
      <c r="FY457">
        <f ca="1"/>
      </c>
      <c r="FZ457">
        <f ca="1"/>
      </c>
      <c r="GA457">
        <f ca="1"/>
      </c>
      <c r="GB457">
        <f ca="1"/>
      </c>
      <c r="GC457">
        <f ca="1"/>
      </c>
      <c r="GD457">
        <f ca="1"/>
      </c>
      <c r="GE457">
        <f ca="1"/>
      </c>
      <c r="GF457">
        <f ca="1"/>
      </c>
      <c r="GG457">
        <f ca="1"/>
      </c>
      <c r="GH457">
        <f ca="1"/>
      </c>
      <c r="GI457">
        <f ca="1"/>
      </c>
      <c r="GJ457">
        <f ca="1"/>
      </c>
      <c r="GK457">
        <f ca="1"/>
      </c>
      <c r="GL457">
        <f ca="1"/>
      </c>
      <c r="GM457">
        <f ca="1"/>
      </c>
      <c r="GN457">
        <f ca="1"/>
      </c>
      <c r="GO457">
        <f ca="1"/>
      </c>
      <c r="GP457">
        <f ca="1"/>
      </c>
      <c r="GQ457">
        <f ca="1"/>
      </c>
      <c r="GR457">
        <f ca="1"/>
      </c>
      <c r="GS457">
        <f ca="1"/>
      </c>
      <c r="GT457">
        <f ca="1"/>
      </c>
      <c r="GU457">
        <f ca="1"/>
      </c>
      <c r="GV457">
        <f ca="1"/>
      </c>
      <c r="GW457">
        <f ca="1"/>
      </c>
      <c r="HI457" s="7"/>
    </row>
    <row r="458" spans="63:217" x14ac:dyDescent="0.55000000000000004">
      <c r="BK458">
        <f ca="1"/>
      </c>
      <c r="BL458">
        <f ca="1"/>
      </c>
      <c r="BM458">
        <f ca="1"/>
      </c>
      <c r="BN458">
        <f ca="1"/>
      </c>
      <c r="BO458">
        <f ca="1"/>
      </c>
      <c r="BP458">
        <f ca="1"/>
      </c>
      <c r="BQ458">
        <f ca="1"/>
      </c>
      <c r="BR458">
        <f ca="1"/>
      </c>
      <c r="BS458">
        <f ca="1"/>
      </c>
      <c r="BT458">
        <f ca="1"/>
      </c>
      <c r="BU458">
        <f ca="1"/>
      </c>
      <c r="BV458">
        <f ca="1"/>
      </c>
      <c r="BW458">
        <f ca="1"/>
      </c>
      <c r="BX458">
        <f ca="1"/>
      </c>
      <c r="BY458">
        <f ca="1"/>
      </c>
      <c r="BZ458">
        <f ca="1"/>
      </c>
      <c r="CA458">
        <f ca="1"/>
      </c>
      <c r="CB458">
        <f ca="1"/>
      </c>
      <c r="CC458">
        <f ca="1"/>
      </c>
      <c r="CD458">
        <f ca="1"/>
      </c>
      <c r="CE458">
        <f ca="1"/>
      </c>
      <c r="CF458">
        <f ca="1"/>
      </c>
      <c r="CG458">
        <f ca="1"/>
      </c>
      <c r="CH458">
        <f ca="1"/>
      </c>
      <c r="CI458">
        <f ca="1"/>
      </c>
      <c r="CJ458">
        <f ca="1"/>
      </c>
      <c r="CK458">
        <f ca="1"/>
      </c>
      <c r="CL458">
        <f ca="1"/>
      </c>
      <c r="CM458">
        <f ca="1"/>
      </c>
      <c r="CN458">
        <f ca="1"/>
      </c>
      <c r="CO458">
        <f ca="1"/>
      </c>
      <c r="CP458">
        <f ca="1"/>
      </c>
      <c r="CQ458">
        <f ca="1"/>
      </c>
      <c r="CR458">
        <f ca="1"/>
      </c>
      <c r="CS458">
        <f ca="1"/>
      </c>
      <c r="CT458">
        <f ca="1"/>
      </c>
      <c r="CU458">
        <f ca="1"/>
      </c>
      <c r="CV458">
        <f ca="1"/>
      </c>
      <c r="CW458">
        <f ca="1"/>
      </c>
      <c r="CX458">
        <f ca="1"/>
      </c>
      <c r="CY458">
        <f ca="1"/>
      </c>
      <c r="CZ458">
        <f ca="1"/>
      </c>
      <c r="DA458">
        <f ca="1"/>
      </c>
      <c r="DB458">
        <f ca="1"/>
      </c>
      <c r="DC458">
        <f ca="1"/>
      </c>
      <c r="DD458">
        <f ca="1"/>
      </c>
      <c r="DE458">
        <f ca="1"/>
      </c>
      <c r="DG458">
        <f ca="1"/>
      </c>
      <c r="DH458">
        <f ca="1"/>
      </c>
      <c r="DI458">
        <f ca="1"/>
      </c>
      <c r="DJ458">
        <f ca="1"/>
      </c>
      <c r="DK458">
        <f ca="1"/>
      </c>
      <c r="DL458">
        <f ca="1"/>
      </c>
      <c r="DM458">
        <f ca="1"/>
      </c>
      <c r="DN458">
        <f ca="1"/>
      </c>
      <c r="DO458">
        <f ca="1"/>
      </c>
      <c r="DP458">
        <f ca="1"/>
      </c>
      <c r="DQ458">
        <f ca="1"/>
      </c>
      <c r="DR458">
        <f ca="1"/>
      </c>
      <c r="DS458">
        <f ca="1"/>
      </c>
      <c r="DT458">
        <f ca="1"/>
      </c>
      <c r="DU458">
        <f ca="1"/>
      </c>
      <c r="DV458">
        <f ca="1"/>
      </c>
      <c r="DW458">
        <f ca="1"/>
      </c>
      <c r="DX458">
        <f ca="1"/>
      </c>
      <c r="DY458">
        <f ca="1"/>
      </c>
      <c r="DZ458">
        <f ca="1"/>
      </c>
      <c r="EA458">
        <f ca="1"/>
      </c>
      <c r="EB458">
        <f ca="1"/>
      </c>
      <c r="EC458">
        <f ca="1"/>
      </c>
      <c r="ED458">
        <f ca="1"/>
      </c>
      <c r="EE458">
        <f ca="1"/>
      </c>
      <c r="EF458">
        <f ca="1"/>
      </c>
      <c r="EG458">
        <f ca="1"/>
      </c>
      <c r="EH458">
        <f ca="1"/>
      </c>
      <c r="EI458">
        <f ca="1"/>
      </c>
      <c r="EJ458">
        <f ca="1"/>
      </c>
      <c r="EK458">
        <f ca="1"/>
      </c>
      <c r="EL458">
        <f ca="1"/>
      </c>
      <c r="EM458">
        <f ca="1"/>
      </c>
      <c r="EN458">
        <f ca="1"/>
      </c>
      <c r="EO458">
        <f ca="1"/>
      </c>
      <c r="EP458">
        <f ca="1"/>
      </c>
      <c r="EQ458">
        <f ca="1"/>
      </c>
      <c r="ER458">
        <f ca="1"/>
      </c>
      <c r="ES458">
        <f ca="1"/>
      </c>
      <c r="ET458">
        <f ca="1"/>
      </c>
      <c r="EU458">
        <f ca="1"/>
      </c>
      <c r="EV458">
        <f ca="1"/>
      </c>
      <c r="EW458">
        <f ca="1"/>
      </c>
      <c r="EX458">
        <f ca="1"/>
      </c>
      <c r="EY458">
        <f ca="1"/>
      </c>
      <c r="EZ458">
        <f ca="1"/>
      </c>
      <c r="FA458">
        <f ca="1"/>
      </c>
      <c r="FC458">
        <f ca="1"/>
      </c>
      <c r="FD458">
        <f ca="1"/>
      </c>
      <c r="FE458">
        <f ca="1"/>
      </c>
      <c r="FF458">
        <f ca="1"/>
      </c>
      <c r="FG458">
        <f ca="1"/>
      </c>
      <c r="FH458">
        <f ca="1"/>
      </c>
      <c r="FI458">
        <f ca="1"/>
      </c>
      <c r="FJ458">
        <f ca="1"/>
      </c>
      <c r="FK458">
        <f ca="1"/>
      </c>
      <c r="FL458">
        <f ca="1"/>
      </c>
      <c r="FM458">
        <f ca="1"/>
      </c>
      <c r="FN458">
        <f ca="1"/>
      </c>
      <c r="FO458">
        <f ca="1"/>
      </c>
      <c r="FP458">
        <f ca="1"/>
      </c>
      <c r="FQ458">
        <f ca="1"/>
      </c>
      <c r="FR458">
        <f ca="1"/>
      </c>
      <c r="FS458">
        <f ca="1"/>
      </c>
      <c r="FT458">
        <f ca="1"/>
      </c>
      <c r="FU458">
        <f ca="1"/>
      </c>
      <c r="FV458">
        <f ca="1"/>
      </c>
      <c r="FW458">
        <f ca="1"/>
      </c>
      <c r="FX458">
        <f ca="1"/>
      </c>
      <c r="FY458">
        <f ca="1"/>
      </c>
      <c r="FZ458">
        <f ca="1"/>
      </c>
      <c r="GA458">
        <f ca="1"/>
      </c>
      <c r="GB458">
        <f ca="1"/>
      </c>
      <c r="GC458">
        <f ca="1"/>
      </c>
      <c r="GD458">
        <f ca="1"/>
      </c>
      <c r="GE458">
        <f ca="1"/>
      </c>
      <c r="GF458">
        <f ca="1"/>
      </c>
      <c r="GG458">
        <f ca="1"/>
      </c>
      <c r="GH458">
        <f ca="1"/>
      </c>
      <c r="GI458">
        <f ca="1"/>
      </c>
      <c r="GJ458">
        <f ca="1"/>
      </c>
      <c r="GK458">
        <f ca="1"/>
      </c>
      <c r="GL458">
        <f ca="1"/>
      </c>
      <c r="GM458">
        <f ca="1"/>
      </c>
      <c r="GN458">
        <f ca="1"/>
      </c>
      <c r="GO458">
        <f ca="1"/>
      </c>
      <c r="GP458">
        <f ca="1"/>
      </c>
      <c r="GQ458">
        <f ca="1"/>
      </c>
      <c r="GR458">
        <f ca="1"/>
      </c>
      <c r="GS458">
        <f ca="1"/>
      </c>
      <c r="GT458">
        <f ca="1"/>
      </c>
      <c r="GU458">
        <f ca="1"/>
      </c>
      <c r="GV458">
        <f ca="1"/>
      </c>
      <c r="GW458">
        <f ca="1"/>
      </c>
      <c r="HI458" s="7"/>
    </row>
    <row r="459" spans="63:217" x14ac:dyDescent="0.55000000000000004">
      <c r="BK459">
        <f ca="1"/>
      </c>
      <c r="BL459">
        <f ca="1"/>
      </c>
      <c r="BM459">
        <f ca="1"/>
      </c>
      <c r="BN459">
        <f ca="1"/>
      </c>
      <c r="BO459">
        <f ca="1"/>
      </c>
      <c r="BP459">
        <f ca="1"/>
      </c>
      <c r="BQ459">
        <f ca="1"/>
      </c>
      <c r="BR459">
        <f ca="1"/>
      </c>
      <c r="BS459">
        <f ca="1"/>
      </c>
      <c r="BT459">
        <f ca="1"/>
      </c>
      <c r="BU459">
        <f ca="1"/>
      </c>
      <c r="BV459">
        <f ca="1"/>
      </c>
      <c r="BW459">
        <f ca="1"/>
      </c>
      <c r="BX459">
        <f ca="1"/>
      </c>
      <c r="BY459">
        <f ca="1"/>
      </c>
      <c r="BZ459">
        <f ca="1"/>
      </c>
      <c r="CA459">
        <f ca="1"/>
      </c>
      <c r="CB459">
        <f ca="1"/>
      </c>
      <c r="CC459">
        <f ca="1"/>
      </c>
      <c r="CD459">
        <f ca="1"/>
      </c>
      <c r="CE459">
        <f ca="1"/>
      </c>
      <c r="CF459">
        <f ca="1"/>
      </c>
      <c r="CG459">
        <f ca="1"/>
      </c>
      <c r="CH459">
        <f ca="1"/>
      </c>
      <c r="CI459">
        <f ca="1"/>
      </c>
      <c r="CJ459">
        <f ca="1"/>
      </c>
      <c r="CK459">
        <f ca="1"/>
      </c>
      <c r="CL459">
        <f ca="1"/>
      </c>
      <c r="CM459">
        <f ca="1"/>
      </c>
      <c r="CN459">
        <f ca="1"/>
      </c>
      <c r="CO459">
        <f ca="1"/>
      </c>
      <c r="CP459">
        <f ca="1"/>
      </c>
      <c r="CQ459">
        <f ca="1"/>
      </c>
      <c r="CR459">
        <f ca="1"/>
      </c>
      <c r="CS459">
        <f ca="1"/>
      </c>
      <c r="CT459">
        <f ca="1"/>
      </c>
      <c r="CU459">
        <f ca="1"/>
      </c>
      <c r="CV459">
        <f ca="1"/>
      </c>
      <c r="CW459">
        <f ca="1"/>
      </c>
      <c r="CX459">
        <f ca="1"/>
      </c>
      <c r="CY459">
        <f ca="1"/>
      </c>
      <c r="CZ459">
        <f ca="1"/>
      </c>
      <c r="DA459">
        <f ca="1"/>
      </c>
      <c r="DB459">
        <f ca="1"/>
      </c>
      <c r="DC459">
        <f ca="1"/>
      </c>
      <c r="DD459">
        <f ca="1"/>
      </c>
      <c r="DE459">
        <f ca="1"/>
      </c>
      <c r="DG459">
        <f ca="1"/>
      </c>
      <c r="DH459">
        <f ca="1"/>
      </c>
      <c r="DI459">
        <f ca="1"/>
      </c>
      <c r="DJ459">
        <f ca="1"/>
      </c>
      <c r="DK459">
        <f ca="1"/>
      </c>
      <c r="DL459">
        <f ca="1"/>
      </c>
      <c r="DM459">
        <f ca="1"/>
      </c>
      <c r="DN459">
        <f ca="1"/>
      </c>
      <c r="DO459">
        <f ca="1"/>
      </c>
      <c r="DP459">
        <f ca="1"/>
      </c>
      <c r="DQ459">
        <f ca="1"/>
      </c>
      <c r="DR459">
        <f ca="1"/>
      </c>
      <c r="DS459">
        <f ca="1"/>
      </c>
      <c r="DT459">
        <f ca="1"/>
      </c>
      <c r="DU459">
        <f ca="1"/>
      </c>
      <c r="DV459">
        <f ca="1"/>
      </c>
      <c r="DW459">
        <f ca="1"/>
      </c>
      <c r="DX459">
        <f ca="1"/>
      </c>
      <c r="DY459">
        <f ca="1"/>
      </c>
      <c r="DZ459">
        <f ca="1"/>
      </c>
      <c r="EA459">
        <f ca="1"/>
      </c>
      <c r="EB459">
        <f ca="1"/>
      </c>
      <c r="EC459">
        <f ca="1"/>
      </c>
      <c r="ED459">
        <f ca="1"/>
      </c>
      <c r="EE459">
        <f ca="1"/>
      </c>
      <c r="EF459">
        <f ca="1"/>
      </c>
      <c r="EG459">
        <f ca="1"/>
      </c>
      <c r="EH459">
        <f ca="1"/>
      </c>
      <c r="EI459">
        <f ca="1"/>
      </c>
      <c r="EJ459">
        <f ca="1"/>
      </c>
      <c r="EK459">
        <f ca="1"/>
      </c>
      <c r="EL459">
        <f ca="1"/>
      </c>
      <c r="EM459">
        <f ca="1"/>
      </c>
      <c r="EN459">
        <f ca="1"/>
      </c>
      <c r="EO459">
        <f ca="1"/>
      </c>
      <c r="EP459">
        <f ca="1"/>
      </c>
      <c r="EQ459">
        <f ca="1"/>
      </c>
      <c r="ER459">
        <f ca="1"/>
      </c>
      <c r="ES459">
        <f ca="1"/>
      </c>
      <c r="ET459">
        <f ca="1"/>
      </c>
      <c r="EU459">
        <f ca="1"/>
      </c>
      <c r="EV459">
        <f ca="1"/>
      </c>
      <c r="EW459">
        <f ca="1"/>
      </c>
      <c r="EX459">
        <f ca="1"/>
      </c>
      <c r="EY459">
        <f ca="1"/>
      </c>
      <c r="EZ459">
        <f ca="1"/>
      </c>
      <c r="FA459">
        <f ca="1"/>
      </c>
      <c r="FC459">
        <f ca="1"/>
      </c>
      <c r="FD459">
        <f ca="1"/>
      </c>
      <c r="FE459">
        <f ca="1"/>
      </c>
      <c r="FF459">
        <f ca="1"/>
      </c>
      <c r="FG459">
        <f ca="1"/>
      </c>
      <c r="FH459">
        <f ca="1"/>
      </c>
      <c r="FI459">
        <f ca="1"/>
      </c>
      <c r="FJ459">
        <f ca="1"/>
      </c>
      <c r="FK459">
        <f ca="1"/>
      </c>
      <c r="FL459">
        <f ca="1"/>
      </c>
      <c r="FM459">
        <f ca="1"/>
      </c>
      <c r="FN459">
        <f ca="1"/>
      </c>
      <c r="FO459">
        <f ca="1"/>
      </c>
      <c r="FP459">
        <f ca="1"/>
      </c>
      <c r="FQ459">
        <f ca="1"/>
      </c>
      <c r="FR459">
        <f ca="1"/>
      </c>
      <c r="FS459">
        <f ca="1"/>
      </c>
      <c r="FT459">
        <f ca="1"/>
      </c>
      <c r="FU459">
        <f ca="1"/>
      </c>
      <c r="FV459">
        <f ca="1"/>
      </c>
      <c r="FW459">
        <f ca="1"/>
      </c>
      <c r="FX459">
        <f ca="1"/>
      </c>
      <c r="FY459">
        <f ca="1"/>
      </c>
      <c r="FZ459">
        <f ca="1"/>
      </c>
      <c r="GA459">
        <f ca="1"/>
      </c>
      <c r="GB459">
        <f ca="1"/>
      </c>
      <c r="GC459">
        <f ca="1"/>
      </c>
      <c r="GD459">
        <f ca="1"/>
      </c>
      <c r="GE459">
        <f ca="1"/>
      </c>
      <c r="GF459">
        <f ca="1"/>
      </c>
      <c r="GG459">
        <f ca="1"/>
      </c>
      <c r="GH459">
        <f ca="1"/>
      </c>
      <c r="GI459">
        <f ca="1"/>
      </c>
      <c r="GJ459">
        <f ca="1"/>
      </c>
      <c r="GK459">
        <f ca="1"/>
      </c>
      <c r="GL459">
        <f ca="1"/>
      </c>
      <c r="GM459">
        <f ca="1"/>
      </c>
      <c r="GN459">
        <f ca="1"/>
      </c>
      <c r="GO459">
        <f ca="1"/>
      </c>
      <c r="GP459">
        <f ca="1"/>
      </c>
      <c r="GQ459">
        <f ca="1"/>
      </c>
      <c r="GR459">
        <f ca="1"/>
      </c>
      <c r="GS459">
        <f ca="1"/>
      </c>
      <c r="GT459">
        <f ca="1"/>
      </c>
      <c r="GU459">
        <f ca="1"/>
      </c>
      <c r="GV459">
        <f ca="1"/>
      </c>
      <c r="GW459">
        <f ca="1"/>
      </c>
      <c r="HI459" s="7"/>
    </row>
    <row r="460" spans="63:217" x14ac:dyDescent="0.55000000000000004">
      <c r="BK460">
        <f ca="1"/>
      </c>
      <c r="BL460">
        <f ca="1"/>
      </c>
      <c r="BM460">
        <f ca="1"/>
      </c>
      <c r="BN460">
        <f ca="1"/>
      </c>
      <c r="BO460">
        <f ca="1"/>
      </c>
      <c r="BP460">
        <f ca="1"/>
      </c>
      <c r="BQ460">
        <f ca="1"/>
      </c>
      <c r="BR460">
        <f ca="1"/>
      </c>
      <c r="BS460">
        <f ca="1"/>
      </c>
      <c r="BT460">
        <f ca="1"/>
      </c>
      <c r="BU460">
        <f ca="1"/>
      </c>
      <c r="BV460">
        <f ca="1"/>
      </c>
      <c r="BW460">
        <f ca="1"/>
      </c>
      <c r="BX460">
        <f ca="1"/>
      </c>
      <c r="BY460">
        <f ca="1"/>
      </c>
      <c r="BZ460">
        <f ca="1"/>
      </c>
      <c r="CA460">
        <f ca="1"/>
      </c>
      <c r="CB460">
        <f ca="1"/>
      </c>
      <c r="CC460">
        <f ca="1"/>
      </c>
      <c r="CD460">
        <f ca="1"/>
      </c>
      <c r="CE460">
        <f ca="1"/>
      </c>
      <c r="CF460">
        <f ca="1"/>
      </c>
      <c r="CG460">
        <f ca="1"/>
      </c>
      <c r="CH460">
        <f ca="1"/>
      </c>
      <c r="CI460">
        <f ca="1"/>
      </c>
      <c r="CJ460">
        <f ca="1"/>
      </c>
      <c r="CK460">
        <f ca="1"/>
      </c>
      <c r="CL460">
        <f ca="1"/>
      </c>
      <c r="CM460">
        <f ca="1"/>
      </c>
      <c r="CN460">
        <f ca="1"/>
      </c>
      <c r="CO460">
        <f ca="1"/>
      </c>
      <c r="CP460">
        <f ca="1"/>
      </c>
      <c r="CQ460">
        <f ca="1"/>
      </c>
      <c r="CR460">
        <f ca="1"/>
      </c>
      <c r="CS460">
        <f ca="1"/>
      </c>
      <c r="CT460">
        <f ca="1"/>
      </c>
      <c r="CU460">
        <f ca="1"/>
      </c>
      <c r="CV460">
        <f ca="1"/>
      </c>
      <c r="CW460">
        <f ca="1"/>
      </c>
      <c r="CX460">
        <f ca="1"/>
      </c>
      <c r="CY460">
        <f ca="1"/>
      </c>
      <c r="CZ460">
        <f ca="1"/>
      </c>
      <c r="DA460">
        <f ca="1"/>
      </c>
      <c r="DB460">
        <f ca="1"/>
      </c>
      <c r="DC460">
        <f ca="1"/>
      </c>
      <c r="DD460">
        <f ca="1"/>
      </c>
      <c r="DE460">
        <f ca="1"/>
      </c>
      <c r="DG460">
        <f ca="1"/>
      </c>
      <c r="DH460">
        <f ca="1"/>
      </c>
      <c r="DI460">
        <f ca="1"/>
      </c>
      <c r="DJ460">
        <f ca="1"/>
      </c>
      <c r="DK460">
        <f ca="1"/>
      </c>
      <c r="DL460">
        <f ca="1"/>
      </c>
      <c r="DM460">
        <f ca="1"/>
      </c>
      <c r="DN460">
        <f ca="1"/>
      </c>
      <c r="DO460">
        <f ca="1"/>
      </c>
      <c r="DP460">
        <f ca="1"/>
      </c>
      <c r="DQ460">
        <f ca="1"/>
      </c>
      <c r="DR460">
        <f ca="1"/>
      </c>
      <c r="DS460">
        <f ca="1"/>
      </c>
      <c r="DT460">
        <f ca="1"/>
      </c>
      <c r="DU460">
        <f ca="1"/>
      </c>
      <c r="DV460">
        <f ca="1"/>
      </c>
      <c r="DW460">
        <f ca="1"/>
      </c>
      <c r="DX460">
        <f ca="1"/>
      </c>
      <c r="DY460">
        <f ca="1"/>
      </c>
      <c r="DZ460">
        <f ca="1"/>
      </c>
      <c r="EA460">
        <f ca="1"/>
      </c>
      <c r="EB460">
        <f ca="1"/>
      </c>
      <c r="EC460">
        <f ca="1"/>
      </c>
      <c r="ED460">
        <f ca="1"/>
      </c>
      <c r="EE460">
        <f ca="1"/>
      </c>
      <c r="EF460">
        <f ca="1"/>
      </c>
      <c r="EG460">
        <f ca="1"/>
      </c>
      <c r="EH460">
        <f ca="1"/>
      </c>
      <c r="EI460">
        <f ca="1"/>
      </c>
      <c r="EJ460">
        <f ca="1"/>
      </c>
      <c r="EK460">
        <f ca="1"/>
      </c>
      <c r="EL460">
        <f ca="1"/>
      </c>
      <c r="EM460">
        <f ca="1"/>
      </c>
      <c r="EN460">
        <f ca="1"/>
      </c>
      <c r="EO460">
        <f ca="1"/>
      </c>
      <c r="EP460">
        <f ca="1"/>
      </c>
      <c r="EQ460">
        <f ca="1"/>
      </c>
      <c r="ER460">
        <f ca="1"/>
      </c>
      <c r="ES460">
        <f ca="1"/>
      </c>
      <c r="ET460">
        <f ca="1"/>
      </c>
      <c r="EU460">
        <f ca="1"/>
      </c>
      <c r="EV460">
        <f ca="1"/>
      </c>
      <c r="EW460">
        <f ca="1"/>
      </c>
      <c r="EX460">
        <f ca="1"/>
      </c>
      <c r="EY460">
        <f ca="1"/>
      </c>
      <c r="EZ460">
        <f ca="1"/>
      </c>
      <c r="FA460">
        <f ca="1"/>
      </c>
      <c r="FC460">
        <f ca="1"/>
      </c>
      <c r="FD460">
        <f ca="1"/>
      </c>
      <c r="FE460">
        <f ca="1"/>
      </c>
      <c r="FF460">
        <f ca="1"/>
      </c>
      <c r="FG460">
        <f ca="1"/>
      </c>
      <c r="FH460">
        <f ca="1"/>
      </c>
      <c r="FI460">
        <f ca="1"/>
      </c>
      <c r="FJ460">
        <f ca="1"/>
      </c>
      <c r="FK460">
        <f ca="1"/>
      </c>
      <c r="FL460">
        <f ca="1"/>
      </c>
      <c r="FM460">
        <f ca="1"/>
      </c>
      <c r="FN460">
        <f ca="1"/>
      </c>
      <c r="FO460">
        <f ca="1"/>
      </c>
      <c r="FP460">
        <f ca="1"/>
      </c>
      <c r="FQ460">
        <f ca="1"/>
      </c>
      <c r="FR460">
        <f ca="1"/>
      </c>
      <c r="FS460">
        <f ca="1"/>
      </c>
      <c r="FT460">
        <f ca="1"/>
      </c>
      <c r="FU460">
        <f ca="1"/>
      </c>
      <c r="FV460">
        <f ca="1"/>
      </c>
      <c r="FW460">
        <f ca="1"/>
      </c>
      <c r="FX460">
        <f ca="1"/>
      </c>
      <c r="FY460">
        <f ca="1"/>
      </c>
      <c r="FZ460">
        <f ca="1"/>
      </c>
      <c r="GA460">
        <f ca="1"/>
      </c>
      <c r="GB460">
        <f ca="1"/>
      </c>
      <c r="GC460">
        <f ca="1"/>
      </c>
      <c r="GD460">
        <f ca="1"/>
      </c>
      <c r="GE460">
        <f ca="1"/>
      </c>
      <c r="GF460">
        <f ca="1"/>
      </c>
      <c r="GG460">
        <f ca="1"/>
      </c>
      <c r="GH460">
        <f ca="1"/>
      </c>
      <c r="GI460">
        <f ca="1"/>
      </c>
      <c r="GJ460">
        <f ca="1"/>
      </c>
      <c r="GK460">
        <f ca="1"/>
      </c>
      <c r="GL460">
        <f ca="1"/>
      </c>
      <c r="GM460">
        <f ca="1"/>
      </c>
      <c r="GN460">
        <f ca="1"/>
      </c>
      <c r="GO460">
        <f ca="1"/>
      </c>
      <c r="GP460">
        <f ca="1"/>
      </c>
      <c r="GQ460">
        <f ca="1"/>
      </c>
      <c r="GR460">
        <f ca="1"/>
      </c>
      <c r="GS460">
        <f ca="1"/>
      </c>
      <c r="GT460">
        <f ca="1"/>
      </c>
      <c r="GU460">
        <f ca="1"/>
      </c>
      <c r="GV460">
        <f ca="1"/>
      </c>
      <c r="GW460">
        <f ca="1"/>
      </c>
      <c r="HI460" s="7"/>
    </row>
    <row r="461" spans="63:217" x14ac:dyDescent="0.55000000000000004">
      <c r="BK461">
        <f ca="1"/>
      </c>
      <c r="BL461">
        <f ca="1"/>
      </c>
      <c r="BM461">
        <f ca="1"/>
      </c>
      <c r="BN461">
        <f ca="1"/>
      </c>
      <c r="BO461">
        <f ca="1"/>
      </c>
      <c r="BP461">
        <f ca="1"/>
      </c>
      <c r="BQ461">
        <f ca="1"/>
      </c>
      <c r="BR461">
        <f ca="1"/>
      </c>
      <c r="BS461">
        <f ca="1"/>
      </c>
      <c r="BT461">
        <f ca="1"/>
      </c>
      <c r="BU461">
        <f ca="1"/>
      </c>
      <c r="BV461">
        <f ca="1"/>
      </c>
      <c r="BW461">
        <f ca="1"/>
      </c>
      <c r="BX461">
        <f ca="1"/>
      </c>
      <c r="BY461">
        <f ca="1"/>
      </c>
      <c r="BZ461">
        <f ca="1"/>
      </c>
      <c r="CA461">
        <f ca="1"/>
      </c>
      <c r="CB461">
        <f ca="1"/>
      </c>
      <c r="CC461">
        <f ca="1"/>
      </c>
      <c r="CD461">
        <f ca="1"/>
      </c>
      <c r="CE461">
        <f ca="1"/>
      </c>
      <c r="CF461">
        <f ca="1"/>
      </c>
      <c r="CG461">
        <f ca="1"/>
      </c>
      <c r="CH461">
        <f ca="1"/>
      </c>
      <c r="CI461">
        <f ca="1"/>
      </c>
      <c r="CJ461">
        <f ca="1"/>
      </c>
      <c r="CK461">
        <f ca="1"/>
      </c>
      <c r="CL461">
        <f ca="1"/>
      </c>
      <c r="CM461">
        <f ca="1"/>
      </c>
      <c r="CN461">
        <f ca="1"/>
      </c>
      <c r="CO461">
        <f ca="1"/>
      </c>
      <c r="CP461">
        <f ca="1"/>
      </c>
      <c r="CQ461">
        <f ca="1"/>
      </c>
      <c r="CR461">
        <f ca="1"/>
      </c>
      <c r="CS461">
        <f ca="1"/>
      </c>
      <c r="CT461">
        <f ca="1"/>
      </c>
      <c r="CU461">
        <f ca="1"/>
      </c>
      <c r="CV461">
        <f ca="1"/>
      </c>
      <c r="CW461">
        <f ca="1"/>
      </c>
      <c r="CX461">
        <f ca="1"/>
      </c>
      <c r="CY461">
        <f ca="1"/>
      </c>
      <c r="CZ461">
        <f ca="1"/>
      </c>
      <c r="DA461">
        <f ca="1"/>
      </c>
      <c r="DB461">
        <f ca="1"/>
      </c>
      <c r="DC461">
        <f ca="1"/>
      </c>
      <c r="DD461">
        <f ca="1"/>
      </c>
      <c r="DE461">
        <f ca="1"/>
      </c>
      <c r="DG461">
        <f ca="1"/>
      </c>
      <c r="DH461">
        <f ca="1"/>
      </c>
      <c r="DI461">
        <f ca="1"/>
      </c>
      <c r="DJ461">
        <f ca="1"/>
      </c>
      <c r="DK461">
        <f ca="1"/>
      </c>
      <c r="DL461">
        <f ca="1"/>
      </c>
      <c r="DM461">
        <f ca="1"/>
      </c>
      <c r="DN461">
        <f ca="1"/>
      </c>
      <c r="DO461">
        <f ca="1"/>
      </c>
      <c r="DP461">
        <f ca="1"/>
      </c>
      <c r="DQ461">
        <f ca="1"/>
      </c>
      <c r="DR461">
        <f ca="1"/>
      </c>
      <c r="DS461">
        <f ca="1"/>
      </c>
      <c r="DT461">
        <f ca="1"/>
      </c>
      <c r="DU461">
        <f ca="1"/>
      </c>
      <c r="DV461">
        <f ca="1"/>
      </c>
      <c r="DW461">
        <f ca="1"/>
      </c>
      <c r="DX461">
        <f ca="1"/>
      </c>
      <c r="DY461">
        <f ca="1"/>
      </c>
      <c r="DZ461">
        <f ca="1"/>
      </c>
      <c r="EA461">
        <f ca="1"/>
      </c>
      <c r="EB461">
        <f ca="1"/>
      </c>
      <c r="EC461">
        <f ca="1"/>
      </c>
      <c r="ED461">
        <f ca="1"/>
      </c>
      <c r="EE461">
        <f ca="1"/>
      </c>
      <c r="EF461">
        <f ca="1"/>
      </c>
      <c r="EG461">
        <f ca="1"/>
      </c>
      <c r="EH461">
        <f ca="1"/>
      </c>
      <c r="EI461">
        <f ca="1"/>
      </c>
      <c r="EJ461">
        <f ca="1"/>
      </c>
      <c r="EK461">
        <f ca="1"/>
      </c>
      <c r="EL461">
        <f ca="1"/>
      </c>
      <c r="EM461">
        <f ca="1"/>
      </c>
      <c r="EN461">
        <f ca="1"/>
      </c>
      <c r="EO461">
        <f ca="1"/>
      </c>
      <c r="EP461">
        <f ca="1"/>
      </c>
      <c r="EQ461">
        <f ca="1"/>
      </c>
      <c r="ER461">
        <f ca="1"/>
      </c>
      <c r="ES461">
        <f ca="1"/>
      </c>
      <c r="ET461">
        <f ca="1"/>
      </c>
      <c r="EU461">
        <f ca="1"/>
      </c>
      <c r="EV461">
        <f ca="1"/>
      </c>
      <c r="EW461">
        <f ca="1"/>
      </c>
      <c r="EX461">
        <f ca="1"/>
      </c>
      <c r="EY461">
        <f ca="1"/>
      </c>
      <c r="EZ461">
        <f ca="1"/>
      </c>
      <c r="FA461">
        <f ca="1"/>
      </c>
      <c r="FC461">
        <f ca="1"/>
      </c>
      <c r="FD461">
        <f ca="1"/>
      </c>
      <c r="FE461">
        <f ca="1"/>
      </c>
      <c r="FF461">
        <f ca="1"/>
      </c>
      <c r="FG461">
        <f ca="1"/>
      </c>
      <c r="FH461">
        <f ca="1"/>
      </c>
      <c r="FI461">
        <f ca="1"/>
      </c>
      <c r="FJ461">
        <f ca="1"/>
      </c>
      <c r="FK461">
        <f ca="1"/>
      </c>
      <c r="FL461">
        <f ca="1"/>
      </c>
      <c r="FM461">
        <f ca="1"/>
      </c>
      <c r="FN461">
        <f ca="1"/>
      </c>
      <c r="FO461">
        <f ca="1"/>
      </c>
      <c r="FP461">
        <f ca="1"/>
      </c>
      <c r="FQ461">
        <f ca="1"/>
      </c>
      <c r="FR461">
        <f ca="1"/>
      </c>
      <c r="FS461">
        <f ca="1"/>
      </c>
      <c r="FT461">
        <f ca="1"/>
      </c>
      <c r="FU461">
        <f ca="1"/>
      </c>
      <c r="FV461">
        <f ca="1"/>
      </c>
      <c r="FW461">
        <f ca="1"/>
      </c>
      <c r="FX461">
        <f ca="1"/>
      </c>
      <c r="FY461">
        <f ca="1"/>
      </c>
      <c r="FZ461">
        <f ca="1"/>
      </c>
      <c r="GA461">
        <f ca="1"/>
      </c>
      <c r="GB461">
        <f ca="1"/>
      </c>
      <c r="GC461">
        <f ca="1"/>
      </c>
      <c r="GD461">
        <f ca="1"/>
      </c>
      <c r="GE461">
        <f ca="1"/>
      </c>
      <c r="GF461">
        <f ca="1"/>
      </c>
      <c r="GG461">
        <f ca="1"/>
      </c>
      <c r="GH461">
        <f ca="1"/>
      </c>
      <c r="GI461">
        <f ca="1"/>
      </c>
      <c r="GJ461">
        <f ca="1"/>
      </c>
      <c r="GK461">
        <f ca="1"/>
      </c>
      <c r="GL461">
        <f ca="1"/>
      </c>
      <c r="GM461">
        <f ca="1"/>
      </c>
      <c r="GN461">
        <f ca="1"/>
      </c>
      <c r="GO461">
        <f ca="1"/>
      </c>
      <c r="GP461">
        <f ca="1"/>
      </c>
      <c r="GQ461">
        <f ca="1"/>
      </c>
      <c r="GR461">
        <f ca="1"/>
      </c>
      <c r="GS461">
        <f ca="1"/>
      </c>
      <c r="GT461">
        <f ca="1"/>
      </c>
      <c r="GU461">
        <f ca="1"/>
      </c>
      <c r="GV461">
        <f ca="1"/>
      </c>
      <c r="GW461">
        <f ca="1"/>
      </c>
      <c r="HI461" s="7"/>
    </row>
    <row r="462" spans="63:217" x14ac:dyDescent="0.55000000000000004">
      <c r="BK462">
        <f ca="1"/>
      </c>
      <c r="BL462">
        <f ca="1"/>
      </c>
      <c r="BM462">
        <f ca="1"/>
      </c>
      <c r="BN462">
        <f ca="1"/>
      </c>
      <c r="BO462">
        <f ca="1"/>
      </c>
      <c r="BP462">
        <f ca="1"/>
      </c>
      <c r="BQ462">
        <f ca="1"/>
      </c>
      <c r="BR462">
        <f ca="1"/>
      </c>
      <c r="BS462">
        <f ca="1"/>
      </c>
      <c r="BT462">
        <f ca="1"/>
      </c>
      <c r="BU462">
        <f ca="1"/>
      </c>
      <c r="BV462">
        <f ca="1"/>
      </c>
      <c r="BW462">
        <f ca="1"/>
      </c>
      <c r="BX462">
        <f ca="1"/>
      </c>
      <c r="BY462">
        <f ca="1"/>
      </c>
      <c r="BZ462">
        <f ca="1"/>
      </c>
      <c r="CA462">
        <f ca="1"/>
      </c>
      <c r="CB462">
        <f ca="1"/>
      </c>
      <c r="CC462">
        <f ca="1"/>
      </c>
      <c r="CD462">
        <f ca="1"/>
      </c>
      <c r="CE462">
        <f ca="1"/>
      </c>
      <c r="CF462">
        <f ca="1"/>
      </c>
      <c r="CG462">
        <f ca="1"/>
      </c>
      <c r="CH462">
        <f ca="1"/>
      </c>
      <c r="CI462">
        <f ca="1"/>
      </c>
      <c r="CJ462">
        <f ca="1"/>
      </c>
      <c r="CK462">
        <f ca="1"/>
      </c>
      <c r="CL462">
        <f ca="1"/>
      </c>
      <c r="CM462">
        <f ca="1"/>
      </c>
      <c r="CN462">
        <f ca="1"/>
      </c>
      <c r="CO462">
        <f ca="1"/>
      </c>
      <c r="CP462">
        <f ca="1"/>
      </c>
      <c r="CQ462">
        <f ca="1"/>
      </c>
      <c r="CR462">
        <f ca="1"/>
      </c>
      <c r="CS462">
        <f ca="1"/>
      </c>
      <c r="CT462">
        <f ca="1"/>
      </c>
      <c r="CU462">
        <f ca="1"/>
      </c>
      <c r="CV462">
        <f ca="1"/>
      </c>
      <c r="CW462">
        <f ca="1"/>
      </c>
      <c r="CX462">
        <f ca="1"/>
      </c>
      <c r="CY462">
        <f ca="1"/>
      </c>
      <c r="CZ462">
        <f ca="1"/>
      </c>
      <c r="DA462">
        <f ca="1"/>
      </c>
      <c r="DB462">
        <f ca="1"/>
      </c>
      <c r="DC462">
        <f ca="1"/>
      </c>
      <c r="DD462">
        <f ca="1"/>
      </c>
      <c r="DE462">
        <f ca="1"/>
      </c>
      <c r="DG462">
        <f ca="1"/>
      </c>
      <c r="DH462">
        <f ca="1"/>
      </c>
      <c r="DI462">
        <f ca="1"/>
      </c>
      <c r="DJ462">
        <f ca="1"/>
      </c>
      <c r="DK462">
        <f ca="1"/>
      </c>
      <c r="DL462">
        <f ca="1"/>
      </c>
      <c r="DM462">
        <f ca="1"/>
      </c>
      <c r="DN462">
        <f ca="1"/>
      </c>
      <c r="DO462">
        <f ca="1"/>
      </c>
      <c r="DP462">
        <f ca="1"/>
      </c>
      <c r="DQ462">
        <f ca="1"/>
      </c>
      <c r="DR462">
        <f ca="1"/>
      </c>
      <c r="DS462">
        <f ca="1"/>
      </c>
      <c r="DT462">
        <f ca="1"/>
      </c>
      <c r="DU462">
        <f ca="1"/>
      </c>
      <c r="DV462">
        <f ca="1"/>
      </c>
      <c r="DW462">
        <f ca="1"/>
      </c>
      <c r="DX462">
        <f ca="1"/>
      </c>
      <c r="DY462">
        <f ca="1"/>
      </c>
      <c r="DZ462">
        <f ca="1"/>
      </c>
      <c r="EA462">
        <f ca="1"/>
      </c>
      <c r="EB462">
        <f ca="1"/>
      </c>
      <c r="EC462">
        <f ca="1"/>
      </c>
      <c r="ED462">
        <f ca="1"/>
      </c>
      <c r="EE462">
        <f ca="1"/>
      </c>
      <c r="EF462">
        <f ca="1"/>
      </c>
      <c r="EG462">
        <f ca="1"/>
      </c>
      <c r="EH462">
        <f ca="1"/>
      </c>
      <c r="EI462">
        <f ca="1"/>
      </c>
      <c r="EJ462">
        <f ca="1"/>
      </c>
      <c r="EK462">
        <f ca="1"/>
      </c>
      <c r="EL462">
        <f ca="1"/>
      </c>
      <c r="EM462">
        <f ca="1"/>
      </c>
      <c r="EN462">
        <f ca="1"/>
      </c>
      <c r="EO462">
        <f ca="1"/>
      </c>
      <c r="EP462">
        <f ca="1"/>
      </c>
      <c r="EQ462">
        <f ca="1"/>
      </c>
      <c r="ER462">
        <f ca="1"/>
      </c>
      <c r="ES462">
        <f ca="1"/>
      </c>
      <c r="ET462">
        <f ca="1"/>
      </c>
      <c r="EU462">
        <f ca="1"/>
      </c>
      <c r="EV462">
        <f ca="1"/>
      </c>
      <c r="EW462">
        <f ca="1"/>
      </c>
      <c r="EX462">
        <f ca="1"/>
      </c>
      <c r="EY462">
        <f ca="1"/>
      </c>
      <c r="EZ462">
        <f ca="1"/>
      </c>
      <c r="FA462">
        <f ca="1"/>
      </c>
      <c r="FC462">
        <f ca="1"/>
      </c>
      <c r="FD462">
        <f ca="1"/>
      </c>
      <c r="FE462">
        <f ca="1"/>
      </c>
      <c r="FF462">
        <f ca="1"/>
      </c>
      <c r="FG462">
        <f ca="1"/>
      </c>
      <c r="FH462">
        <f ca="1"/>
      </c>
      <c r="FI462">
        <f ca="1"/>
      </c>
      <c r="FJ462">
        <f ca="1"/>
      </c>
      <c r="FK462">
        <f ca="1"/>
      </c>
      <c r="FL462">
        <f ca="1"/>
      </c>
      <c r="FM462">
        <f ca="1"/>
      </c>
      <c r="FN462">
        <f ca="1"/>
      </c>
      <c r="FO462">
        <f ca="1"/>
      </c>
      <c r="FP462">
        <f ca="1"/>
      </c>
      <c r="FQ462">
        <f ca="1"/>
      </c>
      <c r="FR462">
        <f ca="1"/>
      </c>
      <c r="FS462">
        <f ca="1"/>
      </c>
      <c r="FT462">
        <f ca="1"/>
      </c>
      <c r="FU462">
        <f ca="1"/>
      </c>
      <c r="FV462">
        <f ca="1"/>
      </c>
      <c r="FW462">
        <f ca="1"/>
      </c>
      <c r="FX462">
        <f ca="1"/>
      </c>
      <c r="FY462">
        <f ca="1"/>
      </c>
      <c r="FZ462">
        <f ca="1"/>
      </c>
      <c r="GA462">
        <f ca="1"/>
      </c>
      <c r="GB462">
        <f ca="1"/>
      </c>
      <c r="GC462">
        <f ca="1"/>
      </c>
      <c r="GD462">
        <f ca="1"/>
      </c>
      <c r="GE462">
        <f ca="1"/>
      </c>
      <c r="GF462">
        <f ca="1"/>
      </c>
      <c r="GG462">
        <f ca="1"/>
      </c>
      <c r="GH462">
        <f ca="1"/>
      </c>
      <c r="GI462">
        <f ca="1"/>
      </c>
      <c r="GJ462">
        <f ca="1"/>
      </c>
      <c r="GK462">
        <f ca="1"/>
      </c>
      <c r="GL462">
        <f ca="1"/>
      </c>
      <c r="GM462">
        <f ca="1"/>
      </c>
      <c r="GN462">
        <f ca="1"/>
      </c>
      <c r="GO462">
        <f ca="1"/>
      </c>
      <c r="GP462">
        <f ca="1"/>
      </c>
      <c r="GQ462">
        <f ca="1"/>
      </c>
      <c r="GR462">
        <f ca="1"/>
      </c>
      <c r="GS462">
        <f ca="1"/>
      </c>
      <c r="GT462">
        <f ca="1"/>
      </c>
      <c r="GU462">
        <f ca="1"/>
      </c>
      <c r="GV462">
        <f ca="1"/>
      </c>
      <c r="GW462">
        <f ca="1"/>
      </c>
      <c r="HI462" s="7"/>
    </row>
    <row r="463" spans="63:217" x14ac:dyDescent="0.55000000000000004">
      <c r="BK463">
        <f ca="1"/>
      </c>
      <c r="BL463">
        <f ca="1"/>
      </c>
      <c r="BM463">
        <f ca="1"/>
      </c>
      <c r="BN463">
        <f ca="1"/>
      </c>
      <c r="BO463">
        <f ca="1"/>
      </c>
      <c r="BP463">
        <f ca="1"/>
      </c>
      <c r="BQ463">
        <f ca="1"/>
      </c>
      <c r="BR463">
        <f ca="1"/>
      </c>
      <c r="BS463">
        <f ca="1"/>
      </c>
      <c r="BT463">
        <f ca="1"/>
      </c>
      <c r="BU463">
        <f ca="1"/>
      </c>
      <c r="BV463">
        <f ca="1"/>
      </c>
      <c r="BW463">
        <f ca="1"/>
      </c>
      <c r="BX463">
        <f ca="1"/>
      </c>
      <c r="BY463">
        <f ca="1"/>
      </c>
      <c r="BZ463">
        <f ca="1"/>
      </c>
      <c r="CA463">
        <f ca="1"/>
      </c>
      <c r="CB463">
        <f ca="1"/>
      </c>
      <c r="CC463">
        <f ca="1"/>
      </c>
      <c r="CD463">
        <f ca="1"/>
      </c>
      <c r="CE463">
        <f ca="1"/>
      </c>
      <c r="CF463">
        <f ca="1"/>
      </c>
      <c r="CG463">
        <f ca="1"/>
      </c>
      <c r="CH463">
        <f ca="1"/>
      </c>
      <c r="CI463">
        <f ca="1"/>
      </c>
      <c r="CJ463">
        <f ca="1"/>
      </c>
      <c r="CK463">
        <f ca="1"/>
      </c>
      <c r="CL463">
        <f ca="1"/>
      </c>
      <c r="CM463">
        <f ca="1"/>
      </c>
      <c r="CN463">
        <f ca="1"/>
      </c>
      <c r="CO463">
        <f ca="1"/>
      </c>
      <c r="CP463">
        <f ca="1"/>
      </c>
      <c r="CQ463">
        <f ca="1"/>
      </c>
      <c r="CR463">
        <f ca="1"/>
      </c>
      <c r="CS463">
        <f ca="1"/>
      </c>
      <c r="CT463">
        <f ca="1"/>
      </c>
      <c r="CU463">
        <f ca="1"/>
      </c>
      <c r="CV463">
        <f ca="1"/>
      </c>
      <c r="CW463">
        <f ca="1"/>
      </c>
      <c r="CX463">
        <f ca="1"/>
      </c>
      <c r="CY463">
        <f ca="1"/>
      </c>
      <c r="CZ463">
        <f ca="1"/>
      </c>
      <c r="DA463">
        <f ca="1"/>
      </c>
      <c r="DB463">
        <f ca="1"/>
      </c>
      <c r="DC463">
        <f ca="1"/>
      </c>
      <c r="DD463">
        <f ca="1"/>
      </c>
      <c r="DE463">
        <f ca="1"/>
      </c>
      <c r="DG463">
        <f ca="1"/>
      </c>
      <c r="DH463">
        <f ca="1"/>
      </c>
      <c r="DI463">
        <f ca="1"/>
      </c>
      <c r="DJ463">
        <f ca="1"/>
      </c>
      <c r="DK463">
        <f ca="1"/>
      </c>
      <c r="DL463">
        <f ca="1"/>
      </c>
      <c r="DM463">
        <f ca="1"/>
      </c>
      <c r="DN463">
        <f ca="1"/>
      </c>
      <c r="DO463">
        <f ca="1"/>
      </c>
      <c r="DP463">
        <f ca="1"/>
      </c>
      <c r="DQ463">
        <f ca="1"/>
      </c>
      <c r="DR463">
        <f ca="1"/>
      </c>
      <c r="DS463">
        <f ca="1"/>
      </c>
      <c r="DT463">
        <f ca="1"/>
      </c>
      <c r="DU463">
        <f ca="1"/>
      </c>
      <c r="DV463">
        <f ca="1"/>
      </c>
      <c r="DW463">
        <f ca="1"/>
      </c>
      <c r="DX463">
        <f ca="1"/>
      </c>
      <c r="DY463">
        <f ca="1"/>
      </c>
      <c r="DZ463">
        <f ca="1"/>
      </c>
      <c r="EA463">
        <f ca="1"/>
      </c>
      <c r="EB463">
        <f ca="1"/>
      </c>
      <c r="EC463">
        <f ca="1"/>
      </c>
      <c r="ED463">
        <f ca="1"/>
      </c>
      <c r="EE463">
        <f ca="1"/>
      </c>
      <c r="EF463">
        <f ca="1"/>
      </c>
      <c r="EG463">
        <f ca="1"/>
      </c>
      <c r="EH463">
        <f ca="1"/>
      </c>
      <c r="EI463">
        <f ca="1"/>
      </c>
      <c r="EJ463">
        <f ca="1"/>
      </c>
      <c r="EK463">
        <f ca="1"/>
      </c>
      <c r="EL463">
        <f ca="1"/>
      </c>
      <c r="EM463">
        <f ca="1"/>
      </c>
      <c r="EN463">
        <f ca="1"/>
      </c>
      <c r="EO463">
        <f ca="1"/>
      </c>
      <c r="EP463">
        <f ca="1"/>
      </c>
      <c r="EQ463">
        <f ca="1"/>
      </c>
      <c r="ER463">
        <f ca="1"/>
      </c>
      <c r="ES463">
        <f ca="1"/>
      </c>
      <c r="ET463">
        <f ca="1"/>
      </c>
      <c r="EU463">
        <f ca="1"/>
      </c>
      <c r="EV463">
        <f ca="1"/>
      </c>
      <c r="EW463">
        <f ca="1"/>
      </c>
      <c r="EX463">
        <f ca="1"/>
      </c>
      <c r="EY463">
        <f ca="1"/>
      </c>
      <c r="EZ463">
        <f ca="1"/>
      </c>
      <c r="FA463">
        <f ca="1"/>
      </c>
      <c r="FC463">
        <f ca="1"/>
      </c>
      <c r="FD463">
        <f ca="1"/>
      </c>
      <c r="FE463">
        <f ca="1"/>
      </c>
      <c r="FF463">
        <f ca="1"/>
      </c>
      <c r="FG463">
        <f ca="1"/>
      </c>
      <c r="FH463">
        <f ca="1"/>
      </c>
      <c r="FI463">
        <f ca="1"/>
      </c>
      <c r="FJ463">
        <f ca="1"/>
      </c>
      <c r="FK463">
        <f ca="1"/>
      </c>
      <c r="FL463">
        <f ca="1"/>
      </c>
      <c r="FM463">
        <f ca="1"/>
      </c>
      <c r="FN463">
        <f ca="1"/>
      </c>
      <c r="FO463">
        <f ca="1"/>
      </c>
      <c r="FP463">
        <f ca="1"/>
      </c>
      <c r="FQ463">
        <f ca="1"/>
      </c>
      <c r="FR463">
        <f ca="1"/>
      </c>
      <c r="FS463">
        <f ca="1"/>
      </c>
      <c r="FT463">
        <f ca="1"/>
      </c>
      <c r="FU463">
        <f ca="1"/>
      </c>
      <c r="FV463">
        <f ca="1"/>
      </c>
      <c r="FW463">
        <f ca="1"/>
      </c>
      <c r="FX463">
        <f ca="1"/>
      </c>
      <c r="FY463">
        <f ca="1"/>
      </c>
      <c r="FZ463">
        <f ca="1"/>
      </c>
      <c r="GA463">
        <f ca="1"/>
      </c>
      <c r="GB463">
        <f ca="1"/>
      </c>
      <c r="GC463">
        <f ca="1"/>
      </c>
      <c r="GD463">
        <f ca="1"/>
      </c>
      <c r="GE463">
        <f ca="1"/>
      </c>
      <c r="GF463">
        <f ca="1"/>
      </c>
      <c r="GG463">
        <f ca="1"/>
      </c>
      <c r="GH463">
        <f ca="1"/>
      </c>
      <c r="GI463">
        <f ca="1"/>
      </c>
      <c r="GJ463">
        <f ca="1"/>
      </c>
      <c r="GK463">
        <f ca="1"/>
      </c>
      <c r="GL463">
        <f ca="1"/>
      </c>
      <c r="GM463">
        <f ca="1"/>
      </c>
      <c r="GN463">
        <f ca="1"/>
      </c>
      <c r="GO463">
        <f ca="1"/>
      </c>
      <c r="GP463">
        <f ca="1"/>
      </c>
      <c r="GQ463">
        <f ca="1"/>
      </c>
      <c r="GR463">
        <f ca="1"/>
      </c>
      <c r="GS463">
        <f ca="1"/>
      </c>
      <c r="GT463">
        <f ca="1"/>
      </c>
      <c r="GU463">
        <f ca="1"/>
      </c>
      <c r="GV463">
        <f ca="1"/>
      </c>
      <c r="GW463">
        <f ca="1"/>
      </c>
      <c r="HI463" s="7"/>
    </row>
    <row r="464" spans="63:217" x14ac:dyDescent="0.55000000000000004">
      <c r="BK464">
        <f ca="1"/>
      </c>
      <c r="BL464">
        <f ca="1"/>
      </c>
      <c r="BM464">
        <f ca="1"/>
      </c>
      <c r="BN464">
        <f ca="1"/>
      </c>
      <c r="BO464">
        <f ca="1"/>
      </c>
      <c r="BP464">
        <f ca="1"/>
      </c>
      <c r="BQ464">
        <f ca="1"/>
      </c>
      <c r="BR464">
        <f ca="1"/>
      </c>
      <c r="BS464">
        <f ca="1"/>
      </c>
      <c r="BT464">
        <f ca="1"/>
      </c>
      <c r="BU464">
        <f ca="1"/>
      </c>
      <c r="BV464">
        <f ca="1"/>
      </c>
      <c r="BW464">
        <f ca="1"/>
      </c>
      <c r="BX464">
        <f ca="1"/>
      </c>
      <c r="BY464">
        <f ca="1"/>
      </c>
      <c r="BZ464">
        <f ca="1"/>
      </c>
      <c r="CA464">
        <f ca="1"/>
      </c>
      <c r="CB464">
        <f ca="1"/>
      </c>
      <c r="CC464">
        <f ca="1"/>
      </c>
      <c r="CD464">
        <f ca="1"/>
      </c>
      <c r="CE464">
        <f ca="1"/>
      </c>
      <c r="CF464">
        <f ca="1"/>
      </c>
      <c r="CG464">
        <f ca="1"/>
      </c>
      <c r="CH464">
        <f ca="1"/>
      </c>
      <c r="CI464">
        <f ca="1"/>
      </c>
      <c r="CJ464">
        <f ca="1"/>
      </c>
      <c r="CK464">
        <f ca="1"/>
      </c>
      <c r="CL464">
        <f ca="1"/>
      </c>
      <c r="CM464">
        <f ca="1"/>
      </c>
      <c r="CN464">
        <f ca="1"/>
      </c>
      <c r="CO464">
        <f ca="1"/>
      </c>
      <c r="CP464">
        <f ca="1"/>
      </c>
      <c r="CQ464">
        <f ca="1"/>
      </c>
      <c r="CR464">
        <f ca="1"/>
      </c>
      <c r="CS464">
        <f ca="1"/>
      </c>
      <c r="CT464">
        <f ca="1"/>
      </c>
      <c r="CU464">
        <f ca="1"/>
      </c>
      <c r="CV464">
        <f ca="1"/>
      </c>
      <c r="CW464">
        <f ca="1"/>
      </c>
      <c r="CX464">
        <f ca="1"/>
      </c>
      <c r="CY464">
        <f ca="1"/>
      </c>
      <c r="CZ464">
        <f ca="1"/>
      </c>
      <c r="DA464">
        <f ca="1"/>
      </c>
      <c r="DB464">
        <f ca="1"/>
      </c>
      <c r="DC464">
        <f ca="1"/>
      </c>
      <c r="DD464">
        <f ca="1"/>
      </c>
      <c r="DE464">
        <f ca="1"/>
      </c>
      <c r="DG464">
        <f ca="1"/>
      </c>
      <c r="DH464">
        <f ca="1"/>
      </c>
      <c r="DI464">
        <f ca="1"/>
      </c>
      <c r="DJ464">
        <f ca="1"/>
      </c>
      <c r="DK464">
        <f ca="1"/>
      </c>
      <c r="DL464">
        <f ca="1"/>
      </c>
      <c r="DM464">
        <f ca="1"/>
      </c>
      <c r="DN464">
        <f ca="1"/>
      </c>
      <c r="DO464">
        <f ca="1"/>
      </c>
      <c r="DP464">
        <f ca="1"/>
      </c>
      <c r="DQ464">
        <f ca="1"/>
      </c>
      <c r="DR464">
        <f ca="1"/>
      </c>
      <c r="DS464">
        <f ca="1"/>
      </c>
      <c r="DT464">
        <f ca="1"/>
      </c>
      <c r="DU464">
        <f ca="1"/>
      </c>
      <c r="DV464">
        <f ca="1"/>
      </c>
      <c r="DW464">
        <f ca="1"/>
      </c>
      <c r="DX464">
        <f ca="1"/>
      </c>
      <c r="DY464">
        <f ca="1"/>
      </c>
      <c r="DZ464">
        <f ca="1"/>
      </c>
      <c r="EA464">
        <f ca="1"/>
      </c>
      <c r="EB464">
        <f ca="1"/>
      </c>
      <c r="EC464">
        <f ca="1"/>
      </c>
      <c r="ED464">
        <f ca="1"/>
      </c>
      <c r="EE464">
        <f ca="1"/>
      </c>
      <c r="EF464">
        <f ca="1"/>
      </c>
      <c r="EG464">
        <f ca="1"/>
      </c>
      <c r="EH464">
        <f ca="1"/>
      </c>
      <c r="EI464">
        <f ca="1"/>
      </c>
      <c r="EJ464">
        <f ca="1"/>
      </c>
      <c r="EK464">
        <f ca="1"/>
      </c>
      <c r="EL464">
        <f ca="1"/>
      </c>
      <c r="EM464">
        <f ca="1"/>
      </c>
      <c r="EN464">
        <f ca="1"/>
      </c>
      <c r="EO464">
        <f ca="1"/>
      </c>
      <c r="EP464">
        <f ca="1"/>
      </c>
      <c r="EQ464">
        <f ca="1"/>
      </c>
      <c r="ER464">
        <f ca="1"/>
      </c>
      <c r="ES464">
        <f ca="1"/>
      </c>
      <c r="ET464">
        <f ca="1"/>
      </c>
      <c r="EU464">
        <f ca="1"/>
      </c>
      <c r="EV464">
        <f ca="1"/>
      </c>
      <c r="EW464">
        <f ca="1"/>
      </c>
      <c r="EX464">
        <f ca="1"/>
      </c>
      <c r="EY464">
        <f ca="1"/>
      </c>
      <c r="EZ464">
        <f ca="1"/>
      </c>
      <c r="FA464">
        <f ca="1"/>
      </c>
      <c r="FC464">
        <f ca="1"/>
      </c>
      <c r="FD464">
        <f ca="1"/>
      </c>
      <c r="FE464">
        <f ca="1"/>
      </c>
      <c r="FF464">
        <f ca="1"/>
      </c>
      <c r="FG464">
        <f ca="1"/>
      </c>
      <c r="FH464">
        <f ca="1"/>
      </c>
      <c r="FI464">
        <f ca="1"/>
      </c>
      <c r="FJ464">
        <f ca="1"/>
      </c>
      <c r="FK464">
        <f ca="1"/>
      </c>
      <c r="FL464">
        <f ca="1"/>
      </c>
      <c r="FM464">
        <f ca="1"/>
      </c>
      <c r="FN464">
        <f ca="1"/>
      </c>
      <c r="FO464">
        <f ca="1"/>
      </c>
      <c r="FP464">
        <f ca="1"/>
      </c>
      <c r="FQ464">
        <f ca="1"/>
      </c>
      <c r="FR464">
        <f ca="1"/>
      </c>
      <c r="FS464">
        <f ca="1"/>
      </c>
      <c r="FT464">
        <f ca="1"/>
      </c>
      <c r="FU464">
        <f ca="1"/>
      </c>
      <c r="FV464">
        <f ca="1"/>
      </c>
      <c r="FW464">
        <f ca="1"/>
      </c>
      <c r="FX464">
        <f ca="1"/>
      </c>
      <c r="FY464">
        <f ca="1"/>
      </c>
      <c r="FZ464">
        <f ca="1"/>
      </c>
      <c r="GA464">
        <f ca="1"/>
      </c>
      <c r="GB464">
        <f ca="1"/>
      </c>
      <c r="GC464">
        <f ca="1"/>
      </c>
      <c r="GD464">
        <f ca="1"/>
      </c>
      <c r="GE464">
        <f ca="1"/>
      </c>
      <c r="GF464">
        <f ca="1"/>
      </c>
      <c r="GG464">
        <f ca="1"/>
      </c>
      <c r="GH464">
        <f ca="1"/>
      </c>
      <c r="GI464">
        <f ca="1"/>
      </c>
      <c r="GJ464">
        <f ca="1"/>
      </c>
      <c r="GK464">
        <f ca="1"/>
      </c>
      <c r="GL464">
        <f ca="1"/>
      </c>
      <c r="GM464">
        <f ca="1"/>
      </c>
      <c r="GN464">
        <f ca="1"/>
      </c>
      <c r="GO464">
        <f ca="1"/>
      </c>
      <c r="GP464">
        <f ca="1"/>
      </c>
      <c r="GQ464">
        <f ca="1"/>
      </c>
      <c r="GR464">
        <f ca="1"/>
      </c>
      <c r="GS464">
        <f ca="1"/>
      </c>
      <c r="GT464">
        <f ca="1"/>
      </c>
      <c r="GU464">
        <f ca="1"/>
      </c>
      <c r="GV464">
        <f ca="1"/>
      </c>
      <c r="GW464">
        <f ca="1"/>
      </c>
      <c r="HI464" s="7"/>
    </row>
    <row r="465" spans="63:217" x14ac:dyDescent="0.55000000000000004">
      <c r="BK465">
        <f ca="1"/>
      </c>
      <c r="BL465">
        <f ca="1"/>
      </c>
      <c r="BM465">
        <f ca="1"/>
      </c>
      <c r="BN465">
        <f ca="1"/>
      </c>
      <c r="BO465">
        <f ca="1"/>
      </c>
      <c r="BP465">
        <f ca="1"/>
      </c>
      <c r="BQ465">
        <f ca="1"/>
      </c>
      <c r="BR465">
        <f ca="1"/>
      </c>
      <c r="BS465">
        <f ca="1"/>
      </c>
      <c r="BT465">
        <f ca="1"/>
      </c>
      <c r="BU465">
        <f ca="1"/>
      </c>
      <c r="BV465">
        <f ca="1"/>
      </c>
      <c r="BW465">
        <f ca="1"/>
      </c>
      <c r="BX465">
        <f ca="1"/>
      </c>
      <c r="BY465">
        <f ca="1"/>
      </c>
      <c r="BZ465">
        <f ca="1"/>
      </c>
      <c r="CA465">
        <f ca="1"/>
      </c>
      <c r="CB465">
        <f ca="1"/>
      </c>
      <c r="CC465">
        <f ca="1"/>
      </c>
      <c r="CD465">
        <f ca="1"/>
      </c>
      <c r="CE465">
        <f ca="1"/>
      </c>
      <c r="CF465">
        <f ca="1"/>
      </c>
      <c r="CG465">
        <f ca="1"/>
      </c>
      <c r="CH465">
        <f ca="1"/>
      </c>
      <c r="CI465">
        <f ca="1"/>
      </c>
      <c r="CJ465">
        <f ca="1"/>
      </c>
      <c r="CK465">
        <f ca="1"/>
      </c>
      <c r="CL465">
        <f ca="1"/>
      </c>
      <c r="CM465">
        <f ca="1"/>
      </c>
      <c r="CN465">
        <f ca="1"/>
      </c>
      <c r="CO465">
        <f ca="1"/>
      </c>
      <c r="CP465">
        <f ca="1"/>
      </c>
      <c r="CQ465">
        <f ca="1"/>
      </c>
      <c r="CR465">
        <f ca="1"/>
      </c>
      <c r="CS465">
        <f ca="1"/>
      </c>
      <c r="CT465">
        <f ca="1"/>
      </c>
      <c r="CU465">
        <f ca="1"/>
      </c>
      <c r="CV465">
        <f ca="1"/>
      </c>
      <c r="CW465">
        <f ca="1"/>
      </c>
      <c r="CX465">
        <f ca="1"/>
      </c>
      <c r="CY465">
        <f ca="1"/>
      </c>
      <c r="CZ465">
        <f ca="1"/>
      </c>
      <c r="DA465">
        <f ca="1"/>
      </c>
      <c r="DB465">
        <f ca="1"/>
      </c>
      <c r="DC465">
        <f ca="1"/>
      </c>
      <c r="DD465">
        <f ca="1"/>
      </c>
      <c r="DE465">
        <f ca="1"/>
      </c>
      <c r="DG465">
        <f ca="1"/>
      </c>
      <c r="DH465">
        <f ca="1"/>
      </c>
      <c r="DI465">
        <f ca="1"/>
      </c>
      <c r="DJ465">
        <f ca="1"/>
      </c>
      <c r="DK465">
        <f ca="1"/>
      </c>
      <c r="DL465">
        <f ca="1"/>
      </c>
      <c r="DM465">
        <f ca="1"/>
      </c>
      <c r="DN465">
        <f ca="1"/>
      </c>
      <c r="DO465">
        <f ca="1"/>
      </c>
      <c r="DP465">
        <f ca="1"/>
      </c>
      <c r="DQ465">
        <f ca="1"/>
      </c>
      <c r="DR465">
        <f ca="1"/>
      </c>
      <c r="DS465">
        <f ca="1"/>
      </c>
      <c r="DT465">
        <f ca="1"/>
      </c>
      <c r="DU465">
        <f ca="1"/>
      </c>
      <c r="DV465">
        <f ca="1"/>
      </c>
      <c r="DW465">
        <f ca="1"/>
      </c>
      <c r="DX465">
        <f ca="1"/>
      </c>
      <c r="DY465">
        <f ca="1"/>
      </c>
      <c r="DZ465">
        <f ca="1"/>
      </c>
      <c r="EA465">
        <f ca="1"/>
      </c>
      <c r="EB465">
        <f ca="1"/>
      </c>
      <c r="EC465">
        <f ca="1"/>
      </c>
      <c r="ED465">
        <f ca="1"/>
      </c>
      <c r="EE465">
        <f ca="1"/>
      </c>
      <c r="EF465">
        <f ca="1"/>
      </c>
      <c r="EG465">
        <f ca="1"/>
      </c>
      <c r="EH465">
        <f ca="1"/>
      </c>
      <c r="EI465">
        <f ca="1"/>
      </c>
      <c r="EJ465">
        <f ca="1"/>
      </c>
      <c r="EK465">
        <f ca="1"/>
      </c>
      <c r="EL465">
        <f ca="1"/>
      </c>
      <c r="EM465">
        <f ca="1"/>
      </c>
      <c r="EN465">
        <f ca="1"/>
      </c>
      <c r="EO465">
        <f ca="1"/>
      </c>
      <c r="EP465">
        <f ca="1"/>
      </c>
      <c r="EQ465">
        <f ca="1"/>
      </c>
      <c r="ER465">
        <f ca="1"/>
      </c>
      <c r="ES465">
        <f ca="1"/>
      </c>
      <c r="ET465">
        <f ca="1"/>
      </c>
      <c r="EU465">
        <f ca="1"/>
      </c>
      <c r="EV465">
        <f ca="1"/>
      </c>
      <c r="EW465">
        <f ca="1"/>
      </c>
      <c r="EX465">
        <f ca="1"/>
      </c>
      <c r="EY465">
        <f ca="1"/>
      </c>
      <c r="EZ465">
        <f ca="1"/>
      </c>
      <c r="FA465">
        <f ca="1"/>
      </c>
      <c r="FC465">
        <f ca="1"/>
      </c>
      <c r="FD465">
        <f ca="1"/>
      </c>
      <c r="FE465">
        <f ca="1"/>
      </c>
      <c r="FF465">
        <f ca="1"/>
      </c>
      <c r="FG465">
        <f ca="1"/>
      </c>
      <c r="FH465">
        <f ca="1"/>
      </c>
      <c r="FI465">
        <f ca="1"/>
      </c>
      <c r="FJ465">
        <f ca="1"/>
      </c>
      <c r="FK465">
        <f ca="1"/>
      </c>
      <c r="FL465">
        <f ca="1"/>
      </c>
      <c r="FM465">
        <f ca="1"/>
      </c>
      <c r="FN465">
        <f ca="1"/>
      </c>
      <c r="FO465">
        <f ca="1"/>
      </c>
      <c r="FP465">
        <f ca="1"/>
      </c>
      <c r="FQ465">
        <f ca="1"/>
      </c>
      <c r="FR465">
        <f ca="1"/>
      </c>
      <c r="FS465">
        <f ca="1"/>
      </c>
      <c r="FT465">
        <f ca="1"/>
      </c>
      <c r="FU465">
        <f ca="1"/>
      </c>
      <c r="FV465">
        <f ca="1"/>
      </c>
      <c r="FW465">
        <f ca="1"/>
      </c>
      <c r="FX465">
        <f ca="1"/>
      </c>
      <c r="FY465">
        <f ca="1"/>
      </c>
      <c r="FZ465">
        <f ca="1"/>
      </c>
      <c r="GA465">
        <f ca="1"/>
      </c>
      <c r="GB465">
        <f ca="1"/>
      </c>
      <c r="GC465">
        <f ca="1"/>
      </c>
      <c r="GD465">
        <f ca="1"/>
      </c>
      <c r="GE465">
        <f ca="1"/>
      </c>
      <c r="GF465">
        <f ca="1"/>
      </c>
      <c r="GG465">
        <f ca="1"/>
      </c>
      <c r="GH465">
        <f ca="1"/>
      </c>
      <c r="GI465">
        <f ca="1"/>
      </c>
      <c r="GJ465">
        <f ca="1"/>
      </c>
      <c r="GK465">
        <f ca="1"/>
      </c>
      <c r="GL465">
        <f ca="1"/>
      </c>
      <c r="GM465">
        <f ca="1"/>
      </c>
      <c r="GN465">
        <f ca="1"/>
      </c>
      <c r="GO465">
        <f ca="1"/>
      </c>
      <c r="GP465">
        <f ca="1"/>
      </c>
      <c r="GQ465">
        <f ca="1"/>
      </c>
      <c r="GR465">
        <f ca="1"/>
      </c>
      <c r="GS465">
        <f ca="1"/>
      </c>
      <c r="GT465">
        <f ca="1"/>
      </c>
      <c r="GU465">
        <f ca="1"/>
      </c>
      <c r="GV465">
        <f ca="1"/>
      </c>
      <c r="GW465">
        <f ca="1"/>
      </c>
      <c r="HI465" s="7"/>
    </row>
    <row r="466" spans="63:217" x14ac:dyDescent="0.55000000000000004">
      <c r="BK466">
        <f ca="1"/>
      </c>
      <c r="BL466">
        <f ca="1"/>
      </c>
      <c r="BM466">
        <f ca="1"/>
      </c>
      <c r="BN466">
        <f ca="1"/>
      </c>
      <c r="BO466">
        <f ca="1"/>
      </c>
      <c r="BP466">
        <f ca="1"/>
      </c>
      <c r="BQ466">
        <f ca="1"/>
      </c>
      <c r="BR466">
        <f ca="1"/>
      </c>
      <c r="BS466">
        <f ca="1"/>
      </c>
      <c r="BT466">
        <f ca="1"/>
      </c>
      <c r="BU466">
        <f ca="1"/>
      </c>
      <c r="BV466">
        <f ca="1"/>
      </c>
      <c r="BW466">
        <f ca="1"/>
      </c>
      <c r="BX466">
        <f ca="1"/>
      </c>
      <c r="BY466">
        <f ca="1"/>
      </c>
      <c r="BZ466">
        <f ca="1"/>
      </c>
      <c r="CA466">
        <f ca="1"/>
      </c>
      <c r="CB466">
        <f ca="1"/>
      </c>
      <c r="CC466">
        <f ca="1"/>
      </c>
      <c r="CD466">
        <f ca="1"/>
      </c>
      <c r="CE466">
        <f ca="1"/>
      </c>
      <c r="CF466">
        <f ca="1"/>
      </c>
      <c r="CG466">
        <f ca="1"/>
      </c>
      <c r="CH466">
        <f ca="1"/>
      </c>
      <c r="CI466">
        <f ca="1"/>
      </c>
      <c r="CJ466">
        <f ca="1"/>
      </c>
      <c r="CK466">
        <f ca="1"/>
      </c>
      <c r="CL466">
        <f ca="1"/>
      </c>
      <c r="CM466">
        <f ca="1"/>
      </c>
      <c r="CN466">
        <f ca="1"/>
      </c>
      <c r="CO466">
        <f ca="1"/>
      </c>
      <c r="CP466">
        <f ca="1"/>
      </c>
      <c r="CQ466">
        <f ca="1"/>
      </c>
      <c r="CR466">
        <f ca="1"/>
      </c>
      <c r="CS466">
        <f ca="1"/>
      </c>
      <c r="CT466">
        <f ca="1"/>
      </c>
      <c r="CU466">
        <f ca="1"/>
      </c>
      <c r="CV466">
        <f ca="1"/>
      </c>
      <c r="CW466">
        <f ca="1"/>
      </c>
      <c r="CX466">
        <f ca="1"/>
      </c>
      <c r="CY466">
        <f ca="1"/>
      </c>
      <c r="CZ466">
        <f ca="1"/>
      </c>
      <c r="DA466">
        <f ca="1"/>
      </c>
      <c r="DB466">
        <f ca="1"/>
      </c>
      <c r="DC466">
        <f ca="1"/>
      </c>
      <c r="DD466">
        <f ca="1"/>
      </c>
      <c r="DE466">
        <f ca="1"/>
      </c>
      <c r="DG466">
        <f ca="1"/>
      </c>
      <c r="DH466">
        <f ca="1"/>
      </c>
      <c r="DI466">
        <f ca="1"/>
      </c>
      <c r="DJ466">
        <f ca="1"/>
      </c>
      <c r="DK466">
        <f ca="1"/>
      </c>
      <c r="DL466">
        <f ca="1"/>
      </c>
      <c r="DM466">
        <f ca="1"/>
      </c>
      <c r="DN466">
        <f ca="1"/>
      </c>
      <c r="DO466">
        <f ca="1"/>
      </c>
      <c r="DP466">
        <f ca="1"/>
      </c>
      <c r="DQ466">
        <f ca="1"/>
      </c>
      <c r="DR466">
        <f ca="1"/>
      </c>
      <c r="DS466">
        <f ca="1"/>
      </c>
      <c r="DT466">
        <f ca="1"/>
      </c>
      <c r="DU466">
        <f ca="1"/>
      </c>
      <c r="DV466">
        <f ca="1"/>
      </c>
      <c r="DW466">
        <f ca="1"/>
      </c>
      <c r="DX466">
        <f ca="1"/>
      </c>
      <c r="DY466">
        <f ca="1"/>
      </c>
      <c r="DZ466">
        <f ca="1"/>
      </c>
      <c r="EA466">
        <f ca="1"/>
      </c>
      <c r="EB466">
        <f ca="1"/>
      </c>
      <c r="EC466">
        <f ca="1"/>
      </c>
      <c r="ED466">
        <f ca="1"/>
      </c>
      <c r="EE466">
        <f ca="1"/>
      </c>
      <c r="EF466">
        <f ca="1"/>
      </c>
      <c r="EG466">
        <f ca="1"/>
      </c>
      <c r="EH466">
        <f ca="1"/>
      </c>
      <c r="EI466">
        <f ca="1"/>
      </c>
      <c r="EJ466">
        <f ca="1"/>
      </c>
      <c r="EK466">
        <f ca="1"/>
      </c>
      <c r="EL466">
        <f ca="1"/>
      </c>
      <c r="EM466">
        <f ca="1"/>
      </c>
      <c r="EN466">
        <f ca="1"/>
      </c>
      <c r="EO466">
        <f ca="1"/>
      </c>
      <c r="EP466">
        <f ca="1"/>
      </c>
      <c r="EQ466">
        <f ca="1"/>
      </c>
      <c r="ER466">
        <f ca="1"/>
      </c>
      <c r="ES466">
        <f ca="1"/>
      </c>
      <c r="ET466">
        <f ca="1"/>
      </c>
      <c r="EU466">
        <f ca="1"/>
      </c>
      <c r="EV466">
        <f ca="1"/>
      </c>
      <c r="EW466">
        <f ca="1"/>
      </c>
      <c r="EX466">
        <f ca="1"/>
      </c>
      <c r="EY466">
        <f ca="1"/>
      </c>
      <c r="EZ466">
        <f ca="1"/>
      </c>
      <c r="FA466">
        <f ca="1"/>
      </c>
      <c r="FC466">
        <f ca="1"/>
      </c>
      <c r="FD466">
        <f ca="1"/>
      </c>
      <c r="FE466">
        <f ca="1"/>
      </c>
      <c r="FF466">
        <f ca="1"/>
      </c>
      <c r="FG466">
        <f ca="1"/>
      </c>
      <c r="FH466">
        <f ca="1"/>
      </c>
      <c r="FI466">
        <f ca="1"/>
      </c>
      <c r="FJ466">
        <f ca="1"/>
      </c>
      <c r="FK466">
        <f ca="1"/>
      </c>
      <c r="FL466">
        <f ca="1"/>
      </c>
      <c r="FM466">
        <f ca="1"/>
      </c>
      <c r="FN466">
        <f ca="1"/>
      </c>
      <c r="FO466">
        <f ca="1"/>
      </c>
      <c r="FP466">
        <f ca="1"/>
      </c>
      <c r="FQ466">
        <f ca="1"/>
      </c>
      <c r="FR466">
        <f ca="1"/>
      </c>
      <c r="FS466">
        <f ca="1"/>
      </c>
      <c r="FT466">
        <f ca="1"/>
      </c>
      <c r="FU466">
        <f ca="1"/>
      </c>
      <c r="FV466">
        <f ca="1"/>
      </c>
      <c r="FW466">
        <f ca="1"/>
      </c>
      <c r="FX466">
        <f ca="1"/>
      </c>
      <c r="FY466">
        <f ca="1"/>
      </c>
      <c r="FZ466">
        <f ca="1"/>
      </c>
      <c r="GA466">
        <f ca="1"/>
      </c>
      <c r="GB466">
        <f ca="1"/>
      </c>
      <c r="GC466">
        <f ca="1"/>
      </c>
      <c r="GD466">
        <f ca="1"/>
      </c>
      <c r="GE466">
        <f ca="1"/>
      </c>
      <c r="GF466">
        <f ca="1"/>
      </c>
      <c r="GG466">
        <f ca="1"/>
      </c>
      <c r="GH466">
        <f ca="1"/>
      </c>
      <c r="GI466">
        <f ca="1"/>
      </c>
      <c r="GJ466">
        <f ca="1"/>
      </c>
      <c r="GK466">
        <f ca="1"/>
      </c>
      <c r="GL466">
        <f ca="1"/>
      </c>
      <c r="GM466">
        <f ca="1"/>
      </c>
      <c r="GN466">
        <f ca="1"/>
      </c>
      <c r="GO466">
        <f ca="1"/>
      </c>
      <c r="GP466">
        <f ca="1"/>
      </c>
      <c r="GQ466">
        <f ca="1"/>
      </c>
      <c r="GR466">
        <f ca="1"/>
      </c>
      <c r="GS466">
        <f ca="1"/>
      </c>
      <c r="GT466">
        <f ca="1"/>
      </c>
      <c r="GU466">
        <f ca="1"/>
      </c>
      <c r="GV466">
        <f ca="1"/>
      </c>
      <c r="GW466">
        <f ca="1"/>
      </c>
      <c r="HI466" s="7"/>
    </row>
    <row r="467" spans="63:217" x14ac:dyDescent="0.55000000000000004">
      <c r="BK467">
        <f ca="1"/>
      </c>
      <c r="BL467">
        <f ca="1"/>
      </c>
      <c r="BM467">
        <f ca="1"/>
      </c>
      <c r="BN467">
        <f ca="1"/>
      </c>
      <c r="BO467">
        <f ca="1"/>
      </c>
      <c r="BP467">
        <f ca="1"/>
      </c>
      <c r="BQ467">
        <f ca="1"/>
      </c>
      <c r="BR467">
        <f ca="1"/>
      </c>
      <c r="BS467">
        <f ca="1"/>
      </c>
      <c r="BT467">
        <f ca="1"/>
      </c>
      <c r="BU467">
        <f ca="1"/>
      </c>
      <c r="BV467">
        <f ca="1"/>
      </c>
      <c r="BW467">
        <f ca="1"/>
      </c>
      <c r="BX467">
        <f ca="1"/>
      </c>
      <c r="BY467">
        <f ca="1"/>
      </c>
      <c r="BZ467">
        <f ca="1"/>
      </c>
      <c r="CA467">
        <f ca="1"/>
      </c>
      <c r="CB467">
        <f ca="1"/>
      </c>
      <c r="CC467">
        <f ca="1"/>
      </c>
      <c r="CD467">
        <f ca="1"/>
      </c>
      <c r="CE467">
        <f ca="1"/>
      </c>
      <c r="CF467">
        <f ca="1"/>
      </c>
      <c r="CG467">
        <f ca="1"/>
      </c>
      <c r="CH467">
        <f ca="1"/>
      </c>
      <c r="CI467">
        <f ca="1"/>
      </c>
      <c r="CJ467">
        <f ca="1"/>
      </c>
      <c r="CK467">
        <f ca="1"/>
      </c>
      <c r="CL467">
        <f ca="1"/>
      </c>
      <c r="CM467">
        <f ca="1"/>
      </c>
      <c r="CN467">
        <f ca="1"/>
      </c>
      <c r="CO467">
        <f ca="1"/>
      </c>
      <c r="CP467">
        <f ca="1"/>
      </c>
      <c r="CQ467">
        <f ca="1"/>
      </c>
      <c r="CR467">
        <f ca="1"/>
      </c>
      <c r="CS467">
        <f ca="1"/>
      </c>
      <c r="CT467">
        <f ca="1"/>
      </c>
      <c r="CU467">
        <f ca="1"/>
      </c>
      <c r="CV467">
        <f ca="1"/>
      </c>
      <c r="CW467">
        <f ca="1"/>
      </c>
      <c r="CX467">
        <f ca="1"/>
      </c>
      <c r="CY467">
        <f ca="1"/>
      </c>
      <c r="CZ467">
        <f ca="1"/>
      </c>
      <c r="DA467">
        <f ca="1"/>
      </c>
      <c r="DB467">
        <f ca="1"/>
      </c>
      <c r="DC467">
        <f ca="1"/>
      </c>
      <c r="DD467">
        <f ca="1"/>
      </c>
      <c r="DE467">
        <f ca="1"/>
      </c>
      <c r="DG467">
        <f ca="1"/>
      </c>
      <c r="DH467">
        <f ca="1"/>
      </c>
      <c r="DI467">
        <f ca="1"/>
      </c>
      <c r="DJ467">
        <f ca="1"/>
      </c>
      <c r="DK467">
        <f ca="1"/>
      </c>
      <c r="DL467">
        <f ca="1"/>
      </c>
      <c r="DM467">
        <f ca="1"/>
      </c>
      <c r="DN467">
        <f ca="1"/>
      </c>
      <c r="DO467">
        <f ca="1"/>
      </c>
      <c r="DP467">
        <f ca="1"/>
      </c>
      <c r="DQ467">
        <f ca="1"/>
      </c>
      <c r="DR467">
        <f ca="1"/>
      </c>
      <c r="DS467">
        <f ca="1"/>
      </c>
      <c r="DT467">
        <f ca="1"/>
      </c>
      <c r="DU467">
        <f ca="1"/>
      </c>
      <c r="DV467">
        <f ca="1"/>
      </c>
      <c r="DW467">
        <f ca="1"/>
      </c>
      <c r="DX467">
        <f ca="1"/>
      </c>
      <c r="DY467">
        <f ca="1"/>
      </c>
      <c r="DZ467">
        <f ca="1"/>
      </c>
      <c r="EA467">
        <f ca="1"/>
      </c>
      <c r="EB467">
        <f ca="1"/>
      </c>
      <c r="EC467">
        <f ca="1"/>
      </c>
      <c r="ED467">
        <f ca="1"/>
      </c>
      <c r="EE467">
        <f ca="1"/>
      </c>
      <c r="EF467">
        <f ca="1"/>
      </c>
      <c r="EG467">
        <f ca="1"/>
      </c>
      <c r="EH467">
        <f ca="1"/>
      </c>
      <c r="EI467">
        <f ca="1"/>
      </c>
      <c r="EJ467">
        <f ca="1"/>
      </c>
      <c r="EK467">
        <f ca="1"/>
      </c>
      <c r="EL467">
        <f ca="1"/>
      </c>
      <c r="EM467">
        <f ca="1"/>
      </c>
      <c r="EN467">
        <f ca="1"/>
      </c>
      <c r="EO467">
        <f ca="1"/>
      </c>
      <c r="EP467">
        <f ca="1"/>
      </c>
      <c r="EQ467">
        <f ca="1"/>
      </c>
      <c r="ER467">
        <f ca="1"/>
      </c>
      <c r="ES467">
        <f ca="1"/>
      </c>
      <c r="ET467">
        <f ca="1"/>
      </c>
      <c r="EU467">
        <f ca="1"/>
      </c>
      <c r="EV467">
        <f ca="1"/>
      </c>
      <c r="EW467">
        <f ca="1"/>
      </c>
      <c r="EX467">
        <f ca="1"/>
      </c>
      <c r="EY467">
        <f ca="1"/>
      </c>
      <c r="EZ467">
        <f ca="1"/>
      </c>
      <c r="FA467">
        <f ca="1"/>
      </c>
      <c r="FC467">
        <f ca="1"/>
      </c>
      <c r="FD467">
        <f ca="1"/>
      </c>
      <c r="FE467">
        <f ca="1"/>
      </c>
      <c r="FF467">
        <f ca="1"/>
      </c>
      <c r="FG467">
        <f ca="1"/>
      </c>
      <c r="FH467">
        <f ca="1"/>
      </c>
      <c r="FI467">
        <f ca="1"/>
      </c>
      <c r="FJ467">
        <f ca="1"/>
      </c>
      <c r="FK467">
        <f ca="1"/>
      </c>
      <c r="FL467">
        <f ca="1"/>
      </c>
      <c r="FM467">
        <f ca="1"/>
      </c>
      <c r="FN467">
        <f ca="1"/>
      </c>
      <c r="FO467">
        <f ca="1"/>
      </c>
      <c r="FP467">
        <f ca="1"/>
      </c>
      <c r="FQ467">
        <f ca="1"/>
      </c>
      <c r="FR467">
        <f ca="1"/>
      </c>
      <c r="FS467">
        <f ca="1"/>
      </c>
      <c r="FT467">
        <f ca="1"/>
      </c>
      <c r="FU467">
        <f ca="1"/>
      </c>
      <c r="FV467">
        <f ca="1"/>
      </c>
      <c r="FW467">
        <f ca="1"/>
      </c>
      <c r="FX467">
        <f ca="1"/>
      </c>
      <c r="FY467">
        <f ca="1"/>
      </c>
      <c r="FZ467">
        <f ca="1"/>
      </c>
      <c r="GA467">
        <f ca="1"/>
      </c>
      <c r="GB467">
        <f ca="1"/>
      </c>
      <c r="GC467">
        <f ca="1"/>
      </c>
      <c r="GD467">
        <f ca="1"/>
      </c>
      <c r="GE467">
        <f ca="1"/>
      </c>
      <c r="GF467">
        <f ca="1"/>
      </c>
      <c r="GG467">
        <f ca="1"/>
      </c>
      <c r="GH467">
        <f ca="1"/>
      </c>
      <c r="GI467">
        <f ca="1"/>
      </c>
      <c r="GJ467">
        <f ca="1"/>
      </c>
      <c r="GK467">
        <f ca="1"/>
      </c>
      <c r="GL467">
        <f ca="1"/>
      </c>
      <c r="GM467">
        <f ca="1"/>
      </c>
      <c r="GN467">
        <f ca="1"/>
      </c>
      <c r="GO467">
        <f ca="1"/>
      </c>
      <c r="GP467">
        <f ca="1"/>
      </c>
      <c r="GQ467">
        <f ca="1"/>
      </c>
      <c r="GR467">
        <f ca="1"/>
      </c>
      <c r="GS467">
        <f ca="1"/>
      </c>
      <c r="GT467">
        <f ca="1"/>
      </c>
      <c r="GU467">
        <f ca="1"/>
      </c>
      <c r="GV467">
        <f ca="1"/>
      </c>
      <c r="GW467">
        <f ca="1"/>
      </c>
      <c r="HI467" s="7"/>
    </row>
    <row r="468" spans="63:217" x14ac:dyDescent="0.55000000000000004">
      <c r="BK468">
        <f ca="1"/>
      </c>
      <c r="BL468">
        <f ca="1"/>
      </c>
      <c r="BM468">
        <f ca="1"/>
      </c>
      <c r="BN468">
        <f ca="1"/>
      </c>
      <c r="BO468">
        <f ca="1"/>
      </c>
      <c r="BP468">
        <f ca="1"/>
      </c>
      <c r="BQ468">
        <f ca="1"/>
      </c>
      <c r="BR468">
        <f ca="1"/>
      </c>
      <c r="BS468">
        <f ca="1"/>
      </c>
      <c r="BT468">
        <f ca="1"/>
      </c>
      <c r="BU468">
        <f ca="1"/>
      </c>
      <c r="BV468">
        <f ca="1"/>
      </c>
      <c r="BW468">
        <f ca="1"/>
      </c>
      <c r="BX468">
        <f ca="1"/>
      </c>
      <c r="BY468">
        <f ca="1"/>
      </c>
      <c r="BZ468">
        <f ca="1"/>
      </c>
      <c r="CA468">
        <f ca="1"/>
      </c>
      <c r="CB468">
        <f ca="1"/>
      </c>
      <c r="CC468">
        <f ca="1"/>
      </c>
      <c r="CD468">
        <f ca="1"/>
      </c>
      <c r="CE468">
        <f ca="1"/>
      </c>
      <c r="CF468">
        <f ca="1"/>
      </c>
      <c r="CG468">
        <f ca="1"/>
      </c>
      <c r="CH468">
        <f ca="1"/>
      </c>
      <c r="CI468">
        <f ca="1"/>
      </c>
      <c r="CJ468">
        <f ca="1"/>
      </c>
      <c r="CK468">
        <f ca="1"/>
      </c>
      <c r="CL468">
        <f ca="1"/>
      </c>
      <c r="CM468">
        <f ca="1"/>
      </c>
      <c r="CN468">
        <f ca="1"/>
      </c>
      <c r="CO468">
        <f ca="1"/>
      </c>
      <c r="CP468">
        <f ca="1"/>
      </c>
      <c r="CQ468">
        <f ca="1"/>
      </c>
      <c r="CR468">
        <f ca="1"/>
      </c>
      <c r="CS468">
        <f ca="1"/>
      </c>
      <c r="CT468">
        <f ca="1"/>
      </c>
      <c r="CU468">
        <f ca="1"/>
      </c>
      <c r="CV468">
        <f ca="1"/>
      </c>
      <c r="CW468">
        <f ca="1"/>
      </c>
      <c r="CX468">
        <f ca="1"/>
      </c>
      <c r="CY468">
        <f ca="1"/>
      </c>
      <c r="CZ468">
        <f ca="1"/>
      </c>
      <c r="DA468">
        <f ca="1"/>
      </c>
      <c r="DB468">
        <f ca="1"/>
      </c>
      <c r="DC468">
        <f ca="1"/>
      </c>
      <c r="DD468">
        <f ca="1"/>
      </c>
      <c r="DE468">
        <f ca="1"/>
      </c>
      <c r="DG468">
        <f ca="1"/>
      </c>
      <c r="DH468">
        <f ca="1"/>
      </c>
      <c r="DI468">
        <f ca="1"/>
      </c>
      <c r="DJ468">
        <f ca="1"/>
      </c>
      <c r="DK468">
        <f ca="1"/>
      </c>
      <c r="DL468">
        <f ca="1"/>
      </c>
      <c r="DM468">
        <f ca="1"/>
      </c>
      <c r="DN468">
        <f ca="1"/>
      </c>
      <c r="DO468">
        <f ca="1"/>
      </c>
      <c r="DP468">
        <f ca="1"/>
      </c>
      <c r="DQ468">
        <f ca="1"/>
      </c>
      <c r="DR468">
        <f ca="1"/>
      </c>
      <c r="DS468">
        <f ca="1"/>
      </c>
      <c r="DT468">
        <f ca="1"/>
      </c>
      <c r="DU468">
        <f ca="1"/>
      </c>
      <c r="DV468">
        <f ca="1"/>
      </c>
      <c r="DW468">
        <f ca="1"/>
      </c>
      <c r="DX468">
        <f ca="1"/>
      </c>
      <c r="DY468">
        <f ca="1"/>
      </c>
      <c r="DZ468">
        <f ca="1"/>
      </c>
      <c r="EA468">
        <f ca="1"/>
      </c>
      <c r="EB468">
        <f ca="1"/>
      </c>
      <c r="EC468">
        <f ca="1"/>
      </c>
      <c r="ED468">
        <f ca="1"/>
      </c>
      <c r="EE468">
        <f ca="1"/>
      </c>
      <c r="EF468">
        <f ca="1"/>
      </c>
      <c r="EG468">
        <f ca="1"/>
      </c>
      <c r="EH468">
        <f ca="1"/>
      </c>
      <c r="EI468">
        <f ca="1"/>
      </c>
      <c r="EJ468">
        <f ca="1"/>
      </c>
      <c r="EK468">
        <f ca="1"/>
      </c>
      <c r="EL468">
        <f ca="1"/>
      </c>
      <c r="EM468">
        <f ca="1"/>
      </c>
      <c r="EN468">
        <f ca="1"/>
      </c>
      <c r="EO468">
        <f ca="1"/>
      </c>
      <c r="EP468">
        <f ca="1"/>
      </c>
      <c r="EQ468">
        <f ca="1"/>
      </c>
      <c r="ER468">
        <f ca="1"/>
      </c>
      <c r="ES468">
        <f ca="1"/>
      </c>
      <c r="ET468">
        <f ca="1"/>
      </c>
      <c r="EU468">
        <f ca="1"/>
      </c>
      <c r="EV468">
        <f ca="1"/>
      </c>
      <c r="EW468">
        <f ca="1"/>
      </c>
      <c r="EX468">
        <f ca="1"/>
      </c>
      <c r="EY468">
        <f ca="1"/>
      </c>
      <c r="EZ468">
        <f ca="1"/>
      </c>
      <c r="FA468">
        <f ca="1"/>
      </c>
      <c r="FC468">
        <f ca="1"/>
      </c>
      <c r="FD468">
        <f ca="1"/>
      </c>
      <c r="FE468">
        <f ca="1"/>
      </c>
      <c r="FF468">
        <f ca="1"/>
      </c>
      <c r="FG468">
        <f ca="1"/>
      </c>
      <c r="FH468">
        <f ca="1"/>
      </c>
      <c r="FI468">
        <f ca="1"/>
      </c>
      <c r="FJ468">
        <f ca="1"/>
      </c>
      <c r="FK468">
        <f ca="1"/>
      </c>
      <c r="FL468">
        <f ca="1"/>
      </c>
      <c r="FM468">
        <f ca="1"/>
      </c>
      <c r="FN468">
        <f ca="1"/>
      </c>
      <c r="FO468">
        <f ca="1"/>
      </c>
      <c r="FP468">
        <f ca="1"/>
      </c>
      <c r="FQ468">
        <f ca="1"/>
      </c>
      <c r="FR468">
        <f ca="1"/>
      </c>
      <c r="FS468">
        <f ca="1"/>
      </c>
      <c r="FT468">
        <f ca="1"/>
      </c>
      <c r="FU468">
        <f ca="1"/>
      </c>
      <c r="FV468">
        <f ca="1"/>
      </c>
      <c r="FW468">
        <f ca="1"/>
      </c>
      <c r="FX468">
        <f ca="1"/>
      </c>
      <c r="FY468">
        <f ca="1"/>
      </c>
      <c r="FZ468">
        <f ca="1"/>
      </c>
      <c r="GA468">
        <f ca="1"/>
      </c>
      <c r="GB468">
        <f ca="1"/>
      </c>
      <c r="GC468">
        <f ca="1"/>
      </c>
      <c r="GD468">
        <f ca="1"/>
      </c>
      <c r="GE468">
        <f ca="1"/>
      </c>
      <c r="GF468">
        <f ca="1"/>
      </c>
      <c r="GG468">
        <f ca="1"/>
      </c>
      <c r="GH468">
        <f ca="1"/>
      </c>
      <c r="GI468">
        <f ca="1"/>
      </c>
      <c r="GJ468">
        <f ca="1"/>
      </c>
      <c r="GK468">
        <f ca="1"/>
      </c>
      <c r="GL468">
        <f ca="1"/>
      </c>
      <c r="GM468">
        <f ca="1"/>
      </c>
      <c r="GN468">
        <f ca="1"/>
      </c>
      <c r="GO468">
        <f ca="1"/>
      </c>
      <c r="GP468">
        <f ca="1"/>
      </c>
      <c r="GQ468">
        <f ca="1"/>
      </c>
      <c r="GR468">
        <f ca="1"/>
      </c>
      <c r="GS468">
        <f ca="1"/>
      </c>
      <c r="GT468">
        <f ca="1"/>
      </c>
      <c r="GU468">
        <f ca="1"/>
      </c>
      <c r="GV468">
        <f ca="1"/>
      </c>
      <c r="GW468">
        <f ca="1"/>
      </c>
      <c r="HI468" s="7"/>
    </row>
    <row r="469" spans="63:217" x14ac:dyDescent="0.55000000000000004">
      <c r="BK469">
        <f ca="1"/>
      </c>
      <c r="BL469">
        <f ca="1"/>
      </c>
      <c r="BM469">
        <f ca="1"/>
      </c>
      <c r="BN469">
        <f ca="1"/>
      </c>
      <c r="BO469">
        <f ca="1"/>
      </c>
      <c r="BP469">
        <f ca="1"/>
      </c>
      <c r="BQ469">
        <f ca="1"/>
      </c>
      <c r="BR469">
        <f ca="1"/>
      </c>
      <c r="BS469">
        <f ca="1"/>
      </c>
      <c r="BT469">
        <f ca="1"/>
      </c>
      <c r="BU469">
        <f ca="1"/>
      </c>
      <c r="BV469">
        <f ca="1"/>
      </c>
      <c r="BW469">
        <f ca="1"/>
      </c>
      <c r="BX469">
        <f ca="1"/>
      </c>
      <c r="BY469">
        <f ca="1"/>
      </c>
      <c r="BZ469">
        <f ca="1"/>
      </c>
      <c r="CA469">
        <f ca="1"/>
      </c>
      <c r="CB469">
        <f ca="1"/>
      </c>
      <c r="CC469">
        <f ca="1"/>
      </c>
      <c r="CD469">
        <f ca="1"/>
      </c>
      <c r="CE469">
        <f ca="1"/>
      </c>
      <c r="CF469">
        <f ca="1"/>
      </c>
      <c r="CG469">
        <f ca="1"/>
      </c>
      <c r="CH469">
        <f ca="1"/>
      </c>
      <c r="CI469">
        <f ca="1"/>
      </c>
      <c r="CJ469">
        <f ca="1"/>
      </c>
      <c r="CK469">
        <f ca="1"/>
      </c>
      <c r="CL469">
        <f ca="1"/>
      </c>
      <c r="CM469">
        <f ca="1"/>
      </c>
      <c r="CN469">
        <f ca="1"/>
      </c>
      <c r="CO469">
        <f ca="1"/>
      </c>
      <c r="CP469">
        <f ca="1"/>
      </c>
      <c r="CQ469">
        <f ca="1"/>
      </c>
      <c r="CR469">
        <f ca="1"/>
      </c>
      <c r="CS469">
        <f ca="1"/>
      </c>
      <c r="CT469">
        <f ca="1"/>
      </c>
      <c r="CU469">
        <f ca="1"/>
      </c>
      <c r="CV469">
        <f ca="1"/>
      </c>
      <c r="CW469">
        <f ca="1"/>
      </c>
      <c r="CX469">
        <f ca="1"/>
      </c>
      <c r="CY469">
        <f ca="1"/>
      </c>
      <c r="CZ469">
        <f ca="1"/>
      </c>
      <c r="DA469">
        <f ca="1"/>
      </c>
      <c r="DB469">
        <f ca="1"/>
      </c>
      <c r="DC469">
        <f ca="1"/>
      </c>
      <c r="DD469">
        <f ca="1"/>
      </c>
      <c r="DE469">
        <f ca="1"/>
      </c>
      <c r="DG469">
        <f ca="1"/>
      </c>
      <c r="DH469">
        <f ca="1"/>
      </c>
      <c r="DI469">
        <f ca="1"/>
      </c>
      <c r="DJ469">
        <f ca="1"/>
      </c>
      <c r="DK469">
        <f ca="1"/>
      </c>
      <c r="DL469">
        <f ca="1"/>
      </c>
      <c r="DM469">
        <f ca="1"/>
      </c>
      <c r="DN469">
        <f ca="1"/>
      </c>
      <c r="DO469">
        <f ca="1"/>
      </c>
      <c r="DP469">
        <f ca="1"/>
      </c>
      <c r="DQ469">
        <f ca="1"/>
      </c>
      <c r="DR469">
        <f ca="1"/>
      </c>
      <c r="DS469">
        <f ca="1"/>
      </c>
      <c r="DT469">
        <f ca="1"/>
      </c>
      <c r="DU469">
        <f ca="1"/>
      </c>
      <c r="DV469">
        <f ca="1"/>
      </c>
      <c r="DW469">
        <f ca="1"/>
      </c>
      <c r="DX469">
        <f ca="1"/>
      </c>
      <c r="DY469">
        <f ca="1"/>
      </c>
      <c r="DZ469">
        <f ca="1"/>
      </c>
      <c r="EA469">
        <f ca="1"/>
      </c>
      <c r="EB469">
        <f ca="1"/>
      </c>
      <c r="EC469">
        <f ca="1"/>
      </c>
      <c r="ED469">
        <f ca="1"/>
      </c>
      <c r="EE469">
        <f ca="1"/>
      </c>
      <c r="EF469">
        <f ca="1"/>
      </c>
      <c r="EG469">
        <f ca="1"/>
      </c>
      <c r="EH469">
        <f ca="1"/>
      </c>
      <c r="EI469">
        <f ca="1"/>
      </c>
      <c r="EJ469">
        <f ca="1"/>
      </c>
      <c r="EK469">
        <f ca="1"/>
      </c>
      <c r="EL469">
        <f ca="1"/>
      </c>
      <c r="EM469">
        <f ca="1"/>
      </c>
      <c r="EN469">
        <f ca="1"/>
      </c>
      <c r="EO469">
        <f ca="1"/>
      </c>
      <c r="EP469">
        <f ca="1"/>
      </c>
      <c r="EQ469">
        <f ca="1"/>
      </c>
      <c r="ER469">
        <f ca="1"/>
      </c>
      <c r="ES469">
        <f ca="1"/>
      </c>
      <c r="ET469">
        <f ca="1"/>
      </c>
      <c r="EU469">
        <f ca="1"/>
      </c>
      <c r="EV469">
        <f ca="1"/>
      </c>
      <c r="EW469">
        <f ca="1"/>
      </c>
      <c r="EX469">
        <f ca="1"/>
      </c>
      <c r="EY469">
        <f ca="1"/>
      </c>
      <c r="EZ469">
        <f ca="1"/>
      </c>
      <c r="FA469">
        <f ca="1"/>
      </c>
      <c r="FC469">
        <f ca="1"/>
      </c>
      <c r="FD469">
        <f ca="1"/>
      </c>
      <c r="FE469">
        <f ca="1"/>
      </c>
      <c r="FF469">
        <f ca="1"/>
      </c>
      <c r="FG469">
        <f ca="1"/>
      </c>
      <c r="FH469">
        <f ca="1"/>
      </c>
      <c r="FI469">
        <f ca="1"/>
      </c>
      <c r="FJ469">
        <f ca="1"/>
      </c>
      <c r="FK469">
        <f ca="1"/>
      </c>
      <c r="FL469">
        <f ca="1"/>
      </c>
      <c r="FM469">
        <f ca="1"/>
      </c>
      <c r="FN469">
        <f ca="1"/>
      </c>
      <c r="FO469">
        <f ca="1"/>
      </c>
      <c r="FP469">
        <f ca="1"/>
      </c>
      <c r="FQ469">
        <f ca="1"/>
      </c>
      <c r="FR469">
        <f ca="1"/>
      </c>
      <c r="FS469">
        <f ca="1"/>
      </c>
      <c r="FT469">
        <f ca="1"/>
      </c>
      <c r="FU469">
        <f ca="1"/>
      </c>
      <c r="FV469">
        <f ca="1"/>
      </c>
      <c r="FW469">
        <f ca="1"/>
      </c>
      <c r="FX469">
        <f ca="1"/>
      </c>
      <c r="FY469">
        <f ca="1"/>
      </c>
      <c r="FZ469">
        <f ca="1"/>
      </c>
      <c r="GA469">
        <f ca="1"/>
      </c>
      <c r="GB469">
        <f ca="1"/>
      </c>
      <c r="GC469">
        <f ca="1"/>
      </c>
      <c r="GD469">
        <f ca="1"/>
      </c>
      <c r="GE469">
        <f ca="1"/>
      </c>
      <c r="GF469">
        <f ca="1"/>
      </c>
      <c r="GG469">
        <f ca="1"/>
      </c>
      <c r="GH469">
        <f ca="1"/>
      </c>
      <c r="GI469">
        <f ca="1"/>
      </c>
      <c r="GJ469">
        <f ca="1"/>
      </c>
      <c r="GK469">
        <f ca="1"/>
      </c>
      <c r="GL469">
        <f ca="1"/>
      </c>
      <c r="GM469">
        <f ca="1"/>
      </c>
      <c r="GN469">
        <f ca="1"/>
      </c>
      <c r="GO469">
        <f ca="1"/>
      </c>
      <c r="GP469">
        <f ca="1"/>
      </c>
      <c r="GQ469">
        <f ca="1"/>
      </c>
      <c r="GR469">
        <f ca="1"/>
      </c>
      <c r="GS469">
        <f ca="1"/>
      </c>
      <c r="GT469">
        <f ca="1"/>
      </c>
      <c r="GU469">
        <f ca="1"/>
      </c>
      <c r="GV469">
        <f ca="1"/>
      </c>
      <c r="GW469">
        <f ca="1"/>
      </c>
      <c r="HI469" s="7"/>
    </row>
    <row r="470" spans="63:217" x14ac:dyDescent="0.55000000000000004">
      <c r="BK470">
        <f ca="1"/>
      </c>
      <c r="BL470">
        <f ca="1"/>
      </c>
      <c r="BM470">
        <f ca="1"/>
      </c>
      <c r="BN470">
        <f ca="1"/>
      </c>
      <c r="BO470">
        <f ca="1"/>
      </c>
      <c r="BP470">
        <f ca="1"/>
      </c>
      <c r="BQ470">
        <f ca="1"/>
      </c>
      <c r="BR470">
        <f ca="1"/>
      </c>
      <c r="BS470">
        <f ca="1"/>
      </c>
      <c r="BT470">
        <f ca="1"/>
      </c>
      <c r="BU470">
        <f ca="1"/>
      </c>
      <c r="BV470">
        <f ca="1"/>
      </c>
      <c r="BW470">
        <f ca="1"/>
      </c>
      <c r="BX470">
        <f ca="1"/>
      </c>
      <c r="BY470">
        <f ca="1"/>
      </c>
      <c r="BZ470">
        <f ca="1"/>
      </c>
      <c r="CA470">
        <f ca="1"/>
      </c>
      <c r="CB470">
        <f ca="1"/>
      </c>
      <c r="CC470">
        <f ca="1"/>
      </c>
      <c r="CD470">
        <f ca="1"/>
      </c>
      <c r="CE470">
        <f ca="1"/>
      </c>
      <c r="CF470">
        <f ca="1"/>
      </c>
      <c r="CG470">
        <f ca="1"/>
      </c>
      <c r="CH470">
        <f ca="1"/>
      </c>
      <c r="CI470">
        <f ca="1"/>
      </c>
      <c r="CJ470">
        <f ca="1"/>
      </c>
      <c r="CK470">
        <f ca="1"/>
      </c>
      <c r="CL470">
        <f ca="1"/>
      </c>
      <c r="CM470">
        <f ca="1"/>
      </c>
      <c r="CN470">
        <f ca="1"/>
      </c>
      <c r="CO470">
        <f ca="1"/>
      </c>
      <c r="CP470">
        <f ca="1"/>
      </c>
      <c r="CQ470">
        <f ca="1"/>
      </c>
      <c r="CR470">
        <f ca="1"/>
      </c>
      <c r="CS470">
        <f ca="1"/>
      </c>
      <c r="CT470">
        <f ca="1"/>
      </c>
      <c r="CU470">
        <f ca="1"/>
      </c>
      <c r="CV470">
        <f ca="1"/>
      </c>
      <c r="CW470">
        <f ca="1"/>
      </c>
      <c r="CX470">
        <f ca="1"/>
      </c>
      <c r="CY470">
        <f ca="1"/>
      </c>
      <c r="CZ470">
        <f ca="1"/>
      </c>
      <c r="DA470">
        <f ca="1"/>
      </c>
      <c r="DB470">
        <f ca="1"/>
      </c>
      <c r="DC470">
        <f ca="1"/>
      </c>
      <c r="DD470">
        <f ca="1"/>
      </c>
      <c r="DE470">
        <f ca="1"/>
      </c>
      <c r="DG470">
        <f ca="1"/>
      </c>
      <c r="DH470">
        <f ca="1"/>
      </c>
      <c r="DI470">
        <f ca="1"/>
      </c>
      <c r="DJ470">
        <f ca="1"/>
      </c>
      <c r="DK470">
        <f ca="1"/>
      </c>
      <c r="DL470">
        <f ca="1"/>
      </c>
      <c r="DM470">
        <f ca="1"/>
      </c>
      <c r="DN470">
        <f ca="1"/>
      </c>
      <c r="DO470">
        <f ca="1"/>
      </c>
      <c r="DP470">
        <f ca="1"/>
      </c>
      <c r="DQ470">
        <f ca="1"/>
      </c>
      <c r="DR470">
        <f ca="1"/>
      </c>
      <c r="DS470">
        <f ca="1"/>
      </c>
      <c r="DT470">
        <f ca="1"/>
      </c>
      <c r="DU470">
        <f ca="1"/>
      </c>
      <c r="DV470">
        <f ca="1"/>
      </c>
      <c r="DW470">
        <f ca="1"/>
      </c>
      <c r="DX470">
        <f ca="1"/>
      </c>
      <c r="DY470">
        <f ca="1"/>
      </c>
      <c r="DZ470">
        <f ca="1"/>
      </c>
      <c r="EA470">
        <f ca="1"/>
      </c>
      <c r="EB470">
        <f ca="1"/>
      </c>
      <c r="EC470">
        <f ca="1"/>
      </c>
      <c r="ED470">
        <f ca="1"/>
      </c>
      <c r="EE470">
        <f ca="1"/>
      </c>
      <c r="EF470">
        <f ca="1"/>
      </c>
      <c r="EG470">
        <f ca="1"/>
      </c>
      <c r="EH470">
        <f ca="1"/>
      </c>
      <c r="EI470">
        <f ca="1"/>
      </c>
      <c r="EJ470">
        <f ca="1"/>
      </c>
      <c r="EK470">
        <f ca="1"/>
      </c>
      <c r="EL470">
        <f ca="1"/>
      </c>
      <c r="EM470">
        <f ca="1"/>
      </c>
      <c r="EN470">
        <f ca="1"/>
      </c>
      <c r="EO470">
        <f ca="1"/>
      </c>
      <c r="EP470">
        <f ca="1"/>
      </c>
      <c r="EQ470">
        <f ca="1"/>
      </c>
      <c r="ER470">
        <f ca="1"/>
      </c>
      <c r="ES470">
        <f ca="1"/>
      </c>
      <c r="ET470">
        <f ca="1"/>
      </c>
      <c r="EU470">
        <f ca="1"/>
      </c>
      <c r="EV470">
        <f ca="1"/>
      </c>
      <c r="EW470">
        <f ca="1"/>
      </c>
      <c r="EX470">
        <f ca="1"/>
      </c>
      <c r="EY470">
        <f ca="1"/>
      </c>
      <c r="EZ470">
        <f ca="1"/>
      </c>
      <c r="FA470">
        <f ca="1"/>
      </c>
      <c r="FC470">
        <f ca="1"/>
      </c>
      <c r="FD470">
        <f ca="1"/>
      </c>
      <c r="FE470">
        <f ca="1"/>
      </c>
      <c r="FF470">
        <f ca="1"/>
      </c>
      <c r="FG470">
        <f ca="1"/>
      </c>
      <c r="FH470">
        <f ca="1"/>
      </c>
      <c r="FI470">
        <f ca="1"/>
      </c>
      <c r="FJ470">
        <f ca="1"/>
      </c>
      <c r="FK470">
        <f ca="1"/>
      </c>
      <c r="FL470">
        <f ca="1"/>
      </c>
      <c r="FM470">
        <f ca="1"/>
      </c>
      <c r="FN470">
        <f ca="1"/>
      </c>
      <c r="FO470">
        <f ca="1"/>
      </c>
      <c r="FP470">
        <f ca="1"/>
      </c>
      <c r="FQ470">
        <f ca="1"/>
      </c>
      <c r="FR470">
        <f ca="1"/>
      </c>
      <c r="FS470">
        <f ca="1"/>
      </c>
      <c r="FT470">
        <f ca="1"/>
      </c>
      <c r="FU470">
        <f ca="1"/>
      </c>
      <c r="FV470">
        <f ca="1"/>
      </c>
      <c r="FW470">
        <f ca="1"/>
      </c>
      <c r="FX470">
        <f ca="1"/>
      </c>
      <c r="FY470">
        <f ca="1"/>
      </c>
      <c r="FZ470">
        <f ca="1"/>
      </c>
      <c r="GA470">
        <f ca="1"/>
      </c>
      <c r="GB470">
        <f ca="1"/>
      </c>
      <c r="GC470">
        <f ca="1"/>
      </c>
      <c r="GD470">
        <f ca="1"/>
      </c>
      <c r="GE470">
        <f ca="1"/>
      </c>
      <c r="GF470">
        <f ca="1"/>
      </c>
      <c r="GG470">
        <f ca="1"/>
      </c>
      <c r="GH470">
        <f ca="1"/>
      </c>
      <c r="GI470">
        <f ca="1"/>
      </c>
      <c r="GJ470">
        <f ca="1"/>
      </c>
      <c r="GK470">
        <f ca="1"/>
      </c>
      <c r="GL470">
        <f ca="1"/>
      </c>
      <c r="GM470">
        <f ca="1"/>
      </c>
      <c r="GN470">
        <f ca="1"/>
      </c>
      <c r="GO470">
        <f ca="1"/>
      </c>
      <c r="GP470">
        <f ca="1"/>
      </c>
      <c r="GQ470">
        <f ca="1"/>
      </c>
      <c r="GR470">
        <f ca="1"/>
      </c>
      <c r="GS470">
        <f ca="1"/>
      </c>
      <c r="GT470">
        <f ca="1"/>
      </c>
      <c r="GU470">
        <f ca="1"/>
      </c>
      <c r="GV470">
        <f ca="1"/>
      </c>
      <c r="GW470">
        <f ca="1"/>
      </c>
      <c r="HI470" s="7"/>
    </row>
    <row r="471" spans="63:217" x14ac:dyDescent="0.55000000000000004">
      <c r="BK471">
        <f ca="1"/>
      </c>
      <c r="BL471">
        <f ca="1"/>
      </c>
      <c r="BM471">
        <f ca="1"/>
      </c>
      <c r="BN471">
        <f ca="1"/>
      </c>
      <c r="BO471">
        <f ca="1"/>
      </c>
      <c r="BP471">
        <f ca="1"/>
      </c>
      <c r="BQ471">
        <f ca="1"/>
      </c>
      <c r="BR471">
        <f ca="1"/>
      </c>
      <c r="BS471">
        <f ca="1"/>
      </c>
      <c r="BT471">
        <f ca="1"/>
      </c>
      <c r="BU471">
        <f ca="1"/>
      </c>
      <c r="BV471">
        <f ca="1"/>
      </c>
      <c r="BW471">
        <f ca="1"/>
      </c>
      <c r="BX471">
        <f ca="1"/>
      </c>
      <c r="BY471">
        <f ca="1"/>
      </c>
      <c r="BZ471">
        <f ca="1"/>
      </c>
      <c r="CA471">
        <f ca="1"/>
      </c>
      <c r="CB471">
        <f ca="1"/>
      </c>
      <c r="CC471">
        <f ca="1"/>
      </c>
      <c r="CD471">
        <f ca="1"/>
      </c>
      <c r="CE471">
        <f ca="1"/>
      </c>
      <c r="CF471">
        <f ca="1"/>
      </c>
      <c r="CG471">
        <f ca="1"/>
      </c>
      <c r="CH471">
        <f ca="1"/>
      </c>
      <c r="CI471">
        <f ca="1"/>
      </c>
      <c r="CJ471">
        <f ca="1"/>
      </c>
      <c r="CK471">
        <f ca="1"/>
      </c>
      <c r="CL471">
        <f ca="1"/>
      </c>
      <c r="CM471">
        <f ca="1"/>
      </c>
      <c r="CN471">
        <f ca="1"/>
      </c>
      <c r="CO471">
        <f ca="1"/>
      </c>
      <c r="CP471">
        <f ca="1"/>
      </c>
      <c r="CQ471">
        <f ca="1"/>
      </c>
      <c r="CR471">
        <f ca="1"/>
      </c>
      <c r="CS471">
        <f ca="1"/>
      </c>
      <c r="CT471">
        <f ca="1"/>
      </c>
      <c r="CU471">
        <f ca="1"/>
      </c>
      <c r="CV471">
        <f ca="1"/>
      </c>
      <c r="CW471">
        <f ca="1"/>
      </c>
      <c r="CX471">
        <f ca="1"/>
      </c>
      <c r="CY471">
        <f ca="1"/>
      </c>
      <c r="CZ471">
        <f ca="1"/>
      </c>
      <c r="DA471">
        <f ca="1"/>
      </c>
      <c r="DB471">
        <f ca="1"/>
      </c>
      <c r="DC471">
        <f ca="1"/>
      </c>
      <c r="DD471">
        <f ca="1"/>
      </c>
      <c r="DE471">
        <f ca="1"/>
      </c>
      <c r="DG471">
        <f ca="1"/>
      </c>
      <c r="DH471">
        <f ca="1"/>
      </c>
      <c r="DI471">
        <f ca="1"/>
      </c>
      <c r="DJ471">
        <f ca="1"/>
      </c>
      <c r="DK471">
        <f ca="1"/>
      </c>
      <c r="DL471">
        <f ca="1"/>
      </c>
      <c r="DM471">
        <f ca="1"/>
      </c>
      <c r="DN471">
        <f ca="1"/>
      </c>
      <c r="DO471">
        <f ca="1"/>
      </c>
      <c r="DP471">
        <f ca="1"/>
      </c>
      <c r="DQ471">
        <f ca="1"/>
      </c>
      <c r="DR471">
        <f ca="1"/>
      </c>
      <c r="DS471">
        <f ca="1"/>
      </c>
      <c r="DT471">
        <f ca="1"/>
      </c>
      <c r="DU471">
        <f ca="1"/>
      </c>
      <c r="DV471">
        <f ca="1"/>
      </c>
      <c r="DW471">
        <f ca="1"/>
      </c>
      <c r="DX471">
        <f ca="1"/>
      </c>
      <c r="DY471">
        <f ca="1"/>
      </c>
      <c r="DZ471">
        <f ca="1"/>
      </c>
      <c r="EA471">
        <f ca="1"/>
      </c>
      <c r="EB471">
        <f ca="1"/>
      </c>
      <c r="EC471">
        <f ca="1"/>
      </c>
      <c r="ED471">
        <f ca="1"/>
      </c>
      <c r="EE471">
        <f ca="1"/>
      </c>
      <c r="EF471">
        <f ca="1"/>
      </c>
      <c r="EG471">
        <f ca="1"/>
      </c>
      <c r="EH471">
        <f ca="1"/>
      </c>
      <c r="EI471">
        <f ca="1"/>
      </c>
      <c r="EJ471">
        <f ca="1"/>
      </c>
      <c r="EK471">
        <f ca="1"/>
      </c>
      <c r="EL471">
        <f ca="1"/>
      </c>
      <c r="EM471">
        <f ca="1"/>
      </c>
      <c r="EN471">
        <f ca="1"/>
      </c>
      <c r="EO471">
        <f ca="1"/>
      </c>
      <c r="EP471">
        <f ca="1"/>
      </c>
      <c r="EQ471">
        <f ca="1"/>
      </c>
      <c r="ER471">
        <f ca="1"/>
      </c>
      <c r="ES471">
        <f ca="1"/>
      </c>
      <c r="ET471">
        <f ca="1"/>
      </c>
      <c r="EU471">
        <f ca="1"/>
      </c>
      <c r="EV471">
        <f ca="1"/>
      </c>
      <c r="EW471">
        <f ca="1"/>
      </c>
      <c r="EX471">
        <f ca="1"/>
      </c>
      <c r="EY471">
        <f ca="1"/>
      </c>
      <c r="EZ471">
        <f ca="1"/>
      </c>
      <c r="FA471">
        <f ca="1"/>
      </c>
      <c r="FC471">
        <f ca="1"/>
      </c>
      <c r="FD471">
        <f ca="1"/>
      </c>
      <c r="FE471">
        <f ca="1"/>
      </c>
      <c r="FF471">
        <f ca="1"/>
      </c>
      <c r="FG471">
        <f ca="1"/>
      </c>
      <c r="FH471">
        <f ca="1"/>
      </c>
      <c r="FI471">
        <f ca="1"/>
      </c>
      <c r="FJ471">
        <f ca="1"/>
      </c>
      <c r="FK471">
        <f ca="1"/>
      </c>
      <c r="FL471">
        <f ca="1"/>
      </c>
      <c r="FM471">
        <f ca="1"/>
      </c>
      <c r="FN471">
        <f ca="1"/>
      </c>
      <c r="FO471">
        <f ca="1"/>
      </c>
      <c r="FP471">
        <f ca="1"/>
      </c>
      <c r="FQ471">
        <f ca="1"/>
      </c>
      <c r="FR471">
        <f ca="1"/>
      </c>
      <c r="FS471">
        <f ca="1"/>
      </c>
      <c r="FT471">
        <f ca="1"/>
      </c>
      <c r="FU471">
        <f ca="1"/>
      </c>
      <c r="FV471">
        <f ca="1"/>
      </c>
      <c r="FW471">
        <f ca="1"/>
      </c>
      <c r="FX471">
        <f ca="1"/>
      </c>
      <c r="FY471">
        <f ca="1"/>
      </c>
      <c r="FZ471">
        <f ca="1"/>
      </c>
      <c r="GA471">
        <f ca="1"/>
      </c>
      <c r="GB471">
        <f ca="1"/>
      </c>
      <c r="GC471">
        <f ca="1"/>
      </c>
      <c r="GD471">
        <f ca="1"/>
      </c>
      <c r="GE471">
        <f ca="1"/>
      </c>
      <c r="GF471">
        <f ca="1"/>
      </c>
      <c r="GG471">
        <f ca="1"/>
      </c>
      <c r="GH471">
        <f ca="1"/>
      </c>
      <c r="GI471">
        <f ca="1"/>
      </c>
      <c r="GJ471">
        <f ca="1"/>
      </c>
      <c r="GK471">
        <f ca="1"/>
      </c>
      <c r="GL471">
        <f ca="1"/>
      </c>
      <c r="GM471">
        <f ca="1"/>
      </c>
      <c r="GN471">
        <f ca="1"/>
      </c>
      <c r="GO471">
        <f ca="1"/>
      </c>
      <c r="GP471">
        <f ca="1"/>
      </c>
      <c r="GQ471">
        <f ca="1"/>
      </c>
      <c r="GR471">
        <f ca="1"/>
      </c>
      <c r="GS471">
        <f ca="1"/>
      </c>
      <c r="GT471">
        <f ca="1"/>
      </c>
      <c r="GU471">
        <f ca="1"/>
      </c>
      <c r="GV471">
        <f ca="1"/>
      </c>
      <c r="GW471">
        <f ca="1"/>
      </c>
      <c r="HI471" s="7"/>
    </row>
    <row r="472" spans="63:217" x14ac:dyDescent="0.55000000000000004">
      <c r="BK472">
        <f ca="1"/>
      </c>
      <c r="BL472">
        <f ca="1"/>
      </c>
      <c r="BM472">
        <f ca="1"/>
      </c>
      <c r="BN472">
        <f ca="1"/>
      </c>
      <c r="BO472">
        <f ca="1"/>
      </c>
      <c r="BP472">
        <f ca="1"/>
      </c>
      <c r="BQ472">
        <f ca="1"/>
      </c>
      <c r="BR472">
        <f ca="1"/>
      </c>
      <c r="BS472">
        <f ca="1"/>
      </c>
      <c r="BT472">
        <f ca="1"/>
      </c>
      <c r="BU472">
        <f ca="1"/>
      </c>
      <c r="BV472">
        <f ca="1"/>
      </c>
      <c r="BW472">
        <f ca="1"/>
      </c>
      <c r="BX472">
        <f ca="1"/>
      </c>
      <c r="BY472">
        <f ca="1"/>
      </c>
      <c r="BZ472">
        <f ca="1"/>
      </c>
      <c r="CA472">
        <f ca="1"/>
      </c>
      <c r="CB472">
        <f ca="1"/>
      </c>
      <c r="CC472">
        <f ca="1"/>
      </c>
      <c r="CD472">
        <f ca="1"/>
      </c>
      <c r="CE472">
        <f ca="1"/>
      </c>
      <c r="CF472">
        <f ca="1"/>
      </c>
      <c r="CG472">
        <f ca="1"/>
      </c>
      <c r="CH472">
        <f ca="1"/>
      </c>
      <c r="CI472">
        <f ca="1"/>
      </c>
      <c r="CJ472">
        <f ca="1"/>
      </c>
      <c r="CK472">
        <f ca="1"/>
      </c>
      <c r="CL472">
        <f ca="1"/>
      </c>
      <c r="CM472">
        <f ca="1"/>
      </c>
      <c r="CN472">
        <f ca="1"/>
      </c>
      <c r="CO472">
        <f ca="1"/>
      </c>
      <c r="CP472">
        <f ca="1"/>
      </c>
      <c r="CQ472">
        <f ca="1"/>
      </c>
      <c r="CR472">
        <f ca="1"/>
      </c>
      <c r="CS472">
        <f ca="1"/>
      </c>
      <c r="CT472">
        <f ca="1"/>
      </c>
      <c r="CU472">
        <f ca="1"/>
      </c>
      <c r="CV472">
        <f ca="1"/>
      </c>
      <c r="CW472">
        <f ca="1"/>
      </c>
      <c r="CX472">
        <f ca="1"/>
      </c>
      <c r="CY472">
        <f ca="1"/>
      </c>
      <c r="CZ472">
        <f ca="1"/>
      </c>
      <c r="DA472">
        <f ca="1"/>
      </c>
      <c r="DB472">
        <f ca="1"/>
      </c>
      <c r="DC472">
        <f ca="1"/>
      </c>
      <c r="DD472">
        <f ca="1"/>
      </c>
      <c r="DE472">
        <f ca="1"/>
      </c>
      <c r="DG472">
        <f ca="1"/>
      </c>
      <c r="DH472">
        <f ca="1"/>
      </c>
      <c r="DI472">
        <f ca="1"/>
      </c>
      <c r="DJ472">
        <f ca="1"/>
      </c>
      <c r="DK472">
        <f ca="1"/>
      </c>
      <c r="DL472">
        <f ca="1"/>
      </c>
      <c r="DM472">
        <f ca="1"/>
      </c>
      <c r="DN472">
        <f ca="1"/>
      </c>
      <c r="DO472">
        <f ca="1"/>
      </c>
      <c r="DP472">
        <f ca="1"/>
      </c>
      <c r="DQ472">
        <f ca="1"/>
      </c>
      <c r="DR472">
        <f ca="1"/>
      </c>
      <c r="DS472">
        <f ca="1"/>
      </c>
      <c r="DT472">
        <f ca="1"/>
      </c>
      <c r="DU472">
        <f ca="1"/>
      </c>
      <c r="DV472">
        <f ca="1"/>
      </c>
      <c r="DW472">
        <f ca="1"/>
      </c>
      <c r="DX472">
        <f ca="1"/>
      </c>
      <c r="DY472">
        <f ca="1"/>
      </c>
      <c r="DZ472">
        <f ca="1"/>
      </c>
      <c r="EA472">
        <f ca="1"/>
      </c>
      <c r="EB472">
        <f ca="1"/>
      </c>
      <c r="EC472">
        <f ca="1"/>
      </c>
      <c r="ED472">
        <f ca="1"/>
      </c>
      <c r="EE472">
        <f ca="1"/>
      </c>
      <c r="EF472">
        <f ca="1"/>
      </c>
      <c r="EG472">
        <f ca="1"/>
      </c>
      <c r="EH472">
        <f ca="1"/>
      </c>
      <c r="EI472">
        <f ca="1"/>
      </c>
      <c r="EJ472">
        <f ca="1"/>
      </c>
      <c r="EK472">
        <f ca="1"/>
      </c>
      <c r="EL472">
        <f ca="1"/>
      </c>
      <c r="EM472">
        <f ca="1"/>
      </c>
      <c r="EN472">
        <f ca="1"/>
      </c>
      <c r="EO472">
        <f ca="1"/>
      </c>
      <c r="EP472">
        <f ca="1"/>
      </c>
      <c r="EQ472">
        <f ca="1"/>
      </c>
      <c r="ER472">
        <f ca="1"/>
      </c>
      <c r="ES472">
        <f ca="1"/>
      </c>
      <c r="ET472">
        <f ca="1"/>
      </c>
      <c r="EU472">
        <f ca="1"/>
      </c>
      <c r="EV472">
        <f ca="1"/>
      </c>
      <c r="EW472">
        <f ca="1"/>
      </c>
      <c r="EX472">
        <f ca="1"/>
      </c>
      <c r="EY472">
        <f ca="1"/>
      </c>
      <c r="EZ472">
        <f ca="1"/>
      </c>
      <c r="FA472">
        <f ca="1"/>
      </c>
      <c r="FC472">
        <f ca="1"/>
      </c>
      <c r="FD472">
        <f ca="1"/>
      </c>
      <c r="FE472">
        <f ca="1"/>
      </c>
      <c r="FF472">
        <f ca="1"/>
      </c>
      <c r="FG472">
        <f ca="1"/>
      </c>
      <c r="FH472">
        <f ca="1"/>
      </c>
      <c r="FI472">
        <f ca="1"/>
      </c>
      <c r="FJ472">
        <f ca="1"/>
      </c>
      <c r="FK472">
        <f ca="1"/>
      </c>
      <c r="FL472">
        <f ca="1"/>
      </c>
      <c r="FM472">
        <f ca="1"/>
      </c>
      <c r="FN472">
        <f ca="1"/>
      </c>
      <c r="FO472">
        <f ca="1"/>
      </c>
      <c r="FP472">
        <f ca="1"/>
      </c>
      <c r="FQ472">
        <f ca="1"/>
      </c>
      <c r="FR472">
        <f ca="1"/>
      </c>
      <c r="FS472">
        <f ca="1"/>
      </c>
      <c r="FT472">
        <f ca="1"/>
      </c>
      <c r="FU472">
        <f ca="1"/>
      </c>
      <c r="FV472">
        <f ca="1"/>
      </c>
      <c r="FW472">
        <f ca="1"/>
      </c>
      <c r="FX472">
        <f ca="1"/>
      </c>
      <c r="FY472">
        <f ca="1"/>
      </c>
      <c r="FZ472">
        <f ca="1"/>
      </c>
      <c r="GA472">
        <f ca="1"/>
      </c>
      <c r="GB472">
        <f ca="1"/>
      </c>
      <c r="GC472">
        <f ca="1"/>
      </c>
      <c r="GD472">
        <f ca="1"/>
      </c>
      <c r="GE472">
        <f ca="1"/>
      </c>
      <c r="GF472">
        <f ca="1"/>
      </c>
      <c r="GG472">
        <f ca="1"/>
      </c>
      <c r="GH472">
        <f ca="1"/>
      </c>
      <c r="GI472">
        <f ca="1"/>
      </c>
      <c r="GJ472">
        <f ca="1"/>
      </c>
      <c r="GK472">
        <f ca="1"/>
      </c>
      <c r="GL472">
        <f ca="1"/>
      </c>
      <c r="GM472">
        <f ca="1"/>
      </c>
      <c r="GN472">
        <f ca="1"/>
      </c>
      <c r="GO472">
        <f ca="1"/>
      </c>
      <c r="GP472">
        <f ca="1"/>
      </c>
      <c r="GQ472">
        <f ca="1"/>
      </c>
      <c r="GR472">
        <f ca="1"/>
      </c>
      <c r="GS472">
        <f ca="1"/>
      </c>
      <c r="GT472">
        <f ca="1"/>
      </c>
      <c r="GU472">
        <f ca="1"/>
      </c>
      <c r="GV472">
        <f ca="1"/>
      </c>
      <c r="GW472">
        <f ca="1"/>
      </c>
      <c r="HI472" s="7"/>
    </row>
    <row r="473" spans="63:217" x14ac:dyDescent="0.55000000000000004">
      <c r="BK473">
        <f ca="1"/>
      </c>
      <c r="BL473">
        <f ca="1"/>
      </c>
      <c r="BM473">
        <f ca="1"/>
      </c>
      <c r="BN473">
        <f ca="1"/>
      </c>
      <c r="BO473">
        <f ca="1"/>
      </c>
      <c r="BP473">
        <f ca="1"/>
      </c>
      <c r="BQ473">
        <f ca="1"/>
      </c>
      <c r="BR473">
        <f ca="1"/>
      </c>
      <c r="BS473">
        <f ca="1"/>
      </c>
      <c r="BT473">
        <f ca="1"/>
      </c>
      <c r="BU473">
        <f ca="1"/>
      </c>
      <c r="BV473">
        <f ca="1"/>
      </c>
      <c r="BW473">
        <f ca="1"/>
      </c>
      <c r="BX473">
        <f ca="1"/>
      </c>
      <c r="BY473">
        <f ca="1"/>
      </c>
      <c r="BZ473">
        <f ca="1"/>
      </c>
      <c r="CA473">
        <f ca="1"/>
      </c>
      <c r="CB473">
        <f ca="1"/>
      </c>
      <c r="CC473">
        <f ca="1"/>
      </c>
      <c r="CD473">
        <f ca="1"/>
      </c>
      <c r="CE473">
        <f ca="1"/>
      </c>
      <c r="CF473">
        <f ca="1"/>
      </c>
      <c r="CG473">
        <f ca="1"/>
      </c>
      <c r="CH473">
        <f ca="1"/>
      </c>
      <c r="CI473">
        <f ca="1"/>
      </c>
      <c r="CJ473">
        <f ca="1"/>
      </c>
      <c r="CK473">
        <f ca="1"/>
      </c>
      <c r="CL473">
        <f ca="1"/>
      </c>
      <c r="CM473">
        <f ca="1"/>
      </c>
      <c r="CN473">
        <f ca="1"/>
      </c>
      <c r="CO473">
        <f ca="1"/>
      </c>
      <c r="CP473">
        <f ca="1"/>
      </c>
      <c r="CQ473">
        <f ca="1"/>
      </c>
      <c r="CR473">
        <f ca="1"/>
      </c>
      <c r="CS473">
        <f ca="1"/>
      </c>
      <c r="CT473">
        <f ca="1"/>
      </c>
      <c r="CU473">
        <f ca="1"/>
      </c>
      <c r="CV473">
        <f ca="1"/>
      </c>
      <c r="CW473">
        <f ca="1"/>
      </c>
      <c r="CX473">
        <f ca="1"/>
      </c>
      <c r="CY473">
        <f ca="1"/>
      </c>
      <c r="CZ473">
        <f ca="1"/>
      </c>
      <c r="DA473">
        <f ca="1"/>
      </c>
      <c r="DB473">
        <f ca="1"/>
      </c>
      <c r="DC473">
        <f ca="1"/>
      </c>
      <c r="DD473">
        <f ca="1"/>
      </c>
      <c r="DE473">
        <f ca="1"/>
      </c>
      <c r="DG473">
        <f ca="1"/>
      </c>
      <c r="DH473">
        <f ca="1"/>
      </c>
      <c r="DI473">
        <f ca="1"/>
      </c>
      <c r="DJ473">
        <f ca="1"/>
      </c>
      <c r="DK473">
        <f ca="1"/>
      </c>
      <c r="DL473">
        <f ca="1"/>
      </c>
      <c r="DM473">
        <f ca="1"/>
      </c>
      <c r="DN473">
        <f ca="1"/>
      </c>
      <c r="DO473">
        <f ca="1"/>
      </c>
      <c r="DP473">
        <f ca="1"/>
      </c>
      <c r="DQ473">
        <f ca="1"/>
      </c>
      <c r="DR473">
        <f ca="1"/>
      </c>
      <c r="DS473">
        <f ca="1"/>
      </c>
      <c r="DT473">
        <f ca="1"/>
      </c>
      <c r="DU473">
        <f ca="1"/>
      </c>
      <c r="DV473">
        <f ca="1"/>
      </c>
      <c r="DW473">
        <f ca="1"/>
      </c>
      <c r="DX473">
        <f ca="1"/>
      </c>
      <c r="DY473">
        <f ca="1"/>
      </c>
      <c r="DZ473">
        <f ca="1"/>
      </c>
      <c r="EA473">
        <f ca="1"/>
      </c>
      <c r="EB473">
        <f ca="1"/>
      </c>
      <c r="EC473">
        <f ca="1"/>
      </c>
      <c r="ED473">
        <f ca="1"/>
      </c>
      <c r="EE473">
        <f ca="1"/>
      </c>
      <c r="EF473">
        <f ca="1"/>
      </c>
      <c r="EG473">
        <f ca="1"/>
      </c>
      <c r="EH473">
        <f ca="1"/>
      </c>
      <c r="EI473">
        <f ca="1"/>
      </c>
      <c r="EJ473">
        <f ca="1"/>
      </c>
      <c r="EK473">
        <f ca="1"/>
      </c>
      <c r="EL473">
        <f ca="1"/>
      </c>
      <c r="EM473">
        <f ca="1"/>
      </c>
      <c r="EN473">
        <f ca="1"/>
      </c>
      <c r="EO473">
        <f ca="1"/>
      </c>
      <c r="EP473">
        <f ca="1"/>
      </c>
      <c r="EQ473">
        <f ca="1"/>
      </c>
      <c r="ER473">
        <f ca="1"/>
      </c>
      <c r="ES473">
        <f ca="1"/>
      </c>
      <c r="ET473">
        <f ca="1"/>
      </c>
      <c r="EU473">
        <f ca="1"/>
      </c>
      <c r="EV473">
        <f ca="1"/>
      </c>
      <c r="EW473">
        <f ca="1"/>
      </c>
      <c r="EX473">
        <f ca="1"/>
      </c>
      <c r="EY473">
        <f ca="1"/>
      </c>
      <c r="EZ473">
        <f ca="1"/>
      </c>
      <c r="FA473">
        <f ca="1"/>
      </c>
      <c r="FC473">
        <f ca="1"/>
      </c>
      <c r="FD473">
        <f ca="1"/>
      </c>
      <c r="FE473">
        <f ca="1"/>
      </c>
      <c r="FF473">
        <f ca="1"/>
      </c>
      <c r="FG473">
        <f ca="1"/>
      </c>
      <c r="FH473">
        <f ca="1"/>
      </c>
      <c r="FI473">
        <f ca="1"/>
      </c>
      <c r="FJ473">
        <f ca="1"/>
      </c>
      <c r="FK473">
        <f ca="1"/>
      </c>
      <c r="FL473">
        <f ca="1"/>
      </c>
      <c r="FM473">
        <f ca="1"/>
      </c>
      <c r="FN473">
        <f ca="1"/>
      </c>
      <c r="FO473">
        <f ca="1"/>
      </c>
      <c r="FP473">
        <f ca="1"/>
      </c>
      <c r="FQ473">
        <f ca="1"/>
      </c>
      <c r="FR473">
        <f ca="1"/>
      </c>
      <c r="FS473">
        <f ca="1"/>
      </c>
      <c r="FT473">
        <f ca="1"/>
      </c>
      <c r="FU473">
        <f ca="1"/>
      </c>
      <c r="FV473">
        <f ca="1"/>
      </c>
      <c r="FW473">
        <f ca="1"/>
      </c>
      <c r="FX473">
        <f ca="1"/>
      </c>
      <c r="FY473">
        <f ca="1"/>
      </c>
      <c r="FZ473">
        <f ca="1"/>
      </c>
      <c r="GA473">
        <f ca="1"/>
      </c>
      <c r="GB473">
        <f ca="1"/>
      </c>
      <c r="GC473">
        <f ca="1"/>
      </c>
      <c r="GD473">
        <f ca="1"/>
      </c>
      <c r="GE473">
        <f ca="1"/>
      </c>
      <c r="GF473">
        <f ca="1"/>
      </c>
      <c r="GG473">
        <f ca="1"/>
      </c>
      <c r="GH473">
        <f ca="1"/>
      </c>
      <c r="GI473">
        <f ca="1"/>
      </c>
      <c r="GJ473">
        <f ca="1"/>
      </c>
      <c r="GK473">
        <f ca="1"/>
      </c>
      <c r="GL473">
        <f ca="1"/>
      </c>
      <c r="GM473">
        <f ca="1"/>
      </c>
      <c r="GN473">
        <f ca="1"/>
      </c>
      <c r="GO473">
        <f ca="1"/>
      </c>
      <c r="GP473">
        <f ca="1"/>
      </c>
      <c r="GQ473">
        <f ca="1"/>
      </c>
      <c r="GR473">
        <f ca="1"/>
      </c>
      <c r="GS473">
        <f ca="1"/>
      </c>
      <c r="GT473">
        <f ca="1"/>
      </c>
      <c r="GU473">
        <f ca="1"/>
      </c>
      <c r="GV473">
        <f ca="1"/>
      </c>
      <c r="GW473">
        <f ca="1"/>
      </c>
      <c r="HI473" s="7"/>
    </row>
    <row r="474" spans="63:217" x14ac:dyDescent="0.55000000000000004">
      <c r="BK474">
        <f ca="1"/>
      </c>
      <c r="BL474">
        <f ca="1"/>
      </c>
      <c r="BM474">
        <f ca="1"/>
      </c>
      <c r="BN474">
        <f ca="1"/>
      </c>
      <c r="BO474">
        <f ca="1"/>
      </c>
      <c r="BP474">
        <f ca="1"/>
      </c>
      <c r="BQ474">
        <f ca="1"/>
      </c>
      <c r="BR474">
        <f ca="1"/>
      </c>
      <c r="BS474">
        <f ca="1"/>
      </c>
      <c r="BT474">
        <f ca="1"/>
      </c>
      <c r="BU474">
        <f ca="1"/>
      </c>
      <c r="BV474">
        <f ca="1"/>
      </c>
      <c r="BW474">
        <f ca="1"/>
      </c>
      <c r="BX474">
        <f ca="1"/>
      </c>
      <c r="BY474">
        <f ca="1"/>
      </c>
      <c r="BZ474">
        <f ca="1"/>
      </c>
      <c r="CA474">
        <f ca="1"/>
      </c>
      <c r="CB474">
        <f ca="1"/>
      </c>
      <c r="CC474">
        <f ca="1"/>
      </c>
      <c r="CD474">
        <f ca="1"/>
      </c>
      <c r="CE474">
        <f ca="1"/>
      </c>
      <c r="CF474">
        <f ca="1"/>
      </c>
      <c r="CG474">
        <f ca="1"/>
      </c>
      <c r="CH474">
        <f ca="1"/>
      </c>
      <c r="CI474">
        <f ca="1"/>
      </c>
      <c r="CJ474">
        <f ca="1"/>
      </c>
      <c r="CK474">
        <f ca="1"/>
      </c>
      <c r="CL474">
        <f ca="1"/>
      </c>
      <c r="CM474">
        <f ca="1"/>
      </c>
      <c r="CN474">
        <f ca="1"/>
      </c>
      <c r="CO474">
        <f ca="1"/>
      </c>
      <c r="CP474">
        <f ca="1"/>
      </c>
      <c r="CQ474">
        <f ca="1"/>
      </c>
      <c r="CR474">
        <f ca="1"/>
      </c>
      <c r="CS474">
        <f ca="1"/>
      </c>
      <c r="CT474">
        <f ca="1"/>
      </c>
      <c r="CU474">
        <f ca="1"/>
      </c>
      <c r="CV474">
        <f ca="1"/>
      </c>
      <c r="CW474">
        <f ca="1"/>
      </c>
      <c r="CX474">
        <f ca="1"/>
      </c>
      <c r="CY474">
        <f ca="1"/>
      </c>
      <c r="CZ474">
        <f ca="1"/>
      </c>
      <c r="DA474">
        <f ca="1"/>
      </c>
      <c r="DB474">
        <f ca="1"/>
      </c>
      <c r="DC474">
        <f ca="1"/>
      </c>
      <c r="DD474">
        <f ca="1"/>
      </c>
      <c r="DE474">
        <f ca="1"/>
      </c>
      <c r="DG474">
        <f ca="1"/>
      </c>
      <c r="DH474">
        <f ca="1"/>
      </c>
      <c r="DI474">
        <f ca="1"/>
      </c>
      <c r="DJ474">
        <f ca="1"/>
      </c>
      <c r="DK474">
        <f ca="1"/>
      </c>
      <c r="DL474">
        <f ca="1"/>
      </c>
      <c r="DM474">
        <f ca="1"/>
      </c>
      <c r="DN474">
        <f ca="1"/>
      </c>
      <c r="DO474">
        <f ca="1"/>
      </c>
      <c r="DP474">
        <f ca="1"/>
      </c>
      <c r="DQ474">
        <f ca="1"/>
      </c>
      <c r="DR474">
        <f ca="1"/>
      </c>
      <c r="DS474">
        <f ca="1"/>
      </c>
      <c r="DT474">
        <f ca="1"/>
      </c>
      <c r="DU474">
        <f ca="1"/>
      </c>
      <c r="DV474">
        <f ca="1"/>
      </c>
      <c r="DW474">
        <f ca="1"/>
      </c>
      <c r="DX474">
        <f ca="1"/>
      </c>
      <c r="DY474">
        <f ca="1"/>
      </c>
      <c r="DZ474">
        <f ca="1"/>
      </c>
      <c r="EA474">
        <f ca="1"/>
      </c>
      <c r="EB474">
        <f ca="1"/>
      </c>
      <c r="EC474">
        <f ca="1"/>
      </c>
      <c r="ED474">
        <f ca="1"/>
      </c>
      <c r="EE474">
        <f ca="1"/>
      </c>
      <c r="EF474">
        <f ca="1"/>
      </c>
      <c r="EG474">
        <f ca="1"/>
      </c>
      <c r="EH474">
        <f ca="1"/>
      </c>
      <c r="EI474">
        <f ca="1"/>
      </c>
      <c r="EJ474">
        <f ca="1"/>
      </c>
      <c r="EK474">
        <f ca="1"/>
      </c>
      <c r="EL474">
        <f ca="1"/>
      </c>
      <c r="EM474">
        <f ca="1"/>
      </c>
      <c r="EN474">
        <f ca="1"/>
      </c>
      <c r="EO474">
        <f ca="1"/>
      </c>
      <c r="EP474">
        <f ca="1"/>
      </c>
      <c r="EQ474">
        <f ca="1"/>
      </c>
      <c r="ER474">
        <f ca="1"/>
      </c>
      <c r="ES474">
        <f ca="1"/>
      </c>
      <c r="ET474">
        <f ca="1"/>
      </c>
      <c r="EU474">
        <f ca="1"/>
      </c>
      <c r="EV474">
        <f ca="1"/>
      </c>
      <c r="EW474">
        <f ca="1"/>
      </c>
      <c r="EX474">
        <f ca="1"/>
      </c>
      <c r="EY474">
        <f ca="1"/>
      </c>
      <c r="EZ474">
        <f ca="1"/>
      </c>
      <c r="FA474">
        <f ca="1"/>
      </c>
      <c r="FC474">
        <f ca="1"/>
      </c>
      <c r="FD474">
        <f ca="1"/>
      </c>
      <c r="FE474">
        <f ca="1"/>
      </c>
      <c r="FF474">
        <f ca="1"/>
      </c>
      <c r="FG474">
        <f ca="1"/>
      </c>
      <c r="FH474">
        <f ca="1"/>
      </c>
      <c r="FI474">
        <f ca="1"/>
      </c>
      <c r="FJ474">
        <f ca="1"/>
      </c>
      <c r="FK474">
        <f ca="1"/>
      </c>
      <c r="FL474">
        <f ca="1"/>
      </c>
      <c r="FM474">
        <f ca="1"/>
      </c>
      <c r="FN474">
        <f ca="1"/>
      </c>
      <c r="FO474">
        <f ca="1"/>
      </c>
      <c r="FP474">
        <f ca="1"/>
      </c>
      <c r="FQ474">
        <f ca="1"/>
      </c>
      <c r="FR474">
        <f ca="1"/>
      </c>
      <c r="FS474">
        <f ca="1"/>
      </c>
      <c r="FT474">
        <f ca="1"/>
      </c>
      <c r="FU474">
        <f ca="1"/>
      </c>
      <c r="FV474">
        <f ca="1"/>
      </c>
      <c r="FW474">
        <f ca="1"/>
      </c>
      <c r="FX474">
        <f ca="1"/>
      </c>
      <c r="FY474">
        <f ca="1"/>
      </c>
      <c r="FZ474">
        <f ca="1"/>
      </c>
      <c r="GA474">
        <f ca="1"/>
      </c>
      <c r="GB474">
        <f ca="1"/>
      </c>
      <c r="GC474">
        <f ca="1"/>
      </c>
      <c r="GD474">
        <f ca="1"/>
      </c>
      <c r="GE474">
        <f ca="1"/>
      </c>
      <c r="GF474">
        <f ca="1"/>
      </c>
      <c r="GG474">
        <f ca="1"/>
      </c>
      <c r="GH474">
        <f ca="1"/>
      </c>
      <c r="GI474">
        <f ca="1"/>
      </c>
      <c r="GJ474">
        <f ca="1"/>
      </c>
      <c r="GK474">
        <f ca="1"/>
      </c>
      <c r="GL474">
        <f ca="1"/>
      </c>
      <c r="GM474">
        <f ca="1"/>
      </c>
      <c r="GN474">
        <f ca="1"/>
      </c>
      <c r="GO474">
        <f ca="1"/>
      </c>
      <c r="GP474">
        <f ca="1"/>
      </c>
      <c r="GQ474">
        <f ca="1"/>
      </c>
      <c r="GR474">
        <f ca="1"/>
      </c>
      <c r="GS474">
        <f ca="1"/>
      </c>
      <c r="GT474">
        <f ca="1"/>
      </c>
      <c r="GU474">
        <f ca="1"/>
      </c>
      <c r="GV474">
        <f ca="1"/>
      </c>
      <c r="GW474">
        <f ca="1"/>
      </c>
      <c r="HI474" s="7"/>
    </row>
    <row r="475" spans="63:217" x14ac:dyDescent="0.55000000000000004">
      <c r="BK475">
        <f ca="1"/>
      </c>
      <c r="BL475">
        <f ca="1"/>
      </c>
      <c r="BM475">
        <f ca="1"/>
      </c>
      <c r="BN475">
        <f ca="1"/>
      </c>
      <c r="BO475">
        <f ca="1"/>
      </c>
      <c r="BP475">
        <f ca="1"/>
      </c>
      <c r="BQ475">
        <f ca="1"/>
      </c>
      <c r="BR475">
        <f ca="1"/>
      </c>
      <c r="BS475">
        <f ca="1"/>
      </c>
      <c r="BT475">
        <f ca="1"/>
      </c>
      <c r="BU475">
        <f ca="1"/>
      </c>
      <c r="BV475">
        <f ca="1"/>
      </c>
      <c r="BW475">
        <f ca="1"/>
      </c>
      <c r="BX475">
        <f ca="1"/>
      </c>
      <c r="BY475">
        <f ca="1"/>
      </c>
      <c r="BZ475">
        <f ca="1"/>
      </c>
      <c r="CA475">
        <f ca="1"/>
      </c>
      <c r="CB475">
        <f ca="1"/>
      </c>
      <c r="CC475">
        <f ca="1"/>
      </c>
      <c r="CD475">
        <f ca="1"/>
      </c>
      <c r="CE475">
        <f ca="1"/>
      </c>
      <c r="CF475">
        <f ca="1"/>
      </c>
      <c r="CG475">
        <f ca="1"/>
      </c>
      <c r="CH475">
        <f ca="1"/>
      </c>
      <c r="CI475">
        <f ca="1"/>
      </c>
      <c r="CJ475">
        <f ca="1"/>
      </c>
      <c r="CK475">
        <f ca="1"/>
      </c>
      <c r="CL475">
        <f ca="1"/>
      </c>
      <c r="CM475">
        <f ca="1"/>
      </c>
      <c r="CN475">
        <f ca="1"/>
      </c>
      <c r="CO475">
        <f ca="1"/>
      </c>
      <c r="CP475">
        <f ca="1"/>
      </c>
      <c r="CQ475">
        <f ca="1"/>
      </c>
      <c r="CR475">
        <f ca="1"/>
      </c>
      <c r="CS475">
        <f ca="1"/>
      </c>
      <c r="CT475">
        <f ca="1"/>
      </c>
      <c r="CU475">
        <f ca="1"/>
      </c>
      <c r="CV475">
        <f ca="1"/>
      </c>
      <c r="CW475">
        <f ca="1"/>
      </c>
      <c r="CX475">
        <f ca="1"/>
      </c>
      <c r="CY475">
        <f ca="1"/>
      </c>
      <c r="CZ475">
        <f ca="1"/>
      </c>
      <c r="DA475">
        <f ca="1"/>
      </c>
      <c r="DB475">
        <f ca="1"/>
      </c>
      <c r="DC475">
        <f ca="1"/>
      </c>
      <c r="DD475">
        <f ca="1"/>
      </c>
      <c r="DE475">
        <f ca="1"/>
      </c>
      <c r="DG475">
        <f ca="1"/>
      </c>
      <c r="DH475">
        <f ca="1"/>
      </c>
      <c r="DI475">
        <f ca="1"/>
      </c>
      <c r="DJ475">
        <f ca="1"/>
      </c>
      <c r="DK475">
        <f ca="1"/>
      </c>
      <c r="DL475">
        <f ca="1"/>
      </c>
      <c r="DM475">
        <f ca="1"/>
      </c>
      <c r="DN475">
        <f ca="1"/>
      </c>
      <c r="DO475">
        <f ca="1"/>
      </c>
      <c r="DP475">
        <f ca="1"/>
      </c>
      <c r="DQ475">
        <f ca="1"/>
      </c>
      <c r="DR475">
        <f ca="1"/>
      </c>
      <c r="DS475">
        <f ca="1"/>
      </c>
      <c r="DT475">
        <f ca="1"/>
      </c>
      <c r="DU475">
        <f ca="1"/>
      </c>
      <c r="DV475">
        <f ca="1"/>
      </c>
      <c r="DW475">
        <f ca="1"/>
      </c>
      <c r="DX475">
        <f ca="1"/>
      </c>
      <c r="DY475">
        <f ca="1"/>
      </c>
      <c r="DZ475">
        <f ca="1"/>
      </c>
      <c r="EA475">
        <f ca="1"/>
      </c>
      <c r="EB475">
        <f ca="1"/>
      </c>
      <c r="EC475">
        <f ca="1"/>
      </c>
      <c r="ED475">
        <f ca="1"/>
      </c>
      <c r="EE475">
        <f ca="1"/>
      </c>
      <c r="EF475">
        <f ca="1"/>
      </c>
      <c r="EG475">
        <f ca="1"/>
      </c>
      <c r="EH475">
        <f ca="1"/>
      </c>
      <c r="EI475">
        <f ca="1"/>
      </c>
      <c r="EJ475">
        <f ca="1"/>
      </c>
      <c r="EK475">
        <f ca="1"/>
      </c>
      <c r="EL475">
        <f ca="1"/>
      </c>
      <c r="EM475">
        <f ca="1"/>
      </c>
      <c r="EN475">
        <f ca="1"/>
      </c>
      <c r="EO475">
        <f ca="1"/>
      </c>
      <c r="EP475">
        <f ca="1"/>
      </c>
      <c r="EQ475">
        <f ca="1"/>
      </c>
      <c r="ER475">
        <f ca="1"/>
      </c>
      <c r="ES475">
        <f ca="1"/>
      </c>
      <c r="ET475">
        <f ca="1"/>
      </c>
      <c r="EU475">
        <f ca="1"/>
      </c>
      <c r="EV475">
        <f ca="1"/>
      </c>
      <c r="EW475">
        <f ca="1"/>
      </c>
      <c r="EX475">
        <f ca="1"/>
      </c>
      <c r="EY475">
        <f ca="1"/>
      </c>
      <c r="EZ475">
        <f ca="1"/>
      </c>
      <c r="FA475">
        <f ca="1"/>
      </c>
      <c r="FC475">
        <f ca="1"/>
      </c>
      <c r="FD475">
        <f ca="1"/>
      </c>
      <c r="FE475">
        <f ca="1"/>
      </c>
      <c r="FF475">
        <f ca="1"/>
      </c>
      <c r="FG475">
        <f ca="1"/>
      </c>
      <c r="FH475">
        <f ca="1"/>
      </c>
      <c r="FI475">
        <f ca="1"/>
      </c>
      <c r="FJ475">
        <f ca="1"/>
      </c>
      <c r="FK475">
        <f ca="1"/>
      </c>
      <c r="FL475">
        <f ca="1"/>
      </c>
      <c r="FM475">
        <f ca="1"/>
      </c>
      <c r="FN475">
        <f ca="1"/>
      </c>
      <c r="FO475">
        <f ca="1"/>
      </c>
      <c r="FP475">
        <f ca="1"/>
      </c>
      <c r="FQ475">
        <f ca="1"/>
      </c>
      <c r="FR475">
        <f ca="1"/>
      </c>
      <c r="FS475">
        <f ca="1"/>
      </c>
      <c r="FT475">
        <f ca="1"/>
      </c>
      <c r="FU475">
        <f ca="1"/>
      </c>
      <c r="FV475">
        <f ca="1"/>
      </c>
      <c r="FW475">
        <f ca="1"/>
      </c>
      <c r="FX475">
        <f ca="1"/>
      </c>
      <c r="FY475">
        <f ca="1"/>
      </c>
      <c r="FZ475">
        <f ca="1"/>
      </c>
      <c r="GA475">
        <f ca="1"/>
      </c>
      <c r="GB475">
        <f ca="1"/>
      </c>
      <c r="GC475">
        <f ca="1"/>
      </c>
      <c r="GD475">
        <f ca="1"/>
      </c>
      <c r="GE475">
        <f ca="1"/>
      </c>
      <c r="GF475">
        <f ca="1"/>
      </c>
      <c r="GG475">
        <f ca="1"/>
      </c>
      <c r="GH475">
        <f ca="1"/>
      </c>
      <c r="GI475">
        <f ca="1"/>
      </c>
      <c r="GJ475">
        <f ca="1"/>
      </c>
      <c r="GK475">
        <f ca="1"/>
      </c>
      <c r="GL475">
        <f ca="1"/>
      </c>
      <c r="GM475">
        <f ca="1"/>
      </c>
      <c r="GN475">
        <f ca="1"/>
      </c>
      <c r="GO475">
        <f ca="1"/>
      </c>
      <c r="GP475">
        <f ca="1"/>
      </c>
      <c r="GQ475">
        <f ca="1"/>
      </c>
      <c r="GR475">
        <f ca="1"/>
      </c>
      <c r="GS475">
        <f ca="1"/>
      </c>
      <c r="GT475">
        <f ca="1"/>
      </c>
      <c r="GU475">
        <f ca="1"/>
      </c>
      <c r="GV475">
        <f ca="1"/>
      </c>
      <c r="GW475">
        <f ca="1"/>
      </c>
      <c r="HI475" s="7"/>
    </row>
    <row r="476" spans="63:217" x14ac:dyDescent="0.55000000000000004">
      <c r="BK476">
        <f ca="1"/>
      </c>
      <c r="BL476">
        <f ca="1"/>
      </c>
      <c r="BM476">
        <f ca="1"/>
      </c>
      <c r="BN476">
        <f ca="1"/>
      </c>
      <c r="BO476">
        <f ca="1"/>
      </c>
      <c r="BP476">
        <f ca="1"/>
      </c>
      <c r="BQ476">
        <f ca="1"/>
      </c>
      <c r="BR476">
        <f ca="1"/>
      </c>
      <c r="BS476">
        <f ca="1"/>
      </c>
      <c r="BT476">
        <f ca="1"/>
      </c>
      <c r="BU476">
        <f ca="1"/>
      </c>
      <c r="BV476">
        <f ca="1"/>
      </c>
      <c r="BW476">
        <f ca="1"/>
      </c>
      <c r="BX476">
        <f ca="1"/>
      </c>
      <c r="BY476">
        <f ca="1"/>
      </c>
      <c r="BZ476">
        <f ca="1"/>
      </c>
      <c r="CA476">
        <f ca="1"/>
      </c>
      <c r="CB476">
        <f ca="1"/>
      </c>
      <c r="CC476">
        <f ca="1"/>
      </c>
      <c r="CD476">
        <f ca="1"/>
      </c>
      <c r="CE476">
        <f ca="1"/>
      </c>
      <c r="CF476">
        <f ca="1"/>
      </c>
      <c r="CG476">
        <f ca="1"/>
      </c>
      <c r="CH476">
        <f ca="1"/>
      </c>
      <c r="CI476">
        <f ca="1"/>
      </c>
      <c r="CJ476">
        <f ca="1"/>
      </c>
      <c r="CK476">
        <f ca="1"/>
      </c>
      <c r="CL476">
        <f ca="1"/>
      </c>
      <c r="CM476">
        <f ca="1"/>
      </c>
      <c r="CN476">
        <f ca="1"/>
      </c>
      <c r="CO476">
        <f ca="1"/>
      </c>
      <c r="CP476">
        <f ca="1"/>
      </c>
      <c r="CQ476">
        <f ca="1"/>
      </c>
      <c r="CR476">
        <f ca="1"/>
      </c>
      <c r="CS476">
        <f ca="1"/>
      </c>
      <c r="CT476">
        <f ca="1"/>
      </c>
      <c r="CU476">
        <f ca="1"/>
      </c>
      <c r="CV476">
        <f ca="1"/>
      </c>
      <c r="CW476">
        <f ca="1"/>
      </c>
      <c r="CX476">
        <f ca="1"/>
      </c>
      <c r="CY476">
        <f ca="1"/>
      </c>
      <c r="CZ476">
        <f ca="1"/>
      </c>
      <c r="DA476">
        <f ca="1"/>
      </c>
      <c r="DB476">
        <f ca="1"/>
      </c>
      <c r="DC476">
        <f ca="1"/>
      </c>
      <c r="DD476">
        <f ca="1"/>
      </c>
      <c r="DE476">
        <f ca="1"/>
      </c>
      <c r="DG476">
        <f ca="1"/>
      </c>
      <c r="DH476">
        <f ca="1"/>
      </c>
      <c r="DI476">
        <f ca="1"/>
      </c>
      <c r="DJ476">
        <f ca="1"/>
      </c>
      <c r="DK476">
        <f ca="1"/>
      </c>
      <c r="DL476">
        <f ca="1"/>
      </c>
      <c r="DM476">
        <f ca="1"/>
      </c>
      <c r="DN476">
        <f ca="1"/>
      </c>
      <c r="DO476">
        <f ca="1"/>
      </c>
      <c r="DP476">
        <f ca="1"/>
      </c>
      <c r="DQ476">
        <f ca="1"/>
      </c>
      <c r="DR476">
        <f ca="1"/>
      </c>
      <c r="DS476">
        <f ca="1"/>
      </c>
      <c r="DT476">
        <f ca="1"/>
      </c>
      <c r="DU476">
        <f ca="1"/>
      </c>
      <c r="DV476">
        <f ca="1"/>
      </c>
      <c r="DW476">
        <f ca="1"/>
      </c>
      <c r="DX476">
        <f ca="1"/>
      </c>
      <c r="DY476">
        <f ca="1"/>
      </c>
      <c r="DZ476">
        <f ca="1"/>
      </c>
      <c r="EA476">
        <f ca="1"/>
      </c>
      <c r="EB476">
        <f ca="1"/>
      </c>
      <c r="EC476">
        <f ca="1"/>
      </c>
      <c r="ED476">
        <f ca="1"/>
      </c>
      <c r="EE476">
        <f ca="1"/>
      </c>
      <c r="EF476">
        <f ca="1"/>
      </c>
      <c r="EG476">
        <f ca="1"/>
      </c>
      <c r="EH476">
        <f ca="1"/>
      </c>
      <c r="EI476">
        <f ca="1"/>
      </c>
      <c r="EJ476">
        <f ca="1"/>
      </c>
      <c r="EK476">
        <f ca="1"/>
      </c>
      <c r="EL476">
        <f ca="1"/>
      </c>
      <c r="EM476">
        <f ca="1"/>
      </c>
      <c r="EN476">
        <f ca="1"/>
      </c>
      <c r="EO476">
        <f ca="1"/>
      </c>
      <c r="EP476">
        <f ca="1"/>
      </c>
      <c r="EQ476">
        <f ca="1"/>
      </c>
      <c r="ER476">
        <f ca="1"/>
      </c>
      <c r="ES476">
        <f ca="1"/>
      </c>
      <c r="ET476">
        <f ca="1"/>
      </c>
      <c r="EU476">
        <f ca="1"/>
      </c>
      <c r="EV476">
        <f ca="1"/>
      </c>
      <c r="EW476">
        <f ca="1"/>
      </c>
      <c r="EX476">
        <f ca="1"/>
      </c>
      <c r="EY476">
        <f ca="1"/>
      </c>
      <c r="EZ476">
        <f ca="1"/>
      </c>
      <c r="FA476">
        <f ca="1"/>
      </c>
      <c r="FC476">
        <f ca="1"/>
      </c>
      <c r="FD476">
        <f ca="1"/>
      </c>
      <c r="FE476">
        <f ca="1"/>
      </c>
      <c r="FF476">
        <f ca="1"/>
      </c>
      <c r="FG476">
        <f ca="1"/>
      </c>
      <c r="FH476">
        <f ca="1"/>
      </c>
      <c r="FI476">
        <f ca="1"/>
      </c>
      <c r="FJ476">
        <f ca="1"/>
      </c>
      <c r="FK476">
        <f ca="1"/>
      </c>
      <c r="FL476">
        <f ca="1"/>
      </c>
      <c r="FM476">
        <f ca="1"/>
      </c>
      <c r="FN476">
        <f ca="1"/>
      </c>
      <c r="FO476">
        <f ca="1"/>
      </c>
      <c r="FP476">
        <f ca="1"/>
      </c>
      <c r="FQ476">
        <f ca="1"/>
      </c>
      <c r="FR476">
        <f ca="1"/>
      </c>
      <c r="FS476">
        <f ca="1"/>
      </c>
      <c r="FT476">
        <f ca="1"/>
      </c>
      <c r="FU476">
        <f ca="1"/>
      </c>
      <c r="FV476">
        <f ca="1"/>
      </c>
      <c r="FW476">
        <f ca="1"/>
      </c>
      <c r="FX476">
        <f ca="1"/>
      </c>
      <c r="FY476">
        <f ca="1"/>
      </c>
      <c r="FZ476">
        <f ca="1"/>
      </c>
      <c r="GA476">
        <f ca="1"/>
      </c>
      <c r="GB476">
        <f ca="1"/>
      </c>
      <c r="GC476">
        <f ca="1"/>
      </c>
      <c r="GD476">
        <f ca="1"/>
      </c>
      <c r="GE476">
        <f ca="1"/>
      </c>
      <c r="GF476">
        <f ca="1"/>
      </c>
      <c r="GG476">
        <f ca="1"/>
      </c>
      <c r="GH476">
        <f ca="1"/>
      </c>
      <c r="GI476">
        <f ca="1"/>
      </c>
      <c r="GJ476">
        <f ca="1"/>
      </c>
      <c r="GK476">
        <f ca="1"/>
      </c>
      <c r="GL476">
        <f ca="1"/>
      </c>
      <c r="GM476">
        <f ca="1"/>
      </c>
      <c r="GN476">
        <f ca="1"/>
      </c>
      <c r="GO476">
        <f ca="1"/>
      </c>
      <c r="GP476">
        <f ca="1"/>
      </c>
      <c r="GQ476">
        <f ca="1"/>
      </c>
      <c r="GR476">
        <f ca="1"/>
      </c>
      <c r="GS476">
        <f ca="1"/>
      </c>
      <c r="GT476">
        <f ca="1"/>
      </c>
      <c r="GU476">
        <f ca="1"/>
      </c>
      <c r="GV476">
        <f ca="1"/>
      </c>
      <c r="GW476">
        <f ca="1"/>
      </c>
      <c r="HI476" s="7"/>
    </row>
    <row r="477" spans="63:217" x14ac:dyDescent="0.55000000000000004">
      <c r="BK477">
        <f ca="1"/>
      </c>
      <c r="BL477">
        <f ca="1"/>
      </c>
      <c r="BM477">
        <f ca="1"/>
      </c>
      <c r="BN477">
        <f ca="1"/>
      </c>
      <c r="BO477">
        <f ca="1"/>
      </c>
      <c r="BP477">
        <f ca="1"/>
      </c>
      <c r="BQ477">
        <f ca="1"/>
      </c>
      <c r="BR477">
        <f ca="1"/>
      </c>
      <c r="BS477">
        <f ca="1"/>
      </c>
      <c r="BT477">
        <f ca="1"/>
      </c>
      <c r="BU477">
        <f ca="1"/>
      </c>
      <c r="BV477">
        <f ca="1"/>
      </c>
      <c r="BW477">
        <f ca="1"/>
      </c>
      <c r="BX477">
        <f ca="1"/>
      </c>
      <c r="BY477">
        <f ca="1"/>
      </c>
      <c r="BZ477">
        <f ca="1"/>
      </c>
      <c r="CA477">
        <f ca="1"/>
      </c>
      <c r="CB477">
        <f ca="1"/>
      </c>
      <c r="CC477">
        <f ca="1"/>
      </c>
      <c r="CD477">
        <f ca="1"/>
      </c>
      <c r="CE477">
        <f ca="1"/>
      </c>
      <c r="CF477">
        <f ca="1"/>
      </c>
      <c r="CG477">
        <f ca="1"/>
      </c>
      <c r="CH477">
        <f ca="1"/>
      </c>
      <c r="CI477">
        <f ca="1"/>
      </c>
      <c r="CJ477">
        <f ca="1"/>
      </c>
      <c r="CK477">
        <f ca="1"/>
      </c>
      <c r="CL477">
        <f ca="1"/>
      </c>
      <c r="CM477">
        <f ca="1"/>
      </c>
      <c r="CN477">
        <f ca="1"/>
      </c>
      <c r="CO477">
        <f ca="1"/>
      </c>
      <c r="CP477">
        <f ca="1"/>
      </c>
      <c r="CQ477">
        <f ca="1"/>
      </c>
      <c r="CR477">
        <f ca="1"/>
      </c>
      <c r="CS477">
        <f ca="1"/>
      </c>
      <c r="CT477">
        <f ca="1"/>
      </c>
      <c r="CU477">
        <f ca="1"/>
      </c>
      <c r="CV477">
        <f ca="1"/>
      </c>
      <c r="CW477">
        <f ca="1"/>
      </c>
      <c r="CX477">
        <f ca="1"/>
      </c>
      <c r="CY477">
        <f ca="1"/>
      </c>
      <c r="CZ477">
        <f ca="1"/>
      </c>
      <c r="DA477">
        <f ca="1"/>
      </c>
      <c r="DB477">
        <f ca="1"/>
      </c>
      <c r="DC477">
        <f ca="1"/>
      </c>
      <c r="DD477">
        <f ca="1"/>
      </c>
      <c r="DE477">
        <f ca="1"/>
      </c>
      <c r="DG477">
        <f ca="1"/>
      </c>
      <c r="DH477">
        <f ca="1"/>
      </c>
      <c r="DI477">
        <f ca="1"/>
      </c>
      <c r="DJ477">
        <f ca="1"/>
      </c>
      <c r="DK477">
        <f ca="1"/>
      </c>
      <c r="DL477">
        <f ca="1"/>
      </c>
      <c r="DM477">
        <f ca="1"/>
      </c>
      <c r="DN477">
        <f ca="1"/>
      </c>
      <c r="DO477">
        <f ca="1"/>
      </c>
      <c r="DP477">
        <f ca="1"/>
      </c>
      <c r="DQ477">
        <f ca="1"/>
      </c>
      <c r="DR477">
        <f ca="1"/>
      </c>
      <c r="DS477">
        <f ca="1"/>
      </c>
      <c r="DT477">
        <f ca="1"/>
      </c>
      <c r="DU477">
        <f ca="1"/>
      </c>
      <c r="DV477">
        <f ca="1"/>
      </c>
      <c r="DW477">
        <f ca="1"/>
      </c>
      <c r="DX477">
        <f ca="1"/>
      </c>
      <c r="DY477">
        <f ca="1"/>
      </c>
      <c r="DZ477">
        <f ca="1"/>
      </c>
      <c r="EA477">
        <f ca="1"/>
      </c>
      <c r="EB477">
        <f ca="1"/>
      </c>
      <c r="EC477">
        <f ca="1"/>
      </c>
      <c r="ED477">
        <f ca="1"/>
      </c>
      <c r="EE477">
        <f ca="1"/>
      </c>
      <c r="EF477">
        <f ca="1"/>
      </c>
      <c r="EG477">
        <f ca="1"/>
      </c>
      <c r="EH477">
        <f ca="1"/>
      </c>
      <c r="EI477">
        <f ca="1"/>
      </c>
      <c r="EJ477">
        <f ca="1"/>
      </c>
      <c r="EK477">
        <f ca="1"/>
      </c>
      <c r="EL477">
        <f ca="1"/>
      </c>
      <c r="EM477">
        <f ca="1"/>
      </c>
      <c r="EN477">
        <f ca="1"/>
      </c>
      <c r="EO477">
        <f ca="1"/>
      </c>
      <c r="EP477">
        <f ca="1"/>
      </c>
      <c r="EQ477">
        <f ca="1"/>
      </c>
      <c r="ER477">
        <f ca="1"/>
      </c>
      <c r="ES477">
        <f ca="1"/>
      </c>
      <c r="ET477">
        <f ca="1"/>
      </c>
      <c r="EU477">
        <f ca="1"/>
      </c>
      <c r="EV477">
        <f ca="1"/>
      </c>
      <c r="EW477">
        <f ca="1"/>
      </c>
      <c r="EX477">
        <f ca="1"/>
      </c>
      <c r="EY477">
        <f ca="1"/>
      </c>
      <c r="EZ477">
        <f ca="1"/>
      </c>
      <c r="FA477">
        <f ca="1"/>
      </c>
      <c r="FC477">
        <f ca="1"/>
      </c>
      <c r="FD477">
        <f ca="1"/>
      </c>
      <c r="FE477">
        <f ca="1"/>
      </c>
      <c r="FF477">
        <f ca="1"/>
      </c>
      <c r="FG477">
        <f ca="1"/>
      </c>
      <c r="FH477">
        <f ca="1"/>
      </c>
      <c r="FI477">
        <f ca="1"/>
      </c>
      <c r="FJ477">
        <f ca="1"/>
      </c>
      <c r="FK477">
        <f ca="1"/>
      </c>
      <c r="FL477">
        <f ca="1"/>
      </c>
      <c r="FM477">
        <f ca="1"/>
      </c>
      <c r="FN477">
        <f ca="1"/>
      </c>
      <c r="FO477">
        <f ca="1"/>
      </c>
      <c r="FP477">
        <f ca="1"/>
      </c>
      <c r="FQ477">
        <f ca="1"/>
      </c>
      <c r="FR477">
        <f ca="1"/>
      </c>
      <c r="FS477">
        <f ca="1"/>
      </c>
      <c r="FT477">
        <f ca="1"/>
      </c>
      <c r="FU477">
        <f ca="1"/>
      </c>
      <c r="FV477">
        <f ca="1"/>
      </c>
      <c r="FW477">
        <f ca="1"/>
      </c>
      <c r="FX477">
        <f ca="1"/>
      </c>
      <c r="FY477">
        <f ca="1"/>
      </c>
      <c r="FZ477">
        <f ca="1"/>
      </c>
      <c r="GA477">
        <f ca="1"/>
      </c>
      <c r="GB477">
        <f ca="1"/>
      </c>
      <c r="GC477">
        <f ca="1"/>
      </c>
      <c r="GD477">
        <f ca="1"/>
      </c>
      <c r="GE477">
        <f ca="1"/>
      </c>
      <c r="GF477">
        <f ca="1"/>
      </c>
      <c r="GG477">
        <f ca="1"/>
      </c>
      <c r="GH477">
        <f ca="1"/>
      </c>
      <c r="GI477">
        <f ca="1"/>
      </c>
      <c r="GJ477">
        <f ca="1"/>
      </c>
      <c r="GK477">
        <f ca="1"/>
      </c>
      <c r="GL477">
        <f ca="1"/>
      </c>
      <c r="GM477">
        <f ca="1"/>
      </c>
      <c r="GN477">
        <f ca="1"/>
      </c>
      <c r="GO477">
        <f ca="1"/>
      </c>
      <c r="GP477">
        <f ca="1"/>
      </c>
      <c r="GQ477">
        <f ca="1"/>
      </c>
      <c r="GR477">
        <f ca="1"/>
      </c>
      <c r="GS477">
        <f ca="1"/>
      </c>
      <c r="GT477">
        <f ca="1"/>
      </c>
      <c r="GU477">
        <f ca="1"/>
      </c>
      <c r="GV477">
        <f ca="1"/>
      </c>
      <c r="GW477">
        <f ca="1"/>
      </c>
      <c r="HI477" s="7"/>
    </row>
    <row r="478" spans="63:217" x14ac:dyDescent="0.55000000000000004">
      <c r="BK478">
        <f ca="1"/>
      </c>
      <c r="BL478">
        <f ca="1"/>
      </c>
      <c r="BM478">
        <f ca="1"/>
      </c>
      <c r="BN478">
        <f ca="1"/>
      </c>
      <c r="BO478">
        <f ca="1"/>
      </c>
      <c r="BP478">
        <f ca="1"/>
      </c>
      <c r="BQ478">
        <f ca="1"/>
      </c>
      <c r="BR478">
        <f ca="1"/>
      </c>
      <c r="BS478">
        <f ca="1"/>
      </c>
      <c r="BT478">
        <f ca="1"/>
      </c>
      <c r="BU478">
        <f ca="1"/>
      </c>
      <c r="BV478">
        <f ca="1"/>
      </c>
      <c r="BW478">
        <f ca="1"/>
      </c>
      <c r="BX478">
        <f ca="1"/>
      </c>
      <c r="BY478">
        <f ca="1"/>
      </c>
      <c r="BZ478">
        <f ca="1"/>
      </c>
      <c r="CA478">
        <f ca="1"/>
      </c>
      <c r="CB478">
        <f ca="1"/>
      </c>
      <c r="CC478">
        <f ca="1"/>
      </c>
      <c r="CD478">
        <f ca="1"/>
      </c>
      <c r="CE478">
        <f ca="1"/>
      </c>
      <c r="CF478">
        <f ca="1"/>
      </c>
      <c r="CG478">
        <f ca="1"/>
      </c>
      <c r="CH478">
        <f ca="1"/>
      </c>
      <c r="CI478">
        <f ca="1"/>
      </c>
      <c r="CJ478">
        <f ca="1"/>
      </c>
      <c r="CK478">
        <f ca="1"/>
      </c>
      <c r="CL478">
        <f ca="1"/>
      </c>
      <c r="CM478">
        <f ca="1"/>
      </c>
      <c r="CN478">
        <f ca="1"/>
      </c>
      <c r="CO478">
        <f ca="1"/>
      </c>
      <c r="CP478">
        <f ca="1"/>
      </c>
      <c r="CQ478">
        <f ca="1"/>
      </c>
      <c r="CR478">
        <f ca="1"/>
      </c>
      <c r="CS478">
        <f ca="1"/>
      </c>
      <c r="CT478">
        <f ca="1"/>
      </c>
      <c r="CU478">
        <f ca="1"/>
      </c>
      <c r="CV478">
        <f ca="1"/>
      </c>
      <c r="CW478">
        <f ca="1"/>
      </c>
      <c r="CX478">
        <f ca="1"/>
      </c>
      <c r="CY478">
        <f ca="1"/>
      </c>
      <c r="CZ478">
        <f ca="1"/>
      </c>
      <c r="DA478">
        <f ca="1"/>
      </c>
      <c r="DB478">
        <f ca="1"/>
      </c>
      <c r="DC478">
        <f ca="1"/>
      </c>
      <c r="DD478">
        <f ca="1"/>
      </c>
      <c r="DE478">
        <f ca="1"/>
      </c>
      <c r="DG478">
        <f ca="1"/>
      </c>
      <c r="DH478">
        <f ca="1"/>
      </c>
      <c r="DI478">
        <f ca="1"/>
      </c>
      <c r="DJ478">
        <f ca="1"/>
      </c>
      <c r="DK478">
        <f ca="1"/>
      </c>
      <c r="DL478">
        <f ca="1"/>
      </c>
      <c r="DM478">
        <f ca="1"/>
      </c>
      <c r="DN478">
        <f ca="1"/>
      </c>
      <c r="DO478">
        <f ca="1"/>
      </c>
      <c r="DP478">
        <f ca="1"/>
      </c>
      <c r="DQ478">
        <f ca="1"/>
      </c>
      <c r="DR478">
        <f ca="1"/>
      </c>
      <c r="DS478">
        <f ca="1"/>
      </c>
      <c r="DT478">
        <f ca="1"/>
      </c>
      <c r="DU478">
        <f ca="1"/>
      </c>
      <c r="DV478">
        <f ca="1"/>
      </c>
      <c r="DW478">
        <f ca="1"/>
      </c>
      <c r="DX478">
        <f ca="1"/>
      </c>
      <c r="DY478">
        <f ca="1"/>
      </c>
      <c r="DZ478">
        <f ca="1"/>
      </c>
      <c r="EA478">
        <f ca="1"/>
      </c>
      <c r="EB478">
        <f ca="1"/>
      </c>
      <c r="EC478">
        <f ca="1"/>
      </c>
      <c r="ED478">
        <f ca="1"/>
      </c>
      <c r="EE478">
        <f ca="1"/>
      </c>
      <c r="EF478">
        <f ca="1"/>
      </c>
      <c r="EG478">
        <f ca="1"/>
      </c>
      <c r="EH478">
        <f ca="1"/>
      </c>
      <c r="EI478">
        <f ca="1"/>
      </c>
      <c r="EJ478">
        <f ca="1"/>
      </c>
      <c r="EK478">
        <f ca="1"/>
      </c>
      <c r="EL478">
        <f ca="1"/>
      </c>
      <c r="EM478">
        <f ca="1"/>
      </c>
      <c r="EN478">
        <f ca="1"/>
      </c>
      <c r="EO478">
        <f ca="1"/>
      </c>
      <c r="EP478">
        <f ca="1"/>
      </c>
      <c r="EQ478">
        <f ca="1"/>
      </c>
      <c r="ER478">
        <f ca="1"/>
      </c>
      <c r="ES478">
        <f ca="1"/>
      </c>
      <c r="ET478">
        <f ca="1"/>
      </c>
      <c r="EU478">
        <f ca="1"/>
      </c>
      <c r="EV478">
        <f ca="1"/>
      </c>
      <c r="EW478">
        <f ca="1"/>
      </c>
      <c r="EX478">
        <f ca="1"/>
      </c>
      <c r="EY478">
        <f ca="1"/>
      </c>
      <c r="EZ478">
        <f ca="1"/>
      </c>
      <c r="FA478">
        <f ca="1"/>
      </c>
      <c r="FC478">
        <f ca="1"/>
      </c>
      <c r="FD478">
        <f ca="1"/>
      </c>
      <c r="FE478">
        <f ca="1"/>
      </c>
      <c r="FF478">
        <f ca="1"/>
      </c>
      <c r="FG478">
        <f ca="1"/>
      </c>
      <c r="FH478">
        <f ca="1"/>
      </c>
      <c r="FI478">
        <f ca="1"/>
      </c>
      <c r="FJ478">
        <f ca="1"/>
      </c>
      <c r="FK478">
        <f ca="1"/>
      </c>
      <c r="FL478">
        <f ca="1"/>
      </c>
      <c r="FM478">
        <f ca="1"/>
      </c>
      <c r="FN478">
        <f ca="1"/>
      </c>
      <c r="FO478">
        <f ca="1"/>
      </c>
      <c r="FP478">
        <f ca="1"/>
      </c>
      <c r="FQ478">
        <f ca="1"/>
      </c>
      <c r="FR478">
        <f ca="1"/>
      </c>
      <c r="FS478">
        <f ca="1"/>
      </c>
      <c r="FT478">
        <f ca="1"/>
      </c>
      <c r="FU478">
        <f ca="1"/>
      </c>
      <c r="FV478">
        <f ca="1"/>
      </c>
      <c r="FW478">
        <f ca="1"/>
      </c>
      <c r="FX478">
        <f ca="1"/>
      </c>
      <c r="FY478">
        <f ca="1"/>
      </c>
      <c r="FZ478">
        <f ca="1"/>
      </c>
      <c r="GA478">
        <f ca="1"/>
      </c>
      <c r="GB478">
        <f ca="1"/>
      </c>
      <c r="GC478">
        <f ca="1"/>
      </c>
      <c r="GD478">
        <f ca="1"/>
      </c>
      <c r="GE478">
        <f ca="1"/>
      </c>
      <c r="GF478">
        <f ca="1"/>
      </c>
      <c r="GG478">
        <f ca="1"/>
      </c>
      <c r="GH478">
        <f ca="1"/>
      </c>
      <c r="GI478">
        <f ca="1"/>
      </c>
      <c r="GJ478">
        <f ca="1"/>
      </c>
      <c r="GK478">
        <f ca="1"/>
      </c>
      <c r="GL478">
        <f ca="1"/>
      </c>
      <c r="GM478">
        <f ca="1"/>
      </c>
      <c r="GN478">
        <f ca="1"/>
      </c>
      <c r="GO478">
        <f ca="1"/>
      </c>
      <c r="GP478">
        <f ca="1"/>
      </c>
      <c r="GQ478">
        <f ca="1"/>
      </c>
      <c r="GR478">
        <f ca="1"/>
      </c>
      <c r="GS478">
        <f ca="1"/>
      </c>
      <c r="GT478">
        <f ca="1"/>
      </c>
      <c r="GU478">
        <f ca="1"/>
      </c>
      <c r="GV478">
        <f ca="1"/>
      </c>
      <c r="GW478">
        <f ca="1"/>
      </c>
      <c r="HI478" s="7"/>
    </row>
    <row r="479" spans="63:217" x14ac:dyDescent="0.55000000000000004">
      <c r="BK479">
        <f ca="1"/>
      </c>
      <c r="BL479">
        <f ca="1"/>
      </c>
      <c r="BM479">
        <f ca="1"/>
      </c>
      <c r="BN479">
        <f ca="1"/>
      </c>
      <c r="BO479">
        <f ca="1"/>
      </c>
      <c r="BP479">
        <f ca="1"/>
      </c>
      <c r="BQ479">
        <f ca="1"/>
      </c>
      <c r="BR479">
        <f ca="1"/>
      </c>
      <c r="BS479">
        <f ca="1"/>
      </c>
      <c r="BT479">
        <f ca="1"/>
      </c>
      <c r="BU479">
        <f ca="1"/>
      </c>
      <c r="BV479">
        <f ca="1"/>
      </c>
      <c r="BW479">
        <f ca="1"/>
      </c>
      <c r="BX479">
        <f ca="1"/>
      </c>
      <c r="BY479">
        <f ca="1"/>
      </c>
      <c r="BZ479">
        <f ca="1"/>
      </c>
      <c r="CA479">
        <f ca="1"/>
      </c>
      <c r="CB479">
        <f ca="1"/>
      </c>
      <c r="CC479">
        <f ca="1"/>
      </c>
      <c r="CD479">
        <f ca="1"/>
      </c>
      <c r="CE479">
        <f ca="1"/>
      </c>
      <c r="CF479">
        <f ca="1"/>
      </c>
      <c r="CG479">
        <f ca="1"/>
      </c>
      <c r="CH479">
        <f ca="1"/>
      </c>
      <c r="CI479">
        <f ca="1"/>
      </c>
      <c r="CJ479">
        <f ca="1"/>
      </c>
      <c r="CK479">
        <f ca="1"/>
      </c>
      <c r="CL479">
        <f ca="1"/>
      </c>
      <c r="CM479">
        <f ca="1"/>
      </c>
      <c r="CN479">
        <f ca="1"/>
      </c>
      <c r="CO479">
        <f ca="1"/>
      </c>
      <c r="CP479">
        <f ca="1"/>
      </c>
      <c r="CQ479">
        <f ca="1"/>
      </c>
      <c r="CR479">
        <f ca="1"/>
      </c>
      <c r="CS479">
        <f ca="1"/>
      </c>
      <c r="CT479">
        <f ca="1"/>
      </c>
      <c r="CU479">
        <f ca="1"/>
      </c>
      <c r="CV479">
        <f ca="1"/>
      </c>
      <c r="CW479">
        <f ca="1"/>
      </c>
      <c r="CX479">
        <f ca="1"/>
      </c>
      <c r="CY479">
        <f ca="1"/>
      </c>
      <c r="CZ479">
        <f ca="1"/>
      </c>
      <c r="DA479">
        <f ca="1"/>
      </c>
      <c r="DB479">
        <f ca="1"/>
      </c>
      <c r="DC479">
        <f ca="1"/>
      </c>
      <c r="DD479">
        <f ca="1"/>
      </c>
      <c r="DE479">
        <f ca="1"/>
      </c>
      <c r="DG479">
        <f ca="1"/>
      </c>
      <c r="DH479">
        <f ca="1"/>
      </c>
      <c r="DI479">
        <f ca="1"/>
      </c>
      <c r="DJ479">
        <f ca="1"/>
      </c>
      <c r="DK479">
        <f ca="1"/>
      </c>
      <c r="DL479">
        <f ca="1"/>
      </c>
      <c r="DM479">
        <f ca="1"/>
      </c>
      <c r="DN479">
        <f ca="1"/>
      </c>
      <c r="DO479">
        <f ca="1"/>
      </c>
      <c r="DP479">
        <f ca="1"/>
      </c>
      <c r="DQ479">
        <f ca="1"/>
      </c>
      <c r="DR479">
        <f ca="1"/>
      </c>
      <c r="DS479">
        <f ca="1"/>
      </c>
      <c r="DT479">
        <f ca="1"/>
      </c>
      <c r="DU479">
        <f ca="1"/>
      </c>
      <c r="DV479">
        <f ca="1"/>
      </c>
      <c r="DW479">
        <f ca="1"/>
      </c>
      <c r="DX479">
        <f ca="1"/>
      </c>
      <c r="DY479">
        <f ca="1"/>
      </c>
      <c r="DZ479">
        <f ca="1"/>
      </c>
      <c r="EA479">
        <f ca="1"/>
      </c>
      <c r="EB479">
        <f ca="1"/>
      </c>
      <c r="EC479">
        <f ca="1"/>
      </c>
      <c r="ED479">
        <f ca="1"/>
      </c>
      <c r="EE479">
        <f ca="1"/>
      </c>
      <c r="EF479">
        <f ca="1"/>
      </c>
      <c r="EG479">
        <f ca="1"/>
      </c>
      <c r="EH479">
        <f ca="1"/>
      </c>
      <c r="EI479">
        <f ca="1"/>
      </c>
      <c r="EJ479">
        <f ca="1"/>
      </c>
      <c r="EK479">
        <f ca="1"/>
      </c>
      <c r="EL479">
        <f ca="1"/>
      </c>
      <c r="EM479">
        <f ca="1"/>
      </c>
      <c r="EN479">
        <f ca="1"/>
      </c>
      <c r="EO479">
        <f ca="1"/>
      </c>
      <c r="EP479">
        <f ca="1"/>
      </c>
      <c r="EQ479">
        <f ca="1"/>
      </c>
      <c r="ER479">
        <f ca="1"/>
      </c>
      <c r="ES479">
        <f ca="1"/>
      </c>
      <c r="ET479">
        <f ca="1"/>
      </c>
      <c r="EU479">
        <f ca="1"/>
      </c>
      <c r="EV479">
        <f ca="1"/>
      </c>
      <c r="EW479">
        <f ca="1"/>
      </c>
      <c r="EX479">
        <f ca="1"/>
      </c>
      <c r="EY479">
        <f ca="1"/>
      </c>
      <c r="EZ479">
        <f ca="1"/>
      </c>
      <c r="FA479">
        <f ca="1"/>
      </c>
      <c r="FC479">
        <f ca="1"/>
      </c>
      <c r="FD479">
        <f ca="1"/>
      </c>
      <c r="FE479">
        <f ca="1"/>
      </c>
      <c r="FF479">
        <f ca="1"/>
      </c>
      <c r="FG479">
        <f ca="1"/>
      </c>
      <c r="FH479">
        <f ca="1"/>
      </c>
      <c r="FI479">
        <f ca="1"/>
      </c>
      <c r="FJ479">
        <f ca="1"/>
      </c>
      <c r="FK479">
        <f ca="1"/>
      </c>
      <c r="FL479">
        <f ca="1"/>
      </c>
      <c r="FM479">
        <f ca="1"/>
      </c>
      <c r="FN479">
        <f ca="1"/>
      </c>
      <c r="FO479">
        <f ca="1"/>
      </c>
      <c r="FP479">
        <f ca="1"/>
      </c>
      <c r="FQ479">
        <f ca="1"/>
      </c>
      <c r="FR479">
        <f ca="1"/>
      </c>
      <c r="FS479">
        <f ca="1"/>
      </c>
      <c r="FT479">
        <f ca="1"/>
      </c>
      <c r="FU479">
        <f ca="1"/>
      </c>
      <c r="FV479">
        <f ca="1"/>
      </c>
      <c r="FW479">
        <f ca="1"/>
      </c>
      <c r="FX479">
        <f ca="1"/>
      </c>
      <c r="FY479">
        <f ca="1"/>
      </c>
      <c r="FZ479">
        <f ca="1"/>
      </c>
      <c r="GA479">
        <f ca="1"/>
      </c>
      <c r="GB479">
        <f ca="1"/>
      </c>
      <c r="GC479">
        <f ca="1"/>
      </c>
      <c r="GD479">
        <f ca="1"/>
      </c>
      <c r="GE479">
        <f ca="1"/>
      </c>
      <c r="GF479">
        <f ca="1"/>
      </c>
      <c r="GG479">
        <f ca="1"/>
      </c>
      <c r="GH479">
        <f ca="1"/>
      </c>
      <c r="GI479">
        <f ca="1"/>
      </c>
      <c r="GJ479">
        <f ca="1"/>
      </c>
      <c r="GK479">
        <f ca="1"/>
      </c>
      <c r="GL479">
        <f ca="1"/>
      </c>
      <c r="GM479">
        <f ca="1"/>
      </c>
      <c r="GN479">
        <f ca="1"/>
      </c>
      <c r="GO479">
        <f ca="1"/>
      </c>
      <c r="GP479">
        <f ca="1"/>
      </c>
      <c r="GQ479">
        <f ca="1"/>
      </c>
      <c r="GR479">
        <f ca="1"/>
      </c>
      <c r="GS479">
        <f ca="1"/>
      </c>
      <c r="GT479">
        <f ca="1"/>
      </c>
      <c r="GU479">
        <f ca="1"/>
      </c>
      <c r="GV479">
        <f ca="1"/>
      </c>
      <c r="GW479">
        <f ca="1"/>
      </c>
      <c r="HI479" s="7"/>
    </row>
    <row r="480" spans="63:217" x14ac:dyDescent="0.55000000000000004">
      <c r="BK480">
        <f ca="1"/>
      </c>
      <c r="BL480">
        <f ca="1"/>
      </c>
      <c r="BM480">
        <f ca="1"/>
      </c>
      <c r="BN480">
        <f ca="1"/>
      </c>
      <c r="BO480">
        <f ca="1"/>
      </c>
      <c r="BP480">
        <f ca="1"/>
      </c>
      <c r="BQ480">
        <f ca="1"/>
      </c>
      <c r="BR480">
        <f ca="1"/>
      </c>
      <c r="BS480">
        <f ca="1"/>
      </c>
      <c r="BT480">
        <f ca="1"/>
      </c>
      <c r="BU480">
        <f ca="1"/>
      </c>
      <c r="BV480">
        <f ca="1"/>
      </c>
      <c r="BW480">
        <f ca="1"/>
      </c>
      <c r="BX480">
        <f ca="1"/>
      </c>
      <c r="BY480">
        <f ca="1"/>
      </c>
      <c r="BZ480">
        <f ca="1"/>
      </c>
      <c r="CA480">
        <f ca="1"/>
      </c>
      <c r="CB480">
        <f ca="1"/>
      </c>
      <c r="CC480">
        <f ca="1"/>
      </c>
      <c r="CD480">
        <f ca="1"/>
      </c>
      <c r="CE480">
        <f ca="1"/>
      </c>
      <c r="CF480">
        <f ca="1"/>
      </c>
      <c r="CG480">
        <f ca="1"/>
      </c>
      <c r="CH480">
        <f ca="1"/>
      </c>
      <c r="CI480">
        <f ca="1"/>
      </c>
      <c r="CJ480">
        <f ca="1"/>
      </c>
      <c r="CK480">
        <f ca="1"/>
      </c>
      <c r="CL480">
        <f ca="1"/>
      </c>
      <c r="CM480">
        <f ca="1"/>
      </c>
      <c r="CN480">
        <f ca="1"/>
      </c>
      <c r="CO480">
        <f ca="1"/>
      </c>
      <c r="CP480">
        <f ca="1"/>
      </c>
      <c r="CQ480">
        <f ca="1"/>
      </c>
      <c r="CR480">
        <f ca="1"/>
      </c>
      <c r="CS480">
        <f ca="1"/>
      </c>
      <c r="CT480">
        <f ca="1"/>
      </c>
      <c r="CU480">
        <f ca="1"/>
      </c>
      <c r="CV480">
        <f ca="1"/>
      </c>
      <c r="CW480">
        <f ca="1"/>
      </c>
      <c r="CX480">
        <f ca="1"/>
      </c>
      <c r="CY480">
        <f ca="1"/>
      </c>
      <c r="CZ480">
        <f ca="1"/>
      </c>
      <c r="DA480">
        <f ca="1"/>
      </c>
      <c r="DB480">
        <f ca="1"/>
      </c>
      <c r="DC480">
        <f ca="1"/>
      </c>
      <c r="DD480">
        <f ca="1"/>
      </c>
      <c r="DE480">
        <f ca="1"/>
      </c>
      <c r="DG480">
        <f ca="1"/>
      </c>
      <c r="DH480">
        <f ca="1"/>
      </c>
      <c r="DI480">
        <f ca="1"/>
      </c>
      <c r="DJ480">
        <f ca="1"/>
      </c>
      <c r="DK480">
        <f ca="1"/>
      </c>
      <c r="DL480">
        <f ca="1"/>
      </c>
      <c r="DM480">
        <f ca="1"/>
      </c>
      <c r="DN480">
        <f ca="1"/>
      </c>
      <c r="DO480">
        <f ca="1"/>
      </c>
      <c r="DP480">
        <f ca="1"/>
      </c>
      <c r="DQ480">
        <f ca="1"/>
      </c>
      <c r="DR480">
        <f ca="1"/>
      </c>
      <c r="DS480">
        <f ca="1"/>
      </c>
      <c r="DT480">
        <f ca="1"/>
      </c>
      <c r="DU480">
        <f ca="1"/>
      </c>
      <c r="DV480">
        <f ca="1"/>
      </c>
      <c r="DW480">
        <f ca="1"/>
      </c>
      <c r="DX480">
        <f ca="1"/>
      </c>
      <c r="DY480">
        <f ca="1"/>
      </c>
      <c r="DZ480">
        <f ca="1"/>
      </c>
      <c r="EA480">
        <f ca="1"/>
      </c>
      <c r="EB480">
        <f ca="1"/>
      </c>
      <c r="EC480">
        <f ca="1"/>
      </c>
      <c r="ED480">
        <f ca="1"/>
      </c>
      <c r="EE480">
        <f ca="1"/>
      </c>
      <c r="EF480">
        <f ca="1"/>
      </c>
      <c r="EG480">
        <f ca="1"/>
      </c>
      <c r="EH480">
        <f ca="1"/>
      </c>
      <c r="EI480">
        <f ca="1"/>
      </c>
      <c r="EJ480">
        <f ca="1"/>
      </c>
      <c r="EK480">
        <f ca="1"/>
      </c>
      <c r="EL480">
        <f ca="1"/>
      </c>
      <c r="EM480">
        <f ca="1"/>
      </c>
      <c r="EN480">
        <f ca="1"/>
      </c>
      <c r="EO480">
        <f ca="1"/>
      </c>
      <c r="EP480">
        <f ca="1"/>
      </c>
      <c r="EQ480">
        <f ca="1"/>
      </c>
      <c r="ER480">
        <f ca="1"/>
      </c>
      <c r="ES480">
        <f ca="1"/>
      </c>
      <c r="ET480">
        <f ca="1"/>
      </c>
      <c r="EU480">
        <f ca="1"/>
      </c>
      <c r="EV480">
        <f ca="1"/>
      </c>
      <c r="EW480">
        <f ca="1"/>
      </c>
      <c r="EX480">
        <f ca="1"/>
      </c>
      <c r="EY480">
        <f ca="1"/>
      </c>
      <c r="EZ480">
        <f ca="1"/>
      </c>
      <c r="FA480">
        <f ca="1"/>
      </c>
      <c r="FC480">
        <f ca="1"/>
      </c>
      <c r="FD480">
        <f ca="1"/>
      </c>
      <c r="FE480">
        <f ca="1"/>
      </c>
      <c r="FF480">
        <f ca="1"/>
      </c>
      <c r="FG480">
        <f ca="1"/>
      </c>
      <c r="FH480">
        <f ca="1"/>
      </c>
      <c r="FI480">
        <f ca="1"/>
      </c>
      <c r="FJ480">
        <f ca="1"/>
      </c>
      <c r="FK480">
        <f ca="1"/>
      </c>
      <c r="FL480">
        <f ca="1"/>
      </c>
      <c r="FM480">
        <f ca="1"/>
      </c>
      <c r="FN480">
        <f ca="1"/>
      </c>
      <c r="FO480">
        <f ca="1"/>
      </c>
      <c r="FP480">
        <f ca="1"/>
      </c>
      <c r="FQ480">
        <f ca="1"/>
      </c>
      <c r="FR480">
        <f ca="1"/>
      </c>
      <c r="FS480">
        <f ca="1"/>
      </c>
      <c r="FT480">
        <f ca="1"/>
      </c>
      <c r="FU480">
        <f ca="1"/>
      </c>
      <c r="FV480">
        <f ca="1"/>
      </c>
      <c r="FW480">
        <f ca="1"/>
      </c>
      <c r="FX480">
        <f ca="1"/>
      </c>
      <c r="FY480">
        <f ca="1"/>
      </c>
      <c r="FZ480">
        <f ca="1"/>
      </c>
      <c r="GA480">
        <f ca="1"/>
      </c>
      <c r="GB480">
        <f ca="1"/>
      </c>
      <c r="GC480">
        <f ca="1"/>
      </c>
      <c r="GD480">
        <f ca="1"/>
      </c>
      <c r="GE480">
        <f ca="1"/>
      </c>
      <c r="GF480">
        <f ca="1"/>
      </c>
      <c r="GG480">
        <f ca="1"/>
      </c>
      <c r="GH480">
        <f ca="1"/>
      </c>
      <c r="GI480">
        <f ca="1"/>
      </c>
      <c r="GJ480">
        <f ca="1"/>
      </c>
      <c r="GK480">
        <f ca="1"/>
      </c>
      <c r="GL480">
        <f ca="1"/>
      </c>
      <c r="GM480">
        <f ca="1"/>
      </c>
      <c r="GN480">
        <f ca="1"/>
      </c>
      <c r="GO480">
        <f ca="1"/>
      </c>
      <c r="GP480">
        <f ca="1"/>
      </c>
      <c r="GQ480">
        <f ca="1"/>
      </c>
      <c r="GR480">
        <f ca="1"/>
      </c>
      <c r="GS480">
        <f ca="1"/>
      </c>
      <c r="GT480">
        <f ca="1"/>
      </c>
      <c r="GU480">
        <f ca="1"/>
      </c>
      <c r="GV480">
        <f ca="1"/>
      </c>
      <c r="GW480">
        <f ca="1"/>
      </c>
      <c r="HI480" s="7"/>
    </row>
    <row r="481" spans="63:217" x14ac:dyDescent="0.55000000000000004">
      <c r="BK481">
        <f ca="1"/>
      </c>
      <c r="BL481">
        <f ca="1"/>
      </c>
      <c r="BM481">
        <f ca="1"/>
      </c>
      <c r="BN481">
        <f ca="1"/>
      </c>
      <c r="BO481">
        <f ca="1"/>
      </c>
      <c r="BP481">
        <f ca="1"/>
      </c>
      <c r="BQ481">
        <f ca="1"/>
      </c>
      <c r="BR481">
        <f ca="1"/>
      </c>
      <c r="BS481">
        <f ca="1"/>
      </c>
      <c r="BT481">
        <f ca="1"/>
      </c>
      <c r="BU481">
        <f ca="1"/>
      </c>
      <c r="BV481">
        <f ca="1"/>
      </c>
      <c r="BW481">
        <f ca="1"/>
      </c>
      <c r="BX481">
        <f ca="1"/>
      </c>
      <c r="BY481">
        <f ca="1"/>
      </c>
      <c r="BZ481">
        <f ca="1"/>
      </c>
      <c r="CA481">
        <f ca="1"/>
      </c>
      <c r="CB481">
        <f ca="1"/>
      </c>
      <c r="CC481">
        <f ca="1"/>
      </c>
      <c r="CD481">
        <f ca="1"/>
      </c>
      <c r="CE481">
        <f ca="1"/>
      </c>
      <c r="CF481">
        <f ca="1"/>
      </c>
      <c r="CG481">
        <f ca="1"/>
      </c>
      <c r="CH481">
        <f ca="1"/>
      </c>
      <c r="CI481">
        <f ca="1"/>
      </c>
      <c r="CJ481">
        <f ca="1"/>
      </c>
      <c r="CK481">
        <f ca="1"/>
      </c>
      <c r="CL481">
        <f ca="1"/>
      </c>
      <c r="CM481">
        <f ca="1"/>
      </c>
      <c r="CN481">
        <f ca="1"/>
      </c>
      <c r="CO481">
        <f ca="1"/>
      </c>
      <c r="CP481">
        <f ca="1"/>
      </c>
      <c r="CQ481">
        <f ca="1"/>
      </c>
      <c r="CR481">
        <f ca="1"/>
      </c>
      <c r="CS481">
        <f ca="1"/>
      </c>
      <c r="CT481">
        <f ca="1"/>
      </c>
      <c r="CU481">
        <f ca="1"/>
      </c>
      <c r="CV481">
        <f ca="1"/>
      </c>
      <c r="CW481">
        <f ca="1"/>
      </c>
      <c r="CX481">
        <f ca="1"/>
      </c>
      <c r="CY481">
        <f ca="1"/>
      </c>
      <c r="CZ481">
        <f ca="1"/>
      </c>
      <c r="DA481">
        <f ca="1"/>
      </c>
      <c r="DB481">
        <f ca="1"/>
      </c>
      <c r="DC481">
        <f ca="1"/>
      </c>
      <c r="DD481">
        <f ca="1"/>
      </c>
      <c r="DE481">
        <f ca="1"/>
      </c>
      <c r="DG481">
        <f ca="1"/>
      </c>
      <c r="DH481">
        <f ca="1"/>
      </c>
      <c r="DI481">
        <f ca="1"/>
      </c>
      <c r="DJ481">
        <f ca="1"/>
      </c>
      <c r="DK481">
        <f ca="1"/>
      </c>
      <c r="DL481">
        <f ca="1"/>
      </c>
      <c r="DM481">
        <f ca="1"/>
      </c>
      <c r="DN481">
        <f ca="1"/>
      </c>
      <c r="DO481">
        <f ca="1"/>
      </c>
      <c r="DP481">
        <f ca="1"/>
      </c>
      <c r="DQ481">
        <f ca="1"/>
      </c>
      <c r="DR481">
        <f ca="1"/>
      </c>
      <c r="DS481">
        <f ca="1"/>
      </c>
      <c r="DT481">
        <f ca="1"/>
      </c>
      <c r="DU481">
        <f ca="1"/>
      </c>
      <c r="DV481">
        <f ca="1"/>
      </c>
      <c r="DW481">
        <f ca="1"/>
      </c>
      <c r="DX481">
        <f ca="1"/>
      </c>
      <c r="DY481">
        <f ca="1"/>
      </c>
      <c r="DZ481">
        <f ca="1"/>
      </c>
      <c r="EA481">
        <f ca="1"/>
      </c>
      <c r="EB481">
        <f ca="1"/>
      </c>
      <c r="EC481">
        <f ca="1"/>
      </c>
      <c r="ED481">
        <f ca="1"/>
      </c>
      <c r="EE481">
        <f ca="1"/>
      </c>
      <c r="EF481">
        <f ca="1"/>
      </c>
      <c r="EG481">
        <f ca="1"/>
      </c>
      <c r="EH481">
        <f ca="1"/>
      </c>
      <c r="EI481">
        <f ca="1"/>
      </c>
      <c r="EJ481">
        <f ca="1"/>
      </c>
      <c r="EK481">
        <f ca="1"/>
      </c>
      <c r="EL481">
        <f ca="1"/>
      </c>
      <c r="EM481">
        <f ca="1"/>
      </c>
      <c r="EN481">
        <f ca="1"/>
      </c>
      <c r="EO481">
        <f ca="1"/>
      </c>
      <c r="EP481">
        <f ca="1"/>
      </c>
      <c r="EQ481">
        <f ca="1"/>
      </c>
      <c r="ER481">
        <f ca="1"/>
      </c>
      <c r="ES481">
        <f ca="1"/>
      </c>
      <c r="ET481">
        <f ca="1"/>
      </c>
      <c r="EU481">
        <f ca="1"/>
      </c>
      <c r="EV481">
        <f ca="1"/>
      </c>
      <c r="EW481">
        <f ca="1"/>
      </c>
      <c r="EX481">
        <f ca="1"/>
      </c>
      <c r="EY481">
        <f ca="1"/>
      </c>
      <c r="EZ481">
        <f ca="1"/>
      </c>
      <c r="FA481">
        <f ca="1"/>
      </c>
      <c r="FC481">
        <f ca="1"/>
      </c>
      <c r="FD481">
        <f ca="1"/>
      </c>
      <c r="FE481">
        <f ca="1"/>
      </c>
      <c r="FF481">
        <f ca="1"/>
      </c>
      <c r="FG481">
        <f ca="1"/>
      </c>
      <c r="FH481">
        <f ca="1"/>
      </c>
      <c r="FI481">
        <f ca="1"/>
      </c>
      <c r="FJ481">
        <f ca="1"/>
      </c>
      <c r="FK481">
        <f ca="1"/>
      </c>
      <c r="FL481">
        <f ca="1"/>
      </c>
      <c r="FM481">
        <f ca="1"/>
      </c>
      <c r="FN481">
        <f ca="1"/>
      </c>
      <c r="FO481">
        <f ca="1"/>
      </c>
      <c r="FP481">
        <f ca="1"/>
      </c>
      <c r="FQ481">
        <f ca="1"/>
      </c>
      <c r="FR481">
        <f ca="1"/>
      </c>
      <c r="FS481">
        <f ca="1"/>
      </c>
      <c r="FT481">
        <f ca="1"/>
      </c>
      <c r="FU481">
        <f ca="1"/>
      </c>
      <c r="FV481">
        <f ca="1"/>
      </c>
      <c r="FW481">
        <f ca="1"/>
      </c>
      <c r="FX481">
        <f ca="1"/>
      </c>
      <c r="FY481">
        <f ca="1"/>
      </c>
      <c r="FZ481">
        <f ca="1"/>
      </c>
      <c r="GA481">
        <f ca="1"/>
      </c>
      <c r="GB481">
        <f ca="1"/>
      </c>
      <c r="GC481">
        <f ca="1"/>
      </c>
      <c r="GD481">
        <f ca="1"/>
      </c>
      <c r="GE481">
        <f ca="1"/>
      </c>
      <c r="GF481">
        <f ca="1"/>
      </c>
      <c r="GG481">
        <f ca="1"/>
      </c>
      <c r="GH481">
        <f ca="1"/>
      </c>
      <c r="GI481">
        <f ca="1"/>
      </c>
      <c r="GJ481">
        <f ca="1"/>
      </c>
      <c r="GK481">
        <f ca="1"/>
      </c>
      <c r="GL481">
        <f ca="1"/>
      </c>
      <c r="GM481">
        <f ca="1"/>
      </c>
      <c r="GN481">
        <f ca="1"/>
      </c>
      <c r="GO481">
        <f ca="1"/>
      </c>
      <c r="GP481">
        <f ca="1"/>
      </c>
      <c r="GQ481">
        <f ca="1"/>
      </c>
      <c r="GR481">
        <f ca="1"/>
      </c>
      <c r="GS481">
        <f ca="1"/>
      </c>
      <c r="GT481">
        <f ca="1"/>
      </c>
      <c r="GU481">
        <f ca="1"/>
      </c>
      <c r="GV481">
        <f ca="1"/>
      </c>
      <c r="GW481">
        <f ca="1"/>
      </c>
      <c r="HI481" s="7"/>
    </row>
    <row r="482" spans="63:217" x14ac:dyDescent="0.55000000000000004">
      <c r="BK482">
        <f ca="1"/>
      </c>
      <c r="BL482">
        <f ca="1"/>
      </c>
      <c r="BM482">
        <f ca="1"/>
      </c>
      <c r="BN482">
        <f ca="1"/>
      </c>
      <c r="BO482">
        <f ca="1"/>
      </c>
      <c r="BP482">
        <f ca="1"/>
      </c>
      <c r="BQ482">
        <f ca="1"/>
      </c>
      <c r="BR482">
        <f ca="1"/>
      </c>
      <c r="BS482">
        <f ca="1"/>
      </c>
      <c r="BT482">
        <f ca="1"/>
      </c>
      <c r="BU482">
        <f ca="1"/>
      </c>
      <c r="BV482">
        <f ca="1"/>
      </c>
      <c r="BW482">
        <f ca="1"/>
      </c>
      <c r="BX482">
        <f ca="1"/>
      </c>
      <c r="BY482">
        <f ca="1"/>
      </c>
      <c r="BZ482">
        <f ca="1"/>
      </c>
      <c r="CA482">
        <f ca="1"/>
      </c>
      <c r="CB482">
        <f ca="1"/>
      </c>
      <c r="CC482">
        <f ca="1"/>
      </c>
      <c r="CD482">
        <f ca="1"/>
      </c>
      <c r="CE482">
        <f ca="1"/>
      </c>
      <c r="CF482">
        <f ca="1"/>
      </c>
      <c r="CG482">
        <f ca="1"/>
      </c>
      <c r="CH482">
        <f ca="1"/>
      </c>
      <c r="CI482">
        <f ca="1"/>
      </c>
      <c r="CJ482">
        <f ca="1"/>
      </c>
      <c r="CK482">
        <f ca="1"/>
      </c>
      <c r="CL482">
        <f ca="1"/>
      </c>
      <c r="CM482">
        <f ca="1"/>
      </c>
      <c r="CN482">
        <f ca="1"/>
      </c>
      <c r="CO482">
        <f ca="1"/>
      </c>
      <c r="CP482">
        <f ca="1"/>
      </c>
      <c r="CQ482">
        <f ca="1"/>
      </c>
      <c r="CR482">
        <f ca="1"/>
      </c>
      <c r="CS482">
        <f ca="1"/>
      </c>
      <c r="CT482">
        <f ca="1"/>
      </c>
      <c r="CU482">
        <f ca="1"/>
      </c>
      <c r="CV482">
        <f ca="1"/>
      </c>
      <c r="CW482">
        <f ca="1"/>
      </c>
      <c r="CX482">
        <f ca="1"/>
      </c>
      <c r="CY482">
        <f ca="1"/>
      </c>
      <c r="CZ482">
        <f ca="1"/>
      </c>
      <c r="DA482">
        <f ca="1"/>
      </c>
      <c r="DB482">
        <f ca="1"/>
      </c>
      <c r="DC482">
        <f ca="1"/>
      </c>
      <c r="DD482">
        <f ca="1"/>
      </c>
      <c r="DE482">
        <f ca="1"/>
      </c>
      <c r="DG482">
        <f ca="1"/>
      </c>
      <c r="DH482">
        <f ca="1"/>
      </c>
      <c r="DI482">
        <f ca="1"/>
      </c>
      <c r="DJ482">
        <f ca="1"/>
      </c>
      <c r="DK482">
        <f ca="1"/>
      </c>
      <c r="DL482">
        <f ca="1"/>
      </c>
      <c r="DM482">
        <f ca="1"/>
      </c>
      <c r="DN482">
        <f ca="1"/>
      </c>
      <c r="DO482">
        <f ca="1"/>
      </c>
      <c r="DP482">
        <f ca="1"/>
      </c>
      <c r="DQ482">
        <f ca="1"/>
      </c>
      <c r="DR482">
        <f ca="1"/>
      </c>
      <c r="DS482">
        <f ca="1"/>
      </c>
      <c r="DT482">
        <f ca="1"/>
      </c>
      <c r="DU482">
        <f ca="1"/>
      </c>
      <c r="DV482">
        <f ca="1"/>
      </c>
      <c r="DW482">
        <f ca="1"/>
      </c>
      <c r="DX482">
        <f ca="1"/>
      </c>
      <c r="DY482">
        <f ca="1"/>
      </c>
      <c r="DZ482">
        <f ca="1"/>
      </c>
      <c r="EA482">
        <f ca="1"/>
      </c>
      <c r="EB482">
        <f ca="1"/>
      </c>
      <c r="EC482">
        <f ca="1"/>
      </c>
      <c r="ED482">
        <f ca="1"/>
      </c>
      <c r="EE482">
        <f ca="1"/>
      </c>
      <c r="EF482">
        <f ca="1"/>
      </c>
      <c r="EG482">
        <f ca="1"/>
      </c>
      <c r="EH482">
        <f ca="1"/>
      </c>
      <c r="EI482">
        <f ca="1"/>
      </c>
      <c r="EJ482">
        <f ca="1"/>
      </c>
      <c r="EK482">
        <f ca="1"/>
      </c>
      <c r="EL482">
        <f ca="1"/>
      </c>
      <c r="EM482">
        <f ca="1"/>
      </c>
      <c r="EN482">
        <f ca="1"/>
      </c>
      <c r="EO482">
        <f ca="1"/>
      </c>
      <c r="EP482">
        <f ca="1"/>
      </c>
      <c r="EQ482">
        <f ca="1"/>
      </c>
      <c r="ER482">
        <f ca="1"/>
      </c>
      <c r="ES482">
        <f ca="1"/>
      </c>
      <c r="ET482">
        <f ca="1"/>
      </c>
      <c r="EU482">
        <f ca="1"/>
      </c>
      <c r="EV482">
        <f ca="1"/>
      </c>
      <c r="EW482">
        <f ca="1"/>
      </c>
      <c r="EX482">
        <f ca="1"/>
      </c>
      <c r="EY482">
        <f ca="1"/>
      </c>
      <c r="EZ482">
        <f ca="1"/>
      </c>
      <c r="FA482">
        <f ca="1"/>
      </c>
      <c r="FC482">
        <f ca="1"/>
      </c>
      <c r="FD482">
        <f ca="1"/>
      </c>
      <c r="FE482">
        <f ca="1"/>
      </c>
      <c r="FF482">
        <f ca="1"/>
      </c>
      <c r="FG482">
        <f ca="1"/>
      </c>
      <c r="FH482">
        <f ca="1"/>
      </c>
      <c r="FI482">
        <f ca="1"/>
      </c>
      <c r="FJ482">
        <f ca="1"/>
      </c>
      <c r="FK482">
        <f ca="1"/>
      </c>
      <c r="FL482">
        <f ca="1"/>
      </c>
      <c r="FM482">
        <f ca="1"/>
      </c>
      <c r="FN482">
        <f ca="1"/>
      </c>
      <c r="FO482">
        <f ca="1"/>
      </c>
      <c r="FP482">
        <f ca="1"/>
      </c>
      <c r="FQ482">
        <f ca="1"/>
      </c>
      <c r="FR482">
        <f ca="1"/>
      </c>
      <c r="FS482">
        <f ca="1"/>
      </c>
      <c r="FT482">
        <f ca="1"/>
      </c>
      <c r="FU482">
        <f ca="1"/>
      </c>
      <c r="FV482">
        <f ca="1"/>
      </c>
      <c r="FW482">
        <f ca="1"/>
      </c>
      <c r="FX482">
        <f ca="1"/>
      </c>
      <c r="FY482">
        <f ca="1"/>
      </c>
      <c r="FZ482">
        <f ca="1"/>
      </c>
      <c r="GA482">
        <f ca="1"/>
      </c>
      <c r="GB482">
        <f ca="1"/>
      </c>
      <c r="GC482">
        <f ca="1"/>
      </c>
      <c r="GD482">
        <f ca="1"/>
      </c>
      <c r="GE482">
        <f ca="1"/>
      </c>
      <c r="GF482">
        <f ca="1"/>
      </c>
      <c r="GG482">
        <f ca="1"/>
      </c>
      <c r="GH482">
        <f ca="1"/>
      </c>
      <c r="GI482">
        <f ca="1"/>
      </c>
      <c r="GJ482">
        <f ca="1"/>
      </c>
      <c r="GK482">
        <f ca="1"/>
      </c>
      <c r="GL482">
        <f ca="1"/>
      </c>
      <c r="GM482">
        <f ca="1"/>
      </c>
      <c r="GN482">
        <f ca="1"/>
      </c>
      <c r="GO482">
        <f ca="1"/>
      </c>
      <c r="GP482">
        <f ca="1"/>
      </c>
      <c r="GQ482">
        <f ca="1"/>
      </c>
      <c r="GR482">
        <f ca="1"/>
      </c>
      <c r="GS482">
        <f ca="1"/>
      </c>
      <c r="GT482">
        <f ca="1"/>
      </c>
      <c r="GU482">
        <f ca="1"/>
      </c>
      <c r="GV482">
        <f ca="1"/>
      </c>
      <c r="GW482">
        <f ca="1"/>
      </c>
      <c r="HI482" s="7"/>
    </row>
    <row r="483" spans="63:217" x14ac:dyDescent="0.55000000000000004">
      <c r="BK483">
        <f ca="1"/>
      </c>
      <c r="BL483">
        <f ca="1"/>
      </c>
      <c r="BM483">
        <f ca="1"/>
      </c>
      <c r="BN483">
        <f ca="1"/>
      </c>
      <c r="BO483">
        <f ca="1"/>
      </c>
      <c r="BP483">
        <f ca="1"/>
      </c>
      <c r="BQ483">
        <f ca="1"/>
      </c>
      <c r="BR483">
        <f ca="1"/>
      </c>
      <c r="BS483">
        <f ca="1"/>
      </c>
      <c r="BT483">
        <f ca="1"/>
      </c>
      <c r="BU483">
        <f ca="1"/>
      </c>
      <c r="BV483">
        <f ca="1"/>
      </c>
      <c r="BW483">
        <f ca="1"/>
      </c>
      <c r="BX483">
        <f ca="1"/>
      </c>
      <c r="BY483">
        <f ca="1"/>
      </c>
      <c r="BZ483">
        <f ca="1"/>
      </c>
      <c r="CA483">
        <f ca="1"/>
      </c>
      <c r="CB483">
        <f ca="1"/>
      </c>
      <c r="CC483">
        <f ca="1"/>
      </c>
      <c r="CD483">
        <f ca="1"/>
      </c>
      <c r="CE483">
        <f ca="1"/>
      </c>
      <c r="CF483">
        <f ca="1"/>
      </c>
      <c r="CG483">
        <f ca="1"/>
      </c>
      <c r="CH483">
        <f ca="1"/>
      </c>
      <c r="CI483">
        <f ca="1"/>
      </c>
      <c r="CJ483">
        <f ca="1"/>
      </c>
      <c r="CK483">
        <f ca="1"/>
      </c>
      <c r="CL483">
        <f ca="1"/>
      </c>
      <c r="CM483">
        <f ca="1"/>
      </c>
      <c r="CN483">
        <f ca="1"/>
      </c>
      <c r="CO483">
        <f ca="1"/>
      </c>
      <c r="CP483">
        <f ca="1"/>
      </c>
      <c r="CQ483">
        <f ca="1"/>
      </c>
      <c r="CR483">
        <f ca="1"/>
      </c>
      <c r="CS483">
        <f ca="1"/>
      </c>
      <c r="CT483">
        <f ca="1"/>
      </c>
      <c r="CU483">
        <f ca="1"/>
      </c>
      <c r="CV483">
        <f ca="1"/>
      </c>
      <c r="CW483">
        <f ca="1"/>
      </c>
      <c r="CX483">
        <f ca="1"/>
      </c>
      <c r="CY483">
        <f ca="1"/>
      </c>
      <c r="CZ483">
        <f ca="1"/>
      </c>
      <c r="DA483">
        <f ca="1"/>
      </c>
      <c r="DB483">
        <f ca="1"/>
      </c>
      <c r="DC483">
        <f ca="1"/>
      </c>
      <c r="DD483">
        <f ca="1"/>
      </c>
      <c r="DE483">
        <f ca="1"/>
      </c>
      <c r="DG483">
        <f ca="1"/>
      </c>
      <c r="DH483">
        <f ca="1"/>
      </c>
      <c r="DI483">
        <f ca="1"/>
      </c>
      <c r="DJ483">
        <f ca="1"/>
      </c>
      <c r="DK483">
        <f ca="1"/>
      </c>
      <c r="DL483">
        <f ca="1"/>
      </c>
      <c r="DM483">
        <f ca="1"/>
      </c>
      <c r="DN483">
        <f ca="1"/>
      </c>
      <c r="DO483">
        <f ca="1"/>
      </c>
      <c r="DP483">
        <f ca="1"/>
      </c>
      <c r="DQ483">
        <f ca="1"/>
      </c>
      <c r="DR483">
        <f ca="1"/>
      </c>
      <c r="DS483">
        <f ca="1"/>
      </c>
      <c r="DT483">
        <f ca="1"/>
      </c>
      <c r="DU483">
        <f ca="1"/>
      </c>
      <c r="DV483">
        <f ca="1"/>
      </c>
      <c r="DW483">
        <f ca="1"/>
      </c>
      <c r="DX483">
        <f ca="1"/>
      </c>
      <c r="DY483">
        <f ca="1"/>
      </c>
      <c r="DZ483">
        <f ca="1"/>
      </c>
      <c r="EA483">
        <f ca="1"/>
      </c>
      <c r="EB483">
        <f ca="1"/>
      </c>
      <c r="EC483">
        <f ca="1"/>
      </c>
      <c r="ED483">
        <f ca="1"/>
      </c>
      <c r="EE483">
        <f ca="1"/>
      </c>
      <c r="EF483">
        <f ca="1"/>
      </c>
      <c r="EG483">
        <f ca="1"/>
      </c>
      <c r="EH483">
        <f ca="1"/>
      </c>
      <c r="EI483">
        <f ca="1"/>
      </c>
      <c r="EJ483">
        <f ca="1"/>
      </c>
      <c r="EK483">
        <f ca="1"/>
      </c>
      <c r="EL483">
        <f ca="1"/>
      </c>
      <c r="EM483">
        <f ca="1"/>
      </c>
      <c r="EN483">
        <f ca="1"/>
      </c>
      <c r="EO483">
        <f ca="1"/>
      </c>
      <c r="EP483">
        <f ca="1"/>
      </c>
      <c r="EQ483">
        <f ca="1"/>
      </c>
      <c r="ER483">
        <f ca="1"/>
      </c>
      <c r="ES483">
        <f ca="1"/>
      </c>
      <c r="ET483">
        <f ca="1"/>
      </c>
      <c r="EU483">
        <f ca="1"/>
      </c>
      <c r="EV483">
        <f ca="1"/>
      </c>
      <c r="EW483">
        <f ca="1"/>
      </c>
      <c r="EX483">
        <f ca="1"/>
      </c>
      <c r="EY483">
        <f ca="1"/>
      </c>
      <c r="EZ483">
        <f ca="1"/>
      </c>
      <c r="FA483">
        <f ca="1"/>
      </c>
      <c r="FC483">
        <f ca="1"/>
      </c>
      <c r="FD483">
        <f ca="1"/>
      </c>
      <c r="FE483">
        <f ca="1"/>
      </c>
      <c r="FF483">
        <f ca="1"/>
      </c>
      <c r="FG483">
        <f ca="1"/>
      </c>
      <c r="FH483">
        <f ca="1"/>
      </c>
      <c r="FI483">
        <f ca="1"/>
      </c>
      <c r="FJ483">
        <f ca="1"/>
      </c>
      <c r="FK483">
        <f ca="1"/>
      </c>
      <c r="FL483">
        <f ca="1"/>
      </c>
      <c r="FM483">
        <f ca="1"/>
      </c>
      <c r="FN483">
        <f ca="1"/>
      </c>
      <c r="FO483">
        <f ca="1"/>
      </c>
      <c r="FP483">
        <f ca="1"/>
      </c>
      <c r="FQ483">
        <f ca="1"/>
      </c>
      <c r="FR483">
        <f ca="1"/>
      </c>
      <c r="FS483">
        <f ca="1"/>
      </c>
      <c r="FT483">
        <f ca="1"/>
      </c>
      <c r="FU483">
        <f ca="1"/>
      </c>
      <c r="FV483">
        <f ca="1"/>
      </c>
      <c r="FW483">
        <f ca="1"/>
      </c>
      <c r="FX483">
        <f ca="1"/>
      </c>
      <c r="FY483">
        <f ca="1"/>
      </c>
      <c r="FZ483">
        <f ca="1"/>
      </c>
      <c r="GA483">
        <f ca="1"/>
      </c>
      <c r="GB483">
        <f ca="1"/>
      </c>
      <c r="GC483">
        <f ca="1"/>
      </c>
      <c r="GD483">
        <f ca="1"/>
      </c>
      <c r="GE483">
        <f ca="1"/>
      </c>
      <c r="GF483">
        <f ca="1"/>
      </c>
      <c r="GG483">
        <f ca="1"/>
      </c>
      <c r="GH483">
        <f ca="1"/>
      </c>
      <c r="GI483">
        <f ca="1"/>
      </c>
      <c r="GJ483">
        <f ca="1"/>
      </c>
      <c r="GK483">
        <f ca="1"/>
      </c>
      <c r="GL483">
        <f ca="1"/>
      </c>
      <c r="GM483">
        <f ca="1"/>
      </c>
      <c r="GN483">
        <f ca="1"/>
      </c>
      <c r="GO483">
        <f ca="1"/>
      </c>
      <c r="GP483">
        <f ca="1"/>
      </c>
      <c r="GQ483">
        <f ca="1"/>
      </c>
      <c r="GR483">
        <f ca="1"/>
      </c>
      <c r="GS483">
        <f ca="1"/>
      </c>
      <c r="GT483">
        <f ca="1"/>
      </c>
      <c r="GU483">
        <f ca="1"/>
      </c>
      <c r="GV483">
        <f ca="1"/>
      </c>
      <c r="GW483">
        <f ca="1"/>
      </c>
      <c r="HI483" s="7"/>
    </row>
    <row r="484" spans="63:217" x14ac:dyDescent="0.55000000000000004">
      <c r="BK484">
        <f ca="1"/>
      </c>
      <c r="BL484">
        <f ca="1"/>
      </c>
      <c r="BM484">
        <f ca="1"/>
      </c>
      <c r="BN484">
        <f ca="1"/>
      </c>
      <c r="BO484">
        <f ca="1"/>
      </c>
      <c r="BP484">
        <f ca="1"/>
      </c>
      <c r="BQ484">
        <f ca="1"/>
      </c>
      <c r="BR484">
        <f ca="1"/>
      </c>
      <c r="BS484">
        <f ca="1"/>
      </c>
      <c r="BT484">
        <f ca="1"/>
      </c>
      <c r="BU484">
        <f ca="1"/>
      </c>
      <c r="BV484">
        <f ca="1"/>
      </c>
      <c r="BW484">
        <f ca="1"/>
      </c>
      <c r="BX484">
        <f ca="1"/>
      </c>
      <c r="BY484">
        <f ca="1"/>
      </c>
      <c r="BZ484">
        <f ca="1"/>
      </c>
      <c r="CA484">
        <f ca="1"/>
      </c>
      <c r="CB484">
        <f ca="1"/>
      </c>
      <c r="CC484">
        <f ca="1"/>
      </c>
      <c r="CD484">
        <f ca="1"/>
      </c>
      <c r="CE484">
        <f ca="1"/>
      </c>
      <c r="CF484">
        <f ca="1"/>
      </c>
      <c r="CG484">
        <f ca="1"/>
      </c>
      <c r="CH484">
        <f ca="1"/>
      </c>
      <c r="CI484">
        <f ca="1"/>
      </c>
      <c r="CJ484">
        <f ca="1"/>
      </c>
      <c r="CK484">
        <f ca="1"/>
      </c>
      <c r="CL484">
        <f ca="1"/>
      </c>
      <c r="CM484">
        <f ca="1"/>
      </c>
      <c r="CN484">
        <f ca="1"/>
      </c>
      <c r="CO484">
        <f ca="1"/>
      </c>
      <c r="CP484">
        <f ca="1"/>
      </c>
      <c r="CQ484">
        <f ca="1"/>
      </c>
      <c r="CR484">
        <f ca="1"/>
      </c>
      <c r="CS484">
        <f ca="1"/>
      </c>
      <c r="CT484">
        <f ca="1"/>
      </c>
      <c r="CU484">
        <f ca="1"/>
      </c>
      <c r="CV484">
        <f ca="1"/>
      </c>
      <c r="CW484">
        <f ca="1"/>
      </c>
      <c r="CX484">
        <f ca="1"/>
      </c>
      <c r="CY484">
        <f ca="1"/>
      </c>
      <c r="CZ484">
        <f ca="1"/>
      </c>
      <c r="DA484">
        <f ca="1"/>
      </c>
      <c r="DB484">
        <f ca="1"/>
      </c>
      <c r="DC484">
        <f ca="1"/>
      </c>
      <c r="DD484">
        <f ca="1"/>
      </c>
      <c r="DE484">
        <f ca="1"/>
      </c>
      <c r="DG484">
        <f ca="1"/>
      </c>
      <c r="DH484">
        <f ca="1"/>
      </c>
      <c r="DI484">
        <f ca="1"/>
      </c>
      <c r="DJ484">
        <f ca="1"/>
      </c>
      <c r="DK484">
        <f ca="1"/>
      </c>
      <c r="DL484">
        <f ca="1"/>
      </c>
      <c r="DM484">
        <f ca="1"/>
      </c>
      <c r="DN484">
        <f ca="1"/>
      </c>
      <c r="DO484">
        <f ca="1"/>
      </c>
      <c r="DP484">
        <f ca="1"/>
      </c>
      <c r="DQ484">
        <f ca="1"/>
      </c>
      <c r="DR484">
        <f ca="1"/>
      </c>
      <c r="DS484">
        <f ca="1"/>
      </c>
      <c r="DT484">
        <f ca="1"/>
      </c>
      <c r="DU484">
        <f ca="1"/>
      </c>
      <c r="DV484">
        <f ca="1"/>
      </c>
      <c r="DW484">
        <f ca="1"/>
      </c>
      <c r="DX484">
        <f ca="1"/>
      </c>
      <c r="DY484">
        <f ca="1"/>
      </c>
      <c r="DZ484">
        <f ca="1"/>
      </c>
      <c r="EA484">
        <f ca="1"/>
      </c>
      <c r="EB484">
        <f ca="1"/>
      </c>
      <c r="EC484">
        <f ca="1"/>
      </c>
      <c r="ED484">
        <f ca="1"/>
      </c>
      <c r="EE484">
        <f ca="1"/>
      </c>
      <c r="EF484">
        <f ca="1"/>
      </c>
      <c r="EG484">
        <f ca="1"/>
      </c>
      <c r="EH484">
        <f ca="1"/>
      </c>
      <c r="EI484">
        <f ca="1"/>
      </c>
      <c r="EJ484">
        <f ca="1"/>
      </c>
      <c r="EK484">
        <f ca="1"/>
      </c>
      <c r="EL484">
        <f ca="1"/>
      </c>
      <c r="EM484">
        <f ca="1"/>
      </c>
      <c r="EN484">
        <f ca="1"/>
      </c>
      <c r="EO484">
        <f ca="1"/>
      </c>
      <c r="EP484">
        <f ca="1"/>
      </c>
      <c r="EQ484">
        <f ca="1"/>
      </c>
      <c r="ER484">
        <f ca="1"/>
      </c>
      <c r="ES484">
        <f ca="1"/>
      </c>
      <c r="ET484">
        <f ca="1"/>
      </c>
      <c r="EU484">
        <f ca="1"/>
      </c>
      <c r="EV484">
        <f ca="1"/>
      </c>
      <c r="EW484">
        <f ca="1"/>
      </c>
      <c r="EX484">
        <f ca="1"/>
      </c>
      <c r="EY484">
        <f ca="1"/>
      </c>
      <c r="EZ484">
        <f ca="1"/>
      </c>
      <c r="FA484">
        <f ca="1"/>
      </c>
      <c r="FC484">
        <f ca="1"/>
      </c>
      <c r="FD484">
        <f ca="1"/>
      </c>
      <c r="FE484">
        <f ca="1"/>
      </c>
      <c r="FF484">
        <f ca="1"/>
      </c>
      <c r="FG484">
        <f ca="1"/>
      </c>
      <c r="FH484">
        <f ca="1"/>
      </c>
      <c r="FI484">
        <f ca="1"/>
      </c>
      <c r="FJ484">
        <f ca="1"/>
      </c>
      <c r="FK484">
        <f ca="1"/>
      </c>
      <c r="FL484">
        <f ca="1"/>
      </c>
      <c r="FM484">
        <f ca="1"/>
      </c>
      <c r="FN484">
        <f ca="1"/>
      </c>
      <c r="FO484">
        <f ca="1"/>
      </c>
      <c r="FP484">
        <f ca="1"/>
      </c>
      <c r="FQ484">
        <f ca="1"/>
      </c>
      <c r="FR484">
        <f ca="1"/>
      </c>
      <c r="FS484">
        <f ca="1"/>
      </c>
      <c r="FT484">
        <f ca="1"/>
      </c>
      <c r="FU484">
        <f ca="1"/>
      </c>
      <c r="FV484">
        <f ca="1"/>
      </c>
      <c r="FW484">
        <f ca="1"/>
      </c>
      <c r="FX484">
        <f ca="1"/>
      </c>
      <c r="FY484">
        <f ca="1"/>
      </c>
      <c r="FZ484">
        <f ca="1"/>
      </c>
      <c r="GA484">
        <f ca="1"/>
      </c>
      <c r="GB484">
        <f ca="1"/>
      </c>
      <c r="GC484">
        <f ca="1"/>
      </c>
      <c r="GD484">
        <f ca="1"/>
      </c>
      <c r="GE484">
        <f ca="1"/>
      </c>
      <c r="GF484">
        <f ca="1"/>
      </c>
      <c r="GG484">
        <f ca="1"/>
      </c>
      <c r="GH484">
        <f ca="1"/>
      </c>
      <c r="GI484">
        <f ca="1"/>
      </c>
      <c r="GJ484">
        <f ca="1"/>
      </c>
      <c r="GK484">
        <f ca="1"/>
      </c>
      <c r="GL484">
        <f ca="1"/>
      </c>
      <c r="GM484">
        <f ca="1"/>
      </c>
      <c r="GN484">
        <f ca="1"/>
      </c>
      <c r="GO484">
        <f ca="1"/>
      </c>
      <c r="GP484">
        <f ca="1"/>
      </c>
      <c r="GQ484">
        <f ca="1"/>
      </c>
      <c r="GR484">
        <f ca="1"/>
      </c>
      <c r="GS484">
        <f ca="1"/>
      </c>
      <c r="GT484">
        <f ca="1"/>
      </c>
      <c r="GU484">
        <f ca="1"/>
      </c>
      <c r="GV484">
        <f ca="1"/>
      </c>
      <c r="GW484">
        <f ca="1"/>
      </c>
      <c r="HI484" s="7"/>
    </row>
    <row r="485" spans="63:217" x14ac:dyDescent="0.55000000000000004">
      <c r="BK485">
        <f ca="1"/>
      </c>
      <c r="BL485">
        <f ca="1"/>
      </c>
      <c r="BM485">
        <f ca="1"/>
      </c>
      <c r="BN485">
        <f ca="1"/>
      </c>
      <c r="BO485">
        <f ca="1"/>
      </c>
      <c r="BP485">
        <f ca="1"/>
      </c>
      <c r="BQ485">
        <f ca="1"/>
      </c>
      <c r="BR485">
        <f ca="1"/>
      </c>
      <c r="BS485">
        <f ca="1"/>
      </c>
      <c r="BT485">
        <f ca="1"/>
      </c>
      <c r="BU485">
        <f ca="1"/>
      </c>
      <c r="BV485">
        <f ca="1"/>
      </c>
      <c r="BW485">
        <f ca="1"/>
      </c>
      <c r="BX485">
        <f ca="1"/>
      </c>
      <c r="BY485">
        <f ca="1"/>
      </c>
      <c r="BZ485">
        <f ca="1"/>
      </c>
      <c r="CA485">
        <f ca="1"/>
      </c>
      <c r="CB485">
        <f ca="1"/>
      </c>
      <c r="CC485">
        <f ca="1"/>
      </c>
      <c r="CD485">
        <f ca="1"/>
      </c>
      <c r="CE485">
        <f ca="1"/>
      </c>
      <c r="CF485">
        <f ca="1"/>
      </c>
      <c r="CG485">
        <f ca="1"/>
      </c>
      <c r="CH485">
        <f ca="1"/>
      </c>
      <c r="CI485">
        <f ca="1"/>
      </c>
      <c r="CJ485">
        <f ca="1"/>
      </c>
      <c r="CK485">
        <f ca="1"/>
      </c>
      <c r="CL485">
        <f ca="1"/>
      </c>
      <c r="CM485">
        <f ca="1"/>
      </c>
      <c r="CN485">
        <f ca="1"/>
      </c>
      <c r="CO485">
        <f ca="1"/>
      </c>
      <c r="CP485">
        <f ca="1"/>
      </c>
      <c r="CQ485">
        <f ca="1"/>
      </c>
      <c r="CR485">
        <f ca="1"/>
      </c>
      <c r="CS485">
        <f ca="1"/>
      </c>
      <c r="CT485">
        <f ca="1"/>
      </c>
      <c r="CU485">
        <f ca="1"/>
      </c>
      <c r="CV485">
        <f ca="1"/>
      </c>
      <c r="CW485">
        <f ca="1"/>
      </c>
      <c r="CX485">
        <f ca="1"/>
      </c>
      <c r="CY485">
        <f ca="1"/>
      </c>
      <c r="CZ485">
        <f ca="1"/>
      </c>
      <c r="DA485">
        <f ca="1"/>
      </c>
      <c r="DB485">
        <f ca="1"/>
      </c>
      <c r="DC485">
        <f ca="1"/>
      </c>
      <c r="DD485">
        <f ca="1"/>
      </c>
      <c r="DE485">
        <f ca="1"/>
      </c>
      <c r="DG485">
        <f ca="1"/>
      </c>
      <c r="DH485">
        <f ca="1"/>
      </c>
      <c r="DI485">
        <f ca="1"/>
      </c>
      <c r="DJ485">
        <f ca="1"/>
      </c>
      <c r="DK485">
        <f ca="1"/>
      </c>
      <c r="DL485">
        <f ca="1"/>
      </c>
      <c r="DM485">
        <f ca="1"/>
      </c>
      <c r="DN485">
        <f ca="1"/>
      </c>
      <c r="DO485">
        <f ca="1"/>
      </c>
      <c r="DP485">
        <f ca="1"/>
      </c>
      <c r="DQ485">
        <f ca="1"/>
      </c>
      <c r="DR485">
        <f ca="1"/>
      </c>
      <c r="DS485">
        <f ca="1"/>
      </c>
      <c r="DT485">
        <f ca="1"/>
      </c>
      <c r="DU485">
        <f ca="1"/>
      </c>
      <c r="DV485">
        <f ca="1"/>
      </c>
      <c r="DW485">
        <f ca="1"/>
      </c>
      <c r="DX485">
        <f ca="1"/>
      </c>
      <c r="DY485">
        <f ca="1"/>
      </c>
      <c r="DZ485">
        <f ca="1"/>
      </c>
      <c r="EA485">
        <f ca="1"/>
      </c>
      <c r="EB485">
        <f ca="1"/>
      </c>
      <c r="EC485">
        <f ca="1"/>
      </c>
      <c r="ED485">
        <f ca="1"/>
      </c>
      <c r="EE485">
        <f ca="1"/>
      </c>
      <c r="EF485">
        <f ca="1"/>
      </c>
      <c r="EG485">
        <f ca="1"/>
      </c>
      <c r="EH485">
        <f ca="1"/>
      </c>
      <c r="EI485">
        <f ca="1"/>
      </c>
      <c r="EJ485">
        <f ca="1"/>
      </c>
      <c r="EK485">
        <f ca="1"/>
      </c>
      <c r="EL485">
        <f ca="1"/>
      </c>
      <c r="EM485">
        <f ca="1"/>
      </c>
      <c r="EN485">
        <f ca="1"/>
      </c>
      <c r="EO485">
        <f ca="1"/>
      </c>
      <c r="EP485">
        <f ca="1"/>
      </c>
      <c r="EQ485">
        <f ca="1"/>
      </c>
      <c r="ER485">
        <f ca="1"/>
      </c>
      <c r="ES485">
        <f ca="1"/>
      </c>
      <c r="ET485">
        <f ca="1"/>
      </c>
      <c r="EU485">
        <f ca="1"/>
      </c>
      <c r="EV485">
        <f ca="1"/>
      </c>
      <c r="EW485">
        <f ca="1"/>
      </c>
      <c r="EX485">
        <f ca="1"/>
      </c>
      <c r="EY485">
        <f ca="1"/>
      </c>
      <c r="EZ485">
        <f ca="1"/>
      </c>
      <c r="FA485">
        <f ca="1"/>
      </c>
      <c r="FC485">
        <f ca="1"/>
      </c>
      <c r="FD485">
        <f ca="1"/>
      </c>
      <c r="FE485">
        <f ca="1"/>
      </c>
      <c r="FF485">
        <f ca="1"/>
      </c>
      <c r="FG485">
        <f ca="1"/>
      </c>
      <c r="FH485">
        <f ca="1"/>
      </c>
      <c r="FI485">
        <f ca="1"/>
      </c>
      <c r="FJ485">
        <f ca="1"/>
      </c>
      <c r="FK485">
        <f ca="1"/>
      </c>
      <c r="FL485">
        <f ca="1"/>
      </c>
      <c r="FM485">
        <f ca="1"/>
      </c>
      <c r="FN485">
        <f ca="1"/>
      </c>
      <c r="FO485">
        <f ca="1"/>
      </c>
      <c r="FP485">
        <f ca="1"/>
      </c>
      <c r="FQ485">
        <f ca="1"/>
      </c>
      <c r="FR485">
        <f ca="1"/>
      </c>
      <c r="FS485">
        <f ca="1"/>
      </c>
      <c r="FT485">
        <f ca="1"/>
      </c>
      <c r="FU485">
        <f ca="1"/>
      </c>
      <c r="FV485">
        <f ca="1"/>
      </c>
      <c r="FW485">
        <f ca="1"/>
      </c>
      <c r="FX485">
        <f ca="1"/>
      </c>
      <c r="FY485">
        <f ca="1"/>
      </c>
      <c r="FZ485">
        <f ca="1"/>
      </c>
      <c r="GA485">
        <f ca="1"/>
      </c>
      <c r="GB485">
        <f ca="1"/>
      </c>
      <c r="GC485">
        <f ca="1"/>
      </c>
      <c r="GD485">
        <f ca="1"/>
      </c>
      <c r="GE485">
        <f ca="1"/>
      </c>
      <c r="GF485">
        <f ca="1"/>
      </c>
      <c r="GG485">
        <f ca="1"/>
      </c>
      <c r="GH485">
        <f ca="1"/>
      </c>
      <c r="GI485">
        <f ca="1"/>
      </c>
      <c r="GJ485">
        <f ca="1"/>
      </c>
      <c r="GK485">
        <f ca="1"/>
      </c>
      <c r="GL485">
        <f ca="1"/>
      </c>
      <c r="GM485">
        <f ca="1"/>
      </c>
      <c r="GN485">
        <f ca="1"/>
      </c>
      <c r="GO485">
        <f ca="1"/>
      </c>
      <c r="GP485">
        <f ca="1"/>
      </c>
      <c r="GQ485">
        <f ca="1"/>
      </c>
      <c r="GR485">
        <f ca="1"/>
      </c>
      <c r="GS485">
        <f ca="1"/>
      </c>
      <c r="GT485">
        <f ca="1"/>
      </c>
      <c r="GU485">
        <f ca="1"/>
      </c>
      <c r="GV485">
        <f ca="1"/>
      </c>
      <c r="GW485">
        <f ca="1"/>
      </c>
      <c r="HI485" s="7"/>
    </row>
    <row r="486" spans="63:217" x14ac:dyDescent="0.55000000000000004">
      <c r="BK486">
        <f ca="1"/>
      </c>
      <c r="BL486">
        <f ca="1"/>
      </c>
      <c r="BM486">
        <f ca="1"/>
      </c>
      <c r="BN486">
        <f ca="1"/>
      </c>
      <c r="BO486">
        <f ca="1"/>
      </c>
      <c r="BP486">
        <f ca="1"/>
      </c>
      <c r="BQ486">
        <f ca="1"/>
      </c>
      <c r="BR486">
        <f ca="1"/>
      </c>
      <c r="BS486">
        <f ca="1"/>
      </c>
      <c r="BT486">
        <f ca="1"/>
      </c>
      <c r="BU486">
        <f ca="1"/>
      </c>
      <c r="BV486">
        <f ca="1"/>
      </c>
      <c r="BW486">
        <f ca="1"/>
      </c>
      <c r="BX486">
        <f ca="1"/>
      </c>
      <c r="BY486">
        <f ca="1"/>
      </c>
      <c r="BZ486">
        <f ca="1"/>
      </c>
      <c r="CA486">
        <f ca="1"/>
      </c>
      <c r="CB486">
        <f ca="1"/>
      </c>
      <c r="CC486">
        <f ca="1"/>
      </c>
      <c r="CD486">
        <f ca="1"/>
      </c>
      <c r="CE486">
        <f ca="1"/>
      </c>
      <c r="CF486">
        <f ca="1"/>
      </c>
      <c r="CG486">
        <f ca="1"/>
      </c>
      <c r="CH486">
        <f ca="1"/>
      </c>
      <c r="CI486">
        <f ca="1"/>
      </c>
      <c r="CJ486">
        <f ca="1"/>
      </c>
      <c r="CK486">
        <f ca="1"/>
      </c>
      <c r="CL486">
        <f ca="1"/>
      </c>
      <c r="CM486">
        <f ca="1"/>
      </c>
      <c r="CN486">
        <f ca="1"/>
      </c>
      <c r="CO486">
        <f ca="1"/>
      </c>
      <c r="CP486">
        <f ca="1"/>
      </c>
      <c r="CQ486">
        <f ca="1"/>
      </c>
      <c r="CR486">
        <f ca="1"/>
      </c>
      <c r="CS486">
        <f ca="1"/>
      </c>
      <c r="CT486">
        <f ca="1"/>
      </c>
      <c r="CU486">
        <f ca="1"/>
      </c>
      <c r="CV486">
        <f ca="1"/>
      </c>
      <c r="CW486">
        <f ca="1"/>
      </c>
      <c r="CX486">
        <f ca="1"/>
      </c>
      <c r="CY486">
        <f ca="1"/>
      </c>
      <c r="CZ486">
        <f ca="1"/>
      </c>
      <c r="DA486">
        <f ca="1"/>
      </c>
      <c r="DB486">
        <f ca="1"/>
      </c>
      <c r="DC486">
        <f ca="1"/>
      </c>
      <c r="DD486">
        <f ca="1"/>
      </c>
      <c r="DE486">
        <f ca="1"/>
      </c>
      <c r="DG486">
        <f ca="1"/>
      </c>
      <c r="DH486">
        <f ca="1"/>
      </c>
      <c r="DI486">
        <f ca="1"/>
      </c>
      <c r="DJ486">
        <f ca="1"/>
      </c>
      <c r="DK486">
        <f ca="1"/>
      </c>
      <c r="DL486">
        <f ca="1"/>
      </c>
      <c r="DM486">
        <f ca="1"/>
      </c>
      <c r="DN486">
        <f ca="1"/>
      </c>
      <c r="DO486">
        <f ca="1"/>
      </c>
      <c r="DP486">
        <f ca="1"/>
      </c>
      <c r="DQ486">
        <f ca="1"/>
      </c>
      <c r="DR486">
        <f ca="1"/>
      </c>
      <c r="DS486">
        <f ca="1"/>
      </c>
      <c r="DT486">
        <f ca="1"/>
      </c>
      <c r="DU486">
        <f ca="1"/>
      </c>
      <c r="DV486">
        <f ca="1"/>
      </c>
      <c r="DW486">
        <f ca="1"/>
      </c>
      <c r="DX486">
        <f ca="1"/>
      </c>
      <c r="DY486">
        <f ca="1"/>
      </c>
      <c r="DZ486">
        <f ca="1"/>
      </c>
      <c r="EA486">
        <f ca="1"/>
      </c>
      <c r="EB486">
        <f ca="1"/>
      </c>
      <c r="EC486">
        <f ca="1"/>
      </c>
      <c r="ED486">
        <f ca="1"/>
      </c>
      <c r="EE486">
        <f ca="1"/>
      </c>
      <c r="EF486">
        <f ca="1"/>
      </c>
      <c r="EG486">
        <f ca="1"/>
      </c>
      <c r="EH486">
        <f ca="1"/>
      </c>
      <c r="EI486">
        <f ca="1"/>
      </c>
      <c r="EJ486">
        <f ca="1"/>
      </c>
      <c r="EK486">
        <f ca="1"/>
      </c>
      <c r="EL486">
        <f ca="1"/>
      </c>
      <c r="EM486">
        <f ca="1"/>
      </c>
      <c r="EN486">
        <f ca="1"/>
      </c>
      <c r="EO486">
        <f ca="1"/>
      </c>
      <c r="EP486">
        <f ca="1"/>
      </c>
      <c r="EQ486">
        <f ca="1"/>
      </c>
      <c r="ER486">
        <f ca="1"/>
      </c>
      <c r="ES486">
        <f ca="1"/>
      </c>
      <c r="ET486">
        <f ca="1"/>
      </c>
      <c r="EU486">
        <f ca="1"/>
      </c>
      <c r="EV486">
        <f ca="1"/>
      </c>
      <c r="EW486">
        <f ca="1"/>
      </c>
      <c r="EX486">
        <f ca="1"/>
      </c>
      <c r="EY486">
        <f ca="1"/>
      </c>
      <c r="EZ486">
        <f ca="1"/>
      </c>
      <c r="FA486">
        <f ca="1"/>
      </c>
      <c r="FC486">
        <f ca="1"/>
      </c>
      <c r="FD486">
        <f ca="1"/>
      </c>
      <c r="FE486">
        <f ca="1"/>
      </c>
      <c r="FF486">
        <f ca="1"/>
      </c>
      <c r="FG486">
        <f ca="1"/>
      </c>
      <c r="FH486">
        <f ca="1"/>
      </c>
      <c r="FI486">
        <f ca="1"/>
      </c>
      <c r="FJ486">
        <f ca="1"/>
      </c>
      <c r="FK486">
        <f ca="1"/>
      </c>
      <c r="FL486">
        <f ca="1"/>
      </c>
      <c r="FM486">
        <f ca="1"/>
      </c>
      <c r="FN486">
        <f ca="1"/>
      </c>
      <c r="FO486">
        <f ca="1"/>
      </c>
      <c r="FP486">
        <f ca="1"/>
      </c>
      <c r="FQ486">
        <f ca="1"/>
      </c>
      <c r="FR486">
        <f ca="1"/>
      </c>
      <c r="FS486">
        <f ca="1"/>
      </c>
      <c r="FT486">
        <f ca="1"/>
      </c>
      <c r="FU486">
        <f ca="1"/>
      </c>
      <c r="FV486">
        <f ca="1"/>
      </c>
      <c r="FW486">
        <f ca="1"/>
      </c>
      <c r="FX486">
        <f ca="1"/>
      </c>
      <c r="FY486">
        <f ca="1"/>
      </c>
      <c r="FZ486">
        <f ca="1"/>
      </c>
      <c r="GA486">
        <f ca="1"/>
      </c>
      <c r="GB486">
        <f ca="1"/>
      </c>
      <c r="GC486">
        <f ca="1"/>
      </c>
      <c r="GD486">
        <f ca="1"/>
      </c>
      <c r="GE486">
        <f ca="1"/>
      </c>
      <c r="GF486">
        <f ca="1"/>
      </c>
      <c r="GG486">
        <f ca="1"/>
      </c>
      <c r="GH486">
        <f ca="1"/>
      </c>
      <c r="GI486">
        <f ca="1"/>
      </c>
      <c r="GJ486">
        <f ca="1"/>
      </c>
      <c r="GK486">
        <f ca="1"/>
      </c>
      <c r="GL486">
        <f ca="1"/>
      </c>
      <c r="GM486">
        <f ca="1"/>
      </c>
      <c r="GN486">
        <f ca="1"/>
      </c>
      <c r="GO486">
        <f ca="1"/>
      </c>
      <c r="GP486">
        <f ca="1"/>
      </c>
      <c r="GQ486">
        <f ca="1"/>
      </c>
      <c r="GR486">
        <f ca="1"/>
      </c>
      <c r="GS486">
        <f ca="1"/>
      </c>
      <c r="GT486">
        <f ca="1"/>
      </c>
      <c r="GU486">
        <f ca="1"/>
      </c>
      <c r="GV486">
        <f ca="1"/>
      </c>
      <c r="GW486">
        <f ca="1"/>
      </c>
      <c r="HI486" s="7"/>
    </row>
    <row r="487" spans="63:217" x14ac:dyDescent="0.55000000000000004">
      <c r="HI487" s="7"/>
    </row>
    <row r="488" spans="63:217" x14ac:dyDescent="0.55000000000000004">
      <c r="HI488" s="7"/>
    </row>
    <row r="489" spans="63:217" x14ac:dyDescent="0.55000000000000004">
      <c r="HI489" s="7"/>
    </row>
    <row r="490" spans="63:217" x14ac:dyDescent="0.55000000000000004">
      <c r="HI490" s="7"/>
    </row>
    <row r="491" spans="63:217" x14ac:dyDescent="0.55000000000000004">
      <c r="HI491" s="7"/>
    </row>
    <row r="492" spans="63:217" x14ac:dyDescent="0.55000000000000004">
      <c r="HI492" s="7"/>
    </row>
    <row r="493" spans="63:217" x14ac:dyDescent="0.55000000000000004">
      <c r="HI493" s="7"/>
    </row>
    <row r="494" spans="63:217" x14ac:dyDescent="0.55000000000000004">
      <c r="HI494" s="7"/>
    </row>
    <row r="495" spans="63:217" x14ac:dyDescent="0.55000000000000004">
      <c r="HI495" s="7"/>
    </row>
    <row r="496" spans="63:217" x14ac:dyDescent="0.55000000000000004">
      <c r="HI496" s="7"/>
    </row>
    <row r="497" spans="217:217" x14ac:dyDescent="0.55000000000000004">
      <c r="HI497" s="7"/>
    </row>
    <row r="498" spans="217:217" x14ac:dyDescent="0.55000000000000004">
      <c r="HI498" s="7"/>
    </row>
    <row r="499" spans="217:217" x14ac:dyDescent="0.55000000000000004">
      <c r="HI499" s="7"/>
    </row>
    <row r="500" spans="217:217" x14ac:dyDescent="0.55000000000000004">
      <c r="HI500" s="7"/>
    </row>
    <row r="501" spans="217:217" x14ac:dyDescent="0.55000000000000004">
      <c r="HI501" s="7"/>
    </row>
    <row r="502" spans="217:217" x14ac:dyDescent="0.55000000000000004">
      <c r="HI502" s="7"/>
    </row>
    <row r="503" spans="217:217" x14ac:dyDescent="0.55000000000000004">
      <c r="HI503" s="7"/>
    </row>
    <row r="504" spans="217:217" x14ac:dyDescent="0.55000000000000004">
      <c r="HI504" s="7"/>
    </row>
    <row r="505" spans="217:217" x14ac:dyDescent="0.55000000000000004">
      <c r="HI505" s="7"/>
    </row>
    <row r="506" spans="217:217" x14ac:dyDescent="0.55000000000000004">
      <c r="HI506" s="7"/>
    </row>
    <row r="507" spans="217:217" x14ac:dyDescent="0.55000000000000004">
      <c r="HI507" s="7"/>
    </row>
    <row r="508" spans="217:217" x14ac:dyDescent="0.55000000000000004">
      <c r="HI508" s="7"/>
    </row>
    <row r="509" spans="217:217" x14ac:dyDescent="0.55000000000000004">
      <c r="HI509" s="7"/>
    </row>
    <row r="510" spans="217:217" x14ac:dyDescent="0.55000000000000004">
      <c r="HI510" s="7"/>
    </row>
    <row r="511" spans="217:217" x14ac:dyDescent="0.55000000000000004">
      <c r="HI511" s="7"/>
    </row>
    <row r="512" spans="217:217" x14ac:dyDescent="0.55000000000000004">
      <c r="HI512" s="7"/>
    </row>
    <row r="513" spans="217:217" x14ac:dyDescent="0.55000000000000004">
      <c r="HI513" s="7"/>
    </row>
    <row r="514" spans="217:217" x14ac:dyDescent="0.55000000000000004">
      <c r="HI514" s="7"/>
    </row>
    <row r="515" spans="217:217" x14ac:dyDescent="0.55000000000000004">
      <c r="HI515" s="7"/>
    </row>
    <row r="516" spans="217:217" x14ac:dyDescent="0.55000000000000004">
      <c r="HI516" s="7"/>
    </row>
    <row r="517" spans="217:217" x14ac:dyDescent="0.55000000000000004">
      <c r="HI517" s="7"/>
    </row>
    <row r="518" spans="217:217" x14ac:dyDescent="0.55000000000000004">
      <c r="HI518" s="7"/>
    </row>
    <row r="519" spans="217:217" x14ac:dyDescent="0.55000000000000004">
      <c r="HI519" s="7"/>
    </row>
    <row r="520" spans="217:217" x14ac:dyDescent="0.55000000000000004">
      <c r="HI520" s="7"/>
    </row>
    <row r="521" spans="217:217" x14ac:dyDescent="0.55000000000000004">
      <c r="HI521" s="7"/>
    </row>
    <row r="522" spans="217:217" x14ac:dyDescent="0.55000000000000004">
      <c r="HI522" s="7"/>
    </row>
    <row r="523" spans="217:217" x14ac:dyDescent="0.55000000000000004">
      <c r="HI523" s="7"/>
    </row>
    <row r="524" spans="217:217" x14ac:dyDescent="0.55000000000000004">
      <c r="HI524" s="7"/>
    </row>
    <row r="525" spans="217:217" x14ac:dyDescent="0.55000000000000004">
      <c r="HI525" s="7"/>
    </row>
    <row r="526" spans="217:217" x14ac:dyDescent="0.55000000000000004">
      <c r="HI526" s="7"/>
    </row>
    <row r="527" spans="217:217" x14ac:dyDescent="0.55000000000000004">
      <c r="HI527" s="7"/>
    </row>
    <row r="528" spans="217:217" x14ac:dyDescent="0.55000000000000004">
      <c r="HI528" s="7"/>
    </row>
    <row r="529" spans="217:217" x14ac:dyDescent="0.55000000000000004">
      <c r="HI529" s="7"/>
    </row>
    <row r="530" spans="217:217" x14ac:dyDescent="0.55000000000000004">
      <c r="HI530" s="7"/>
    </row>
    <row r="531" spans="217:217" x14ac:dyDescent="0.55000000000000004">
      <c r="HI531" s="7"/>
    </row>
    <row r="532" spans="217:217" x14ac:dyDescent="0.55000000000000004">
      <c r="HI532" s="7"/>
    </row>
    <row r="533" spans="217:217" x14ac:dyDescent="0.55000000000000004">
      <c r="HI533" s="7"/>
    </row>
    <row r="534" spans="217:217" x14ac:dyDescent="0.55000000000000004">
      <c r="HI534" s="7"/>
    </row>
    <row r="535" spans="217:217" x14ac:dyDescent="0.55000000000000004">
      <c r="HI535" s="7"/>
    </row>
    <row r="536" spans="217:217" x14ac:dyDescent="0.55000000000000004">
      <c r="HI536" s="7"/>
    </row>
    <row r="537" spans="217:217" x14ac:dyDescent="0.55000000000000004">
      <c r="HI537" s="7"/>
    </row>
    <row r="538" spans="217:217" x14ac:dyDescent="0.55000000000000004">
      <c r="HI538" s="7"/>
    </row>
    <row r="539" spans="217:217" x14ac:dyDescent="0.55000000000000004">
      <c r="HI539" s="7"/>
    </row>
    <row r="540" spans="217:217" x14ac:dyDescent="0.55000000000000004">
      <c r="HI540" s="7"/>
    </row>
    <row r="541" spans="217:217" x14ac:dyDescent="0.55000000000000004">
      <c r="HI541" s="7"/>
    </row>
    <row r="542" spans="217:217" x14ac:dyDescent="0.55000000000000004">
      <c r="HI542" s="7"/>
    </row>
    <row r="543" spans="217:217" x14ac:dyDescent="0.55000000000000004">
      <c r="HI543" s="7"/>
    </row>
    <row r="544" spans="217:217" x14ac:dyDescent="0.55000000000000004">
      <c r="HI544" s="7"/>
    </row>
    <row r="545" spans="217:217" x14ac:dyDescent="0.55000000000000004">
      <c r="HI545" s="7"/>
    </row>
    <row r="546" spans="217:217" x14ac:dyDescent="0.55000000000000004">
      <c r="HI546" s="7"/>
    </row>
    <row r="547" spans="217:217" x14ac:dyDescent="0.55000000000000004">
      <c r="HI547" s="7"/>
    </row>
    <row r="548" spans="217:217" x14ac:dyDescent="0.55000000000000004">
      <c r="HI548" s="7"/>
    </row>
    <row r="549" spans="217:217" x14ac:dyDescent="0.55000000000000004">
      <c r="HI549" s="7"/>
    </row>
    <row r="550" spans="217:217" x14ac:dyDescent="0.55000000000000004">
      <c r="HI550" s="7"/>
    </row>
    <row r="551" spans="217:217" x14ac:dyDescent="0.55000000000000004">
      <c r="HI551" s="7"/>
    </row>
    <row r="552" spans="217:217" x14ac:dyDescent="0.55000000000000004">
      <c r="HI552" s="7"/>
    </row>
    <row r="553" spans="217:217" x14ac:dyDescent="0.55000000000000004">
      <c r="HI553" s="7"/>
    </row>
    <row r="554" spans="217:217" x14ac:dyDescent="0.55000000000000004">
      <c r="HI554" s="7"/>
    </row>
    <row r="555" spans="217:217" x14ac:dyDescent="0.55000000000000004">
      <c r="HI555" s="7"/>
    </row>
    <row r="556" spans="217:217" x14ac:dyDescent="0.55000000000000004">
      <c r="HI556" s="7"/>
    </row>
    <row r="557" spans="217:217" x14ac:dyDescent="0.55000000000000004">
      <c r="HI557" s="7"/>
    </row>
    <row r="558" spans="217:217" x14ac:dyDescent="0.55000000000000004">
      <c r="HI558" s="7"/>
    </row>
    <row r="559" spans="217:217" x14ac:dyDescent="0.55000000000000004">
      <c r="HI559" s="7"/>
    </row>
    <row r="560" spans="217:217" x14ac:dyDescent="0.55000000000000004">
      <c r="HI560" s="7"/>
    </row>
    <row r="561" spans="217:217" x14ac:dyDescent="0.55000000000000004">
      <c r="HI561" s="7"/>
    </row>
    <row r="562" spans="217:217" x14ac:dyDescent="0.55000000000000004">
      <c r="HI562" s="7"/>
    </row>
    <row r="563" spans="217:217" x14ac:dyDescent="0.55000000000000004">
      <c r="HI563" s="7"/>
    </row>
    <row r="564" spans="217:217" x14ac:dyDescent="0.55000000000000004">
      <c r="HI564" s="7"/>
    </row>
    <row r="565" spans="217:217" x14ac:dyDescent="0.55000000000000004">
      <c r="HI565" s="7"/>
    </row>
    <row r="566" spans="217:217" x14ac:dyDescent="0.55000000000000004">
      <c r="HI566" s="7"/>
    </row>
    <row r="567" spans="217:217" x14ac:dyDescent="0.55000000000000004">
      <c r="HI567" s="7"/>
    </row>
    <row r="568" spans="217:217" x14ac:dyDescent="0.55000000000000004">
      <c r="HI568" s="7"/>
    </row>
    <row r="569" spans="217:217" x14ac:dyDescent="0.55000000000000004">
      <c r="HI569" s="7"/>
    </row>
    <row r="570" spans="217:217" x14ac:dyDescent="0.55000000000000004">
      <c r="HI570" s="7"/>
    </row>
    <row r="571" spans="217:217" x14ac:dyDescent="0.55000000000000004">
      <c r="HI571" s="7"/>
    </row>
    <row r="572" spans="217:217" x14ac:dyDescent="0.55000000000000004">
      <c r="HI572" s="7"/>
    </row>
    <row r="573" spans="217:217" x14ac:dyDescent="0.55000000000000004">
      <c r="HI573" s="7"/>
    </row>
    <row r="574" spans="217:217" x14ac:dyDescent="0.55000000000000004">
      <c r="HI574" s="7"/>
    </row>
    <row r="575" spans="217:217" x14ac:dyDescent="0.55000000000000004">
      <c r="HI575" s="7"/>
    </row>
    <row r="576" spans="217:217" x14ac:dyDescent="0.55000000000000004">
      <c r="HI576" s="7"/>
    </row>
    <row r="577" spans="217:217" x14ac:dyDescent="0.55000000000000004">
      <c r="HI577" s="7"/>
    </row>
    <row r="578" spans="217:217" x14ac:dyDescent="0.55000000000000004">
      <c r="HI578" s="7"/>
    </row>
    <row r="579" spans="217:217" x14ac:dyDescent="0.55000000000000004">
      <c r="HI579" s="7"/>
    </row>
    <row r="580" spans="217:217" x14ac:dyDescent="0.55000000000000004">
      <c r="HI580" s="7"/>
    </row>
    <row r="581" spans="217:217" x14ac:dyDescent="0.55000000000000004">
      <c r="HI581" s="7"/>
    </row>
    <row r="582" spans="217:217" x14ac:dyDescent="0.55000000000000004">
      <c r="HI582" s="7"/>
    </row>
    <row r="583" spans="217:217" x14ac:dyDescent="0.55000000000000004">
      <c r="HI583" s="7"/>
    </row>
    <row r="584" spans="217:217" x14ac:dyDescent="0.55000000000000004">
      <c r="HI584" s="7"/>
    </row>
    <row r="585" spans="217:217" x14ac:dyDescent="0.55000000000000004">
      <c r="HI585" s="7"/>
    </row>
    <row r="586" spans="217:217" x14ac:dyDescent="0.55000000000000004">
      <c r="HI586" s="7"/>
    </row>
    <row r="587" spans="217:217" x14ac:dyDescent="0.55000000000000004">
      <c r="HI587" s="7"/>
    </row>
    <row r="588" spans="217:217" x14ac:dyDescent="0.55000000000000004">
      <c r="HI588" s="7"/>
    </row>
    <row r="589" spans="217:217" x14ac:dyDescent="0.55000000000000004">
      <c r="HI589" s="7"/>
    </row>
    <row r="590" spans="217:217" x14ac:dyDescent="0.55000000000000004">
      <c r="HI590" s="7"/>
    </row>
    <row r="591" spans="217:217" x14ac:dyDescent="0.55000000000000004">
      <c r="HI591" s="7"/>
    </row>
    <row r="592" spans="217:217" x14ac:dyDescent="0.55000000000000004">
      <c r="HI592" s="7"/>
    </row>
    <row r="593" spans="217:217" x14ac:dyDescent="0.55000000000000004">
      <c r="HI593" s="7"/>
    </row>
    <row r="594" spans="217:217" x14ac:dyDescent="0.55000000000000004">
      <c r="HI594" s="7"/>
    </row>
    <row r="595" spans="217:217" x14ac:dyDescent="0.55000000000000004">
      <c r="HI595" s="7"/>
    </row>
    <row r="596" spans="217:217" x14ac:dyDescent="0.55000000000000004">
      <c r="HI596" s="7"/>
    </row>
    <row r="597" spans="217:217" x14ac:dyDescent="0.55000000000000004">
      <c r="HI597" s="7"/>
    </row>
    <row r="598" spans="217:217" x14ac:dyDescent="0.55000000000000004">
      <c r="HI598" s="7"/>
    </row>
    <row r="599" spans="217:217" x14ac:dyDescent="0.55000000000000004">
      <c r="HI599" s="7"/>
    </row>
    <row r="600" spans="217:217" x14ac:dyDescent="0.55000000000000004">
      <c r="HI600" s="7"/>
    </row>
    <row r="601" spans="217:217" x14ac:dyDescent="0.55000000000000004">
      <c r="HI601" s="7"/>
    </row>
    <row r="602" spans="217:217" x14ac:dyDescent="0.55000000000000004">
      <c r="HI602" s="7"/>
    </row>
    <row r="603" spans="217:217" x14ac:dyDescent="0.55000000000000004">
      <c r="HI603" s="7"/>
    </row>
    <row r="604" spans="217:217" x14ac:dyDescent="0.55000000000000004">
      <c r="HI604" s="7"/>
    </row>
    <row r="605" spans="217:217" x14ac:dyDescent="0.55000000000000004">
      <c r="HI605" s="7"/>
    </row>
    <row r="606" spans="217:217" x14ac:dyDescent="0.55000000000000004">
      <c r="HI606" s="7"/>
    </row>
    <row r="607" spans="217:217" x14ac:dyDescent="0.55000000000000004">
      <c r="HI607" s="7"/>
    </row>
    <row r="608" spans="217:217" x14ac:dyDescent="0.55000000000000004">
      <c r="HI608" s="7"/>
    </row>
    <row r="609" spans="217:217" x14ac:dyDescent="0.55000000000000004">
      <c r="HI609" s="7"/>
    </row>
    <row r="610" spans="217:217" x14ac:dyDescent="0.55000000000000004">
      <c r="HI610" s="7"/>
    </row>
    <row r="611" spans="217:217" x14ac:dyDescent="0.55000000000000004">
      <c r="HI611" s="7"/>
    </row>
    <row r="612" spans="217:217" x14ac:dyDescent="0.55000000000000004">
      <c r="HI612" s="7"/>
    </row>
    <row r="613" spans="217:217" x14ac:dyDescent="0.55000000000000004">
      <c r="HI613" s="7"/>
    </row>
    <row r="614" spans="217:217" x14ac:dyDescent="0.55000000000000004">
      <c r="HI614" s="7"/>
    </row>
    <row r="615" spans="217:217" x14ac:dyDescent="0.55000000000000004">
      <c r="HI615" s="7"/>
    </row>
    <row r="616" spans="217:217" x14ac:dyDescent="0.55000000000000004">
      <c r="HI616" s="7"/>
    </row>
    <row r="617" spans="217:217" x14ac:dyDescent="0.55000000000000004">
      <c r="HI617" s="7"/>
    </row>
    <row r="618" spans="217:217" x14ac:dyDescent="0.55000000000000004">
      <c r="HI618" s="7"/>
    </row>
    <row r="619" spans="217:217" x14ac:dyDescent="0.55000000000000004">
      <c r="HI619" s="7"/>
    </row>
    <row r="620" spans="217:217" x14ac:dyDescent="0.55000000000000004">
      <c r="HI620" s="7"/>
    </row>
    <row r="621" spans="217:217" x14ac:dyDescent="0.55000000000000004">
      <c r="HI621" s="7"/>
    </row>
    <row r="622" spans="217:217" x14ac:dyDescent="0.55000000000000004">
      <c r="HI622" s="7"/>
    </row>
    <row r="623" spans="217:217" x14ac:dyDescent="0.55000000000000004">
      <c r="HI623" s="7"/>
    </row>
    <row r="624" spans="217:217" x14ac:dyDescent="0.55000000000000004">
      <c r="HI624" s="7"/>
    </row>
    <row r="625" spans="217:217" x14ac:dyDescent="0.55000000000000004">
      <c r="HI625" s="7"/>
    </row>
    <row r="626" spans="217:217" x14ac:dyDescent="0.55000000000000004">
      <c r="HI626" s="7"/>
    </row>
    <row r="627" spans="217:217" x14ac:dyDescent="0.55000000000000004">
      <c r="HI627" s="7"/>
    </row>
    <row r="628" spans="217:217" x14ac:dyDescent="0.55000000000000004">
      <c r="HI628" s="7"/>
    </row>
    <row r="629" spans="217:217" x14ac:dyDescent="0.55000000000000004">
      <c r="HI629" s="7"/>
    </row>
    <row r="630" spans="217:217" x14ac:dyDescent="0.55000000000000004">
      <c r="HI630" s="7"/>
    </row>
    <row r="631" spans="217:217" x14ac:dyDescent="0.55000000000000004">
      <c r="HI631" s="7"/>
    </row>
    <row r="632" spans="217:217" x14ac:dyDescent="0.55000000000000004">
      <c r="HI632" s="7"/>
    </row>
    <row r="633" spans="217:217" x14ac:dyDescent="0.55000000000000004">
      <c r="HI633" s="7"/>
    </row>
    <row r="634" spans="217:217" x14ac:dyDescent="0.55000000000000004">
      <c r="HI634" s="7"/>
    </row>
    <row r="635" spans="217:217" x14ac:dyDescent="0.55000000000000004">
      <c r="HI635" s="7"/>
    </row>
    <row r="636" spans="217:217" x14ac:dyDescent="0.55000000000000004">
      <c r="HI636" s="7"/>
    </row>
    <row r="637" spans="217:217" x14ac:dyDescent="0.55000000000000004">
      <c r="HI637" s="7"/>
    </row>
    <row r="638" spans="217:217" x14ac:dyDescent="0.55000000000000004">
      <c r="HI638" s="7"/>
    </row>
    <row r="639" spans="217:217" x14ac:dyDescent="0.55000000000000004">
      <c r="HI639" s="7"/>
    </row>
    <row r="640" spans="217:217" x14ac:dyDescent="0.55000000000000004">
      <c r="HI640" s="7"/>
    </row>
    <row r="641" spans="217:217" x14ac:dyDescent="0.55000000000000004">
      <c r="HI641" s="7"/>
    </row>
    <row r="642" spans="217:217" x14ac:dyDescent="0.55000000000000004">
      <c r="HI642" s="7"/>
    </row>
    <row r="643" spans="217:217" x14ac:dyDescent="0.55000000000000004">
      <c r="HI643" s="7"/>
    </row>
    <row r="644" spans="217:217" x14ac:dyDescent="0.55000000000000004">
      <c r="HI644" s="7"/>
    </row>
    <row r="645" spans="217:217" x14ac:dyDescent="0.55000000000000004">
      <c r="HI645" s="7"/>
    </row>
    <row r="646" spans="217:217" x14ac:dyDescent="0.55000000000000004">
      <c r="HI646" s="7"/>
    </row>
    <row r="647" spans="217:217" x14ac:dyDescent="0.55000000000000004">
      <c r="HI647" s="7"/>
    </row>
    <row r="648" spans="217:217" x14ac:dyDescent="0.55000000000000004">
      <c r="HI648" s="7"/>
    </row>
    <row r="649" spans="217:217" x14ac:dyDescent="0.55000000000000004">
      <c r="HI649" s="7"/>
    </row>
    <row r="650" spans="217:217" x14ac:dyDescent="0.55000000000000004">
      <c r="HI650" s="7"/>
    </row>
    <row r="651" spans="217:217" x14ac:dyDescent="0.55000000000000004">
      <c r="HI651" s="7"/>
    </row>
    <row r="652" spans="217:217" x14ac:dyDescent="0.55000000000000004">
      <c r="HI652" s="7"/>
    </row>
    <row r="653" spans="217:217" x14ac:dyDescent="0.55000000000000004">
      <c r="HI653" s="7"/>
    </row>
    <row r="654" spans="217:217" x14ac:dyDescent="0.55000000000000004">
      <c r="HI654" s="7"/>
    </row>
    <row r="655" spans="217:217" x14ac:dyDescent="0.55000000000000004">
      <c r="HI655" s="7"/>
    </row>
    <row r="656" spans="217:217" x14ac:dyDescent="0.55000000000000004">
      <c r="HI656" s="7"/>
    </row>
    <row r="657" spans="217:217" x14ac:dyDescent="0.55000000000000004">
      <c r="HI657" s="7"/>
    </row>
    <row r="658" spans="217:217" x14ac:dyDescent="0.55000000000000004">
      <c r="HI658" s="7"/>
    </row>
    <row r="659" spans="217:217" x14ac:dyDescent="0.55000000000000004">
      <c r="HI659" s="7"/>
    </row>
    <row r="660" spans="217:217" x14ac:dyDescent="0.55000000000000004">
      <c r="HI660" s="7"/>
    </row>
    <row r="661" spans="217:217" x14ac:dyDescent="0.55000000000000004">
      <c r="HI661" s="7"/>
    </row>
    <row r="662" spans="217:217" x14ac:dyDescent="0.55000000000000004">
      <c r="HI662" s="7"/>
    </row>
    <row r="663" spans="217:217" x14ac:dyDescent="0.55000000000000004">
      <c r="HI663" s="7"/>
    </row>
    <row r="664" spans="217:217" x14ac:dyDescent="0.55000000000000004">
      <c r="HI664" s="7"/>
    </row>
    <row r="665" spans="217:217" x14ac:dyDescent="0.55000000000000004">
      <c r="HI665" s="7"/>
    </row>
    <row r="666" spans="217:217" x14ac:dyDescent="0.55000000000000004">
      <c r="HI666" s="7"/>
    </row>
    <row r="667" spans="217:217" x14ac:dyDescent="0.55000000000000004">
      <c r="HI667" s="7"/>
    </row>
    <row r="668" spans="217:217" x14ac:dyDescent="0.55000000000000004">
      <c r="HI668" s="7"/>
    </row>
    <row r="669" spans="217:217" x14ac:dyDescent="0.55000000000000004">
      <c r="HI669" s="7"/>
    </row>
    <row r="670" spans="217:217" x14ac:dyDescent="0.55000000000000004">
      <c r="HI670" s="7"/>
    </row>
    <row r="671" spans="217:217" x14ac:dyDescent="0.55000000000000004">
      <c r="HI671" s="7"/>
    </row>
    <row r="672" spans="217:217" x14ac:dyDescent="0.55000000000000004">
      <c r="HI672" s="7"/>
    </row>
    <row r="673" spans="217:217" x14ac:dyDescent="0.55000000000000004">
      <c r="HI673" s="7"/>
    </row>
    <row r="674" spans="217:217" x14ac:dyDescent="0.55000000000000004">
      <c r="HI674" s="7"/>
    </row>
    <row r="675" spans="217:217" x14ac:dyDescent="0.55000000000000004">
      <c r="HI675" s="7"/>
    </row>
    <row r="676" spans="217:217" x14ac:dyDescent="0.55000000000000004">
      <c r="HI676" s="7"/>
    </row>
    <row r="677" spans="217:217" x14ac:dyDescent="0.55000000000000004">
      <c r="HI677" s="7"/>
    </row>
    <row r="678" spans="217:217" x14ac:dyDescent="0.55000000000000004">
      <c r="HI678" s="7"/>
    </row>
    <row r="679" spans="217:217" x14ac:dyDescent="0.55000000000000004">
      <c r="HI679" s="7"/>
    </row>
    <row r="680" spans="217:217" x14ac:dyDescent="0.55000000000000004">
      <c r="HI680" s="7"/>
    </row>
    <row r="681" spans="217:217" x14ac:dyDescent="0.55000000000000004">
      <c r="HI681" s="7"/>
    </row>
    <row r="682" spans="217:217" x14ac:dyDescent="0.55000000000000004">
      <c r="HI682" s="7"/>
    </row>
    <row r="683" spans="217:217" x14ac:dyDescent="0.55000000000000004">
      <c r="HI683" s="7"/>
    </row>
    <row r="684" spans="217:217" x14ac:dyDescent="0.55000000000000004">
      <c r="HI684" s="7"/>
    </row>
    <row r="685" spans="217:217" x14ac:dyDescent="0.55000000000000004">
      <c r="HI685" s="7"/>
    </row>
    <row r="686" spans="217:217" x14ac:dyDescent="0.55000000000000004">
      <c r="HI686" s="7"/>
    </row>
    <row r="687" spans="217:217" x14ac:dyDescent="0.55000000000000004">
      <c r="HI687" s="7"/>
    </row>
    <row r="688" spans="217:217" x14ac:dyDescent="0.55000000000000004">
      <c r="HI688" s="7"/>
    </row>
    <row r="689" spans="217:217" x14ac:dyDescent="0.55000000000000004">
      <c r="HI689" s="7"/>
    </row>
    <row r="690" spans="217:217" x14ac:dyDescent="0.55000000000000004">
      <c r="HI690" s="7"/>
    </row>
    <row r="691" spans="217:217" x14ac:dyDescent="0.55000000000000004">
      <c r="HI691" s="7"/>
    </row>
    <row r="692" spans="217:217" x14ac:dyDescent="0.55000000000000004">
      <c r="HI692" s="7"/>
    </row>
    <row r="693" spans="217:217" x14ac:dyDescent="0.55000000000000004">
      <c r="HI693" s="7"/>
    </row>
    <row r="694" spans="217:217" x14ac:dyDescent="0.55000000000000004">
      <c r="HI694" s="7"/>
    </row>
    <row r="695" spans="217:217" x14ac:dyDescent="0.55000000000000004">
      <c r="HI695" s="7"/>
    </row>
    <row r="696" spans="217:217" x14ac:dyDescent="0.55000000000000004">
      <c r="HI696" s="7"/>
    </row>
    <row r="697" spans="217:217" x14ac:dyDescent="0.55000000000000004">
      <c r="HI697" s="7"/>
    </row>
    <row r="698" spans="217:217" x14ac:dyDescent="0.55000000000000004">
      <c r="HI698" s="7"/>
    </row>
    <row r="699" spans="217:217" x14ac:dyDescent="0.55000000000000004">
      <c r="HI699" s="7"/>
    </row>
    <row r="700" spans="217:217" x14ac:dyDescent="0.55000000000000004">
      <c r="HI700" s="7"/>
    </row>
    <row r="701" spans="217:217" x14ac:dyDescent="0.55000000000000004">
      <c r="HI701" s="7"/>
    </row>
    <row r="702" spans="217:217" x14ac:dyDescent="0.55000000000000004">
      <c r="HI702" s="7"/>
    </row>
    <row r="703" spans="217:217" x14ac:dyDescent="0.55000000000000004">
      <c r="HI703" s="7"/>
    </row>
    <row r="704" spans="217:217" x14ac:dyDescent="0.55000000000000004">
      <c r="HI704" s="7"/>
    </row>
    <row r="705" spans="217:217" x14ac:dyDescent="0.55000000000000004">
      <c r="HI705" s="7"/>
    </row>
    <row r="706" spans="217:217" x14ac:dyDescent="0.55000000000000004">
      <c r="HI706" s="7"/>
    </row>
    <row r="707" spans="217:217" x14ac:dyDescent="0.55000000000000004">
      <c r="HI707" s="7"/>
    </row>
    <row r="708" spans="217:217" x14ac:dyDescent="0.55000000000000004">
      <c r="HI708" s="7"/>
    </row>
    <row r="709" spans="217:217" x14ac:dyDescent="0.55000000000000004">
      <c r="HI709" s="7"/>
    </row>
    <row r="710" spans="217:217" x14ac:dyDescent="0.55000000000000004">
      <c r="HI710" s="7"/>
    </row>
    <row r="711" spans="217:217" x14ac:dyDescent="0.55000000000000004">
      <c r="HI711" s="7"/>
    </row>
    <row r="712" spans="217:217" x14ac:dyDescent="0.55000000000000004">
      <c r="HI712" s="7"/>
    </row>
    <row r="713" spans="217:217" x14ac:dyDescent="0.55000000000000004">
      <c r="HI713" s="7"/>
    </row>
    <row r="714" spans="217:217" x14ac:dyDescent="0.55000000000000004">
      <c r="HI714" s="7"/>
    </row>
    <row r="715" spans="217:217" x14ac:dyDescent="0.55000000000000004">
      <c r="HI715" s="7"/>
    </row>
    <row r="716" spans="217:217" x14ac:dyDescent="0.55000000000000004">
      <c r="HI716" s="7"/>
    </row>
    <row r="717" spans="217:217" x14ac:dyDescent="0.55000000000000004">
      <c r="HI717" s="7"/>
    </row>
    <row r="718" spans="217:217" x14ac:dyDescent="0.55000000000000004">
      <c r="HI718" s="7"/>
    </row>
    <row r="719" spans="217:217" x14ac:dyDescent="0.55000000000000004">
      <c r="HI719" s="7"/>
    </row>
    <row r="720" spans="217:217" x14ac:dyDescent="0.55000000000000004">
      <c r="HI720" s="7"/>
    </row>
    <row r="721" spans="217:217" x14ac:dyDescent="0.55000000000000004">
      <c r="HI721" s="7"/>
    </row>
    <row r="722" spans="217:217" x14ac:dyDescent="0.55000000000000004">
      <c r="HI722" s="7"/>
    </row>
    <row r="723" spans="217:217" x14ac:dyDescent="0.55000000000000004">
      <c r="HI723" s="7"/>
    </row>
    <row r="724" spans="217:217" x14ac:dyDescent="0.55000000000000004">
      <c r="HI724" s="7"/>
    </row>
    <row r="725" spans="217:217" x14ac:dyDescent="0.55000000000000004">
      <c r="HI725" s="7"/>
    </row>
    <row r="726" spans="217:217" x14ac:dyDescent="0.55000000000000004">
      <c r="HI726" s="7"/>
    </row>
    <row r="727" spans="217:217" x14ac:dyDescent="0.55000000000000004">
      <c r="HI727" s="7"/>
    </row>
    <row r="728" spans="217:217" x14ac:dyDescent="0.55000000000000004">
      <c r="HI728" s="7"/>
    </row>
    <row r="729" spans="217:217" x14ac:dyDescent="0.55000000000000004">
      <c r="HI729" s="7"/>
    </row>
    <row r="730" spans="217:217" x14ac:dyDescent="0.55000000000000004">
      <c r="HI730" s="7"/>
    </row>
    <row r="731" spans="217:217" x14ac:dyDescent="0.55000000000000004">
      <c r="HI731" s="7"/>
    </row>
    <row r="732" spans="217:217" x14ac:dyDescent="0.55000000000000004">
      <c r="HI732" s="7"/>
    </row>
    <row r="733" spans="217:217" x14ac:dyDescent="0.55000000000000004">
      <c r="HI733" s="7"/>
    </row>
    <row r="734" spans="217:217" x14ac:dyDescent="0.55000000000000004">
      <c r="HI734" s="7"/>
    </row>
    <row r="735" spans="217:217" x14ac:dyDescent="0.55000000000000004">
      <c r="HI735" s="7"/>
    </row>
    <row r="736" spans="217:217" x14ac:dyDescent="0.55000000000000004">
      <c r="HI736" s="7"/>
    </row>
    <row r="737" spans="217:217" x14ac:dyDescent="0.55000000000000004">
      <c r="HI737" s="7"/>
    </row>
    <row r="738" spans="217:217" x14ac:dyDescent="0.55000000000000004">
      <c r="HI738" s="7"/>
    </row>
    <row r="739" spans="217:217" x14ac:dyDescent="0.55000000000000004">
      <c r="HI739" s="7"/>
    </row>
    <row r="740" spans="217:217" x14ac:dyDescent="0.55000000000000004">
      <c r="HI740" s="7"/>
    </row>
    <row r="741" spans="217:217" x14ac:dyDescent="0.55000000000000004">
      <c r="HI741" s="7"/>
    </row>
    <row r="742" spans="217:217" x14ac:dyDescent="0.55000000000000004">
      <c r="HI742" s="7"/>
    </row>
    <row r="743" spans="217:217" x14ac:dyDescent="0.55000000000000004">
      <c r="HI743" s="7"/>
    </row>
    <row r="744" spans="217:217" x14ac:dyDescent="0.55000000000000004">
      <c r="HI744" s="7"/>
    </row>
    <row r="745" spans="217:217" x14ac:dyDescent="0.55000000000000004">
      <c r="HI745" s="7"/>
    </row>
    <row r="746" spans="217:217" x14ac:dyDescent="0.55000000000000004">
      <c r="HI746" s="7"/>
    </row>
    <row r="747" spans="217:217" x14ac:dyDescent="0.55000000000000004">
      <c r="HI747" s="7"/>
    </row>
    <row r="748" spans="217:217" x14ac:dyDescent="0.55000000000000004">
      <c r="HI748" s="7"/>
    </row>
    <row r="749" spans="217:217" x14ac:dyDescent="0.55000000000000004">
      <c r="HI749" s="7"/>
    </row>
    <row r="750" spans="217:217" x14ac:dyDescent="0.55000000000000004">
      <c r="HI750" s="7"/>
    </row>
    <row r="751" spans="217:217" x14ac:dyDescent="0.55000000000000004">
      <c r="HI751" s="7"/>
    </row>
    <row r="752" spans="217:217" x14ac:dyDescent="0.55000000000000004">
      <c r="HI752" s="7"/>
    </row>
    <row r="753" spans="217:217" x14ac:dyDescent="0.55000000000000004">
      <c r="HI753" s="7"/>
    </row>
    <row r="754" spans="217:217" x14ac:dyDescent="0.55000000000000004">
      <c r="HI754" s="7"/>
    </row>
    <row r="755" spans="217:217" x14ac:dyDescent="0.55000000000000004">
      <c r="HI755" s="7"/>
    </row>
    <row r="756" spans="217:217" x14ac:dyDescent="0.55000000000000004">
      <c r="HI756" s="7"/>
    </row>
    <row r="757" spans="217:217" x14ac:dyDescent="0.55000000000000004">
      <c r="HI757" s="7"/>
    </row>
    <row r="758" spans="217:217" x14ac:dyDescent="0.55000000000000004">
      <c r="HI758" s="7"/>
    </row>
    <row r="759" spans="217:217" x14ac:dyDescent="0.55000000000000004">
      <c r="HI759" s="7"/>
    </row>
    <row r="760" spans="217:217" x14ac:dyDescent="0.55000000000000004">
      <c r="HI760" s="7"/>
    </row>
    <row r="761" spans="217:217" x14ac:dyDescent="0.55000000000000004">
      <c r="HI761" s="7"/>
    </row>
    <row r="762" spans="217:217" x14ac:dyDescent="0.55000000000000004">
      <c r="HI762" s="7"/>
    </row>
    <row r="763" spans="217:217" x14ac:dyDescent="0.55000000000000004">
      <c r="HI763" s="7"/>
    </row>
    <row r="764" spans="217:217" x14ac:dyDescent="0.55000000000000004">
      <c r="HI764" s="7"/>
    </row>
    <row r="765" spans="217:217" x14ac:dyDescent="0.55000000000000004">
      <c r="HI765" s="7"/>
    </row>
    <row r="766" spans="217:217" x14ac:dyDescent="0.55000000000000004">
      <c r="HI766" s="7"/>
    </row>
    <row r="767" spans="217:217" x14ac:dyDescent="0.55000000000000004">
      <c r="HI767" s="7"/>
    </row>
    <row r="768" spans="217:217" x14ac:dyDescent="0.55000000000000004">
      <c r="HI768" s="7"/>
    </row>
    <row r="769" spans="217:217" x14ac:dyDescent="0.55000000000000004">
      <c r="HI769" s="7"/>
    </row>
    <row r="770" spans="217:217" x14ac:dyDescent="0.55000000000000004">
      <c r="HI770" s="7"/>
    </row>
    <row r="771" spans="217:217" x14ac:dyDescent="0.55000000000000004">
      <c r="HI771" s="7"/>
    </row>
    <row r="772" spans="217:217" x14ac:dyDescent="0.55000000000000004">
      <c r="HI772" s="7"/>
    </row>
    <row r="773" spans="217:217" x14ac:dyDescent="0.55000000000000004">
      <c r="HI773" s="7"/>
    </row>
    <row r="774" spans="217:217" x14ac:dyDescent="0.55000000000000004">
      <c r="HI774" s="7"/>
    </row>
    <row r="775" spans="217:217" x14ac:dyDescent="0.55000000000000004">
      <c r="HI775" s="7"/>
    </row>
    <row r="776" spans="217:217" x14ac:dyDescent="0.55000000000000004">
      <c r="HI776" s="7"/>
    </row>
    <row r="777" spans="217:217" x14ac:dyDescent="0.55000000000000004">
      <c r="HI777" s="7"/>
    </row>
    <row r="778" spans="217:217" x14ac:dyDescent="0.55000000000000004">
      <c r="HI778" s="7"/>
    </row>
    <row r="779" spans="217:217" x14ac:dyDescent="0.55000000000000004">
      <c r="HI779" s="7"/>
    </row>
    <row r="780" spans="217:217" x14ac:dyDescent="0.55000000000000004">
      <c r="HI780" s="7"/>
    </row>
    <row r="781" spans="217:217" x14ac:dyDescent="0.55000000000000004">
      <c r="HI781" s="7"/>
    </row>
    <row r="782" spans="217:217" x14ac:dyDescent="0.55000000000000004">
      <c r="HI782" s="7"/>
    </row>
    <row r="783" spans="217:217" x14ac:dyDescent="0.55000000000000004">
      <c r="HI783" s="7"/>
    </row>
    <row r="784" spans="217:217" x14ac:dyDescent="0.55000000000000004">
      <c r="HI784" s="7"/>
    </row>
    <row r="785" spans="217:217" x14ac:dyDescent="0.55000000000000004">
      <c r="HI785" s="7"/>
    </row>
    <row r="786" spans="217:217" x14ac:dyDescent="0.55000000000000004">
      <c r="HI786" s="7"/>
    </row>
    <row r="787" spans="217:217" x14ac:dyDescent="0.55000000000000004">
      <c r="HI787" s="7"/>
    </row>
    <row r="788" spans="217:217" x14ac:dyDescent="0.55000000000000004">
      <c r="HI788" s="7"/>
    </row>
    <row r="789" spans="217:217" x14ac:dyDescent="0.55000000000000004">
      <c r="HI789" s="7"/>
    </row>
    <row r="790" spans="217:217" x14ac:dyDescent="0.55000000000000004">
      <c r="HI790" s="7"/>
    </row>
    <row r="791" spans="217:217" x14ac:dyDescent="0.55000000000000004">
      <c r="HI791" s="7"/>
    </row>
    <row r="792" spans="217:217" x14ac:dyDescent="0.55000000000000004">
      <c r="HI792" s="7"/>
    </row>
    <row r="793" spans="217:217" x14ac:dyDescent="0.55000000000000004">
      <c r="HI793" s="7"/>
    </row>
    <row r="794" spans="217:217" x14ac:dyDescent="0.55000000000000004">
      <c r="HI794" s="7"/>
    </row>
    <row r="795" spans="217:217" x14ac:dyDescent="0.55000000000000004">
      <c r="HI795" s="7"/>
    </row>
    <row r="796" spans="217:217" x14ac:dyDescent="0.55000000000000004">
      <c r="HI796" s="7"/>
    </row>
    <row r="797" spans="217:217" x14ac:dyDescent="0.55000000000000004">
      <c r="HI797" s="7"/>
    </row>
    <row r="798" spans="217:217" x14ac:dyDescent="0.55000000000000004">
      <c r="HI798" s="7"/>
    </row>
    <row r="799" spans="217:217" x14ac:dyDescent="0.55000000000000004">
      <c r="HI799" s="7"/>
    </row>
    <row r="800" spans="217:217" x14ac:dyDescent="0.55000000000000004">
      <c r="HI800" s="7"/>
    </row>
  </sheetData>
  <phoneticPr fontId="12"/>
  <conditionalFormatting sqref="K39:K48">
    <cfRule type="colorScale" priority="8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L39:L48">
    <cfRule type="colorScale" priority="9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12:D27">
    <cfRule type="colorScale" priority="10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12:E27">
    <cfRule type="colorScale" priority="11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12:F27">
    <cfRule type="colorScale" priority="12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H12:J27">
    <cfRule type="colorScale" priority="13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L12:AE27">
    <cfRule type="colorScale" priority="14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D29:D35">
    <cfRule type="colorScale" priority="15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E29:E35">
    <cfRule type="colorScale" priority="16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F29:F35">
    <cfRule type="colorScale" priority="17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H29:J35">
    <cfRule type="colorScale" priority="18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L29:AE35">
    <cfRule type="colorScale" priority="19">
      <colorScale>
        <cfvo type="min"/>
        <cfvo type="num" val="0"/>
        <cfvo type="max"/>
        <color rgb="FF2A78D6"/>
        <color rgb="FFFFFFFF"/>
        <color rgb="FFE34948"/>
      </colorScale>
    </cfRule>
  </conditionalFormatting>
  <conditionalFormatting sqref="N39:N48">
    <cfRule type="colorScale" priority="20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conditionalFormatting sqref="O39:O48">
    <cfRule type="colorScale" priority="21">
      <colorScale>
        <cfvo type="num" val="-3"/>
        <cfvo type="num" val="0"/>
        <cfvo type="num" val="3"/>
        <color rgb="FF2A78D6"/>
        <color rgb="FFFFFFFF"/>
        <color rgb="FFE34948"/>
      </colorScale>
    </cfRule>
  </conditionalFormatting>
  <dataValidations count="5">
    <dataValidation type="list" allowBlank="1" showInputMessage="1" showErrorMessage="1" sqref="B1" xr:uid="{72C4BD43-CD80-42C3-839B-44EE8100ED82}">
      <formula1>"Live,Fixed"</formula1>
    </dataValidation>
    <dataValidation type="list" allowBlank="1" showInputMessage="1" showErrorMessage="1" sqref="B8" xr:uid="{530460CB-1A51-4D7B-BAC7-0892FDF5EC3C}">
      <formula1>"Level,Change"</formula1>
    </dataValidation>
    <dataValidation type="list" allowBlank="1" showInputMessage="1" showErrorMessage="1" sqref="A39:A48" xr:uid="{1D932CE5-1B6C-4F28-AB0D-CA3B101366B3}">
      <formula1>"Yes,No"</formula1>
    </dataValidation>
    <dataValidation type="list" allowBlank="1" showInputMessage="1" showErrorMessage="1" sqref="C39:C48" xr:uid="{C72E0E20-FB10-4F7A-87D4-C7FB758FE28A}">
      <formula1>"CMT,FIXED,ROLLING"</formula1>
    </dataValidation>
    <dataValidation type="list" allowBlank="1" showInputMessage="1" showErrorMessage="1" sqref="D39:D48 H39:H48 F39:F48" xr:uid="{86477BC3-B109-4372-AADD-3780F7070C93}">
      <formula1>$A$12:$A$35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AFB05-4B82-4703-B906-9945985B65B2}">
  <sheetPr codeName="Sheet7"/>
  <dimension ref="A1:BV2000"/>
  <sheetViews>
    <sheetView topLeftCell="A5" zoomScale="76" workbookViewId="0">
      <selection activeCell="K2" sqref="K2"/>
    </sheetView>
  </sheetViews>
  <sheetFormatPr defaultRowHeight="18.5" outlineLevelCol="1" x14ac:dyDescent="0.55000000000000004"/>
  <cols>
    <col min="1" max="1" width="16.58203125" customWidth="1"/>
    <col min="2" max="15" width="11.08203125" customWidth="1"/>
    <col min="31" max="73" width="0" hidden="1" customWidth="1" outlineLevel="1"/>
    <col min="74" max="74" width="8.6640625" collapsed="1"/>
  </cols>
  <sheetData>
    <row r="1" spans="1:73" ht="20" x14ac:dyDescent="0.55000000000000004">
      <c r="A1" s="20" t="s">
        <v>320</v>
      </c>
    </row>
    <row r="2" spans="1:73" x14ac:dyDescent="0.55000000000000004">
      <c r="A2" t="s">
        <v>321</v>
      </c>
      <c r="AE2" s="4" t="s">
        <v>340</v>
      </c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 t="s">
        <v>341</v>
      </c>
      <c r="AU2" s="4"/>
      <c r="AV2" s="4"/>
      <c r="AW2" s="4"/>
      <c r="AX2" s="4"/>
      <c r="AY2" s="4"/>
      <c r="AZ2" s="4"/>
      <c r="BA2" s="4" t="s">
        <v>347</v>
      </c>
      <c r="BB2" s="4"/>
      <c r="BC2" s="4"/>
      <c r="BD2" s="4"/>
      <c r="BE2" s="4"/>
      <c r="BF2" s="4"/>
      <c r="BG2" s="4" t="s">
        <v>349</v>
      </c>
      <c r="BH2" s="4"/>
      <c r="BI2" s="4"/>
      <c r="BJ2" s="4"/>
      <c r="BK2" s="4"/>
      <c r="BL2" s="4"/>
      <c r="BM2" s="4"/>
      <c r="BN2" s="4"/>
      <c r="BO2" s="4" t="s">
        <v>350</v>
      </c>
      <c r="BP2" s="4"/>
      <c r="BQ2" s="4"/>
      <c r="BR2" s="4"/>
      <c r="BS2" s="4"/>
      <c r="BT2" s="4"/>
      <c r="BU2" s="4"/>
    </row>
    <row r="3" spans="1:73" x14ac:dyDescent="0.55000000000000004">
      <c r="A3" s="4" t="s">
        <v>256</v>
      </c>
      <c r="AE3" s="4" cm="1">
        <f t="array" aca="1" ref="AE3:AR1665" ca="1">FutHistory(FUT_Steps)</f>
      </c>
      <c r="AF3" s="4">
        <f ca="1"/>
      </c>
      <c r="AG3" s="4">
        <f ca="1"/>
      </c>
      <c r="AH3" s="4">
        <f ca="1"/>
      </c>
      <c r="AI3" s="4">
        <f ca="1"/>
      </c>
      <c r="AJ3" s="4">
        <f ca="1"/>
      </c>
      <c r="AK3" s="4">
        <f ca="1"/>
      </c>
      <c r="AL3" s="4">
        <f ca="1"/>
      </c>
      <c r="AM3" s="4">
        <f ca="1"/>
      </c>
      <c r="AN3" s="4">
        <f ca="1"/>
      </c>
      <c r="AO3" s="4">
        <f ca="1"/>
      </c>
      <c r="AP3" s="4">
        <f ca="1"/>
      </c>
      <c r="AQ3" s="4">
        <f ca="1"/>
      </c>
      <c r="AR3" s="4">
        <f ca="1"/>
      </c>
      <c r="AS3" s="4"/>
      <c r="AT3" s="4" t="s">
        <v>75</v>
      </c>
      <c r="AU3" s="4" t="s">
        <v>342</v>
      </c>
      <c r="AV3" s="4" t="s">
        <v>343</v>
      </c>
      <c r="AW3" s="4" t="s">
        <v>344</v>
      </c>
      <c r="AX3" s="4" t="s">
        <v>345</v>
      </c>
      <c r="AY3" s="4" t="s">
        <v>346</v>
      </c>
      <c r="AZ3" s="4"/>
      <c r="BA3" s="4" t="s">
        <v>75</v>
      </c>
      <c r="BB3" s="4" t="s">
        <v>348</v>
      </c>
      <c r="BC3" s="4" t="s">
        <v>343</v>
      </c>
      <c r="BD3" s="4" t="s">
        <v>344</v>
      </c>
      <c r="BE3" s="4" t="s">
        <v>346</v>
      </c>
      <c r="BF3" s="4"/>
      <c r="BG3" s="4" cm="1">
        <f t="array" aca="1" ref="BG3:BM189" ca="1">FutOverlay(FUT_Overlay,FUT_Field,FUT_Steps)</f>
      </c>
      <c r="BH3" s="4">
        <f ca="1"/>
      </c>
      <c r="BI3" s="4">
        <f ca="1"/>
      </c>
      <c r="BJ3" s="4">
        <f ca="1"/>
      </c>
      <c r="BK3" s="4">
        <f ca="1"/>
      </c>
      <c r="BL3" s="4">
        <f ca="1"/>
      </c>
      <c r="BM3" s="4">
        <f ca="1"/>
      </c>
      <c r="BN3" s="4"/>
      <c r="BO3" s="4" t="s">
        <v>351</v>
      </c>
      <c r="BP3" s="4">
        <f ca="1">INDEX(_xlfn.ANCHORARRAY($BG$3),1,2)</f>
      </c>
      <c r="BQ3" s="4">
        <f ca="1">INDEX(_xlfn.ANCHORARRAY($BG$3),1,3)</f>
      </c>
      <c r="BR3" s="4">
        <f ca="1">INDEX(_xlfn.ANCHORARRAY($BG$3),1,4)</f>
      </c>
      <c r="BS3" s="4">
        <f ca="1">INDEX(_xlfn.ANCHORARRAY($BG$3),1,5)</f>
      </c>
      <c r="BT3" s="4">
        <f ca="1">INDEX(_xlfn.ANCHORARRAY($BG$3),1,6)</f>
      </c>
      <c r="BU3" s="4">
        <f ca="1">INDEX(_xlfn.ANCHORARRAY($BG$3),1,7)</f>
      </c>
    </row>
    <row r="4" spans="1:73" x14ac:dyDescent="0.55000000000000004">
      <c r="A4" s="4" t="s">
        <v>322</v>
      </c>
      <c r="B4" s="2" t="s">
        <v>323</v>
      </c>
      <c r="D4" t="s">
        <v>324</v>
      </c>
      <c r="AE4" s="7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AT4" s="7" cm="1">
        <f t="array" aca="1" ref="AT4:AT1665" ca="1">FUT_HD</f>
      </c>
      <c r="AU4" cm="1">
        <f t="array" aca="1" ref="AU4:AU1665" ca="1">_xlfn.LET(_xlpm.d,_xlfn.DROP(INDEX(FUT_H,,4),1),_xlpm.m,_xlfn.XLOOKUP(FUT_HD,FUT_AdjDate,IF(FUT_AdjSettle="","",FUT_AdjSettle),""),IF(_xlpm.m&lt;&gt;"",_xlpm.m,IF(ISNUMBER(_xlpm.d),_xlpm.d,0)))</f>
      </c>
      <c r="AV4" cm="1">
        <f t="array" aca="1" ref="AV4:AV1665" ca="1">_xlfn.LET(_xlpm.s,_xlfn.DROP(INDEX(FUT_H,,3),1),_xlpm.u,_xlfn.ANCHORARRAY($AU$4),INDEX(_xlpm.s,ROWS(_xlpm.s))-(SUM(_xlpm.u)-_xlfn.SCAN(0,_xlpm.u,_xlfn.LAMBDA(_xlpm.acc,_xlpm.x,_xlpm.acc+_xlpm.x))))</f>
      </c>
      <c r="AW4" cm="1">
        <f t="array" aca="1" ref="AW4:AW1665" ca="1">_xlfn.LET(_xlpm.n,_xlfn.DROP(INDEX(FUT_H,,13),1),IF(ISNUMBER(_xlpm.n),_xlpm.n*100,NA()))</f>
      </c>
      <c r="AX4" cm="1">
        <f t="array" aca="1" ref="AX4:AX1665" ca="1">_xlfn.LET(_xlpm.n,_xlfn.ANCHORARRAY($AW$4),_xlpm.c,_xlfn.DROP(INDEX(FUT_H,,2),1),_xlpm.r,_xlfn.DROP(INDEX(FUT_H,,6),1),_xlpm.pn,_xlfn.VSTACK("",_xlfn.DROP(_xlpm.n,-1)),_xlpm.pc,_xlfn.VSTACK("",_xlfn.DROP(_xlpm.c,-1)),_xlpm.pr,_xlfn.VSTACK("",_xlfn.DROP(_xlpm.r,-1)),_xlpm.auto,IF(ISNUMBER(_xlpm.n)*ISNUMBER(_xlpm.pn)*(_xlpm.c=_xlpm.pc)*(_xlpm.r=_xlpm.pr),_xlpm.n-_xlpm.pn,0),_xlpm.m,_xlfn.XLOOKUP(FUT_HD,FUT_AdjDate,IF(FUT_AdjNet="","",FUT_AdjNet),""),IF(_xlpm.m&lt;&gt;"",_xlpm.m,_xlpm.auto))</f>
      </c>
      <c r="AY4" cm="1">
        <f t="array" aca="1" ref="AY4:AY1665" ca="1">_xlfn.LET(_xlpm.n,_xlfn.ANCHORARRAY($AW$4),_xlpm.u,_xlfn.ANCHORARRAY($AX$4),_xlpm.last,INDEX(_xlpm.n,ROWS(_xlpm.n)),IF(ISNUMBER(_xlpm.n),_xlpm.last-(SUM(_xlpm.u)-_xlfn.SCAN(0,_xlpm.u,_xlfn.LAMBDA(_xlpm.acc,_xlpm.x,_xlpm.acc+_xlpm.x))),NA()))</f>
      </c>
      <c r="BA4" s="7" cm="1">
        <f t="array" aca="1" ref="BA4:BA488" ca="1">_xlfn._xlws.FILTER(FUT_HD,FUT_HD&gt;=N(FUT_From))</f>
      </c>
      <c r="BB4" cm="1">
        <f t="array" aca="1" ref="BB4:BB488" ca="1">_xlfn._xlws.FILTER(_xlfn.DROP(INDEX(FUT_H,,3),1),FUT_HD&gt;=N(FUT_From))</f>
      </c>
      <c r="BC4" cm="1">
        <f t="array" aca="1" ref="BC4:BC488" ca="1">_xlfn._xlws.FILTER(_xlfn.ANCHORARRAY($AV$4),FUT_HD&gt;=N(FUT_From))</f>
      </c>
      <c r="BD4" cm="1">
        <f t="array" aca="1" ref="BD4:BD488" ca="1">_xlfn._xlws.FILTER(_xlfn.ANCHORARRAY($AW$4),FUT_HD&gt;=N(FUT_From))</f>
      </c>
      <c r="BE4" cm="1">
        <f t="array" aca="1" ref="BE4:BE488" ca="1">_xlfn._xlws.FILTER(_xlfn.ANCHORARRAY($AY$4),FUT_HD&gt;=N(FUT_From))</f>
      </c>
      <c r="BG4">
        <f ca="1"/>
      </c>
      <c r="BH4">
        <f ca="1"/>
      </c>
      <c r="BI4">
        <f ca="1"/>
      </c>
      <c r="BJ4">
        <f ca="1"/>
      </c>
      <c r="BK4">
        <f ca="1"/>
      </c>
      <c r="BL4">
        <f ca="1"/>
      </c>
      <c r="BM4">
        <f ca="1"/>
      </c>
      <c r="BO4" cm="1">
        <f t="array" aca="1" ref="BO4:BO189" ca="1">_xlfn.DROP(INDEX(_xlfn.ANCHORARRAY($BG$3),,1),1)</f>
      </c>
      <c r="BP4" cm="1">
        <f t="array" aca="1" ref="BP4:BP189" ca="1">_xlfn.LET(_xlpm.x,_xlfn.DROP(INDEX(_xlfn.ANCHORARRAY($BG$3),,2),1),IF(_xlpm.x="",NA(),_xlpm.x*IF(FUT_Field="IRR",1,100)))</f>
      </c>
      <c r="BQ4" cm="1">
        <f t="array" aca="1" ref="BQ4:BQ189" ca="1">_xlfn.LET(_xlpm.x,_xlfn.DROP(INDEX(_xlfn.ANCHORARRAY($BG$3),,3),1),IF(_xlpm.x="",NA(),_xlpm.x*IF(FUT_Field="IRR",1,100)))</f>
      </c>
      <c r="BR4" cm="1">
        <f t="array" aca="1" ref="BR4:BR189" ca="1">_xlfn.LET(_xlpm.x,_xlfn.DROP(INDEX(_xlfn.ANCHORARRAY($BG$3),,4),1),IF(_xlpm.x="",NA(),_xlpm.x*IF(FUT_Field="IRR",1,100)))</f>
      </c>
      <c r="BS4" cm="1">
        <f t="array" aca="1" ref="BS4:BS189" ca="1">_xlfn.LET(_xlpm.x,_xlfn.DROP(INDEX(_xlfn.ANCHORARRAY($BG$3),,5),1),IF(_xlpm.x="",NA(),_xlpm.x*IF(FUT_Field="IRR",1,100)))</f>
      </c>
      <c r="BT4" cm="1">
        <f t="array" aca="1" ref="BT4:BT189" ca="1">_xlfn.LET(_xlpm.x,_xlfn.DROP(INDEX(_xlfn.ANCHORARRAY($BG$3),,6),1),IF(_xlpm.x="",NA(),_xlpm.x*IF(FUT_Field="IRR",1,100)))</f>
      </c>
      <c r="BU4" cm="1">
        <f t="array" aca="1" ref="BU4:BU189" ca="1">_xlfn.LET(_xlpm.x,_xlfn.DROP(INDEX(_xlfn.ANCHORARRAY($BG$3),,7),1),IF(_xlpm.x="",NA(),_xlpm.x*IF(FUT_Field="IRR",1,100)))</f>
      </c>
    </row>
    <row r="5" spans="1:73" x14ac:dyDescent="0.55000000000000004">
      <c r="A5" s="4" t="s">
        <v>75</v>
      </c>
      <c r="B5" s="3"/>
      <c r="C5" cm="1">
        <f t="array" aca="1" ref="C5" ca="1">"Using "&amp;TEXT(FUT_Date,"yyyy-mm-dd")</f>
      </c>
      <c r="D5" t="s">
        <v>325</v>
      </c>
      <c r="AE5" s="7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  <c r="AT5" s="7">
        <f ca="1"/>
      </c>
      <c r="AU5">
        <f ca="1"/>
      </c>
      <c r="AV5">
        <f ca="1"/>
      </c>
      <c r="AW5">
        <f ca="1"/>
      </c>
      <c r="AX5">
        <f ca="1"/>
      </c>
      <c r="AY5">
        <f ca="1"/>
      </c>
      <c r="BA5" s="7">
        <f ca="1"/>
      </c>
      <c r="BB5">
        <f ca="1"/>
      </c>
      <c r="BC5">
        <f ca="1"/>
      </c>
      <c r="BD5">
        <f ca="1"/>
      </c>
      <c r="BE5">
        <f ca="1"/>
      </c>
      <c r="BG5">
        <f ca="1"/>
      </c>
      <c r="BH5">
        <f ca="1"/>
      </c>
      <c r="BI5">
        <f ca="1"/>
      </c>
      <c r="BJ5">
        <f ca="1"/>
      </c>
      <c r="BK5">
        <f ca="1"/>
      </c>
      <c r="BL5">
        <f ca="1"/>
      </c>
      <c r="BM5">
        <f ca="1"/>
      </c>
      <c r="BO5">
        <f ca="1"/>
      </c>
      <c r="BP5">
        <f ca="1"/>
      </c>
      <c r="BQ5">
        <f ca="1"/>
      </c>
      <c r="BR5">
        <f ca="1"/>
      </c>
      <c r="BS5">
        <f ca="1"/>
      </c>
      <c r="BT5">
        <f ca="1"/>
      </c>
      <c r="BU5">
        <f ca="1"/>
      </c>
    </row>
    <row r="6" spans="1:73" x14ac:dyDescent="0.55000000000000004">
      <c r="A6" s="4" t="s">
        <v>326</v>
      </c>
      <c r="B6" s="2"/>
      <c r="D6" t="s">
        <v>327</v>
      </c>
      <c r="AE6" s="7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  <c r="AT6" s="7">
        <f ca="1"/>
      </c>
      <c r="AU6">
        <f ca="1"/>
      </c>
      <c r="AV6">
        <f ca="1"/>
      </c>
      <c r="AW6">
        <f ca="1"/>
      </c>
      <c r="AX6">
        <f ca="1"/>
      </c>
      <c r="AY6">
        <f ca="1"/>
      </c>
      <c r="BA6" s="7">
        <f ca="1"/>
      </c>
      <c r="BB6">
        <f ca="1"/>
      </c>
      <c r="BC6">
        <f ca="1"/>
      </c>
      <c r="BD6">
        <f ca="1"/>
      </c>
      <c r="BE6">
        <f ca="1"/>
      </c>
      <c r="BG6">
        <f ca="1"/>
      </c>
      <c r="BH6">
        <f ca="1"/>
      </c>
      <c r="BI6">
        <f ca="1"/>
      </c>
      <c r="BJ6">
        <f ca="1"/>
      </c>
      <c r="BK6">
        <f ca="1"/>
      </c>
      <c r="BL6">
        <f ca="1"/>
      </c>
      <c r="BM6">
        <f ca="1"/>
      </c>
      <c r="BO6">
        <f ca="1"/>
      </c>
      <c r="BP6">
        <f ca="1"/>
      </c>
      <c r="BQ6">
        <f ca="1"/>
      </c>
      <c r="BR6">
        <f ca="1"/>
      </c>
      <c r="BS6">
        <f ca="1"/>
      </c>
      <c r="BT6">
        <f ca="1"/>
      </c>
      <c r="BU6">
        <f ca="1"/>
      </c>
    </row>
    <row r="7" spans="1:73" x14ac:dyDescent="0.55000000000000004">
      <c r="A7" s="4" t="s">
        <v>328</v>
      </c>
      <c r="B7" s="2"/>
      <c r="D7" t="s">
        <v>329</v>
      </c>
      <c r="AE7" s="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  <c r="AT7" s="7">
        <f ca="1"/>
      </c>
      <c r="AU7">
        <f ca="1"/>
      </c>
      <c r="AV7">
        <f ca="1"/>
      </c>
      <c r="AW7">
        <f ca="1"/>
      </c>
      <c r="AX7">
        <f ca="1"/>
      </c>
      <c r="AY7">
        <f ca="1"/>
      </c>
      <c r="BA7" s="7">
        <f ca="1"/>
      </c>
      <c r="BB7">
        <f ca="1"/>
      </c>
      <c r="BC7">
        <f ca="1"/>
      </c>
      <c r="BD7">
        <f ca="1"/>
      </c>
      <c r="BE7">
        <f ca="1"/>
      </c>
      <c r="BG7">
        <f ca="1"/>
      </c>
      <c r="BH7">
        <f ca="1"/>
      </c>
      <c r="BI7">
        <f ca="1"/>
      </c>
      <c r="BJ7">
        <f ca="1"/>
      </c>
      <c r="BK7">
        <f ca="1"/>
      </c>
      <c r="BL7">
        <f ca="1"/>
      </c>
      <c r="BM7">
        <f ca="1"/>
      </c>
      <c r="BO7">
        <f ca="1"/>
      </c>
      <c r="BP7">
        <f ca="1"/>
      </c>
      <c r="BQ7">
        <f ca="1"/>
      </c>
      <c r="BR7">
        <f ca="1"/>
      </c>
      <c r="BS7">
        <f ca="1"/>
      </c>
      <c r="BT7">
        <f ca="1"/>
      </c>
      <c r="BU7">
        <f ca="1"/>
      </c>
    </row>
    <row r="8" spans="1:73" x14ac:dyDescent="0.55000000000000004">
      <c r="A8" s="4" t="s">
        <v>262</v>
      </c>
      <c r="B8" s="3">
        <v>45590</v>
      </c>
      <c r="D8" t="s">
        <v>330</v>
      </c>
      <c r="AE8" s="7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  <c r="AT8" s="7">
        <f ca="1"/>
      </c>
      <c r="AU8">
        <f ca="1"/>
      </c>
      <c r="AV8">
        <f ca="1"/>
      </c>
      <c r="AW8">
        <f ca="1"/>
      </c>
      <c r="AX8">
        <f ca="1"/>
      </c>
      <c r="AY8">
        <f ca="1"/>
      </c>
      <c r="BA8" s="7">
        <f ca="1"/>
      </c>
      <c r="BB8">
        <f ca="1"/>
      </c>
      <c r="BC8">
        <f ca="1"/>
      </c>
      <c r="BD8">
        <f ca="1"/>
      </c>
      <c r="BE8">
        <f ca="1"/>
      </c>
      <c r="BG8">
        <f ca="1"/>
      </c>
      <c r="BH8">
        <f ca="1"/>
      </c>
      <c r="BI8">
        <f ca="1"/>
      </c>
      <c r="BJ8">
        <f ca="1"/>
      </c>
      <c r="BK8">
        <f ca="1"/>
      </c>
      <c r="BL8">
        <f ca="1"/>
      </c>
      <c r="BM8">
        <f ca="1"/>
      </c>
      <c r="BO8">
        <f ca="1"/>
      </c>
      <c r="BP8">
        <f ca="1"/>
      </c>
      <c r="BQ8">
        <f ca="1"/>
      </c>
      <c r="BR8">
        <f ca="1"/>
      </c>
      <c r="BS8">
        <f ca="1"/>
      </c>
      <c r="BT8">
        <f ca="1"/>
      </c>
      <c r="BU8">
        <f ca="1"/>
      </c>
    </row>
    <row r="9" spans="1:73" x14ac:dyDescent="0.55000000000000004">
      <c r="A9" s="4" t="s">
        <v>331</v>
      </c>
      <c r="B9" s="2" t="s">
        <v>332</v>
      </c>
      <c r="D9" t="s">
        <v>333</v>
      </c>
      <c r="AE9" s="7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  <c r="AT9" s="7">
        <f ca="1"/>
      </c>
      <c r="AU9">
        <f ca="1"/>
      </c>
      <c r="AV9">
        <f ca="1"/>
      </c>
      <c r="AW9">
        <f ca="1"/>
      </c>
      <c r="AX9">
        <f ca="1"/>
      </c>
      <c r="AY9">
        <f ca="1"/>
      </c>
      <c r="BA9" s="7">
        <f ca="1"/>
      </c>
      <c r="BB9">
        <f ca="1"/>
      </c>
      <c r="BC9">
        <f ca="1"/>
      </c>
      <c r="BD9">
        <f ca="1"/>
      </c>
      <c r="BE9">
        <f ca="1"/>
      </c>
      <c r="BG9">
        <f ca="1"/>
      </c>
      <c r="BH9">
        <f ca="1"/>
      </c>
      <c r="BI9">
        <f ca="1"/>
      </c>
      <c r="BJ9">
        <f ca="1"/>
      </c>
      <c r="BK9">
        <f ca="1"/>
      </c>
      <c r="BL9">
        <f ca="1"/>
      </c>
      <c r="BM9">
        <f ca="1"/>
      </c>
      <c r="BO9">
        <f ca="1"/>
      </c>
      <c r="BP9">
        <f ca="1"/>
      </c>
      <c r="BQ9">
        <f ca="1"/>
      </c>
      <c r="BR9">
        <f ca="1"/>
      </c>
      <c r="BS9">
        <f ca="1"/>
      </c>
      <c r="BT9">
        <f ca="1"/>
      </c>
      <c r="BU9">
        <f ca="1"/>
      </c>
    </row>
    <row r="10" spans="1:73" x14ac:dyDescent="0.55000000000000004">
      <c r="A10" s="4" t="s">
        <v>334</v>
      </c>
      <c r="B10" s="2" t="s">
        <v>335</v>
      </c>
      <c r="C10" s="2" t="s">
        <v>336</v>
      </c>
      <c r="D10" s="2" t="s">
        <v>337</v>
      </c>
      <c r="E10" s="2" t="s">
        <v>338</v>
      </c>
      <c r="F10" s="2" t="s">
        <v>339</v>
      </c>
      <c r="G10" s="2" t="s">
        <v>323</v>
      </c>
      <c r="AE10" s="7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  <c r="AT10" s="7">
        <f ca="1"/>
      </c>
      <c r="AU10">
        <f ca="1"/>
      </c>
      <c r="AV10">
        <f ca="1"/>
      </c>
      <c r="AW10">
        <f ca="1"/>
      </c>
      <c r="AX10">
        <f ca="1"/>
      </c>
      <c r="AY10">
        <f ca="1"/>
      </c>
      <c r="BA10" s="7">
        <f ca="1"/>
      </c>
      <c r="BB10">
        <f ca="1"/>
      </c>
      <c r="BC10">
        <f ca="1"/>
      </c>
      <c r="BD10">
        <f ca="1"/>
      </c>
      <c r="BE10">
        <f ca="1"/>
      </c>
      <c r="BG10">
        <f ca="1"/>
      </c>
      <c r="BH10">
        <f ca="1"/>
      </c>
      <c r="BI10">
        <f ca="1"/>
      </c>
      <c r="BJ10">
        <f ca="1"/>
      </c>
      <c r="BK10">
        <f ca="1"/>
      </c>
      <c r="BL10">
        <f ca="1"/>
      </c>
      <c r="BM10">
        <f ca="1"/>
      </c>
      <c r="BO10">
        <f ca="1"/>
      </c>
      <c r="BP10">
        <f ca="1"/>
      </c>
      <c r="BQ10">
        <f ca="1"/>
      </c>
      <c r="BR10">
        <f ca="1"/>
      </c>
      <c r="BS10">
        <f ca="1"/>
      </c>
      <c r="BT10">
        <f ca="1"/>
      </c>
      <c r="BU10">
        <f ca="1"/>
      </c>
    </row>
    <row r="11" spans="1:73" x14ac:dyDescent="0.55000000000000004">
      <c r="AE11" s="7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  <c r="AT11" s="7">
        <f ca="1"/>
      </c>
      <c r="AU11">
        <f ca="1"/>
      </c>
      <c r="AV11">
        <f ca="1"/>
      </c>
      <c r="AW11">
        <f ca="1"/>
      </c>
      <c r="AX11">
        <f ca="1"/>
      </c>
      <c r="AY11">
        <f ca="1"/>
      </c>
      <c r="BA11" s="7">
        <f ca="1"/>
      </c>
      <c r="BB11">
        <f ca="1"/>
      </c>
      <c r="BC11">
        <f ca="1"/>
      </c>
      <c r="BD11">
        <f ca="1"/>
      </c>
      <c r="BE11">
        <f ca="1"/>
      </c>
      <c r="BG11">
        <f ca="1"/>
      </c>
      <c r="BH11">
        <f ca="1"/>
      </c>
      <c r="BI11">
        <f ca="1"/>
      </c>
      <c r="BJ11">
        <f ca="1"/>
      </c>
      <c r="BK11">
        <f ca="1"/>
      </c>
      <c r="BL11">
        <f ca="1"/>
      </c>
      <c r="BM11">
        <f ca="1"/>
      </c>
      <c r="BO11">
        <f ca="1"/>
      </c>
      <c r="BP11">
        <f ca="1"/>
      </c>
      <c r="BQ11">
        <f ca="1"/>
      </c>
      <c r="BR11">
        <f ca="1"/>
      </c>
      <c r="BS11">
        <f ca="1"/>
      </c>
      <c r="BT11">
        <f ca="1"/>
      </c>
      <c r="BU11">
        <f ca="1"/>
      </c>
    </row>
    <row r="12" spans="1:73" x14ac:dyDescent="0.55000000000000004">
      <c r="A12" s="4" t="s">
        <v>352</v>
      </c>
      <c r="Q12" s="4" t="s">
        <v>355</v>
      </c>
      <c r="T12" s="4" t="s">
        <v>356</v>
      </c>
      <c r="W12" s="4" t="s">
        <v>359</v>
      </c>
      <c r="Z12" s="4" t="s">
        <v>363</v>
      </c>
      <c r="AE12" s="7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  <c r="AT12" s="7">
        <f ca="1"/>
      </c>
      <c r="AU12">
        <f ca="1"/>
      </c>
      <c r="AV12">
        <f ca="1"/>
      </c>
      <c r="AW12">
        <f ca="1"/>
      </c>
      <c r="AX12">
        <f ca="1"/>
      </c>
      <c r="AY12">
        <f ca="1"/>
      </c>
      <c r="BA12" s="7">
        <f ca="1"/>
      </c>
      <c r="BB12">
        <f ca="1"/>
      </c>
      <c r="BC12">
        <f ca="1"/>
      </c>
      <c r="BD12">
        <f ca="1"/>
      </c>
      <c r="BE12">
        <f ca="1"/>
      </c>
      <c r="BG12">
        <f ca="1"/>
      </c>
      <c r="BH12">
        <f ca="1"/>
      </c>
      <c r="BI12">
        <f ca="1"/>
      </c>
      <c r="BJ12">
        <f ca="1"/>
      </c>
      <c r="BK12">
        <f ca="1"/>
      </c>
      <c r="BL12">
        <f ca="1"/>
      </c>
      <c r="BM12">
        <f ca="1"/>
      </c>
      <c r="BO12">
        <f ca="1"/>
      </c>
      <c r="BP12">
        <f ca="1"/>
      </c>
      <c r="BQ12">
        <f ca="1"/>
      </c>
      <c r="BR12">
        <f ca="1"/>
      </c>
      <c r="BS12">
        <f ca="1"/>
      </c>
      <c r="BT12">
        <f ca="1"/>
      </c>
      <c r="BU12">
        <f ca="1"/>
      </c>
    </row>
    <row r="13" spans="1:73" x14ac:dyDescent="0.55000000000000004">
      <c r="A13" cm="1">
        <f t="array" aca="1" ref="A13" ca="1">FUT_Contract&amp;" contract, "&amp;TEXT(FUT_Date,"yyyy-mm-dd")</f>
      </c>
      <c r="T13" t="s">
        <v>357</v>
      </c>
      <c r="W13" t="s">
        <v>360</v>
      </c>
      <c r="Z13" t="s">
        <v>364</v>
      </c>
      <c r="AE13" s="7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  <c r="AT13" s="7">
        <f ca="1"/>
      </c>
      <c r="AU13">
        <f ca="1"/>
      </c>
      <c r="AV13">
        <f ca="1"/>
      </c>
      <c r="AW13">
        <f ca="1"/>
      </c>
      <c r="AX13">
        <f ca="1"/>
      </c>
      <c r="AY13">
        <f ca="1"/>
      </c>
      <c r="BA13" s="7">
        <f ca="1"/>
      </c>
      <c r="BB13">
        <f ca="1"/>
      </c>
      <c r="BC13">
        <f ca="1"/>
      </c>
      <c r="BD13">
        <f ca="1"/>
      </c>
      <c r="BE13">
        <f ca="1"/>
      </c>
      <c r="BG13">
        <f ca="1"/>
      </c>
      <c r="BH13">
        <f ca="1"/>
      </c>
      <c r="BI13">
        <f ca="1"/>
      </c>
      <c r="BJ13">
        <f ca="1"/>
      </c>
      <c r="BK13">
        <f ca="1"/>
      </c>
      <c r="BL13">
        <f ca="1"/>
      </c>
      <c r="BM13">
        <f ca="1"/>
      </c>
      <c r="BO13">
        <f ca="1"/>
      </c>
      <c r="BP13">
        <f ca="1"/>
      </c>
      <c r="BQ13">
        <f ca="1"/>
      </c>
      <c r="BR13">
        <f ca="1"/>
      </c>
      <c r="BS13">
        <f ca="1"/>
      </c>
      <c r="BT13">
        <f ca="1"/>
      </c>
      <c r="BU13">
        <f ca="1"/>
      </c>
    </row>
    <row r="14" spans="1:73" x14ac:dyDescent="0.55000000000000004">
      <c r="A14" s="4" cm="1">
        <f t="array" aca="1" ref="A14:L27" ca="1">FutBasis(FUT_Contract,FUT_Date,FUT_Price,FUT_Repo,FUT_Yields)</f>
      </c>
      <c r="B14" s="4">
        <f ca="1"/>
      </c>
      <c r="C14" s="4">
        <f ca="1"/>
      </c>
      <c r="D14" s="4">
        <f ca="1"/>
      </c>
      <c r="E14" s="4">
        <f ca="1"/>
      </c>
      <c r="F14" s="4">
        <f ca="1"/>
      </c>
      <c r="G14" s="4">
        <f ca="1"/>
      </c>
      <c r="H14" s="4">
        <f ca="1"/>
      </c>
      <c r="I14" s="4">
        <f ca="1"/>
      </c>
      <c r="J14" s="4">
        <f ca="1"/>
      </c>
      <c r="K14" s="4">
        <f ca="1"/>
      </c>
      <c r="L14" s="4">
        <f ca="1"/>
      </c>
      <c r="M14" s="4" t="s">
        <v>353</v>
      </c>
      <c r="N14" s="4" t="s">
        <v>354</v>
      </c>
      <c r="O14" s="4" t="s">
        <v>344</v>
      </c>
      <c r="Q14" s="4" cm="1">
        <f t="array" aca="1" ref="Q14:R19" ca="1">FutRepoSteps()</f>
      </c>
      <c r="R14" s="4">
        <f ca="1"/>
      </c>
      <c r="S14" s="4"/>
      <c r="T14" s="4" t="s">
        <v>128</v>
      </c>
      <c r="U14" s="4" t="s">
        <v>358</v>
      </c>
      <c r="V14" s="4"/>
      <c r="W14" s="4" t="s">
        <v>361</v>
      </c>
      <c r="X14" s="4" t="s">
        <v>362</v>
      </c>
      <c r="Y14" s="4"/>
      <c r="Z14" s="4" t="s">
        <v>75</v>
      </c>
      <c r="AA14" s="4" t="s">
        <v>365</v>
      </c>
      <c r="AB14" s="4" t="s">
        <v>366</v>
      </c>
      <c r="AE14" s="7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  <c r="AT14" s="7">
        <f ca="1"/>
      </c>
      <c r="AU14">
        <f ca="1"/>
      </c>
      <c r="AV14">
        <f ca="1"/>
      </c>
      <c r="AW14">
        <f ca="1"/>
      </c>
      <c r="AX14">
        <f ca="1"/>
      </c>
      <c r="AY14">
        <f ca="1"/>
      </c>
      <c r="BA14" s="7">
        <f ca="1"/>
      </c>
      <c r="BB14">
        <f ca="1"/>
      </c>
      <c r="BC14">
        <f ca="1"/>
      </c>
      <c r="BD14">
        <f ca="1"/>
      </c>
      <c r="BE14">
        <f ca="1"/>
      </c>
      <c r="BG14">
        <f ca="1"/>
      </c>
      <c r="BH14">
        <f ca="1"/>
      </c>
      <c r="BI14">
        <f ca="1"/>
      </c>
      <c r="BJ14">
        <f ca="1"/>
      </c>
      <c r="BK14">
        <f ca="1"/>
      </c>
      <c r="BL14">
        <f ca="1"/>
      </c>
      <c r="BM14">
        <f ca="1"/>
      </c>
      <c r="BO14">
        <f ca="1"/>
      </c>
      <c r="BP14">
        <f ca="1"/>
      </c>
      <c r="BQ14">
        <f ca="1"/>
      </c>
      <c r="BR14">
        <f ca="1"/>
      </c>
      <c r="BS14">
        <f ca="1"/>
      </c>
      <c r="BT14">
        <f ca="1"/>
      </c>
      <c r="BU14">
        <f ca="1"/>
      </c>
    </row>
    <row r="15" spans="1:73" x14ac:dyDescent="0.55000000000000004">
      <c r="A15">
        <f ca="1"/>
      </c>
      <c r="B15">
        <f ca="1"/>
      </c>
      <c r="C15" s="7">
        <f ca="1"/>
      </c>
      <c r="D15" s="46">
        <f ca="1"/>
      </c>
      <c r="E15" s="13">
        <f ca="1"/>
      </c>
      <c r="F15" s="7">
        <f ca="1"/>
      </c>
      <c r="G15" s="13">
        <f ca="1"/>
      </c>
      <c r="H15" s="10">
        <f ca="1"/>
      </c>
      <c r="I15" s="10">
        <f ca="1"/>
      </c>
      <c r="J15" s="10">
        <f ca="1"/>
      </c>
      <c r="K15" s="13">
        <f ca="1"/>
      </c>
      <c r="L15">
        <f ca="1"/>
      </c>
      <c r="M15" s="14" cm="1">
        <f t="array" aca="1" ref="M15:O26" ca="1">_xlfn.DROP(_xlfn.DROP(_xlfn.CHOOSECOLS(_xlfn.ANCHORARRAY($A$14),8,9,10),1),-1)*100</f>
      </c>
      <c r="N15" s="14">
        <f ca="1"/>
      </c>
      <c r="O15" s="14">
        <f ca="1"/>
      </c>
      <c r="Q15" s="7">
        <f ca="1"/>
      </c>
      <c r="R15" s="13">
        <f ca="1"/>
      </c>
      <c r="T15" s="3"/>
      <c r="U15" s="2"/>
      <c r="W15" s="2"/>
      <c r="X15" s="2"/>
      <c r="Z15" s="3"/>
      <c r="AA15" s="2"/>
      <c r="AB15" s="2"/>
      <c r="AE15" s="7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  <c r="AT15" s="7">
        <f ca="1"/>
      </c>
      <c r="AU15">
        <f ca="1"/>
      </c>
      <c r="AV15">
        <f ca="1"/>
      </c>
      <c r="AW15">
        <f ca="1"/>
      </c>
      <c r="AX15">
        <f ca="1"/>
      </c>
      <c r="AY15">
        <f ca="1"/>
      </c>
      <c r="BA15" s="7">
        <f ca="1"/>
      </c>
      <c r="BB15">
        <f ca="1"/>
      </c>
      <c r="BC15">
        <f ca="1"/>
      </c>
      <c r="BD15">
        <f ca="1"/>
      </c>
      <c r="BE15">
        <f ca="1"/>
      </c>
      <c r="BG15">
        <f ca="1"/>
      </c>
      <c r="BH15">
        <f ca="1"/>
      </c>
      <c r="BI15">
        <f ca="1"/>
      </c>
      <c r="BJ15">
        <f ca="1"/>
      </c>
      <c r="BK15">
        <f ca="1"/>
      </c>
      <c r="BL15">
        <f ca="1"/>
      </c>
      <c r="BM15">
        <f ca="1"/>
      </c>
      <c r="BO15">
        <f ca="1"/>
      </c>
      <c r="BP15">
        <f ca="1"/>
      </c>
      <c r="BQ15">
        <f ca="1"/>
      </c>
      <c r="BR15">
        <f ca="1"/>
      </c>
      <c r="BS15">
        <f ca="1"/>
      </c>
      <c r="BT15">
        <f ca="1"/>
      </c>
      <c r="BU15">
        <f ca="1"/>
      </c>
    </row>
    <row r="16" spans="1:73" x14ac:dyDescent="0.55000000000000004">
      <c r="A16">
        <f ca="1"/>
      </c>
      <c r="B16">
        <f ca="1"/>
      </c>
      <c r="C16" s="7">
        <f ca="1"/>
      </c>
      <c r="D16" s="46">
        <f ca="1"/>
      </c>
      <c r="E16" s="13">
        <f ca="1"/>
      </c>
      <c r="F16" s="7">
        <f ca="1"/>
      </c>
      <c r="G16" s="13">
        <f ca="1"/>
      </c>
      <c r="H16" s="10">
        <f ca="1"/>
      </c>
      <c r="I16" s="10">
        <f ca="1"/>
      </c>
      <c r="J16" s="10">
        <f ca="1"/>
      </c>
      <c r="K16" s="13">
        <f ca="1"/>
      </c>
      <c r="L16">
        <f ca="1"/>
      </c>
      <c r="M16" s="14">
        <f ca="1"/>
      </c>
      <c r="N16" s="14">
        <f ca="1"/>
      </c>
      <c r="O16" s="14">
        <f ca="1"/>
      </c>
      <c r="Q16" s="7">
        <f ca="1"/>
      </c>
      <c r="R16" s="13">
        <f ca="1"/>
      </c>
      <c r="T16" s="3"/>
      <c r="U16" s="2"/>
      <c r="W16" s="2"/>
      <c r="X16" s="2"/>
      <c r="Z16" s="3"/>
      <c r="AA16" s="2"/>
      <c r="AB16" s="2"/>
      <c r="AE16" s="7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  <c r="AT16" s="7">
        <f ca="1"/>
      </c>
      <c r="AU16">
        <f ca="1"/>
      </c>
      <c r="AV16">
        <f ca="1"/>
      </c>
      <c r="AW16">
        <f ca="1"/>
      </c>
      <c r="AX16">
        <f ca="1"/>
      </c>
      <c r="AY16">
        <f ca="1"/>
      </c>
      <c r="BA16" s="7">
        <f ca="1"/>
      </c>
      <c r="BB16">
        <f ca="1"/>
      </c>
      <c r="BC16">
        <f ca="1"/>
      </c>
      <c r="BD16">
        <f ca="1"/>
      </c>
      <c r="BE16">
        <f ca="1"/>
      </c>
      <c r="BG16">
        <f ca="1"/>
      </c>
      <c r="BH16">
        <f ca="1"/>
      </c>
      <c r="BI16">
        <f ca="1"/>
      </c>
      <c r="BJ16">
        <f ca="1"/>
      </c>
      <c r="BK16">
        <f ca="1"/>
      </c>
      <c r="BL16">
        <f ca="1"/>
      </c>
      <c r="BM16">
        <f ca="1"/>
      </c>
      <c r="BO16">
        <f ca="1"/>
      </c>
      <c r="BP16">
        <f ca="1"/>
      </c>
      <c r="BQ16">
        <f ca="1"/>
      </c>
      <c r="BR16">
        <f ca="1"/>
      </c>
      <c r="BS16">
        <f ca="1"/>
      </c>
      <c r="BT16">
        <f ca="1"/>
      </c>
      <c r="BU16">
        <f ca="1"/>
      </c>
    </row>
    <row r="17" spans="1:73" x14ac:dyDescent="0.55000000000000004">
      <c r="A17">
        <f ca="1"/>
      </c>
      <c r="B17">
        <f ca="1"/>
      </c>
      <c r="C17" s="7">
        <f ca="1"/>
      </c>
      <c r="D17" s="46">
        <f ca="1"/>
      </c>
      <c r="E17" s="13">
        <f ca="1"/>
      </c>
      <c r="F17" s="7">
        <f ca="1"/>
      </c>
      <c r="G17" s="13">
        <f ca="1"/>
      </c>
      <c r="H17" s="10">
        <f ca="1"/>
      </c>
      <c r="I17" s="10">
        <f ca="1"/>
      </c>
      <c r="J17" s="10">
        <f ca="1"/>
      </c>
      <c r="K17" s="13">
        <f ca="1"/>
      </c>
      <c r="L17">
        <f ca="1"/>
      </c>
      <c r="M17" s="14">
        <f ca="1"/>
      </c>
      <c r="N17" s="14">
        <f ca="1"/>
      </c>
      <c r="O17" s="14">
        <f ca="1"/>
      </c>
      <c r="Q17" s="7">
        <f ca="1"/>
      </c>
      <c r="R17" s="13">
        <f ca="1"/>
      </c>
      <c r="T17" s="3"/>
      <c r="U17" s="2"/>
      <c r="W17" s="2"/>
      <c r="X17" s="2"/>
      <c r="Z17" s="3"/>
      <c r="AA17" s="2"/>
      <c r="AB17" s="2"/>
      <c r="AE17" s="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  <c r="AT17" s="7">
        <f ca="1"/>
      </c>
      <c r="AU17">
        <f ca="1"/>
      </c>
      <c r="AV17">
        <f ca="1"/>
      </c>
      <c r="AW17">
        <f ca="1"/>
      </c>
      <c r="AX17">
        <f ca="1"/>
      </c>
      <c r="AY17">
        <f ca="1"/>
      </c>
      <c r="BA17" s="7">
        <f ca="1"/>
      </c>
      <c r="BB17">
        <f ca="1"/>
      </c>
      <c r="BC17">
        <f ca="1"/>
      </c>
      <c r="BD17">
        <f ca="1"/>
      </c>
      <c r="BE17">
        <f ca="1"/>
      </c>
      <c r="BG17">
        <f ca="1"/>
      </c>
      <c r="BH17">
        <f ca="1"/>
      </c>
      <c r="BI17">
        <f ca="1"/>
      </c>
      <c r="BJ17">
        <f ca="1"/>
      </c>
      <c r="BK17">
        <f ca="1"/>
      </c>
      <c r="BL17">
        <f ca="1"/>
      </c>
      <c r="BM17">
        <f ca="1"/>
      </c>
      <c r="BO17">
        <f ca="1"/>
      </c>
      <c r="BP17">
        <f ca="1"/>
      </c>
      <c r="BQ17">
        <f ca="1"/>
      </c>
      <c r="BR17">
        <f ca="1"/>
      </c>
      <c r="BS17">
        <f ca="1"/>
      </c>
      <c r="BT17">
        <f ca="1"/>
      </c>
      <c r="BU17">
        <f ca="1"/>
      </c>
    </row>
    <row r="18" spans="1:73" x14ac:dyDescent="0.55000000000000004">
      <c r="A18">
        <f ca="1"/>
      </c>
      <c r="B18">
        <f ca="1"/>
      </c>
      <c r="C18" s="7">
        <f ca="1"/>
      </c>
      <c r="D18" s="46">
        <f ca="1"/>
      </c>
      <c r="E18" s="13">
        <f ca="1"/>
      </c>
      <c r="F18" s="7">
        <f ca="1"/>
      </c>
      <c r="G18" s="13">
        <f ca="1"/>
      </c>
      <c r="H18" s="10">
        <f ca="1"/>
      </c>
      <c r="I18" s="10">
        <f ca="1"/>
      </c>
      <c r="J18" s="10">
        <f ca="1"/>
      </c>
      <c r="K18" s="13">
        <f ca="1"/>
      </c>
      <c r="L18">
        <f ca="1"/>
      </c>
      <c r="M18" s="14">
        <f ca="1"/>
      </c>
      <c r="N18" s="14">
        <f ca="1"/>
      </c>
      <c r="O18" s="14">
        <f ca="1"/>
      </c>
      <c r="Q18" s="7">
        <f ca="1"/>
      </c>
      <c r="R18" s="13">
        <f ca="1"/>
      </c>
      <c r="T18" s="3"/>
      <c r="U18" s="2"/>
      <c r="W18" s="2"/>
      <c r="X18" s="2"/>
      <c r="Z18" s="3"/>
      <c r="AA18" s="2"/>
      <c r="AB18" s="2"/>
      <c r="AE18" s="7">
        <f ca="1"/>
      </c>
      <c r="AF18">
        <f ca="1"/>
      </c>
      <c r="AG18">
        <f ca="1"/>
      </c>
      <c r="AH18">
        <f ca="1"/>
      </c>
      <c r="AI18">
        <f ca="1"/>
      </c>
      <c r="AJ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P18">
        <f ca="1"/>
      </c>
      <c r="AQ18">
        <f ca="1"/>
      </c>
      <c r="AR18">
        <f ca="1"/>
      </c>
      <c r="AT18" s="7">
        <f ca="1"/>
      </c>
      <c r="AU18">
        <f ca="1"/>
      </c>
      <c r="AV18">
        <f ca="1"/>
      </c>
      <c r="AW18">
        <f ca="1"/>
      </c>
      <c r="AX18">
        <f ca="1"/>
      </c>
      <c r="AY18">
        <f ca="1"/>
      </c>
      <c r="BA18" s="7">
        <f ca="1"/>
      </c>
      <c r="BB18">
        <f ca="1"/>
      </c>
      <c r="BC18">
        <f ca="1"/>
      </c>
      <c r="BD18">
        <f ca="1"/>
      </c>
      <c r="BE18">
        <f ca="1"/>
      </c>
      <c r="BG18">
        <f ca="1"/>
      </c>
      <c r="BH18">
        <f ca="1"/>
      </c>
      <c r="BI18">
        <f ca="1"/>
      </c>
      <c r="BJ18">
        <f ca="1"/>
      </c>
      <c r="BK18">
        <f ca="1"/>
      </c>
      <c r="BL18">
        <f ca="1"/>
      </c>
      <c r="BM18">
        <f ca="1"/>
      </c>
      <c r="BO18">
        <f ca="1"/>
      </c>
      <c r="BP18">
        <f ca="1"/>
      </c>
      <c r="BQ18">
        <f ca="1"/>
      </c>
      <c r="BR18">
        <f ca="1"/>
      </c>
      <c r="BS18">
        <f ca="1"/>
      </c>
      <c r="BT18">
        <f ca="1"/>
      </c>
      <c r="BU18">
        <f ca="1"/>
      </c>
    </row>
    <row r="19" spans="1:73" x14ac:dyDescent="0.55000000000000004">
      <c r="A19">
        <f ca="1"/>
      </c>
      <c r="B19">
        <f ca="1"/>
      </c>
      <c r="C19" s="7">
        <f ca="1"/>
      </c>
      <c r="D19" s="46">
        <f ca="1"/>
      </c>
      <c r="E19" s="13">
        <f ca="1"/>
      </c>
      <c r="F19" s="7">
        <f ca="1"/>
      </c>
      <c r="G19" s="13">
        <f ca="1"/>
      </c>
      <c r="H19" s="10">
        <f ca="1"/>
      </c>
      <c r="I19" s="10">
        <f ca="1"/>
      </c>
      <c r="J19" s="10">
        <f ca="1"/>
      </c>
      <c r="K19" s="13">
        <f ca="1"/>
      </c>
      <c r="L19">
        <f ca="1"/>
      </c>
      <c r="M19" s="14">
        <f ca="1"/>
      </c>
      <c r="N19" s="14">
        <f ca="1"/>
      </c>
      <c r="O19" s="14">
        <f ca="1"/>
      </c>
      <c r="Q19" s="7">
        <f ca="1"/>
      </c>
      <c r="R19" s="13">
        <f ca="1"/>
      </c>
      <c r="T19" s="3"/>
      <c r="U19" s="2"/>
      <c r="W19" s="2"/>
      <c r="X19" s="2"/>
      <c r="Z19" s="3"/>
      <c r="AA19" s="2"/>
      <c r="AB19" s="2"/>
      <c r="AE19" s="7">
        <f ca="1"/>
      </c>
      <c r="AF19">
        <f ca="1"/>
      </c>
      <c r="AG19">
        <f ca="1"/>
      </c>
      <c r="AH19">
        <f ca="1"/>
      </c>
      <c r="AI19">
        <f ca="1"/>
      </c>
      <c r="AJ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P19">
        <f ca="1"/>
      </c>
      <c r="AQ19">
        <f ca="1"/>
      </c>
      <c r="AR19">
        <f ca="1"/>
      </c>
      <c r="AT19" s="7">
        <f ca="1"/>
      </c>
      <c r="AU19">
        <f ca="1"/>
      </c>
      <c r="AV19">
        <f ca="1"/>
      </c>
      <c r="AW19">
        <f ca="1"/>
      </c>
      <c r="AX19">
        <f ca="1"/>
      </c>
      <c r="AY19">
        <f ca="1"/>
      </c>
      <c r="BA19" s="7">
        <f ca="1"/>
      </c>
      <c r="BB19">
        <f ca="1"/>
      </c>
      <c r="BC19">
        <f ca="1"/>
      </c>
      <c r="BD19">
        <f ca="1"/>
      </c>
      <c r="BE19">
        <f ca="1"/>
      </c>
      <c r="BG19">
        <f ca="1"/>
      </c>
      <c r="BH19">
        <f ca="1"/>
      </c>
      <c r="BI19">
        <f ca="1"/>
      </c>
      <c r="BJ19">
        <f ca="1"/>
      </c>
      <c r="BK19">
        <f ca="1"/>
      </c>
      <c r="BL19">
        <f ca="1"/>
      </c>
      <c r="BM19">
        <f ca="1"/>
      </c>
      <c r="BO19">
        <f ca="1"/>
      </c>
      <c r="BP19">
        <f ca="1"/>
      </c>
      <c r="BQ19">
        <f ca="1"/>
      </c>
      <c r="BR19">
        <f ca="1"/>
      </c>
      <c r="BS19">
        <f ca="1"/>
      </c>
      <c r="BT19">
        <f ca="1"/>
      </c>
      <c r="BU19">
        <f ca="1"/>
      </c>
    </row>
    <row r="20" spans="1:73" x14ac:dyDescent="0.55000000000000004">
      <c r="A20">
        <f ca="1"/>
      </c>
      <c r="B20">
        <f ca="1"/>
      </c>
      <c r="C20" s="7">
        <f ca="1"/>
      </c>
      <c r="D20" s="46">
        <f ca="1"/>
      </c>
      <c r="E20" s="13">
        <f ca="1"/>
      </c>
      <c r="F20" s="7">
        <f ca="1"/>
      </c>
      <c r="G20" s="13">
        <f ca="1"/>
      </c>
      <c r="H20" s="10">
        <f ca="1"/>
      </c>
      <c r="I20" s="10">
        <f ca="1"/>
      </c>
      <c r="J20" s="10">
        <f ca="1"/>
      </c>
      <c r="K20" s="13">
        <f ca="1"/>
      </c>
      <c r="L20">
        <f ca="1"/>
      </c>
      <c r="M20" s="14">
        <f ca="1"/>
      </c>
      <c r="N20" s="14">
        <f ca="1"/>
      </c>
      <c r="O20" s="14">
        <f ca="1"/>
      </c>
      <c r="Q20" s="7"/>
      <c r="R20" s="13"/>
      <c r="T20" s="3"/>
      <c r="U20" s="2"/>
      <c r="W20" s="2"/>
      <c r="X20" s="2"/>
      <c r="Z20" s="3"/>
      <c r="AA20" s="2"/>
      <c r="AB20" s="2"/>
      <c r="AE20" s="7">
        <f ca="1"/>
      </c>
      <c r="AF20">
        <f ca="1"/>
      </c>
      <c r="AG20">
        <f ca="1"/>
      </c>
      <c r="AH20">
        <f ca="1"/>
      </c>
      <c r="AI20">
        <f ca="1"/>
      </c>
      <c r="AJ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P20">
        <f ca="1"/>
      </c>
      <c r="AQ20">
        <f ca="1"/>
      </c>
      <c r="AR20">
        <f ca="1"/>
      </c>
      <c r="AT20" s="7">
        <f ca="1"/>
      </c>
      <c r="AU20">
        <f ca="1"/>
      </c>
      <c r="AV20">
        <f ca="1"/>
      </c>
      <c r="AW20">
        <f ca="1"/>
      </c>
      <c r="AX20">
        <f ca="1"/>
      </c>
      <c r="AY20">
        <f ca="1"/>
      </c>
      <c r="BA20" s="7">
        <f ca="1"/>
      </c>
      <c r="BB20">
        <f ca="1"/>
      </c>
      <c r="BC20">
        <f ca="1"/>
      </c>
      <c r="BD20">
        <f ca="1"/>
      </c>
      <c r="BE20">
        <f ca="1"/>
      </c>
      <c r="BG20">
        <f ca="1"/>
      </c>
      <c r="BH20">
        <f ca="1"/>
      </c>
      <c r="BI20">
        <f ca="1"/>
      </c>
      <c r="BJ20">
        <f ca="1"/>
      </c>
      <c r="BK20">
        <f ca="1"/>
      </c>
      <c r="BL20">
        <f ca="1"/>
      </c>
      <c r="BM20">
        <f ca="1"/>
      </c>
      <c r="BO20">
        <f ca="1"/>
      </c>
      <c r="BP20">
        <f ca="1"/>
      </c>
      <c r="BQ20">
        <f ca="1"/>
      </c>
      <c r="BR20">
        <f ca="1"/>
      </c>
      <c r="BS20">
        <f ca="1"/>
      </c>
      <c r="BT20">
        <f ca="1"/>
      </c>
      <c r="BU20">
        <f ca="1"/>
      </c>
    </row>
    <row r="21" spans="1:73" x14ac:dyDescent="0.55000000000000004">
      <c r="A21">
        <f ca="1"/>
      </c>
      <c r="B21">
        <f ca="1"/>
      </c>
      <c r="C21" s="7">
        <f ca="1"/>
      </c>
      <c r="D21" s="46">
        <f ca="1"/>
      </c>
      <c r="E21" s="13">
        <f ca="1"/>
      </c>
      <c r="F21" s="7">
        <f ca="1"/>
      </c>
      <c r="G21" s="13">
        <f ca="1"/>
      </c>
      <c r="H21" s="10">
        <f ca="1"/>
      </c>
      <c r="I21" s="10">
        <f ca="1"/>
      </c>
      <c r="J21" s="10">
        <f ca="1"/>
      </c>
      <c r="K21" s="13">
        <f ca="1"/>
      </c>
      <c r="L21">
        <f ca="1"/>
      </c>
      <c r="M21" s="14">
        <f ca="1"/>
      </c>
      <c r="N21" s="14">
        <f ca="1"/>
      </c>
      <c r="O21" s="14">
        <f ca="1"/>
      </c>
      <c r="Q21" s="7"/>
      <c r="R21" s="13"/>
      <c r="T21" s="3"/>
      <c r="U21" s="2"/>
      <c r="W21" s="2"/>
      <c r="X21" s="2"/>
      <c r="Z21" s="3"/>
      <c r="AA21" s="2"/>
      <c r="AB21" s="2"/>
      <c r="AE21" s="7">
        <f ca="1"/>
      </c>
      <c r="AF21">
        <f ca="1"/>
      </c>
      <c r="AG21">
        <f ca="1"/>
      </c>
      <c r="AH21">
        <f ca="1"/>
      </c>
      <c r="AI21">
        <f ca="1"/>
      </c>
      <c r="AJ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P21">
        <f ca="1"/>
      </c>
      <c r="AQ21">
        <f ca="1"/>
      </c>
      <c r="AR21">
        <f ca="1"/>
      </c>
      <c r="AT21" s="7">
        <f ca="1"/>
      </c>
      <c r="AU21">
        <f ca="1"/>
      </c>
      <c r="AV21">
        <f ca="1"/>
      </c>
      <c r="AW21">
        <f ca="1"/>
      </c>
      <c r="AX21">
        <f ca="1"/>
      </c>
      <c r="AY21">
        <f ca="1"/>
      </c>
      <c r="BA21" s="7">
        <f ca="1"/>
      </c>
      <c r="BB21">
        <f ca="1"/>
      </c>
      <c r="BC21">
        <f ca="1"/>
      </c>
      <c r="BD21">
        <f ca="1"/>
      </c>
      <c r="BE21">
        <f ca="1"/>
      </c>
      <c r="BG21">
        <f ca="1"/>
      </c>
      <c r="BH21">
        <f ca="1"/>
      </c>
      <c r="BI21">
        <f ca="1"/>
      </c>
      <c r="BJ21">
        <f ca="1"/>
      </c>
      <c r="BK21">
        <f ca="1"/>
      </c>
      <c r="BL21">
        <f ca="1"/>
      </c>
      <c r="BM21">
        <f ca="1"/>
      </c>
      <c r="BO21">
        <f ca="1"/>
      </c>
      <c r="BP21">
        <f ca="1"/>
      </c>
      <c r="BQ21">
        <f ca="1"/>
      </c>
      <c r="BR21">
        <f ca="1"/>
      </c>
      <c r="BS21">
        <f ca="1"/>
      </c>
      <c r="BT21">
        <f ca="1"/>
      </c>
      <c r="BU21">
        <f ca="1"/>
      </c>
    </row>
    <row r="22" spans="1:73" x14ac:dyDescent="0.55000000000000004">
      <c r="A22">
        <f ca="1"/>
      </c>
      <c r="B22">
        <f ca="1"/>
      </c>
      <c r="C22" s="7">
        <f ca="1"/>
      </c>
      <c r="D22" s="46">
        <f ca="1"/>
      </c>
      <c r="E22" s="13">
        <f ca="1"/>
      </c>
      <c r="F22" s="7">
        <f ca="1"/>
      </c>
      <c r="G22" s="13">
        <f ca="1"/>
      </c>
      <c r="H22" s="10">
        <f ca="1"/>
      </c>
      <c r="I22" s="10">
        <f ca="1"/>
      </c>
      <c r="J22" s="10">
        <f ca="1"/>
      </c>
      <c r="K22" s="13">
        <f ca="1"/>
      </c>
      <c r="L22">
        <f ca="1"/>
      </c>
      <c r="M22" s="14">
        <f ca="1"/>
      </c>
      <c r="N22" s="14">
        <f ca="1"/>
      </c>
      <c r="O22" s="14">
        <f ca="1"/>
      </c>
      <c r="Q22" s="7"/>
      <c r="R22" s="13"/>
      <c r="T22" s="3"/>
      <c r="U22" s="2"/>
      <c r="W22" s="2"/>
      <c r="X22" s="2"/>
      <c r="Z22" s="3"/>
      <c r="AA22" s="2"/>
      <c r="AB22" s="2"/>
      <c r="AE22" s="7">
        <f ca="1"/>
      </c>
      <c r="AF22">
        <f ca="1"/>
      </c>
      <c r="AG22">
        <f ca="1"/>
      </c>
      <c r="AH22">
        <f ca="1"/>
      </c>
      <c r="AI22">
        <f ca="1"/>
      </c>
      <c r="AJ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P22">
        <f ca="1"/>
      </c>
      <c r="AQ22">
        <f ca="1"/>
      </c>
      <c r="AR22">
        <f ca="1"/>
      </c>
      <c r="AT22" s="7">
        <f ca="1"/>
      </c>
      <c r="AU22">
        <f ca="1"/>
      </c>
      <c r="AV22">
        <f ca="1"/>
      </c>
      <c r="AW22">
        <f ca="1"/>
      </c>
      <c r="AX22">
        <f ca="1"/>
      </c>
      <c r="AY22">
        <f ca="1"/>
      </c>
      <c r="BA22" s="7">
        <f ca="1"/>
      </c>
      <c r="BB22">
        <f ca="1"/>
      </c>
      <c r="BC22">
        <f ca="1"/>
      </c>
      <c r="BD22">
        <f ca="1"/>
      </c>
      <c r="BE22">
        <f ca="1"/>
      </c>
      <c r="BG22">
        <f ca="1"/>
      </c>
      <c r="BH22">
        <f ca="1"/>
      </c>
      <c r="BI22">
        <f ca="1"/>
      </c>
      <c r="BJ22">
        <f ca="1"/>
      </c>
      <c r="BK22">
        <f ca="1"/>
      </c>
      <c r="BL22">
        <f ca="1"/>
      </c>
      <c r="BM22">
        <f ca="1"/>
      </c>
      <c r="BO22">
        <f ca="1"/>
      </c>
      <c r="BP22">
        <f ca="1"/>
      </c>
      <c r="BQ22">
        <f ca="1"/>
      </c>
      <c r="BR22">
        <f ca="1"/>
      </c>
      <c r="BS22">
        <f ca="1"/>
      </c>
      <c r="BT22">
        <f ca="1"/>
      </c>
      <c r="BU22">
        <f ca="1"/>
      </c>
    </row>
    <row r="23" spans="1:73" x14ac:dyDescent="0.55000000000000004">
      <c r="A23">
        <f ca="1"/>
      </c>
      <c r="B23">
        <f ca="1"/>
      </c>
      <c r="C23" s="7">
        <f ca="1"/>
      </c>
      <c r="D23" s="46">
        <f ca="1"/>
      </c>
      <c r="E23" s="13">
        <f ca="1"/>
      </c>
      <c r="F23" s="7">
        <f ca="1"/>
      </c>
      <c r="G23" s="13">
        <f ca="1"/>
      </c>
      <c r="H23" s="10">
        <f ca="1"/>
      </c>
      <c r="I23" s="10">
        <f ca="1"/>
      </c>
      <c r="J23" s="10">
        <f ca="1"/>
      </c>
      <c r="K23" s="13">
        <f ca="1"/>
      </c>
      <c r="L23">
        <f ca="1"/>
      </c>
      <c r="M23" s="14">
        <f ca="1"/>
      </c>
      <c r="N23" s="14">
        <f ca="1"/>
      </c>
      <c r="O23" s="14">
        <f ca="1"/>
      </c>
      <c r="Q23" s="7"/>
      <c r="R23" s="13"/>
      <c r="T23" s="3"/>
      <c r="U23" s="2"/>
      <c r="W23" s="2"/>
      <c r="X23" s="2"/>
      <c r="Z23" s="3"/>
      <c r="AA23" s="2"/>
      <c r="AB23" s="2"/>
      <c r="AE23" s="7">
        <f ca="1"/>
      </c>
      <c r="AF23">
        <f ca="1"/>
      </c>
      <c r="AG23">
        <f ca="1"/>
      </c>
      <c r="AH23">
        <f ca="1"/>
      </c>
      <c r="AI23">
        <f ca="1"/>
      </c>
      <c r="AJ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P23">
        <f ca="1"/>
      </c>
      <c r="AQ23">
        <f ca="1"/>
      </c>
      <c r="AR23">
        <f ca="1"/>
      </c>
      <c r="AT23" s="7">
        <f ca="1"/>
      </c>
      <c r="AU23">
        <f ca="1"/>
      </c>
      <c r="AV23">
        <f ca="1"/>
      </c>
      <c r="AW23">
        <f ca="1"/>
      </c>
      <c r="AX23">
        <f ca="1"/>
      </c>
      <c r="AY23">
        <f ca="1"/>
      </c>
      <c r="BA23" s="7">
        <f ca="1"/>
      </c>
      <c r="BB23">
        <f ca="1"/>
      </c>
      <c r="BC23">
        <f ca="1"/>
      </c>
      <c r="BD23">
        <f ca="1"/>
      </c>
      <c r="BE23">
        <f ca="1"/>
      </c>
      <c r="BG23">
        <f ca="1"/>
      </c>
      <c r="BH23">
        <f ca="1"/>
      </c>
      <c r="BI23">
        <f ca="1"/>
      </c>
      <c r="BJ23">
        <f ca="1"/>
      </c>
      <c r="BK23">
        <f ca="1"/>
      </c>
      <c r="BL23">
        <f ca="1"/>
      </c>
      <c r="BM23">
        <f ca="1"/>
      </c>
      <c r="BO23">
        <f ca="1"/>
      </c>
      <c r="BP23">
        <f ca="1"/>
      </c>
      <c r="BQ23">
        <f ca="1"/>
      </c>
      <c r="BR23">
        <f ca="1"/>
      </c>
      <c r="BS23">
        <f ca="1"/>
      </c>
      <c r="BT23">
        <f ca="1"/>
      </c>
      <c r="BU23">
        <f ca="1"/>
      </c>
    </row>
    <row r="24" spans="1:73" x14ac:dyDescent="0.55000000000000004">
      <c r="A24">
        <f ca="1"/>
      </c>
      <c r="B24">
        <f ca="1"/>
      </c>
      <c r="C24" s="7">
        <f ca="1"/>
      </c>
      <c r="D24" s="46">
        <f ca="1"/>
      </c>
      <c r="E24" s="13">
        <f ca="1"/>
      </c>
      <c r="F24" s="7">
        <f ca="1"/>
      </c>
      <c r="G24" s="13">
        <f ca="1"/>
      </c>
      <c r="H24" s="10">
        <f ca="1"/>
      </c>
      <c r="I24" s="10">
        <f ca="1"/>
      </c>
      <c r="J24" s="10">
        <f ca="1"/>
      </c>
      <c r="K24" s="13">
        <f ca="1"/>
      </c>
      <c r="L24">
        <f ca="1"/>
      </c>
      <c r="M24" s="14">
        <f ca="1"/>
      </c>
      <c r="N24" s="14">
        <f ca="1"/>
      </c>
      <c r="O24" s="14">
        <f ca="1"/>
      </c>
      <c r="Q24" s="7"/>
      <c r="R24" s="13"/>
      <c r="T24" s="3"/>
      <c r="U24" s="2"/>
      <c r="W24" s="2"/>
      <c r="X24" s="2"/>
      <c r="Z24" s="3"/>
      <c r="AA24" s="2"/>
      <c r="AB24" s="2"/>
      <c r="AE24" s="7">
        <f ca="1"/>
      </c>
      <c r="AF24">
        <f ca="1"/>
      </c>
      <c r="AG24">
        <f ca="1"/>
      </c>
      <c r="AH24">
        <f ca="1"/>
      </c>
      <c r="AI24">
        <f ca="1"/>
      </c>
      <c r="AJ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P24">
        <f ca="1"/>
      </c>
      <c r="AQ24">
        <f ca="1"/>
      </c>
      <c r="AR24">
        <f ca="1"/>
      </c>
      <c r="AT24" s="7">
        <f ca="1"/>
      </c>
      <c r="AU24">
        <f ca="1"/>
      </c>
      <c r="AV24">
        <f ca="1"/>
      </c>
      <c r="AW24">
        <f ca="1"/>
      </c>
      <c r="AX24">
        <f ca="1"/>
      </c>
      <c r="AY24">
        <f ca="1"/>
      </c>
      <c r="BA24" s="7">
        <f ca="1"/>
      </c>
      <c r="BB24">
        <f ca="1"/>
      </c>
      <c r="BC24">
        <f ca="1"/>
      </c>
      <c r="BD24">
        <f ca="1"/>
      </c>
      <c r="BE24">
        <f ca="1"/>
      </c>
      <c r="BG24">
        <f ca="1"/>
      </c>
      <c r="BH24">
        <f ca="1"/>
      </c>
      <c r="BI24">
        <f ca="1"/>
      </c>
      <c r="BJ24">
        <f ca="1"/>
      </c>
      <c r="BK24">
        <f ca="1"/>
      </c>
      <c r="BL24">
        <f ca="1"/>
      </c>
      <c r="BM24">
        <f ca="1"/>
      </c>
      <c r="BO24">
        <f ca="1"/>
      </c>
      <c r="BP24">
        <f ca="1"/>
      </c>
      <c r="BQ24">
        <f ca="1"/>
      </c>
      <c r="BR24">
        <f ca="1"/>
      </c>
      <c r="BS24">
        <f ca="1"/>
      </c>
      <c r="BT24">
        <f ca="1"/>
      </c>
      <c r="BU24">
        <f ca="1"/>
      </c>
    </row>
    <row r="25" spans="1:73" x14ac:dyDescent="0.55000000000000004">
      <c r="A25">
        <f ca="1"/>
      </c>
      <c r="B25">
        <f ca="1"/>
      </c>
      <c r="C25" s="7">
        <f ca="1"/>
      </c>
      <c r="D25" s="46">
        <f ca="1"/>
      </c>
      <c r="E25" s="13">
        <f ca="1"/>
      </c>
      <c r="F25" s="7">
        <f ca="1"/>
      </c>
      <c r="G25" s="13">
        <f ca="1"/>
      </c>
      <c r="H25" s="10">
        <f ca="1"/>
      </c>
      <c r="I25" s="10">
        <f ca="1"/>
      </c>
      <c r="J25" s="10">
        <f ca="1"/>
      </c>
      <c r="K25" s="13">
        <f ca="1"/>
      </c>
      <c r="L25">
        <f ca="1"/>
      </c>
      <c r="M25" s="14">
        <f ca="1"/>
      </c>
      <c r="N25" s="14">
        <f ca="1"/>
      </c>
      <c r="O25" s="14">
        <f ca="1"/>
      </c>
      <c r="Q25" s="7"/>
      <c r="R25" s="13"/>
      <c r="T25" s="3"/>
      <c r="U25" s="2"/>
      <c r="W25" s="2"/>
      <c r="X25" s="2"/>
      <c r="Z25" s="3"/>
      <c r="AA25" s="2"/>
      <c r="AB25" s="2"/>
      <c r="AE25" s="7">
        <f ca="1"/>
      </c>
      <c r="AF25">
        <f ca="1"/>
      </c>
      <c r="AG25">
        <f ca="1"/>
      </c>
      <c r="AH25">
        <f ca="1"/>
      </c>
      <c r="AI25">
        <f ca="1"/>
      </c>
      <c r="AJ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P25">
        <f ca="1"/>
      </c>
      <c r="AQ25">
        <f ca="1"/>
      </c>
      <c r="AR25">
        <f ca="1"/>
      </c>
      <c r="AT25" s="7">
        <f ca="1"/>
      </c>
      <c r="AU25">
        <f ca="1"/>
      </c>
      <c r="AV25">
        <f ca="1"/>
      </c>
      <c r="AW25">
        <f ca="1"/>
      </c>
      <c r="AX25">
        <f ca="1"/>
      </c>
      <c r="AY25">
        <f ca="1"/>
      </c>
      <c r="BA25" s="7">
        <f ca="1"/>
      </c>
      <c r="BB25">
        <f ca="1"/>
      </c>
      <c r="BC25">
        <f ca="1"/>
      </c>
      <c r="BD25">
        <f ca="1"/>
      </c>
      <c r="BE25">
        <f ca="1"/>
      </c>
      <c r="BG25">
        <f ca="1"/>
      </c>
      <c r="BH25">
        <f ca="1"/>
      </c>
      <c r="BI25">
        <f ca="1"/>
      </c>
      <c r="BJ25">
        <f ca="1"/>
      </c>
      <c r="BK25">
        <f ca="1"/>
      </c>
      <c r="BL25">
        <f ca="1"/>
      </c>
      <c r="BM25">
        <f ca="1"/>
      </c>
      <c r="BO25">
        <f ca="1"/>
      </c>
      <c r="BP25">
        <f ca="1"/>
      </c>
      <c r="BQ25">
        <f ca="1"/>
      </c>
      <c r="BR25">
        <f ca="1"/>
      </c>
      <c r="BS25">
        <f ca="1"/>
      </c>
      <c r="BT25">
        <f ca="1"/>
      </c>
      <c r="BU25">
        <f ca="1"/>
      </c>
    </row>
    <row r="26" spans="1:73" x14ac:dyDescent="0.55000000000000004">
      <c r="A26">
        <f ca="1"/>
      </c>
      <c r="B26">
        <f ca="1"/>
      </c>
      <c r="C26" s="7">
        <f ca="1"/>
      </c>
      <c r="D26" s="46">
        <f ca="1"/>
      </c>
      <c r="E26" s="13">
        <f ca="1"/>
      </c>
      <c r="F26" s="7">
        <f ca="1"/>
      </c>
      <c r="G26" s="13">
        <f ca="1"/>
      </c>
      <c r="H26" s="10">
        <f ca="1"/>
      </c>
      <c r="I26" s="10">
        <f ca="1"/>
      </c>
      <c r="J26" s="10">
        <f ca="1"/>
      </c>
      <c r="K26" s="13">
        <f ca="1"/>
      </c>
      <c r="L26">
        <f ca="1"/>
      </c>
      <c r="M26" s="14">
        <f ca="1"/>
      </c>
      <c r="N26" s="14">
        <f ca="1"/>
      </c>
      <c r="O26" s="14">
        <f ca="1"/>
      </c>
      <c r="Q26" s="7"/>
      <c r="R26" s="13"/>
      <c r="T26" s="3"/>
      <c r="U26" s="2"/>
      <c r="W26" s="2"/>
      <c r="X26" s="2"/>
      <c r="Z26" s="3"/>
      <c r="AA26" s="2"/>
      <c r="AB26" s="2"/>
      <c r="AE26" s="7">
        <f ca="1"/>
      </c>
      <c r="AF26">
        <f ca="1"/>
      </c>
      <c r="AG26">
        <f ca="1"/>
      </c>
      <c r="AH26">
        <f ca="1"/>
      </c>
      <c r="AI26">
        <f ca="1"/>
      </c>
      <c r="AJ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P26">
        <f ca="1"/>
      </c>
      <c r="AQ26">
        <f ca="1"/>
      </c>
      <c r="AR26">
        <f ca="1"/>
      </c>
      <c r="AT26" s="7">
        <f ca="1"/>
      </c>
      <c r="AU26">
        <f ca="1"/>
      </c>
      <c r="AV26">
        <f ca="1"/>
      </c>
      <c r="AW26">
        <f ca="1"/>
      </c>
      <c r="AX26">
        <f ca="1"/>
      </c>
      <c r="AY26">
        <f ca="1"/>
      </c>
      <c r="BA26" s="7">
        <f ca="1"/>
      </c>
      <c r="BB26">
        <f ca="1"/>
      </c>
      <c r="BC26">
        <f ca="1"/>
      </c>
      <c r="BD26">
        <f ca="1"/>
      </c>
      <c r="BE26">
        <f ca="1"/>
      </c>
      <c r="BG26">
        <f ca="1"/>
      </c>
      <c r="BH26">
        <f ca="1"/>
      </c>
      <c r="BI26">
        <f ca="1"/>
      </c>
      <c r="BJ26">
        <f ca="1"/>
      </c>
      <c r="BK26">
        <f ca="1"/>
      </c>
      <c r="BL26">
        <f ca="1"/>
      </c>
      <c r="BM26">
        <f ca="1"/>
      </c>
      <c r="BO26">
        <f ca="1"/>
      </c>
      <c r="BP26">
        <f ca="1"/>
      </c>
      <c r="BQ26">
        <f ca="1"/>
      </c>
      <c r="BR26">
        <f ca="1"/>
      </c>
      <c r="BS26">
        <f ca="1"/>
      </c>
      <c r="BT26">
        <f ca="1"/>
      </c>
      <c r="BU26">
        <f ca="1"/>
      </c>
    </row>
    <row r="27" spans="1:73" x14ac:dyDescent="0.55000000000000004">
      <c r="A27">
        <f ca="1"/>
      </c>
      <c r="B27">
        <f ca="1"/>
      </c>
      <c r="C27" s="7">
        <f ca="1"/>
      </c>
      <c r="D27" s="46">
        <f ca="1"/>
      </c>
      <c r="E27" s="13">
        <f ca="1"/>
      </c>
      <c r="F27" s="7">
        <f ca="1"/>
      </c>
      <c r="G27" s="13">
        <f ca="1"/>
      </c>
      <c r="H27" s="10">
        <f ca="1"/>
      </c>
      <c r="I27" s="10">
        <f ca="1"/>
      </c>
      <c r="J27" s="10">
        <f ca="1"/>
      </c>
      <c r="K27" s="13">
        <f ca="1"/>
      </c>
      <c r="L27">
        <f ca="1"/>
      </c>
      <c r="M27" s="14"/>
      <c r="N27" s="14"/>
      <c r="O27" s="14"/>
      <c r="Q27" s="7"/>
      <c r="R27" s="13"/>
      <c r="T27" s="3"/>
      <c r="U27" s="2"/>
      <c r="W27" s="2"/>
      <c r="X27" s="2"/>
      <c r="Z27" s="3"/>
      <c r="AA27" s="2"/>
      <c r="AB27" s="2"/>
      <c r="AE27" s="7">
        <f ca="1"/>
      </c>
      <c r="AF27">
        <f ca="1"/>
      </c>
      <c r="AG27">
        <f ca="1"/>
      </c>
      <c r="AH27">
        <f ca="1"/>
      </c>
      <c r="AI27">
        <f ca="1"/>
      </c>
      <c r="AJ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P27">
        <f ca="1"/>
      </c>
      <c r="AQ27">
        <f ca="1"/>
      </c>
      <c r="AR27">
        <f ca="1"/>
      </c>
      <c r="AT27" s="7">
        <f ca="1"/>
      </c>
      <c r="AU27">
        <f ca="1"/>
      </c>
      <c r="AV27">
        <f ca="1"/>
      </c>
      <c r="AW27">
        <f ca="1"/>
      </c>
      <c r="AX27">
        <f ca="1"/>
      </c>
      <c r="AY27">
        <f ca="1"/>
      </c>
      <c r="BA27" s="7">
        <f ca="1"/>
      </c>
      <c r="BB27">
        <f ca="1"/>
      </c>
      <c r="BC27">
        <f ca="1"/>
      </c>
      <c r="BD27">
        <f ca="1"/>
      </c>
      <c r="BE27">
        <f ca="1"/>
      </c>
      <c r="BG27">
        <f ca="1"/>
      </c>
      <c r="BH27">
        <f ca="1"/>
      </c>
      <c r="BI27">
        <f ca="1"/>
      </c>
      <c r="BJ27">
        <f ca="1"/>
      </c>
      <c r="BK27">
        <f ca="1"/>
      </c>
      <c r="BL27">
        <f ca="1"/>
      </c>
      <c r="BM27">
        <f ca="1"/>
      </c>
      <c r="BO27">
        <f ca="1"/>
      </c>
      <c r="BP27">
        <f ca="1"/>
      </c>
      <c r="BQ27">
        <f ca="1"/>
      </c>
      <c r="BR27">
        <f ca="1"/>
      </c>
      <c r="BS27">
        <f ca="1"/>
      </c>
      <c r="BT27">
        <f ca="1"/>
      </c>
      <c r="BU27">
        <f ca="1"/>
      </c>
    </row>
    <row r="28" spans="1:73" x14ac:dyDescent="0.55000000000000004">
      <c r="C28" s="7"/>
      <c r="D28" s="46"/>
      <c r="E28" s="13"/>
      <c r="F28" s="7"/>
      <c r="G28" s="13"/>
      <c r="H28" s="10"/>
      <c r="I28" s="10"/>
      <c r="J28" s="10"/>
      <c r="K28" s="13"/>
      <c r="M28" s="14"/>
      <c r="N28" s="14"/>
      <c r="O28" s="14"/>
      <c r="Q28" s="7"/>
      <c r="R28" s="13"/>
      <c r="T28" s="3"/>
      <c r="U28" s="2"/>
      <c r="W28" s="2"/>
      <c r="X28" s="2"/>
      <c r="Z28" s="3"/>
      <c r="AA28" s="2"/>
      <c r="AB28" s="2"/>
      <c r="AE28" s="7">
        <f ca="1"/>
      </c>
      <c r="AF28">
        <f ca="1"/>
      </c>
      <c r="AG28">
        <f ca="1"/>
      </c>
      <c r="AH28">
        <f ca="1"/>
      </c>
      <c r="AI28">
        <f ca="1"/>
      </c>
      <c r="AJ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P28">
        <f ca="1"/>
      </c>
      <c r="AQ28">
        <f ca="1"/>
      </c>
      <c r="AR28">
        <f ca="1"/>
      </c>
      <c r="AT28" s="7">
        <f ca="1"/>
      </c>
      <c r="AU28">
        <f ca="1"/>
      </c>
      <c r="AV28">
        <f ca="1"/>
      </c>
      <c r="AW28">
        <f ca="1"/>
      </c>
      <c r="AX28">
        <f ca="1"/>
      </c>
      <c r="AY28">
        <f ca="1"/>
      </c>
      <c r="BA28" s="7">
        <f ca="1"/>
      </c>
      <c r="BB28">
        <f ca="1"/>
      </c>
      <c r="BC28">
        <f ca="1"/>
      </c>
      <c r="BD28">
        <f ca="1"/>
      </c>
      <c r="BE28">
        <f ca="1"/>
      </c>
      <c r="BG28">
        <f ca="1"/>
      </c>
      <c r="BH28">
        <f ca="1"/>
      </c>
      <c r="BI28">
        <f ca="1"/>
      </c>
      <c r="BJ28">
        <f ca="1"/>
      </c>
      <c r="BK28">
        <f ca="1"/>
      </c>
      <c r="BL28">
        <f ca="1"/>
      </c>
      <c r="BM28">
        <f ca="1"/>
      </c>
      <c r="BO28">
        <f ca="1"/>
      </c>
      <c r="BP28">
        <f ca="1"/>
      </c>
      <c r="BQ28">
        <f ca="1"/>
      </c>
      <c r="BR28">
        <f ca="1"/>
      </c>
      <c r="BS28">
        <f ca="1"/>
      </c>
      <c r="BT28">
        <f ca="1"/>
      </c>
      <c r="BU28">
        <f ca="1"/>
      </c>
    </row>
    <row r="29" spans="1:73" x14ac:dyDescent="0.55000000000000004">
      <c r="C29" s="7"/>
      <c r="D29" s="46"/>
      <c r="E29" s="13"/>
      <c r="F29" s="7"/>
      <c r="G29" s="13"/>
      <c r="H29" s="10"/>
      <c r="I29" s="10"/>
      <c r="J29" s="10"/>
      <c r="K29" s="13"/>
      <c r="M29" s="14"/>
      <c r="N29" s="14"/>
      <c r="O29" s="14"/>
      <c r="Q29" s="7"/>
      <c r="R29" s="13"/>
      <c r="T29" s="3"/>
      <c r="U29" s="2"/>
      <c r="W29" s="2"/>
      <c r="X29" s="2"/>
      <c r="Z29" s="3"/>
      <c r="AA29" s="2"/>
      <c r="AB29" s="2"/>
      <c r="AE29" s="7">
        <f ca="1"/>
      </c>
      <c r="AF29">
        <f ca="1"/>
      </c>
      <c r="AG29">
        <f ca="1"/>
      </c>
      <c r="AH29">
        <f ca="1"/>
      </c>
      <c r="AI29">
        <f ca="1"/>
      </c>
      <c r="AJ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P29">
        <f ca="1"/>
      </c>
      <c r="AQ29">
        <f ca="1"/>
      </c>
      <c r="AR29">
        <f ca="1"/>
      </c>
      <c r="AT29" s="7">
        <f ca="1"/>
      </c>
      <c r="AU29">
        <f ca="1"/>
      </c>
      <c r="AV29">
        <f ca="1"/>
      </c>
      <c r="AW29">
        <f ca="1"/>
      </c>
      <c r="AX29">
        <f ca="1"/>
      </c>
      <c r="AY29">
        <f ca="1"/>
      </c>
      <c r="BA29" s="7">
        <f ca="1"/>
      </c>
      <c r="BB29">
        <f ca="1"/>
      </c>
      <c r="BC29">
        <f ca="1"/>
      </c>
      <c r="BD29">
        <f ca="1"/>
      </c>
      <c r="BE29">
        <f ca="1"/>
      </c>
      <c r="BG29">
        <f ca="1"/>
      </c>
      <c r="BH29">
        <f ca="1"/>
      </c>
      <c r="BI29">
        <f ca="1"/>
      </c>
      <c r="BJ29">
        <f ca="1"/>
      </c>
      <c r="BK29">
        <f ca="1"/>
      </c>
      <c r="BL29">
        <f ca="1"/>
      </c>
      <c r="BM29">
        <f ca="1"/>
      </c>
      <c r="BO29">
        <f ca="1"/>
      </c>
      <c r="BP29">
        <f ca="1"/>
      </c>
      <c r="BQ29">
        <f ca="1"/>
      </c>
      <c r="BR29">
        <f ca="1"/>
      </c>
      <c r="BS29">
        <f ca="1"/>
      </c>
      <c r="BT29">
        <f ca="1"/>
      </c>
      <c r="BU29">
        <f ca="1"/>
      </c>
    </row>
    <row r="30" spans="1:73" x14ac:dyDescent="0.55000000000000004">
      <c r="C30" s="7"/>
      <c r="D30" s="46"/>
      <c r="E30" s="13"/>
      <c r="F30" s="7"/>
      <c r="G30" s="13"/>
      <c r="H30" s="10"/>
      <c r="I30" s="10"/>
      <c r="J30" s="10"/>
      <c r="K30" s="13"/>
      <c r="M30" s="14"/>
      <c r="N30" s="14"/>
      <c r="O30" s="14"/>
      <c r="Q30" s="7"/>
      <c r="R30" s="13"/>
      <c r="T30" s="3"/>
      <c r="U30" s="2"/>
      <c r="W30" s="2"/>
      <c r="X30" s="2"/>
      <c r="Z30" s="3"/>
      <c r="AA30" s="2"/>
      <c r="AB30" s="2"/>
      <c r="AE30" s="7">
        <f ca="1"/>
      </c>
      <c r="AF30">
        <f ca="1"/>
      </c>
      <c r="AG30">
        <f ca="1"/>
      </c>
      <c r="AH30">
        <f ca="1"/>
      </c>
      <c r="AI30">
        <f ca="1"/>
      </c>
      <c r="AJ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P30">
        <f ca="1"/>
      </c>
      <c r="AQ30">
        <f ca="1"/>
      </c>
      <c r="AR30">
        <f ca="1"/>
      </c>
      <c r="AT30" s="7">
        <f ca="1"/>
      </c>
      <c r="AU30">
        <f ca="1"/>
      </c>
      <c r="AV30">
        <f ca="1"/>
      </c>
      <c r="AW30">
        <f ca="1"/>
      </c>
      <c r="AX30">
        <f ca="1"/>
      </c>
      <c r="AY30">
        <f ca="1"/>
      </c>
      <c r="BA30" s="7">
        <f ca="1"/>
      </c>
      <c r="BB30">
        <f ca="1"/>
      </c>
      <c r="BC30">
        <f ca="1"/>
      </c>
      <c r="BD30">
        <f ca="1"/>
      </c>
      <c r="BE30">
        <f ca="1"/>
      </c>
      <c r="BG30">
        <f ca="1"/>
      </c>
      <c r="BH30">
        <f ca="1"/>
      </c>
      <c r="BI30">
        <f ca="1"/>
      </c>
      <c r="BJ30">
        <f ca="1"/>
      </c>
      <c r="BK30">
        <f ca="1"/>
      </c>
      <c r="BL30">
        <f ca="1"/>
      </c>
      <c r="BM30">
        <f ca="1"/>
      </c>
      <c r="BO30">
        <f ca="1"/>
      </c>
      <c r="BP30">
        <f ca="1"/>
      </c>
      <c r="BQ30">
        <f ca="1"/>
      </c>
      <c r="BR30">
        <f ca="1"/>
      </c>
      <c r="BS30">
        <f ca="1"/>
      </c>
      <c r="BT30">
        <f ca="1"/>
      </c>
      <c r="BU30">
        <f ca="1"/>
      </c>
    </row>
    <row r="31" spans="1:73" x14ac:dyDescent="0.55000000000000004">
      <c r="C31" s="7"/>
      <c r="D31" s="46"/>
      <c r="E31" s="13"/>
      <c r="F31" s="7"/>
      <c r="G31" s="13"/>
      <c r="H31" s="10"/>
      <c r="I31" s="10"/>
      <c r="J31" s="10"/>
      <c r="K31" s="13"/>
      <c r="M31" s="14"/>
      <c r="N31" s="14"/>
      <c r="O31" s="14"/>
      <c r="Q31" s="7"/>
      <c r="R31" s="13"/>
      <c r="T31" s="3"/>
      <c r="U31" s="2"/>
      <c r="W31" s="2"/>
      <c r="X31" s="2"/>
      <c r="Z31" s="3"/>
      <c r="AA31" s="2"/>
      <c r="AB31" s="2"/>
      <c r="AE31" s="7">
        <f ca="1"/>
      </c>
      <c r="AF31">
        <f ca="1"/>
      </c>
      <c r="AG31">
        <f ca="1"/>
      </c>
      <c r="AH31">
        <f ca="1"/>
      </c>
      <c r="AI31">
        <f ca="1"/>
      </c>
      <c r="AJ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P31">
        <f ca="1"/>
      </c>
      <c r="AQ31">
        <f ca="1"/>
      </c>
      <c r="AR31">
        <f ca="1"/>
      </c>
      <c r="AT31" s="7">
        <f ca="1"/>
      </c>
      <c r="AU31">
        <f ca="1"/>
      </c>
      <c r="AV31">
        <f ca="1"/>
      </c>
      <c r="AW31">
        <f ca="1"/>
      </c>
      <c r="AX31">
        <f ca="1"/>
      </c>
      <c r="AY31">
        <f ca="1"/>
      </c>
      <c r="BA31" s="7">
        <f ca="1"/>
      </c>
      <c r="BB31">
        <f ca="1"/>
      </c>
      <c r="BC31">
        <f ca="1"/>
      </c>
      <c r="BD31">
        <f ca="1"/>
      </c>
      <c r="BE31">
        <f ca="1"/>
      </c>
      <c r="BG31">
        <f ca="1"/>
      </c>
      <c r="BH31">
        <f ca="1"/>
      </c>
      <c r="BI31">
        <f ca="1"/>
      </c>
      <c r="BJ31">
        <f ca="1"/>
      </c>
      <c r="BK31">
        <f ca="1"/>
      </c>
      <c r="BL31">
        <f ca="1"/>
      </c>
      <c r="BM31">
        <f ca="1"/>
      </c>
      <c r="BO31">
        <f ca="1"/>
      </c>
      <c r="BP31">
        <f ca="1"/>
      </c>
      <c r="BQ31">
        <f ca="1"/>
      </c>
      <c r="BR31">
        <f ca="1"/>
      </c>
      <c r="BS31">
        <f ca="1"/>
      </c>
      <c r="BT31">
        <f ca="1"/>
      </c>
      <c r="BU31">
        <f ca="1"/>
      </c>
    </row>
    <row r="32" spans="1:73" x14ac:dyDescent="0.55000000000000004">
      <c r="C32" s="7"/>
      <c r="D32" s="46"/>
      <c r="E32" s="13"/>
      <c r="F32" s="7"/>
      <c r="G32" s="13"/>
      <c r="H32" s="10"/>
      <c r="I32" s="10"/>
      <c r="J32" s="10"/>
      <c r="K32" s="13"/>
      <c r="M32" s="14"/>
      <c r="N32" s="14"/>
      <c r="O32" s="14"/>
      <c r="Q32" s="7"/>
      <c r="R32" s="13"/>
      <c r="T32" s="3"/>
      <c r="U32" s="2"/>
      <c r="W32" s="2"/>
      <c r="X32" s="2"/>
      <c r="Z32" s="3"/>
      <c r="AA32" s="2"/>
      <c r="AB32" s="2"/>
      <c r="AE32" s="7">
        <f ca="1"/>
      </c>
      <c r="AF32">
        <f ca="1"/>
      </c>
      <c r="AG32">
        <f ca="1"/>
      </c>
      <c r="AH32">
        <f ca="1"/>
      </c>
      <c r="AI32">
        <f ca="1"/>
      </c>
      <c r="AJ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P32">
        <f ca="1"/>
      </c>
      <c r="AQ32">
        <f ca="1"/>
      </c>
      <c r="AR32">
        <f ca="1"/>
      </c>
      <c r="AT32" s="7">
        <f ca="1"/>
      </c>
      <c r="AU32">
        <f ca="1"/>
      </c>
      <c r="AV32">
        <f ca="1"/>
      </c>
      <c r="AW32">
        <f ca="1"/>
      </c>
      <c r="AX32">
        <f ca="1"/>
      </c>
      <c r="AY32">
        <f ca="1"/>
      </c>
      <c r="BA32" s="7">
        <f ca="1"/>
      </c>
      <c r="BB32">
        <f ca="1"/>
      </c>
      <c r="BC32">
        <f ca="1"/>
      </c>
      <c r="BD32">
        <f ca="1"/>
      </c>
      <c r="BE32">
        <f ca="1"/>
      </c>
      <c r="BG32">
        <f ca="1"/>
      </c>
      <c r="BH32">
        <f ca="1"/>
      </c>
      <c r="BI32">
        <f ca="1"/>
      </c>
      <c r="BJ32">
        <f ca="1"/>
      </c>
      <c r="BK32">
        <f ca="1"/>
      </c>
      <c r="BL32">
        <f ca="1"/>
      </c>
      <c r="BM32">
        <f ca="1"/>
      </c>
      <c r="BO32">
        <f ca="1"/>
      </c>
      <c r="BP32">
        <f ca="1"/>
      </c>
      <c r="BQ32">
        <f ca="1"/>
      </c>
      <c r="BR32">
        <f ca="1"/>
      </c>
      <c r="BS32">
        <f ca="1"/>
      </c>
      <c r="BT32">
        <f ca="1"/>
      </c>
      <c r="BU32">
        <f ca="1"/>
      </c>
    </row>
    <row r="33" spans="3:73" x14ac:dyDescent="0.55000000000000004">
      <c r="C33" s="7"/>
      <c r="D33" s="46"/>
      <c r="E33" s="13"/>
      <c r="F33" s="7"/>
      <c r="G33" s="13"/>
      <c r="H33" s="10"/>
      <c r="I33" s="10"/>
      <c r="J33" s="10"/>
      <c r="K33" s="13"/>
      <c r="M33" s="14"/>
      <c r="N33" s="14"/>
      <c r="O33" s="14"/>
      <c r="Q33" s="7"/>
      <c r="R33" s="13"/>
      <c r="T33" s="3"/>
      <c r="U33" s="2"/>
      <c r="W33" s="2"/>
      <c r="X33" s="2"/>
      <c r="Z33" s="3"/>
      <c r="AA33" s="2"/>
      <c r="AB33" s="2"/>
      <c r="AE33" s="7">
        <f ca="1"/>
      </c>
      <c r="AF33">
        <f ca="1"/>
      </c>
      <c r="AG33">
        <f ca="1"/>
      </c>
      <c r="AH33">
        <f ca="1"/>
      </c>
      <c r="AI33">
        <f ca="1"/>
      </c>
      <c r="AJ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P33">
        <f ca="1"/>
      </c>
      <c r="AQ33">
        <f ca="1"/>
      </c>
      <c r="AR33">
        <f ca="1"/>
      </c>
      <c r="AT33" s="7">
        <f ca="1"/>
      </c>
      <c r="AU33">
        <f ca="1"/>
      </c>
      <c r="AV33">
        <f ca="1"/>
      </c>
      <c r="AW33">
        <f ca="1"/>
      </c>
      <c r="AX33">
        <f ca="1"/>
      </c>
      <c r="AY33">
        <f ca="1"/>
      </c>
      <c r="BA33" s="7">
        <f ca="1"/>
      </c>
      <c r="BB33">
        <f ca="1"/>
      </c>
      <c r="BC33">
        <f ca="1"/>
      </c>
      <c r="BD33">
        <f ca="1"/>
      </c>
      <c r="BE33">
        <f ca="1"/>
      </c>
      <c r="BG33">
        <f ca="1"/>
      </c>
      <c r="BH33">
        <f ca="1"/>
      </c>
      <c r="BI33">
        <f ca="1"/>
      </c>
      <c r="BJ33">
        <f ca="1"/>
      </c>
      <c r="BK33">
        <f ca="1"/>
      </c>
      <c r="BL33">
        <f ca="1"/>
      </c>
      <c r="BM33">
        <f ca="1"/>
      </c>
      <c r="BO33">
        <f ca="1"/>
      </c>
      <c r="BP33">
        <f ca="1"/>
      </c>
      <c r="BQ33">
        <f ca="1"/>
      </c>
      <c r="BR33">
        <f ca="1"/>
      </c>
      <c r="BS33">
        <f ca="1"/>
      </c>
      <c r="BT33">
        <f ca="1"/>
      </c>
      <c r="BU33">
        <f ca="1"/>
      </c>
    </row>
    <row r="34" spans="3:73" x14ac:dyDescent="0.55000000000000004">
      <c r="C34" s="7"/>
      <c r="D34" s="46"/>
      <c r="E34" s="13"/>
      <c r="F34" s="7"/>
      <c r="G34" s="13"/>
      <c r="H34" s="10"/>
      <c r="I34" s="10"/>
      <c r="J34" s="10"/>
      <c r="K34" s="13"/>
      <c r="M34" s="14"/>
      <c r="N34" s="14"/>
      <c r="O34" s="14"/>
      <c r="Q34" s="7"/>
      <c r="R34" s="13"/>
      <c r="T34" s="3"/>
      <c r="U34" s="2"/>
      <c r="W34" s="2"/>
      <c r="X34" s="2"/>
      <c r="Z34" s="3"/>
      <c r="AA34" s="2"/>
      <c r="AB34" s="2"/>
      <c r="AE34" s="7">
        <f ca="1"/>
      </c>
      <c r="AF34">
        <f ca="1"/>
      </c>
      <c r="AG34">
        <f ca="1"/>
      </c>
      <c r="AH34">
        <f ca="1"/>
      </c>
      <c r="AI34">
        <f ca="1"/>
      </c>
      <c r="AJ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P34">
        <f ca="1"/>
      </c>
      <c r="AQ34">
        <f ca="1"/>
      </c>
      <c r="AR34">
        <f ca="1"/>
      </c>
      <c r="AT34" s="7">
        <f ca="1"/>
      </c>
      <c r="AU34">
        <f ca="1"/>
      </c>
      <c r="AV34">
        <f ca="1"/>
      </c>
      <c r="AW34">
        <f ca="1"/>
      </c>
      <c r="AX34">
        <f ca="1"/>
      </c>
      <c r="AY34">
        <f ca="1"/>
      </c>
      <c r="BA34" s="7">
        <f ca="1"/>
      </c>
      <c r="BB34">
        <f ca="1"/>
      </c>
      <c r="BC34">
        <f ca="1"/>
      </c>
      <c r="BD34">
        <f ca="1"/>
      </c>
      <c r="BE34">
        <f ca="1"/>
      </c>
      <c r="BG34">
        <f ca="1"/>
      </c>
      <c r="BH34">
        <f ca="1"/>
      </c>
      <c r="BI34">
        <f ca="1"/>
      </c>
      <c r="BJ34">
        <f ca="1"/>
      </c>
      <c r="BK34">
        <f ca="1"/>
      </c>
      <c r="BL34">
        <f ca="1"/>
      </c>
      <c r="BM34">
        <f ca="1"/>
      </c>
      <c r="BO34">
        <f ca="1"/>
      </c>
      <c r="BP34">
        <f ca="1"/>
      </c>
      <c r="BQ34">
        <f ca="1"/>
      </c>
      <c r="BR34">
        <f ca="1"/>
      </c>
      <c r="BS34">
        <f ca="1"/>
      </c>
      <c r="BT34">
        <f ca="1"/>
      </c>
      <c r="BU34">
        <f ca="1"/>
      </c>
    </row>
    <row r="35" spans="3:73" x14ac:dyDescent="0.55000000000000004">
      <c r="C35" s="7"/>
      <c r="D35" s="46"/>
      <c r="E35" s="13"/>
      <c r="F35" s="7"/>
      <c r="G35" s="13"/>
      <c r="H35" s="10"/>
      <c r="I35" s="10"/>
      <c r="J35" s="10"/>
      <c r="K35" s="13"/>
      <c r="M35" s="14"/>
      <c r="N35" s="14"/>
      <c r="O35" s="14"/>
      <c r="Z35" s="3"/>
      <c r="AA35" s="2"/>
      <c r="AB35" s="2"/>
      <c r="AE35" s="7">
        <f ca="1"/>
      </c>
      <c r="AF35">
        <f ca="1"/>
      </c>
      <c r="AG35">
        <f ca="1"/>
      </c>
      <c r="AH35">
        <f ca="1"/>
      </c>
      <c r="AI35">
        <f ca="1"/>
      </c>
      <c r="AJ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P35">
        <f ca="1"/>
      </c>
      <c r="AQ35">
        <f ca="1"/>
      </c>
      <c r="AR35">
        <f ca="1"/>
      </c>
      <c r="AT35" s="7">
        <f ca="1"/>
      </c>
      <c r="AU35">
        <f ca="1"/>
      </c>
      <c r="AV35">
        <f ca="1"/>
      </c>
      <c r="AW35">
        <f ca="1"/>
      </c>
      <c r="AX35">
        <f ca="1"/>
      </c>
      <c r="AY35">
        <f ca="1"/>
      </c>
      <c r="BA35" s="7">
        <f ca="1"/>
      </c>
      <c r="BB35">
        <f ca="1"/>
      </c>
      <c r="BC35">
        <f ca="1"/>
      </c>
      <c r="BD35">
        <f ca="1"/>
      </c>
      <c r="BE35">
        <f ca="1"/>
      </c>
      <c r="BG35">
        <f ca="1"/>
      </c>
      <c r="BH35">
        <f ca="1"/>
      </c>
      <c r="BI35">
        <f ca="1"/>
      </c>
      <c r="BJ35">
        <f ca="1"/>
      </c>
      <c r="BK35">
        <f ca="1"/>
      </c>
      <c r="BL35">
        <f ca="1"/>
      </c>
      <c r="BM35">
        <f ca="1"/>
      </c>
      <c r="BO35">
        <f ca="1"/>
      </c>
      <c r="BP35">
        <f ca="1"/>
      </c>
      <c r="BQ35">
        <f ca="1"/>
      </c>
      <c r="BR35">
        <f ca="1"/>
      </c>
      <c r="BS35">
        <f ca="1"/>
      </c>
      <c r="BT35">
        <f ca="1"/>
      </c>
      <c r="BU35">
        <f ca="1"/>
      </c>
    </row>
    <row r="36" spans="3:73" x14ac:dyDescent="0.55000000000000004">
      <c r="C36" s="7"/>
      <c r="D36" s="46"/>
      <c r="E36" s="13"/>
      <c r="F36" s="7"/>
      <c r="G36" s="13"/>
      <c r="H36" s="10"/>
      <c r="I36" s="10"/>
      <c r="J36" s="10"/>
      <c r="K36" s="13"/>
      <c r="M36" s="14"/>
      <c r="N36" s="14"/>
      <c r="O36" s="14"/>
      <c r="Z36" s="3"/>
      <c r="AA36" s="2"/>
      <c r="AB36" s="2"/>
      <c r="AE36" s="7">
        <f ca="1"/>
      </c>
      <c r="AF36">
        <f ca="1"/>
      </c>
      <c r="AG36">
        <f ca="1"/>
      </c>
      <c r="AH36">
        <f ca="1"/>
      </c>
      <c r="AI36">
        <f ca="1"/>
      </c>
      <c r="AJ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P36">
        <f ca="1"/>
      </c>
      <c r="AQ36">
        <f ca="1"/>
      </c>
      <c r="AR36">
        <f ca="1"/>
      </c>
      <c r="AT36" s="7">
        <f ca="1"/>
      </c>
      <c r="AU36">
        <f ca="1"/>
      </c>
      <c r="AV36">
        <f ca="1"/>
      </c>
      <c r="AW36">
        <f ca="1"/>
      </c>
      <c r="AX36">
        <f ca="1"/>
      </c>
      <c r="AY36">
        <f ca="1"/>
      </c>
      <c r="BA36" s="7">
        <f ca="1"/>
      </c>
      <c r="BB36">
        <f ca="1"/>
      </c>
      <c r="BC36">
        <f ca="1"/>
      </c>
      <c r="BD36">
        <f ca="1"/>
      </c>
      <c r="BE36">
        <f ca="1"/>
      </c>
      <c r="BG36">
        <f ca="1"/>
      </c>
      <c r="BH36">
        <f ca="1"/>
      </c>
      <c r="BI36">
        <f ca="1"/>
      </c>
      <c r="BJ36">
        <f ca="1"/>
      </c>
      <c r="BK36">
        <f ca="1"/>
      </c>
      <c r="BL36">
        <f ca="1"/>
      </c>
      <c r="BM36">
        <f ca="1"/>
      </c>
      <c r="BO36">
        <f ca="1"/>
      </c>
      <c r="BP36">
        <f ca="1"/>
      </c>
      <c r="BQ36">
        <f ca="1"/>
      </c>
      <c r="BR36">
        <f ca="1"/>
      </c>
      <c r="BS36">
        <f ca="1"/>
      </c>
      <c r="BT36">
        <f ca="1"/>
      </c>
      <c r="BU36">
        <f ca="1"/>
      </c>
    </row>
    <row r="37" spans="3:73" x14ac:dyDescent="0.55000000000000004">
      <c r="C37" s="7"/>
      <c r="D37" s="46"/>
      <c r="E37" s="13"/>
      <c r="F37" s="7"/>
      <c r="G37" s="13"/>
      <c r="H37" s="10"/>
      <c r="I37" s="10"/>
      <c r="J37" s="10"/>
      <c r="K37" s="13"/>
      <c r="M37" s="14"/>
      <c r="N37" s="14"/>
      <c r="O37" s="14"/>
      <c r="Z37" s="3"/>
      <c r="AA37" s="2"/>
      <c r="AB37" s="2"/>
      <c r="AE37" s="7">
        <f ca="1"/>
      </c>
      <c r="AF37">
        <f ca="1"/>
      </c>
      <c r="AG37">
        <f ca="1"/>
      </c>
      <c r="AH37">
        <f ca="1"/>
      </c>
      <c r="AI37">
        <f ca="1"/>
      </c>
      <c r="AJ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P37">
        <f ca="1"/>
      </c>
      <c r="AQ37">
        <f ca="1"/>
      </c>
      <c r="AR37">
        <f ca="1"/>
      </c>
      <c r="AT37" s="7">
        <f ca="1"/>
      </c>
      <c r="AU37">
        <f ca="1"/>
      </c>
      <c r="AV37">
        <f ca="1"/>
      </c>
      <c r="AW37">
        <f ca="1"/>
      </c>
      <c r="AX37">
        <f ca="1"/>
      </c>
      <c r="AY37">
        <f ca="1"/>
      </c>
      <c r="BA37" s="7">
        <f ca="1"/>
      </c>
      <c r="BB37">
        <f ca="1"/>
      </c>
      <c r="BC37">
        <f ca="1"/>
      </c>
      <c r="BD37">
        <f ca="1"/>
      </c>
      <c r="BE37">
        <f ca="1"/>
      </c>
      <c r="BG37">
        <f ca="1"/>
      </c>
      <c r="BH37">
        <f ca="1"/>
      </c>
      <c r="BI37">
        <f ca="1"/>
      </c>
      <c r="BJ37">
        <f ca="1"/>
      </c>
      <c r="BK37">
        <f ca="1"/>
      </c>
      <c r="BL37">
        <f ca="1"/>
      </c>
      <c r="BM37">
        <f ca="1"/>
      </c>
      <c r="BO37">
        <f ca="1"/>
      </c>
      <c r="BP37">
        <f ca="1"/>
      </c>
      <c r="BQ37">
        <f ca="1"/>
      </c>
      <c r="BR37">
        <f ca="1"/>
      </c>
      <c r="BS37">
        <f ca="1"/>
      </c>
      <c r="BT37">
        <f ca="1"/>
      </c>
      <c r="BU37">
        <f ca="1"/>
      </c>
    </row>
    <row r="38" spans="3:73" x14ac:dyDescent="0.55000000000000004">
      <c r="C38" s="7"/>
      <c r="D38" s="46"/>
      <c r="E38" s="13"/>
      <c r="F38" s="7"/>
      <c r="G38" s="13"/>
      <c r="H38" s="10"/>
      <c r="I38" s="10"/>
      <c r="J38" s="10"/>
      <c r="K38" s="13"/>
      <c r="M38" s="14"/>
      <c r="N38" s="14"/>
      <c r="O38" s="14"/>
      <c r="Z38" s="3"/>
      <c r="AA38" s="2"/>
      <c r="AB38" s="2"/>
      <c r="AE38" s="7">
        <f ca="1"/>
      </c>
      <c r="AF38">
        <f ca="1"/>
      </c>
      <c r="AG38">
        <f ca="1"/>
      </c>
      <c r="AH38">
        <f ca="1"/>
      </c>
      <c r="AI38">
        <f ca="1"/>
      </c>
      <c r="AJ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P38">
        <f ca="1"/>
      </c>
      <c r="AQ38">
        <f ca="1"/>
      </c>
      <c r="AR38">
        <f ca="1"/>
      </c>
      <c r="AT38" s="7">
        <f ca="1"/>
      </c>
      <c r="AU38">
        <f ca="1"/>
      </c>
      <c r="AV38">
        <f ca="1"/>
      </c>
      <c r="AW38">
        <f ca="1"/>
      </c>
      <c r="AX38">
        <f ca="1"/>
      </c>
      <c r="AY38">
        <f ca="1"/>
      </c>
      <c r="BA38" s="7">
        <f ca="1"/>
      </c>
      <c r="BB38">
        <f ca="1"/>
      </c>
      <c r="BC38">
        <f ca="1"/>
      </c>
      <c r="BD38">
        <f ca="1"/>
      </c>
      <c r="BE38">
        <f ca="1"/>
      </c>
      <c r="BG38">
        <f ca="1"/>
      </c>
      <c r="BH38">
        <f ca="1"/>
      </c>
      <c r="BI38">
        <f ca="1"/>
      </c>
      <c r="BJ38">
        <f ca="1"/>
      </c>
      <c r="BK38">
        <f ca="1"/>
      </c>
      <c r="BL38">
        <f ca="1"/>
      </c>
      <c r="BM38">
        <f ca="1"/>
      </c>
      <c r="BO38">
        <f ca="1"/>
      </c>
      <c r="BP38">
        <f ca="1"/>
      </c>
      <c r="BQ38">
        <f ca="1"/>
      </c>
      <c r="BR38">
        <f ca="1"/>
      </c>
      <c r="BS38">
        <f ca="1"/>
      </c>
      <c r="BT38">
        <f ca="1"/>
      </c>
      <c r="BU38">
        <f ca="1"/>
      </c>
    </row>
    <row r="39" spans="3:73" x14ac:dyDescent="0.55000000000000004">
      <c r="C39" s="7"/>
      <c r="D39" s="46"/>
      <c r="E39" s="13"/>
      <c r="F39" s="7"/>
      <c r="G39" s="13"/>
      <c r="H39" s="10"/>
      <c r="I39" s="10"/>
      <c r="J39" s="10"/>
      <c r="K39" s="13"/>
      <c r="M39" s="14"/>
      <c r="N39" s="14"/>
      <c r="O39" s="14"/>
      <c r="Z39" s="3"/>
      <c r="AA39" s="2"/>
      <c r="AB39" s="2"/>
      <c r="AE39" s="7">
        <f ca="1"/>
      </c>
      <c r="AF39">
        <f ca="1"/>
      </c>
      <c r="AG39">
        <f ca="1"/>
      </c>
      <c r="AH39">
        <f ca="1"/>
      </c>
      <c r="AI39">
        <f ca="1"/>
      </c>
      <c r="AJ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P39">
        <f ca="1"/>
      </c>
      <c r="AQ39">
        <f ca="1"/>
      </c>
      <c r="AR39">
        <f ca="1"/>
      </c>
      <c r="AT39" s="7">
        <f ca="1"/>
      </c>
      <c r="AU39">
        <f ca="1"/>
      </c>
      <c r="AV39">
        <f ca="1"/>
      </c>
      <c r="AW39">
        <f ca="1"/>
      </c>
      <c r="AX39">
        <f ca="1"/>
      </c>
      <c r="AY39">
        <f ca="1"/>
      </c>
      <c r="BA39" s="7">
        <f ca="1"/>
      </c>
      <c r="BB39">
        <f ca="1"/>
      </c>
      <c r="BC39">
        <f ca="1"/>
      </c>
      <c r="BD39">
        <f ca="1"/>
      </c>
      <c r="BE39">
        <f ca="1"/>
      </c>
      <c r="BG39">
        <f ca="1"/>
      </c>
      <c r="BH39">
        <f ca="1"/>
      </c>
      <c r="BI39">
        <f ca="1"/>
      </c>
      <c r="BJ39">
        <f ca="1"/>
      </c>
      <c r="BK39">
        <f ca="1"/>
      </c>
      <c r="BL39">
        <f ca="1"/>
      </c>
      <c r="BM39">
        <f ca="1"/>
      </c>
      <c r="BO39">
        <f ca="1"/>
      </c>
      <c r="BP39">
        <f ca="1"/>
      </c>
      <c r="BQ39">
        <f ca="1"/>
      </c>
      <c r="BR39">
        <f ca="1"/>
      </c>
      <c r="BS39">
        <f ca="1"/>
      </c>
      <c r="BT39">
        <f ca="1"/>
      </c>
      <c r="BU39">
        <f ca="1"/>
      </c>
    </row>
    <row r="40" spans="3:73" x14ac:dyDescent="0.55000000000000004">
      <c r="C40" s="7"/>
      <c r="D40" s="46"/>
      <c r="E40" s="13"/>
      <c r="F40" s="7"/>
      <c r="G40" s="13"/>
      <c r="H40" s="10"/>
      <c r="I40" s="10"/>
      <c r="J40" s="10"/>
      <c r="K40" s="13"/>
      <c r="M40" s="14"/>
      <c r="N40" s="14"/>
      <c r="O40" s="14"/>
      <c r="Z40" s="3"/>
      <c r="AA40" s="2"/>
      <c r="AB40" s="2"/>
      <c r="AE40" s="7">
        <f ca="1"/>
      </c>
      <c r="AF40">
        <f ca="1"/>
      </c>
      <c r="AG40">
        <f ca="1"/>
      </c>
      <c r="AH40">
        <f ca="1"/>
      </c>
      <c r="AI40">
        <f ca="1"/>
      </c>
      <c r="AJ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P40">
        <f ca="1"/>
      </c>
      <c r="AQ40">
        <f ca="1"/>
      </c>
      <c r="AR40">
        <f ca="1"/>
      </c>
      <c r="AT40" s="7">
        <f ca="1"/>
      </c>
      <c r="AU40">
        <f ca="1"/>
      </c>
      <c r="AV40">
        <f ca="1"/>
      </c>
      <c r="AW40">
        <f ca="1"/>
      </c>
      <c r="AX40">
        <f ca="1"/>
      </c>
      <c r="AY40">
        <f ca="1"/>
      </c>
      <c r="BA40" s="7">
        <f ca="1"/>
      </c>
      <c r="BB40">
        <f ca="1"/>
      </c>
      <c r="BC40">
        <f ca="1"/>
      </c>
      <c r="BD40">
        <f ca="1"/>
      </c>
      <c r="BE40">
        <f ca="1"/>
      </c>
      <c r="BG40">
        <f ca="1"/>
      </c>
      <c r="BH40">
        <f ca="1"/>
      </c>
      <c r="BI40">
        <f ca="1"/>
      </c>
      <c r="BJ40">
        <f ca="1"/>
      </c>
      <c r="BK40">
        <f ca="1"/>
      </c>
      <c r="BL40">
        <f ca="1"/>
      </c>
      <c r="BM40">
        <f ca="1"/>
      </c>
      <c r="BO40">
        <f ca="1"/>
      </c>
      <c r="BP40">
        <f ca="1"/>
      </c>
      <c r="BQ40">
        <f ca="1"/>
      </c>
      <c r="BR40">
        <f ca="1"/>
      </c>
      <c r="BS40">
        <f ca="1"/>
      </c>
      <c r="BT40">
        <f ca="1"/>
      </c>
      <c r="BU40">
        <f ca="1"/>
      </c>
    </row>
    <row r="41" spans="3:73" x14ac:dyDescent="0.55000000000000004">
      <c r="Z41" s="3"/>
      <c r="AA41" s="2"/>
      <c r="AB41" s="2"/>
      <c r="AE41" s="7">
        <f ca="1"/>
      </c>
      <c r="AF41">
        <f ca="1"/>
      </c>
      <c r="AG41">
        <f ca="1"/>
      </c>
      <c r="AH41">
        <f ca="1"/>
      </c>
      <c r="AI41">
        <f ca="1"/>
      </c>
      <c r="AJ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P41">
        <f ca="1"/>
      </c>
      <c r="AQ41">
        <f ca="1"/>
      </c>
      <c r="AR41">
        <f ca="1"/>
      </c>
      <c r="AT41" s="7">
        <f ca="1"/>
      </c>
      <c r="AU41">
        <f ca="1"/>
      </c>
      <c r="AV41">
        <f ca="1"/>
      </c>
      <c r="AW41">
        <f ca="1"/>
      </c>
      <c r="AX41">
        <f ca="1"/>
      </c>
      <c r="AY41">
        <f ca="1"/>
      </c>
      <c r="BA41" s="7">
        <f ca="1"/>
      </c>
      <c r="BB41">
        <f ca="1"/>
      </c>
      <c r="BC41">
        <f ca="1"/>
      </c>
      <c r="BD41">
        <f ca="1"/>
      </c>
      <c r="BE41">
        <f ca="1"/>
      </c>
      <c r="BG41">
        <f ca="1"/>
      </c>
      <c r="BH41">
        <f ca="1"/>
      </c>
      <c r="BI41">
        <f ca="1"/>
      </c>
      <c r="BJ41">
        <f ca="1"/>
      </c>
      <c r="BK41">
        <f ca="1"/>
      </c>
      <c r="BL41">
        <f ca="1"/>
      </c>
      <c r="BM41">
        <f ca="1"/>
      </c>
      <c r="BO41">
        <f ca="1"/>
      </c>
      <c r="BP41">
        <f ca="1"/>
      </c>
      <c r="BQ41">
        <f ca="1"/>
      </c>
      <c r="BR41">
        <f ca="1"/>
      </c>
      <c r="BS41">
        <f ca="1"/>
      </c>
      <c r="BT41">
        <f ca="1"/>
      </c>
      <c r="BU41">
        <f ca="1"/>
      </c>
    </row>
    <row r="42" spans="3:73" x14ac:dyDescent="0.55000000000000004">
      <c r="Z42" s="3"/>
      <c r="AA42" s="2"/>
      <c r="AB42" s="2"/>
      <c r="AE42" s="7">
        <f ca="1"/>
      </c>
      <c r="AF42">
        <f ca="1"/>
      </c>
      <c r="AG42">
        <f ca="1"/>
      </c>
      <c r="AH42">
        <f ca="1"/>
      </c>
      <c r="AI42">
        <f ca="1"/>
      </c>
      <c r="AJ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P42">
        <f ca="1"/>
      </c>
      <c r="AQ42">
        <f ca="1"/>
      </c>
      <c r="AR42">
        <f ca="1"/>
      </c>
      <c r="AT42" s="7">
        <f ca="1"/>
      </c>
      <c r="AU42">
        <f ca="1"/>
      </c>
      <c r="AV42">
        <f ca="1"/>
      </c>
      <c r="AW42">
        <f ca="1"/>
      </c>
      <c r="AX42">
        <f ca="1"/>
      </c>
      <c r="AY42">
        <f ca="1"/>
      </c>
      <c r="BA42" s="7">
        <f ca="1"/>
      </c>
      <c r="BB42">
        <f ca="1"/>
      </c>
      <c r="BC42">
        <f ca="1"/>
      </c>
      <c r="BD42">
        <f ca="1"/>
      </c>
      <c r="BE42">
        <f ca="1"/>
      </c>
      <c r="BG42">
        <f ca="1"/>
      </c>
      <c r="BH42">
        <f ca="1"/>
      </c>
      <c r="BI42">
        <f ca="1"/>
      </c>
      <c r="BJ42">
        <f ca="1"/>
      </c>
      <c r="BK42">
        <f ca="1"/>
      </c>
      <c r="BL42">
        <f ca="1"/>
      </c>
      <c r="BM42">
        <f ca="1"/>
      </c>
      <c r="BO42">
        <f ca="1"/>
      </c>
      <c r="BP42">
        <f ca="1"/>
      </c>
      <c r="BQ42">
        <f ca="1"/>
      </c>
      <c r="BR42">
        <f ca="1"/>
      </c>
      <c r="BS42">
        <f ca="1"/>
      </c>
      <c r="BT42">
        <f ca="1"/>
      </c>
      <c r="BU42">
        <f ca="1"/>
      </c>
    </row>
    <row r="43" spans="3:73" x14ac:dyDescent="0.55000000000000004">
      <c r="Z43" s="3"/>
      <c r="AA43" s="2"/>
      <c r="AB43" s="2"/>
      <c r="AE43" s="7">
        <f ca="1"/>
      </c>
      <c r="AF43">
        <f ca="1"/>
      </c>
      <c r="AG43">
        <f ca="1"/>
      </c>
      <c r="AH43">
        <f ca="1"/>
      </c>
      <c r="AI43">
        <f ca="1"/>
      </c>
      <c r="AJ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P43">
        <f ca="1"/>
      </c>
      <c r="AQ43">
        <f ca="1"/>
      </c>
      <c r="AR43">
        <f ca="1"/>
      </c>
      <c r="AT43" s="7">
        <f ca="1"/>
      </c>
      <c r="AU43">
        <f ca="1"/>
      </c>
      <c r="AV43">
        <f ca="1"/>
      </c>
      <c r="AW43">
        <f ca="1"/>
      </c>
      <c r="AX43">
        <f ca="1"/>
      </c>
      <c r="AY43">
        <f ca="1"/>
      </c>
      <c r="BA43" s="7">
        <f ca="1"/>
      </c>
      <c r="BB43">
        <f ca="1"/>
      </c>
      <c r="BC43">
        <f ca="1"/>
      </c>
      <c r="BD43">
        <f ca="1"/>
      </c>
      <c r="BE43">
        <f ca="1"/>
      </c>
      <c r="BG43">
        <f ca="1"/>
      </c>
      <c r="BH43">
        <f ca="1"/>
      </c>
      <c r="BI43">
        <f ca="1"/>
      </c>
      <c r="BJ43">
        <f ca="1"/>
      </c>
      <c r="BK43">
        <f ca="1"/>
      </c>
      <c r="BL43">
        <f ca="1"/>
      </c>
      <c r="BM43">
        <f ca="1"/>
      </c>
      <c r="BO43">
        <f ca="1"/>
      </c>
      <c r="BP43">
        <f ca="1"/>
      </c>
      <c r="BQ43">
        <f ca="1"/>
      </c>
      <c r="BR43">
        <f ca="1"/>
      </c>
      <c r="BS43">
        <f ca="1"/>
      </c>
      <c r="BT43">
        <f ca="1"/>
      </c>
      <c r="BU43">
        <f ca="1"/>
      </c>
    </row>
    <row r="44" spans="3:73" x14ac:dyDescent="0.55000000000000004">
      <c r="Z44" s="3"/>
      <c r="AA44" s="2"/>
      <c r="AB44" s="2"/>
      <c r="AE44" s="7">
        <f ca="1"/>
      </c>
      <c r="AF44">
        <f ca="1"/>
      </c>
      <c r="AG44">
        <f ca="1"/>
      </c>
      <c r="AH44">
        <f ca="1"/>
      </c>
      <c r="AI44">
        <f ca="1"/>
      </c>
      <c r="AJ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P44">
        <f ca="1"/>
      </c>
      <c r="AQ44">
        <f ca="1"/>
      </c>
      <c r="AR44">
        <f ca="1"/>
      </c>
      <c r="AT44" s="7">
        <f ca="1"/>
      </c>
      <c r="AU44">
        <f ca="1"/>
      </c>
      <c r="AV44">
        <f ca="1"/>
      </c>
      <c r="AW44">
        <f ca="1"/>
      </c>
      <c r="AX44">
        <f ca="1"/>
      </c>
      <c r="AY44">
        <f ca="1"/>
      </c>
      <c r="BA44" s="7">
        <f ca="1"/>
      </c>
      <c r="BB44">
        <f ca="1"/>
      </c>
      <c r="BC44">
        <f ca="1"/>
      </c>
      <c r="BD44">
        <f ca="1"/>
      </c>
      <c r="BE44">
        <f ca="1"/>
      </c>
      <c r="BG44">
        <f ca="1"/>
      </c>
      <c r="BH44">
        <f ca="1"/>
      </c>
      <c r="BI44">
        <f ca="1"/>
      </c>
      <c r="BJ44">
        <f ca="1"/>
      </c>
      <c r="BK44">
        <f ca="1"/>
      </c>
      <c r="BL44">
        <f ca="1"/>
      </c>
      <c r="BM44">
        <f ca="1"/>
      </c>
      <c r="BO44">
        <f ca="1"/>
      </c>
      <c r="BP44">
        <f ca="1"/>
      </c>
      <c r="BQ44">
        <f ca="1"/>
      </c>
      <c r="BR44">
        <f ca="1"/>
      </c>
      <c r="BS44">
        <f ca="1"/>
      </c>
      <c r="BT44">
        <f ca="1"/>
      </c>
      <c r="BU44">
        <f ca="1"/>
      </c>
    </row>
    <row r="45" spans="3:73" x14ac:dyDescent="0.55000000000000004">
      <c r="Z45" s="3"/>
      <c r="AA45" s="2"/>
      <c r="AB45" s="2"/>
      <c r="AE45" s="7">
        <f ca="1"/>
      </c>
      <c r="AF45">
        <f ca="1"/>
      </c>
      <c r="AG45">
        <f ca="1"/>
      </c>
      <c r="AH45">
        <f ca="1"/>
      </c>
      <c r="AI45">
        <f ca="1"/>
      </c>
      <c r="AJ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P45">
        <f ca="1"/>
      </c>
      <c r="AQ45">
        <f ca="1"/>
      </c>
      <c r="AR45">
        <f ca="1"/>
      </c>
      <c r="AT45" s="7">
        <f ca="1"/>
      </c>
      <c r="AU45">
        <f ca="1"/>
      </c>
      <c r="AV45">
        <f ca="1"/>
      </c>
      <c r="AW45">
        <f ca="1"/>
      </c>
      <c r="AX45">
        <f ca="1"/>
      </c>
      <c r="AY45">
        <f ca="1"/>
      </c>
      <c r="BA45" s="7">
        <f ca="1"/>
      </c>
      <c r="BB45">
        <f ca="1"/>
      </c>
      <c r="BC45">
        <f ca="1"/>
      </c>
      <c r="BD45">
        <f ca="1"/>
      </c>
      <c r="BE45">
        <f ca="1"/>
      </c>
      <c r="BG45">
        <f ca="1"/>
      </c>
      <c r="BH45">
        <f ca="1"/>
      </c>
      <c r="BI45">
        <f ca="1"/>
      </c>
      <c r="BJ45">
        <f ca="1"/>
      </c>
      <c r="BK45">
        <f ca="1"/>
      </c>
      <c r="BL45">
        <f ca="1"/>
      </c>
      <c r="BM45">
        <f ca="1"/>
      </c>
      <c r="BO45">
        <f ca="1"/>
      </c>
      <c r="BP45">
        <f ca="1"/>
      </c>
      <c r="BQ45">
        <f ca="1"/>
      </c>
      <c r="BR45">
        <f ca="1"/>
      </c>
      <c r="BS45">
        <f ca="1"/>
      </c>
      <c r="BT45">
        <f ca="1"/>
      </c>
      <c r="BU45">
        <f ca="1"/>
      </c>
    </row>
    <row r="46" spans="3:73" x14ac:dyDescent="0.55000000000000004">
      <c r="Z46" s="3"/>
      <c r="AA46" s="2"/>
      <c r="AB46" s="2"/>
      <c r="AE46" s="7">
        <f ca="1"/>
      </c>
      <c r="AF46">
        <f ca="1"/>
      </c>
      <c r="AG46">
        <f ca="1"/>
      </c>
      <c r="AH46">
        <f ca="1"/>
      </c>
      <c r="AI46">
        <f ca="1"/>
      </c>
      <c r="AJ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P46">
        <f ca="1"/>
      </c>
      <c r="AQ46">
        <f ca="1"/>
      </c>
      <c r="AR46">
        <f ca="1"/>
      </c>
      <c r="AT46" s="7">
        <f ca="1"/>
      </c>
      <c r="AU46">
        <f ca="1"/>
      </c>
      <c r="AV46">
        <f ca="1"/>
      </c>
      <c r="AW46">
        <f ca="1"/>
      </c>
      <c r="AX46">
        <f ca="1"/>
      </c>
      <c r="AY46">
        <f ca="1"/>
      </c>
      <c r="BA46" s="7">
        <f ca="1"/>
      </c>
      <c r="BB46">
        <f ca="1"/>
      </c>
      <c r="BC46">
        <f ca="1"/>
      </c>
      <c r="BD46">
        <f ca="1"/>
      </c>
      <c r="BE46">
        <f ca="1"/>
      </c>
      <c r="BG46">
        <f ca="1"/>
      </c>
      <c r="BH46">
        <f ca="1"/>
      </c>
      <c r="BI46">
        <f ca="1"/>
      </c>
      <c r="BJ46">
        <f ca="1"/>
      </c>
      <c r="BK46">
        <f ca="1"/>
      </c>
      <c r="BL46">
        <f ca="1"/>
      </c>
      <c r="BM46">
        <f ca="1"/>
      </c>
      <c r="BO46">
        <f ca="1"/>
      </c>
      <c r="BP46">
        <f ca="1"/>
      </c>
      <c r="BQ46">
        <f ca="1"/>
      </c>
      <c r="BR46">
        <f ca="1"/>
      </c>
      <c r="BS46">
        <f ca="1"/>
      </c>
      <c r="BT46">
        <f ca="1"/>
      </c>
      <c r="BU46">
        <f ca="1"/>
      </c>
    </row>
    <row r="47" spans="3:73" x14ac:dyDescent="0.55000000000000004">
      <c r="Z47" s="3"/>
      <c r="AA47" s="2"/>
      <c r="AB47" s="2"/>
      <c r="AE47" s="7">
        <f ca="1"/>
      </c>
      <c r="AF47">
        <f ca="1"/>
      </c>
      <c r="AG47">
        <f ca="1"/>
      </c>
      <c r="AH47">
        <f ca="1"/>
      </c>
      <c r="AI47">
        <f ca="1"/>
      </c>
      <c r="AJ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P47">
        <f ca="1"/>
      </c>
      <c r="AQ47">
        <f ca="1"/>
      </c>
      <c r="AR47">
        <f ca="1"/>
      </c>
      <c r="AT47" s="7">
        <f ca="1"/>
      </c>
      <c r="AU47">
        <f ca="1"/>
      </c>
      <c r="AV47">
        <f ca="1"/>
      </c>
      <c r="AW47">
        <f ca="1"/>
      </c>
      <c r="AX47">
        <f ca="1"/>
      </c>
      <c r="AY47">
        <f ca="1"/>
      </c>
      <c r="BA47" s="7">
        <f ca="1"/>
      </c>
      <c r="BB47">
        <f ca="1"/>
      </c>
      <c r="BC47">
        <f ca="1"/>
      </c>
      <c r="BD47">
        <f ca="1"/>
      </c>
      <c r="BE47">
        <f ca="1"/>
      </c>
      <c r="BG47">
        <f ca="1"/>
      </c>
      <c r="BH47">
        <f ca="1"/>
      </c>
      <c r="BI47">
        <f ca="1"/>
      </c>
      <c r="BJ47">
        <f ca="1"/>
      </c>
      <c r="BK47">
        <f ca="1"/>
      </c>
      <c r="BL47">
        <f ca="1"/>
      </c>
      <c r="BM47">
        <f ca="1"/>
      </c>
      <c r="BO47">
        <f ca="1"/>
      </c>
      <c r="BP47">
        <f ca="1"/>
      </c>
      <c r="BQ47">
        <f ca="1"/>
      </c>
      <c r="BR47">
        <f ca="1"/>
      </c>
      <c r="BS47">
        <f ca="1"/>
      </c>
      <c r="BT47">
        <f ca="1"/>
      </c>
      <c r="BU47">
        <f ca="1"/>
      </c>
    </row>
    <row r="48" spans="3:73" x14ac:dyDescent="0.55000000000000004">
      <c r="Z48" s="3"/>
      <c r="AA48" s="2"/>
      <c r="AB48" s="2"/>
      <c r="AE48" s="7">
        <f ca="1"/>
      </c>
      <c r="AF48">
        <f ca="1"/>
      </c>
      <c r="AG48">
        <f ca="1"/>
      </c>
      <c r="AH48">
        <f ca="1"/>
      </c>
      <c r="AI48">
        <f ca="1"/>
      </c>
      <c r="AJ48">
        <f ca="1"/>
      </c>
      <c r="AK48">
        <f ca="1"/>
      </c>
      <c r="AL48">
        <f ca="1"/>
      </c>
      <c r="AM48">
        <f ca="1"/>
      </c>
      <c r="AN48">
        <f ca="1"/>
      </c>
      <c r="AO48">
        <f ca="1"/>
      </c>
      <c r="AP48">
        <f ca="1"/>
      </c>
      <c r="AQ48">
        <f ca="1"/>
      </c>
      <c r="AR48">
        <f ca="1"/>
      </c>
      <c r="AT48" s="7">
        <f ca="1"/>
      </c>
      <c r="AU48">
        <f ca="1"/>
      </c>
      <c r="AV48">
        <f ca="1"/>
      </c>
      <c r="AW48">
        <f ca="1"/>
      </c>
      <c r="AX48">
        <f ca="1"/>
      </c>
      <c r="AY48">
        <f ca="1"/>
      </c>
      <c r="BA48" s="7">
        <f ca="1"/>
      </c>
      <c r="BB48">
        <f ca="1"/>
      </c>
      <c r="BC48">
        <f ca="1"/>
      </c>
      <c r="BD48">
        <f ca="1"/>
      </c>
      <c r="BE48">
        <f ca="1"/>
      </c>
      <c r="BG48">
        <f ca="1"/>
      </c>
      <c r="BH48">
        <f ca="1"/>
      </c>
      <c r="BI48">
        <f ca="1"/>
      </c>
      <c r="BJ48">
        <f ca="1"/>
      </c>
      <c r="BK48">
        <f ca="1"/>
      </c>
      <c r="BL48">
        <f ca="1"/>
      </c>
      <c r="BM48">
        <f ca="1"/>
      </c>
      <c r="BO48">
        <f ca="1"/>
      </c>
      <c r="BP48">
        <f ca="1"/>
      </c>
      <c r="BQ48">
        <f ca="1"/>
      </c>
      <c r="BR48">
        <f ca="1"/>
      </c>
      <c r="BS48">
        <f ca="1"/>
      </c>
      <c r="BT48">
        <f ca="1"/>
      </c>
      <c r="BU48">
        <f ca="1"/>
      </c>
    </row>
    <row r="49" spans="26:73" x14ac:dyDescent="0.55000000000000004">
      <c r="Z49" s="3"/>
      <c r="AA49" s="2"/>
      <c r="AB49" s="2"/>
      <c r="AE49" s="7">
        <f ca="1"/>
      </c>
      <c r="AF49">
        <f ca="1"/>
      </c>
      <c r="AG49">
        <f ca="1"/>
      </c>
      <c r="AH49">
        <f ca="1"/>
      </c>
      <c r="AI49">
        <f ca="1"/>
      </c>
      <c r="AJ49">
        <f ca="1"/>
      </c>
      <c r="AK49">
        <f ca="1"/>
      </c>
      <c r="AL49">
        <f ca="1"/>
      </c>
      <c r="AM49">
        <f ca="1"/>
      </c>
      <c r="AN49">
        <f ca="1"/>
      </c>
      <c r="AO49">
        <f ca="1"/>
      </c>
      <c r="AP49">
        <f ca="1"/>
      </c>
      <c r="AQ49">
        <f ca="1"/>
      </c>
      <c r="AR49">
        <f ca="1"/>
      </c>
      <c r="AT49" s="7">
        <f ca="1"/>
      </c>
      <c r="AU49">
        <f ca="1"/>
      </c>
      <c r="AV49">
        <f ca="1"/>
      </c>
      <c r="AW49">
        <f ca="1"/>
      </c>
      <c r="AX49">
        <f ca="1"/>
      </c>
      <c r="AY49">
        <f ca="1"/>
      </c>
      <c r="BA49" s="7">
        <f ca="1"/>
      </c>
      <c r="BB49">
        <f ca="1"/>
      </c>
      <c r="BC49">
        <f ca="1"/>
      </c>
      <c r="BD49">
        <f ca="1"/>
      </c>
      <c r="BE49">
        <f ca="1"/>
      </c>
      <c r="BG49">
        <f ca="1"/>
      </c>
      <c r="BH49">
        <f ca="1"/>
      </c>
      <c r="BI49">
        <f ca="1"/>
      </c>
      <c r="BJ49">
        <f ca="1"/>
      </c>
      <c r="BK49">
        <f ca="1"/>
      </c>
      <c r="BL49">
        <f ca="1"/>
      </c>
      <c r="BM49">
        <f ca="1"/>
      </c>
      <c r="BO49">
        <f ca="1"/>
      </c>
      <c r="BP49">
        <f ca="1"/>
      </c>
      <c r="BQ49">
        <f ca="1"/>
      </c>
      <c r="BR49">
        <f ca="1"/>
      </c>
      <c r="BS49">
        <f ca="1"/>
      </c>
      <c r="BT49">
        <f ca="1"/>
      </c>
      <c r="BU49">
        <f ca="1"/>
      </c>
    </row>
    <row r="50" spans="26:73" x14ac:dyDescent="0.55000000000000004">
      <c r="Z50" s="3"/>
      <c r="AA50" s="2"/>
      <c r="AB50" s="2"/>
      <c r="AE50" s="7">
        <f ca="1"/>
      </c>
      <c r="AF50">
        <f ca="1"/>
      </c>
      <c r="AG50">
        <f ca="1"/>
      </c>
      <c r="AH50">
        <f ca="1"/>
      </c>
      <c r="AI50">
        <f ca="1"/>
      </c>
      <c r="AJ50">
        <f ca="1"/>
      </c>
      <c r="AK50">
        <f ca="1"/>
      </c>
      <c r="AL50">
        <f ca="1"/>
      </c>
      <c r="AM50">
        <f ca="1"/>
      </c>
      <c r="AN50">
        <f ca="1"/>
      </c>
      <c r="AO50">
        <f ca="1"/>
      </c>
      <c r="AP50">
        <f ca="1"/>
      </c>
      <c r="AQ50">
        <f ca="1"/>
      </c>
      <c r="AR50">
        <f ca="1"/>
      </c>
      <c r="AT50" s="7">
        <f ca="1"/>
      </c>
      <c r="AU50">
        <f ca="1"/>
      </c>
      <c r="AV50">
        <f ca="1"/>
      </c>
      <c r="AW50">
        <f ca="1"/>
      </c>
      <c r="AX50">
        <f ca="1"/>
      </c>
      <c r="AY50">
        <f ca="1"/>
      </c>
      <c r="BA50" s="7">
        <f ca="1"/>
      </c>
      <c r="BB50">
        <f ca="1"/>
      </c>
      <c r="BC50">
        <f ca="1"/>
      </c>
      <c r="BD50">
        <f ca="1"/>
      </c>
      <c r="BE50">
        <f ca="1"/>
      </c>
      <c r="BG50">
        <f ca="1"/>
      </c>
      <c r="BH50">
        <f ca="1"/>
      </c>
      <c r="BI50">
        <f ca="1"/>
      </c>
      <c r="BJ50">
        <f ca="1"/>
      </c>
      <c r="BK50">
        <f ca="1"/>
      </c>
      <c r="BL50">
        <f ca="1"/>
      </c>
      <c r="BM50">
        <f ca="1"/>
      </c>
      <c r="BO50">
        <f ca="1"/>
      </c>
      <c r="BP50">
        <f ca="1"/>
      </c>
      <c r="BQ50">
        <f ca="1"/>
      </c>
      <c r="BR50">
        <f ca="1"/>
      </c>
      <c r="BS50">
        <f ca="1"/>
      </c>
      <c r="BT50">
        <f ca="1"/>
      </c>
      <c r="BU50">
        <f ca="1"/>
      </c>
    </row>
    <row r="51" spans="26:73" x14ac:dyDescent="0.55000000000000004">
      <c r="Z51" s="3"/>
      <c r="AA51" s="2"/>
      <c r="AB51" s="2"/>
      <c r="AE51" s="7">
        <f ca="1"/>
      </c>
      <c r="AF51">
        <f ca="1"/>
      </c>
      <c r="AG51">
        <f ca="1"/>
      </c>
      <c r="AH51">
        <f ca="1"/>
      </c>
      <c r="AI51">
        <f ca="1"/>
      </c>
      <c r="AJ51">
        <f ca="1"/>
      </c>
      <c r="AK51">
        <f ca="1"/>
      </c>
      <c r="AL51">
        <f ca="1"/>
      </c>
      <c r="AM51">
        <f ca="1"/>
      </c>
      <c r="AN51">
        <f ca="1"/>
      </c>
      <c r="AO51">
        <f ca="1"/>
      </c>
      <c r="AP51">
        <f ca="1"/>
      </c>
      <c r="AQ51">
        <f ca="1"/>
      </c>
      <c r="AR51">
        <f ca="1"/>
      </c>
      <c r="AT51" s="7">
        <f ca="1"/>
      </c>
      <c r="AU51">
        <f ca="1"/>
      </c>
      <c r="AV51">
        <f ca="1"/>
      </c>
      <c r="AW51">
        <f ca="1"/>
      </c>
      <c r="AX51">
        <f ca="1"/>
      </c>
      <c r="AY51">
        <f ca="1"/>
      </c>
      <c r="BA51" s="7">
        <f ca="1"/>
      </c>
      <c r="BB51">
        <f ca="1"/>
      </c>
      <c r="BC51">
        <f ca="1"/>
      </c>
      <c r="BD51">
        <f ca="1"/>
      </c>
      <c r="BE51">
        <f ca="1"/>
      </c>
      <c r="BG51">
        <f ca="1"/>
      </c>
      <c r="BH51">
        <f ca="1"/>
      </c>
      <c r="BI51">
        <f ca="1"/>
      </c>
      <c r="BJ51">
        <f ca="1"/>
      </c>
      <c r="BK51">
        <f ca="1"/>
      </c>
      <c r="BL51">
        <f ca="1"/>
      </c>
      <c r="BM51">
        <f ca="1"/>
      </c>
      <c r="BO51">
        <f ca="1"/>
      </c>
      <c r="BP51">
        <f ca="1"/>
      </c>
      <c r="BQ51">
        <f ca="1"/>
      </c>
      <c r="BR51">
        <f ca="1"/>
      </c>
      <c r="BS51">
        <f ca="1"/>
      </c>
      <c r="BT51">
        <f ca="1"/>
      </c>
      <c r="BU51">
        <f ca="1"/>
      </c>
    </row>
    <row r="52" spans="26:73" x14ac:dyDescent="0.55000000000000004">
      <c r="Z52" s="3"/>
      <c r="AA52" s="2"/>
      <c r="AB52" s="2"/>
      <c r="AE52" s="7">
        <f ca="1"/>
      </c>
      <c r="AF52">
        <f ca="1"/>
      </c>
      <c r="AG52">
        <f ca="1"/>
      </c>
      <c r="AH52">
        <f ca="1"/>
      </c>
      <c r="AI52">
        <f ca="1"/>
      </c>
      <c r="AJ52">
        <f ca="1"/>
      </c>
      <c r="AK52">
        <f ca="1"/>
      </c>
      <c r="AL52">
        <f ca="1"/>
      </c>
      <c r="AM52">
        <f ca="1"/>
      </c>
      <c r="AN52">
        <f ca="1"/>
      </c>
      <c r="AO52">
        <f ca="1"/>
      </c>
      <c r="AP52">
        <f ca="1"/>
      </c>
      <c r="AQ52">
        <f ca="1"/>
      </c>
      <c r="AR52">
        <f ca="1"/>
      </c>
      <c r="AT52" s="7">
        <f ca="1"/>
      </c>
      <c r="AU52">
        <f ca="1"/>
      </c>
      <c r="AV52">
        <f ca="1"/>
      </c>
      <c r="AW52">
        <f ca="1"/>
      </c>
      <c r="AX52">
        <f ca="1"/>
      </c>
      <c r="AY52">
        <f ca="1"/>
      </c>
      <c r="BA52" s="7">
        <f ca="1"/>
      </c>
      <c r="BB52">
        <f ca="1"/>
      </c>
      <c r="BC52">
        <f ca="1"/>
      </c>
      <c r="BD52">
        <f ca="1"/>
      </c>
      <c r="BE52">
        <f ca="1"/>
      </c>
      <c r="BG52">
        <f ca="1"/>
      </c>
      <c r="BH52">
        <f ca="1"/>
      </c>
      <c r="BI52">
        <f ca="1"/>
      </c>
      <c r="BJ52">
        <f ca="1"/>
      </c>
      <c r="BK52">
        <f ca="1"/>
      </c>
      <c r="BL52">
        <f ca="1"/>
      </c>
      <c r="BM52">
        <f ca="1"/>
      </c>
      <c r="BO52">
        <f ca="1"/>
      </c>
      <c r="BP52">
        <f ca="1"/>
      </c>
      <c r="BQ52">
        <f ca="1"/>
      </c>
      <c r="BR52">
        <f ca="1"/>
      </c>
      <c r="BS52">
        <f ca="1"/>
      </c>
      <c r="BT52">
        <f ca="1"/>
      </c>
      <c r="BU52">
        <f ca="1"/>
      </c>
    </row>
    <row r="53" spans="26:73" x14ac:dyDescent="0.55000000000000004">
      <c r="Z53" s="3"/>
      <c r="AA53" s="2"/>
      <c r="AB53" s="2"/>
      <c r="AE53" s="7">
        <f ca="1"/>
      </c>
      <c r="AF53">
        <f ca="1"/>
      </c>
      <c r="AG53">
        <f ca="1"/>
      </c>
      <c r="AH53">
        <f ca="1"/>
      </c>
      <c r="AI53">
        <f ca="1"/>
      </c>
      <c r="AJ53">
        <f ca="1"/>
      </c>
      <c r="AK53">
        <f ca="1"/>
      </c>
      <c r="AL53">
        <f ca="1"/>
      </c>
      <c r="AM53">
        <f ca="1"/>
      </c>
      <c r="AN53">
        <f ca="1"/>
      </c>
      <c r="AO53">
        <f ca="1"/>
      </c>
      <c r="AP53">
        <f ca="1"/>
      </c>
      <c r="AQ53">
        <f ca="1"/>
      </c>
      <c r="AR53">
        <f ca="1"/>
      </c>
      <c r="AT53" s="7">
        <f ca="1"/>
      </c>
      <c r="AU53">
        <f ca="1"/>
      </c>
      <c r="AV53">
        <f ca="1"/>
      </c>
      <c r="AW53">
        <f ca="1"/>
      </c>
      <c r="AX53">
        <f ca="1"/>
      </c>
      <c r="AY53">
        <f ca="1"/>
      </c>
      <c r="BA53" s="7">
        <f ca="1"/>
      </c>
      <c r="BB53">
        <f ca="1"/>
      </c>
      <c r="BC53">
        <f ca="1"/>
      </c>
      <c r="BD53">
        <f ca="1"/>
      </c>
      <c r="BE53">
        <f ca="1"/>
      </c>
      <c r="BG53">
        <f ca="1"/>
      </c>
      <c r="BH53">
        <f ca="1"/>
      </c>
      <c r="BI53">
        <f ca="1"/>
      </c>
      <c r="BJ53">
        <f ca="1"/>
      </c>
      <c r="BK53">
        <f ca="1"/>
      </c>
      <c r="BL53">
        <f ca="1"/>
      </c>
      <c r="BM53">
        <f ca="1"/>
      </c>
      <c r="BO53">
        <f ca="1"/>
      </c>
      <c r="BP53">
        <f ca="1"/>
      </c>
      <c r="BQ53">
        <f ca="1"/>
      </c>
      <c r="BR53">
        <f ca="1"/>
      </c>
      <c r="BS53">
        <f ca="1"/>
      </c>
      <c r="BT53">
        <f ca="1"/>
      </c>
      <c r="BU53">
        <f ca="1"/>
      </c>
    </row>
    <row r="54" spans="26:73" x14ac:dyDescent="0.55000000000000004">
      <c r="Z54" s="3"/>
      <c r="AA54" s="2"/>
      <c r="AB54" s="2"/>
      <c r="AE54" s="7">
        <f ca="1"/>
      </c>
      <c r="AF54">
        <f ca="1"/>
      </c>
      <c r="AG54">
        <f ca="1"/>
      </c>
      <c r="AH54">
        <f ca="1"/>
      </c>
      <c r="AI54">
        <f ca="1"/>
      </c>
      <c r="AJ54">
        <f ca="1"/>
      </c>
      <c r="AK54">
        <f ca="1"/>
      </c>
      <c r="AL54">
        <f ca="1"/>
      </c>
      <c r="AM54">
        <f ca="1"/>
      </c>
      <c r="AN54">
        <f ca="1"/>
      </c>
      <c r="AO54">
        <f ca="1"/>
      </c>
      <c r="AP54">
        <f ca="1"/>
      </c>
      <c r="AQ54">
        <f ca="1"/>
      </c>
      <c r="AR54">
        <f ca="1"/>
      </c>
      <c r="AT54" s="7">
        <f ca="1"/>
      </c>
      <c r="AU54">
        <f ca="1"/>
      </c>
      <c r="AV54">
        <f ca="1"/>
      </c>
      <c r="AW54">
        <f ca="1"/>
      </c>
      <c r="AX54">
        <f ca="1"/>
      </c>
      <c r="AY54">
        <f ca="1"/>
      </c>
      <c r="BA54" s="7">
        <f ca="1"/>
      </c>
      <c r="BB54">
        <f ca="1"/>
      </c>
      <c r="BC54">
        <f ca="1"/>
      </c>
      <c r="BD54">
        <f ca="1"/>
      </c>
      <c r="BE54">
        <f ca="1"/>
      </c>
      <c r="BG54">
        <f ca="1"/>
      </c>
      <c r="BH54">
        <f ca="1"/>
      </c>
      <c r="BI54">
        <f ca="1"/>
      </c>
      <c r="BJ54">
        <f ca="1"/>
      </c>
      <c r="BK54">
        <f ca="1"/>
      </c>
      <c r="BL54">
        <f ca="1"/>
      </c>
      <c r="BM54">
        <f ca="1"/>
      </c>
      <c r="BO54">
        <f ca="1"/>
      </c>
      <c r="BP54">
        <f ca="1"/>
      </c>
      <c r="BQ54">
        <f ca="1"/>
      </c>
      <c r="BR54">
        <f ca="1"/>
      </c>
      <c r="BS54">
        <f ca="1"/>
      </c>
      <c r="BT54">
        <f ca="1"/>
      </c>
      <c r="BU54">
        <f ca="1"/>
      </c>
    </row>
    <row r="55" spans="26:73" x14ac:dyDescent="0.55000000000000004">
      <c r="AE55" s="7">
        <f ca="1"/>
      </c>
      <c r="AF55">
        <f ca="1"/>
      </c>
      <c r="AG55">
        <f ca="1"/>
      </c>
      <c r="AH55">
        <f ca="1"/>
      </c>
      <c r="AI55">
        <f ca="1"/>
      </c>
      <c r="AJ55">
        <f ca="1"/>
      </c>
      <c r="AK55">
        <f ca="1"/>
      </c>
      <c r="AL55">
        <f ca="1"/>
      </c>
      <c r="AM55">
        <f ca="1"/>
      </c>
      <c r="AN55">
        <f ca="1"/>
      </c>
      <c r="AO55">
        <f ca="1"/>
      </c>
      <c r="AP55">
        <f ca="1"/>
      </c>
      <c r="AQ55">
        <f ca="1"/>
      </c>
      <c r="AR55">
        <f ca="1"/>
      </c>
      <c r="AT55" s="7">
        <f ca="1"/>
      </c>
      <c r="AU55">
        <f ca="1"/>
      </c>
      <c r="AV55">
        <f ca="1"/>
      </c>
      <c r="AW55">
        <f ca="1"/>
      </c>
      <c r="AX55">
        <f ca="1"/>
      </c>
      <c r="AY55">
        <f ca="1"/>
      </c>
      <c r="BA55" s="7">
        <f ca="1"/>
      </c>
      <c r="BB55">
        <f ca="1"/>
      </c>
      <c r="BC55">
        <f ca="1"/>
      </c>
      <c r="BD55">
        <f ca="1"/>
      </c>
      <c r="BE55">
        <f ca="1"/>
      </c>
      <c r="BG55">
        <f ca="1"/>
      </c>
      <c r="BH55">
        <f ca="1"/>
      </c>
      <c r="BI55">
        <f ca="1"/>
      </c>
      <c r="BJ55">
        <f ca="1"/>
      </c>
      <c r="BK55">
        <f ca="1"/>
      </c>
      <c r="BL55">
        <f ca="1"/>
      </c>
      <c r="BM55">
        <f ca="1"/>
      </c>
      <c r="BO55">
        <f ca="1"/>
      </c>
      <c r="BP55">
        <f ca="1"/>
      </c>
      <c r="BQ55">
        <f ca="1"/>
      </c>
      <c r="BR55">
        <f ca="1"/>
      </c>
      <c r="BS55">
        <f ca="1"/>
      </c>
      <c r="BT55">
        <f ca="1"/>
      </c>
      <c r="BU55">
        <f ca="1"/>
      </c>
    </row>
    <row r="56" spans="26:73" x14ac:dyDescent="0.55000000000000004">
      <c r="AE56" s="7">
        <f ca="1"/>
      </c>
      <c r="AF56">
        <f ca="1"/>
      </c>
      <c r="AG56">
        <f ca="1"/>
      </c>
      <c r="AH56">
        <f ca="1"/>
      </c>
      <c r="AI56">
        <f ca="1"/>
      </c>
      <c r="AJ56">
        <f ca="1"/>
      </c>
      <c r="AK56">
        <f ca="1"/>
      </c>
      <c r="AL56">
        <f ca="1"/>
      </c>
      <c r="AM56">
        <f ca="1"/>
      </c>
      <c r="AN56">
        <f ca="1"/>
      </c>
      <c r="AO56">
        <f ca="1"/>
      </c>
      <c r="AP56">
        <f ca="1"/>
      </c>
      <c r="AQ56">
        <f ca="1"/>
      </c>
      <c r="AR56">
        <f ca="1"/>
      </c>
      <c r="AT56" s="7">
        <f ca="1"/>
      </c>
      <c r="AU56">
        <f ca="1"/>
      </c>
      <c r="AV56">
        <f ca="1"/>
      </c>
      <c r="AW56">
        <f ca="1"/>
      </c>
      <c r="AX56">
        <f ca="1"/>
      </c>
      <c r="AY56">
        <f ca="1"/>
      </c>
      <c r="BA56" s="7">
        <f ca="1"/>
      </c>
      <c r="BB56">
        <f ca="1"/>
      </c>
      <c r="BC56">
        <f ca="1"/>
      </c>
      <c r="BD56">
        <f ca="1"/>
      </c>
      <c r="BE56">
        <f ca="1"/>
      </c>
      <c r="BG56">
        <f ca="1"/>
      </c>
      <c r="BH56">
        <f ca="1"/>
      </c>
      <c r="BI56">
        <f ca="1"/>
      </c>
      <c r="BJ56">
        <f ca="1"/>
      </c>
      <c r="BK56">
        <f ca="1"/>
      </c>
      <c r="BL56">
        <f ca="1"/>
      </c>
      <c r="BM56">
        <f ca="1"/>
      </c>
      <c r="BO56">
        <f ca="1"/>
      </c>
      <c r="BP56">
        <f ca="1"/>
      </c>
      <c r="BQ56">
        <f ca="1"/>
      </c>
      <c r="BR56">
        <f ca="1"/>
      </c>
      <c r="BS56">
        <f ca="1"/>
      </c>
      <c r="BT56">
        <f ca="1"/>
      </c>
      <c r="BU56">
        <f ca="1"/>
      </c>
    </row>
    <row r="57" spans="26:73" x14ac:dyDescent="0.55000000000000004">
      <c r="AE57" s="7">
        <f ca="1"/>
      </c>
      <c r="AF57">
        <f ca="1"/>
      </c>
      <c r="AG57">
        <f ca="1"/>
      </c>
      <c r="AH57">
        <f ca="1"/>
      </c>
      <c r="AI57">
        <f ca="1"/>
      </c>
      <c r="AJ57">
        <f ca="1"/>
      </c>
      <c r="AK57">
        <f ca="1"/>
      </c>
      <c r="AL57">
        <f ca="1"/>
      </c>
      <c r="AM57">
        <f ca="1"/>
      </c>
      <c r="AN57">
        <f ca="1"/>
      </c>
      <c r="AO57">
        <f ca="1"/>
      </c>
      <c r="AP57">
        <f ca="1"/>
      </c>
      <c r="AQ57">
        <f ca="1"/>
      </c>
      <c r="AR57">
        <f ca="1"/>
      </c>
      <c r="AT57" s="7">
        <f ca="1"/>
      </c>
      <c r="AU57">
        <f ca="1"/>
      </c>
      <c r="AV57">
        <f ca="1"/>
      </c>
      <c r="AW57">
        <f ca="1"/>
      </c>
      <c r="AX57">
        <f ca="1"/>
      </c>
      <c r="AY57">
        <f ca="1"/>
      </c>
      <c r="BA57" s="7">
        <f ca="1"/>
      </c>
      <c r="BB57">
        <f ca="1"/>
      </c>
      <c r="BC57">
        <f ca="1"/>
      </c>
      <c r="BD57">
        <f ca="1"/>
      </c>
      <c r="BE57">
        <f ca="1"/>
      </c>
      <c r="BG57">
        <f ca="1"/>
      </c>
      <c r="BH57">
        <f ca="1"/>
      </c>
      <c r="BI57">
        <f ca="1"/>
      </c>
      <c r="BJ57">
        <f ca="1"/>
      </c>
      <c r="BK57">
        <f ca="1"/>
      </c>
      <c r="BL57">
        <f ca="1"/>
      </c>
      <c r="BM57">
        <f ca="1"/>
      </c>
      <c r="BO57">
        <f ca="1"/>
      </c>
      <c r="BP57">
        <f ca="1"/>
      </c>
      <c r="BQ57">
        <f ca="1"/>
      </c>
      <c r="BR57">
        <f ca="1"/>
      </c>
      <c r="BS57">
        <f ca="1"/>
      </c>
      <c r="BT57">
        <f ca="1"/>
      </c>
      <c r="BU57">
        <f ca="1"/>
      </c>
    </row>
    <row r="58" spans="26:73" x14ac:dyDescent="0.55000000000000004">
      <c r="AE58" s="7">
        <f ca="1"/>
      </c>
      <c r="AF58">
        <f ca="1"/>
      </c>
      <c r="AG58">
        <f ca="1"/>
      </c>
      <c r="AH58">
        <f ca="1"/>
      </c>
      <c r="AI58">
        <f ca="1"/>
      </c>
      <c r="AJ58">
        <f ca="1"/>
      </c>
      <c r="AK58">
        <f ca="1"/>
      </c>
      <c r="AL58">
        <f ca="1"/>
      </c>
      <c r="AM58">
        <f ca="1"/>
      </c>
      <c r="AN58">
        <f ca="1"/>
      </c>
      <c r="AO58">
        <f ca="1"/>
      </c>
      <c r="AP58">
        <f ca="1"/>
      </c>
      <c r="AQ58">
        <f ca="1"/>
      </c>
      <c r="AR58">
        <f ca="1"/>
      </c>
      <c r="AT58" s="7">
        <f ca="1"/>
      </c>
      <c r="AU58">
        <f ca="1"/>
      </c>
      <c r="AV58">
        <f ca="1"/>
      </c>
      <c r="AW58">
        <f ca="1"/>
      </c>
      <c r="AX58">
        <f ca="1"/>
      </c>
      <c r="AY58">
        <f ca="1"/>
      </c>
      <c r="BA58" s="7">
        <f ca="1"/>
      </c>
      <c r="BB58">
        <f ca="1"/>
      </c>
      <c r="BC58">
        <f ca="1"/>
      </c>
      <c r="BD58">
        <f ca="1"/>
      </c>
      <c r="BE58">
        <f ca="1"/>
      </c>
      <c r="BG58">
        <f ca="1"/>
      </c>
      <c r="BH58">
        <f ca="1"/>
      </c>
      <c r="BI58">
        <f ca="1"/>
      </c>
      <c r="BJ58">
        <f ca="1"/>
      </c>
      <c r="BK58">
        <f ca="1"/>
      </c>
      <c r="BL58">
        <f ca="1"/>
      </c>
      <c r="BM58">
        <f ca="1"/>
      </c>
      <c r="BO58">
        <f ca="1"/>
      </c>
      <c r="BP58">
        <f ca="1"/>
      </c>
      <c r="BQ58">
        <f ca="1"/>
      </c>
      <c r="BR58">
        <f ca="1"/>
      </c>
      <c r="BS58">
        <f ca="1"/>
      </c>
      <c r="BT58">
        <f ca="1"/>
      </c>
      <c r="BU58">
        <f ca="1"/>
      </c>
    </row>
    <row r="59" spans="26:73" x14ac:dyDescent="0.55000000000000004">
      <c r="AE59" s="7">
        <f ca="1"/>
      </c>
      <c r="AF59">
        <f ca="1"/>
      </c>
      <c r="AG59">
        <f ca="1"/>
      </c>
      <c r="AH59">
        <f ca="1"/>
      </c>
      <c r="AI59">
        <f ca="1"/>
      </c>
      <c r="AJ59">
        <f ca="1"/>
      </c>
      <c r="AK59">
        <f ca="1"/>
      </c>
      <c r="AL59">
        <f ca="1"/>
      </c>
      <c r="AM59">
        <f ca="1"/>
      </c>
      <c r="AN59">
        <f ca="1"/>
      </c>
      <c r="AO59">
        <f ca="1"/>
      </c>
      <c r="AP59">
        <f ca="1"/>
      </c>
      <c r="AQ59">
        <f ca="1"/>
      </c>
      <c r="AR59">
        <f ca="1"/>
      </c>
      <c r="AT59" s="7">
        <f ca="1"/>
      </c>
      <c r="AU59">
        <f ca="1"/>
      </c>
      <c r="AV59">
        <f ca="1"/>
      </c>
      <c r="AW59">
        <f ca="1"/>
      </c>
      <c r="AX59">
        <f ca="1"/>
      </c>
      <c r="AY59">
        <f ca="1"/>
      </c>
      <c r="BA59" s="7">
        <f ca="1"/>
      </c>
      <c r="BB59">
        <f ca="1"/>
      </c>
      <c r="BC59">
        <f ca="1"/>
      </c>
      <c r="BD59">
        <f ca="1"/>
      </c>
      <c r="BE59">
        <f ca="1"/>
      </c>
      <c r="BG59">
        <f ca="1"/>
      </c>
      <c r="BH59">
        <f ca="1"/>
      </c>
      <c r="BI59">
        <f ca="1"/>
      </c>
      <c r="BJ59">
        <f ca="1"/>
      </c>
      <c r="BK59">
        <f ca="1"/>
      </c>
      <c r="BL59">
        <f ca="1"/>
      </c>
      <c r="BM59">
        <f ca="1"/>
      </c>
      <c r="BO59">
        <f ca="1"/>
      </c>
      <c r="BP59">
        <f ca="1"/>
      </c>
      <c r="BQ59">
        <f ca="1"/>
      </c>
      <c r="BR59">
        <f ca="1"/>
      </c>
      <c r="BS59">
        <f ca="1"/>
      </c>
      <c r="BT59">
        <f ca="1"/>
      </c>
      <c r="BU59">
        <f ca="1"/>
      </c>
    </row>
    <row r="60" spans="26:73" x14ac:dyDescent="0.55000000000000004">
      <c r="AE60" s="7">
        <f ca="1"/>
      </c>
      <c r="AF60">
        <f ca="1"/>
      </c>
      <c r="AG60">
        <f ca="1"/>
      </c>
      <c r="AH60">
        <f ca="1"/>
      </c>
      <c r="AI60">
        <f ca="1"/>
      </c>
      <c r="AJ60">
        <f ca="1"/>
      </c>
      <c r="AK60">
        <f ca="1"/>
      </c>
      <c r="AL60">
        <f ca="1"/>
      </c>
      <c r="AM60">
        <f ca="1"/>
      </c>
      <c r="AN60">
        <f ca="1"/>
      </c>
      <c r="AO60">
        <f ca="1"/>
      </c>
      <c r="AP60">
        <f ca="1"/>
      </c>
      <c r="AQ60">
        <f ca="1"/>
      </c>
      <c r="AR60">
        <f ca="1"/>
      </c>
      <c r="AT60" s="7">
        <f ca="1"/>
      </c>
      <c r="AU60">
        <f ca="1"/>
      </c>
      <c r="AV60">
        <f ca="1"/>
      </c>
      <c r="AW60">
        <f ca="1"/>
      </c>
      <c r="AX60">
        <f ca="1"/>
      </c>
      <c r="AY60">
        <f ca="1"/>
      </c>
      <c r="BA60" s="7">
        <f ca="1"/>
      </c>
      <c r="BB60">
        <f ca="1"/>
      </c>
      <c r="BC60">
        <f ca="1"/>
      </c>
      <c r="BD60">
        <f ca="1"/>
      </c>
      <c r="BE60">
        <f ca="1"/>
      </c>
      <c r="BG60">
        <f ca="1"/>
      </c>
      <c r="BH60">
        <f ca="1"/>
      </c>
      <c r="BI60">
        <f ca="1"/>
      </c>
      <c r="BJ60">
        <f ca="1"/>
      </c>
      <c r="BK60">
        <f ca="1"/>
      </c>
      <c r="BL60">
        <f ca="1"/>
      </c>
      <c r="BM60">
        <f ca="1"/>
      </c>
      <c r="BO60">
        <f ca="1"/>
      </c>
      <c r="BP60">
        <f ca="1"/>
      </c>
      <c r="BQ60">
        <f ca="1"/>
      </c>
      <c r="BR60">
        <f ca="1"/>
      </c>
      <c r="BS60">
        <f ca="1"/>
      </c>
      <c r="BT60">
        <f ca="1"/>
      </c>
      <c r="BU60">
        <f ca="1"/>
      </c>
    </row>
    <row r="61" spans="26:73" x14ac:dyDescent="0.55000000000000004">
      <c r="AE61" s="7">
        <f ca="1"/>
      </c>
      <c r="AF61">
        <f ca="1"/>
      </c>
      <c r="AG61">
        <f ca="1"/>
      </c>
      <c r="AH61">
        <f ca="1"/>
      </c>
      <c r="AI61">
        <f ca="1"/>
      </c>
      <c r="AJ61">
        <f ca="1"/>
      </c>
      <c r="AK61">
        <f ca="1"/>
      </c>
      <c r="AL61">
        <f ca="1"/>
      </c>
      <c r="AM61">
        <f ca="1"/>
      </c>
      <c r="AN61">
        <f ca="1"/>
      </c>
      <c r="AO61">
        <f ca="1"/>
      </c>
      <c r="AP61">
        <f ca="1"/>
      </c>
      <c r="AQ61">
        <f ca="1"/>
      </c>
      <c r="AR61">
        <f ca="1"/>
      </c>
      <c r="AT61" s="7">
        <f ca="1"/>
      </c>
      <c r="AU61">
        <f ca="1"/>
      </c>
      <c r="AV61">
        <f ca="1"/>
      </c>
      <c r="AW61">
        <f ca="1"/>
      </c>
      <c r="AX61">
        <f ca="1"/>
      </c>
      <c r="AY61">
        <f ca="1"/>
      </c>
      <c r="BA61" s="7">
        <f ca="1"/>
      </c>
      <c r="BB61">
        <f ca="1"/>
      </c>
      <c r="BC61">
        <f ca="1"/>
      </c>
      <c r="BD61">
        <f ca="1"/>
      </c>
      <c r="BE61">
        <f ca="1"/>
      </c>
      <c r="BG61">
        <f ca="1"/>
      </c>
      <c r="BH61">
        <f ca="1"/>
      </c>
      <c r="BI61">
        <f ca="1"/>
      </c>
      <c r="BJ61">
        <f ca="1"/>
      </c>
      <c r="BK61">
        <f ca="1"/>
      </c>
      <c r="BL61">
        <f ca="1"/>
      </c>
      <c r="BM61">
        <f ca="1"/>
      </c>
      <c r="BO61">
        <f ca="1"/>
      </c>
      <c r="BP61">
        <f ca="1"/>
      </c>
      <c r="BQ61">
        <f ca="1"/>
      </c>
      <c r="BR61">
        <f ca="1"/>
      </c>
      <c r="BS61">
        <f ca="1"/>
      </c>
      <c r="BT61">
        <f ca="1"/>
      </c>
      <c r="BU61">
        <f ca="1"/>
      </c>
    </row>
    <row r="62" spans="26:73" x14ac:dyDescent="0.55000000000000004">
      <c r="AE62" s="7">
        <f ca="1"/>
      </c>
      <c r="AF62">
        <f ca="1"/>
      </c>
      <c r="AG62">
        <f ca="1"/>
      </c>
      <c r="AH62">
        <f ca="1"/>
      </c>
      <c r="AI62">
        <f ca="1"/>
      </c>
      <c r="AJ62">
        <f ca="1"/>
      </c>
      <c r="AK62">
        <f ca="1"/>
      </c>
      <c r="AL62">
        <f ca="1"/>
      </c>
      <c r="AM62">
        <f ca="1"/>
      </c>
      <c r="AN62">
        <f ca="1"/>
      </c>
      <c r="AO62">
        <f ca="1"/>
      </c>
      <c r="AP62">
        <f ca="1"/>
      </c>
      <c r="AQ62">
        <f ca="1"/>
      </c>
      <c r="AR62">
        <f ca="1"/>
      </c>
      <c r="AT62" s="7">
        <f ca="1"/>
      </c>
      <c r="AU62">
        <f ca="1"/>
      </c>
      <c r="AV62">
        <f ca="1"/>
      </c>
      <c r="AW62">
        <f ca="1"/>
      </c>
      <c r="AX62">
        <f ca="1"/>
      </c>
      <c r="AY62">
        <f ca="1"/>
      </c>
      <c r="BA62" s="7">
        <f ca="1"/>
      </c>
      <c r="BB62">
        <f ca="1"/>
      </c>
      <c r="BC62">
        <f ca="1"/>
      </c>
      <c r="BD62">
        <f ca="1"/>
      </c>
      <c r="BE62">
        <f ca="1"/>
      </c>
      <c r="BG62">
        <f ca="1"/>
      </c>
      <c r="BH62">
        <f ca="1"/>
      </c>
      <c r="BI62">
        <f ca="1"/>
      </c>
      <c r="BJ62">
        <f ca="1"/>
      </c>
      <c r="BK62">
        <f ca="1"/>
      </c>
      <c r="BL62">
        <f ca="1"/>
      </c>
      <c r="BM62">
        <f ca="1"/>
      </c>
      <c r="BO62">
        <f ca="1"/>
      </c>
      <c r="BP62">
        <f ca="1"/>
      </c>
      <c r="BQ62">
        <f ca="1"/>
      </c>
      <c r="BR62">
        <f ca="1"/>
      </c>
      <c r="BS62">
        <f ca="1"/>
      </c>
      <c r="BT62">
        <f ca="1"/>
      </c>
      <c r="BU62">
        <f ca="1"/>
      </c>
    </row>
    <row r="63" spans="26:73" x14ac:dyDescent="0.55000000000000004">
      <c r="AE63" s="7">
        <f ca="1"/>
      </c>
      <c r="AF63">
        <f ca="1"/>
      </c>
      <c r="AG63">
        <f ca="1"/>
      </c>
      <c r="AH63">
        <f ca="1"/>
      </c>
      <c r="AI63">
        <f ca="1"/>
      </c>
      <c r="AJ63">
        <f ca="1"/>
      </c>
      <c r="AK63">
        <f ca="1"/>
      </c>
      <c r="AL63">
        <f ca="1"/>
      </c>
      <c r="AM63">
        <f ca="1"/>
      </c>
      <c r="AN63">
        <f ca="1"/>
      </c>
      <c r="AO63">
        <f ca="1"/>
      </c>
      <c r="AP63">
        <f ca="1"/>
      </c>
      <c r="AQ63">
        <f ca="1"/>
      </c>
      <c r="AR63">
        <f ca="1"/>
      </c>
      <c r="AT63" s="7">
        <f ca="1"/>
      </c>
      <c r="AU63">
        <f ca="1"/>
      </c>
      <c r="AV63">
        <f ca="1"/>
      </c>
      <c r="AW63">
        <f ca="1"/>
      </c>
      <c r="AX63">
        <f ca="1"/>
      </c>
      <c r="AY63">
        <f ca="1"/>
      </c>
      <c r="BA63" s="7">
        <f ca="1"/>
      </c>
      <c r="BB63">
        <f ca="1"/>
      </c>
      <c r="BC63">
        <f ca="1"/>
      </c>
      <c r="BD63">
        <f ca="1"/>
      </c>
      <c r="BE63">
        <f ca="1"/>
      </c>
      <c r="BG63">
        <f ca="1"/>
      </c>
      <c r="BH63">
        <f ca="1"/>
      </c>
      <c r="BI63">
        <f ca="1"/>
      </c>
      <c r="BJ63">
        <f ca="1"/>
      </c>
      <c r="BK63">
        <f ca="1"/>
      </c>
      <c r="BL63">
        <f ca="1"/>
      </c>
      <c r="BM63">
        <f ca="1"/>
      </c>
      <c r="BO63">
        <f ca="1"/>
      </c>
      <c r="BP63">
        <f ca="1"/>
      </c>
      <c r="BQ63">
        <f ca="1"/>
      </c>
      <c r="BR63">
        <f ca="1"/>
      </c>
      <c r="BS63">
        <f ca="1"/>
      </c>
      <c r="BT63">
        <f ca="1"/>
      </c>
      <c r="BU63">
        <f ca="1"/>
      </c>
    </row>
    <row r="64" spans="26:73" x14ac:dyDescent="0.55000000000000004">
      <c r="AE64" s="7">
        <f ca="1"/>
      </c>
      <c r="AF64">
        <f ca="1"/>
      </c>
      <c r="AG64">
        <f ca="1"/>
      </c>
      <c r="AH64">
        <f ca="1"/>
      </c>
      <c r="AI64">
        <f ca="1"/>
      </c>
      <c r="AJ64">
        <f ca="1"/>
      </c>
      <c r="AK64">
        <f ca="1"/>
      </c>
      <c r="AL64">
        <f ca="1"/>
      </c>
      <c r="AM64">
        <f ca="1"/>
      </c>
      <c r="AN64">
        <f ca="1"/>
      </c>
      <c r="AO64">
        <f ca="1"/>
      </c>
      <c r="AP64">
        <f ca="1"/>
      </c>
      <c r="AQ64">
        <f ca="1"/>
      </c>
      <c r="AR64">
        <f ca="1"/>
      </c>
      <c r="AT64" s="7">
        <f ca="1"/>
      </c>
      <c r="AU64">
        <f ca="1"/>
      </c>
      <c r="AV64">
        <f ca="1"/>
      </c>
      <c r="AW64">
        <f ca="1"/>
      </c>
      <c r="AX64">
        <f ca="1"/>
      </c>
      <c r="AY64">
        <f ca="1"/>
      </c>
      <c r="BA64" s="7">
        <f ca="1"/>
      </c>
      <c r="BB64">
        <f ca="1"/>
      </c>
      <c r="BC64">
        <f ca="1"/>
      </c>
      <c r="BD64">
        <f ca="1"/>
      </c>
      <c r="BE64">
        <f ca="1"/>
      </c>
      <c r="BG64">
        <f ca="1"/>
      </c>
      <c r="BH64">
        <f ca="1"/>
      </c>
      <c r="BI64">
        <f ca="1"/>
      </c>
      <c r="BJ64">
        <f ca="1"/>
      </c>
      <c r="BK64">
        <f ca="1"/>
      </c>
      <c r="BL64">
        <f ca="1"/>
      </c>
      <c r="BM64">
        <f ca="1"/>
      </c>
      <c r="BO64">
        <f ca="1"/>
      </c>
      <c r="BP64">
        <f ca="1"/>
      </c>
      <c r="BQ64">
        <f ca="1"/>
      </c>
      <c r="BR64">
        <f ca="1"/>
      </c>
      <c r="BS64">
        <f ca="1"/>
      </c>
      <c r="BT64">
        <f ca="1"/>
      </c>
      <c r="BU64">
        <f ca="1"/>
      </c>
    </row>
    <row r="65" spans="31:73" x14ac:dyDescent="0.55000000000000004">
      <c r="AE65" s="7">
        <f ca="1"/>
      </c>
      <c r="AF65">
        <f ca="1"/>
      </c>
      <c r="AG65">
        <f ca="1"/>
      </c>
      <c r="AH65">
        <f ca="1"/>
      </c>
      <c r="AI65">
        <f ca="1"/>
      </c>
      <c r="AJ65">
        <f ca="1"/>
      </c>
      <c r="AK65">
        <f ca="1"/>
      </c>
      <c r="AL65">
        <f ca="1"/>
      </c>
      <c r="AM65">
        <f ca="1"/>
      </c>
      <c r="AN65">
        <f ca="1"/>
      </c>
      <c r="AO65">
        <f ca="1"/>
      </c>
      <c r="AP65">
        <f ca="1"/>
      </c>
      <c r="AQ65">
        <f ca="1"/>
      </c>
      <c r="AR65">
        <f ca="1"/>
      </c>
      <c r="AT65" s="7">
        <f ca="1"/>
      </c>
      <c r="AU65">
        <f ca="1"/>
      </c>
      <c r="AV65">
        <f ca="1"/>
      </c>
      <c r="AW65">
        <f ca="1"/>
      </c>
      <c r="AX65">
        <f ca="1"/>
      </c>
      <c r="AY65">
        <f ca="1"/>
      </c>
      <c r="BA65" s="7">
        <f ca="1"/>
      </c>
      <c r="BB65">
        <f ca="1"/>
      </c>
      <c r="BC65">
        <f ca="1"/>
      </c>
      <c r="BD65">
        <f ca="1"/>
      </c>
      <c r="BE65">
        <f ca="1"/>
      </c>
      <c r="BG65">
        <f ca="1"/>
      </c>
      <c r="BH65">
        <f ca="1"/>
      </c>
      <c r="BI65">
        <f ca="1"/>
      </c>
      <c r="BJ65">
        <f ca="1"/>
      </c>
      <c r="BK65">
        <f ca="1"/>
      </c>
      <c r="BL65">
        <f ca="1"/>
      </c>
      <c r="BM65">
        <f ca="1"/>
      </c>
      <c r="BO65">
        <f ca="1"/>
      </c>
      <c r="BP65">
        <f ca="1"/>
      </c>
      <c r="BQ65">
        <f ca="1"/>
      </c>
      <c r="BR65">
        <f ca="1"/>
      </c>
      <c r="BS65">
        <f ca="1"/>
      </c>
      <c r="BT65">
        <f ca="1"/>
      </c>
      <c r="BU65">
        <f ca="1"/>
      </c>
    </row>
    <row r="66" spans="31:73" x14ac:dyDescent="0.55000000000000004">
      <c r="AE66" s="7">
        <f ca="1"/>
      </c>
      <c r="AF66">
        <f ca="1"/>
      </c>
      <c r="AG66">
        <f ca="1"/>
      </c>
      <c r="AH66">
        <f ca="1"/>
      </c>
      <c r="AI66">
        <f ca="1"/>
      </c>
      <c r="AJ66">
        <f ca="1"/>
      </c>
      <c r="AK66">
        <f ca="1"/>
      </c>
      <c r="AL66">
        <f ca="1"/>
      </c>
      <c r="AM66">
        <f ca="1"/>
      </c>
      <c r="AN66">
        <f ca="1"/>
      </c>
      <c r="AO66">
        <f ca="1"/>
      </c>
      <c r="AP66">
        <f ca="1"/>
      </c>
      <c r="AQ66">
        <f ca="1"/>
      </c>
      <c r="AR66">
        <f ca="1"/>
      </c>
      <c r="AT66" s="7">
        <f ca="1"/>
      </c>
      <c r="AU66">
        <f ca="1"/>
      </c>
      <c r="AV66">
        <f ca="1"/>
      </c>
      <c r="AW66">
        <f ca="1"/>
      </c>
      <c r="AX66">
        <f ca="1"/>
      </c>
      <c r="AY66">
        <f ca="1"/>
      </c>
      <c r="BA66" s="7">
        <f ca="1"/>
      </c>
      <c r="BB66">
        <f ca="1"/>
      </c>
      <c r="BC66">
        <f ca="1"/>
      </c>
      <c r="BD66">
        <f ca="1"/>
      </c>
      <c r="BE66">
        <f ca="1"/>
      </c>
      <c r="BG66">
        <f ca="1"/>
      </c>
      <c r="BH66">
        <f ca="1"/>
      </c>
      <c r="BI66">
        <f ca="1"/>
      </c>
      <c r="BJ66">
        <f ca="1"/>
      </c>
      <c r="BK66">
        <f ca="1"/>
      </c>
      <c r="BL66">
        <f ca="1"/>
      </c>
      <c r="BM66">
        <f ca="1"/>
      </c>
      <c r="BO66">
        <f ca="1"/>
      </c>
      <c r="BP66">
        <f ca="1"/>
      </c>
      <c r="BQ66">
        <f ca="1"/>
      </c>
      <c r="BR66">
        <f ca="1"/>
      </c>
      <c r="BS66">
        <f ca="1"/>
      </c>
      <c r="BT66">
        <f ca="1"/>
      </c>
      <c r="BU66">
        <f ca="1"/>
      </c>
    </row>
    <row r="67" spans="31:73" x14ac:dyDescent="0.55000000000000004">
      <c r="AE67" s="7">
        <f ca="1"/>
      </c>
      <c r="AF67">
        <f ca="1"/>
      </c>
      <c r="AG67">
        <f ca="1"/>
      </c>
      <c r="AH67">
        <f ca="1"/>
      </c>
      <c r="AI67">
        <f ca="1"/>
      </c>
      <c r="AJ67">
        <f ca="1"/>
      </c>
      <c r="AK67">
        <f ca="1"/>
      </c>
      <c r="AL67">
        <f ca="1"/>
      </c>
      <c r="AM67">
        <f ca="1"/>
      </c>
      <c r="AN67">
        <f ca="1"/>
      </c>
      <c r="AO67">
        <f ca="1"/>
      </c>
      <c r="AP67">
        <f ca="1"/>
      </c>
      <c r="AQ67">
        <f ca="1"/>
      </c>
      <c r="AR67">
        <f ca="1"/>
      </c>
      <c r="AT67" s="7">
        <f ca="1"/>
      </c>
      <c r="AU67">
        <f ca="1"/>
      </c>
      <c r="AV67">
        <f ca="1"/>
      </c>
      <c r="AW67">
        <f ca="1"/>
      </c>
      <c r="AX67">
        <f ca="1"/>
      </c>
      <c r="AY67">
        <f ca="1"/>
      </c>
      <c r="BA67" s="7">
        <f ca="1"/>
      </c>
      <c r="BB67">
        <f ca="1"/>
      </c>
      <c r="BC67">
        <f ca="1"/>
      </c>
      <c r="BD67">
        <f ca="1"/>
      </c>
      <c r="BE67">
        <f ca="1"/>
      </c>
      <c r="BG67">
        <f ca="1"/>
      </c>
      <c r="BH67">
        <f ca="1"/>
      </c>
      <c r="BI67">
        <f ca="1"/>
      </c>
      <c r="BJ67">
        <f ca="1"/>
      </c>
      <c r="BK67">
        <f ca="1"/>
      </c>
      <c r="BL67">
        <f ca="1"/>
      </c>
      <c r="BM67">
        <f ca="1"/>
      </c>
      <c r="BO67">
        <f ca="1"/>
      </c>
      <c r="BP67">
        <f ca="1"/>
      </c>
      <c r="BQ67">
        <f ca="1"/>
      </c>
      <c r="BR67">
        <f ca="1"/>
      </c>
      <c r="BS67">
        <f ca="1"/>
      </c>
      <c r="BT67">
        <f ca="1"/>
      </c>
      <c r="BU67">
        <f ca="1"/>
      </c>
    </row>
    <row r="68" spans="31:73" x14ac:dyDescent="0.55000000000000004">
      <c r="AE68" s="7">
        <f ca="1"/>
      </c>
      <c r="AF68">
        <f ca="1"/>
      </c>
      <c r="AG68">
        <f ca="1"/>
      </c>
      <c r="AH68">
        <f ca="1"/>
      </c>
      <c r="AI68">
        <f ca="1"/>
      </c>
      <c r="AJ68">
        <f ca="1"/>
      </c>
      <c r="AK68">
        <f ca="1"/>
      </c>
      <c r="AL68">
        <f ca="1"/>
      </c>
      <c r="AM68">
        <f ca="1"/>
      </c>
      <c r="AN68">
        <f ca="1"/>
      </c>
      <c r="AO68">
        <f ca="1"/>
      </c>
      <c r="AP68">
        <f ca="1"/>
      </c>
      <c r="AQ68">
        <f ca="1"/>
      </c>
      <c r="AR68">
        <f ca="1"/>
      </c>
      <c r="AT68" s="7">
        <f ca="1"/>
      </c>
      <c r="AU68">
        <f ca="1"/>
      </c>
      <c r="AV68">
        <f ca="1"/>
      </c>
      <c r="AW68">
        <f ca="1"/>
      </c>
      <c r="AX68">
        <f ca="1"/>
      </c>
      <c r="AY68">
        <f ca="1"/>
      </c>
      <c r="BA68" s="7">
        <f ca="1"/>
      </c>
      <c r="BB68">
        <f ca="1"/>
      </c>
      <c r="BC68">
        <f ca="1"/>
      </c>
      <c r="BD68">
        <f ca="1"/>
      </c>
      <c r="BE68">
        <f ca="1"/>
      </c>
      <c r="BG68">
        <f ca="1"/>
      </c>
      <c r="BH68">
        <f ca="1"/>
      </c>
      <c r="BI68">
        <f ca="1"/>
      </c>
      <c r="BJ68">
        <f ca="1"/>
      </c>
      <c r="BK68">
        <f ca="1"/>
      </c>
      <c r="BL68">
        <f ca="1"/>
      </c>
      <c r="BM68">
        <f ca="1"/>
      </c>
      <c r="BO68">
        <f ca="1"/>
      </c>
      <c r="BP68">
        <f ca="1"/>
      </c>
      <c r="BQ68">
        <f ca="1"/>
      </c>
      <c r="BR68">
        <f ca="1"/>
      </c>
      <c r="BS68">
        <f ca="1"/>
      </c>
      <c r="BT68">
        <f ca="1"/>
      </c>
      <c r="BU68">
        <f ca="1"/>
      </c>
    </row>
    <row r="69" spans="31:73" x14ac:dyDescent="0.55000000000000004">
      <c r="AE69" s="7">
        <f ca="1"/>
      </c>
      <c r="AF69">
        <f ca="1"/>
      </c>
      <c r="AG69">
        <f ca="1"/>
      </c>
      <c r="AH69">
        <f ca="1"/>
      </c>
      <c r="AI69">
        <f ca="1"/>
      </c>
      <c r="AJ69">
        <f ca="1"/>
      </c>
      <c r="AK69">
        <f ca="1"/>
      </c>
      <c r="AL69">
        <f ca="1"/>
      </c>
      <c r="AM69">
        <f ca="1"/>
      </c>
      <c r="AN69">
        <f ca="1"/>
      </c>
      <c r="AO69">
        <f ca="1"/>
      </c>
      <c r="AP69">
        <f ca="1"/>
      </c>
      <c r="AQ69">
        <f ca="1"/>
      </c>
      <c r="AR69">
        <f ca="1"/>
      </c>
      <c r="AT69" s="7">
        <f ca="1"/>
      </c>
      <c r="AU69">
        <f ca="1"/>
      </c>
      <c r="AV69">
        <f ca="1"/>
      </c>
      <c r="AW69">
        <f ca="1"/>
      </c>
      <c r="AX69">
        <f ca="1"/>
      </c>
      <c r="AY69">
        <f ca="1"/>
      </c>
      <c r="BA69" s="7">
        <f ca="1"/>
      </c>
      <c r="BB69">
        <f ca="1"/>
      </c>
      <c r="BC69">
        <f ca="1"/>
      </c>
      <c r="BD69">
        <f ca="1"/>
      </c>
      <c r="BE69">
        <f ca="1"/>
      </c>
      <c r="BG69">
        <f ca="1"/>
      </c>
      <c r="BH69">
        <f ca="1"/>
      </c>
      <c r="BI69">
        <f ca="1"/>
      </c>
      <c r="BJ69">
        <f ca="1"/>
      </c>
      <c r="BK69">
        <f ca="1"/>
      </c>
      <c r="BL69">
        <f ca="1"/>
      </c>
      <c r="BM69">
        <f ca="1"/>
      </c>
      <c r="BO69">
        <f ca="1"/>
      </c>
      <c r="BP69">
        <f ca="1"/>
      </c>
      <c r="BQ69">
        <f ca="1"/>
      </c>
      <c r="BR69">
        <f ca="1"/>
      </c>
      <c r="BS69">
        <f ca="1"/>
      </c>
      <c r="BT69">
        <f ca="1"/>
      </c>
      <c r="BU69">
        <f ca="1"/>
      </c>
    </row>
    <row r="70" spans="31:73" x14ac:dyDescent="0.55000000000000004">
      <c r="AE70" s="7">
        <f ca="1"/>
      </c>
      <c r="AF70">
        <f ca="1"/>
      </c>
      <c r="AG70">
        <f ca="1"/>
      </c>
      <c r="AH70">
        <f ca="1"/>
      </c>
      <c r="AI70">
        <f ca="1"/>
      </c>
      <c r="AJ70">
        <f ca="1"/>
      </c>
      <c r="AK70">
        <f ca="1"/>
      </c>
      <c r="AL70">
        <f ca="1"/>
      </c>
      <c r="AM70">
        <f ca="1"/>
      </c>
      <c r="AN70">
        <f ca="1"/>
      </c>
      <c r="AO70">
        <f ca="1"/>
      </c>
      <c r="AP70">
        <f ca="1"/>
      </c>
      <c r="AQ70">
        <f ca="1"/>
      </c>
      <c r="AR70">
        <f ca="1"/>
      </c>
      <c r="AT70" s="7">
        <f ca="1"/>
      </c>
      <c r="AU70">
        <f ca="1"/>
      </c>
      <c r="AV70">
        <f ca="1"/>
      </c>
      <c r="AW70">
        <f ca="1"/>
      </c>
      <c r="AX70">
        <f ca="1"/>
      </c>
      <c r="AY70">
        <f ca="1"/>
      </c>
      <c r="BA70" s="7">
        <f ca="1"/>
      </c>
      <c r="BB70">
        <f ca="1"/>
      </c>
      <c r="BC70">
        <f ca="1"/>
      </c>
      <c r="BD70">
        <f ca="1"/>
      </c>
      <c r="BE70">
        <f ca="1"/>
      </c>
      <c r="BG70">
        <f ca="1"/>
      </c>
      <c r="BH70">
        <f ca="1"/>
      </c>
      <c r="BI70">
        <f ca="1"/>
      </c>
      <c r="BJ70">
        <f ca="1"/>
      </c>
      <c r="BK70">
        <f ca="1"/>
      </c>
      <c r="BL70">
        <f ca="1"/>
      </c>
      <c r="BM70">
        <f ca="1"/>
      </c>
      <c r="BO70">
        <f ca="1"/>
      </c>
      <c r="BP70">
        <f ca="1"/>
      </c>
      <c r="BQ70">
        <f ca="1"/>
      </c>
      <c r="BR70">
        <f ca="1"/>
      </c>
      <c r="BS70">
        <f ca="1"/>
      </c>
      <c r="BT70">
        <f ca="1"/>
      </c>
      <c r="BU70">
        <f ca="1"/>
      </c>
    </row>
    <row r="71" spans="31:73" x14ac:dyDescent="0.55000000000000004">
      <c r="AE71" s="7">
        <f ca="1"/>
      </c>
      <c r="AF71">
        <f ca="1"/>
      </c>
      <c r="AG71">
        <f ca="1"/>
      </c>
      <c r="AH71">
        <f ca="1"/>
      </c>
      <c r="AI71">
        <f ca="1"/>
      </c>
      <c r="AJ71">
        <f ca="1"/>
      </c>
      <c r="AK71">
        <f ca="1"/>
      </c>
      <c r="AL71">
        <f ca="1"/>
      </c>
      <c r="AM71">
        <f ca="1"/>
      </c>
      <c r="AN71">
        <f ca="1"/>
      </c>
      <c r="AO71">
        <f ca="1"/>
      </c>
      <c r="AP71">
        <f ca="1"/>
      </c>
      <c r="AQ71">
        <f ca="1"/>
      </c>
      <c r="AR71">
        <f ca="1"/>
      </c>
      <c r="AT71" s="7">
        <f ca="1"/>
      </c>
      <c r="AU71">
        <f ca="1"/>
      </c>
      <c r="AV71">
        <f ca="1"/>
      </c>
      <c r="AW71">
        <f ca="1"/>
      </c>
      <c r="AX71">
        <f ca="1"/>
      </c>
      <c r="AY71">
        <f ca="1"/>
      </c>
      <c r="BA71" s="7">
        <f ca="1"/>
      </c>
      <c r="BB71">
        <f ca="1"/>
      </c>
      <c r="BC71">
        <f ca="1"/>
      </c>
      <c r="BD71">
        <f ca="1"/>
      </c>
      <c r="BE71">
        <f ca="1"/>
      </c>
      <c r="BG71">
        <f ca="1"/>
      </c>
      <c r="BH71">
        <f ca="1"/>
      </c>
      <c r="BI71">
        <f ca="1"/>
      </c>
      <c r="BJ71">
        <f ca="1"/>
      </c>
      <c r="BK71">
        <f ca="1"/>
      </c>
      <c r="BL71">
        <f ca="1"/>
      </c>
      <c r="BM71">
        <f ca="1"/>
      </c>
      <c r="BO71">
        <f ca="1"/>
      </c>
      <c r="BP71">
        <f ca="1"/>
      </c>
      <c r="BQ71">
        <f ca="1"/>
      </c>
      <c r="BR71">
        <f ca="1"/>
      </c>
      <c r="BS71">
        <f ca="1"/>
      </c>
      <c r="BT71">
        <f ca="1"/>
      </c>
      <c r="BU71">
        <f ca="1"/>
      </c>
    </row>
    <row r="72" spans="31:73" x14ac:dyDescent="0.55000000000000004">
      <c r="AE72" s="7">
        <f ca="1"/>
      </c>
      <c r="AF72">
        <f ca="1"/>
      </c>
      <c r="AG72">
        <f ca="1"/>
      </c>
      <c r="AH72">
        <f ca="1"/>
      </c>
      <c r="AI72">
        <f ca="1"/>
      </c>
      <c r="AJ72">
        <f ca="1"/>
      </c>
      <c r="AK72">
        <f ca="1"/>
      </c>
      <c r="AL72">
        <f ca="1"/>
      </c>
      <c r="AM72">
        <f ca="1"/>
      </c>
      <c r="AN72">
        <f ca="1"/>
      </c>
      <c r="AO72">
        <f ca="1"/>
      </c>
      <c r="AP72">
        <f ca="1"/>
      </c>
      <c r="AQ72">
        <f ca="1"/>
      </c>
      <c r="AR72">
        <f ca="1"/>
      </c>
      <c r="AT72" s="7">
        <f ca="1"/>
      </c>
      <c r="AU72">
        <f ca="1"/>
      </c>
      <c r="AV72">
        <f ca="1"/>
      </c>
      <c r="AW72">
        <f ca="1"/>
      </c>
      <c r="AX72">
        <f ca="1"/>
      </c>
      <c r="AY72">
        <f ca="1"/>
      </c>
      <c r="BA72" s="7">
        <f ca="1"/>
      </c>
      <c r="BB72">
        <f ca="1"/>
      </c>
      <c r="BC72">
        <f ca="1"/>
      </c>
      <c r="BD72">
        <f ca="1"/>
      </c>
      <c r="BE72">
        <f ca="1"/>
      </c>
      <c r="BG72">
        <f ca="1"/>
      </c>
      <c r="BH72">
        <f ca="1"/>
      </c>
      <c r="BI72">
        <f ca="1"/>
      </c>
      <c r="BJ72">
        <f ca="1"/>
      </c>
      <c r="BK72">
        <f ca="1"/>
      </c>
      <c r="BL72">
        <f ca="1"/>
      </c>
      <c r="BM72">
        <f ca="1"/>
      </c>
      <c r="BO72">
        <f ca="1"/>
      </c>
      <c r="BP72">
        <f ca="1"/>
      </c>
      <c r="BQ72">
        <f ca="1"/>
      </c>
      <c r="BR72">
        <f ca="1"/>
      </c>
      <c r="BS72">
        <f ca="1"/>
      </c>
      <c r="BT72">
        <f ca="1"/>
      </c>
      <c r="BU72">
        <f ca="1"/>
      </c>
    </row>
    <row r="73" spans="31:73" x14ac:dyDescent="0.55000000000000004">
      <c r="AE73" s="7">
        <f ca="1"/>
      </c>
      <c r="AF73">
        <f ca="1"/>
      </c>
      <c r="AG73">
        <f ca="1"/>
      </c>
      <c r="AH73">
        <f ca="1"/>
      </c>
      <c r="AI73">
        <f ca="1"/>
      </c>
      <c r="AJ73">
        <f ca="1"/>
      </c>
      <c r="AK73">
        <f ca="1"/>
      </c>
      <c r="AL73">
        <f ca="1"/>
      </c>
      <c r="AM73">
        <f ca="1"/>
      </c>
      <c r="AN73">
        <f ca="1"/>
      </c>
      <c r="AO73">
        <f ca="1"/>
      </c>
      <c r="AP73">
        <f ca="1"/>
      </c>
      <c r="AQ73">
        <f ca="1"/>
      </c>
      <c r="AR73">
        <f ca="1"/>
      </c>
      <c r="AT73" s="7">
        <f ca="1"/>
      </c>
      <c r="AU73">
        <f ca="1"/>
      </c>
      <c r="AV73">
        <f ca="1"/>
      </c>
      <c r="AW73">
        <f ca="1"/>
      </c>
      <c r="AX73">
        <f ca="1"/>
      </c>
      <c r="AY73">
        <f ca="1"/>
      </c>
      <c r="BA73" s="7">
        <f ca="1"/>
      </c>
      <c r="BB73">
        <f ca="1"/>
      </c>
      <c r="BC73">
        <f ca="1"/>
      </c>
      <c r="BD73">
        <f ca="1"/>
      </c>
      <c r="BE73">
        <f ca="1"/>
      </c>
      <c r="BG73">
        <f ca="1"/>
      </c>
      <c r="BH73">
        <f ca="1"/>
      </c>
      <c r="BI73">
        <f ca="1"/>
      </c>
      <c r="BJ73">
        <f ca="1"/>
      </c>
      <c r="BK73">
        <f ca="1"/>
      </c>
      <c r="BL73">
        <f ca="1"/>
      </c>
      <c r="BM73">
        <f ca="1"/>
      </c>
      <c r="BO73">
        <f ca="1"/>
      </c>
      <c r="BP73">
        <f ca="1"/>
      </c>
      <c r="BQ73">
        <f ca="1"/>
      </c>
      <c r="BR73">
        <f ca="1"/>
      </c>
      <c r="BS73">
        <f ca="1"/>
      </c>
      <c r="BT73">
        <f ca="1"/>
      </c>
      <c r="BU73">
        <f ca="1"/>
      </c>
    </row>
    <row r="74" spans="31:73" x14ac:dyDescent="0.55000000000000004">
      <c r="AE74" s="7">
        <f ca="1"/>
      </c>
      <c r="AF74">
        <f ca="1"/>
      </c>
      <c r="AG74">
        <f ca="1"/>
      </c>
      <c r="AH74">
        <f ca="1"/>
      </c>
      <c r="AI74">
        <f ca="1"/>
      </c>
      <c r="AJ74">
        <f ca="1"/>
      </c>
      <c r="AK74">
        <f ca="1"/>
      </c>
      <c r="AL74">
        <f ca="1"/>
      </c>
      <c r="AM74">
        <f ca="1"/>
      </c>
      <c r="AN74">
        <f ca="1"/>
      </c>
      <c r="AO74">
        <f ca="1"/>
      </c>
      <c r="AP74">
        <f ca="1"/>
      </c>
      <c r="AQ74">
        <f ca="1"/>
      </c>
      <c r="AR74">
        <f ca="1"/>
      </c>
      <c r="AT74" s="7">
        <f ca="1"/>
      </c>
      <c r="AU74">
        <f ca="1"/>
      </c>
      <c r="AV74">
        <f ca="1"/>
      </c>
      <c r="AW74">
        <f ca="1"/>
      </c>
      <c r="AX74">
        <f ca="1"/>
      </c>
      <c r="AY74">
        <f ca="1"/>
      </c>
      <c r="BA74" s="7">
        <f ca="1"/>
      </c>
      <c r="BB74">
        <f ca="1"/>
      </c>
      <c r="BC74">
        <f ca="1"/>
      </c>
      <c r="BD74">
        <f ca="1"/>
      </c>
      <c r="BE74">
        <f ca="1"/>
      </c>
      <c r="BG74">
        <f ca="1"/>
      </c>
      <c r="BH74">
        <f ca="1"/>
      </c>
      <c r="BI74">
        <f ca="1"/>
      </c>
      <c r="BJ74">
        <f ca="1"/>
      </c>
      <c r="BK74">
        <f ca="1"/>
      </c>
      <c r="BL74">
        <f ca="1"/>
      </c>
      <c r="BM74">
        <f ca="1"/>
      </c>
      <c r="BO74">
        <f ca="1"/>
      </c>
      <c r="BP74">
        <f ca="1"/>
      </c>
      <c r="BQ74">
        <f ca="1"/>
      </c>
      <c r="BR74">
        <f ca="1"/>
      </c>
      <c r="BS74">
        <f ca="1"/>
      </c>
      <c r="BT74">
        <f ca="1"/>
      </c>
      <c r="BU74">
        <f ca="1"/>
      </c>
    </row>
    <row r="75" spans="31:73" x14ac:dyDescent="0.55000000000000004">
      <c r="AE75" s="7">
        <f ca="1"/>
      </c>
      <c r="AF75">
        <f ca="1"/>
      </c>
      <c r="AG75">
        <f ca="1"/>
      </c>
      <c r="AH75">
        <f ca="1"/>
      </c>
      <c r="AI75">
        <f ca="1"/>
      </c>
      <c r="AJ75">
        <f ca="1"/>
      </c>
      <c r="AK75">
        <f ca="1"/>
      </c>
      <c r="AL75">
        <f ca="1"/>
      </c>
      <c r="AM75">
        <f ca="1"/>
      </c>
      <c r="AN75">
        <f ca="1"/>
      </c>
      <c r="AO75">
        <f ca="1"/>
      </c>
      <c r="AP75">
        <f ca="1"/>
      </c>
      <c r="AQ75">
        <f ca="1"/>
      </c>
      <c r="AR75">
        <f ca="1"/>
      </c>
      <c r="AT75" s="7">
        <f ca="1"/>
      </c>
      <c r="AU75">
        <f ca="1"/>
      </c>
      <c r="AV75">
        <f ca="1"/>
      </c>
      <c r="AW75">
        <f ca="1"/>
      </c>
      <c r="AX75">
        <f ca="1"/>
      </c>
      <c r="AY75">
        <f ca="1"/>
      </c>
      <c r="BA75" s="7">
        <f ca="1"/>
      </c>
      <c r="BB75">
        <f ca="1"/>
      </c>
      <c r="BC75">
        <f ca="1"/>
      </c>
      <c r="BD75">
        <f ca="1"/>
      </c>
      <c r="BE75">
        <f ca="1"/>
      </c>
      <c r="BG75">
        <f ca="1"/>
      </c>
      <c r="BH75">
        <f ca="1"/>
      </c>
      <c r="BI75">
        <f ca="1"/>
      </c>
      <c r="BJ75">
        <f ca="1"/>
      </c>
      <c r="BK75">
        <f ca="1"/>
      </c>
      <c r="BL75">
        <f ca="1"/>
      </c>
      <c r="BM75">
        <f ca="1"/>
      </c>
      <c r="BO75">
        <f ca="1"/>
      </c>
      <c r="BP75">
        <f ca="1"/>
      </c>
      <c r="BQ75">
        <f ca="1"/>
      </c>
      <c r="BR75">
        <f ca="1"/>
      </c>
      <c r="BS75">
        <f ca="1"/>
      </c>
      <c r="BT75">
        <f ca="1"/>
      </c>
      <c r="BU75">
        <f ca="1"/>
      </c>
    </row>
    <row r="76" spans="31:73" x14ac:dyDescent="0.55000000000000004">
      <c r="AE76" s="7">
        <f ca="1"/>
      </c>
      <c r="AF76">
        <f ca="1"/>
      </c>
      <c r="AG76">
        <f ca="1"/>
      </c>
      <c r="AH76">
        <f ca="1"/>
      </c>
      <c r="AI76">
        <f ca="1"/>
      </c>
      <c r="AJ76">
        <f ca="1"/>
      </c>
      <c r="AK76">
        <f ca="1"/>
      </c>
      <c r="AL76">
        <f ca="1"/>
      </c>
      <c r="AM76">
        <f ca="1"/>
      </c>
      <c r="AN76">
        <f ca="1"/>
      </c>
      <c r="AO76">
        <f ca="1"/>
      </c>
      <c r="AP76">
        <f ca="1"/>
      </c>
      <c r="AQ76">
        <f ca="1"/>
      </c>
      <c r="AR76">
        <f ca="1"/>
      </c>
      <c r="AT76" s="7">
        <f ca="1"/>
      </c>
      <c r="AU76">
        <f ca="1"/>
      </c>
      <c r="AV76">
        <f ca="1"/>
      </c>
      <c r="AW76">
        <f ca="1"/>
      </c>
      <c r="AX76">
        <f ca="1"/>
      </c>
      <c r="AY76">
        <f ca="1"/>
      </c>
      <c r="BA76" s="7">
        <f ca="1"/>
      </c>
      <c r="BB76">
        <f ca="1"/>
      </c>
      <c r="BC76">
        <f ca="1"/>
      </c>
      <c r="BD76">
        <f ca="1"/>
      </c>
      <c r="BE76">
        <f ca="1"/>
      </c>
      <c r="BG76">
        <f ca="1"/>
      </c>
      <c r="BH76">
        <f ca="1"/>
      </c>
      <c r="BI76">
        <f ca="1"/>
      </c>
      <c r="BJ76">
        <f ca="1"/>
      </c>
      <c r="BK76">
        <f ca="1"/>
      </c>
      <c r="BL76">
        <f ca="1"/>
      </c>
      <c r="BM76">
        <f ca="1"/>
      </c>
      <c r="BO76">
        <f ca="1"/>
      </c>
      <c r="BP76">
        <f ca="1"/>
      </c>
      <c r="BQ76">
        <f ca="1"/>
      </c>
      <c r="BR76">
        <f ca="1"/>
      </c>
      <c r="BS76">
        <f ca="1"/>
      </c>
      <c r="BT76">
        <f ca="1"/>
      </c>
      <c r="BU76">
        <f ca="1"/>
      </c>
    </row>
    <row r="77" spans="31:73" x14ac:dyDescent="0.55000000000000004">
      <c r="AE77" s="7">
        <f ca="1"/>
      </c>
      <c r="AF77">
        <f ca="1"/>
      </c>
      <c r="AG77">
        <f ca="1"/>
      </c>
      <c r="AH77">
        <f ca="1"/>
      </c>
      <c r="AI77">
        <f ca="1"/>
      </c>
      <c r="AJ77">
        <f ca="1"/>
      </c>
      <c r="AK77">
        <f ca="1"/>
      </c>
      <c r="AL77">
        <f ca="1"/>
      </c>
      <c r="AM77">
        <f ca="1"/>
      </c>
      <c r="AN77">
        <f ca="1"/>
      </c>
      <c r="AO77">
        <f ca="1"/>
      </c>
      <c r="AP77">
        <f ca="1"/>
      </c>
      <c r="AQ77">
        <f ca="1"/>
      </c>
      <c r="AR77">
        <f ca="1"/>
      </c>
      <c r="AT77" s="7">
        <f ca="1"/>
      </c>
      <c r="AU77">
        <f ca="1"/>
      </c>
      <c r="AV77">
        <f ca="1"/>
      </c>
      <c r="AW77">
        <f ca="1"/>
      </c>
      <c r="AX77">
        <f ca="1"/>
      </c>
      <c r="AY77">
        <f ca="1"/>
      </c>
      <c r="BA77" s="7">
        <f ca="1"/>
      </c>
      <c r="BB77">
        <f ca="1"/>
      </c>
      <c r="BC77">
        <f ca="1"/>
      </c>
      <c r="BD77">
        <f ca="1"/>
      </c>
      <c r="BE77">
        <f ca="1"/>
      </c>
      <c r="BG77">
        <f ca="1"/>
      </c>
      <c r="BH77">
        <f ca="1"/>
      </c>
      <c r="BI77">
        <f ca="1"/>
      </c>
      <c r="BJ77">
        <f ca="1"/>
      </c>
      <c r="BK77">
        <f ca="1"/>
      </c>
      <c r="BL77">
        <f ca="1"/>
      </c>
      <c r="BM77">
        <f ca="1"/>
      </c>
      <c r="BO77">
        <f ca="1"/>
      </c>
      <c r="BP77">
        <f ca="1"/>
      </c>
      <c r="BQ77">
        <f ca="1"/>
      </c>
      <c r="BR77">
        <f ca="1"/>
      </c>
      <c r="BS77">
        <f ca="1"/>
      </c>
      <c r="BT77">
        <f ca="1"/>
      </c>
      <c r="BU77">
        <f ca="1"/>
      </c>
    </row>
    <row r="78" spans="31:73" x14ac:dyDescent="0.55000000000000004">
      <c r="AE78" s="7">
        <f ca="1"/>
      </c>
      <c r="AF78">
        <f ca="1"/>
      </c>
      <c r="AG78">
        <f ca="1"/>
      </c>
      <c r="AH78">
        <f ca="1"/>
      </c>
      <c r="AI78">
        <f ca="1"/>
      </c>
      <c r="AJ78">
        <f ca="1"/>
      </c>
      <c r="AK78">
        <f ca="1"/>
      </c>
      <c r="AL78">
        <f ca="1"/>
      </c>
      <c r="AM78">
        <f ca="1"/>
      </c>
      <c r="AN78">
        <f ca="1"/>
      </c>
      <c r="AO78">
        <f ca="1"/>
      </c>
      <c r="AP78">
        <f ca="1"/>
      </c>
      <c r="AQ78">
        <f ca="1"/>
      </c>
      <c r="AR78">
        <f ca="1"/>
      </c>
      <c r="AT78" s="7">
        <f ca="1"/>
      </c>
      <c r="AU78">
        <f ca="1"/>
      </c>
      <c r="AV78">
        <f ca="1"/>
      </c>
      <c r="AW78">
        <f ca="1"/>
      </c>
      <c r="AX78">
        <f ca="1"/>
      </c>
      <c r="AY78">
        <f ca="1"/>
      </c>
      <c r="BA78" s="7">
        <f ca="1"/>
      </c>
      <c r="BB78">
        <f ca="1"/>
      </c>
      <c r="BC78">
        <f ca="1"/>
      </c>
      <c r="BD78">
        <f ca="1"/>
      </c>
      <c r="BE78">
        <f ca="1"/>
      </c>
      <c r="BG78">
        <f ca="1"/>
      </c>
      <c r="BH78">
        <f ca="1"/>
      </c>
      <c r="BI78">
        <f ca="1"/>
      </c>
      <c r="BJ78">
        <f ca="1"/>
      </c>
      <c r="BK78">
        <f ca="1"/>
      </c>
      <c r="BL78">
        <f ca="1"/>
      </c>
      <c r="BM78">
        <f ca="1"/>
      </c>
      <c r="BO78">
        <f ca="1"/>
      </c>
      <c r="BP78">
        <f ca="1"/>
      </c>
      <c r="BQ78">
        <f ca="1"/>
      </c>
      <c r="BR78">
        <f ca="1"/>
      </c>
      <c r="BS78">
        <f ca="1"/>
      </c>
      <c r="BT78">
        <f ca="1"/>
      </c>
      <c r="BU78">
        <f ca="1"/>
      </c>
    </row>
    <row r="79" spans="31:73" x14ac:dyDescent="0.55000000000000004">
      <c r="AE79" s="7">
        <f ca="1"/>
      </c>
      <c r="AF79">
        <f ca="1"/>
      </c>
      <c r="AG79">
        <f ca="1"/>
      </c>
      <c r="AH79">
        <f ca="1"/>
      </c>
      <c r="AI79">
        <f ca="1"/>
      </c>
      <c r="AJ79">
        <f ca="1"/>
      </c>
      <c r="AK79">
        <f ca="1"/>
      </c>
      <c r="AL79">
        <f ca="1"/>
      </c>
      <c r="AM79">
        <f ca="1"/>
      </c>
      <c r="AN79">
        <f ca="1"/>
      </c>
      <c r="AO79">
        <f ca="1"/>
      </c>
      <c r="AP79">
        <f ca="1"/>
      </c>
      <c r="AQ79">
        <f ca="1"/>
      </c>
      <c r="AR79">
        <f ca="1"/>
      </c>
      <c r="AT79" s="7">
        <f ca="1"/>
      </c>
      <c r="AU79">
        <f ca="1"/>
      </c>
      <c r="AV79">
        <f ca="1"/>
      </c>
      <c r="AW79">
        <f ca="1"/>
      </c>
      <c r="AX79">
        <f ca="1"/>
      </c>
      <c r="AY79">
        <f ca="1"/>
      </c>
      <c r="BA79" s="7">
        <f ca="1"/>
      </c>
      <c r="BB79">
        <f ca="1"/>
      </c>
      <c r="BC79">
        <f ca="1"/>
      </c>
      <c r="BD79">
        <f ca="1"/>
      </c>
      <c r="BE79">
        <f ca="1"/>
      </c>
      <c r="BG79">
        <f ca="1"/>
      </c>
      <c r="BH79">
        <f ca="1"/>
      </c>
      <c r="BI79">
        <f ca="1"/>
      </c>
      <c r="BJ79">
        <f ca="1"/>
      </c>
      <c r="BK79">
        <f ca="1"/>
      </c>
      <c r="BL79">
        <f ca="1"/>
      </c>
      <c r="BM79">
        <f ca="1"/>
      </c>
      <c r="BO79">
        <f ca="1"/>
      </c>
      <c r="BP79">
        <f ca="1"/>
      </c>
      <c r="BQ79">
        <f ca="1"/>
      </c>
      <c r="BR79">
        <f ca="1"/>
      </c>
      <c r="BS79">
        <f ca="1"/>
      </c>
      <c r="BT79">
        <f ca="1"/>
      </c>
      <c r="BU79">
        <f ca="1"/>
      </c>
    </row>
    <row r="80" spans="31:73" x14ac:dyDescent="0.55000000000000004">
      <c r="AE80" s="7">
        <f ca="1"/>
      </c>
      <c r="AF80">
        <f ca="1"/>
      </c>
      <c r="AG80">
        <f ca="1"/>
      </c>
      <c r="AH80">
        <f ca="1"/>
      </c>
      <c r="AI80">
        <f ca="1"/>
      </c>
      <c r="AJ80">
        <f ca="1"/>
      </c>
      <c r="AK80">
        <f ca="1"/>
      </c>
      <c r="AL80">
        <f ca="1"/>
      </c>
      <c r="AM80">
        <f ca="1"/>
      </c>
      <c r="AN80">
        <f ca="1"/>
      </c>
      <c r="AO80">
        <f ca="1"/>
      </c>
      <c r="AP80">
        <f ca="1"/>
      </c>
      <c r="AQ80">
        <f ca="1"/>
      </c>
      <c r="AR80">
        <f ca="1"/>
      </c>
      <c r="AT80" s="7">
        <f ca="1"/>
      </c>
      <c r="AU80">
        <f ca="1"/>
      </c>
      <c r="AV80">
        <f ca="1"/>
      </c>
      <c r="AW80">
        <f ca="1"/>
      </c>
      <c r="AX80">
        <f ca="1"/>
      </c>
      <c r="AY80">
        <f ca="1"/>
      </c>
      <c r="BA80" s="7">
        <f ca="1"/>
      </c>
      <c r="BB80">
        <f ca="1"/>
      </c>
      <c r="BC80">
        <f ca="1"/>
      </c>
      <c r="BD80">
        <f ca="1"/>
      </c>
      <c r="BE80">
        <f ca="1"/>
      </c>
      <c r="BG80">
        <f ca="1"/>
      </c>
      <c r="BH80">
        <f ca="1"/>
      </c>
      <c r="BI80">
        <f ca="1"/>
      </c>
      <c r="BJ80">
        <f ca="1"/>
      </c>
      <c r="BK80">
        <f ca="1"/>
      </c>
      <c r="BL80">
        <f ca="1"/>
      </c>
      <c r="BM80">
        <f ca="1"/>
      </c>
      <c r="BO80">
        <f ca="1"/>
      </c>
      <c r="BP80">
        <f ca="1"/>
      </c>
      <c r="BQ80">
        <f ca="1"/>
      </c>
      <c r="BR80">
        <f ca="1"/>
      </c>
      <c r="BS80">
        <f ca="1"/>
      </c>
      <c r="BT80">
        <f ca="1"/>
      </c>
      <c r="BU80">
        <f ca="1"/>
      </c>
    </row>
    <row r="81" spans="31:73" x14ac:dyDescent="0.55000000000000004">
      <c r="AE81" s="7">
        <f ca="1"/>
      </c>
      <c r="AF81">
        <f ca="1"/>
      </c>
      <c r="AG81">
        <f ca="1"/>
      </c>
      <c r="AH81">
        <f ca="1"/>
      </c>
      <c r="AI81">
        <f ca="1"/>
      </c>
      <c r="AJ81">
        <f ca="1"/>
      </c>
      <c r="AK81">
        <f ca="1"/>
      </c>
      <c r="AL81">
        <f ca="1"/>
      </c>
      <c r="AM81">
        <f ca="1"/>
      </c>
      <c r="AN81">
        <f ca="1"/>
      </c>
      <c r="AO81">
        <f ca="1"/>
      </c>
      <c r="AP81">
        <f ca="1"/>
      </c>
      <c r="AQ81">
        <f ca="1"/>
      </c>
      <c r="AR81">
        <f ca="1"/>
      </c>
      <c r="AT81" s="7">
        <f ca="1"/>
      </c>
      <c r="AU81">
        <f ca="1"/>
      </c>
      <c r="AV81">
        <f ca="1"/>
      </c>
      <c r="AW81">
        <f ca="1"/>
      </c>
      <c r="AX81">
        <f ca="1"/>
      </c>
      <c r="AY81">
        <f ca="1"/>
      </c>
      <c r="BA81" s="7">
        <f ca="1"/>
      </c>
      <c r="BB81">
        <f ca="1"/>
      </c>
      <c r="BC81">
        <f ca="1"/>
      </c>
      <c r="BD81">
        <f ca="1"/>
      </c>
      <c r="BE81">
        <f ca="1"/>
      </c>
      <c r="BG81">
        <f ca="1"/>
      </c>
      <c r="BH81">
        <f ca="1"/>
      </c>
      <c r="BI81">
        <f ca="1"/>
      </c>
      <c r="BJ81">
        <f ca="1"/>
      </c>
      <c r="BK81">
        <f ca="1"/>
      </c>
      <c r="BL81">
        <f ca="1"/>
      </c>
      <c r="BM81">
        <f ca="1"/>
      </c>
      <c r="BO81">
        <f ca="1"/>
      </c>
      <c r="BP81">
        <f ca="1"/>
      </c>
      <c r="BQ81">
        <f ca="1"/>
      </c>
      <c r="BR81">
        <f ca="1"/>
      </c>
      <c r="BS81">
        <f ca="1"/>
      </c>
      <c r="BT81">
        <f ca="1"/>
      </c>
      <c r="BU81">
        <f ca="1"/>
      </c>
    </row>
    <row r="82" spans="31:73" x14ac:dyDescent="0.55000000000000004">
      <c r="AE82" s="7">
        <f ca="1"/>
      </c>
      <c r="AF82">
        <f ca="1"/>
      </c>
      <c r="AG82">
        <f ca="1"/>
      </c>
      <c r="AH82">
        <f ca="1"/>
      </c>
      <c r="AI82">
        <f ca="1"/>
      </c>
      <c r="AJ82">
        <f ca="1"/>
      </c>
      <c r="AK82">
        <f ca="1"/>
      </c>
      <c r="AL82">
        <f ca="1"/>
      </c>
      <c r="AM82">
        <f ca="1"/>
      </c>
      <c r="AN82">
        <f ca="1"/>
      </c>
      <c r="AO82">
        <f ca="1"/>
      </c>
      <c r="AP82">
        <f ca="1"/>
      </c>
      <c r="AQ82">
        <f ca="1"/>
      </c>
      <c r="AR82">
        <f ca="1"/>
      </c>
      <c r="AT82" s="7">
        <f ca="1"/>
      </c>
      <c r="AU82">
        <f ca="1"/>
      </c>
      <c r="AV82">
        <f ca="1"/>
      </c>
      <c r="AW82">
        <f ca="1"/>
      </c>
      <c r="AX82">
        <f ca="1"/>
      </c>
      <c r="AY82">
        <f ca="1"/>
      </c>
      <c r="BA82" s="7">
        <f ca="1"/>
      </c>
      <c r="BB82">
        <f ca="1"/>
      </c>
      <c r="BC82">
        <f ca="1"/>
      </c>
      <c r="BD82">
        <f ca="1"/>
      </c>
      <c r="BE82">
        <f ca="1"/>
      </c>
      <c r="BG82">
        <f ca="1"/>
      </c>
      <c r="BH82">
        <f ca="1"/>
      </c>
      <c r="BI82">
        <f ca="1"/>
      </c>
      <c r="BJ82">
        <f ca="1"/>
      </c>
      <c r="BK82">
        <f ca="1"/>
      </c>
      <c r="BL82">
        <f ca="1"/>
      </c>
      <c r="BM82">
        <f ca="1"/>
      </c>
      <c r="BO82">
        <f ca="1"/>
      </c>
      <c r="BP82">
        <f ca="1"/>
      </c>
      <c r="BQ82">
        <f ca="1"/>
      </c>
      <c r="BR82">
        <f ca="1"/>
      </c>
      <c r="BS82">
        <f ca="1"/>
      </c>
      <c r="BT82">
        <f ca="1"/>
      </c>
      <c r="BU82">
        <f ca="1"/>
      </c>
    </row>
    <row r="83" spans="31:73" x14ac:dyDescent="0.55000000000000004">
      <c r="AE83" s="7">
        <f ca="1"/>
      </c>
      <c r="AF83">
        <f ca="1"/>
      </c>
      <c r="AG83">
        <f ca="1"/>
      </c>
      <c r="AH83">
        <f ca="1"/>
      </c>
      <c r="AI83">
        <f ca="1"/>
      </c>
      <c r="AJ83">
        <f ca="1"/>
      </c>
      <c r="AK83">
        <f ca="1"/>
      </c>
      <c r="AL83">
        <f ca="1"/>
      </c>
      <c r="AM83">
        <f ca="1"/>
      </c>
      <c r="AN83">
        <f ca="1"/>
      </c>
      <c r="AO83">
        <f ca="1"/>
      </c>
      <c r="AP83">
        <f ca="1"/>
      </c>
      <c r="AQ83">
        <f ca="1"/>
      </c>
      <c r="AR83">
        <f ca="1"/>
      </c>
      <c r="AT83" s="7">
        <f ca="1"/>
      </c>
      <c r="AU83">
        <f ca="1"/>
      </c>
      <c r="AV83">
        <f ca="1"/>
      </c>
      <c r="AW83">
        <f ca="1"/>
      </c>
      <c r="AX83">
        <f ca="1"/>
      </c>
      <c r="AY83">
        <f ca="1"/>
      </c>
      <c r="BA83" s="7">
        <f ca="1"/>
      </c>
      <c r="BB83">
        <f ca="1"/>
      </c>
      <c r="BC83">
        <f ca="1"/>
      </c>
      <c r="BD83">
        <f ca="1"/>
      </c>
      <c r="BE83">
        <f ca="1"/>
      </c>
      <c r="BG83">
        <f ca="1"/>
      </c>
      <c r="BH83">
        <f ca="1"/>
      </c>
      <c r="BI83">
        <f ca="1"/>
      </c>
      <c r="BJ83">
        <f ca="1"/>
      </c>
      <c r="BK83">
        <f ca="1"/>
      </c>
      <c r="BL83">
        <f ca="1"/>
      </c>
      <c r="BM83">
        <f ca="1"/>
      </c>
      <c r="BO83">
        <f ca="1"/>
      </c>
      <c r="BP83">
        <f ca="1"/>
      </c>
      <c r="BQ83">
        <f ca="1"/>
      </c>
      <c r="BR83">
        <f ca="1"/>
      </c>
      <c r="BS83">
        <f ca="1"/>
      </c>
      <c r="BT83">
        <f ca="1"/>
      </c>
      <c r="BU83">
        <f ca="1"/>
      </c>
    </row>
    <row r="84" spans="31:73" x14ac:dyDescent="0.55000000000000004">
      <c r="AE84" s="7">
        <f ca="1"/>
      </c>
      <c r="AF84">
        <f ca="1"/>
      </c>
      <c r="AG84">
        <f ca="1"/>
      </c>
      <c r="AH84">
        <f ca="1"/>
      </c>
      <c r="AI84">
        <f ca="1"/>
      </c>
      <c r="AJ84">
        <f ca="1"/>
      </c>
      <c r="AK84">
        <f ca="1"/>
      </c>
      <c r="AL84">
        <f ca="1"/>
      </c>
      <c r="AM84">
        <f ca="1"/>
      </c>
      <c r="AN84">
        <f ca="1"/>
      </c>
      <c r="AO84">
        <f ca="1"/>
      </c>
      <c r="AP84">
        <f ca="1"/>
      </c>
      <c r="AQ84">
        <f ca="1"/>
      </c>
      <c r="AR84">
        <f ca="1"/>
      </c>
      <c r="AT84" s="7">
        <f ca="1"/>
      </c>
      <c r="AU84">
        <f ca="1"/>
      </c>
      <c r="AV84">
        <f ca="1"/>
      </c>
      <c r="AW84">
        <f ca="1"/>
      </c>
      <c r="AX84">
        <f ca="1"/>
      </c>
      <c r="AY84">
        <f ca="1"/>
      </c>
      <c r="BA84" s="7">
        <f ca="1"/>
      </c>
      <c r="BB84">
        <f ca="1"/>
      </c>
      <c r="BC84">
        <f ca="1"/>
      </c>
      <c r="BD84">
        <f ca="1"/>
      </c>
      <c r="BE84">
        <f ca="1"/>
      </c>
      <c r="BG84">
        <f ca="1"/>
      </c>
      <c r="BH84">
        <f ca="1"/>
      </c>
      <c r="BI84">
        <f ca="1"/>
      </c>
      <c r="BJ84">
        <f ca="1"/>
      </c>
      <c r="BK84">
        <f ca="1"/>
      </c>
      <c r="BL84">
        <f ca="1"/>
      </c>
      <c r="BM84">
        <f ca="1"/>
      </c>
      <c r="BO84">
        <f ca="1"/>
      </c>
      <c r="BP84">
        <f ca="1"/>
      </c>
      <c r="BQ84">
        <f ca="1"/>
      </c>
      <c r="BR84">
        <f ca="1"/>
      </c>
      <c r="BS84">
        <f ca="1"/>
      </c>
      <c r="BT84">
        <f ca="1"/>
      </c>
      <c r="BU84">
        <f ca="1"/>
      </c>
    </row>
    <row r="85" spans="31:73" x14ac:dyDescent="0.55000000000000004">
      <c r="AE85" s="7">
        <f ca="1"/>
      </c>
      <c r="AF85">
        <f ca="1"/>
      </c>
      <c r="AG85">
        <f ca="1"/>
      </c>
      <c r="AH85">
        <f ca="1"/>
      </c>
      <c r="AI85">
        <f ca="1"/>
      </c>
      <c r="AJ85">
        <f ca="1"/>
      </c>
      <c r="AK85">
        <f ca="1"/>
      </c>
      <c r="AL85">
        <f ca="1"/>
      </c>
      <c r="AM85">
        <f ca="1"/>
      </c>
      <c r="AN85">
        <f ca="1"/>
      </c>
      <c r="AO85">
        <f ca="1"/>
      </c>
      <c r="AP85">
        <f ca="1"/>
      </c>
      <c r="AQ85">
        <f ca="1"/>
      </c>
      <c r="AR85">
        <f ca="1"/>
      </c>
      <c r="AT85" s="7">
        <f ca="1"/>
      </c>
      <c r="AU85">
        <f ca="1"/>
      </c>
      <c r="AV85">
        <f ca="1"/>
      </c>
      <c r="AW85">
        <f ca="1"/>
      </c>
      <c r="AX85">
        <f ca="1"/>
      </c>
      <c r="AY85">
        <f ca="1"/>
      </c>
      <c r="BA85" s="7">
        <f ca="1"/>
      </c>
      <c r="BB85">
        <f ca="1"/>
      </c>
      <c r="BC85">
        <f ca="1"/>
      </c>
      <c r="BD85">
        <f ca="1"/>
      </c>
      <c r="BE85">
        <f ca="1"/>
      </c>
      <c r="BG85">
        <f ca="1"/>
      </c>
      <c r="BH85">
        <f ca="1"/>
      </c>
      <c r="BI85">
        <f ca="1"/>
      </c>
      <c r="BJ85">
        <f ca="1"/>
      </c>
      <c r="BK85">
        <f ca="1"/>
      </c>
      <c r="BL85">
        <f ca="1"/>
      </c>
      <c r="BM85">
        <f ca="1"/>
      </c>
      <c r="BO85">
        <f ca="1"/>
      </c>
      <c r="BP85">
        <f ca="1"/>
      </c>
      <c r="BQ85">
        <f ca="1"/>
      </c>
      <c r="BR85">
        <f ca="1"/>
      </c>
      <c r="BS85">
        <f ca="1"/>
      </c>
      <c r="BT85">
        <f ca="1"/>
      </c>
      <c r="BU85">
        <f ca="1"/>
      </c>
    </row>
    <row r="86" spans="31:73" x14ac:dyDescent="0.55000000000000004">
      <c r="AE86" s="7">
        <f ca="1"/>
      </c>
      <c r="AF86">
        <f ca="1"/>
      </c>
      <c r="AG86">
        <f ca="1"/>
      </c>
      <c r="AH86">
        <f ca="1"/>
      </c>
      <c r="AI86">
        <f ca="1"/>
      </c>
      <c r="AJ86">
        <f ca="1"/>
      </c>
      <c r="AK86">
        <f ca="1"/>
      </c>
      <c r="AL86">
        <f ca="1"/>
      </c>
      <c r="AM86">
        <f ca="1"/>
      </c>
      <c r="AN86">
        <f ca="1"/>
      </c>
      <c r="AO86">
        <f ca="1"/>
      </c>
      <c r="AP86">
        <f ca="1"/>
      </c>
      <c r="AQ86">
        <f ca="1"/>
      </c>
      <c r="AR86">
        <f ca="1"/>
      </c>
      <c r="AT86" s="7">
        <f ca="1"/>
      </c>
      <c r="AU86">
        <f ca="1"/>
      </c>
      <c r="AV86">
        <f ca="1"/>
      </c>
      <c r="AW86">
        <f ca="1"/>
      </c>
      <c r="AX86">
        <f ca="1"/>
      </c>
      <c r="AY86">
        <f ca="1"/>
      </c>
      <c r="BA86" s="7">
        <f ca="1"/>
      </c>
      <c r="BB86">
        <f ca="1"/>
      </c>
      <c r="BC86">
        <f ca="1"/>
      </c>
      <c r="BD86">
        <f ca="1"/>
      </c>
      <c r="BE86">
        <f ca="1"/>
      </c>
      <c r="BG86">
        <f ca="1"/>
      </c>
      <c r="BH86">
        <f ca="1"/>
      </c>
      <c r="BI86">
        <f ca="1"/>
      </c>
      <c r="BJ86">
        <f ca="1"/>
      </c>
      <c r="BK86">
        <f ca="1"/>
      </c>
      <c r="BL86">
        <f ca="1"/>
      </c>
      <c r="BM86">
        <f ca="1"/>
      </c>
      <c r="BO86">
        <f ca="1"/>
      </c>
      <c r="BP86">
        <f ca="1"/>
      </c>
      <c r="BQ86">
        <f ca="1"/>
      </c>
      <c r="BR86">
        <f ca="1"/>
      </c>
      <c r="BS86">
        <f ca="1"/>
      </c>
      <c r="BT86">
        <f ca="1"/>
      </c>
      <c r="BU86">
        <f ca="1"/>
      </c>
    </row>
    <row r="87" spans="31:73" x14ac:dyDescent="0.55000000000000004">
      <c r="AE87" s="7">
        <f ca="1"/>
      </c>
      <c r="AF87">
        <f ca="1"/>
      </c>
      <c r="AG87">
        <f ca="1"/>
      </c>
      <c r="AH87">
        <f ca="1"/>
      </c>
      <c r="AI87">
        <f ca="1"/>
      </c>
      <c r="AJ87">
        <f ca="1"/>
      </c>
      <c r="AK87">
        <f ca="1"/>
      </c>
      <c r="AL87">
        <f ca="1"/>
      </c>
      <c r="AM87">
        <f ca="1"/>
      </c>
      <c r="AN87">
        <f ca="1"/>
      </c>
      <c r="AO87">
        <f ca="1"/>
      </c>
      <c r="AP87">
        <f ca="1"/>
      </c>
      <c r="AQ87">
        <f ca="1"/>
      </c>
      <c r="AR87">
        <f ca="1"/>
      </c>
      <c r="AT87" s="7">
        <f ca="1"/>
      </c>
      <c r="AU87">
        <f ca="1"/>
      </c>
      <c r="AV87">
        <f ca="1"/>
      </c>
      <c r="AW87">
        <f ca="1"/>
      </c>
      <c r="AX87">
        <f ca="1"/>
      </c>
      <c r="AY87">
        <f ca="1"/>
      </c>
      <c r="BA87" s="7">
        <f ca="1"/>
      </c>
      <c r="BB87">
        <f ca="1"/>
      </c>
      <c r="BC87">
        <f ca="1"/>
      </c>
      <c r="BD87">
        <f ca="1"/>
      </c>
      <c r="BE87">
        <f ca="1"/>
      </c>
      <c r="BG87">
        <f ca="1"/>
      </c>
      <c r="BH87">
        <f ca="1"/>
      </c>
      <c r="BI87">
        <f ca="1"/>
      </c>
      <c r="BJ87">
        <f ca="1"/>
      </c>
      <c r="BK87">
        <f ca="1"/>
      </c>
      <c r="BL87">
        <f ca="1"/>
      </c>
      <c r="BM87">
        <f ca="1"/>
      </c>
      <c r="BO87">
        <f ca="1"/>
      </c>
      <c r="BP87">
        <f ca="1"/>
      </c>
      <c r="BQ87">
        <f ca="1"/>
      </c>
      <c r="BR87">
        <f ca="1"/>
      </c>
      <c r="BS87">
        <f ca="1"/>
      </c>
      <c r="BT87">
        <f ca="1"/>
      </c>
      <c r="BU87">
        <f ca="1"/>
      </c>
    </row>
    <row r="88" spans="31:73" x14ac:dyDescent="0.55000000000000004">
      <c r="AE88" s="7">
        <f ca="1"/>
      </c>
      <c r="AF88">
        <f ca="1"/>
      </c>
      <c r="AG88">
        <f ca="1"/>
      </c>
      <c r="AH88">
        <f ca="1"/>
      </c>
      <c r="AI88">
        <f ca="1"/>
      </c>
      <c r="AJ88">
        <f ca="1"/>
      </c>
      <c r="AK88">
        <f ca="1"/>
      </c>
      <c r="AL88">
        <f ca="1"/>
      </c>
      <c r="AM88">
        <f ca="1"/>
      </c>
      <c r="AN88">
        <f ca="1"/>
      </c>
      <c r="AO88">
        <f ca="1"/>
      </c>
      <c r="AP88">
        <f ca="1"/>
      </c>
      <c r="AQ88">
        <f ca="1"/>
      </c>
      <c r="AR88">
        <f ca="1"/>
      </c>
      <c r="AT88" s="7">
        <f ca="1"/>
      </c>
      <c r="AU88">
        <f ca="1"/>
      </c>
      <c r="AV88">
        <f ca="1"/>
      </c>
      <c r="AW88">
        <f ca="1"/>
      </c>
      <c r="AX88">
        <f ca="1"/>
      </c>
      <c r="AY88">
        <f ca="1"/>
      </c>
      <c r="BA88" s="7">
        <f ca="1"/>
      </c>
      <c r="BB88">
        <f ca="1"/>
      </c>
      <c r="BC88">
        <f ca="1"/>
      </c>
      <c r="BD88">
        <f ca="1"/>
      </c>
      <c r="BE88">
        <f ca="1"/>
      </c>
      <c r="BG88">
        <f ca="1"/>
      </c>
      <c r="BH88">
        <f ca="1"/>
      </c>
      <c r="BI88">
        <f ca="1"/>
      </c>
      <c r="BJ88">
        <f ca="1"/>
      </c>
      <c r="BK88">
        <f ca="1"/>
      </c>
      <c r="BL88">
        <f ca="1"/>
      </c>
      <c r="BM88">
        <f ca="1"/>
      </c>
      <c r="BO88">
        <f ca="1"/>
      </c>
      <c r="BP88">
        <f ca="1"/>
      </c>
      <c r="BQ88">
        <f ca="1"/>
      </c>
      <c r="BR88">
        <f ca="1"/>
      </c>
      <c r="BS88">
        <f ca="1"/>
      </c>
      <c r="BT88">
        <f ca="1"/>
      </c>
      <c r="BU88">
        <f ca="1"/>
      </c>
    </row>
    <row r="89" spans="31:73" x14ac:dyDescent="0.55000000000000004">
      <c r="AE89" s="7">
        <f ca="1"/>
      </c>
      <c r="AF89">
        <f ca="1"/>
      </c>
      <c r="AG89">
        <f ca="1"/>
      </c>
      <c r="AH89">
        <f ca="1"/>
      </c>
      <c r="AI89">
        <f ca="1"/>
      </c>
      <c r="AJ89">
        <f ca="1"/>
      </c>
      <c r="AK89">
        <f ca="1"/>
      </c>
      <c r="AL89">
        <f ca="1"/>
      </c>
      <c r="AM89">
        <f ca="1"/>
      </c>
      <c r="AN89">
        <f ca="1"/>
      </c>
      <c r="AO89">
        <f ca="1"/>
      </c>
      <c r="AP89">
        <f ca="1"/>
      </c>
      <c r="AQ89">
        <f ca="1"/>
      </c>
      <c r="AR89">
        <f ca="1"/>
      </c>
      <c r="AT89" s="7">
        <f ca="1"/>
      </c>
      <c r="AU89">
        <f ca="1"/>
      </c>
      <c r="AV89">
        <f ca="1"/>
      </c>
      <c r="AW89">
        <f ca="1"/>
      </c>
      <c r="AX89">
        <f ca="1"/>
      </c>
      <c r="AY89">
        <f ca="1"/>
      </c>
      <c r="BA89" s="7">
        <f ca="1"/>
      </c>
      <c r="BB89">
        <f ca="1"/>
      </c>
      <c r="BC89">
        <f ca="1"/>
      </c>
      <c r="BD89">
        <f ca="1"/>
      </c>
      <c r="BE89">
        <f ca="1"/>
      </c>
      <c r="BG89">
        <f ca="1"/>
      </c>
      <c r="BH89">
        <f ca="1"/>
      </c>
      <c r="BI89">
        <f ca="1"/>
      </c>
      <c r="BJ89">
        <f ca="1"/>
      </c>
      <c r="BK89">
        <f ca="1"/>
      </c>
      <c r="BL89">
        <f ca="1"/>
      </c>
      <c r="BM89">
        <f ca="1"/>
      </c>
      <c r="BO89">
        <f ca="1"/>
      </c>
      <c r="BP89">
        <f ca="1"/>
      </c>
      <c r="BQ89">
        <f ca="1"/>
      </c>
      <c r="BR89">
        <f ca="1"/>
      </c>
      <c r="BS89">
        <f ca="1"/>
      </c>
      <c r="BT89">
        <f ca="1"/>
      </c>
      <c r="BU89">
        <f ca="1"/>
      </c>
    </row>
    <row r="90" spans="31:73" x14ac:dyDescent="0.55000000000000004">
      <c r="AE90" s="7">
        <f ca="1"/>
      </c>
      <c r="AF90">
        <f ca="1"/>
      </c>
      <c r="AG90">
        <f ca="1"/>
      </c>
      <c r="AH90">
        <f ca="1"/>
      </c>
      <c r="AI90">
        <f ca="1"/>
      </c>
      <c r="AJ90">
        <f ca="1"/>
      </c>
      <c r="AK90">
        <f ca="1"/>
      </c>
      <c r="AL90">
        <f ca="1"/>
      </c>
      <c r="AM90">
        <f ca="1"/>
      </c>
      <c r="AN90">
        <f ca="1"/>
      </c>
      <c r="AO90">
        <f ca="1"/>
      </c>
      <c r="AP90">
        <f ca="1"/>
      </c>
      <c r="AQ90">
        <f ca="1"/>
      </c>
      <c r="AR90">
        <f ca="1"/>
      </c>
      <c r="AT90" s="7">
        <f ca="1"/>
      </c>
      <c r="AU90">
        <f ca="1"/>
      </c>
      <c r="AV90">
        <f ca="1"/>
      </c>
      <c r="AW90">
        <f ca="1"/>
      </c>
      <c r="AX90">
        <f ca="1"/>
      </c>
      <c r="AY90">
        <f ca="1"/>
      </c>
      <c r="BA90" s="7">
        <f ca="1"/>
      </c>
      <c r="BB90">
        <f ca="1"/>
      </c>
      <c r="BC90">
        <f ca="1"/>
      </c>
      <c r="BD90">
        <f ca="1"/>
      </c>
      <c r="BE90">
        <f ca="1"/>
      </c>
      <c r="BG90">
        <f ca="1"/>
      </c>
      <c r="BH90">
        <f ca="1"/>
      </c>
      <c r="BI90">
        <f ca="1"/>
      </c>
      <c r="BJ90">
        <f ca="1"/>
      </c>
      <c r="BK90">
        <f ca="1"/>
      </c>
      <c r="BL90">
        <f ca="1"/>
      </c>
      <c r="BM90">
        <f ca="1"/>
      </c>
      <c r="BO90">
        <f ca="1"/>
      </c>
      <c r="BP90">
        <f ca="1"/>
      </c>
      <c r="BQ90">
        <f ca="1"/>
      </c>
      <c r="BR90">
        <f ca="1"/>
      </c>
      <c r="BS90">
        <f ca="1"/>
      </c>
      <c r="BT90">
        <f ca="1"/>
      </c>
      <c r="BU90">
        <f ca="1"/>
      </c>
    </row>
    <row r="91" spans="31:73" x14ac:dyDescent="0.55000000000000004">
      <c r="AE91" s="7">
        <f ca="1"/>
      </c>
      <c r="AF91">
        <f ca="1"/>
      </c>
      <c r="AG91">
        <f ca="1"/>
      </c>
      <c r="AH91">
        <f ca="1"/>
      </c>
      <c r="AI91">
        <f ca="1"/>
      </c>
      <c r="AJ91">
        <f ca="1"/>
      </c>
      <c r="AK91">
        <f ca="1"/>
      </c>
      <c r="AL91">
        <f ca="1"/>
      </c>
      <c r="AM91">
        <f ca="1"/>
      </c>
      <c r="AN91">
        <f ca="1"/>
      </c>
      <c r="AO91">
        <f ca="1"/>
      </c>
      <c r="AP91">
        <f ca="1"/>
      </c>
      <c r="AQ91">
        <f ca="1"/>
      </c>
      <c r="AR91">
        <f ca="1"/>
      </c>
      <c r="AT91" s="7">
        <f ca="1"/>
      </c>
      <c r="AU91">
        <f ca="1"/>
      </c>
      <c r="AV91">
        <f ca="1"/>
      </c>
      <c r="AW91">
        <f ca="1"/>
      </c>
      <c r="AX91">
        <f ca="1"/>
      </c>
      <c r="AY91">
        <f ca="1"/>
      </c>
      <c r="BA91" s="7">
        <f ca="1"/>
      </c>
      <c r="BB91">
        <f ca="1"/>
      </c>
      <c r="BC91">
        <f ca="1"/>
      </c>
      <c r="BD91">
        <f ca="1"/>
      </c>
      <c r="BE91">
        <f ca="1"/>
      </c>
      <c r="BG91">
        <f ca="1"/>
      </c>
      <c r="BH91">
        <f ca="1"/>
      </c>
      <c r="BI91">
        <f ca="1"/>
      </c>
      <c r="BJ91">
        <f ca="1"/>
      </c>
      <c r="BK91">
        <f ca="1"/>
      </c>
      <c r="BL91">
        <f ca="1"/>
      </c>
      <c r="BM91">
        <f ca="1"/>
      </c>
      <c r="BO91">
        <f ca="1"/>
      </c>
      <c r="BP91">
        <f ca="1"/>
      </c>
      <c r="BQ91">
        <f ca="1"/>
      </c>
      <c r="BR91">
        <f ca="1"/>
      </c>
      <c r="BS91">
        <f ca="1"/>
      </c>
      <c r="BT91">
        <f ca="1"/>
      </c>
      <c r="BU91">
        <f ca="1"/>
      </c>
    </row>
    <row r="92" spans="31:73" x14ac:dyDescent="0.55000000000000004">
      <c r="AE92" s="7">
        <f ca="1"/>
      </c>
      <c r="AF92">
        <f ca="1"/>
      </c>
      <c r="AG92">
        <f ca="1"/>
      </c>
      <c r="AH92">
        <f ca="1"/>
      </c>
      <c r="AI92">
        <f ca="1"/>
      </c>
      <c r="AJ92">
        <f ca="1"/>
      </c>
      <c r="AK92">
        <f ca="1"/>
      </c>
      <c r="AL92">
        <f ca="1"/>
      </c>
      <c r="AM92">
        <f ca="1"/>
      </c>
      <c r="AN92">
        <f ca="1"/>
      </c>
      <c r="AO92">
        <f ca="1"/>
      </c>
      <c r="AP92">
        <f ca="1"/>
      </c>
      <c r="AQ92">
        <f ca="1"/>
      </c>
      <c r="AR92">
        <f ca="1"/>
      </c>
      <c r="AT92" s="7">
        <f ca="1"/>
      </c>
      <c r="AU92">
        <f ca="1"/>
      </c>
      <c r="AV92">
        <f ca="1"/>
      </c>
      <c r="AW92">
        <f ca="1"/>
      </c>
      <c r="AX92">
        <f ca="1"/>
      </c>
      <c r="AY92">
        <f ca="1"/>
      </c>
      <c r="BA92" s="7">
        <f ca="1"/>
      </c>
      <c r="BB92">
        <f ca="1"/>
      </c>
      <c r="BC92">
        <f ca="1"/>
      </c>
      <c r="BD92">
        <f ca="1"/>
      </c>
      <c r="BE92">
        <f ca="1"/>
      </c>
      <c r="BG92">
        <f ca="1"/>
      </c>
      <c r="BH92">
        <f ca="1"/>
      </c>
      <c r="BI92">
        <f ca="1"/>
      </c>
      <c r="BJ92">
        <f ca="1"/>
      </c>
      <c r="BK92">
        <f ca="1"/>
      </c>
      <c r="BL92">
        <f ca="1"/>
      </c>
      <c r="BM92">
        <f ca="1"/>
      </c>
      <c r="BO92">
        <f ca="1"/>
      </c>
      <c r="BP92">
        <f ca="1"/>
      </c>
      <c r="BQ92">
        <f ca="1"/>
      </c>
      <c r="BR92">
        <f ca="1"/>
      </c>
      <c r="BS92">
        <f ca="1"/>
      </c>
      <c r="BT92">
        <f ca="1"/>
      </c>
      <c r="BU92">
        <f ca="1"/>
      </c>
    </row>
    <row r="93" spans="31:73" x14ac:dyDescent="0.55000000000000004">
      <c r="AE93" s="7">
        <f ca="1"/>
      </c>
      <c r="AF93">
        <f ca="1"/>
      </c>
      <c r="AG93">
        <f ca="1"/>
      </c>
      <c r="AH93">
        <f ca="1"/>
      </c>
      <c r="AI93">
        <f ca="1"/>
      </c>
      <c r="AJ93">
        <f ca="1"/>
      </c>
      <c r="AK93">
        <f ca="1"/>
      </c>
      <c r="AL93">
        <f ca="1"/>
      </c>
      <c r="AM93">
        <f ca="1"/>
      </c>
      <c r="AN93">
        <f ca="1"/>
      </c>
      <c r="AO93">
        <f ca="1"/>
      </c>
      <c r="AP93">
        <f ca="1"/>
      </c>
      <c r="AQ93">
        <f ca="1"/>
      </c>
      <c r="AR93">
        <f ca="1"/>
      </c>
      <c r="AT93" s="7">
        <f ca="1"/>
      </c>
      <c r="AU93">
        <f ca="1"/>
      </c>
      <c r="AV93">
        <f ca="1"/>
      </c>
      <c r="AW93">
        <f ca="1"/>
      </c>
      <c r="AX93">
        <f ca="1"/>
      </c>
      <c r="AY93">
        <f ca="1"/>
      </c>
      <c r="BA93" s="7">
        <f ca="1"/>
      </c>
      <c r="BB93">
        <f ca="1"/>
      </c>
      <c r="BC93">
        <f ca="1"/>
      </c>
      <c r="BD93">
        <f ca="1"/>
      </c>
      <c r="BE93">
        <f ca="1"/>
      </c>
      <c r="BG93">
        <f ca="1"/>
      </c>
      <c r="BH93">
        <f ca="1"/>
      </c>
      <c r="BI93">
        <f ca="1"/>
      </c>
      <c r="BJ93">
        <f ca="1"/>
      </c>
      <c r="BK93">
        <f ca="1"/>
      </c>
      <c r="BL93">
        <f ca="1"/>
      </c>
      <c r="BM93">
        <f ca="1"/>
      </c>
      <c r="BO93">
        <f ca="1"/>
      </c>
      <c r="BP93">
        <f ca="1"/>
      </c>
      <c r="BQ93">
        <f ca="1"/>
      </c>
      <c r="BR93">
        <f ca="1"/>
      </c>
      <c r="BS93">
        <f ca="1"/>
      </c>
      <c r="BT93">
        <f ca="1"/>
      </c>
      <c r="BU93">
        <f ca="1"/>
      </c>
    </row>
    <row r="94" spans="31:73" x14ac:dyDescent="0.55000000000000004">
      <c r="AE94" s="7">
        <f ca="1"/>
      </c>
      <c r="AF94">
        <f ca="1"/>
      </c>
      <c r="AG94">
        <f ca="1"/>
      </c>
      <c r="AH94">
        <f ca="1"/>
      </c>
      <c r="AI94">
        <f ca="1"/>
      </c>
      <c r="AJ94">
        <f ca="1"/>
      </c>
      <c r="AK94">
        <f ca="1"/>
      </c>
      <c r="AL94">
        <f ca="1"/>
      </c>
      <c r="AM94">
        <f ca="1"/>
      </c>
      <c r="AN94">
        <f ca="1"/>
      </c>
      <c r="AO94">
        <f ca="1"/>
      </c>
      <c r="AP94">
        <f ca="1"/>
      </c>
      <c r="AQ94">
        <f ca="1"/>
      </c>
      <c r="AR94">
        <f ca="1"/>
      </c>
      <c r="AT94" s="7">
        <f ca="1"/>
      </c>
      <c r="AU94">
        <f ca="1"/>
      </c>
      <c r="AV94">
        <f ca="1"/>
      </c>
      <c r="AW94">
        <f ca="1"/>
      </c>
      <c r="AX94">
        <f ca="1"/>
      </c>
      <c r="AY94">
        <f ca="1"/>
      </c>
      <c r="BA94" s="7">
        <f ca="1"/>
      </c>
      <c r="BB94">
        <f ca="1"/>
      </c>
      <c r="BC94">
        <f ca="1"/>
      </c>
      <c r="BD94">
        <f ca="1"/>
      </c>
      <c r="BE94">
        <f ca="1"/>
      </c>
      <c r="BG94">
        <f ca="1"/>
      </c>
      <c r="BH94">
        <f ca="1"/>
      </c>
      <c r="BI94">
        <f ca="1"/>
      </c>
      <c r="BJ94">
        <f ca="1"/>
      </c>
      <c r="BK94">
        <f ca="1"/>
      </c>
      <c r="BL94">
        <f ca="1"/>
      </c>
      <c r="BM94">
        <f ca="1"/>
      </c>
      <c r="BO94">
        <f ca="1"/>
      </c>
      <c r="BP94">
        <f ca="1"/>
      </c>
      <c r="BQ94">
        <f ca="1"/>
      </c>
      <c r="BR94">
        <f ca="1"/>
      </c>
      <c r="BS94">
        <f ca="1"/>
      </c>
      <c r="BT94">
        <f ca="1"/>
      </c>
      <c r="BU94">
        <f ca="1"/>
      </c>
    </row>
    <row r="95" spans="31:73" x14ac:dyDescent="0.55000000000000004">
      <c r="AE95" s="7">
        <f ca="1"/>
      </c>
      <c r="AF95">
        <f ca="1"/>
      </c>
      <c r="AG95">
        <f ca="1"/>
      </c>
      <c r="AH95">
        <f ca="1"/>
      </c>
      <c r="AI95">
        <f ca="1"/>
      </c>
      <c r="AJ95">
        <f ca="1"/>
      </c>
      <c r="AK95">
        <f ca="1"/>
      </c>
      <c r="AL95">
        <f ca="1"/>
      </c>
      <c r="AM95">
        <f ca="1"/>
      </c>
      <c r="AN95">
        <f ca="1"/>
      </c>
      <c r="AO95">
        <f ca="1"/>
      </c>
      <c r="AP95">
        <f ca="1"/>
      </c>
      <c r="AQ95">
        <f ca="1"/>
      </c>
      <c r="AR95">
        <f ca="1"/>
      </c>
      <c r="AT95" s="7">
        <f ca="1"/>
      </c>
      <c r="AU95">
        <f ca="1"/>
      </c>
      <c r="AV95">
        <f ca="1"/>
      </c>
      <c r="AW95">
        <f ca="1"/>
      </c>
      <c r="AX95">
        <f ca="1"/>
      </c>
      <c r="AY95">
        <f ca="1"/>
      </c>
      <c r="BA95" s="7">
        <f ca="1"/>
      </c>
      <c r="BB95">
        <f ca="1"/>
      </c>
      <c r="BC95">
        <f ca="1"/>
      </c>
      <c r="BD95">
        <f ca="1"/>
      </c>
      <c r="BE95">
        <f ca="1"/>
      </c>
      <c r="BG95">
        <f ca="1"/>
      </c>
      <c r="BH95">
        <f ca="1"/>
      </c>
      <c r="BI95">
        <f ca="1"/>
      </c>
      <c r="BJ95">
        <f ca="1"/>
      </c>
      <c r="BK95">
        <f ca="1"/>
      </c>
      <c r="BL95">
        <f ca="1"/>
      </c>
      <c r="BM95">
        <f ca="1"/>
      </c>
      <c r="BO95">
        <f ca="1"/>
      </c>
      <c r="BP95">
        <f ca="1"/>
      </c>
      <c r="BQ95">
        <f ca="1"/>
      </c>
      <c r="BR95">
        <f ca="1"/>
      </c>
      <c r="BS95">
        <f ca="1"/>
      </c>
      <c r="BT95">
        <f ca="1"/>
      </c>
      <c r="BU95">
        <f ca="1"/>
      </c>
    </row>
    <row r="96" spans="31:73" x14ac:dyDescent="0.55000000000000004">
      <c r="AE96" s="7">
        <f ca="1"/>
      </c>
      <c r="AF96">
        <f ca="1"/>
      </c>
      <c r="AG96">
        <f ca="1"/>
      </c>
      <c r="AH96">
        <f ca="1"/>
      </c>
      <c r="AI96">
        <f ca="1"/>
      </c>
      <c r="AJ96">
        <f ca="1"/>
      </c>
      <c r="AK96">
        <f ca="1"/>
      </c>
      <c r="AL96">
        <f ca="1"/>
      </c>
      <c r="AM96">
        <f ca="1"/>
      </c>
      <c r="AN96">
        <f ca="1"/>
      </c>
      <c r="AO96">
        <f ca="1"/>
      </c>
      <c r="AP96">
        <f ca="1"/>
      </c>
      <c r="AQ96">
        <f ca="1"/>
      </c>
      <c r="AR96">
        <f ca="1"/>
      </c>
      <c r="AT96" s="7">
        <f ca="1"/>
      </c>
      <c r="AU96">
        <f ca="1"/>
      </c>
      <c r="AV96">
        <f ca="1"/>
      </c>
      <c r="AW96">
        <f ca="1"/>
      </c>
      <c r="AX96">
        <f ca="1"/>
      </c>
      <c r="AY96">
        <f ca="1"/>
      </c>
      <c r="BA96" s="7">
        <f ca="1"/>
      </c>
      <c r="BB96">
        <f ca="1"/>
      </c>
      <c r="BC96">
        <f ca="1"/>
      </c>
      <c r="BD96">
        <f ca="1"/>
      </c>
      <c r="BE96">
        <f ca="1"/>
      </c>
      <c r="BG96">
        <f ca="1"/>
      </c>
      <c r="BH96">
        <f ca="1"/>
      </c>
      <c r="BI96">
        <f ca="1"/>
      </c>
      <c r="BJ96">
        <f ca="1"/>
      </c>
      <c r="BK96">
        <f ca="1"/>
      </c>
      <c r="BL96">
        <f ca="1"/>
      </c>
      <c r="BM96">
        <f ca="1"/>
      </c>
      <c r="BO96">
        <f ca="1"/>
      </c>
      <c r="BP96">
        <f ca="1"/>
      </c>
      <c r="BQ96">
        <f ca="1"/>
      </c>
      <c r="BR96">
        <f ca="1"/>
      </c>
      <c r="BS96">
        <f ca="1"/>
      </c>
      <c r="BT96">
        <f ca="1"/>
      </c>
      <c r="BU96">
        <f ca="1"/>
      </c>
    </row>
    <row r="97" spans="31:73" x14ac:dyDescent="0.55000000000000004">
      <c r="AE97" s="7">
        <f ca="1"/>
      </c>
      <c r="AF97">
        <f ca="1"/>
      </c>
      <c r="AG97">
        <f ca="1"/>
      </c>
      <c r="AH97">
        <f ca="1"/>
      </c>
      <c r="AI97">
        <f ca="1"/>
      </c>
      <c r="AJ97">
        <f ca="1"/>
      </c>
      <c r="AK97">
        <f ca="1"/>
      </c>
      <c r="AL97">
        <f ca="1"/>
      </c>
      <c r="AM97">
        <f ca="1"/>
      </c>
      <c r="AN97">
        <f ca="1"/>
      </c>
      <c r="AO97">
        <f ca="1"/>
      </c>
      <c r="AP97">
        <f ca="1"/>
      </c>
      <c r="AQ97">
        <f ca="1"/>
      </c>
      <c r="AR97">
        <f ca="1"/>
      </c>
      <c r="AT97" s="7">
        <f ca="1"/>
      </c>
      <c r="AU97">
        <f ca="1"/>
      </c>
      <c r="AV97">
        <f ca="1"/>
      </c>
      <c r="AW97">
        <f ca="1"/>
      </c>
      <c r="AX97">
        <f ca="1"/>
      </c>
      <c r="AY97">
        <f ca="1"/>
      </c>
      <c r="BA97" s="7">
        <f ca="1"/>
      </c>
      <c r="BB97">
        <f ca="1"/>
      </c>
      <c r="BC97">
        <f ca="1"/>
      </c>
      <c r="BD97">
        <f ca="1"/>
      </c>
      <c r="BE97">
        <f ca="1"/>
      </c>
      <c r="BG97">
        <f ca="1"/>
      </c>
      <c r="BH97">
        <f ca="1"/>
      </c>
      <c r="BI97">
        <f ca="1"/>
      </c>
      <c r="BJ97">
        <f ca="1"/>
      </c>
      <c r="BK97">
        <f ca="1"/>
      </c>
      <c r="BL97">
        <f ca="1"/>
      </c>
      <c r="BM97">
        <f ca="1"/>
      </c>
      <c r="BO97">
        <f ca="1"/>
      </c>
      <c r="BP97">
        <f ca="1"/>
      </c>
      <c r="BQ97">
        <f ca="1"/>
      </c>
      <c r="BR97">
        <f ca="1"/>
      </c>
      <c r="BS97">
        <f ca="1"/>
      </c>
      <c r="BT97">
        <f ca="1"/>
      </c>
      <c r="BU97">
        <f ca="1"/>
      </c>
    </row>
    <row r="98" spans="31:73" x14ac:dyDescent="0.55000000000000004">
      <c r="AE98" s="7">
        <f ca="1"/>
      </c>
      <c r="AF98">
        <f ca="1"/>
      </c>
      <c r="AG98">
        <f ca="1"/>
      </c>
      <c r="AH98">
        <f ca="1"/>
      </c>
      <c r="AI98">
        <f ca="1"/>
      </c>
      <c r="AJ98">
        <f ca="1"/>
      </c>
      <c r="AK98">
        <f ca="1"/>
      </c>
      <c r="AL98">
        <f ca="1"/>
      </c>
      <c r="AM98">
        <f ca="1"/>
      </c>
      <c r="AN98">
        <f ca="1"/>
      </c>
      <c r="AO98">
        <f ca="1"/>
      </c>
      <c r="AP98">
        <f ca="1"/>
      </c>
      <c r="AQ98">
        <f ca="1"/>
      </c>
      <c r="AR98">
        <f ca="1"/>
      </c>
      <c r="AT98" s="7">
        <f ca="1"/>
      </c>
      <c r="AU98">
        <f ca="1"/>
      </c>
      <c r="AV98">
        <f ca="1"/>
      </c>
      <c r="AW98">
        <f ca="1"/>
      </c>
      <c r="AX98">
        <f ca="1"/>
      </c>
      <c r="AY98">
        <f ca="1"/>
      </c>
      <c r="BA98" s="7">
        <f ca="1"/>
      </c>
      <c r="BB98">
        <f ca="1"/>
      </c>
      <c r="BC98">
        <f ca="1"/>
      </c>
      <c r="BD98">
        <f ca="1"/>
      </c>
      <c r="BE98">
        <f ca="1"/>
      </c>
      <c r="BG98">
        <f ca="1"/>
      </c>
      <c r="BH98">
        <f ca="1"/>
      </c>
      <c r="BI98">
        <f ca="1"/>
      </c>
      <c r="BJ98">
        <f ca="1"/>
      </c>
      <c r="BK98">
        <f ca="1"/>
      </c>
      <c r="BL98">
        <f ca="1"/>
      </c>
      <c r="BM98">
        <f ca="1"/>
      </c>
      <c r="BO98">
        <f ca="1"/>
      </c>
      <c r="BP98">
        <f ca="1"/>
      </c>
      <c r="BQ98">
        <f ca="1"/>
      </c>
      <c r="BR98">
        <f ca="1"/>
      </c>
      <c r="BS98">
        <f ca="1"/>
      </c>
      <c r="BT98">
        <f ca="1"/>
      </c>
      <c r="BU98">
        <f ca="1"/>
      </c>
    </row>
    <row r="99" spans="31:73" x14ac:dyDescent="0.55000000000000004">
      <c r="AE99" s="7">
        <f ca="1"/>
      </c>
      <c r="AF99">
        <f ca="1"/>
      </c>
      <c r="AG99">
        <f ca="1"/>
      </c>
      <c r="AH99">
        <f ca="1"/>
      </c>
      <c r="AI99">
        <f ca="1"/>
      </c>
      <c r="AJ99">
        <f ca="1"/>
      </c>
      <c r="AK99">
        <f ca="1"/>
      </c>
      <c r="AL99">
        <f ca="1"/>
      </c>
      <c r="AM99">
        <f ca="1"/>
      </c>
      <c r="AN99">
        <f ca="1"/>
      </c>
      <c r="AO99">
        <f ca="1"/>
      </c>
      <c r="AP99">
        <f ca="1"/>
      </c>
      <c r="AQ99">
        <f ca="1"/>
      </c>
      <c r="AR99">
        <f ca="1"/>
      </c>
      <c r="AT99" s="7">
        <f ca="1"/>
      </c>
      <c r="AU99">
        <f ca="1"/>
      </c>
      <c r="AV99">
        <f ca="1"/>
      </c>
      <c r="AW99">
        <f ca="1"/>
      </c>
      <c r="AX99">
        <f ca="1"/>
      </c>
      <c r="AY99">
        <f ca="1"/>
      </c>
      <c r="BA99" s="7">
        <f ca="1"/>
      </c>
      <c r="BB99">
        <f ca="1"/>
      </c>
      <c r="BC99">
        <f ca="1"/>
      </c>
      <c r="BD99">
        <f ca="1"/>
      </c>
      <c r="BE99">
        <f ca="1"/>
      </c>
      <c r="BG99">
        <f ca="1"/>
      </c>
      <c r="BH99">
        <f ca="1"/>
      </c>
      <c r="BI99">
        <f ca="1"/>
      </c>
      <c r="BJ99">
        <f ca="1"/>
      </c>
      <c r="BK99">
        <f ca="1"/>
      </c>
      <c r="BL99">
        <f ca="1"/>
      </c>
      <c r="BM99">
        <f ca="1"/>
      </c>
      <c r="BO99">
        <f ca="1"/>
      </c>
      <c r="BP99">
        <f ca="1"/>
      </c>
      <c r="BQ99">
        <f ca="1"/>
      </c>
      <c r="BR99">
        <f ca="1"/>
      </c>
      <c r="BS99">
        <f ca="1"/>
      </c>
      <c r="BT99">
        <f ca="1"/>
      </c>
      <c r="BU99">
        <f ca="1"/>
      </c>
    </row>
    <row r="100" spans="31:73" x14ac:dyDescent="0.55000000000000004">
      <c r="AE100" s="7">
        <f ca="1"/>
      </c>
      <c r="AF100">
        <f ca="1"/>
      </c>
      <c r="AG100">
        <f ca="1"/>
      </c>
      <c r="AH100">
        <f ca="1"/>
      </c>
      <c r="AI100">
        <f ca="1"/>
      </c>
      <c r="AJ100">
        <f ca="1"/>
      </c>
      <c r="AK100">
        <f ca="1"/>
      </c>
      <c r="AL100">
        <f ca="1"/>
      </c>
      <c r="AM100">
        <f ca="1"/>
      </c>
      <c r="AN100">
        <f ca="1"/>
      </c>
      <c r="AO100">
        <f ca="1"/>
      </c>
      <c r="AP100">
        <f ca="1"/>
      </c>
      <c r="AQ100">
        <f ca="1"/>
      </c>
      <c r="AR100">
        <f ca="1"/>
      </c>
      <c r="AT100" s="7">
        <f ca="1"/>
      </c>
      <c r="AU100">
        <f ca="1"/>
      </c>
      <c r="AV100">
        <f ca="1"/>
      </c>
      <c r="AW100">
        <f ca="1"/>
      </c>
      <c r="AX100">
        <f ca="1"/>
      </c>
      <c r="AY100">
        <f ca="1"/>
      </c>
      <c r="BA100" s="7">
        <f ca="1"/>
      </c>
      <c r="BB100">
        <f ca="1"/>
      </c>
      <c r="BC100">
        <f ca="1"/>
      </c>
      <c r="BD100">
        <f ca="1"/>
      </c>
      <c r="BE100">
        <f ca="1"/>
      </c>
      <c r="BG100">
        <f ca="1"/>
      </c>
      <c r="BH100">
        <f ca="1"/>
      </c>
      <c r="BI100">
        <f ca="1"/>
      </c>
      <c r="BJ100">
        <f ca="1"/>
      </c>
      <c r="BK100">
        <f ca="1"/>
      </c>
      <c r="BL100">
        <f ca="1"/>
      </c>
      <c r="BM100">
        <f ca="1"/>
      </c>
      <c r="BO100">
        <f ca="1"/>
      </c>
      <c r="BP100">
        <f ca="1"/>
      </c>
      <c r="BQ100">
        <f ca="1"/>
      </c>
      <c r="BR100">
        <f ca="1"/>
      </c>
      <c r="BS100">
        <f ca="1"/>
      </c>
      <c r="BT100">
        <f ca="1"/>
      </c>
      <c r="BU100">
        <f ca="1"/>
      </c>
    </row>
    <row r="101" spans="31:73" x14ac:dyDescent="0.55000000000000004">
      <c r="AE101" s="7">
        <f ca="1"/>
      </c>
      <c r="AF101">
        <f ca="1"/>
      </c>
      <c r="AG101">
        <f ca="1"/>
      </c>
      <c r="AH101">
        <f ca="1"/>
      </c>
      <c r="AI101">
        <f ca="1"/>
      </c>
      <c r="AJ101">
        <f ca="1"/>
      </c>
      <c r="AK101">
        <f ca="1"/>
      </c>
      <c r="AL101">
        <f ca="1"/>
      </c>
      <c r="AM101">
        <f ca="1"/>
      </c>
      <c r="AN101">
        <f ca="1"/>
      </c>
      <c r="AO101">
        <f ca="1"/>
      </c>
      <c r="AP101">
        <f ca="1"/>
      </c>
      <c r="AQ101">
        <f ca="1"/>
      </c>
      <c r="AR101">
        <f ca="1"/>
      </c>
      <c r="AT101" s="7">
        <f ca="1"/>
      </c>
      <c r="AU101">
        <f ca="1"/>
      </c>
      <c r="AV101">
        <f ca="1"/>
      </c>
      <c r="AW101">
        <f ca="1"/>
      </c>
      <c r="AX101">
        <f ca="1"/>
      </c>
      <c r="AY101">
        <f ca="1"/>
      </c>
      <c r="BA101" s="7">
        <f ca="1"/>
      </c>
      <c r="BB101">
        <f ca="1"/>
      </c>
      <c r="BC101">
        <f ca="1"/>
      </c>
      <c r="BD101">
        <f ca="1"/>
      </c>
      <c r="BE101">
        <f ca="1"/>
      </c>
      <c r="BG101">
        <f ca="1"/>
      </c>
      <c r="BH101">
        <f ca="1"/>
      </c>
      <c r="BI101">
        <f ca="1"/>
      </c>
      <c r="BJ101">
        <f ca="1"/>
      </c>
      <c r="BK101">
        <f ca="1"/>
      </c>
      <c r="BL101">
        <f ca="1"/>
      </c>
      <c r="BM101">
        <f ca="1"/>
      </c>
      <c r="BO101">
        <f ca="1"/>
      </c>
      <c r="BP101">
        <f ca="1"/>
      </c>
      <c r="BQ101">
        <f ca="1"/>
      </c>
      <c r="BR101">
        <f ca="1"/>
      </c>
      <c r="BS101">
        <f ca="1"/>
      </c>
      <c r="BT101">
        <f ca="1"/>
      </c>
      <c r="BU101">
        <f ca="1"/>
      </c>
    </row>
    <row r="102" spans="31:73" x14ac:dyDescent="0.55000000000000004">
      <c r="AE102" s="7">
        <f ca="1"/>
      </c>
      <c r="AF102">
        <f ca="1"/>
      </c>
      <c r="AG102">
        <f ca="1"/>
      </c>
      <c r="AH102">
        <f ca="1"/>
      </c>
      <c r="AI102">
        <f ca="1"/>
      </c>
      <c r="AJ102">
        <f ca="1"/>
      </c>
      <c r="AK102">
        <f ca="1"/>
      </c>
      <c r="AL102">
        <f ca="1"/>
      </c>
      <c r="AM102">
        <f ca="1"/>
      </c>
      <c r="AN102">
        <f ca="1"/>
      </c>
      <c r="AO102">
        <f ca="1"/>
      </c>
      <c r="AP102">
        <f ca="1"/>
      </c>
      <c r="AQ102">
        <f ca="1"/>
      </c>
      <c r="AR102">
        <f ca="1"/>
      </c>
      <c r="AT102" s="7">
        <f ca="1"/>
      </c>
      <c r="AU102">
        <f ca="1"/>
      </c>
      <c r="AV102">
        <f ca="1"/>
      </c>
      <c r="AW102">
        <f ca="1"/>
      </c>
      <c r="AX102">
        <f ca="1"/>
      </c>
      <c r="AY102">
        <f ca="1"/>
      </c>
      <c r="BA102" s="7">
        <f ca="1"/>
      </c>
      <c r="BB102">
        <f ca="1"/>
      </c>
      <c r="BC102">
        <f ca="1"/>
      </c>
      <c r="BD102">
        <f ca="1"/>
      </c>
      <c r="BE102">
        <f ca="1"/>
      </c>
      <c r="BG102">
        <f ca="1"/>
      </c>
      <c r="BH102">
        <f ca="1"/>
      </c>
      <c r="BI102">
        <f ca="1"/>
      </c>
      <c r="BJ102">
        <f ca="1"/>
      </c>
      <c r="BK102">
        <f ca="1"/>
      </c>
      <c r="BL102">
        <f ca="1"/>
      </c>
      <c r="BM102">
        <f ca="1"/>
      </c>
      <c r="BO102">
        <f ca="1"/>
      </c>
      <c r="BP102">
        <f ca="1"/>
      </c>
      <c r="BQ102">
        <f ca="1"/>
      </c>
      <c r="BR102">
        <f ca="1"/>
      </c>
      <c r="BS102">
        <f ca="1"/>
      </c>
      <c r="BT102">
        <f ca="1"/>
      </c>
      <c r="BU102">
        <f ca="1"/>
      </c>
    </row>
    <row r="103" spans="31:73" x14ac:dyDescent="0.55000000000000004">
      <c r="AE103" s="7">
        <f ca="1"/>
      </c>
      <c r="AF103">
        <f ca="1"/>
      </c>
      <c r="AG103">
        <f ca="1"/>
      </c>
      <c r="AH103">
        <f ca="1"/>
      </c>
      <c r="AI103">
        <f ca="1"/>
      </c>
      <c r="AJ103">
        <f ca="1"/>
      </c>
      <c r="AK103">
        <f ca="1"/>
      </c>
      <c r="AL103">
        <f ca="1"/>
      </c>
      <c r="AM103">
        <f ca="1"/>
      </c>
      <c r="AN103">
        <f ca="1"/>
      </c>
      <c r="AO103">
        <f ca="1"/>
      </c>
      <c r="AP103">
        <f ca="1"/>
      </c>
      <c r="AQ103">
        <f ca="1"/>
      </c>
      <c r="AR103">
        <f ca="1"/>
      </c>
      <c r="AT103" s="7">
        <f ca="1"/>
      </c>
      <c r="AU103">
        <f ca="1"/>
      </c>
      <c r="AV103">
        <f ca="1"/>
      </c>
      <c r="AW103">
        <f ca="1"/>
      </c>
      <c r="AX103">
        <f ca="1"/>
      </c>
      <c r="AY103">
        <f ca="1"/>
      </c>
      <c r="BA103" s="7">
        <f ca="1"/>
      </c>
      <c r="BB103">
        <f ca="1"/>
      </c>
      <c r="BC103">
        <f ca="1"/>
      </c>
      <c r="BD103">
        <f ca="1"/>
      </c>
      <c r="BE103">
        <f ca="1"/>
      </c>
      <c r="BG103">
        <f ca="1"/>
      </c>
      <c r="BH103">
        <f ca="1"/>
      </c>
      <c r="BI103">
        <f ca="1"/>
      </c>
      <c r="BJ103">
        <f ca="1"/>
      </c>
      <c r="BK103">
        <f ca="1"/>
      </c>
      <c r="BL103">
        <f ca="1"/>
      </c>
      <c r="BM103">
        <f ca="1"/>
      </c>
      <c r="BO103">
        <f ca="1"/>
      </c>
      <c r="BP103">
        <f ca="1"/>
      </c>
      <c r="BQ103">
        <f ca="1"/>
      </c>
      <c r="BR103">
        <f ca="1"/>
      </c>
      <c r="BS103">
        <f ca="1"/>
      </c>
      <c r="BT103">
        <f ca="1"/>
      </c>
      <c r="BU103">
        <f ca="1"/>
      </c>
    </row>
    <row r="104" spans="31:73" x14ac:dyDescent="0.55000000000000004">
      <c r="AE104" s="7">
        <f ca="1"/>
      </c>
      <c r="AF104">
        <f ca="1"/>
      </c>
      <c r="AG104">
        <f ca="1"/>
      </c>
      <c r="AH104">
        <f ca="1"/>
      </c>
      <c r="AI104">
        <f ca="1"/>
      </c>
      <c r="AJ104">
        <f ca="1"/>
      </c>
      <c r="AK104">
        <f ca="1"/>
      </c>
      <c r="AL104">
        <f ca="1"/>
      </c>
      <c r="AM104">
        <f ca="1"/>
      </c>
      <c r="AN104">
        <f ca="1"/>
      </c>
      <c r="AO104">
        <f ca="1"/>
      </c>
      <c r="AP104">
        <f ca="1"/>
      </c>
      <c r="AQ104">
        <f ca="1"/>
      </c>
      <c r="AR104">
        <f ca="1"/>
      </c>
      <c r="AT104" s="7">
        <f ca="1"/>
      </c>
      <c r="AU104">
        <f ca="1"/>
      </c>
      <c r="AV104">
        <f ca="1"/>
      </c>
      <c r="AW104">
        <f ca="1"/>
      </c>
      <c r="AX104">
        <f ca="1"/>
      </c>
      <c r="AY104">
        <f ca="1"/>
      </c>
      <c r="BA104" s="7">
        <f ca="1"/>
      </c>
      <c r="BB104">
        <f ca="1"/>
      </c>
      <c r="BC104">
        <f ca="1"/>
      </c>
      <c r="BD104">
        <f ca="1"/>
      </c>
      <c r="BE104">
        <f ca="1"/>
      </c>
      <c r="BG104">
        <f ca="1"/>
      </c>
      <c r="BH104">
        <f ca="1"/>
      </c>
      <c r="BI104">
        <f ca="1"/>
      </c>
      <c r="BJ104">
        <f ca="1"/>
      </c>
      <c r="BK104">
        <f ca="1"/>
      </c>
      <c r="BL104">
        <f ca="1"/>
      </c>
      <c r="BM104">
        <f ca="1"/>
      </c>
      <c r="BO104">
        <f ca="1"/>
      </c>
      <c r="BP104">
        <f ca="1"/>
      </c>
      <c r="BQ104">
        <f ca="1"/>
      </c>
      <c r="BR104">
        <f ca="1"/>
      </c>
      <c r="BS104">
        <f ca="1"/>
      </c>
      <c r="BT104">
        <f ca="1"/>
      </c>
      <c r="BU104">
        <f ca="1"/>
      </c>
    </row>
    <row r="105" spans="31:73" x14ac:dyDescent="0.55000000000000004">
      <c r="AE105" s="7">
        <f ca="1"/>
      </c>
      <c r="AF105">
        <f ca="1"/>
      </c>
      <c r="AG105">
        <f ca="1"/>
      </c>
      <c r="AH105">
        <f ca="1"/>
      </c>
      <c r="AI105">
        <f ca="1"/>
      </c>
      <c r="AJ105">
        <f ca="1"/>
      </c>
      <c r="AK105">
        <f ca="1"/>
      </c>
      <c r="AL105">
        <f ca="1"/>
      </c>
      <c r="AM105">
        <f ca="1"/>
      </c>
      <c r="AN105">
        <f ca="1"/>
      </c>
      <c r="AO105">
        <f ca="1"/>
      </c>
      <c r="AP105">
        <f ca="1"/>
      </c>
      <c r="AQ105">
        <f ca="1"/>
      </c>
      <c r="AR105">
        <f ca="1"/>
      </c>
      <c r="AT105" s="7">
        <f ca="1"/>
      </c>
      <c r="AU105">
        <f ca="1"/>
      </c>
      <c r="AV105">
        <f ca="1"/>
      </c>
      <c r="AW105">
        <f ca="1"/>
      </c>
      <c r="AX105">
        <f ca="1"/>
      </c>
      <c r="AY105">
        <f ca="1"/>
      </c>
      <c r="BA105" s="7">
        <f ca="1"/>
      </c>
      <c r="BB105">
        <f ca="1"/>
      </c>
      <c r="BC105">
        <f ca="1"/>
      </c>
      <c r="BD105">
        <f ca="1"/>
      </c>
      <c r="BE105">
        <f ca="1"/>
      </c>
      <c r="BG105">
        <f ca="1"/>
      </c>
      <c r="BH105">
        <f ca="1"/>
      </c>
      <c r="BI105">
        <f ca="1"/>
      </c>
      <c r="BJ105">
        <f ca="1"/>
      </c>
      <c r="BK105">
        <f ca="1"/>
      </c>
      <c r="BL105">
        <f ca="1"/>
      </c>
      <c r="BM105">
        <f ca="1"/>
      </c>
      <c r="BO105">
        <f ca="1"/>
      </c>
      <c r="BP105">
        <f ca="1"/>
      </c>
      <c r="BQ105">
        <f ca="1"/>
      </c>
      <c r="BR105">
        <f ca="1"/>
      </c>
      <c r="BS105">
        <f ca="1"/>
      </c>
      <c r="BT105">
        <f ca="1"/>
      </c>
      <c r="BU105">
        <f ca="1"/>
      </c>
    </row>
    <row r="106" spans="31:73" x14ac:dyDescent="0.55000000000000004">
      <c r="AE106" s="7">
        <f ca="1"/>
      </c>
      <c r="AF106">
        <f ca="1"/>
      </c>
      <c r="AG106">
        <f ca="1"/>
      </c>
      <c r="AH106">
        <f ca="1"/>
      </c>
      <c r="AI106">
        <f ca="1"/>
      </c>
      <c r="AJ106">
        <f ca="1"/>
      </c>
      <c r="AK106">
        <f ca="1"/>
      </c>
      <c r="AL106">
        <f ca="1"/>
      </c>
      <c r="AM106">
        <f ca="1"/>
      </c>
      <c r="AN106">
        <f ca="1"/>
      </c>
      <c r="AO106">
        <f ca="1"/>
      </c>
      <c r="AP106">
        <f ca="1"/>
      </c>
      <c r="AQ106">
        <f ca="1"/>
      </c>
      <c r="AR106">
        <f ca="1"/>
      </c>
      <c r="AT106" s="7">
        <f ca="1"/>
      </c>
      <c r="AU106">
        <f ca="1"/>
      </c>
      <c r="AV106">
        <f ca="1"/>
      </c>
      <c r="AW106">
        <f ca="1"/>
      </c>
      <c r="AX106">
        <f ca="1"/>
      </c>
      <c r="AY106">
        <f ca="1"/>
      </c>
      <c r="BA106" s="7">
        <f ca="1"/>
      </c>
      <c r="BB106">
        <f ca="1"/>
      </c>
      <c r="BC106">
        <f ca="1"/>
      </c>
      <c r="BD106">
        <f ca="1"/>
      </c>
      <c r="BE106">
        <f ca="1"/>
      </c>
      <c r="BG106">
        <f ca="1"/>
      </c>
      <c r="BH106">
        <f ca="1"/>
      </c>
      <c r="BI106">
        <f ca="1"/>
      </c>
      <c r="BJ106">
        <f ca="1"/>
      </c>
      <c r="BK106">
        <f ca="1"/>
      </c>
      <c r="BL106">
        <f ca="1"/>
      </c>
      <c r="BM106">
        <f ca="1"/>
      </c>
      <c r="BO106">
        <f ca="1"/>
      </c>
      <c r="BP106">
        <f ca="1"/>
      </c>
      <c r="BQ106">
        <f ca="1"/>
      </c>
      <c r="BR106">
        <f ca="1"/>
      </c>
      <c r="BS106">
        <f ca="1"/>
      </c>
      <c r="BT106">
        <f ca="1"/>
      </c>
      <c r="BU106">
        <f ca="1"/>
      </c>
    </row>
    <row r="107" spans="31:73" x14ac:dyDescent="0.55000000000000004">
      <c r="AE107" s="7">
        <f ca="1"/>
      </c>
      <c r="AF107">
        <f ca="1"/>
      </c>
      <c r="AG107">
        <f ca="1"/>
      </c>
      <c r="AH107">
        <f ca="1"/>
      </c>
      <c r="AI107">
        <f ca="1"/>
      </c>
      <c r="AJ107">
        <f ca="1"/>
      </c>
      <c r="AK107">
        <f ca="1"/>
      </c>
      <c r="AL107">
        <f ca="1"/>
      </c>
      <c r="AM107">
        <f ca="1"/>
      </c>
      <c r="AN107">
        <f ca="1"/>
      </c>
      <c r="AO107">
        <f ca="1"/>
      </c>
      <c r="AP107">
        <f ca="1"/>
      </c>
      <c r="AQ107">
        <f ca="1"/>
      </c>
      <c r="AR107">
        <f ca="1"/>
      </c>
      <c r="AT107" s="7">
        <f ca="1"/>
      </c>
      <c r="AU107">
        <f ca="1"/>
      </c>
      <c r="AV107">
        <f ca="1"/>
      </c>
      <c r="AW107">
        <f ca="1"/>
      </c>
      <c r="AX107">
        <f ca="1"/>
      </c>
      <c r="AY107">
        <f ca="1"/>
      </c>
      <c r="BA107" s="7">
        <f ca="1"/>
      </c>
      <c r="BB107">
        <f ca="1"/>
      </c>
      <c r="BC107">
        <f ca="1"/>
      </c>
      <c r="BD107">
        <f ca="1"/>
      </c>
      <c r="BE107">
        <f ca="1"/>
      </c>
      <c r="BG107">
        <f ca="1"/>
      </c>
      <c r="BH107">
        <f ca="1"/>
      </c>
      <c r="BI107">
        <f ca="1"/>
      </c>
      <c r="BJ107">
        <f ca="1"/>
      </c>
      <c r="BK107">
        <f ca="1"/>
      </c>
      <c r="BL107">
        <f ca="1"/>
      </c>
      <c r="BM107">
        <f ca="1"/>
      </c>
      <c r="BO107">
        <f ca="1"/>
      </c>
      <c r="BP107">
        <f ca="1"/>
      </c>
      <c r="BQ107">
        <f ca="1"/>
      </c>
      <c r="BR107">
        <f ca="1"/>
      </c>
      <c r="BS107">
        <f ca="1"/>
      </c>
      <c r="BT107">
        <f ca="1"/>
      </c>
      <c r="BU107">
        <f ca="1"/>
      </c>
    </row>
    <row r="108" spans="31:73" x14ac:dyDescent="0.55000000000000004">
      <c r="AE108" s="7">
        <f ca="1"/>
      </c>
      <c r="AF108">
        <f ca="1"/>
      </c>
      <c r="AG108">
        <f ca="1"/>
      </c>
      <c r="AH108">
        <f ca="1"/>
      </c>
      <c r="AI108">
        <f ca="1"/>
      </c>
      <c r="AJ108">
        <f ca="1"/>
      </c>
      <c r="AK108">
        <f ca="1"/>
      </c>
      <c r="AL108">
        <f ca="1"/>
      </c>
      <c r="AM108">
        <f ca="1"/>
      </c>
      <c r="AN108">
        <f ca="1"/>
      </c>
      <c r="AO108">
        <f ca="1"/>
      </c>
      <c r="AP108">
        <f ca="1"/>
      </c>
      <c r="AQ108">
        <f ca="1"/>
      </c>
      <c r="AR108">
        <f ca="1"/>
      </c>
      <c r="AT108" s="7">
        <f ca="1"/>
      </c>
      <c r="AU108">
        <f ca="1"/>
      </c>
      <c r="AV108">
        <f ca="1"/>
      </c>
      <c r="AW108">
        <f ca="1"/>
      </c>
      <c r="AX108">
        <f ca="1"/>
      </c>
      <c r="AY108">
        <f ca="1"/>
      </c>
      <c r="BA108" s="7">
        <f ca="1"/>
      </c>
      <c r="BB108">
        <f ca="1"/>
      </c>
      <c r="BC108">
        <f ca="1"/>
      </c>
      <c r="BD108">
        <f ca="1"/>
      </c>
      <c r="BE108">
        <f ca="1"/>
      </c>
      <c r="BG108">
        <f ca="1"/>
      </c>
      <c r="BH108">
        <f ca="1"/>
      </c>
      <c r="BI108">
        <f ca="1"/>
      </c>
      <c r="BJ108">
        <f ca="1"/>
      </c>
      <c r="BK108">
        <f ca="1"/>
      </c>
      <c r="BL108">
        <f ca="1"/>
      </c>
      <c r="BM108">
        <f ca="1"/>
      </c>
      <c r="BO108">
        <f ca="1"/>
      </c>
      <c r="BP108">
        <f ca="1"/>
      </c>
      <c r="BQ108">
        <f ca="1"/>
      </c>
      <c r="BR108">
        <f ca="1"/>
      </c>
      <c r="BS108">
        <f ca="1"/>
      </c>
      <c r="BT108">
        <f ca="1"/>
      </c>
      <c r="BU108">
        <f ca="1"/>
      </c>
    </row>
    <row r="109" spans="31:73" x14ac:dyDescent="0.55000000000000004">
      <c r="AE109" s="7">
        <f ca="1"/>
      </c>
      <c r="AF109">
        <f ca="1"/>
      </c>
      <c r="AG109">
        <f ca="1"/>
      </c>
      <c r="AH109">
        <f ca="1"/>
      </c>
      <c r="AI109">
        <f ca="1"/>
      </c>
      <c r="AJ109">
        <f ca="1"/>
      </c>
      <c r="AK109">
        <f ca="1"/>
      </c>
      <c r="AL109">
        <f ca="1"/>
      </c>
      <c r="AM109">
        <f ca="1"/>
      </c>
      <c r="AN109">
        <f ca="1"/>
      </c>
      <c r="AO109">
        <f ca="1"/>
      </c>
      <c r="AP109">
        <f ca="1"/>
      </c>
      <c r="AQ109">
        <f ca="1"/>
      </c>
      <c r="AR109">
        <f ca="1"/>
      </c>
      <c r="AT109" s="7">
        <f ca="1"/>
      </c>
      <c r="AU109">
        <f ca="1"/>
      </c>
      <c r="AV109">
        <f ca="1"/>
      </c>
      <c r="AW109">
        <f ca="1"/>
      </c>
      <c r="AX109">
        <f ca="1"/>
      </c>
      <c r="AY109">
        <f ca="1"/>
      </c>
      <c r="BA109" s="7">
        <f ca="1"/>
      </c>
      <c r="BB109">
        <f ca="1"/>
      </c>
      <c r="BC109">
        <f ca="1"/>
      </c>
      <c r="BD109">
        <f ca="1"/>
      </c>
      <c r="BE109">
        <f ca="1"/>
      </c>
      <c r="BG109">
        <f ca="1"/>
      </c>
      <c r="BH109">
        <f ca="1"/>
      </c>
      <c r="BI109">
        <f ca="1"/>
      </c>
      <c r="BJ109">
        <f ca="1"/>
      </c>
      <c r="BK109">
        <f ca="1"/>
      </c>
      <c r="BL109">
        <f ca="1"/>
      </c>
      <c r="BM109">
        <f ca="1"/>
      </c>
      <c r="BO109">
        <f ca="1"/>
      </c>
      <c r="BP109">
        <f ca="1"/>
      </c>
      <c r="BQ109">
        <f ca="1"/>
      </c>
      <c r="BR109">
        <f ca="1"/>
      </c>
      <c r="BS109">
        <f ca="1"/>
      </c>
      <c r="BT109">
        <f ca="1"/>
      </c>
      <c r="BU109">
        <f ca="1"/>
      </c>
    </row>
    <row r="110" spans="31:73" x14ac:dyDescent="0.55000000000000004">
      <c r="AE110" s="7">
        <f ca="1"/>
      </c>
      <c r="AF110">
        <f ca="1"/>
      </c>
      <c r="AG110">
        <f ca="1"/>
      </c>
      <c r="AH110">
        <f ca="1"/>
      </c>
      <c r="AI110">
        <f ca="1"/>
      </c>
      <c r="AJ110">
        <f ca="1"/>
      </c>
      <c r="AK110">
        <f ca="1"/>
      </c>
      <c r="AL110">
        <f ca="1"/>
      </c>
      <c r="AM110">
        <f ca="1"/>
      </c>
      <c r="AN110">
        <f ca="1"/>
      </c>
      <c r="AO110">
        <f ca="1"/>
      </c>
      <c r="AP110">
        <f ca="1"/>
      </c>
      <c r="AQ110">
        <f ca="1"/>
      </c>
      <c r="AR110">
        <f ca="1"/>
      </c>
      <c r="AT110" s="7">
        <f ca="1"/>
      </c>
      <c r="AU110">
        <f ca="1"/>
      </c>
      <c r="AV110">
        <f ca="1"/>
      </c>
      <c r="AW110">
        <f ca="1"/>
      </c>
      <c r="AX110">
        <f ca="1"/>
      </c>
      <c r="AY110">
        <f ca="1"/>
      </c>
      <c r="BA110" s="7">
        <f ca="1"/>
      </c>
      <c r="BB110">
        <f ca="1"/>
      </c>
      <c r="BC110">
        <f ca="1"/>
      </c>
      <c r="BD110">
        <f ca="1"/>
      </c>
      <c r="BE110">
        <f ca="1"/>
      </c>
      <c r="BG110">
        <f ca="1"/>
      </c>
      <c r="BH110">
        <f ca="1"/>
      </c>
      <c r="BI110">
        <f ca="1"/>
      </c>
      <c r="BJ110">
        <f ca="1"/>
      </c>
      <c r="BK110">
        <f ca="1"/>
      </c>
      <c r="BL110">
        <f ca="1"/>
      </c>
      <c r="BM110">
        <f ca="1"/>
      </c>
      <c r="BO110">
        <f ca="1"/>
      </c>
      <c r="BP110">
        <f ca="1"/>
      </c>
      <c r="BQ110">
        <f ca="1"/>
      </c>
      <c r="BR110">
        <f ca="1"/>
      </c>
      <c r="BS110">
        <f ca="1"/>
      </c>
      <c r="BT110">
        <f ca="1"/>
      </c>
      <c r="BU110">
        <f ca="1"/>
      </c>
    </row>
    <row r="111" spans="31:73" x14ac:dyDescent="0.55000000000000004">
      <c r="AE111" s="7">
        <f ca="1"/>
      </c>
      <c r="AF111">
        <f ca="1"/>
      </c>
      <c r="AG111">
        <f ca="1"/>
      </c>
      <c r="AH111">
        <f ca="1"/>
      </c>
      <c r="AI111">
        <f ca="1"/>
      </c>
      <c r="AJ111">
        <f ca="1"/>
      </c>
      <c r="AK111">
        <f ca="1"/>
      </c>
      <c r="AL111">
        <f ca="1"/>
      </c>
      <c r="AM111">
        <f ca="1"/>
      </c>
      <c r="AN111">
        <f ca="1"/>
      </c>
      <c r="AO111">
        <f ca="1"/>
      </c>
      <c r="AP111">
        <f ca="1"/>
      </c>
      <c r="AQ111">
        <f ca="1"/>
      </c>
      <c r="AR111">
        <f ca="1"/>
      </c>
      <c r="AT111" s="7">
        <f ca="1"/>
      </c>
      <c r="AU111">
        <f ca="1"/>
      </c>
      <c r="AV111">
        <f ca="1"/>
      </c>
      <c r="AW111">
        <f ca="1"/>
      </c>
      <c r="AX111">
        <f ca="1"/>
      </c>
      <c r="AY111">
        <f ca="1"/>
      </c>
      <c r="BA111" s="7">
        <f ca="1"/>
      </c>
      <c r="BB111">
        <f ca="1"/>
      </c>
      <c r="BC111">
        <f ca="1"/>
      </c>
      <c r="BD111">
        <f ca="1"/>
      </c>
      <c r="BE111">
        <f ca="1"/>
      </c>
      <c r="BG111">
        <f ca="1"/>
      </c>
      <c r="BH111">
        <f ca="1"/>
      </c>
      <c r="BI111">
        <f ca="1"/>
      </c>
      <c r="BJ111">
        <f ca="1"/>
      </c>
      <c r="BK111">
        <f ca="1"/>
      </c>
      <c r="BL111">
        <f ca="1"/>
      </c>
      <c r="BM111">
        <f ca="1"/>
      </c>
      <c r="BO111">
        <f ca="1"/>
      </c>
      <c r="BP111">
        <f ca="1"/>
      </c>
      <c r="BQ111">
        <f ca="1"/>
      </c>
      <c r="BR111">
        <f ca="1"/>
      </c>
      <c r="BS111">
        <f ca="1"/>
      </c>
      <c r="BT111">
        <f ca="1"/>
      </c>
      <c r="BU111">
        <f ca="1"/>
      </c>
    </row>
    <row r="112" spans="31:73" x14ac:dyDescent="0.55000000000000004">
      <c r="AE112" s="7">
        <f ca="1"/>
      </c>
      <c r="AF112">
        <f ca="1"/>
      </c>
      <c r="AG112">
        <f ca="1"/>
      </c>
      <c r="AH112">
        <f ca="1"/>
      </c>
      <c r="AI112">
        <f ca="1"/>
      </c>
      <c r="AJ112">
        <f ca="1"/>
      </c>
      <c r="AK112">
        <f ca="1"/>
      </c>
      <c r="AL112">
        <f ca="1"/>
      </c>
      <c r="AM112">
        <f ca="1"/>
      </c>
      <c r="AN112">
        <f ca="1"/>
      </c>
      <c r="AO112">
        <f ca="1"/>
      </c>
      <c r="AP112">
        <f ca="1"/>
      </c>
      <c r="AQ112">
        <f ca="1"/>
      </c>
      <c r="AR112">
        <f ca="1"/>
      </c>
      <c r="AT112" s="7">
        <f ca="1"/>
      </c>
      <c r="AU112">
        <f ca="1"/>
      </c>
      <c r="AV112">
        <f ca="1"/>
      </c>
      <c r="AW112">
        <f ca="1"/>
      </c>
      <c r="AX112">
        <f ca="1"/>
      </c>
      <c r="AY112">
        <f ca="1"/>
      </c>
      <c r="BA112" s="7">
        <f ca="1"/>
      </c>
      <c r="BB112">
        <f ca="1"/>
      </c>
      <c r="BC112">
        <f ca="1"/>
      </c>
      <c r="BD112">
        <f ca="1"/>
      </c>
      <c r="BE112">
        <f ca="1"/>
      </c>
      <c r="BG112">
        <f ca="1"/>
      </c>
      <c r="BH112">
        <f ca="1"/>
      </c>
      <c r="BI112">
        <f ca="1"/>
      </c>
      <c r="BJ112">
        <f ca="1"/>
      </c>
      <c r="BK112">
        <f ca="1"/>
      </c>
      <c r="BL112">
        <f ca="1"/>
      </c>
      <c r="BM112">
        <f ca="1"/>
      </c>
      <c r="BO112">
        <f ca="1"/>
      </c>
      <c r="BP112">
        <f ca="1"/>
      </c>
      <c r="BQ112">
        <f ca="1"/>
      </c>
      <c r="BR112">
        <f ca="1"/>
      </c>
      <c r="BS112">
        <f ca="1"/>
      </c>
      <c r="BT112">
        <f ca="1"/>
      </c>
      <c r="BU112">
        <f ca="1"/>
      </c>
    </row>
    <row r="113" spans="31:73" x14ac:dyDescent="0.55000000000000004">
      <c r="AE113" s="7">
        <f ca="1"/>
      </c>
      <c r="AF113">
        <f ca="1"/>
      </c>
      <c r="AG113">
        <f ca="1"/>
      </c>
      <c r="AH113">
        <f ca="1"/>
      </c>
      <c r="AI113">
        <f ca="1"/>
      </c>
      <c r="AJ113">
        <f ca="1"/>
      </c>
      <c r="AK113">
        <f ca="1"/>
      </c>
      <c r="AL113">
        <f ca="1"/>
      </c>
      <c r="AM113">
        <f ca="1"/>
      </c>
      <c r="AN113">
        <f ca="1"/>
      </c>
      <c r="AO113">
        <f ca="1"/>
      </c>
      <c r="AP113">
        <f ca="1"/>
      </c>
      <c r="AQ113">
        <f ca="1"/>
      </c>
      <c r="AR113">
        <f ca="1"/>
      </c>
      <c r="AT113" s="7">
        <f ca="1"/>
      </c>
      <c r="AU113">
        <f ca="1"/>
      </c>
      <c r="AV113">
        <f ca="1"/>
      </c>
      <c r="AW113">
        <f ca="1"/>
      </c>
      <c r="AX113">
        <f ca="1"/>
      </c>
      <c r="AY113">
        <f ca="1"/>
      </c>
      <c r="BA113" s="7">
        <f ca="1"/>
      </c>
      <c r="BB113">
        <f ca="1"/>
      </c>
      <c r="BC113">
        <f ca="1"/>
      </c>
      <c r="BD113">
        <f ca="1"/>
      </c>
      <c r="BE113">
        <f ca="1"/>
      </c>
      <c r="BG113">
        <f ca="1"/>
      </c>
      <c r="BH113">
        <f ca="1"/>
      </c>
      <c r="BI113">
        <f ca="1"/>
      </c>
      <c r="BJ113">
        <f ca="1"/>
      </c>
      <c r="BK113">
        <f ca="1"/>
      </c>
      <c r="BL113">
        <f ca="1"/>
      </c>
      <c r="BM113">
        <f ca="1"/>
      </c>
      <c r="BO113">
        <f ca="1"/>
      </c>
      <c r="BP113">
        <f ca="1"/>
      </c>
      <c r="BQ113">
        <f ca="1"/>
      </c>
      <c r="BR113">
        <f ca="1"/>
      </c>
      <c r="BS113">
        <f ca="1"/>
      </c>
      <c r="BT113">
        <f ca="1"/>
      </c>
      <c r="BU113">
        <f ca="1"/>
      </c>
    </row>
    <row r="114" spans="31:73" x14ac:dyDescent="0.55000000000000004">
      <c r="AE114" s="7">
        <f ca="1"/>
      </c>
      <c r="AF114">
        <f ca="1"/>
      </c>
      <c r="AG114">
        <f ca="1"/>
      </c>
      <c r="AH114">
        <f ca="1"/>
      </c>
      <c r="AI114">
        <f ca="1"/>
      </c>
      <c r="AJ114">
        <f ca="1"/>
      </c>
      <c r="AK114">
        <f ca="1"/>
      </c>
      <c r="AL114">
        <f ca="1"/>
      </c>
      <c r="AM114">
        <f ca="1"/>
      </c>
      <c r="AN114">
        <f ca="1"/>
      </c>
      <c r="AO114">
        <f ca="1"/>
      </c>
      <c r="AP114">
        <f ca="1"/>
      </c>
      <c r="AQ114">
        <f ca="1"/>
      </c>
      <c r="AR114">
        <f ca="1"/>
      </c>
      <c r="AT114" s="7">
        <f ca="1"/>
      </c>
      <c r="AU114">
        <f ca="1"/>
      </c>
      <c r="AV114">
        <f ca="1"/>
      </c>
      <c r="AW114">
        <f ca="1"/>
      </c>
      <c r="AX114">
        <f ca="1"/>
      </c>
      <c r="AY114">
        <f ca="1"/>
      </c>
      <c r="BA114" s="7">
        <f ca="1"/>
      </c>
      <c r="BB114">
        <f ca="1"/>
      </c>
      <c r="BC114">
        <f ca="1"/>
      </c>
      <c r="BD114">
        <f ca="1"/>
      </c>
      <c r="BE114">
        <f ca="1"/>
      </c>
      <c r="BG114">
        <f ca="1"/>
      </c>
      <c r="BH114">
        <f ca="1"/>
      </c>
      <c r="BI114">
        <f ca="1"/>
      </c>
      <c r="BJ114">
        <f ca="1"/>
      </c>
      <c r="BK114">
        <f ca="1"/>
      </c>
      <c r="BL114">
        <f ca="1"/>
      </c>
      <c r="BM114">
        <f ca="1"/>
      </c>
      <c r="BO114">
        <f ca="1"/>
      </c>
      <c r="BP114">
        <f ca="1"/>
      </c>
      <c r="BQ114">
        <f ca="1"/>
      </c>
      <c r="BR114">
        <f ca="1"/>
      </c>
      <c r="BS114">
        <f ca="1"/>
      </c>
      <c r="BT114">
        <f ca="1"/>
      </c>
      <c r="BU114">
        <f ca="1"/>
      </c>
    </row>
    <row r="115" spans="31:73" x14ac:dyDescent="0.55000000000000004">
      <c r="AE115" s="7">
        <f ca="1"/>
      </c>
      <c r="AF115">
        <f ca="1"/>
      </c>
      <c r="AG115">
        <f ca="1"/>
      </c>
      <c r="AH115">
        <f ca="1"/>
      </c>
      <c r="AI115">
        <f ca="1"/>
      </c>
      <c r="AJ115">
        <f ca="1"/>
      </c>
      <c r="AK115">
        <f ca="1"/>
      </c>
      <c r="AL115">
        <f ca="1"/>
      </c>
      <c r="AM115">
        <f ca="1"/>
      </c>
      <c r="AN115">
        <f ca="1"/>
      </c>
      <c r="AO115">
        <f ca="1"/>
      </c>
      <c r="AP115">
        <f ca="1"/>
      </c>
      <c r="AQ115">
        <f ca="1"/>
      </c>
      <c r="AR115">
        <f ca="1"/>
      </c>
      <c r="AT115" s="7">
        <f ca="1"/>
      </c>
      <c r="AU115">
        <f ca="1"/>
      </c>
      <c r="AV115">
        <f ca="1"/>
      </c>
      <c r="AW115">
        <f ca="1"/>
      </c>
      <c r="AX115">
        <f ca="1"/>
      </c>
      <c r="AY115">
        <f ca="1"/>
      </c>
      <c r="BA115" s="7">
        <f ca="1"/>
      </c>
      <c r="BB115">
        <f ca="1"/>
      </c>
      <c r="BC115">
        <f ca="1"/>
      </c>
      <c r="BD115">
        <f ca="1"/>
      </c>
      <c r="BE115">
        <f ca="1"/>
      </c>
      <c r="BG115">
        <f ca="1"/>
      </c>
      <c r="BH115">
        <f ca="1"/>
      </c>
      <c r="BI115">
        <f ca="1"/>
      </c>
      <c r="BJ115">
        <f ca="1"/>
      </c>
      <c r="BK115">
        <f ca="1"/>
      </c>
      <c r="BL115">
        <f ca="1"/>
      </c>
      <c r="BM115">
        <f ca="1"/>
      </c>
      <c r="BO115">
        <f ca="1"/>
      </c>
      <c r="BP115">
        <f ca="1"/>
      </c>
      <c r="BQ115">
        <f ca="1"/>
      </c>
      <c r="BR115">
        <f ca="1"/>
      </c>
      <c r="BS115">
        <f ca="1"/>
      </c>
      <c r="BT115">
        <f ca="1"/>
      </c>
      <c r="BU115">
        <f ca="1"/>
      </c>
    </row>
    <row r="116" spans="31:73" x14ac:dyDescent="0.55000000000000004">
      <c r="AE116" s="7">
        <f ca="1"/>
      </c>
      <c r="AF116">
        <f ca="1"/>
      </c>
      <c r="AG116">
        <f ca="1"/>
      </c>
      <c r="AH116">
        <f ca="1"/>
      </c>
      <c r="AI116">
        <f ca="1"/>
      </c>
      <c r="AJ116">
        <f ca="1"/>
      </c>
      <c r="AK116">
        <f ca="1"/>
      </c>
      <c r="AL116">
        <f ca="1"/>
      </c>
      <c r="AM116">
        <f ca="1"/>
      </c>
      <c r="AN116">
        <f ca="1"/>
      </c>
      <c r="AO116">
        <f ca="1"/>
      </c>
      <c r="AP116">
        <f ca="1"/>
      </c>
      <c r="AQ116">
        <f ca="1"/>
      </c>
      <c r="AR116">
        <f ca="1"/>
      </c>
      <c r="AT116" s="7">
        <f ca="1"/>
      </c>
      <c r="AU116">
        <f ca="1"/>
      </c>
      <c r="AV116">
        <f ca="1"/>
      </c>
      <c r="AW116">
        <f ca="1"/>
      </c>
      <c r="AX116">
        <f ca="1"/>
      </c>
      <c r="AY116">
        <f ca="1"/>
      </c>
      <c r="BA116" s="7">
        <f ca="1"/>
      </c>
      <c r="BB116">
        <f ca="1"/>
      </c>
      <c r="BC116">
        <f ca="1"/>
      </c>
      <c r="BD116">
        <f ca="1"/>
      </c>
      <c r="BE116">
        <f ca="1"/>
      </c>
      <c r="BG116">
        <f ca="1"/>
      </c>
      <c r="BH116">
        <f ca="1"/>
      </c>
      <c r="BI116">
        <f ca="1"/>
      </c>
      <c r="BJ116">
        <f ca="1"/>
      </c>
      <c r="BK116">
        <f ca="1"/>
      </c>
      <c r="BL116">
        <f ca="1"/>
      </c>
      <c r="BM116">
        <f ca="1"/>
      </c>
      <c r="BO116">
        <f ca="1"/>
      </c>
      <c r="BP116">
        <f ca="1"/>
      </c>
      <c r="BQ116">
        <f ca="1"/>
      </c>
      <c r="BR116">
        <f ca="1"/>
      </c>
      <c r="BS116">
        <f ca="1"/>
      </c>
      <c r="BT116">
        <f ca="1"/>
      </c>
      <c r="BU116">
        <f ca="1"/>
      </c>
    </row>
    <row r="117" spans="31:73" x14ac:dyDescent="0.55000000000000004">
      <c r="AE117" s="7">
        <f ca="1"/>
      </c>
      <c r="AF117">
        <f ca="1"/>
      </c>
      <c r="AG117">
        <f ca="1"/>
      </c>
      <c r="AH117">
        <f ca="1"/>
      </c>
      <c r="AI117">
        <f ca="1"/>
      </c>
      <c r="AJ117">
        <f ca="1"/>
      </c>
      <c r="AK117">
        <f ca="1"/>
      </c>
      <c r="AL117">
        <f ca="1"/>
      </c>
      <c r="AM117">
        <f ca="1"/>
      </c>
      <c r="AN117">
        <f ca="1"/>
      </c>
      <c r="AO117">
        <f ca="1"/>
      </c>
      <c r="AP117">
        <f ca="1"/>
      </c>
      <c r="AQ117">
        <f ca="1"/>
      </c>
      <c r="AR117">
        <f ca="1"/>
      </c>
      <c r="AT117" s="7">
        <f ca="1"/>
      </c>
      <c r="AU117">
        <f ca="1"/>
      </c>
      <c r="AV117">
        <f ca="1"/>
      </c>
      <c r="AW117">
        <f ca="1"/>
      </c>
      <c r="AX117">
        <f ca="1"/>
      </c>
      <c r="AY117">
        <f ca="1"/>
      </c>
      <c r="BA117" s="7">
        <f ca="1"/>
      </c>
      <c r="BB117">
        <f ca="1"/>
      </c>
      <c r="BC117">
        <f ca="1"/>
      </c>
      <c r="BD117">
        <f ca="1"/>
      </c>
      <c r="BE117">
        <f ca="1"/>
      </c>
      <c r="BG117">
        <f ca="1"/>
      </c>
      <c r="BH117">
        <f ca="1"/>
      </c>
      <c r="BI117">
        <f ca="1"/>
      </c>
      <c r="BJ117">
        <f ca="1"/>
      </c>
      <c r="BK117">
        <f ca="1"/>
      </c>
      <c r="BL117">
        <f ca="1"/>
      </c>
      <c r="BM117">
        <f ca="1"/>
      </c>
      <c r="BO117">
        <f ca="1"/>
      </c>
      <c r="BP117">
        <f ca="1"/>
      </c>
      <c r="BQ117">
        <f ca="1"/>
      </c>
      <c r="BR117">
        <f ca="1"/>
      </c>
      <c r="BS117">
        <f ca="1"/>
      </c>
      <c r="BT117">
        <f ca="1"/>
      </c>
      <c r="BU117">
        <f ca="1"/>
      </c>
    </row>
    <row r="118" spans="31:73" x14ac:dyDescent="0.55000000000000004">
      <c r="AE118" s="7">
        <f ca="1"/>
      </c>
      <c r="AF118">
        <f ca="1"/>
      </c>
      <c r="AG118">
        <f ca="1"/>
      </c>
      <c r="AH118">
        <f ca="1"/>
      </c>
      <c r="AI118">
        <f ca="1"/>
      </c>
      <c r="AJ118">
        <f ca="1"/>
      </c>
      <c r="AK118">
        <f ca="1"/>
      </c>
      <c r="AL118">
        <f ca="1"/>
      </c>
      <c r="AM118">
        <f ca="1"/>
      </c>
      <c r="AN118">
        <f ca="1"/>
      </c>
      <c r="AO118">
        <f ca="1"/>
      </c>
      <c r="AP118">
        <f ca="1"/>
      </c>
      <c r="AQ118">
        <f ca="1"/>
      </c>
      <c r="AR118">
        <f ca="1"/>
      </c>
      <c r="AT118" s="7">
        <f ca="1"/>
      </c>
      <c r="AU118">
        <f ca="1"/>
      </c>
      <c r="AV118">
        <f ca="1"/>
      </c>
      <c r="AW118">
        <f ca="1"/>
      </c>
      <c r="AX118">
        <f ca="1"/>
      </c>
      <c r="AY118">
        <f ca="1"/>
      </c>
      <c r="BA118" s="7">
        <f ca="1"/>
      </c>
      <c r="BB118">
        <f ca="1"/>
      </c>
      <c r="BC118">
        <f ca="1"/>
      </c>
      <c r="BD118">
        <f ca="1"/>
      </c>
      <c r="BE118">
        <f ca="1"/>
      </c>
      <c r="BG118">
        <f ca="1"/>
      </c>
      <c r="BH118">
        <f ca="1"/>
      </c>
      <c r="BI118">
        <f ca="1"/>
      </c>
      <c r="BJ118">
        <f ca="1"/>
      </c>
      <c r="BK118">
        <f ca="1"/>
      </c>
      <c r="BL118">
        <f ca="1"/>
      </c>
      <c r="BM118">
        <f ca="1"/>
      </c>
      <c r="BO118">
        <f ca="1"/>
      </c>
      <c r="BP118">
        <f ca="1"/>
      </c>
      <c r="BQ118">
        <f ca="1"/>
      </c>
      <c r="BR118">
        <f ca="1"/>
      </c>
      <c r="BS118">
        <f ca="1"/>
      </c>
      <c r="BT118">
        <f ca="1"/>
      </c>
      <c r="BU118">
        <f ca="1"/>
      </c>
    </row>
    <row r="119" spans="31:73" x14ac:dyDescent="0.55000000000000004">
      <c r="AE119" s="7">
        <f ca="1"/>
      </c>
      <c r="AF119">
        <f ca="1"/>
      </c>
      <c r="AG119">
        <f ca="1"/>
      </c>
      <c r="AH119">
        <f ca="1"/>
      </c>
      <c r="AI119">
        <f ca="1"/>
      </c>
      <c r="AJ119">
        <f ca="1"/>
      </c>
      <c r="AK119">
        <f ca="1"/>
      </c>
      <c r="AL119">
        <f ca="1"/>
      </c>
      <c r="AM119">
        <f ca="1"/>
      </c>
      <c r="AN119">
        <f ca="1"/>
      </c>
      <c r="AO119">
        <f ca="1"/>
      </c>
      <c r="AP119">
        <f ca="1"/>
      </c>
      <c r="AQ119">
        <f ca="1"/>
      </c>
      <c r="AR119">
        <f ca="1"/>
      </c>
      <c r="AT119" s="7">
        <f ca="1"/>
      </c>
      <c r="AU119">
        <f ca="1"/>
      </c>
      <c r="AV119">
        <f ca="1"/>
      </c>
      <c r="AW119">
        <f ca="1"/>
      </c>
      <c r="AX119">
        <f ca="1"/>
      </c>
      <c r="AY119">
        <f ca="1"/>
      </c>
      <c r="BA119" s="7">
        <f ca="1"/>
      </c>
      <c r="BB119">
        <f ca="1"/>
      </c>
      <c r="BC119">
        <f ca="1"/>
      </c>
      <c r="BD119">
        <f ca="1"/>
      </c>
      <c r="BE119">
        <f ca="1"/>
      </c>
      <c r="BG119">
        <f ca="1"/>
      </c>
      <c r="BH119">
        <f ca="1"/>
      </c>
      <c r="BI119">
        <f ca="1"/>
      </c>
      <c r="BJ119">
        <f ca="1"/>
      </c>
      <c r="BK119">
        <f ca="1"/>
      </c>
      <c r="BL119">
        <f ca="1"/>
      </c>
      <c r="BM119">
        <f ca="1"/>
      </c>
      <c r="BO119">
        <f ca="1"/>
      </c>
      <c r="BP119">
        <f ca="1"/>
      </c>
      <c r="BQ119">
        <f ca="1"/>
      </c>
      <c r="BR119">
        <f ca="1"/>
      </c>
      <c r="BS119">
        <f ca="1"/>
      </c>
      <c r="BT119">
        <f ca="1"/>
      </c>
      <c r="BU119">
        <f ca="1"/>
      </c>
    </row>
    <row r="120" spans="31:73" x14ac:dyDescent="0.55000000000000004">
      <c r="AE120" s="7">
        <f ca="1"/>
      </c>
      <c r="AF120">
        <f ca="1"/>
      </c>
      <c r="AG120">
        <f ca="1"/>
      </c>
      <c r="AH120">
        <f ca="1"/>
      </c>
      <c r="AI120">
        <f ca="1"/>
      </c>
      <c r="AJ120">
        <f ca="1"/>
      </c>
      <c r="AK120">
        <f ca="1"/>
      </c>
      <c r="AL120">
        <f ca="1"/>
      </c>
      <c r="AM120">
        <f ca="1"/>
      </c>
      <c r="AN120">
        <f ca="1"/>
      </c>
      <c r="AO120">
        <f ca="1"/>
      </c>
      <c r="AP120">
        <f ca="1"/>
      </c>
      <c r="AQ120">
        <f ca="1"/>
      </c>
      <c r="AR120">
        <f ca="1"/>
      </c>
      <c r="AT120" s="7">
        <f ca="1"/>
      </c>
      <c r="AU120">
        <f ca="1"/>
      </c>
      <c r="AV120">
        <f ca="1"/>
      </c>
      <c r="AW120">
        <f ca="1"/>
      </c>
      <c r="AX120">
        <f ca="1"/>
      </c>
      <c r="AY120">
        <f ca="1"/>
      </c>
      <c r="BA120" s="7">
        <f ca="1"/>
      </c>
      <c r="BB120">
        <f ca="1"/>
      </c>
      <c r="BC120">
        <f ca="1"/>
      </c>
      <c r="BD120">
        <f ca="1"/>
      </c>
      <c r="BE120">
        <f ca="1"/>
      </c>
      <c r="BG120">
        <f ca="1"/>
      </c>
      <c r="BH120">
        <f ca="1"/>
      </c>
      <c r="BI120">
        <f ca="1"/>
      </c>
      <c r="BJ120">
        <f ca="1"/>
      </c>
      <c r="BK120">
        <f ca="1"/>
      </c>
      <c r="BL120">
        <f ca="1"/>
      </c>
      <c r="BM120">
        <f ca="1"/>
      </c>
      <c r="BO120">
        <f ca="1"/>
      </c>
      <c r="BP120">
        <f ca="1"/>
      </c>
      <c r="BQ120">
        <f ca="1"/>
      </c>
      <c r="BR120">
        <f ca="1"/>
      </c>
      <c r="BS120">
        <f ca="1"/>
      </c>
      <c r="BT120">
        <f ca="1"/>
      </c>
      <c r="BU120">
        <f ca="1"/>
      </c>
    </row>
    <row r="121" spans="31:73" x14ac:dyDescent="0.55000000000000004">
      <c r="AE121" s="7">
        <f ca="1"/>
      </c>
      <c r="AF121">
        <f ca="1"/>
      </c>
      <c r="AG121">
        <f ca="1"/>
      </c>
      <c r="AH121">
        <f ca="1"/>
      </c>
      <c r="AI121">
        <f ca="1"/>
      </c>
      <c r="AJ121">
        <f ca="1"/>
      </c>
      <c r="AK121">
        <f ca="1"/>
      </c>
      <c r="AL121">
        <f ca="1"/>
      </c>
      <c r="AM121">
        <f ca="1"/>
      </c>
      <c r="AN121">
        <f ca="1"/>
      </c>
      <c r="AO121">
        <f ca="1"/>
      </c>
      <c r="AP121">
        <f ca="1"/>
      </c>
      <c r="AQ121">
        <f ca="1"/>
      </c>
      <c r="AR121">
        <f ca="1"/>
      </c>
      <c r="AT121" s="7">
        <f ca="1"/>
      </c>
      <c r="AU121">
        <f ca="1"/>
      </c>
      <c r="AV121">
        <f ca="1"/>
      </c>
      <c r="AW121">
        <f ca="1"/>
      </c>
      <c r="AX121">
        <f ca="1"/>
      </c>
      <c r="AY121">
        <f ca="1"/>
      </c>
      <c r="BA121" s="7">
        <f ca="1"/>
      </c>
      <c r="BB121">
        <f ca="1"/>
      </c>
      <c r="BC121">
        <f ca="1"/>
      </c>
      <c r="BD121">
        <f ca="1"/>
      </c>
      <c r="BE121">
        <f ca="1"/>
      </c>
      <c r="BG121">
        <f ca="1"/>
      </c>
      <c r="BH121">
        <f ca="1"/>
      </c>
      <c r="BI121">
        <f ca="1"/>
      </c>
      <c r="BJ121">
        <f ca="1"/>
      </c>
      <c r="BK121">
        <f ca="1"/>
      </c>
      <c r="BL121">
        <f ca="1"/>
      </c>
      <c r="BM121">
        <f ca="1"/>
      </c>
      <c r="BO121">
        <f ca="1"/>
      </c>
      <c r="BP121">
        <f ca="1"/>
      </c>
      <c r="BQ121">
        <f ca="1"/>
      </c>
      <c r="BR121">
        <f ca="1"/>
      </c>
      <c r="BS121">
        <f ca="1"/>
      </c>
      <c r="BT121">
        <f ca="1"/>
      </c>
      <c r="BU121">
        <f ca="1"/>
      </c>
    </row>
    <row r="122" spans="31:73" x14ac:dyDescent="0.55000000000000004">
      <c r="AE122" s="7">
        <f ca="1"/>
      </c>
      <c r="AF122">
        <f ca="1"/>
      </c>
      <c r="AG122">
        <f ca="1"/>
      </c>
      <c r="AH122">
        <f ca="1"/>
      </c>
      <c r="AI122">
        <f ca="1"/>
      </c>
      <c r="AJ122">
        <f ca="1"/>
      </c>
      <c r="AK122">
        <f ca="1"/>
      </c>
      <c r="AL122">
        <f ca="1"/>
      </c>
      <c r="AM122">
        <f ca="1"/>
      </c>
      <c r="AN122">
        <f ca="1"/>
      </c>
      <c r="AO122">
        <f ca="1"/>
      </c>
      <c r="AP122">
        <f ca="1"/>
      </c>
      <c r="AQ122">
        <f ca="1"/>
      </c>
      <c r="AR122">
        <f ca="1"/>
      </c>
      <c r="AT122" s="7">
        <f ca="1"/>
      </c>
      <c r="AU122">
        <f ca="1"/>
      </c>
      <c r="AV122">
        <f ca="1"/>
      </c>
      <c r="AW122">
        <f ca="1"/>
      </c>
      <c r="AX122">
        <f ca="1"/>
      </c>
      <c r="AY122">
        <f ca="1"/>
      </c>
      <c r="BA122" s="7">
        <f ca="1"/>
      </c>
      <c r="BB122">
        <f ca="1"/>
      </c>
      <c r="BC122">
        <f ca="1"/>
      </c>
      <c r="BD122">
        <f ca="1"/>
      </c>
      <c r="BE122">
        <f ca="1"/>
      </c>
      <c r="BG122">
        <f ca="1"/>
      </c>
      <c r="BH122">
        <f ca="1"/>
      </c>
      <c r="BI122">
        <f ca="1"/>
      </c>
      <c r="BJ122">
        <f ca="1"/>
      </c>
      <c r="BK122">
        <f ca="1"/>
      </c>
      <c r="BL122">
        <f ca="1"/>
      </c>
      <c r="BM122">
        <f ca="1"/>
      </c>
      <c r="BO122">
        <f ca="1"/>
      </c>
      <c r="BP122">
        <f ca="1"/>
      </c>
      <c r="BQ122">
        <f ca="1"/>
      </c>
      <c r="BR122">
        <f ca="1"/>
      </c>
      <c r="BS122">
        <f ca="1"/>
      </c>
      <c r="BT122">
        <f ca="1"/>
      </c>
      <c r="BU122">
        <f ca="1"/>
      </c>
    </row>
    <row r="123" spans="31:73" x14ac:dyDescent="0.55000000000000004">
      <c r="AE123" s="7">
        <f ca="1"/>
      </c>
      <c r="AF123">
        <f ca="1"/>
      </c>
      <c r="AG123">
        <f ca="1"/>
      </c>
      <c r="AH123">
        <f ca="1"/>
      </c>
      <c r="AI123">
        <f ca="1"/>
      </c>
      <c r="AJ123">
        <f ca="1"/>
      </c>
      <c r="AK123">
        <f ca="1"/>
      </c>
      <c r="AL123">
        <f ca="1"/>
      </c>
      <c r="AM123">
        <f ca="1"/>
      </c>
      <c r="AN123">
        <f ca="1"/>
      </c>
      <c r="AO123">
        <f ca="1"/>
      </c>
      <c r="AP123">
        <f ca="1"/>
      </c>
      <c r="AQ123">
        <f ca="1"/>
      </c>
      <c r="AR123">
        <f ca="1"/>
      </c>
      <c r="AT123" s="7">
        <f ca="1"/>
      </c>
      <c r="AU123">
        <f ca="1"/>
      </c>
      <c r="AV123">
        <f ca="1"/>
      </c>
      <c r="AW123">
        <f ca="1"/>
      </c>
      <c r="AX123">
        <f ca="1"/>
      </c>
      <c r="AY123">
        <f ca="1"/>
      </c>
      <c r="BA123" s="7">
        <f ca="1"/>
      </c>
      <c r="BB123">
        <f ca="1"/>
      </c>
      <c r="BC123">
        <f ca="1"/>
      </c>
      <c r="BD123">
        <f ca="1"/>
      </c>
      <c r="BE123">
        <f ca="1"/>
      </c>
      <c r="BG123">
        <f ca="1"/>
      </c>
      <c r="BH123">
        <f ca="1"/>
      </c>
      <c r="BI123">
        <f ca="1"/>
      </c>
      <c r="BJ123">
        <f ca="1"/>
      </c>
      <c r="BK123">
        <f ca="1"/>
      </c>
      <c r="BL123">
        <f ca="1"/>
      </c>
      <c r="BM123">
        <f ca="1"/>
      </c>
      <c r="BO123">
        <f ca="1"/>
      </c>
      <c r="BP123">
        <f ca="1"/>
      </c>
      <c r="BQ123">
        <f ca="1"/>
      </c>
      <c r="BR123">
        <f ca="1"/>
      </c>
      <c r="BS123">
        <f ca="1"/>
      </c>
      <c r="BT123">
        <f ca="1"/>
      </c>
      <c r="BU123">
        <f ca="1"/>
      </c>
    </row>
    <row r="124" spans="31:73" x14ac:dyDescent="0.55000000000000004">
      <c r="AE124" s="7">
        <f ca="1"/>
      </c>
      <c r="AF124">
        <f ca="1"/>
      </c>
      <c r="AG124">
        <f ca="1"/>
      </c>
      <c r="AH124">
        <f ca="1"/>
      </c>
      <c r="AI124">
        <f ca="1"/>
      </c>
      <c r="AJ124">
        <f ca="1"/>
      </c>
      <c r="AK124">
        <f ca="1"/>
      </c>
      <c r="AL124">
        <f ca="1"/>
      </c>
      <c r="AM124">
        <f ca="1"/>
      </c>
      <c r="AN124">
        <f ca="1"/>
      </c>
      <c r="AO124">
        <f ca="1"/>
      </c>
      <c r="AP124">
        <f ca="1"/>
      </c>
      <c r="AQ124">
        <f ca="1"/>
      </c>
      <c r="AR124">
        <f ca="1"/>
      </c>
      <c r="AT124" s="7">
        <f ca="1"/>
      </c>
      <c r="AU124">
        <f ca="1"/>
      </c>
      <c r="AV124">
        <f ca="1"/>
      </c>
      <c r="AW124">
        <f ca="1"/>
      </c>
      <c r="AX124">
        <f ca="1"/>
      </c>
      <c r="AY124">
        <f ca="1"/>
      </c>
      <c r="BA124" s="7">
        <f ca="1"/>
      </c>
      <c r="BB124">
        <f ca="1"/>
      </c>
      <c r="BC124">
        <f ca="1"/>
      </c>
      <c r="BD124">
        <f ca="1"/>
      </c>
      <c r="BE124">
        <f ca="1"/>
      </c>
      <c r="BG124">
        <f ca="1"/>
      </c>
      <c r="BH124">
        <f ca="1"/>
      </c>
      <c r="BI124">
        <f ca="1"/>
      </c>
      <c r="BJ124">
        <f ca="1"/>
      </c>
      <c r="BK124">
        <f ca="1"/>
      </c>
      <c r="BL124">
        <f ca="1"/>
      </c>
      <c r="BM124">
        <f ca="1"/>
      </c>
      <c r="BO124">
        <f ca="1"/>
      </c>
      <c r="BP124">
        <f ca="1"/>
      </c>
      <c r="BQ124">
        <f ca="1"/>
      </c>
      <c r="BR124">
        <f ca="1"/>
      </c>
      <c r="BS124">
        <f ca="1"/>
      </c>
      <c r="BT124">
        <f ca="1"/>
      </c>
      <c r="BU124">
        <f ca="1"/>
      </c>
    </row>
    <row r="125" spans="31:73" x14ac:dyDescent="0.55000000000000004">
      <c r="AE125" s="7">
        <f ca="1"/>
      </c>
      <c r="AF125">
        <f ca="1"/>
      </c>
      <c r="AG125">
        <f ca="1"/>
      </c>
      <c r="AH125">
        <f ca="1"/>
      </c>
      <c r="AI125">
        <f ca="1"/>
      </c>
      <c r="AJ125">
        <f ca="1"/>
      </c>
      <c r="AK125">
        <f ca="1"/>
      </c>
      <c r="AL125">
        <f ca="1"/>
      </c>
      <c r="AM125">
        <f ca="1"/>
      </c>
      <c r="AN125">
        <f ca="1"/>
      </c>
      <c r="AO125">
        <f ca="1"/>
      </c>
      <c r="AP125">
        <f ca="1"/>
      </c>
      <c r="AQ125">
        <f ca="1"/>
      </c>
      <c r="AR125">
        <f ca="1"/>
      </c>
      <c r="AT125" s="7">
        <f ca="1"/>
      </c>
      <c r="AU125">
        <f ca="1"/>
      </c>
      <c r="AV125">
        <f ca="1"/>
      </c>
      <c r="AW125">
        <f ca="1"/>
      </c>
      <c r="AX125">
        <f ca="1"/>
      </c>
      <c r="AY125">
        <f ca="1"/>
      </c>
      <c r="BA125" s="7">
        <f ca="1"/>
      </c>
      <c r="BB125">
        <f ca="1"/>
      </c>
      <c r="BC125">
        <f ca="1"/>
      </c>
      <c r="BD125">
        <f ca="1"/>
      </c>
      <c r="BE125">
        <f ca="1"/>
      </c>
      <c r="BG125">
        <f ca="1"/>
      </c>
      <c r="BH125">
        <f ca="1"/>
      </c>
      <c r="BI125">
        <f ca="1"/>
      </c>
      <c r="BJ125">
        <f ca="1"/>
      </c>
      <c r="BK125">
        <f ca="1"/>
      </c>
      <c r="BL125">
        <f ca="1"/>
      </c>
      <c r="BM125">
        <f ca="1"/>
      </c>
      <c r="BO125">
        <f ca="1"/>
      </c>
      <c r="BP125">
        <f ca="1"/>
      </c>
      <c r="BQ125">
        <f ca="1"/>
      </c>
      <c r="BR125">
        <f ca="1"/>
      </c>
      <c r="BS125">
        <f ca="1"/>
      </c>
      <c r="BT125">
        <f ca="1"/>
      </c>
      <c r="BU125">
        <f ca="1"/>
      </c>
    </row>
    <row r="126" spans="31:73" x14ac:dyDescent="0.55000000000000004">
      <c r="AE126" s="7">
        <f ca="1"/>
      </c>
      <c r="AF126">
        <f ca="1"/>
      </c>
      <c r="AG126">
        <f ca="1"/>
      </c>
      <c r="AH126">
        <f ca="1"/>
      </c>
      <c r="AI126">
        <f ca="1"/>
      </c>
      <c r="AJ126">
        <f ca="1"/>
      </c>
      <c r="AK126">
        <f ca="1"/>
      </c>
      <c r="AL126">
        <f ca="1"/>
      </c>
      <c r="AM126">
        <f ca="1"/>
      </c>
      <c r="AN126">
        <f ca="1"/>
      </c>
      <c r="AO126">
        <f ca="1"/>
      </c>
      <c r="AP126">
        <f ca="1"/>
      </c>
      <c r="AQ126">
        <f ca="1"/>
      </c>
      <c r="AR126">
        <f ca="1"/>
      </c>
      <c r="AT126" s="7">
        <f ca="1"/>
      </c>
      <c r="AU126">
        <f ca="1"/>
      </c>
      <c r="AV126">
        <f ca="1"/>
      </c>
      <c r="AW126">
        <f ca="1"/>
      </c>
      <c r="AX126">
        <f ca="1"/>
      </c>
      <c r="AY126">
        <f ca="1"/>
      </c>
      <c r="BA126" s="7">
        <f ca="1"/>
      </c>
      <c r="BB126">
        <f ca="1"/>
      </c>
      <c r="BC126">
        <f ca="1"/>
      </c>
      <c r="BD126">
        <f ca="1"/>
      </c>
      <c r="BE126">
        <f ca="1"/>
      </c>
      <c r="BG126">
        <f ca="1"/>
      </c>
      <c r="BH126">
        <f ca="1"/>
      </c>
      <c r="BI126">
        <f ca="1"/>
      </c>
      <c r="BJ126">
        <f ca="1"/>
      </c>
      <c r="BK126">
        <f ca="1"/>
      </c>
      <c r="BL126">
        <f ca="1"/>
      </c>
      <c r="BM126">
        <f ca="1"/>
      </c>
      <c r="BO126">
        <f ca="1"/>
      </c>
      <c r="BP126">
        <f ca="1"/>
      </c>
      <c r="BQ126">
        <f ca="1"/>
      </c>
      <c r="BR126">
        <f ca="1"/>
      </c>
      <c r="BS126">
        <f ca="1"/>
      </c>
      <c r="BT126">
        <f ca="1"/>
      </c>
      <c r="BU126">
        <f ca="1"/>
      </c>
    </row>
    <row r="127" spans="31:73" x14ac:dyDescent="0.55000000000000004">
      <c r="AE127" s="7">
        <f ca="1"/>
      </c>
      <c r="AF127">
        <f ca="1"/>
      </c>
      <c r="AG127">
        <f ca="1"/>
      </c>
      <c r="AH127">
        <f ca="1"/>
      </c>
      <c r="AI127">
        <f ca="1"/>
      </c>
      <c r="AJ127">
        <f ca="1"/>
      </c>
      <c r="AK127">
        <f ca="1"/>
      </c>
      <c r="AL127">
        <f ca="1"/>
      </c>
      <c r="AM127">
        <f ca="1"/>
      </c>
      <c r="AN127">
        <f ca="1"/>
      </c>
      <c r="AO127">
        <f ca="1"/>
      </c>
      <c r="AP127">
        <f ca="1"/>
      </c>
      <c r="AQ127">
        <f ca="1"/>
      </c>
      <c r="AR127">
        <f ca="1"/>
      </c>
      <c r="AT127" s="7">
        <f ca="1"/>
      </c>
      <c r="AU127">
        <f ca="1"/>
      </c>
      <c r="AV127">
        <f ca="1"/>
      </c>
      <c r="AW127">
        <f ca="1"/>
      </c>
      <c r="AX127">
        <f ca="1"/>
      </c>
      <c r="AY127">
        <f ca="1"/>
      </c>
      <c r="BA127" s="7">
        <f ca="1"/>
      </c>
      <c r="BB127">
        <f ca="1"/>
      </c>
      <c r="BC127">
        <f ca="1"/>
      </c>
      <c r="BD127">
        <f ca="1"/>
      </c>
      <c r="BE127">
        <f ca="1"/>
      </c>
      <c r="BG127">
        <f ca="1"/>
      </c>
      <c r="BH127">
        <f ca="1"/>
      </c>
      <c r="BI127">
        <f ca="1"/>
      </c>
      <c r="BJ127">
        <f ca="1"/>
      </c>
      <c r="BK127">
        <f ca="1"/>
      </c>
      <c r="BL127">
        <f ca="1"/>
      </c>
      <c r="BM127">
        <f ca="1"/>
      </c>
      <c r="BO127">
        <f ca="1"/>
      </c>
      <c r="BP127">
        <f ca="1"/>
      </c>
      <c r="BQ127">
        <f ca="1"/>
      </c>
      <c r="BR127">
        <f ca="1"/>
      </c>
      <c r="BS127">
        <f ca="1"/>
      </c>
      <c r="BT127">
        <f ca="1"/>
      </c>
      <c r="BU127">
        <f ca="1"/>
      </c>
    </row>
    <row r="128" spans="31:73" x14ac:dyDescent="0.55000000000000004">
      <c r="AE128" s="7">
        <f ca="1"/>
      </c>
      <c r="AF128">
        <f ca="1"/>
      </c>
      <c r="AG128">
        <f ca="1"/>
      </c>
      <c r="AH128">
        <f ca="1"/>
      </c>
      <c r="AI128">
        <f ca="1"/>
      </c>
      <c r="AJ128">
        <f ca="1"/>
      </c>
      <c r="AK128">
        <f ca="1"/>
      </c>
      <c r="AL128">
        <f ca="1"/>
      </c>
      <c r="AM128">
        <f ca="1"/>
      </c>
      <c r="AN128">
        <f ca="1"/>
      </c>
      <c r="AO128">
        <f ca="1"/>
      </c>
      <c r="AP128">
        <f ca="1"/>
      </c>
      <c r="AQ128">
        <f ca="1"/>
      </c>
      <c r="AR128">
        <f ca="1"/>
      </c>
      <c r="AT128" s="7">
        <f ca="1"/>
      </c>
      <c r="AU128">
        <f ca="1"/>
      </c>
      <c r="AV128">
        <f ca="1"/>
      </c>
      <c r="AW128">
        <f ca="1"/>
      </c>
      <c r="AX128">
        <f ca="1"/>
      </c>
      <c r="AY128">
        <f ca="1"/>
      </c>
      <c r="BA128" s="7">
        <f ca="1"/>
      </c>
      <c r="BB128">
        <f ca="1"/>
      </c>
      <c r="BC128">
        <f ca="1"/>
      </c>
      <c r="BD128">
        <f ca="1"/>
      </c>
      <c r="BE128">
        <f ca="1"/>
      </c>
      <c r="BG128">
        <f ca="1"/>
      </c>
      <c r="BH128">
        <f ca="1"/>
      </c>
      <c r="BI128">
        <f ca="1"/>
      </c>
      <c r="BJ128">
        <f ca="1"/>
      </c>
      <c r="BK128">
        <f ca="1"/>
      </c>
      <c r="BL128">
        <f ca="1"/>
      </c>
      <c r="BM128">
        <f ca="1"/>
      </c>
      <c r="BO128">
        <f ca="1"/>
      </c>
      <c r="BP128">
        <f ca="1"/>
      </c>
      <c r="BQ128">
        <f ca="1"/>
      </c>
      <c r="BR128">
        <f ca="1"/>
      </c>
      <c r="BS128">
        <f ca="1"/>
      </c>
      <c r="BT128">
        <f ca="1"/>
      </c>
      <c r="BU128">
        <f ca="1"/>
      </c>
    </row>
    <row r="129" spans="31:73" x14ac:dyDescent="0.55000000000000004">
      <c r="AE129" s="7">
        <f ca="1"/>
      </c>
      <c r="AF129">
        <f ca="1"/>
      </c>
      <c r="AG129">
        <f ca="1"/>
      </c>
      <c r="AH129">
        <f ca="1"/>
      </c>
      <c r="AI129">
        <f ca="1"/>
      </c>
      <c r="AJ129">
        <f ca="1"/>
      </c>
      <c r="AK129">
        <f ca="1"/>
      </c>
      <c r="AL129">
        <f ca="1"/>
      </c>
      <c r="AM129">
        <f ca="1"/>
      </c>
      <c r="AN129">
        <f ca="1"/>
      </c>
      <c r="AO129">
        <f ca="1"/>
      </c>
      <c r="AP129">
        <f ca="1"/>
      </c>
      <c r="AQ129">
        <f ca="1"/>
      </c>
      <c r="AR129">
        <f ca="1"/>
      </c>
      <c r="AT129" s="7">
        <f ca="1"/>
      </c>
      <c r="AU129">
        <f ca="1"/>
      </c>
      <c r="AV129">
        <f ca="1"/>
      </c>
      <c r="AW129">
        <f ca="1"/>
      </c>
      <c r="AX129">
        <f ca="1"/>
      </c>
      <c r="AY129">
        <f ca="1"/>
      </c>
      <c r="BA129" s="7">
        <f ca="1"/>
      </c>
      <c r="BB129">
        <f ca="1"/>
      </c>
      <c r="BC129">
        <f ca="1"/>
      </c>
      <c r="BD129">
        <f ca="1"/>
      </c>
      <c r="BE129">
        <f ca="1"/>
      </c>
      <c r="BG129">
        <f ca="1"/>
      </c>
      <c r="BH129">
        <f ca="1"/>
      </c>
      <c r="BI129">
        <f ca="1"/>
      </c>
      <c r="BJ129">
        <f ca="1"/>
      </c>
      <c r="BK129">
        <f ca="1"/>
      </c>
      <c r="BL129">
        <f ca="1"/>
      </c>
      <c r="BM129">
        <f ca="1"/>
      </c>
      <c r="BO129">
        <f ca="1"/>
      </c>
      <c r="BP129">
        <f ca="1"/>
      </c>
      <c r="BQ129">
        <f ca="1"/>
      </c>
      <c r="BR129">
        <f ca="1"/>
      </c>
      <c r="BS129">
        <f ca="1"/>
      </c>
      <c r="BT129">
        <f ca="1"/>
      </c>
      <c r="BU129">
        <f ca="1"/>
      </c>
    </row>
    <row r="130" spans="31:73" x14ac:dyDescent="0.55000000000000004">
      <c r="AE130" s="7">
        <f ca="1"/>
      </c>
      <c r="AF130">
        <f ca="1"/>
      </c>
      <c r="AG130">
        <f ca="1"/>
      </c>
      <c r="AH130">
        <f ca="1"/>
      </c>
      <c r="AI130">
        <f ca="1"/>
      </c>
      <c r="AJ130">
        <f ca="1"/>
      </c>
      <c r="AK130">
        <f ca="1"/>
      </c>
      <c r="AL130">
        <f ca="1"/>
      </c>
      <c r="AM130">
        <f ca="1"/>
      </c>
      <c r="AN130">
        <f ca="1"/>
      </c>
      <c r="AO130">
        <f ca="1"/>
      </c>
      <c r="AP130">
        <f ca="1"/>
      </c>
      <c r="AQ130">
        <f ca="1"/>
      </c>
      <c r="AR130">
        <f ca="1"/>
      </c>
      <c r="AT130" s="7">
        <f ca="1"/>
      </c>
      <c r="AU130">
        <f ca="1"/>
      </c>
      <c r="AV130">
        <f ca="1"/>
      </c>
      <c r="AW130">
        <f ca="1"/>
      </c>
      <c r="AX130">
        <f ca="1"/>
      </c>
      <c r="AY130">
        <f ca="1"/>
      </c>
      <c r="BA130" s="7">
        <f ca="1"/>
      </c>
      <c r="BB130">
        <f ca="1"/>
      </c>
      <c r="BC130">
        <f ca="1"/>
      </c>
      <c r="BD130">
        <f ca="1"/>
      </c>
      <c r="BE130">
        <f ca="1"/>
      </c>
      <c r="BG130">
        <f ca="1"/>
      </c>
      <c r="BH130">
        <f ca="1"/>
      </c>
      <c r="BI130">
        <f ca="1"/>
      </c>
      <c r="BJ130">
        <f ca="1"/>
      </c>
      <c r="BK130">
        <f ca="1"/>
      </c>
      <c r="BL130">
        <f ca="1"/>
      </c>
      <c r="BM130">
        <f ca="1"/>
      </c>
      <c r="BO130">
        <f ca="1"/>
      </c>
      <c r="BP130">
        <f ca="1"/>
      </c>
      <c r="BQ130">
        <f ca="1"/>
      </c>
      <c r="BR130">
        <f ca="1"/>
      </c>
      <c r="BS130">
        <f ca="1"/>
      </c>
      <c r="BT130">
        <f ca="1"/>
      </c>
      <c r="BU130">
        <f ca="1"/>
      </c>
    </row>
    <row r="131" spans="31:73" x14ac:dyDescent="0.55000000000000004">
      <c r="AE131" s="7">
        <f ca="1"/>
      </c>
      <c r="AF131">
        <f ca="1"/>
      </c>
      <c r="AG131">
        <f ca="1"/>
      </c>
      <c r="AH131">
        <f ca="1"/>
      </c>
      <c r="AI131">
        <f ca="1"/>
      </c>
      <c r="AJ131">
        <f ca="1"/>
      </c>
      <c r="AK131">
        <f ca="1"/>
      </c>
      <c r="AL131">
        <f ca="1"/>
      </c>
      <c r="AM131">
        <f ca="1"/>
      </c>
      <c r="AN131">
        <f ca="1"/>
      </c>
      <c r="AO131">
        <f ca="1"/>
      </c>
      <c r="AP131">
        <f ca="1"/>
      </c>
      <c r="AQ131">
        <f ca="1"/>
      </c>
      <c r="AR131">
        <f ca="1"/>
      </c>
      <c r="AT131" s="7">
        <f ca="1"/>
      </c>
      <c r="AU131">
        <f ca="1"/>
      </c>
      <c r="AV131">
        <f ca="1"/>
      </c>
      <c r="AW131">
        <f ca="1"/>
      </c>
      <c r="AX131">
        <f ca="1"/>
      </c>
      <c r="AY131">
        <f ca="1"/>
      </c>
      <c r="BA131" s="7">
        <f ca="1"/>
      </c>
      <c r="BB131">
        <f ca="1"/>
      </c>
      <c r="BC131">
        <f ca="1"/>
      </c>
      <c r="BD131">
        <f ca="1"/>
      </c>
      <c r="BE131">
        <f ca="1"/>
      </c>
      <c r="BG131">
        <f ca="1"/>
      </c>
      <c r="BH131">
        <f ca="1"/>
      </c>
      <c r="BI131">
        <f ca="1"/>
      </c>
      <c r="BJ131">
        <f ca="1"/>
      </c>
      <c r="BK131">
        <f ca="1"/>
      </c>
      <c r="BL131">
        <f ca="1"/>
      </c>
      <c r="BM131">
        <f ca="1"/>
      </c>
      <c r="BO131">
        <f ca="1"/>
      </c>
      <c r="BP131">
        <f ca="1"/>
      </c>
      <c r="BQ131">
        <f ca="1"/>
      </c>
      <c r="BR131">
        <f ca="1"/>
      </c>
      <c r="BS131">
        <f ca="1"/>
      </c>
      <c r="BT131">
        <f ca="1"/>
      </c>
      <c r="BU131">
        <f ca="1"/>
      </c>
    </row>
    <row r="132" spans="31:73" x14ac:dyDescent="0.55000000000000004">
      <c r="AE132" s="7">
        <f ca="1"/>
      </c>
      <c r="AF132">
        <f ca="1"/>
      </c>
      <c r="AG132">
        <f ca="1"/>
      </c>
      <c r="AH132">
        <f ca="1"/>
      </c>
      <c r="AI132">
        <f ca="1"/>
      </c>
      <c r="AJ132">
        <f ca="1"/>
      </c>
      <c r="AK132">
        <f ca="1"/>
      </c>
      <c r="AL132">
        <f ca="1"/>
      </c>
      <c r="AM132">
        <f ca="1"/>
      </c>
      <c r="AN132">
        <f ca="1"/>
      </c>
      <c r="AO132">
        <f ca="1"/>
      </c>
      <c r="AP132">
        <f ca="1"/>
      </c>
      <c r="AQ132">
        <f ca="1"/>
      </c>
      <c r="AR132">
        <f ca="1"/>
      </c>
      <c r="AT132" s="7">
        <f ca="1"/>
      </c>
      <c r="AU132">
        <f ca="1"/>
      </c>
      <c r="AV132">
        <f ca="1"/>
      </c>
      <c r="AW132">
        <f ca="1"/>
      </c>
      <c r="AX132">
        <f ca="1"/>
      </c>
      <c r="AY132">
        <f ca="1"/>
      </c>
      <c r="BA132" s="7">
        <f ca="1"/>
      </c>
      <c r="BB132">
        <f ca="1"/>
      </c>
      <c r="BC132">
        <f ca="1"/>
      </c>
      <c r="BD132">
        <f ca="1"/>
      </c>
      <c r="BE132">
        <f ca="1"/>
      </c>
      <c r="BG132">
        <f ca="1"/>
      </c>
      <c r="BH132">
        <f ca="1"/>
      </c>
      <c r="BI132">
        <f ca="1"/>
      </c>
      <c r="BJ132">
        <f ca="1"/>
      </c>
      <c r="BK132">
        <f ca="1"/>
      </c>
      <c r="BL132">
        <f ca="1"/>
      </c>
      <c r="BM132">
        <f ca="1"/>
      </c>
      <c r="BO132">
        <f ca="1"/>
      </c>
      <c r="BP132">
        <f ca="1"/>
      </c>
      <c r="BQ132">
        <f ca="1"/>
      </c>
      <c r="BR132">
        <f ca="1"/>
      </c>
      <c r="BS132">
        <f ca="1"/>
      </c>
      <c r="BT132">
        <f ca="1"/>
      </c>
      <c r="BU132">
        <f ca="1"/>
      </c>
    </row>
    <row r="133" spans="31:73" x14ac:dyDescent="0.55000000000000004">
      <c r="AE133" s="7">
        <f ca="1"/>
      </c>
      <c r="AF133">
        <f ca="1"/>
      </c>
      <c r="AG133">
        <f ca="1"/>
      </c>
      <c r="AH133">
        <f ca="1"/>
      </c>
      <c r="AI133">
        <f ca="1"/>
      </c>
      <c r="AJ133">
        <f ca="1"/>
      </c>
      <c r="AK133">
        <f ca="1"/>
      </c>
      <c r="AL133">
        <f ca="1"/>
      </c>
      <c r="AM133">
        <f ca="1"/>
      </c>
      <c r="AN133">
        <f ca="1"/>
      </c>
      <c r="AO133">
        <f ca="1"/>
      </c>
      <c r="AP133">
        <f ca="1"/>
      </c>
      <c r="AQ133">
        <f ca="1"/>
      </c>
      <c r="AR133">
        <f ca="1"/>
      </c>
      <c r="AT133" s="7">
        <f ca="1"/>
      </c>
      <c r="AU133">
        <f ca="1"/>
      </c>
      <c r="AV133">
        <f ca="1"/>
      </c>
      <c r="AW133">
        <f ca="1"/>
      </c>
      <c r="AX133">
        <f ca="1"/>
      </c>
      <c r="AY133">
        <f ca="1"/>
      </c>
      <c r="BA133" s="7">
        <f ca="1"/>
      </c>
      <c r="BB133">
        <f ca="1"/>
      </c>
      <c r="BC133">
        <f ca="1"/>
      </c>
      <c r="BD133">
        <f ca="1"/>
      </c>
      <c r="BE133">
        <f ca="1"/>
      </c>
      <c r="BG133">
        <f ca="1"/>
      </c>
      <c r="BH133">
        <f ca="1"/>
      </c>
      <c r="BI133">
        <f ca="1"/>
      </c>
      <c r="BJ133">
        <f ca="1"/>
      </c>
      <c r="BK133">
        <f ca="1"/>
      </c>
      <c r="BL133">
        <f ca="1"/>
      </c>
      <c r="BM133">
        <f ca="1"/>
      </c>
      <c r="BO133">
        <f ca="1"/>
      </c>
      <c r="BP133">
        <f ca="1"/>
      </c>
      <c r="BQ133">
        <f ca="1"/>
      </c>
      <c r="BR133">
        <f ca="1"/>
      </c>
      <c r="BS133">
        <f ca="1"/>
      </c>
      <c r="BT133">
        <f ca="1"/>
      </c>
      <c r="BU133">
        <f ca="1"/>
      </c>
    </row>
    <row r="134" spans="31:73" x14ac:dyDescent="0.55000000000000004">
      <c r="AE134" s="7">
        <f ca="1"/>
      </c>
      <c r="AF134">
        <f ca="1"/>
      </c>
      <c r="AG134">
        <f ca="1"/>
      </c>
      <c r="AH134">
        <f ca="1"/>
      </c>
      <c r="AI134">
        <f ca="1"/>
      </c>
      <c r="AJ134">
        <f ca="1"/>
      </c>
      <c r="AK134">
        <f ca="1"/>
      </c>
      <c r="AL134">
        <f ca="1"/>
      </c>
      <c r="AM134">
        <f ca="1"/>
      </c>
      <c r="AN134">
        <f ca="1"/>
      </c>
      <c r="AO134">
        <f ca="1"/>
      </c>
      <c r="AP134">
        <f ca="1"/>
      </c>
      <c r="AQ134">
        <f ca="1"/>
      </c>
      <c r="AR134">
        <f ca="1"/>
      </c>
      <c r="AT134" s="7">
        <f ca="1"/>
      </c>
      <c r="AU134">
        <f ca="1"/>
      </c>
      <c r="AV134">
        <f ca="1"/>
      </c>
      <c r="AW134">
        <f ca="1"/>
      </c>
      <c r="AX134">
        <f ca="1"/>
      </c>
      <c r="AY134">
        <f ca="1"/>
      </c>
      <c r="BA134" s="7">
        <f ca="1"/>
      </c>
      <c r="BB134">
        <f ca="1"/>
      </c>
      <c r="BC134">
        <f ca="1"/>
      </c>
      <c r="BD134">
        <f ca="1"/>
      </c>
      <c r="BE134">
        <f ca="1"/>
      </c>
      <c r="BG134">
        <f ca="1"/>
      </c>
      <c r="BH134">
        <f ca="1"/>
      </c>
      <c r="BI134">
        <f ca="1"/>
      </c>
      <c r="BJ134">
        <f ca="1"/>
      </c>
      <c r="BK134">
        <f ca="1"/>
      </c>
      <c r="BL134">
        <f ca="1"/>
      </c>
      <c r="BM134">
        <f ca="1"/>
      </c>
      <c r="BO134">
        <f ca="1"/>
      </c>
      <c r="BP134">
        <f ca="1"/>
      </c>
      <c r="BQ134">
        <f ca="1"/>
      </c>
      <c r="BR134">
        <f ca="1"/>
      </c>
      <c r="BS134">
        <f ca="1"/>
      </c>
      <c r="BT134">
        <f ca="1"/>
      </c>
      <c r="BU134">
        <f ca="1"/>
      </c>
    </row>
    <row r="135" spans="31:73" x14ac:dyDescent="0.55000000000000004">
      <c r="AE135" s="7">
        <f ca="1"/>
      </c>
      <c r="AF135">
        <f ca="1"/>
      </c>
      <c r="AG135">
        <f ca="1"/>
      </c>
      <c r="AH135">
        <f ca="1"/>
      </c>
      <c r="AI135">
        <f ca="1"/>
      </c>
      <c r="AJ135">
        <f ca="1"/>
      </c>
      <c r="AK135">
        <f ca="1"/>
      </c>
      <c r="AL135">
        <f ca="1"/>
      </c>
      <c r="AM135">
        <f ca="1"/>
      </c>
      <c r="AN135">
        <f ca="1"/>
      </c>
      <c r="AO135">
        <f ca="1"/>
      </c>
      <c r="AP135">
        <f ca="1"/>
      </c>
      <c r="AQ135">
        <f ca="1"/>
      </c>
      <c r="AR135">
        <f ca="1"/>
      </c>
      <c r="AT135" s="7">
        <f ca="1"/>
      </c>
      <c r="AU135">
        <f ca="1"/>
      </c>
      <c r="AV135">
        <f ca="1"/>
      </c>
      <c r="AW135">
        <f ca="1"/>
      </c>
      <c r="AX135">
        <f ca="1"/>
      </c>
      <c r="AY135">
        <f ca="1"/>
      </c>
      <c r="BA135" s="7">
        <f ca="1"/>
      </c>
      <c r="BB135">
        <f ca="1"/>
      </c>
      <c r="BC135">
        <f ca="1"/>
      </c>
      <c r="BD135">
        <f ca="1"/>
      </c>
      <c r="BE135">
        <f ca="1"/>
      </c>
      <c r="BG135">
        <f ca="1"/>
      </c>
      <c r="BH135">
        <f ca="1"/>
      </c>
      <c r="BI135">
        <f ca="1"/>
      </c>
      <c r="BJ135">
        <f ca="1"/>
      </c>
      <c r="BK135">
        <f ca="1"/>
      </c>
      <c r="BL135">
        <f ca="1"/>
      </c>
      <c r="BM135">
        <f ca="1"/>
      </c>
      <c r="BO135">
        <f ca="1"/>
      </c>
      <c r="BP135">
        <f ca="1"/>
      </c>
      <c r="BQ135">
        <f ca="1"/>
      </c>
      <c r="BR135">
        <f ca="1"/>
      </c>
      <c r="BS135">
        <f ca="1"/>
      </c>
      <c r="BT135">
        <f ca="1"/>
      </c>
      <c r="BU135">
        <f ca="1"/>
      </c>
    </row>
    <row r="136" spans="31:73" x14ac:dyDescent="0.55000000000000004">
      <c r="AE136" s="7">
        <f ca="1"/>
      </c>
      <c r="AF136">
        <f ca="1"/>
      </c>
      <c r="AG136">
        <f ca="1"/>
      </c>
      <c r="AH136">
        <f ca="1"/>
      </c>
      <c r="AI136">
        <f ca="1"/>
      </c>
      <c r="AJ136">
        <f ca="1"/>
      </c>
      <c r="AK136">
        <f ca="1"/>
      </c>
      <c r="AL136">
        <f ca="1"/>
      </c>
      <c r="AM136">
        <f ca="1"/>
      </c>
      <c r="AN136">
        <f ca="1"/>
      </c>
      <c r="AO136">
        <f ca="1"/>
      </c>
      <c r="AP136">
        <f ca="1"/>
      </c>
      <c r="AQ136">
        <f ca="1"/>
      </c>
      <c r="AR136">
        <f ca="1"/>
      </c>
      <c r="AT136" s="7">
        <f ca="1"/>
      </c>
      <c r="AU136">
        <f ca="1"/>
      </c>
      <c r="AV136">
        <f ca="1"/>
      </c>
      <c r="AW136">
        <f ca="1"/>
      </c>
      <c r="AX136">
        <f ca="1"/>
      </c>
      <c r="AY136">
        <f ca="1"/>
      </c>
      <c r="BA136" s="7">
        <f ca="1"/>
      </c>
      <c r="BB136">
        <f ca="1"/>
      </c>
      <c r="BC136">
        <f ca="1"/>
      </c>
      <c r="BD136">
        <f ca="1"/>
      </c>
      <c r="BE136">
        <f ca="1"/>
      </c>
      <c r="BG136">
        <f ca="1"/>
      </c>
      <c r="BH136">
        <f ca="1"/>
      </c>
      <c r="BI136">
        <f ca="1"/>
      </c>
      <c r="BJ136">
        <f ca="1"/>
      </c>
      <c r="BK136">
        <f ca="1"/>
      </c>
      <c r="BL136">
        <f ca="1"/>
      </c>
      <c r="BM136">
        <f ca="1"/>
      </c>
      <c r="BO136">
        <f ca="1"/>
      </c>
      <c r="BP136">
        <f ca="1"/>
      </c>
      <c r="BQ136">
        <f ca="1"/>
      </c>
      <c r="BR136">
        <f ca="1"/>
      </c>
      <c r="BS136">
        <f ca="1"/>
      </c>
      <c r="BT136">
        <f ca="1"/>
      </c>
      <c r="BU136">
        <f ca="1"/>
      </c>
    </row>
    <row r="137" spans="31:73" x14ac:dyDescent="0.55000000000000004">
      <c r="AE137" s="7">
        <f ca="1"/>
      </c>
      <c r="AF137">
        <f ca="1"/>
      </c>
      <c r="AG137">
        <f ca="1"/>
      </c>
      <c r="AH137">
        <f ca="1"/>
      </c>
      <c r="AI137">
        <f ca="1"/>
      </c>
      <c r="AJ137">
        <f ca="1"/>
      </c>
      <c r="AK137">
        <f ca="1"/>
      </c>
      <c r="AL137">
        <f ca="1"/>
      </c>
      <c r="AM137">
        <f ca="1"/>
      </c>
      <c r="AN137">
        <f ca="1"/>
      </c>
      <c r="AO137">
        <f ca="1"/>
      </c>
      <c r="AP137">
        <f ca="1"/>
      </c>
      <c r="AQ137">
        <f ca="1"/>
      </c>
      <c r="AR137">
        <f ca="1"/>
      </c>
      <c r="AT137" s="7">
        <f ca="1"/>
      </c>
      <c r="AU137">
        <f ca="1"/>
      </c>
      <c r="AV137">
        <f ca="1"/>
      </c>
      <c r="AW137">
        <f ca="1"/>
      </c>
      <c r="AX137">
        <f ca="1"/>
      </c>
      <c r="AY137">
        <f ca="1"/>
      </c>
      <c r="BA137" s="7">
        <f ca="1"/>
      </c>
      <c r="BB137">
        <f ca="1"/>
      </c>
      <c r="BC137">
        <f ca="1"/>
      </c>
      <c r="BD137">
        <f ca="1"/>
      </c>
      <c r="BE137">
        <f ca="1"/>
      </c>
      <c r="BG137">
        <f ca="1"/>
      </c>
      <c r="BH137">
        <f ca="1"/>
      </c>
      <c r="BI137">
        <f ca="1"/>
      </c>
      <c r="BJ137">
        <f ca="1"/>
      </c>
      <c r="BK137">
        <f ca="1"/>
      </c>
      <c r="BL137">
        <f ca="1"/>
      </c>
      <c r="BM137">
        <f ca="1"/>
      </c>
      <c r="BO137">
        <f ca="1"/>
      </c>
      <c r="BP137">
        <f ca="1"/>
      </c>
      <c r="BQ137">
        <f ca="1"/>
      </c>
      <c r="BR137">
        <f ca="1"/>
      </c>
      <c r="BS137">
        <f ca="1"/>
      </c>
      <c r="BT137">
        <f ca="1"/>
      </c>
      <c r="BU137">
        <f ca="1"/>
      </c>
    </row>
    <row r="138" spans="31:73" x14ac:dyDescent="0.55000000000000004">
      <c r="AE138" s="7">
        <f ca="1"/>
      </c>
      <c r="AF138">
        <f ca="1"/>
      </c>
      <c r="AG138">
        <f ca="1"/>
      </c>
      <c r="AH138">
        <f ca="1"/>
      </c>
      <c r="AI138">
        <f ca="1"/>
      </c>
      <c r="AJ138">
        <f ca="1"/>
      </c>
      <c r="AK138">
        <f ca="1"/>
      </c>
      <c r="AL138">
        <f ca="1"/>
      </c>
      <c r="AM138">
        <f ca="1"/>
      </c>
      <c r="AN138">
        <f ca="1"/>
      </c>
      <c r="AO138">
        <f ca="1"/>
      </c>
      <c r="AP138">
        <f ca="1"/>
      </c>
      <c r="AQ138">
        <f ca="1"/>
      </c>
      <c r="AR138">
        <f ca="1"/>
      </c>
      <c r="AT138" s="7">
        <f ca="1"/>
      </c>
      <c r="AU138">
        <f ca="1"/>
      </c>
      <c r="AV138">
        <f ca="1"/>
      </c>
      <c r="AW138">
        <f ca="1"/>
      </c>
      <c r="AX138">
        <f ca="1"/>
      </c>
      <c r="AY138">
        <f ca="1"/>
      </c>
      <c r="BA138" s="7">
        <f ca="1"/>
      </c>
      <c r="BB138">
        <f ca="1"/>
      </c>
      <c r="BC138">
        <f ca="1"/>
      </c>
      <c r="BD138">
        <f ca="1"/>
      </c>
      <c r="BE138">
        <f ca="1"/>
      </c>
      <c r="BG138">
        <f ca="1"/>
      </c>
      <c r="BH138">
        <f ca="1"/>
      </c>
      <c r="BI138">
        <f ca="1"/>
      </c>
      <c r="BJ138">
        <f ca="1"/>
      </c>
      <c r="BK138">
        <f ca="1"/>
      </c>
      <c r="BL138">
        <f ca="1"/>
      </c>
      <c r="BM138">
        <f ca="1"/>
      </c>
      <c r="BO138">
        <f ca="1"/>
      </c>
      <c r="BP138">
        <f ca="1"/>
      </c>
      <c r="BQ138">
        <f ca="1"/>
      </c>
      <c r="BR138">
        <f ca="1"/>
      </c>
      <c r="BS138">
        <f ca="1"/>
      </c>
      <c r="BT138">
        <f ca="1"/>
      </c>
      <c r="BU138">
        <f ca="1"/>
      </c>
    </row>
    <row r="139" spans="31:73" x14ac:dyDescent="0.55000000000000004">
      <c r="AE139" s="7">
        <f ca="1"/>
      </c>
      <c r="AF139">
        <f ca="1"/>
      </c>
      <c r="AG139">
        <f ca="1"/>
      </c>
      <c r="AH139">
        <f ca="1"/>
      </c>
      <c r="AI139">
        <f ca="1"/>
      </c>
      <c r="AJ139">
        <f ca="1"/>
      </c>
      <c r="AK139">
        <f ca="1"/>
      </c>
      <c r="AL139">
        <f ca="1"/>
      </c>
      <c r="AM139">
        <f ca="1"/>
      </c>
      <c r="AN139">
        <f ca="1"/>
      </c>
      <c r="AO139">
        <f ca="1"/>
      </c>
      <c r="AP139">
        <f ca="1"/>
      </c>
      <c r="AQ139">
        <f ca="1"/>
      </c>
      <c r="AR139">
        <f ca="1"/>
      </c>
      <c r="AT139" s="7">
        <f ca="1"/>
      </c>
      <c r="AU139">
        <f ca="1"/>
      </c>
      <c r="AV139">
        <f ca="1"/>
      </c>
      <c r="AW139">
        <f ca="1"/>
      </c>
      <c r="AX139">
        <f ca="1"/>
      </c>
      <c r="AY139">
        <f ca="1"/>
      </c>
      <c r="BA139" s="7">
        <f ca="1"/>
      </c>
      <c r="BB139">
        <f ca="1"/>
      </c>
      <c r="BC139">
        <f ca="1"/>
      </c>
      <c r="BD139">
        <f ca="1"/>
      </c>
      <c r="BE139">
        <f ca="1"/>
      </c>
      <c r="BG139">
        <f ca="1"/>
      </c>
      <c r="BH139">
        <f ca="1"/>
      </c>
      <c r="BI139">
        <f ca="1"/>
      </c>
      <c r="BJ139">
        <f ca="1"/>
      </c>
      <c r="BK139">
        <f ca="1"/>
      </c>
      <c r="BL139">
        <f ca="1"/>
      </c>
      <c r="BM139">
        <f ca="1"/>
      </c>
      <c r="BO139">
        <f ca="1"/>
      </c>
      <c r="BP139">
        <f ca="1"/>
      </c>
      <c r="BQ139">
        <f ca="1"/>
      </c>
      <c r="BR139">
        <f ca="1"/>
      </c>
      <c r="BS139">
        <f ca="1"/>
      </c>
      <c r="BT139">
        <f ca="1"/>
      </c>
      <c r="BU139">
        <f ca="1"/>
      </c>
    </row>
    <row r="140" spans="31:73" x14ac:dyDescent="0.55000000000000004">
      <c r="AE140" s="7">
        <f ca="1"/>
      </c>
      <c r="AF140">
        <f ca="1"/>
      </c>
      <c r="AG140">
        <f ca="1"/>
      </c>
      <c r="AH140">
        <f ca="1"/>
      </c>
      <c r="AI140">
        <f ca="1"/>
      </c>
      <c r="AJ140">
        <f ca="1"/>
      </c>
      <c r="AK140">
        <f ca="1"/>
      </c>
      <c r="AL140">
        <f ca="1"/>
      </c>
      <c r="AM140">
        <f ca="1"/>
      </c>
      <c r="AN140">
        <f ca="1"/>
      </c>
      <c r="AO140">
        <f ca="1"/>
      </c>
      <c r="AP140">
        <f ca="1"/>
      </c>
      <c r="AQ140">
        <f ca="1"/>
      </c>
      <c r="AR140">
        <f ca="1"/>
      </c>
      <c r="AT140" s="7">
        <f ca="1"/>
      </c>
      <c r="AU140">
        <f ca="1"/>
      </c>
      <c r="AV140">
        <f ca="1"/>
      </c>
      <c r="AW140">
        <f ca="1"/>
      </c>
      <c r="AX140">
        <f ca="1"/>
      </c>
      <c r="AY140">
        <f ca="1"/>
      </c>
      <c r="BA140" s="7">
        <f ca="1"/>
      </c>
      <c r="BB140">
        <f ca="1"/>
      </c>
      <c r="BC140">
        <f ca="1"/>
      </c>
      <c r="BD140">
        <f ca="1"/>
      </c>
      <c r="BE140">
        <f ca="1"/>
      </c>
      <c r="BG140">
        <f ca="1"/>
      </c>
      <c r="BH140">
        <f ca="1"/>
      </c>
      <c r="BI140">
        <f ca="1"/>
      </c>
      <c r="BJ140">
        <f ca="1"/>
      </c>
      <c r="BK140">
        <f ca="1"/>
      </c>
      <c r="BL140">
        <f ca="1"/>
      </c>
      <c r="BM140">
        <f ca="1"/>
      </c>
      <c r="BO140">
        <f ca="1"/>
      </c>
      <c r="BP140">
        <f ca="1"/>
      </c>
      <c r="BQ140">
        <f ca="1"/>
      </c>
      <c r="BR140">
        <f ca="1"/>
      </c>
      <c r="BS140">
        <f ca="1"/>
      </c>
      <c r="BT140">
        <f ca="1"/>
      </c>
      <c r="BU140">
        <f ca="1"/>
      </c>
    </row>
    <row r="141" spans="31:73" x14ac:dyDescent="0.55000000000000004">
      <c r="AE141" s="7">
        <f ca="1"/>
      </c>
      <c r="AF141">
        <f ca="1"/>
      </c>
      <c r="AG141">
        <f ca="1"/>
      </c>
      <c r="AH141">
        <f ca="1"/>
      </c>
      <c r="AI141">
        <f ca="1"/>
      </c>
      <c r="AJ141">
        <f ca="1"/>
      </c>
      <c r="AK141">
        <f ca="1"/>
      </c>
      <c r="AL141">
        <f ca="1"/>
      </c>
      <c r="AM141">
        <f ca="1"/>
      </c>
      <c r="AN141">
        <f ca="1"/>
      </c>
      <c r="AO141">
        <f ca="1"/>
      </c>
      <c r="AP141">
        <f ca="1"/>
      </c>
      <c r="AQ141">
        <f ca="1"/>
      </c>
      <c r="AR141">
        <f ca="1"/>
      </c>
      <c r="AT141" s="7">
        <f ca="1"/>
      </c>
      <c r="AU141">
        <f ca="1"/>
      </c>
      <c r="AV141">
        <f ca="1"/>
      </c>
      <c r="AW141">
        <f ca="1"/>
      </c>
      <c r="AX141">
        <f ca="1"/>
      </c>
      <c r="AY141">
        <f ca="1"/>
      </c>
      <c r="BA141" s="7">
        <f ca="1"/>
      </c>
      <c r="BB141">
        <f ca="1"/>
      </c>
      <c r="BC141">
        <f ca="1"/>
      </c>
      <c r="BD141">
        <f ca="1"/>
      </c>
      <c r="BE141">
        <f ca="1"/>
      </c>
      <c r="BG141">
        <f ca="1"/>
      </c>
      <c r="BH141">
        <f ca="1"/>
      </c>
      <c r="BI141">
        <f ca="1"/>
      </c>
      <c r="BJ141">
        <f ca="1"/>
      </c>
      <c r="BK141">
        <f ca="1"/>
      </c>
      <c r="BL141">
        <f ca="1"/>
      </c>
      <c r="BM141">
        <f ca="1"/>
      </c>
      <c r="BO141">
        <f ca="1"/>
      </c>
      <c r="BP141">
        <f ca="1"/>
      </c>
      <c r="BQ141">
        <f ca="1"/>
      </c>
      <c r="BR141">
        <f ca="1"/>
      </c>
      <c r="BS141">
        <f ca="1"/>
      </c>
      <c r="BT141">
        <f ca="1"/>
      </c>
      <c r="BU141">
        <f ca="1"/>
      </c>
    </row>
    <row r="142" spans="31:73" x14ac:dyDescent="0.55000000000000004">
      <c r="AE142" s="7">
        <f ca="1"/>
      </c>
      <c r="AF142">
        <f ca="1"/>
      </c>
      <c r="AG142">
        <f ca="1"/>
      </c>
      <c r="AH142">
        <f ca="1"/>
      </c>
      <c r="AI142">
        <f ca="1"/>
      </c>
      <c r="AJ142">
        <f ca="1"/>
      </c>
      <c r="AK142">
        <f ca="1"/>
      </c>
      <c r="AL142">
        <f ca="1"/>
      </c>
      <c r="AM142">
        <f ca="1"/>
      </c>
      <c r="AN142">
        <f ca="1"/>
      </c>
      <c r="AO142">
        <f ca="1"/>
      </c>
      <c r="AP142">
        <f ca="1"/>
      </c>
      <c r="AQ142">
        <f ca="1"/>
      </c>
      <c r="AR142">
        <f ca="1"/>
      </c>
      <c r="AT142" s="7">
        <f ca="1"/>
      </c>
      <c r="AU142">
        <f ca="1"/>
      </c>
      <c r="AV142">
        <f ca="1"/>
      </c>
      <c r="AW142">
        <f ca="1"/>
      </c>
      <c r="AX142">
        <f ca="1"/>
      </c>
      <c r="AY142">
        <f ca="1"/>
      </c>
      <c r="BA142" s="7">
        <f ca="1"/>
      </c>
      <c r="BB142">
        <f ca="1"/>
      </c>
      <c r="BC142">
        <f ca="1"/>
      </c>
      <c r="BD142">
        <f ca="1"/>
      </c>
      <c r="BE142">
        <f ca="1"/>
      </c>
      <c r="BG142">
        <f ca="1"/>
      </c>
      <c r="BH142">
        <f ca="1"/>
      </c>
      <c r="BI142">
        <f ca="1"/>
      </c>
      <c r="BJ142">
        <f ca="1"/>
      </c>
      <c r="BK142">
        <f ca="1"/>
      </c>
      <c r="BL142">
        <f ca="1"/>
      </c>
      <c r="BM142">
        <f ca="1"/>
      </c>
      <c r="BO142">
        <f ca="1"/>
      </c>
      <c r="BP142">
        <f ca="1"/>
      </c>
      <c r="BQ142">
        <f ca="1"/>
      </c>
      <c r="BR142">
        <f ca="1"/>
      </c>
      <c r="BS142">
        <f ca="1"/>
      </c>
      <c r="BT142">
        <f ca="1"/>
      </c>
      <c r="BU142">
        <f ca="1"/>
      </c>
    </row>
    <row r="143" spans="31:73" x14ac:dyDescent="0.55000000000000004">
      <c r="AE143" s="7">
        <f ca="1"/>
      </c>
      <c r="AF143">
        <f ca="1"/>
      </c>
      <c r="AG143">
        <f ca="1"/>
      </c>
      <c r="AH143">
        <f ca="1"/>
      </c>
      <c r="AI143">
        <f ca="1"/>
      </c>
      <c r="AJ143">
        <f ca="1"/>
      </c>
      <c r="AK143">
        <f ca="1"/>
      </c>
      <c r="AL143">
        <f ca="1"/>
      </c>
      <c r="AM143">
        <f ca="1"/>
      </c>
      <c r="AN143">
        <f ca="1"/>
      </c>
      <c r="AO143">
        <f ca="1"/>
      </c>
      <c r="AP143">
        <f ca="1"/>
      </c>
      <c r="AQ143">
        <f ca="1"/>
      </c>
      <c r="AR143">
        <f ca="1"/>
      </c>
      <c r="AT143" s="7">
        <f ca="1"/>
      </c>
      <c r="AU143">
        <f ca="1"/>
      </c>
      <c r="AV143">
        <f ca="1"/>
      </c>
      <c r="AW143">
        <f ca="1"/>
      </c>
      <c r="AX143">
        <f ca="1"/>
      </c>
      <c r="AY143">
        <f ca="1"/>
      </c>
      <c r="BA143" s="7">
        <f ca="1"/>
      </c>
      <c r="BB143">
        <f ca="1"/>
      </c>
      <c r="BC143">
        <f ca="1"/>
      </c>
      <c r="BD143">
        <f ca="1"/>
      </c>
      <c r="BE143">
        <f ca="1"/>
      </c>
      <c r="BG143">
        <f ca="1"/>
      </c>
      <c r="BH143">
        <f ca="1"/>
      </c>
      <c r="BI143">
        <f ca="1"/>
      </c>
      <c r="BJ143">
        <f ca="1"/>
      </c>
      <c r="BK143">
        <f ca="1"/>
      </c>
      <c r="BL143">
        <f ca="1"/>
      </c>
      <c r="BM143">
        <f ca="1"/>
      </c>
      <c r="BO143">
        <f ca="1"/>
      </c>
      <c r="BP143">
        <f ca="1"/>
      </c>
      <c r="BQ143">
        <f ca="1"/>
      </c>
      <c r="BR143">
        <f ca="1"/>
      </c>
      <c r="BS143">
        <f ca="1"/>
      </c>
      <c r="BT143">
        <f ca="1"/>
      </c>
      <c r="BU143">
        <f ca="1"/>
      </c>
    </row>
    <row r="144" spans="31:73" x14ac:dyDescent="0.55000000000000004">
      <c r="AE144" s="7">
        <f ca="1"/>
      </c>
      <c r="AF144">
        <f ca="1"/>
      </c>
      <c r="AG144">
        <f ca="1"/>
      </c>
      <c r="AH144">
        <f ca="1"/>
      </c>
      <c r="AI144">
        <f ca="1"/>
      </c>
      <c r="AJ144">
        <f ca="1"/>
      </c>
      <c r="AK144">
        <f ca="1"/>
      </c>
      <c r="AL144">
        <f ca="1"/>
      </c>
      <c r="AM144">
        <f ca="1"/>
      </c>
      <c r="AN144">
        <f ca="1"/>
      </c>
      <c r="AO144">
        <f ca="1"/>
      </c>
      <c r="AP144">
        <f ca="1"/>
      </c>
      <c r="AQ144">
        <f ca="1"/>
      </c>
      <c r="AR144">
        <f ca="1"/>
      </c>
      <c r="AT144" s="7">
        <f ca="1"/>
      </c>
      <c r="AU144">
        <f ca="1"/>
      </c>
      <c r="AV144">
        <f ca="1"/>
      </c>
      <c r="AW144">
        <f ca="1"/>
      </c>
      <c r="AX144">
        <f ca="1"/>
      </c>
      <c r="AY144">
        <f ca="1"/>
      </c>
      <c r="BA144" s="7">
        <f ca="1"/>
      </c>
      <c r="BB144">
        <f ca="1"/>
      </c>
      <c r="BC144">
        <f ca="1"/>
      </c>
      <c r="BD144">
        <f ca="1"/>
      </c>
      <c r="BE144">
        <f ca="1"/>
      </c>
      <c r="BG144">
        <f ca="1"/>
      </c>
      <c r="BH144">
        <f ca="1"/>
      </c>
      <c r="BI144">
        <f ca="1"/>
      </c>
      <c r="BJ144">
        <f ca="1"/>
      </c>
      <c r="BK144">
        <f ca="1"/>
      </c>
      <c r="BL144">
        <f ca="1"/>
      </c>
      <c r="BM144">
        <f ca="1"/>
      </c>
      <c r="BO144">
        <f ca="1"/>
      </c>
      <c r="BP144">
        <f ca="1"/>
      </c>
      <c r="BQ144">
        <f ca="1"/>
      </c>
      <c r="BR144">
        <f ca="1"/>
      </c>
      <c r="BS144">
        <f ca="1"/>
      </c>
      <c r="BT144">
        <f ca="1"/>
      </c>
      <c r="BU144">
        <f ca="1"/>
      </c>
    </row>
    <row r="145" spans="31:73" x14ac:dyDescent="0.55000000000000004">
      <c r="AE145" s="7">
        <f ca="1"/>
      </c>
      <c r="AF145">
        <f ca="1"/>
      </c>
      <c r="AG145">
        <f ca="1"/>
      </c>
      <c r="AH145">
        <f ca="1"/>
      </c>
      <c r="AI145">
        <f ca="1"/>
      </c>
      <c r="AJ145">
        <f ca="1"/>
      </c>
      <c r="AK145">
        <f ca="1"/>
      </c>
      <c r="AL145">
        <f ca="1"/>
      </c>
      <c r="AM145">
        <f ca="1"/>
      </c>
      <c r="AN145">
        <f ca="1"/>
      </c>
      <c r="AO145">
        <f ca="1"/>
      </c>
      <c r="AP145">
        <f ca="1"/>
      </c>
      <c r="AQ145">
        <f ca="1"/>
      </c>
      <c r="AR145">
        <f ca="1"/>
      </c>
      <c r="AT145" s="7">
        <f ca="1"/>
      </c>
      <c r="AU145">
        <f ca="1"/>
      </c>
      <c r="AV145">
        <f ca="1"/>
      </c>
      <c r="AW145">
        <f ca="1"/>
      </c>
      <c r="AX145">
        <f ca="1"/>
      </c>
      <c r="AY145">
        <f ca="1"/>
      </c>
      <c r="BA145" s="7">
        <f ca="1"/>
      </c>
      <c r="BB145">
        <f ca="1"/>
      </c>
      <c r="BC145">
        <f ca="1"/>
      </c>
      <c r="BD145">
        <f ca="1"/>
      </c>
      <c r="BE145">
        <f ca="1"/>
      </c>
      <c r="BG145">
        <f ca="1"/>
      </c>
      <c r="BH145">
        <f ca="1"/>
      </c>
      <c r="BI145">
        <f ca="1"/>
      </c>
      <c r="BJ145">
        <f ca="1"/>
      </c>
      <c r="BK145">
        <f ca="1"/>
      </c>
      <c r="BL145">
        <f ca="1"/>
      </c>
      <c r="BM145">
        <f ca="1"/>
      </c>
      <c r="BO145">
        <f ca="1"/>
      </c>
      <c r="BP145">
        <f ca="1"/>
      </c>
      <c r="BQ145">
        <f ca="1"/>
      </c>
      <c r="BR145">
        <f ca="1"/>
      </c>
      <c r="BS145">
        <f ca="1"/>
      </c>
      <c r="BT145">
        <f ca="1"/>
      </c>
      <c r="BU145">
        <f ca="1"/>
      </c>
    </row>
    <row r="146" spans="31:73" x14ac:dyDescent="0.55000000000000004">
      <c r="AE146" s="7">
        <f ca="1"/>
      </c>
      <c r="AF146">
        <f ca="1"/>
      </c>
      <c r="AG146">
        <f ca="1"/>
      </c>
      <c r="AH146">
        <f ca="1"/>
      </c>
      <c r="AI146">
        <f ca="1"/>
      </c>
      <c r="AJ146">
        <f ca="1"/>
      </c>
      <c r="AK146">
        <f ca="1"/>
      </c>
      <c r="AL146">
        <f ca="1"/>
      </c>
      <c r="AM146">
        <f ca="1"/>
      </c>
      <c r="AN146">
        <f ca="1"/>
      </c>
      <c r="AO146">
        <f ca="1"/>
      </c>
      <c r="AP146">
        <f ca="1"/>
      </c>
      <c r="AQ146">
        <f ca="1"/>
      </c>
      <c r="AR146">
        <f ca="1"/>
      </c>
      <c r="AT146" s="7">
        <f ca="1"/>
      </c>
      <c r="AU146">
        <f ca="1"/>
      </c>
      <c r="AV146">
        <f ca="1"/>
      </c>
      <c r="AW146">
        <f ca="1"/>
      </c>
      <c r="AX146">
        <f ca="1"/>
      </c>
      <c r="AY146">
        <f ca="1"/>
      </c>
      <c r="BA146" s="7">
        <f ca="1"/>
      </c>
      <c r="BB146">
        <f ca="1"/>
      </c>
      <c r="BC146">
        <f ca="1"/>
      </c>
      <c r="BD146">
        <f ca="1"/>
      </c>
      <c r="BE146">
        <f ca="1"/>
      </c>
      <c r="BG146">
        <f ca="1"/>
      </c>
      <c r="BH146">
        <f ca="1"/>
      </c>
      <c r="BI146">
        <f ca="1"/>
      </c>
      <c r="BJ146">
        <f ca="1"/>
      </c>
      <c r="BK146">
        <f ca="1"/>
      </c>
      <c r="BL146">
        <f ca="1"/>
      </c>
      <c r="BM146">
        <f ca="1"/>
      </c>
      <c r="BO146">
        <f ca="1"/>
      </c>
      <c r="BP146">
        <f ca="1"/>
      </c>
      <c r="BQ146">
        <f ca="1"/>
      </c>
      <c r="BR146">
        <f ca="1"/>
      </c>
      <c r="BS146">
        <f ca="1"/>
      </c>
      <c r="BT146">
        <f ca="1"/>
      </c>
      <c r="BU146">
        <f ca="1"/>
      </c>
    </row>
    <row r="147" spans="31:73" x14ac:dyDescent="0.55000000000000004">
      <c r="AE147" s="7">
        <f ca="1"/>
      </c>
      <c r="AF147">
        <f ca="1"/>
      </c>
      <c r="AG147">
        <f ca="1"/>
      </c>
      <c r="AH147">
        <f ca="1"/>
      </c>
      <c r="AI147">
        <f ca="1"/>
      </c>
      <c r="AJ147">
        <f ca="1"/>
      </c>
      <c r="AK147">
        <f ca="1"/>
      </c>
      <c r="AL147">
        <f ca="1"/>
      </c>
      <c r="AM147">
        <f ca="1"/>
      </c>
      <c r="AN147">
        <f ca="1"/>
      </c>
      <c r="AO147">
        <f ca="1"/>
      </c>
      <c r="AP147">
        <f ca="1"/>
      </c>
      <c r="AQ147">
        <f ca="1"/>
      </c>
      <c r="AR147">
        <f ca="1"/>
      </c>
      <c r="AT147" s="7">
        <f ca="1"/>
      </c>
      <c r="AU147">
        <f ca="1"/>
      </c>
      <c r="AV147">
        <f ca="1"/>
      </c>
      <c r="AW147">
        <f ca="1"/>
      </c>
      <c r="AX147">
        <f ca="1"/>
      </c>
      <c r="AY147">
        <f ca="1"/>
      </c>
      <c r="BA147" s="7">
        <f ca="1"/>
      </c>
      <c r="BB147">
        <f ca="1"/>
      </c>
      <c r="BC147">
        <f ca="1"/>
      </c>
      <c r="BD147">
        <f ca="1"/>
      </c>
      <c r="BE147">
        <f ca="1"/>
      </c>
      <c r="BG147">
        <f ca="1"/>
      </c>
      <c r="BH147">
        <f ca="1"/>
      </c>
      <c r="BI147">
        <f ca="1"/>
      </c>
      <c r="BJ147">
        <f ca="1"/>
      </c>
      <c r="BK147">
        <f ca="1"/>
      </c>
      <c r="BL147">
        <f ca="1"/>
      </c>
      <c r="BM147">
        <f ca="1"/>
      </c>
      <c r="BO147">
        <f ca="1"/>
      </c>
      <c r="BP147">
        <f ca="1"/>
      </c>
      <c r="BQ147">
        <f ca="1"/>
      </c>
      <c r="BR147">
        <f ca="1"/>
      </c>
      <c r="BS147">
        <f ca="1"/>
      </c>
      <c r="BT147">
        <f ca="1"/>
      </c>
      <c r="BU147">
        <f ca="1"/>
      </c>
    </row>
    <row r="148" spans="31:73" x14ac:dyDescent="0.55000000000000004">
      <c r="AE148" s="7">
        <f ca="1"/>
      </c>
      <c r="AF148">
        <f ca="1"/>
      </c>
      <c r="AG148">
        <f ca="1"/>
      </c>
      <c r="AH148">
        <f ca="1"/>
      </c>
      <c r="AI148">
        <f ca="1"/>
      </c>
      <c r="AJ148">
        <f ca="1"/>
      </c>
      <c r="AK148">
        <f ca="1"/>
      </c>
      <c r="AL148">
        <f ca="1"/>
      </c>
      <c r="AM148">
        <f ca="1"/>
      </c>
      <c r="AN148">
        <f ca="1"/>
      </c>
      <c r="AO148">
        <f ca="1"/>
      </c>
      <c r="AP148">
        <f ca="1"/>
      </c>
      <c r="AQ148">
        <f ca="1"/>
      </c>
      <c r="AR148">
        <f ca="1"/>
      </c>
      <c r="AT148" s="7">
        <f ca="1"/>
      </c>
      <c r="AU148">
        <f ca="1"/>
      </c>
      <c r="AV148">
        <f ca="1"/>
      </c>
      <c r="AW148">
        <f ca="1"/>
      </c>
      <c r="AX148">
        <f ca="1"/>
      </c>
      <c r="AY148">
        <f ca="1"/>
      </c>
      <c r="BA148" s="7">
        <f ca="1"/>
      </c>
      <c r="BB148">
        <f ca="1"/>
      </c>
      <c r="BC148">
        <f ca="1"/>
      </c>
      <c r="BD148">
        <f ca="1"/>
      </c>
      <c r="BE148">
        <f ca="1"/>
      </c>
      <c r="BG148">
        <f ca="1"/>
      </c>
      <c r="BH148">
        <f ca="1"/>
      </c>
      <c r="BI148">
        <f ca="1"/>
      </c>
      <c r="BJ148">
        <f ca="1"/>
      </c>
      <c r="BK148">
        <f ca="1"/>
      </c>
      <c r="BL148">
        <f ca="1"/>
      </c>
      <c r="BM148">
        <f ca="1"/>
      </c>
      <c r="BO148">
        <f ca="1"/>
      </c>
      <c r="BP148">
        <f ca="1"/>
      </c>
      <c r="BQ148">
        <f ca="1"/>
      </c>
      <c r="BR148">
        <f ca="1"/>
      </c>
      <c r="BS148">
        <f ca="1"/>
      </c>
      <c r="BT148">
        <f ca="1"/>
      </c>
      <c r="BU148">
        <f ca="1"/>
      </c>
    </row>
    <row r="149" spans="31:73" x14ac:dyDescent="0.55000000000000004">
      <c r="AE149" s="7">
        <f ca="1"/>
      </c>
      <c r="AF149">
        <f ca="1"/>
      </c>
      <c r="AG149">
        <f ca="1"/>
      </c>
      <c r="AH149">
        <f ca="1"/>
      </c>
      <c r="AI149">
        <f ca="1"/>
      </c>
      <c r="AJ149">
        <f ca="1"/>
      </c>
      <c r="AK149">
        <f ca="1"/>
      </c>
      <c r="AL149">
        <f ca="1"/>
      </c>
      <c r="AM149">
        <f ca="1"/>
      </c>
      <c r="AN149">
        <f ca="1"/>
      </c>
      <c r="AO149">
        <f ca="1"/>
      </c>
      <c r="AP149">
        <f ca="1"/>
      </c>
      <c r="AQ149">
        <f ca="1"/>
      </c>
      <c r="AR149">
        <f ca="1"/>
      </c>
      <c r="AT149" s="7">
        <f ca="1"/>
      </c>
      <c r="AU149">
        <f ca="1"/>
      </c>
      <c r="AV149">
        <f ca="1"/>
      </c>
      <c r="AW149">
        <f ca="1"/>
      </c>
      <c r="AX149">
        <f ca="1"/>
      </c>
      <c r="AY149">
        <f ca="1"/>
      </c>
      <c r="BA149" s="7">
        <f ca="1"/>
      </c>
      <c r="BB149">
        <f ca="1"/>
      </c>
      <c r="BC149">
        <f ca="1"/>
      </c>
      <c r="BD149">
        <f ca="1"/>
      </c>
      <c r="BE149">
        <f ca="1"/>
      </c>
      <c r="BG149">
        <f ca="1"/>
      </c>
      <c r="BH149">
        <f ca="1"/>
      </c>
      <c r="BI149">
        <f ca="1"/>
      </c>
      <c r="BJ149">
        <f ca="1"/>
      </c>
      <c r="BK149">
        <f ca="1"/>
      </c>
      <c r="BL149">
        <f ca="1"/>
      </c>
      <c r="BM149">
        <f ca="1"/>
      </c>
      <c r="BO149">
        <f ca="1"/>
      </c>
      <c r="BP149">
        <f ca="1"/>
      </c>
      <c r="BQ149">
        <f ca="1"/>
      </c>
      <c r="BR149">
        <f ca="1"/>
      </c>
      <c r="BS149">
        <f ca="1"/>
      </c>
      <c r="BT149">
        <f ca="1"/>
      </c>
      <c r="BU149">
        <f ca="1"/>
      </c>
    </row>
    <row r="150" spans="31:73" x14ac:dyDescent="0.55000000000000004">
      <c r="AE150" s="7">
        <f ca="1"/>
      </c>
      <c r="AF150">
        <f ca="1"/>
      </c>
      <c r="AG150">
        <f ca="1"/>
      </c>
      <c r="AH150">
        <f ca="1"/>
      </c>
      <c r="AI150">
        <f ca="1"/>
      </c>
      <c r="AJ150">
        <f ca="1"/>
      </c>
      <c r="AK150">
        <f ca="1"/>
      </c>
      <c r="AL150">
        <f ca="1"/>
      </c>
      <c r="AM150">
        <f ca="1"/>
      </c>
      <c r="AN150">
        <f ca="1"/>
      </c>
      <c r="AO150">
        <f ca="1"/>
      </c>
      <c r="AP150">
        <f ca="1"/>
      </c>
      <c r="AQ150">
        <f ca="1"/>
      </c>
      <c r="AR150">
        <f ca="1"/>
      </c>
      <c r="AT150" s="7">
        <f ca="1"/>
      </c>
      <c r="AU150">
        <f ca="1"/>
      </c>
      <c r="AV150">
        <f ca="1"/>
      </c>
      <c r="AW150">
        <f ca="1"/>
      </c>
      <c r="AX150">
        <f ca="1"/>
      </c>
      <c r="AY150">
        <f ca="1"/>
      </c>
      <c r="BA150" s="7">
        <f ca="1"/>
      </c>
      <c r="BB150">
        <f ca="1"/>
      </c>
      <c r="BC150">
        <f ca="1"/>
      </c>
      <c r="BD150">
        <f ca="1"/>
      </c>
      <c r="BE150">
        <f ca="1"/>
      </c>
      <c r="BG150">
        <f ca="1"/>
      </c>
      <c r="BH150">
        <f ca="1"/>
      </c>
      <c r="BI150">
        <f ca="1"/>
      </c>
      <c r="BJ150">
        <f ca="1"/>
      </c>
      <c r="BK150">
        <f ca="1"/>
      </c>
      <c r="BL150">
        <f ca="1"/>
      </c>
      <c r="BM150">
        <f ca="1"/>
      </c>
      <c r="BO150">
        <f ca="1"/>
      </c>
      <c r="BP150">
        <f ca="1"/>
      </c>
      <c r="BQ150">
        <f ca="1"/>
      </c>
      <c r="BR150">
        <f ca="1"/>
      </c>
      <c r="BS150">
        <f ca="1"/>
      </c>
      <c r="BT150">
        <f ca="1"/>
      </c>
      <c r="BU150">
        <f ca="1"/>
      </c>
    </row>
    <row r="151" spans="31:73" x14ac:dyDescent="0.55000000000000004">
      <c r="AE151" s="7">
        <f ca="1"/>
      </c>
      <c r="AF151">
        <f ca="1"/>
      </c>
      <c r="AG151">
        <f ca="1"/>
      </c>
      <c r="AH151">
        <f ca="1"/>
      </c>
      <c r="AI151">
        <f ca="1"/>
      </c>
      <c r="AJ151">
        <f ca="1"/>
      </c>
      <c r="AK151">
        <f ca="1"/>
      </c>
      <c r="AL151">
        <f ca="1"/>
      </c>
      <c r="AM151">
        <f ca="1"/>
      </c>
      <c r="AN151">
        <f ca="1"/>
      </c>
      <c r="AO151">
        <f ca="1"/>
      </c>
      <c r="AP151">
        <f ca="1"/>
      </c>
      <c r="AQ151">
        <f ca="1"/>
      </c>
      <c r="AR151">
        <f ca="1"/>
      </c>
      <c r="AT151" s="7">
        <f ca="1"/>
      </c>
      <c r="AU151">
        <f ca="1"/>
      </c>
      <c r="AV151">
        <f ca="1"/>
      </c>
      <c r="AW151">
        <f ca="1"/>
      </c>
      <c r="AX151">
        <f ca="1"/>
      </c>
      <c r="AY151">
        <f ca="1"/>
      </c>
      <c r="BA151" s="7">
        <f ca="1"/>
      </c>
      <c r="BB151">
        <f ca="1"/>
      </c>
      <c r="BC151">
        <f ca="1"/>
      </c>
      <c r="BD151">
        <f ca="1"/>
      </c>
      <c r="BE151">
        <f ca="1"/>
      </c>
      <c r="BG151">
        <f ca="1"/>
      </c>
      <c r="BH151">
        <f ca="1"/>
      </c>
      <c r="BI151">
        <f ca="1"/>
      </c>
      <c r="BJ151">
        <f ca="1"/>
      </c>
      <c r="BK151">
        <f ca="1"/>
      </c>
      <c r="BL151">
        <f ca="1"/>
      </c>
      <c r="BM151">
        <f ca="1"/>
      </c>
      <c r="BO151">
        <f ca="1"/>
      </c>
      <c r="BP151">
        <f ca="1"/>
      </c>
      <c r="BQ151">
        <f ca="1"/>
      </c>
      <c r="BR151">
        <f ca="1"/>
      </c>
      <c r="BS151">
        <f ca="1"/>
      </c>
      <c r="BT151">
        <f ca="1"/>
      </c>
      <c r="BU151">
        <f ca="1"/>
      </c>
    </row>
    <row r="152" spans="31:73" x14ac:dyDescent="0.55000000000000004">
      <c r="AE152" s="7">
        <f ca="1"/>
      </c>
      <c r="AF152">
        <f ca="1"/>
      </c>
      <c r="AG152">
        <f ca="1"/>
      </c>
      <c r="AH152">
        <f ca="1"/>
      </c>
      <c r="AI152">
        <f ca="1"/>
      </c>
      <c r="AJ152">
        <f ca="1"/>
      </c>
      <c r="AK152">
        <f ca="1"/>
      </c>
      <c r="AL152">
        <f ca="1"/>
      </c>
      <c r="AM152">
        <f ca="1"/>
      </c>
      <c r="AN152">
        <f ca="1"/>
      </c>
      <c r="AO152">
        <f ca="1"/>
      </c>
      <c r="AP152">
        <f ca="1"/>
      </c>
      <c r="AQ152">
        <f ca="1"/>
      </c>
      <c r="AR152">
        <f ca="1"/>
      </c>
      <c r="AT152" s="7">
        <f ca="1"/>
      </c>
      <c r="AU152">
        <f ca="1"/>
      </c>
      <c r="AV152">
        <f ca="1"/>
      </c>
      <c r="AW152">
        <f ca="1"/>
      </c>
      <c r="AX152">
        <f ca="1"/>
      </c>
      <c r="AY152">
        <f ca="1"/>
      </c>
      <c r="BA152" s="7">
        <f ca="1"/>
      </c>
      <c r="BB152">
        <f ca="1"/>
      </c>
      <c r="BC152">
        <f ca="1"/>
      </c>
      <c r="BD152">
        <f ca="1"/>
      </c>
      <c r="BE152">
        <f ca="1"/>
      </c>
      <c r="BG152">
        <f ca="1"/>
      </c>
      <c r="BH152">
        <f ca="1"/>
      </c>
      <c r="BI152">
        <f ca="1"/>
      </c>
      <c r="BJ152">
        <f ca="1"/>
      </c>
      <c r="BK152">
        <f ca="1"/>
      </c>
      <c r="BL152">
        <f ca="1"/>
      </c>
      <c r="BM152">
        <f ca="1"/>
      </c>
      <c r="BO152">
        <f ca="1"/>
      </c>
      <c r="BP152">
        <f ca="1"/>
      </c>
      <c r="BQ152">
        <f ca="1"/>
      </c>
      <c r="BR152">
        <f ca="1"/>
      </c>
      <c r="BS152">
        <f ca="1"/>
      </c>
      <c r="BT152">
        <f ca="1"/>
      </c>
      <c r="BU152">
        <f ca="1"/>
      </c>
    </row>
    <row r="153" spans="31:73" x14ac:dyDescent="0.55000000000000004">
      <c r="AE153" s="7">
        <f ca="1"/>
      </c>
      <c r="AF153">
        <f ca="1"/>
      </c>
      <c r="AG153">
        <f ca="1"/>
      </c>
      <c r="AH153">
        <f ca="1"/>
      </c>
      <c r="AI153">
        <f ca="1"/>
      </c>
      <c r="AJ153">
        <f ca="1"/>
      </c>
      <c r="AK153">
        <f ca="1"/>
      </c>
      <c r="AL153">
        <f ca="1"/>
      </c>
      <c r="AM153">
        <f ca="1"/>
      </c>
      <c r="AN153">
        <f ca="1"/>
      </c>
      <c r="AO153">
        <f ca="1"/>
      </c>
      <c r="AP153">
        <f ca="1"/>
      </c>
      <c r="AQ153">
        <f ca="1"/>
      </c>
      <c r="AR153">
        <f ca="1"/>
      </c>
      <c r="AT153" s="7">
        <f ca="1"/>
      </c>
      <c r="AU153">
        <f ca="1"/>
      </c>
      <c r="AV153">
        <f ca="1"/>
      </c>
      <c r="AW153">
        <f ca="1"/>
      </c>
      <c r="AX153">
        <f ca="1"/>
      </c>
      <c r="AY153">
        <f ca="1"/>
      </c>
      <c r="BA153" s="7">
        <f ca="1"/>
      </c>
      <c r="BB153">
        <f ca="1"/>
      </c>
      <c r="BC153">
        <f ca="1"/>
      </c>
      <c r="BD153">
        <f ca="1"/>
      </c>
      <c r="BE153">
        <f ca="1"/>
      </c>
      <c r="BG153">
        <f ca="1"/>
      </c>
      <c r="BH153">
        <f ca="1"/>
      </c>
      <c r="BI153">
        <f ca="1"/>
      </c>
      <c r="BJ153">
        <f ca="1"/>
      </c>
      <c r="BK153">
        <f ca="1"/>
      </c>
      <c r="BL153">
        <f ca="1"/>
      </c>
      <c r="BM153">
        <f ca="1"/>
      </c>
      <c r="BO153">
        <f ca="1"/>
      </c>
      <c r="BP153">
        <f ca="1"/>
      </c>
      <c r="BQ153">
        <f ca="1"/>
      </c>
      <c r="BR153">
        <f ca="1"/>
      </c>
      <c r="BS153">
        <f ca="1"/>
      </c>
      <c r="BT153">
        <f ca="1"/>
      </c>
      <c r="BU153">
        <f ca="1"/>
      </c>
    </row>
    <row r="154" spans="31:73" x14ac:dyDescent="0.55000000000000004">
      <c r="AE154" s="7">
        <f ca="1"/>
      </c>
      <c r="AF154">
        <f ca="1"/>
      </c>
      <c r="AG154">
        <f ca="1"/>
      </c>
      <c r="AH154">
        <f ca="1"/>
      </c>
      <c r="AI154">
        <f ca="1"/>
      </c>
      <c r="AJ154">
        <f ca="1"/>
      </c>
      <c r="AK154">
        <f ca="1"/>
      </c>
      <c r="AL154">
        <f ca="1"/>
      </c>
      <c r="AM154">
        <f ca="1"/>
      </c>
      <c r="AN154">
        <f ca="1"/>
      </c>
      <c r="AO154">
        <f ca="1"/>
      </c>
      <c r="AP154">
        <f ca="1"/>
      </c>
      <c r="AQ154">
        <f ca="1"/>
      </c>
      <c r="AR154">
        <f ca="1"/>
      </c>
      <c r="AT154" s="7">
        <f ca="1"/>
      </c>
      <c r="AU154">
        <f ca="1"/>
      </c>
      <c r="AV154">
        <f ca="1"/>
      </c>
      <c r="AW154">
        <f ca="1"/>
      </c>
      <c r="AX154">
        <f ca="1"/>
      </c>
      <c r="AY154">
        <f ca="1"/>
      </c>
      <c r="BA154" s="7">
        <f ca="1"/>
      </c>
      <c r="BB154">
        <f ca="1"/>
      </c>
      <c r="BC154">
        <f ca="1"/>
      </c>
      <c r="BD154">
        <f ca="1"/>
      </c>
      <c r="BE154">
        <f ca="1"/>
      </c>
      <c r="BG154">
        <f ca="1"/>
      </c>
      <c r="BH154">
        <f ca="1"/>
      </c>
      <c r="BI154">
        <f ca="1"/>
      </c>
      <c r="BJ154">
        <f ca="1"/>
      </c>
      <c r="BK154">
        <f ca="1"/>
      </c>
      <c r="BL154">
        <f ca="1"/>
      </c>
      <c r="BM154">
        <f ca="1"/>
      </c>
      <c r="BO154">
        <f ca="1"/>
      </c>
      <c r="BP154">
        <f ca="1"/>
      </c>
      <c r="BQ154">
        <f ca="1"/>
      </c>
      <c r="BR154">
        <f ca="1"/>
      </c>
      <c r="BS154">
        <f ca="1"/>
      </c>
      <c r="BT154">
        <f ca="1"/>
      </c>
      <c r="BU154">
        <f ca="1"/>
      </c>
    </row>
    <row r="155" spans="31:73" x14ac:dyDescent="0.55000000000000004">
      <c r="AE155" s="7">
        <f ca="1"/>
      </c>
      <c r="AF155">
        <f ca="1"/>
      </c>
      <c r="AG155">
        <f ca="1"/>
      </c>
      <c r="AH155">
        <f ca="1"/>
      </c>
      <c r="AI155">
        <f ca="1"/>
      </c>
      <c r="AJ155">
        <f ca="1"/>
      </c>
      <c r="AK155">
        <f ca="1"/>
      </c>
      <c r="AL155">
        <f ca="1"/>
      </c>
      <c r="AM155">
        <f ca="1"/>
      </c>
      <c r="AN155">
        <f ca="1"/>
      </c>
      <c r="AO155">
        <f ca="1"/>
      </c>
      <c r="AP155">
        <f ca="1"/>
      </c>
      <c r="AQ155">
        <f ca="1"/>
      </c>
      <c r="AR155">
        <f ca="1"/>
      </c>
      <c r="AT155" s="7">
        <f ca="1"/>
      </c>
      <c r="AU155">
        <f ca="1"/>
      </c>
      <c r="AV155">
        <f ca="1"/>
      </c>
      <c r="AW155">
        <f ca="1"/>
      </c>
      <c r="AX155">
        <f ca="1"/>
      </c>
      <c r="AY155">
        <f ca="1"/>
      </c>
      <c r="BA155" s="7">
        <f ca="1"/>
      </c>
      <c r="BB155">
        <f ca="1"/>
      </c>
      <c r="BC155">
        <f ca="1"/>
      </c>
      <c r="BD155">
        <f ca="1"/>
      </c>
      <c r="BE155">
        <f ca="1"/>
      </c>
      <c r="BG155">
        <f ca="1"/>
      </c>
      <c r="BH155">
        <f ca="1"/>
      </c>
      <c r="BI155">
        <f ca="1"/>
      </c>
      <c r="BJ155">
        <f ca="1"/>
      </c>
      <c r="BK155">
        <f ca="1"/>
      </c>
      <c r="BL155">
        <f ca="1"/>
      </c>
      <c r="BM155">
        <f ca="1"/>
      </c>
      <c r="BO155">
        <f ca="1"/>
      </c>
      <c r="BP155">
        <f ca="1"/>
      </c>
      <c r="BQ155">
        <f ca="1"/>
      </c>
      <c r="BR155">
        <f ca="1"/>
      </c>
      <c r="BS155">
        <f ca="1"/>
      </c>
      <c r="BT155">
        <f ca="1"/>
      </c>
      <c r="BU155">
        <f ca="1"/>
      </c>
    </row>
    <row r="156" spans="31:73" x14ac:dyDescent="0.55000000000000004">
      <c r="AE156" s="7">
        <f ca="1"/>
      </c>
      <c r="AF156">
        <f ca="1"/>
      </c>
      <c r="AG156">
        <f ca="1"/>
      </c>
      <c r="AH156">
        <f ca="1"/>
      </c>
      <c r="AI156">
        <f ca="1"/>
      </c>
      <c r="AJ156">
        <f ca="1"/>
      </c>
      <c r="AK156">
        <f ca="1"/>
      </c>
      <c r="AL156">
        <f ca="1"/>
      </c>
      <c r="AM156">
        <f ca="1"/>
      </c>
      <c r="AN156">
        <f ca="1"/>
      </c>
      <c r="AO156">
        <f ca="1"/>
      </c>
      <c r="AP156">
        <f ca="1"/>
      </c>
      <c r="AQ156">
        <f ca="1"/>
      </c>
      <c r="AR156">
        <f ca="1"/>
      </c>
      <c r="AT156" s="7">
        <f ca="1"/>
      </c>
      <c r="AU156">
        <f ca="1"/>
      </c>
      <c r="AV156">
        <f ca="1"/>
      </c>
      <c r="AW156">
        <f ca="1"/>
      </c>
      <c r="AX156">
        <f ca="1"/>
      </c>
      <c r="AY156">
        <f ca="1"/>
      </c>
      <c r="BA156" s="7">
        <f ca="1"/>
      </c>
      <c r="BB156">
        <f ca="1"/>
      </c>
      <c r="BC156">
        <f ca="1"/>
      </c>
      <c r="BD156">
        <f ca="1"/>
      </c>
      <c r="BE156">
        <f ca="1"/>
      </c>
      <c r="BG156">
        <f ca="1"/>
      </c>
      <c r="BH156">
        <f ca="1"/>
      </c>
      <c r="BI156">
        <f ca="1"/>
      </c>
      <c r="BJ156">
        <f ca="1"/>
      </c>
      <c r="BK156">
        <f ca="1"/>
      </c>
      <c r="BL156">
        <f ca="1"/>
      </c>
      <c r="BM156">
        <f ca="1"/>
      </c>
      <c r="BO156">
        <f ca="1"/>
      </c>
      <c r="BP156">
        <f ca="1"/>
      </c>
      <c r="BQ156">
        <f ca="1"/>
      </c>
      <c r="BR156">
        <f ca="1"/>
      </c>
      <c r="BS156">
        <f ca="1"/>
      </c>
      <c r="BT156">
        <f ca="1"/>
      </c>
      <c r="BU156">
        <f ca="1"/>
      </c>
    </row>
    <row r="157" spans="31:73" x14ac:dyDescent="0.55000000000000004">
      <c r="AE157" s="7">
        <f ca="1"/>
      </c>
      <c r="AF157">
        <f ca="1"/>
      </c>
      <c r="AG157">
        <f ca="1"/>
      </c>
      <c r="AH157">
        <f ca="1"/>
      </c>
      <c r="AI157">
        <f ca="1"/>
      </c>
      <c r="AJ157">
        <f ca="1"/>
      </c>
      <c r="AK157">
        <f ca="1"/>
      </c>
      <c r="AL157">
        <f ca="1"/>
      </c>
      <c r="AM157">
        <f ca="1"/>
      </c>
      <c r="AN157">
        <f ca="1"/>
      </c>
      <c r="AO157">
        <f ca="1"/>
      </c>
      <c r="AP157">
        <f ca="1"/>
      </c>
      <c r="AQ157">
        <f ca="1"/>
      </c>
      <c r="AR157">
        <f ca="1"/>
      </c>
      <c r="AT157" s="7">
        <f ca="1"/>
      </c>
      <c r="AU157">
        <f ca="1"/>
      </c>
      <c r="AV157">
        <f ca="1"/>
      </c>
      <c r="AW157">
        <f ca="1"/>
      </c>
      <c r="AX157">
        <f ca="1"/>
      </c>
      <c r="AY157">
        <f ca="1"/>
      </c>
      <c r="BA157" s="7">
        <f ca="1"/>
      </c>
      <c r="BB157">
        <f ca="1"/>
      </c>
      <c r="BC157">
        <f ca="1"/>
      </c>
      <c r="BD157">
        <f ca="1"/>
      </c>
      <c r="BE157">
        <f ca="1"/>
      </c>
      <c r="BG157">
        <f ca="1"/>
      </c>
      <c r="BH157">
        <f ca="1"/>
      </c>
      <c r="BI157">
        <f ca="1"/>
      </c>
      <c r="BJ157">
        <f ca="1"/>
      </c>
      <c r="BK157">
        <f ca="1"/>
      </c>
      <c r="BL157">
        <f ca="1"/>
      </c>
      <c r="BM157">
        <f ca="1"/>
      </c>
      <c r="BO157">
        <f ca="1"/>
      </c>
      <c r="BP157">
        <f ca="1"/>
      </c>
      <c r="BQ157">
        <f ca="1"/>
      </c>
      <c r="BR157">
        <f ca="1"/>
      </c>
      <c r="BS157">
        <f ca="1"/>
      </c>
      <c r="BT157">
        <f ca="1"/>
      </c>
      <c r="BU157">
        <f ca="1"/>
      </c>
    </row>
    <row r="158" spans="31:73" x14ac:dyDescent="0.55000000000000004">
      <c r="AE158" s="7">
        <f ca="1"/>
      </c>
      <c r="AF158">
        <f ca="1"/>
      </c>
      <c r="AG158">
        <f ca="1"/>
      </c>
      <c r="AH158">
        <f ca="1"/>
      </c>
      <c r="AI158">
        <f ca="1"/>
      </c>
      <c r="AJ158">
        <f ca="1"/>
      </c>
      <c r="AK158">
        <f ca="1"/>
      </c>
      <c r="AL158">
        <f ca="1"/>
      </c>
      <c r="AM158">
        <f ca="1"/>
      </c>
      <c r="AN158">
        <f ca="1"/>
      </c>
      <c r="AO158">
        <f ca="1"/>
      </c>
      <c r="AP158">
        <f ca="1"/>
      </c>
      <c r="AQ158">
        <f ca="1"/>
      </c>
      <c r="AR158">
        <f ca="1"/>
      </c>
      <c r="AT158" s="7">
        <f ca="1"/>
      </c>
      <c r="AU158">
        <f ca="1"/>
      </c>
      <c r="AV158">
        <f ca="1"/>
      </c>
      <c r="AW158">
        <f ca="1"/>
      </c>
      <c r="AX158">
        <f ca="1"/>
      </c>
      <c r="AY158">
        <f ca="1"/>
      </c>
      <c r="BA158" s="7">
        <f ca="1"/>
      </c>
      <c r="BB158">
        <f ca="1"/>
      </c>
      <c r="BC158">
        <f ca="1"/>
      </c>
      <c r="BD158">
        <f ca="1"/>
      </c>
      <c r="BE158">
        <f ca="1"/>
      </c>
      <c r="BG158">
        <f ca="1"/>
      </c>
      <c r="BH158">
        <f ca="1"/>
      </c>
      <c r="BI158">
        <f ca="1"/>
      </c>
      <c r="BJ158">
        <f ca="1"/>
      </c>
      <c r="BK158">
        <f ca="1"/>
      </c>
      <c r="BL158">
        <f ca="1"/>
      </c>
      <c r="BM158">
        <f ca="1"/>
      </c>
      <c r="BO158">
        <f ca="1"/>
      </c>
      <c r="BP158">
        <f ca="1"/>
      </c>
      <c r="BQ158">
        <f ca="1"/>
      </c>
      <c r="BR158">
        <f ca="1"/>
      </c>
      <c r="BS158">
        <f ca="1"/>
      </c>
      <c r="BT158">
        <f ca="1"/>
      </c>
      <c r="BU158">
        <f ca="1"/>
      </c>
    </row>
    <row r="159" spans="31:73" x14ac:dyDescent="0.55000000000000004">
      <c r="AE159" s="7">
        <f ca="1"/>
      </c>
      <c r="AF159">
        <f ca="1"/>
      </c>
      <c r="AG159">
        <f ca="1"/>
      </c>
      <c r="AH159">
        <f ca="1"/>
      </c>
      <c r="AI159">
        <f ca="1"/>
      </c>
      <c r="AJ159">
        <f ca="1"/>
      </c>
      <c r="AK159">
        <f ca="1"/>
      </c>
      <c r="AL159">
        <f ca="1"/>
      </c>
      <c r="AM159">
        <f ca="1"/>
      </c>
      <c r="AN159">
        <f ca="1"/>
      </c>
      <c r="AO159">
        <f ca="1"/>
      </c>
      <c r="AP159">
        <f ca="1"/>
      </c>
      <c r="AQ159">
        <f ca="1"/>
      </c>
      <c r="AR159">
        <f ca="1"/>
      </c>
      <c r="AT159" s="7">
        <f ca="1"/>
      </c>
      <c r="AU159">
        <f ca="1"/>
      </c>
      <c r="AV159">
        <f ca="1"/>
      </c>
      <c r="AW159">
        <f ca="1"/>
      </c>
      <c r="AX159">
        <f ca="1"/>
      </c>
      <c r="AY159">
        <f ca="1"/>
      </c>
      <c r="BA159" s="7">
        <f ca="1"/>
      </c>
      <c r="BB159">
        <f ca="1"/>
      </c>
      <c r="BC159">
        <f ca="1"/>
      </c>
      <c r="BD159">
        <f ca="1"/>
      </c>
      <c r="BE159">
        <f ca="1"/>
      </c>
      <c r="BG159">
        <f ca="1"/>
      </c>
      <c r="BH159">
        <f ca="1"/>
      </c>
      <c r="BI159">
        <f ca="1"/>
      </c>
      <c r="BJ159">
        <f ca="1"/>
      </c>
      <c r="BK159">
        <f ca="1"/>
      </c>
      <c r="BL159">
        <f ca="1"/>
      </c>
      <c r="BM159">
        <f ca="1"/>
      </c>
      <c r="BO159">
        <f ca="1"/>
      </c>
      <c r="BP159">
        <f ca="1"/>
      </c>
      <c r="BQ159">
        <f ca="1"/>
      </c>
      <c r="BR159">
        <f ca="1"/>
      </c>
      <c r="BS159">
        <f ca="1"/>
      </c>
      <c r="BT159">
        <f ca="1"/>
      </c>
      <c r="BU159">
        <f ca="1"/>
      </c>
    </row>
    <row r="160" spans="31:73" x14ac:dyDescent="0.55000000000000004">
      <c r="AE160" s="7">
        <f ca="1"/>
      </c>
      <c r="AF160">
        <f ca="1"/>
      </c>
      <c r="AG160">
        <f ca="1"/>
      </c>
      <c r="AH160">
        <f ca="1"/>
      </c>
      <c r="AI160">
        <f ca="1"/>
      </c>
      <c r="AJ160">
        <f ca="1"/>
      </c>
      <c r="AK160">
        <f ca="1"/>
      </c>
      <c r="AL160">
        <f ca="1"/>
      </c>
      <c r="AM160">
        <f ca="1"/>
      </c>
      <c r="AN160">
        <f ca="1"/>
      </c>
      <c r="AO160">
        <f ca="1"/>
      </c>
      <c r="AP160">
        <f ca="1"/>
      </c>
      <c r="AQ160">
        <f ca="1"/>
      </c>
      <c r="AR160">
        <f ca="1"/>
      </c>
      <c r="AT160" s="7">
        <f ca="1"/>
      </c>
      <c r="AU160">
        <f ca="1"/>
      </c>
      <c r="AV160">
        <f ca="1"/>
      </c>
      <c r="AW160">
        <f ca="1"/>
      </c>
      <c r="AX160">
        <f ca="1"/>
      </c>
      <c r="AY160">
        <f ca="1"/>
      </c>
      <c r="BA160" s="7">
        <f ca="1"/>
      </c>
      <c r="BB160">
        <f ca="1"/>
      </c>
      <c r="BC160">
        <f ca="1"/>
      </c>
      <c r="BD160">
        <f ca="1"/>
      </c>
      <c r="BE160">
        <f ca="1"/>
      </c>
      <c r="BG160">
        <f ca="1"/>
      </c>
      <c r="BH160">
        <f ca="1"/>
      </c>
      <c r="BI160">
        <f ca="1"/>
      </c>
      <c r="BJ160">
        <f ca="1"/>
      </c>
      <c r="BK160">
        <f ca="1"/>
      </c>
      <c r="BL160">
        <f ca="1"/>
      </c>
      <c r="BM160">
        <f ca="1"/>
      </c>
      <c r="BO160">
        <f ca="1"/>
      </c>
      <c r="BP160">
        <f ca="1"/>
      </c>
      <c r="BQ160">
        <f ca="1"/>
      </c>
      <c r="BR160">
        <f ca="1"/>
      </c>
      <c r="BS160">
        <f ca="1"/>
      </c>
      <c r="BT160">
        <f ca="1"/>
      </c>
      <c r="BU160">
        <f ca="1"/>
      </c>
    </row>
    <row r="161" spans="31:73" x14ac:dyDescent="0.55000000000000004">
      <c r="AE161" s="7">
        <f ca="1"/>
      </c>
      <c r="AF161">
        <f ca="1"/>
      </c>
      <c r="AG161">
        <f ca="1"/>
      </c>
      <c r="AH161">
        <f ca="1"/>
      </c>
      <c r="AI161">
        <f ca="1"/>
      </c>
      <c r="AJ161">
        <f ca="1"/>
      </c>
      <c r="AK161">
        <f ca="1"/>
      </c>
      <c r="AL161">
        <f ca="1"/>
      </c>
      <c r="AM161">
        <f ca="1"/>
      </c>
      <c r="AN161">
        <f ca="1"/>
      </c>
      <c r="AO161">
        <f ca="1"/>
      </c>
      <c r="AP161">
        <f ca="1"/>
      </c>
      <c r="AQ161">
        <f ca="1"/>
      </c>
      <c r="AR161">
        <f ca="1"/>
      </c>
      <c r="AT161" s="7">
        <f ca="1"/>
      </c>
      <c r="AU161">
        <f ca="1"/>
      </c>
      <c r="AV161">
        <f ca="1"/>
      </c>
      <c r="AW161">
        <f ca="1"/>
      </c>
      <c r="AX161">
        <f ca="1"/>
      </c>
      <c r="AY161">
        <f ca="1"/>
      </c>
      <c r="BA161" s="7">
        <f ca="1"/>
      </c>
      <c r="BB161">
        <f ca="1"/>
      </c>
      <c r="BC161">
        <f ca="1"/>
      </c>
      <c r="BD161">
        <f ca="1"/>
      </c>
      <c r="BE161">
        <f ca="1"/>
      </c>
      <c r="BG161">
        <f ca="1"/>
      </c>
      <c r="BH161">
        <f ca="1"/>
      </c>
      <c r="BI161">
        <f ca="1"/>
      </c>
      <c r="BJ161">
        <f ca="1"/>
      </c>
      <c r="BK161">
        <f ca="1"/>
      </c>
      <c r="BL161">
        <f ca="1"/>
      </c>
      <c r="BM161">
        <f ca="1"/>
      </c>
      <c r="BO161">
        <f ca="1"/>
      </c>
      <c r="BP161">
        <f ca="1"/>
      </c>
      <c r="BQ161">
        <f ca="1"/>
      </c>
      <c r="BR161">
        <f ca="1"/>
      </c>
      <c r="BS161">
        <f ca="1"/>
      </c>
      <c r="BT161">
        <f ca="1"/>
      </c>
      <c r="BU161">
        <f ca="1"/>
      </c>
    </row>
    <row r="162" spans="31:73" x14ac:dyDescent="0.55000000000000004">
      <c r="AE162" s="7">
        <f ca="1"/>
      </c>
      <c r="AF162">
        <f ca="1"/>
      </c>
      <c r="AG162">
        <f ca="1"/>
      </c>
      <c r="AH162">
        <f ca="1"/>
      </c>
      <c r="AI162">
        <f ca="1"/>
      </c>
      <c r="AJ162">
        <f ca="1"/>
      </c>
      <c r="AK162">
        <f ca="1"/>
      </c>
      <c r="AL162">
        <f ca="1"/>
      </c>
      <c r="AM162">
        <f ca="1"/>
      </c>
      <c r="AN162">
        <f ca="1"/>
      </c>
      <c r="AO162">
        <f ca="1"/>
      </c>
      <c r="AP162">
        <f ca="1"/>
      </c>
      <c r="AQ162">
        <f ca="1"/>
      </c>
      <c r="AR162">
        <f ca="1"/>
      </c>
      <c r="AT162" s="7">
        <f ca="1"/>
      </c>
      <c r="AU162">
        <f ca="1"/>
      </c>
      <c r="AV162">
        <f ca="1"/>
      </c>
      <c r="AW162">
        <f ca="1"/>
      </c>
      <c r="AX162">
        <f ca="1"/>
      </c>
      <c r="AY162">
        <f ca="1"/>
      </c>
      <c r="BA162" s="7">
        <f ca="1"/>
      </c>
      <c r="BB162">
        <f ca="1"/>
      </c>
      <c r="BC162">
        <f ca="1"/>
      </c>
      <c r="BD162">
        <f ca="1"/>
      </c>
      <c r="BE162">
        <f ca="1"/>
      </c>
      <c r="BG162">
        <f ca="1"/>
      </c>
      <c r="BH162">
        <f ca="1"/>
      </c>
      <c r="BI162">
        <f ca="1"/>
      </c>
      <c r="BJ162">
        <f ca="1"/>
      </c>
      <c r="BK162">
        <f ca="1"/>
      </c>
      <c r="BL162">
        <f ca="1"/>
      </c>
      <c r="BM162">
        <f ca="1"/>
      </c>
      <c r="BO162">
        <f ca="1"/>
      </c>
      <c r="BP162">
        <f ca="1"/>
      </c>
      <c r="BQ162">
        <f ca="1"/>
      </c>
      <c r="BR162">
        <f ca="1"/>
      </c>
      <c r="BS162">
        <f ca="1"/>
      </c>
      <c r="BT162">
        <f ca="1"/>
      </c>
      <c r="BU162">
        <f ca="1"/>
      </c>
    </row>
    <row r="163" spans="31:73" x14ac:dyDescent="0.55000000000000004">
      <c r="AE163" s="7">
        <f ca="1"/>
      </c>
      <c r="AF163">
        <f ca="1"/>
      </c>
      <c r="AG163">
        <f ca="1"/>
      </c>
      <c r="AH163">
        <f ca="1"/>
      </c>
      <c r="AI163">
        <f ca="1"/>
      </c>
      <c r="AJ163">
        <f ca="1"/>
      </c>
      <c r="AK163">
        <f ca="1"/>
      </c>
      <c r="AL163">
        <f ca="1"/>
      </c>
      <c r="AM163">
        <f ca="1"/>
      </c>
      <c r="AN163">
        <f ca="1"/>
      </c>
      <c r="AO163">
        <f ca="1"/>
      </c>
      <c r="AP163">
        <f ca="1"/>
      </c>
      <c r="AQ163">
        <f ca="1"/>
      </c>
      <c r="AR163">
        <f ca="1"/>
      </c>
      <c r="AT163" s="7">
        <f ca="1"/>
      </c>
      <c r="AU163">
        <f ca="1"/>
      </c>
      <c r="AV163">
        <f ca="1"/>
      </c>
      <c r="AW163">
        <f ca="1"/>
      </c>
      <c r="AX163">
        <f ca="1"/>
      </c>
      <c r="AY163">
        <f ca="1"/>
      </c>
      <c r="BA163" s="7">
        <f ca="1"/>
      </c>
      <c r="BB163">
        <f ca="1"/>
      </c>
      <c r="BC163">
        <f ca="1"/>
      </c>
      <c r="BD163">
        <f ca="1"/>
      </c>
      <c r="BE163">
        <f ca="1"/>
      </c>
      <c r="BG163">
        <f ca="1"/>
      </c>
      <c r="BH163">
        <f ca="1"/>
      </c>
      <c r="BI163">
        <f ca="1"/>
      </c>
      <c r="BJ163">
        <f ca="1"/>
      </c>
      <c r="BK163">
        <f ca="1"/>
      </c>
      <c r="BL163">
        <f ca="1"/>
      </c>
      <c r="BM163">
        <f ca="1"/>
      </c>
      <c r="BO163">
        <f ca="1"/>
      </c>
      <c r="BP163">
        <f ca="1"/>
      </c>
      <c r="BQ163">
        <f ca="1"/>
      </c>
      <c r="BR163">
        <f ca="1"/>
      </c>
      <c r="BS163">
        <f ca="1"/>
      </c>
      <c r="BT163">
        <f ca="1"/>
      </c>
      <c r="BU163">
        <f ca="1"/>
      </c>
    </row>
    <row r="164" spans="31:73" x14ac:dyDescent="0.55000000000000004">
      <c r="AE164" s="7">
        <f ca="1"/>
      </c>
      <c r="AF164">
        <f ca="1"/>
      </c>
      <c r="AG164">
        <f ca="1"/>
      </c>
      <c r="AH164">
        <f ca="1"/>
      </c>
      <c r="AI164">
        <f ca="1"/>
      </c>
      <c r="AJ164">
        <f ca="1"/>
      </c>
      <c r="AK164">
        <f ca="1"/>
      </c>
      <c r="AL164">
        <f ca="1"/>
      </c>
      <c r="AM164">
        <f ca="1"/>
      </c>
      <c r="AN164">
        <f ca="1"/>
      </c>
      <c r="AO164">
        <f ca="1"/>
      </c>
      <c r="AP164">
        <f ca="1"/>
      </c>
      <c r="AQ164">
        <f ca="1"/>
      </c>
      <c r="AR164">
        <f ca="1"/>
      </c>
      <c r="AT164" s="7">
        <f ca="1"/>
      </c>
      <c r="AU164">
        <f ca="1"/>
      </c>
      <c r="AV164">
        <f ca="1"/>
      </c>
      <c r="AW164">
        <f ca="1"/>
      </c>
      <c r="AX164">
        <f ca="1"/>
      </c>
      <c r="AY164">
        <f ca="1"/>
      </c>
      <c r="BA164" s="7">
        <f ca="1"/>
      </c>
      <c r="BB164">
        <f ca="1"/>
      </c>
      <c r="BC164">
        <f ca="1"/>
      </c>
      <c r="BD164">
        <f ca="1"/>
      </c>
      <c r="BE164">
        <f ca="1"/>
      </c>
      <c r="BG164">
        <f ca="1"/>
      </c>
      <c r="BH164">
        <f ca="1"/>
      </c>
      <c r="BI164">
        <f ca="1"/>
      </c>
      <c r="BJ164">
        <f ca="1"/>
      </c>
      <c r="BK164">
        <f ca="1"/>
      </c>
      <c r="BL164">
        <f ca="1"/>
      </c>
      <c r="BM164">
        <f ca="1"/>
      </c>
      <c r="BO164">
        <f ca="1"/>
      </c>
      <c r="BP164">
        <f ca="1"/>
      </c>
      <c r="BQ164">
        <f ca="1"/>
      </c>
      <c r="BR164">
        <f ca="1"/>
      </c>
      <c r="BS164">
        <f ca="1"/>
      </c>
      <c r="BT164">
        <f ca="1"/>
      </c>
      <c r="BU164">
        <f ca="1"/>
      </c>
    </row>
    <row r="165" spans="31:73" x14ac:dyDescent="0.55000000000000004">
      <c r="AE165" s="7">
        <f ca="1"/>
      </c>
      <c r="AF165">
        <f ca="1"/>
      </c>
      <c r="AG165">
        <f ca="1"/>
      </c>
      <c r="AH165">
        <f ca="1"/>
      </c>
      <c r="AI165">
        <f ca="1"/>
      </c>
      <c r="AJ165">
        <f ca="1"/>
      </c>
      <c r="AK165">
        <f ca="1"/>
      </c>
      <c r="AL165">
        <f ca="1"/>
      </c>
      <c r="AM165">
        <f ca="1"/>
      </c>
      <c r="AN165">
        <f ca="1"/>
      </c>
      <c r="AO165">
        <f ca="1"/>
      </c>
      <c r="AP165">
        <f ca="1"/>
      </c>
      <c r="AQ165">
        <f ca="1"/>
      </c>
      <c r="AR165">
        <f ca="1"/>
      </c>
      <c r="AT165" s="7">
        <f ca="1"/>
      </c>
      <c r="AU165">
        <f ca="1"/>
      </c>
      <c r="AV165">
        <f ca="1"/>
      </c>
      <c r="AW165">
        <f ca="1"/>
      </c>
      <c r="AX165">
        <f ca="1"/>
      </c>
      <c r="AY165">
        <f ca="1"/>
      </c>
      <c r="BA165" s="7">
        <f ca="1"/>
      </c>
      <c r="BB165">
        <f ca="1"/>
      </c>
      <c r="BC165">
        <f ca="1"/>
      </c>
      <c r="BD165">
        <f ca="1"/>
      </c>
      <c r="BE165">
        <f ca="1"/>
      </c>
      <c r="BG165">
        <f ca="1"/>
      </c>
      <c r="BH165">
        <f ca="1"/>
      </c>
      <c r="BI165">
        <f ca="1"/>
      </c>
      <c r="BJ165">
        <f ca="1"/>
      </c>
      <c r="BK165">
        <f ca="1"/>
      </c>
      <c r="BL165">
        <f ca="1"/>
      </c>
      <c r="BM165">
        <f ca="1"/>
      </c>
      <c r="BO165">
        <f ca="1"/>
      </c>
      <c r="BP165">
        <f ca="1"/>
      </c>
      <c r="BQ165">
        <f ca="1"/>
      </c>
      <c r="BR165">
        <f ca="1"/>
      </c>
      <c r="BS165">
        <f ca="1"/>
      </c>
      <c r="BT165">
        <f ca="1"/>
      </c>
      <c r="BU165">
        <f ca="1"/>
      </c>
    </row>
    <row r="166" spans="31:73" x14ac:dyDescent="0.55000000000000004">
      <c r="AE166" s="7">
        <f ca="1"/>
      </c>
      <c r="AF166">
        <f ca="1"/>
      </c>
      <c r="AG166">
        <f ca="1"/>
      </c>
      <c r="AH166">
        <f ca="1"/>
      </c>
      <c r="AI166">
        <f ca="1"/>
      </c>
      <c r="AJ166">
        <f ca="1"/>
      </c>
      <c r="AK166">
        <f ca="1"/>
      </c>
      <c r="AL166">
        <f ca="1"/>
      </c>
      <c r="AM166">
        <f ca="1"/>
      </c>
      <c r="AN166">
        <f ca="1"/>
      </c>
      <c r="AO166">
        <f ca="1"/>
      </c>
      <c r="AP166">
        <f ca="1"/>
      </c>
      <c r="AQ166">
        <f ca="1"/>
      </c>
      <c r="AR166">
        <f ca="1"/>
      </c>
      <c r="AT166" s="7">
        <f ca="1"/>
      </c>
      <c r="AU166">
        <f ca="1"/>
      </c>
      <c r="AV166">
        <f ca="1"/>
      </c>
      <c r="AW166">
        <f ca="1"/>
      </c>
      <c r="AX166">
        <f ca="1"/>
      </c>
      <c r="AY166">
        <f ca="1"/>
      </c>
      <c r="BA166" s="7">
        <f ca="1"/>
      </c>
      <c r="BB166">
        <f ca="1"/>
      </c>
      <c r="BC166">
        <f ca="1"/>
      </c>
      <c r="BD166">
        <f ca="1"/>
      </c>
      <c r="BE166">
        <f ca="1"/>
      </c>
      <c r="BG166">
        <f ca="1"/>
      </c>
      <c r="BH166">
        <f ca="1"/>
      </c>
      <c r="BI166">
        <f ca="1"/>
      </c>
      <c r="BJ166">
        <f ca="1"/>
      </c>
      <c r="BK166">
        <f ca="1"/>
      </c>
      <c r="BL166">
        <f ca="1"/>
      </c>
      <c r="BM166">
        <f ca="1"/>
      </c>
      <c r="BO166">
        <f ca="1"/>
      </c>
      <c r="BP166">
        <f ca="1"/>
      </c>
      <c r="BQ166">
        <f ca="1"/>
      </c>
      <c r="BR166">
        <f ca="1"/>
      </c>
      <c r="BS166">
        <f ca="1"/>
      </c>
      <c r="BT166">
        <f ca="1"/>
      </c>
      <c r="BU166">
        <f ca="1"/>
      </c>
    </row>
    <row r="167" spans="31:73" x14ac:dyDescent="0.55000000000000004">
      <c r="AE167" s="7">
        <f ca="1"/>
      </c>
      <c r="AF167">
        <f ca="1"/>
      </c>
      <c r="AG167">
        <f ca="1"/>
      </c>
      <c r="AH167">
        <f ca="1"/>
      </c>
      <c r="AI167">
        <f ca="1"/>
      </c>
      <c r="AJ167">
        <f ca="1"/>
      </c>
      <c r="AK167">
        <f ca="1"/>
      </c>
      <c r="AL167">
        <f ca="1"/>
      </c>
      <c r="AM167">
        <f ca="1"/>
      </c>
      <c r="AN167">
        <f ca="1"/>
      </c>
      <c r="AO167">
        <f ca="1"/>
      </c>
      <c r="AP167">
        <f ca="1"/>
      </c>
      <c r="AQ167">
        <f ca="1"/>
      </c>
      <c r="AR167">
        <f ca="1"/>
      </c>
      <c r="AT167" s="7">
        <f ca="1"/>
      </c>
      <c r="AU167">
        <f ca="1"/>
      </c>
      <c r="AV167">
        <f ca="1"/>
      </c>
      <c r="AW167">
        <f ca="1"/>
      </c>
      <c r="AX167">
        <f ca="1"/>
      </c>
      <c r="AY167">
        <f ca="1"/>
      </c>
      <c r="BA167" s="7">
        <f ca="1"/>
      </c>
      <c r="BB167">
        <f ca="1"/>
      </c>
      <c r="BC167">
        <f ca="1"/>
      </c>
      <c r="BD167">
        <f ca="1"/>
      </c>
      <c r="BE167">
        <f ca="1"/>
      </c>
      <c r="BG167">
        <f ca="1"/>
      </c>
      <c r="BH167">
        <f ca="1"/>
      </c>
      <c r="BI167">
        <f ca="1"/>
      </c>
      <c r="BJ167">
        <f ca="1"/>
      </c>
      <c r="BK167">
        <f ca="1"/>
      </c>
      <c r="BL167">
        <f ca="1"/>
      </c>
      <c r="BM167">
        <f ca="1"/>
      </c>
      <c r="BO167">
        <f ca="1"/>
      </c>
      <c r="BP167">
        <f ca="1"/>
      </c>
      <c r="BQ167">
        <f ca="1"/>
      </c>
      <c r="BR167">
        <f ca="1"/>
      </c>
      <c r="BS167">
        <f ca="1"/>
      </c>
      <c r="BT167">
        <f ca="1"/>
      </c>
      <c r="BU167">
        <f ca="1"/>
      </c>
    </row>
    <row r="168" spans="31:73" x14ac:dyDescent="0.55000000000000004">
      <c r="AE168" s="7">
        <f ca="1"/>
      </c>
      <c r="AF168">
        <f ca="1"/>
      </c>
      <c r="AG168">
        <f ca="1"/>
      </c>
      <c r="AH168">
        <f ca="1"/>
      </c>
      <c r="AI168">
        <f ca="1"/>
      </c>
      <c r="AJ168">
        <f ca="1"/>
      </c>
      <c r="AK168">
        <f ca="1"/>
      </c>
      <c r="AL168">
        <f ca="1"/>
      </c>
      <c r="AM168">
        <f ca="1"/>
      </c>
      <c r="AN168">
        <f ca="1"/>
      </c>
      <c r="AO168">
        <f ca="1"/>
      </c>
      <c r="AP168">
        <f ca="1"/>
      </c>
      <c r="AQ168">
        <f ca="1"/>
      </c>
      <c r="AR168">
        <f ca="1"/>
      </c>
      <c r="AT168" s="7">
        <f ca="1"/>
      </c>
      <c r="AU168">
        <f ca="1"/>
      </c>
      <c r="AV168">
        <f ca="1"/>
      </c>
      <c r="AW168">
        <f ca="1"/>
      </c>
      <c r="AX168">
        <f ca="1"/>
      </c>
      <c r="AY168">
        <f ca="1"/>
      </c>
      <c r="BA168" s="7">
        <f ca="1"/>
      </c>
      <c r="BB168">
        <f ca="1"/>
      </c>
      <c r="BC168">
        <f ca="1"/>
      </c>
      <c r="BD168">
        <f ca="1"/>
      </c>
      <c r="BE168">
        <f ca="1"/>
      </c>
      <c r="BG168">
        <f ca="1"/>
      </c>
      <c r="BH168">
        <f ca="1"/>
      </c>
      <c r="BI168">
        <f ca="1"/>
      </c>
      <c r="BJ168">
        <f ca="1"/>
      </c>
      <c r="BK168">
        <f ca="1"/>
      </c>
      <c r="BL168">
        <f ca="1"/>
      </c>
      <c r="BM168">
        <f ca="1"/>
      </c>
      <c r="BO168">
        <f ca="1"/>
      </c>
      <c r="BP168">
        <f ca="1"/>
      </c>
      <c r="BQ168">
        <f ca="1"/>
      </c>
      <c r="BR168">
        <f ca="1"/>
      </c>
      <c r="BS168">
        <f ca="1"/>
      </c>
      <c r="BT168">
        <f ca="1"/>
      </c>
      <c r="BU168">
        <f ca="1"/>
      </c>
    </row>
    <row r="169" spans="31:73" x14ac:dyDescent="0.55000000000000004">
      <c r="AE169" s="7">
        <f ca="1"/>
      </c>
      <c r="AF169">
        <f ca="1"/>
      </c>
      <c r="AG169">
        <f ca="1"/>
      </c>
      <c r="AH169">
        <f ca="1"/>
      </c>
      <c r="AI169">
        <f ca="1"/>
      </c>
      <c r="AJ169">
        <f ca="1"/>
      </c>
      <c r="AK169">
        <f ca="1"/>
      </c>
      <c r="AL169">
        <f ca="1"/>
      </c>
      <c r="AM169">
        <f ca="1"/>
      </c>
      <c r="AN169">
        <f ca="1"/>
      </c>
      <c r="AO169">
        <f ca="1"/>
      </c>
      <c r="AP169">
        <f ca="1"/>
      </c>
      <c r="AQ169">
        <f ca="1"/>
      </c>
      <c r="AR169">
        <f ca="1"/>
      </c>
      <c r="AT169" s="7">
        <f ca="1"/>
      </c>
      <c r="AU169">
        <f ca="1"/>
      </c>
      <c r="AV169">
        <f ca="1"/>
      </c>
      <c r="AW169">
        <f ca="1"/>
      </c>
      <c r="AX169">
        <f ca="1"/>
      </c>
      <c r="AY169">
        <f ca="1"/>
      </c>
      <c r="BA169" s="7">
        <f ca="1"/>
      </c>
      <c r="BB169">
        <f ca="1"/>
      </c>
      <c r="BC169">
        <f ca="1"/>
      </c>
      <c r="BD169">
        <f ca="1"/>
      </c>
      <c r="BE169">
        <f ca="1"/>
      </c>
      <c r="BG169">
        <f ca="1"/>
      </c>
      <c r="BH169">
        <f ca="1"/>
      </c>
      <c r="BI169">
        <f ca="1"/>
      </c>
      <c r="BJ169">
        <f ca="1"/>
      </c>
      <c r="BK169">
        <f ca="1"/>
      </c>
      <c r="BL169">
        <f ca="1"/>
      </c>
      <c r="BM169">
        <f ca="1"/>
      </c>
      <c r="BO169">
        <f ca="1"/>
      </c>
      <c r="BP169">
        <f ca="1"/>
      </c>
      <c r="BQ169">
        <f ca="1"/>
      </c>
      <c r="BR169">
        <f ca="1"/>
      </c>
      <c r="BS169">
        <f ca="1"/>
      </c>
      <c r="BT169">
        <f ca="1"/>
      </c>
      <c r="BU169">
        <f ca="1"/>
      </c>
    </row>
    <row r="170" spans="31:73" x14ac:dyDescent="0.55000000000000004">
      <c r="AE170" s="7">
        <f ca="1"/>
      </c>
      <c r="AF170">
        <f ca="1"/>
      </c>
      <c r="AG170">
        <f ca="1"/>
      </c>
      <c r="AH170">
        <f ca="1"/>
      </c>
      <c r="AI170">
        <f ca="1"/>
      </c>
      <c r="AJ170">
        <f ca="1"/>
      </c>
      <c r="AK170">
        <f ca="1"/>
      </c>
      <c r="AL170">
        <f ca="1"/>
      </c>
      <c r="AM170">
        <f ca="1"/>
      </c>
      <c r="AN170">
        <f ca="1"/>
      </c>
      <c r="AO170">
        <f ca="1"/>
      </c>
      <c r="AP170">
        <f ca="1"/>
      </c>
      <c r="AQ170">
        <f ca="1"/>
      </c>
      <c r="AR170">
        <f ca="1"/>
      </c>
      <c r="AT170" s="7">
        <f ca="1"/>
      </c>
      <c r="AU170">
        <f ca="1"/>
      </c>
      <c r="AV170">
        <f ca="1"/>
      </c>
      <c r="AW170">
        <f ca="1"/>
      </c>
      <c r="AX170">
        <f ca="1"/>
      </c>
      <c r="AY170">
        <f ca="1"/>
      </c>
      <c r="BA170" s="7">
        <f ca="1"/>
      </c>
      <c r="BB170">
        <f ca="1"/>
      </c>
      <c r="BC170">
        <f ca="1"/>
      </c>
      <c r="BD170">
        <f ca="1"/>
      </c>
      <c r="BE170">
        <f ca="1"/>
      </c>
      <c r="BG170">
        <f ca="1"/>
      </c>
      <c r="BH170">
        <f ca="1"/>
      </c>
      <c r="BI170">
        <f ca="1"/>
      </c>
      <c r="BJ170">
        <f ca="1"/>
      </c>
      <c r="BK170">
        <f ca="1"/>
      </c>
      <c r="BL170">
        <f ca="1"/>
      </c>
      <c r="BM170">
        <f ca="1"/>
      </c>
      <c r="BO170">
        <f ca="1"/>
      </c>
      <c r="BP170">
        <f ca="1"/>
      </c>
      <c r="BQ170">
        <f ca="1"/>
      </c>
      <c r="BR170">
        <f ca="1"/>
      </c>
      <c r="BS170">
        <f ca="1"/>
      </c>
      <c r="BT170">
        <f ca="1"/>
      </c>
      <c r="BU170">
        <f ca="1"/>
      </c>
    </row>
    <row r="171" spans="31:73" x14ac:dyDescent="0.55000000000000004">
      <c r="AE171" s="7">
        <f ca="1"/>
      </c>
      <c r="AF171">
        <f ca="1"/>
      </c>
      <c r="AG171">
        <f ca="1"/>
      </c>
      <c r="AH171">
        <f ca="1"/>
      </c>
      <c r="AI171">
        <f ca="1"/>
      </c>
      <c r="AJ171">
        <f ca="1"/>
      </c>
      <c r="AK171">
        <f ca="1"/>
      </c>
      <c r="AL171">
        <f ca="1"/>
      </c>
      <c r="AM171">
        <f ca="1"/>
      </c>
      <c r="AN171">
        <f ca="1"/>
      </c>
      <c r="AO171">
        <f ca="1"/>
      </c>
      <c r="AP171">
        <f ca="1"/>
      </c>
      <c r="AQ171">
        <f ca="1"/>
      </c>
      <c r="AR171">
        <f ca="1"/>
      </c>
      <c r="AT171" s="7">
        <f ca="1"/>
      </c>
      <c r="AU171">
        <f ca="1"/>
      </c>
      <c r="AV171">
        <f ca="1"/>
      </c>
      <c r="AW171">
        <f ca="1"/>
      </c>
      <c r="AX171">
        <f ca="1"/>
      </c>
      <c r="AY171">
        <f ca="1"/>
      </c>
      <c r="BA171" s="7">
        <f ca="1"/>
      </c>
      <c r="BB171">
        <f ca="1"/>
      </c>
      <c r="BC171">
        <f ca="1"/>
      </c>
      <c r="BD171">
        <f ca="1"/>
      </c>
      <c r="BE171">
        <f ca="1"/>
      </c>
      <c r="BG171">
        <f ca="1"/>
      </c>
      <c r="BH171">
        <f ca="1"/>
      </c>
      <c r="BI171">
        <f ca="1"/>
      </c>
      <c r="BJ171">
        <f ca="1"/>
      </c>
      <c r="BK171">
        <f ca="1"/>
      </c>
      <c r="BL171">
        <f ca="1"/>
      </c>
      <c r="BM171">
        <f ca="1"/>
      </c>
      <c r="BO171">
        <f ca="1"/>
      </c>
      <c r="BP171">
        <f ca="1"/>
      </c>
      <c r="BQ171">
        <f ca="1"/>
      </c>
      <c r="BR171">
        <f ca="1"/>
      </c>
      <c r="BS171">
        <f ca="1"/>
      </c>
      <c r="BT171">
        <f ca="1"/>
      </c>
      <c r="BU171">
        <f ca="1"/>
      </c>
    </row>
    <row r="172" spans="31:73" x14ac:dyDescent="0.55000000000000004">
      <c r="AE172" s="7">
        <f ca="1"/>
      </c>
      <c r="AF172">
        <f ca="1"/>
      </c>
      <c r="AG172">
        <f ca="1"/>
      </c>
      <c r="AH172">
        <f ca="1"/>
      </c>
      <c r="AI172">
        <f ca="1"/>
      </c>
      <c r="AJ172">
        <f ca="1"/>
      </c>
      <c r="AK172">
        <f ca="1"/>
      </c>
      <c r="AL172">
        <f ca="1"/>
      </c>
      <c r="AM172">
        <f ca="1"/>
      </c>
      <c r="AN172">
        <f ca="1"/>
      </c>
      <c r="AO172">
        <f ca="1"/>
      </c>
      <c r="AP172">
        <f ca="1"/>
      </c>
      <c r="AQ172">
        <f ca="1"/>
      </c>
      <c r="AR172">
        <f ca="1"/>
      </c>
      <c r="AT172" s="7">
        <f ca="1"/>
      </c>
      <c r="AU172">
        <f ca="1"/>
      </c>
      <c r="AV172">
        <f ca="1"/>
      </c>
      <c r="AW172">
        <f ca="1"/>
      </c>
      <c r="AX172">
        <f ca="1"/>
      </c>
      <c r="AY172">
        <f ca="1"/>
      </c>
      <c r="BA172" s="7">
        <f ca="1"/>
      </c>
      <c r="BB172">
        <f ca="1"/>
      </c>
      <c r="BC172">
        <f ca="1"/>
      </c>
      <c r="BD172">
        <f ca="1"/>
      </c>
      <c r="BE172">
        <f ca="1"/>
      </c>
      <c r="BG172">
        <f ca="1"/>
      </c>
      <c r="BH172">
        <f ca="1"/>
      </c>
      <c r="BI172">
        <f ca="1"/>
      </c>
      <c r="BJ172">
        <f ca="1"/>
      </c>
      <c r="BK172">
        <f ca="1"/>
      </c>
      <c r="BL172">
        <f ca="1"/>
      </c>
      <c r="BM172">
        <f ca="1"/>
      </c>
      <c r="BO172">
        <f ca="1"/>
      </c>
      <c r="BP172">
        <f ca="1"/>
      </c>
      <c r="BQ172">
        <f ca="1"/>
      </c>
      <c r="BR172">
        <f ca="1"/>
      </c>
      <c r="BS172">
        <f ca="1"/>
      </c>
      <c r="BT172">
        <f ca="1"/>
      </c>
      <c r="BU172">
        <f ca="1"/>
      </c>
    </row>
    <row r="173" spans="31:73" x14ac:dyDescent="0.55000000000000004">
      <c r="AE173" s="7">
        <f ca="1"/>
      </c>
      <c r="AF173">
        <f ca="1"/>
      </c>
      <c r="AG173">
        <f ca="1"/>
      </c>
      <c r="AH173">
        <f ca="1"/>
      </c>
      <c r="AI173">
        <f ca="1"/>
      </c>
      <c r="AJ173">
        <f ca="1"/>
      </c>
      <c r="AK173">
        <f ca="1"/>
      </c>
      <c r="AL173">
        <f ca="1"/>
      </c>
      <c r="AM173">
        <f ca="1"/>
      </c>
      <c r="AN173">
        <f ca="1"/>
      </c>
      <c r="AO173">
        <f ca="1"/>
      </c>
      <c r="AP173">
        <f ca="1"/>
      </c>
      <c r="AQ173">
        <f ca="1"/>
      </c>
      <c r="AR173">
        <f ca="1"/>
      </c>
      <c r="AT173" s="7">
        <f ca="1"/>
      </c>
      <c r="AU173">
        <f ca="1"/>
      </c>
      <c r="AV173">
        <f ca="1"/>
      </c>
      <c r="AW173">
        <f ca="1"/>
      </c>
      <c r="AX173">
        <f ca="1"/>
      </c>
      <c r="AY173">
        <f ca="1"/>
      </c>
      <c r="BA173" s="7">
        <f ca="1"/>
      </c>
      <c r="BB173">
        <f ca="1"/>
      </c>
      <c r="BC173">
        <f ca="1"/>
      </c>
      <c r="BD173">
        <f ca="1"/>
      </c>
      <c r="BE173">
        <f ca="1"/>
      </c>
      <c r="BG173">
        <f ca="1"/>
      </c>
      <c r="BH173">
        <f ca="1"/>
      </c>
      <c r="BI173">
        <f ca="1"/>
      </c>
      <c r="BJ173">
        <f ca="1"/>
      </c>
      <c r="BK173">
        <f ca="1"/>
      </c>
      <c r="BL173">
        <f ca="1"/>
      </c>
      <c r="BM173">
        <f ca="1"/>
      </c>
      <c r="BO173">
        <f ca="1"/>
      </c>
      <c r="BP173">
        <f ca="1"/>
      </c>
      <c r="BQ173">
        <f ca="1"/>
      </c>
      <c r="BR173">
        <f ca="1"/>
      </c>
      <c r="BS173">
        <f ca="1"/>
      </c>
      <c r="BT173">
        <f ca="1"/>
      </c>
      <c r="BU173">
        <f ca="1"/>
      </c>
    </row>
    <row r="174" spans="31:73" x14ac:dyDescent="0.55000000000000004">
      <c r="AE174" s="7">
        <f ca="1"/>
      </c>
      <c r="AF174">
        <f ca="1"/>
      </c>
      <c r="AG174">
        <f ca="1"/>
      </c>
      <c r="AH174">
        <f ca="1"/>
      </c>
      <c r="AI174">
        <f ca="1"/>
      </c>
      <c r="AJ174">
        <f ca="1"/>
      </c>
      <c r="AK174">
        <f ca="1"/>
      </c>
      <c r="AL174">
        <f ca="1"/>
      </c>
      <c r="AM174">
        <f ca="1"/>
      </c>
      <c r="AN174">
        <f ca="1"/>
      </c>
      <c r="AO174">
        <f ca="1"/>
      </c>
      <c r="AP174">
        <f ca="1"/>
      </c>
      <c r="AQ174">
        <f ca="1"/>
      </c>
      <c r="AR174">
        <f ca="1"/>
      </c>
      <c r="AT174" s="7">
        <f ca="1"/>
      </c>
      <c r="AU174">
        <f ca="1"/>
      </c>
      <c r="AV174">
        <f ca="1"/>
      </c>
      <c r="AW174">
        <f ca="1"/>
      </c>
      <c r="AX174">
        <f ca="1"/>
      </c>
      <c r="AY174">
        <f ca="1"/>
      </c>
      <c r="BA174" s="7">
        <f ca="1"/>
      </c>
      <c r="BB174">
        <f ca="1"/>
      </c>
      <c r="BC174">
        <f ca="1"/>
      </c>
      <c r="BD174">
        <f ca="1"/>
      </c>
      <c r="BE174">
        <f ca="1"/>
      </c>
      <c r="BG174">
        <f ca="1"/>
      </c>
      <c r="BH174">
        <f ca="1"/>
      </c>
      <c r="BI174">
        <f ca="1"/>
      </c>
      <c r="BJ174">
        <f ca="1"/>
      </c>
      <c r="BK174">
        <f ca="1"/>
      </c>
      <c r="BL174">
        <f ca="1"/>
      </c>
      <c r="BM174">
        <f ca="1"/>
      </c>
      <c r="BO174">
        <f ca="1"/>
      </c>
      <c r="BP174">
        <f ca="1"/>
      </c>
      <c r="BQ174">
        <f ca="1"/>
      </c>
      <c r="BR174">
        <f ca="1"/>
      </c>
      <c r="BS174">
        <f ca="1"/>
      </c>
      <c r="BT174">
        <f ca="1"/>
      </c>
      <c r="BU174">
        <f ca="1"/>
      </c>
    </row>
    <row r="175" spans="31:73" x14ac:dyDescent="0.55000000000000004">
      <c r="AE175" s="7">
        <f ca="1"/>
      </c>
      <c r="AF175">
        <f ca="1"/>
      </c>
      <c r="AG175">
        <f ca="1"/>
      </c>
      <c r="AH175">
        <f ca="1"/>
      </c>
      <c r="AI175">
        <f ca="1"/>
      </c>
      <c r="AJ175">
        <f ca="1"/>
      </c>
      <c r="AK175">
        <f ca="1"/>
      </c>
      <c r="AL175">
        <f ca="1"/>
      </c>
      <c r="AM175">
        <f ca="1"/>
      </c>
      <c r="AN175">
        <f ca="1"/>
      </c>
      <c r="AO175">
        <f ca="1"/>
      </c>
      <c r="AP175">
        <f ca="1"/>
      </c>
      <c r="AQ175">
        <f ca="1"/>
      </c>
      <c r="AR175">
        <f ca="1"/>
      </c>
      <c r="AT175" s="7">
        <f ca="1"/>
      </c>
      <c r="AU175">
        <f ca="1"/>
      </c>
      <c r="AV175">
        <f ca="1"/>
      </c>
      <c r="AW175">
        <f ca="1"/>
      </c>
      <c r="AX175">
        <f ca="1"/>
      </c>
      <c r="AY175">
        <f ca="1"/>
      </c>
      <c r="BA175" s="7">
        <f ca="1"/>
      </c>
      <c r="BB175">
        <f ca="1"/>
      </c>
      <c r="BC175">
        <f ca="1"/>
      </c>
      <c r="BD175">
        <f ca="1"/>
      </c>
      <c r="BE175">
        <f ca="1"/>
      </c>
      <c r="BG175">
        <f ca="1"/>
      </c>
      <c r="BH175">
        <f ca="1"/>
      </c>
      <c r="BI175">
        <f ca="1"/>
      </c>
      <c r="BJ175">
        <f ca="1"/>
      </c>
      <c r="BK175">
        <f ca="1"/>
      </c>
      <c r="BL175">
        <f ca="1"/>
      </c>
      <c r="BM175">
        <f ca="1"/>
      </c>
      <c r="BO175">
        <f ca="1"/>
      </c>
      <c r="BP175">
        <f ca="1"/>
      </c>
      <c r="BQ175">
        <f ca="1"/>
      </c>
      <c r="BR175">
        <f ca="1"/>
      </c>
      <c r="BS175">
        <f ca="1"/>
      </c>
      <c r="BT175">
        <f ca="1"/>
      </c>
      <c r="BU175">
        <f ca="1"/>
      </c>
    </row>
    <row r="176" spans="31:73" x14ac:dyDescent="0.55000000000000004">
      <c r="AE176" s="7">
        <f ca="1"/>
      </c>
      <c r="AF176">
        <f ca="1"/>
      </c>
      <c r="AG176">
        <f ca="1"/>
      </c>
      <c r="AH176">
        <f ca="1"/>
      </c>
      <c r="AI176">
        <f ca="1"/>
      </c>
      <c r="AJ176">
        <f ca="1"/>
      </c>
      <c r="AK176">
        <f ca="1"/>
      </c>
      <c r="AL176">
        <f ca="1"/>
      </c>
      <c r="AM176">
        <f ca="1"/>
      </c>
      <c r="AN176">
        <f ca="1"/>
      </c>
      <c r="AO176">
        <f ca="1"/>
      </c>
      <c r="AP176">
        <f ca="1"/>
      </c>
      <c r="AQ176">
        <f ca="1"/>
      </c>
      <c r="AR176">
        <f ca="1"/>
      </c>
      <c r="AT176" s="7">
        <f ca="1"/>
      </c>
      <c r="AU176">
        <f ca="1"/>
      </c>
      <c r="AV176">
        <f ca="1"/>
      </c>
      <c r="AW176">
        <f ca="1"/>
      </c>
      <c r="AX176">
        <f ca="1"/>
      </c>
      <c r="AY176">
        <f ca="1"/>
      </c>
      <c r="BA176" s="7">
        <f ca="1"/>
      </c>
      <c r="BB176">
        <f ca="1"/>
      </c>
      <c r="BC176">
        <f ca="1"/>
      </c>
      <c r="BD176">
        <f ca="1"/>
      </c>
      <c r="BE176">
        <f ca="1"/>
      </c>
      <c r="BG176">
        <f ca="1"/>
      </c>
      <c r="BH176">
        <f ca="1"/>
      </c>
      <c r="BI176">
        <f ca="1"/>
      </c>
      <c r="BJ176">
        <f ca="1"/>
      </c>
      <c r="BK176">
        <f ca="1"/>
      </c>
      <c r="BL176">
        <f ca="1"/>
      </c>
      <c r="BM176">
        <f ca="1"/>
      </c>
      <c r="BO176">
        <f ca="1"/>
      </c>
      <c r="BP176">
        <f ca="1"/>
      </c>
      <c r="BQ176">
        <f ca="1"/>
      </c>
      <c r="BR176">
        <f ca="1"/>
      </c>
      <c r="BS176">
        <f ca="1"/>
      </c>
      <c r="BT176">
        <f ca="1"/>
      </c>
      <c r="BU176">
        <f ca="1"/>
      </c>
    </row>
    <row r="177" spans="31:73" x14ac:dyDescent="0.55000000000000004">
      <c r="AE177" s="7">
        <f ca="1"/>
      </c>
      <c r="AF177">
        <f ca="1"/>
      </c>
      <c r="AG177">
        <f ca="1"/>
      </c>
      <c r="AH177">
        <f ca="1"/>
      </c>
      <c r="AI177">
        <f ca="1"/>
      </c>
      <c r="AJ177">
        <f ca="1"/>
      </c>
      <c r="AK177">
        <f ca="1"/>
      </c>
      <c r="AL177">
        <f ca="1"/>
      </c>
      <c r="AM177">
        <f ca="1"/>
      </c>
      <c r="AN177">
        <f ca="1"/>
      </c>
      <c r="AO177">
        <f ca="1"/>
      </c>
      <c r="AP177">
        <f ca="1"/>
      </c>
      <c r="AQ177">
        <f ca="1"/>
      </c>
      <c r="AR177">
        <f ca="1"/>
      </c>
      <c r="AT177" s="7">
        <f ca="1"/>
      </c>
      <c r="AU177">
        <f ca="1"/>
      </c>
      <c r="AV177">
        <f ca="1"/>
      </c>
      <c r="AW177">
        <f ca="1"/>
      </c>
      <c r="AX177">
        <f ca="1"/>
      </c>
      <c r="AY177">
        <f ca="1"/>
      </c>
      <c r="BA177" s="7">
        <f ca="1"/>
      </c>
      <c r="BB177">
        <f ca="1"/>
      </c>
      <c r="BC177">
        <f ca="1"/>
      </c>
      <c r="BD177">
        <f ca="1"/>
      </c>
      <c r="BE177">
        <f ca="1"/>
      </c>
      <c r="BG177">
        <f ca="1"/>
      </c>
      <c r="BH177">
        <f ca="1"/>
      </c>
      <c r="BI177">
        <f ca="1"/>
      </c>
      <c r="BJ177">
        <f ca="1"/>
      </c>
      <c r="BK177">
        <f ca="1"/>
      </c>
      <c r="BL177">
        <f ca="1"/>
      </c>
      <c r="BM177">
        <f ca="1"/>
      </c>
      <c r="BO177">
        <f ca="1"/>
      </c>
      <c r="BP177">
        <f ca="1"/>
      </c>
      <c r="BQ177">
        <f ca="1"/>
      </c>
      <c r="BR177">
        <f ca="1"/>
      </c>
      <c r="BS177">
        <f ca="1"/>
      </c>
      <c r="BT177">
        <f ca="1"/>
      </c>
      <c r="BU177">
        <f ca="1"/>
      </c>
    </row>
    <row r="178" spans="31:73" x14ac:dyDescent="0.55000000000000004">
      <c r="AE178" s="7">
        <f ca="1"/>
      </c>
      <c r="AF178">
        <f ca="1"/>
      </c>
      <c r="AG178">
        <f ca="1"/>
      </c>
      <c r="AH178">
        <f ca="1"/>
      </c>
      <c r="AI178">
        <f ca="1"/>
      </c>
      <c r="AJ178">
        <f ca="1"/>
      </c>
      <c r="AK178">
        <f ca="1"/>
      </c>
      <c r="AL178">
        <f ca="1"/>
      </c>
      <c r="AM178">
        <f ca="1"/>
      </c>
      <c r="AN178">
        <f ca="1"/>
      </c>
      <c r="AO178">
        <f ca="1"/>
      </c>
      <c r="AP178">
        <f ca="1"/>
      </c>
      <c r="AQ178">
        <f ca="1"/>
      </c>
      <c r="AR178">
        <f ca="1"/>
      </c>
      <c r="AT178" s="7">
        <f ca="1"/>
      </c>
      <c r="AU178">
        <f ca="1"/>
      </c>
      <c r="AV178">
        <f ca="1"/>
      </c>
      <c r="AW178">
        <f ca="1"/>
      </c>
      <c r="AX178">
        <f ca="1"/>
      </c>
      <c r="AY178">
        <f ca="1"/>
      </c>
      <c r="BA178" s="7">
        <f ca="1"/>
      </c>
      <c r="BB178">
        <f ca="1"/>
      </c>
      <c r="BC178">
        <f ca="1"/>
      </c>
      <c r="BD178">
        <f ca="1"/>
      </c>
      <c r="BE178">
        <f ca="1"/>
      </c>
      <c r="BG178">
        <f ca="1"/>
      </c>
      <c r="BH178">
        <f ca="1"/>
      </c>
      <c r="BI178">
        <f ca="1"/>
      </c>
      <c r="BJ178">
        <f ca="1"/>
      </c>
      <c r="BK178">
        <f ca="1"/>
      </c>
      <c r="BL178">
        <f ca="1"/>
      </c>
      <c r="BM178">
        <f ca="1"/>
      </c>
      <c r="BO178">
        <f ca="1"/>
      </c>
      <c r="BP178">
        <f ca="1"/>
      </c>
      <c r="BQ178">
        <f ca="1"/>
      </c>
      <c r="BR178">
        <f ca="1"/>
      </c>
      <c r="BS178">
        <f ca="1"/>
      </c>
      <c r="BT178">
        <f ca="1"/>
      </c>
      <c r="BU178">
        <f ca="1"/>
      </c>
    </row>
    <row r="179" spans="31:73" x14ac:dyDescent="0.55000000000000004">
      <c r="AE179" s="7">
        <f ca="1"/>
      </c>
      <c r="AF179">
        <f ca="1"/>
      </c>
      <c r="AG179">
        <f ca="1"/>
      </c>
      <c r="AH179">
        <f ca="1"/>
      </c>
      <c r="AI179">
        <f ca="1"/>
      </c>
      <c r="AJ179">
        <f ca="1"/>
      </c>
      <c r="AK179">
        <f ca="1"/>
      </c>
      <c r="AL179">
        <f ca="1"/>
      </c>
      <c r="AM179">
        <f ca="1"/>
      </c>
      <c r="AN179">
        <f ca="1"/>
      </c>
      <c r="AO179">
        <f ca="1"/>
      </c>
      <c r="AP179">
        <f ca="1"/>
      </c>
      <c r="AQ179">
        <f ca="1"/>
      </c>
      <c r="AR179">
        <f ca="1"/>
      </c>
      <c r="AT179" s="7">
        <f ca="1"/>
      </c>
      <c r="AU179">
        <f ca="1"/>
      </c>
      <c r="AV179">
        <f ca="1"/>
      </c>
      <c r="AW179">
        <f ca="1"/>
      </c>
      <c r="AX179">
        <f ca="1"/>
      </c>
      <c r="AY179">
        <f ca="1"/>
      </c>
      <c r="BA179" s="7">
        <f ca="1"/>
      </c>
      <c r="BB179">
        <f ca="1"/>
      </c>
      <c r="BC179">
        <f ca="1"/>
      </c>
      <c r="BD179">
        <f ca="1"/>
      </c>
      <c r="BE179">
        <f ca="1"/>
      </c>
      <c r="BG179">
        <f ca="1"/>
      </c>
      <c r="BH179">
        <f ca="1"/>
      </c>
      <c r="BI179">
        <f ca="1"/>
      </c>
      <c r="BJ179">
        <f ca="1"/>
      </c>
      <c r="BK179">
        <f ca="1"/>
      </c>
      <c r="BL179">
        <f ca="1"/>
      </c>
      <c r="BM179">
        <f ca="1"/>
      </c>
      <c r="BO179">
        <f ca="1"/>
      </c>
      <c r="BP179">
        <f ca="1"/>
      </c>
      <c r="BQ179">
        <f ca="1"/>
      </c>
      <c r="BR179">
        <f ca="1"/>
      </c>
      <c r="BS179">
        <f ca="1"/>
      </c>
      <c r="BT179">
        <f ca="1"/>
      </c>
      <c r="BU179">
        <f ca="1"/>
      </c>
    </row>
    <row r="180" spans="31:73" x14ac:dyDescent="0.55000000000000004">
      <c r="AE180" s="7">
        <f ca="1"/>
      </c>
      <c r="AF180">
        <f ca="1"/>
      </c>
      <c r="AG180">
        <f ca="1"/>
      </c>
      <c r="AH180">
        <f ca="1"/>
      </c>
      <c r="AI180">
        <f ca="1"/>
      </c>
      <c r="AJ180">
        <f ca="1"/>
      </c>
      <c r="AK180">
        <f ca="1"/>
      </c>
      <c r="AL180">
        <f ca="1"/>
      </c>
      <c r="AM180">
        <f ca="1"/>
      </c>
      <c r="AN180">
        <f ca="1"/>
      </c>
      <c r="AO180">
        <f ca="1"/>
      </c>
      <c r="AP180">
        <f ca="1"/>
      </c>
      <c r="AQ180">
        <f ca="1"/>
      </c>
      <c r="AR180">
        <f ca="1"/>
      </c>
      <c r="AT180" s="7">
        <f ca="1"/>
      </c>
      <c r="AU180">
        <f ca="1"/>
      </c>
      <c r="AV180">
        <f ca="1"/>
      </c>
      <c r="AW180">
        <f ca="1"/>
      </c>
      <c r="AX180">
        <f ca="1"/>
      </c>
      <c r="AY180">
        <f ca="1"/>
      </c>
      <c r="BA180" s="7">
        <f ca="1"/>
      </c>
      <c r="BB180">
        <f ca="1"/>
      </c>
      <c r="BC180">
        <f ca="1"/>
      </c>
      <c r="BD180">
        <f ca="1"/>
      </c>
      <c r="BE180">
        <f ca="1"/>
      </c>
      <c r="BG180">
        <f ca="1"/>
      </c>
      <c r="BH180">
        <f ca="1"/>
      </c>
      <c r="BI180">
        <f ca="1"/>
      </c>
      <c r="BJ180">
        <f ca="1"/>
      </c>
      <c r="BK180">
        <f ca="1"/>
      </c>
      <c r="BL180">
        <f ca="1"/>
      </c>
      <c r="BM180">
        <f ca="1"/>
      </c>
      <c r="BO180">
        <f ca="1"/>
      </c>
      <c r="BP180">
        <f ca="1"/>
      </c>
      <c r="BQ180">
        <f ca="1"/>
      </c>
      <c r="BR180">
        <f ca="1"/>
      </c>
      <c r="BS180">
        <f ca="1"/>
      </c>
      <c r="BT180">
        <f ca="1"/>
      </c>
      <c r="BU180">
        <f ca="1"/>
      </c>
    </row>
    <row r="181" spans="31:73" x14ac:dyDescent="0.55000000000000004">
      <c r="AE181" s="7">
        <f ca="1"/>
      </c>
      <c r="AF181">
        <f ca="1"/>
      </c>
      <c r="AG181">
        <f ca="1"/>
      </c>
      <c r="AH181">
        <f ca="1"/>
      </c>
      <c r="AI181">
        <f ca="1"/>
      </c>
      <c r="AJ181">
        <f ca="1"/>
      </c>
      <c r="AK181">
        <f ca="1"/>
      </c>
      <c r="AL181">
        <f ca="1"/>
      </c>
      <c r="AM181">
        <f ca="1"/>
      </c>
      <c r="AN181">
        <f ca="1"/>
      </c>
      <c r="AO181">
        <f ca="1"/>
      </c>
      <c r="AP181">
        <f ca="1"/>
      </c>
      <c r="AQ181">
        <f ca="1"/>
      </c>
      <c r="AR181">
        <f ca="1"/>
      </c>
      <c r="AT181" s="7">
        <f ca="1"/>
      </c>
      <c r="AU181">
        <f ca="1"/>
      </c>
      <c r="AV181">
        <f ca="1"/>
      </c>
      <c r="AW181">
        <f ca="1"/>
      </c>
      <c r="AX181">
        <f ca="1"/>
      </c>
      <c r="AY181">
        <f ca="1"/>
      </c>
      <c r="BA181" s="7">
        <f ca="1"/>
      </c>
      <c r="BB181">
        <f ca="1"/>
      </c>
      <c r="BC181">
        <f ca="1"/>
      </c>
      <c r="BD181">
        <f ca="1"/>
      </c>
      <c r="BE181">
        <f ca="1"/>
      </c>
      <c r="BG181">
        <f ca="1"/>
      </c>
      <c r="BH181">
        <f ca="1"/>
      </c>
      <c r="BI181">
        <f ca="1"/>
      </c>
      <c r="BJ181">
        <f ca="1"/>
      </c>
      <c r="BK181">
        <f ca="1"/>
      </c>
      <c r="BL181">
        <f ca="1"/>
      </c>
      <c r="BM181">
        <f ca="1"/>
      </c>
      <c r="BO181">
        <f ca="1"/>
      </c>
      <c r="BP181">
        <f ca="1"/>
      </c>
      <c r="BQ181">
        <f ca="1"/>
      </c>
      <c r="BR181">
        <f ca="1"/>
      </c>
      <c r="BS181">
        <f ca="1"/>
      </c>
      <c r="BT181">
        <f ca="1"/>
      </c>
      <c r="BU181">
        <f ca="1"/>
      </c>
    </row>
    <row r="182" spans="31:73" x14ac:dyDescent="0.55000000000000004">
      <c r="AE182" s="7">
        <f ca="1"/>
      </c>
      <c r="AF182">
        <f ca="1"/>
      </c>
      <c r="AG182">
        <f ca="1"/>
      </c>
      <c r="AH182">
        <f ca="1"/>
      </c>
      <c r="AI182">
        <f ca="1"/>
      </c>
      <c r="AJ182">
        <f ca="1"/>
      </c>
      <c r="AK182">
        <f ca="1"/>
      </c>
      <c r="AL182">
        <f ca="1"/>
      </c>
      <c r="AM182">
        <f ca="1"/>
      </c>
      <c r="AN182">
        <f ca="1"/>
      </c>
      <c r="AO182">
        <f ca="1"/>
      </c>
      <c r="AP182">
        <f ca="1"/>
      </c>
      <c r="AQ182">
        <f ca="1"/>
      </c>
      <c r="AR182">
        <f ca="1"/>
      </c>
      <c r="AT182" s="7">
        <f ca="1"/>
      </c>
      <c r="AU182">
        <f ca="1"/>
      </c>
      <c r="AV182">
        <f ca="1"/>
      </c>
      <c r="AW182">
        <f ca="1"/>
      </c>
      <c r="AX182">
        <f ca="1"/>
      </c>
      <c r="AY182">
        <f ca="1"/>
      </c>
      <c r="BA182" s="7">
        <f ca="1"/>
      </c>
      <c r="BB182">
        <f ca="1"/>
      </c>
      <c r="BC182">
        <f ca="1"/>
      </c>
      <c r="BD182">
        <f ca="1"/>
      </c>
      <c r="BE182">
        <f ca="1"/>
      </c>
      <c r="BG182">
        <f ca="1"/>
      </c>
      <c r="BH182">
        <f ca="1"/>
      </c>
      <c r="BI182">
        <f ca="1"/>
      </c>
      <c r="BJ182">
        <f ca="1"/>
      </c>
      <c r="BK182">
        <f ca="1"/>
      </c>
      <c r="BL182">
        <f ca="1"/>
      </c>
      <c r="BM182">
        <f ca="1"/>
      </c>
      <c r="BO182">
        <f ca="1"/>
      </c>
      <c r="BP182">
        <f ca="1"/>
      </c>
      <c r="BQ182">
        <f ca="1"/>
      </c>
      <c r="BR182">
        <f ca="1"/>
      </c>
      <c r="BS182">
        <f ca="1"/>
      </c>
      <c r="BT182">
        <f ca="1"/>
      </c>
      <c r="BU182">
        <f ca="1"/>
      </c>
    </row>
    <row r="183" spans="31:73" x14ac:dyDescent="0.55000000000000004">
      <c r="AE183" s="7">
        <f ca="1"/>
      </c>
      <c r="AF183">
        <f ca="1"/>
      </c>
      <c r="AG183">
        <f ca="1"/>
      </c>
      <c r="AH183">
        <f ca="1"/>
      </c>
      <c r="AI183">
        <f ca="1"/>
      </c>
      <c r="AJ183">
        <f ca="1"/>
      </c>
      <c r="AK183">
        <f ca="1"/>
      </c>
      <c r="AL183">
        <f ca="1"/>
      </c>
      <c r="AM183">
        <f ca="1"/>
      </c>
      <c r="AN183">
        <f ca="1"/>
      </c>
      <c r="AO183">
        <f ca="1"/>
      </c>
      <c r="AP183">
        <f ca="1"/>
      </c>
      <c r="AQ183">
        <f ca="1"/>
      </c>
      <c r="AR183">
        <f ca="1"/>
      </c>
      <c r="AT183" s="7">
        <f ca="1"/>
      </c>
      <c r="AU183">
        <f ca="1"/>
      </c>
      <c r="AV183">
        <f ca="1"/>
      </c>
      <c r="AW183">
        <f ca="1"/>
      </c>
      <c r="AX183">
        <f ca="1"/>
      </c>
      <c r="AY183">
        <f ca="1"/>
      </c>
      <c r="BA183" s="7">
        <f ca="1"/>
      </c>
      <c r="BB183">
        <f ca="1"/>
      </c>
      <c r="BC183">
        <f ca="1"/>
      </c>
      <c r="BD183">
        <f ca="1"/>
      </c>
      <c r="BE183">
        <f ca="1"/>
      </c>
      <c r="BG183">
        <f ca="1"/>
      </c>
      <c r="BH183">
        <f ca="1"/>
      </c>
      <c r="BI183">
        <f ca="1"/>
      </c>
      <c r="BJ183">
        <f ca="1"/>
      </c>
      <c r="BK183">
        <f ca="1"/>
      </c>
      <c r="BL183">
        <f ca="1"/>
      </c>
      <c r="BM183">
        <f ca="1"/>
      </c>
      <c r="BO183">
        <f ca="1"/>
      </c>
      <c r="BP183">
        <f ca="1"/>
      </c>
      <c r="BQ183">
        <f ca="1"/>
      </c>
      <c r="BR183">
        <f ca="1"/>
      </c>
      <c r="BS183">
        <f ca="1"/>
      </c>
      <c r="BT183">
        <f ca="1"/>
      </c>
      <c r="BU183">
        <f ca="1"/>
      </c>
    </row>
    <row r="184" spans="31:73" x14ac:dyDescent="0.55000000000000004">
      <c r="AE184" s="7">
        <f ca="1"/>
      </c>
      <c r="AF184">
        <f ca="1"/>
      </c>
      <c r="AG184">
        <f ca="1"/>
      </c>
      <c r="AH184">
        <f ca="1"/>
      </c>
      <c r="AI184">
        <f ca="1"/>
      </c>
      <c r="AJ184">
        <f ca="1"/>
      </c>
      <c r="AK184">
        <f ca="1"/>
      </c>
      <c r="AL184">
        <f ca="1"/>
      </c>
      <c r="AM184">
        <f ca="1"/>
      </c>
      <c r="AN184">
        <f ca="1"/>
      </c>
      <c r="AO184">
        <f ca="1"/>
      </c>
      <c r="AP184">
        <f ca="1"/>
      </c>
      <c r="AQ184">
        <f ca="1"/>
      </c>
      <c r="AR184">
        <f ca="1"/>
      </c>
      <c r="AT184" s="7">
        <f ca="1"/>
      </c>
      <c r="AU184">
        <f ca="1"/>
      </c>
      <c r="AV184">
        <f ca="1"/>
      </c>
      <c r="AW184">
        <f ca="1"/>
      </c>
      <c r="AX184">
        <f ca="1"/>
      </c>
      <c r="AY184">
        <f ca="1"/>
      </c>
      <c r="BA184" s="7">
        <f ca="1"/>
      </c>
      <c r="BB184">
        <f ca="1"/>
      </c>
      <c r="BC184">
        <f ca="1"/>
      </c>
      <c r="BD184">
        <f ca="1"/>
      </c>
      <c r="BE184">
        <f ca="1"/>
      </c>
      <c r="BG184">
        <f ca="1"/>
      </c>
      <c r="BH184">
        <f ca="1"/>
      </c>
      <c r="BI184">
        <f ca="1"/>
      </c>
      <c r="BJ184">
        <f ca="1"/>
      </c>
      <c r="BK184">
        <f ca="1"/>
      </c>
      <c r="BL184">
        <f ca="1"/>
      </c>
      <c r="BM184">
        <f ca="1"/>
      </c>
      <c r="BO184">
        <f ca="1"/>
      </c>
      <c r="BP184">
        <f ca="1"/>
      </c>
      <c r="BQ184">
        <f ca="1"/>
      </c>
      <c r="BR184">
        <f ca="1"/>
      </c>
      <c r="BS184">
        <f ca="1"/>
      </c>
      <c r="BT184">
        <f ca="1"/>
      </c>
      <c r="BU184">
        <f ca="1"/>
      </c>
    </row>
    <row r="185" spans="31:73" x14ac:dyDescent="0.55000000000000004">
      <c r="AE185" s="7">
        <f ca="1"/>
      </c>
      <c r="AF185">
        <f ca="1"/>
      </c>
      <c r="AG185">
        <f ca="1"/>
      </c>
      <c r="AH185">
        <f ca="1"/>
      </c>
      <c r="AI185">
        <f ca="1"/>
      </c>
      <c r="AJ185">
        <f ca="1"/>
      </c>
      <c r="AK185">
        <f ca="1"/>
      </c>
      <c r="AL185">
        <f ca="1"/>
      </c>
      <c r="AM185">
        <f ca="1"/>
      </c>
      <c r="AN185">
        <f ca="1"/>
      </c>
      <c r="AO185">
        <f ca="1"/>
      </c>
      <c r="AP185">
        <f ca="1"/>
      </c>
      <c r="AQ185">
        <f ca="1"/>
      </c>
      <c r="AR185">
        <f ca="1"/>
      </c>
      <c r="AT185" s="7">
        <f ca="1"/>
      </c>
      <c r="AU185">
        <f ca="1"/>
      </c>
      <c r="AV185">
        <f ca="1"/>
      </c>
      <c r="AW185">
        <f ca="1"/>
      </c>
      <c r="AX185">
        <f ca="1"/>
      </c>
      <c r="AY185">
        <f ca="1"/>
      </c>
      <c r="BA185" s="7">
        <f ca="1"/>
      </c>
      <c r="BB185">
        <f ca="1"/>
      </c>
      <c r="BC185">
        <f ca="1"/>
      </c>
      <c r="BD185">
        <f ca="1"/>
      </c>
      <c r="BE185">
        <f ca="1"/>
      </c>
      <c r="BG185">
        <f ca="1"/>
      </c>
      <c r="BH185">
        <f ca="1"/>
      </c>
      <c r="BI185">
        <f ca="1"/>
      </c>
      <c r="BJ185">
        <f ca="1"/>
      </c>
      <c r="BK185">
        <f ca="1"/>
      </c>
      <c r="BL185">
        <f ca="1"/>
      </c>
      <c r="BM185">
        <f ca="1"/>
      </c>
      <c r="BO185">
        <f ca="1"/>
      </c>
      <c r="BP185">
        <f ca="1"/>
      </c>
      <c r="BQ185">
        <f ca="1"/>
      </c>
      <c r="BR185">
        <f ca="1"/>
      </c>
      <c r="BS185">
        <f ca="1"/>
      </c>
      <c r="BT185">
        <f ca="1"/>
      </c>
      <c r="BU185">
        <f ca="1"/>
      </c>
    </row>
    <row r="186" spans="31:73" x14ac:dyDescent="0.55000000000000004">
      <c r="AE186" s="7">
        <f ca="1"/>
      </c>
      <c r="AF186">
        <f ca="1"/>
      </c>
      <c r="AG186">
        <f ca="1"/>
      </c>
      <c r="AH186">
        <f ca="1"/>
      </c>
      <c r="AI186">
        <f ca="1"/>
      </c>
      <c r="AJ186">
        <f ca="1"/>
      </c>
      <c r="AK186">
        <f ca="1"/>
      </c>
      <c r="AL186">
        <f ca="1"/>
      </c>
      <c r="AM186">
        <f ca="1"/>
      </c>
      <c r="AN186">
        <f ca="1"/>
      </c>
      <c r="AO186">
        <f ca="1"/>
      </c>
      <c r="AP186">
        <f ca="1"/>
      </c>
      <c r="AQ186">
        <f ca="1"/>
      </c>
      <c r="AR186">
        <f ca="1"/>
      </c>
      <c r="AT186" s="7">
        <f ca="1"/>
      </c>
      <c r="AU186">
        <f ca="1"/>
      </c>
      <c r="AV186">
        <f ca="1"/>
      </c>
      <c r="AW186">
        <f ca="1"/>
      </c>
      <c r="AX186">
        <f ca="1"/>
      </c>
      <c r="AY186">
        <f ca="1"/>
      </c>
      <c r="BA186" s="7">
        <f ca="1"/>
      </c>
      <c r="BB186">
        <f ca="1"/>
      </c>
      <c r="BC186">
        <f ca="1"/>
      </c>
      <c r="BD186">
        <f ca="1"/>
      </c>
      <c r="BE186">
        <f ca="1"/>
      </c>
      <c r="BG186">
        <f ca="1"/>
      </c>
      <c r="BH186">
        <f ca="1"/>
      </c>
      <c r="BI186">
        <f ca="1"/>
      </c>
      <c r="BJ186">
        <f ca="1"/>
      </c>
      <c r="BK186">
        <f ca="1"/>
      </c>
      <c r="BL186">
        <f ca="1"/>
      </c>
      <c r="BM186">
        <f ca="1"/>
      </c>
      <c r="BO186">
        <f ca="1"/>
      </c>
      <c r="BP186">
        <f ca="1"/>
      </c>
      <c r="BQ186">
        <f ca="1"/>
      </c>
      <c r="BR186">
        <f ca="1"/>
      </c>
      <c r="BS186">
        <f ca="1"/>
      </c>
      <c r="BT186">
        <f ca="1"/>
      </c>
      <c r="BU186">
        <f ca="1"/>
      </c>
    </row>
    <row r="187" spans="31:73" x14ac:dyDescent="0.55000000000000004">
      <c r="AE187" s="7">
        <f ca="1"/>
      </c>
      <c r="AF187">
        <f ca="1"/>
      </c>
      <c r="AG187">
        <f ca="1"/>
      </c>
      <c r="AH187">
        <f ca="1"/>
      </c>
      <c r="AI187">
        <f ca="1"/>
      </c>
      <c r="AJ187">
        <f ca="1"/>
      </c>
      <c r="AK187">
        <f ca="1"/>
      </c>
      <c r="AL187">
        <f ca="1"/>
      </c>
      <c r="AM187">
        <f ca="1"/>
      </c>
      <c r="AN187">
        <f ca="1"/>
      </c>
      <c r="AO187">
        <f ca="1"/>
      </c>
      <c r="AP187">
        <f ca="1"/>
      </c>
      <c r="AQ187">
        <f ca="1"/>
      </c>
      <c r="AR187">
        <f ca="1"/>
      </c>
      <c r="AT187" s="7">
        <f ca="1"/>
      </c>
      <c r="AU187">
        <f ca="1"/>
      </c>
      <c r="AV187">
        <f ca="1"/>
      </c>
      <c r="AW187">
        <f ca="1"/>
      </c>
      <c r="AX187">
        <f ca="1"/>
      </c>
      <c r="AY187">
        <f ca="1"/>
      </c>
      <c r="BA187" s="7">
        <f ca="1"/>
      </c>
      <c r="BB187">
        <f ca="1"/>
      </c>
      <c r="BC187">
        <f ca="1"/>
      </c>
      <c r="BD187">
        <f ca="1"/>
      </c>
      <c r="BE187">
        <f ca="1"/>
      </c>
      <c r="BG187">
        <f ca="1"/>
      </c>
      <c r="BH187">
        <f ca="1"/>
      </c>
      <c r="BI187">
        <f ca="1"/>
      </c>
      <c r="BJ187">
        <f ca="1"/>
      </c>
      <c r="BK187">
        <f ca="1"/>
      </c>
      <c r="BL187">
        <f ca="1"/>
      </c>
      <c r="BM187">
        <f ca="1"/>
      </c>
      <c r="BO187">
        <f ca="1"/>
      </c>
      <c r="BP187">
        <f ca="1"/>
      </c>
      <c r="BQ187">
        <f ca="1"/>
      </c>
      <c r="BR187">
        <f ca="1"/>
      </c>
      <c r="BS187">
        <f ca="1"/>
      </c>
      <c r="BT187">
        <f ca="1"/>
      </c>
      <c r="BU187">
        <f ca="1"/>
      </c>
    </row>
    <row r="188" spans="31:73" x14ac:dyDescent="0.55000000000000004">
      <c r="AE188" s="7">
        <f ca="1"/>
      </c>
      <c r="AF188">
        <f ca="1"/>
      </c>
      <c r="AG188">
        <f ca="1"/>
      </c>
      <c r="AH188">
        <f ca="1"/>
      </c>
      <c r="AI188">
        <f ca="1"/>
      </c>
      <c r="AJ188">
        <f ca="1"/>
      </c>
      <c r="AK188">
        <f ca="1"/>
      </c>
      <c r="AL188">
        <f ca="1"/>
      </c>
      <c r="AM188">
        <f ca="1"/>
      </c>
      <c r="AN188">
        <f ca="1"/>
      </c>
      <c r="AO188">
        <f ca="1"/>
      </c>
      <c r="AP188">
        <f ca="1"/>
      </c>
      <c r="AQ188">
        <f ca="1"/>
      </c>
      <c r="AR188">
        <f ca="1"/>
      </c>
      <c r="AT188" s="7">
        <f ca="1"/>
      </c>
      <c r="AU188">
        <f ca="1"/>
      </c>
      <c r="AV188">
        <f ca="1"/>
      </c>
      <c r="AW188">
        <f ca="1"/>
      </c>
      <c r="AX188">
        <f ca="1"/>
      </c>
      <c r="AY188">
        <f ca="1"/>
      </c>
      <c r="BA188" s="7">
        <f ca="1"/>
      </c>
      <c r="BB188">
        <f ca="1"/>
      </c>
      <c r="BC188">
        <f ca="1"/>
      </c>
      <c r="BD188">
        <f ca="1"/>
      </c>
      <c r="BE188">
        <f ca="1"/>
      </c>
      <c r="BG188">
        <f ca="1"/>
      </c>
      <c r="BH188">
        <f ca="1"/>
      </c>
      <c r="BI188">
        <f ca="1"/>
      </c>
      <c r="BJ188">
        <f ca="1"/>
      </c>
      <c r="BK188">
        <f ca="1"/>
      </c>
      <c r="BL188">
        <f ca="1"/>
      </c>
      <c r="BM188">
        <f ca="1"/>
      </c>
      <c r="BO188">
        <f ca="1"/>
      </c>
      <c r="BP188">
        <f ca="1"/>
      </c>
      <c r="BQ188">
        <f ca="1"/>
      </c>
      <c r="BR188">
        <f ca="1"/>
      </c>
      <c r="BS188">
        <f ca="1"/>
      </c>
      <c r="BT188">
        <f ca="1"/>
      </c>
      <c r="BU188">
        <f ca="1"/>
      </c>
    </row>
    <row r="189" spans="31:73" x14ac:dyDescent="0.55000000000000004">
      <c r="AE189" s="7">
        <f ca="1"/>
      </c>
      <c r="AF189">
        <f ca="1"/>
      </c>
      <c r="AG189">
        <f ca="1"/>
      </c>
      <c r="AH189">
        <f ca="1"/>
      </c>
      <c r="AI189">
        <f ca="1"/>
      </c>
      <c r="AJ189">
        <f ca="1"/>
      </c>
      <c r="AK189">
        <f ca="1"/>
      </c>
      <c r="AL189">
        <f ca="1"/>
      </c>
      <c r="AM189">
        <f ca="1"/>
      </c>
      <c r="AN189">
        <f ca="1"/>
      </c>
      <c r="AO189">
        <f ca="1"/>
      </c>
      <c r="AP189">
        <f ca="1"/>
      </c>
      <c r="AQ189">
        <f ca="1"/>
      </c>
      <c r="AR189">
        <f ca="1"/>
      </c>
      <c r="AT189" s="7">
        <f ca="1"/>
      </c>
      <c r="AU189">
        <f ca="1"/>
      </c>
      <c r="AV189">
        <f ca="1"/>
      </c>
      <c r="AW189">
        <f ca="1"/>
      </c>
      <c r="AX189">
        <f ca="1"/>
      </c>
      <c r="AY189">
        <f ca="1"/>
      </c>
      <c r="BA189" s="7">
        <f ca="1"/>
      </c>
      <c r="BB189">
        <f ca="1"/>
      </c>
      <c r="BC189">
        <f ca="1"/>
      </c>
      <c r="BD189">
        <f ca="1"/>
      </c>
      <c r="BE189">
        <f ca="1"/>
      </c>
      <c r="BG189">
        <f ca="1"/>
      </c>
      <c r="BH189">
        <f ca="1"/>
      </c>
      <c r="BI189">
        <f ca="1"/>
      </c>
      <c r="BJ189">
        <f ca="1"/>
      </c>
      <c r="BK189">
        <f ca="1"/>
      </c>
      <c r="BL189">
        <f ca="1"/>
      </c>
      <c r="BM189">
        <f ca="1"/>
      </c>
      <c r="BO189">
        <f ca="1"/>
      </c>
      <c r="BP189">
        <f ca="1"/>
      </c>
      <c r="BQ189">
        <f ca="1"/>
      </c>
      <c r="BR189">
        <f ca="1"/>
      </c>
      <c r="BS189">
        <f ca="1"/>
      </c>
      <c r="BT189">
        <f ca="1"/>
      </c>
      <c r="BU189">
        <f ca="1"/>
      </c>
    </row>
    <row r="190" spans="31:73" x14ac:dyDescent="0.55000000000000004">
      <c r="AE190" s="7">
        <f ca="1"/>
      </c>
      <c r="AF190">
        <f ca="1"/>
      </c>
      <c r="AG190">
        <f ca="1"/>
      </c>
      <c r="AH190">
        <f ca="1"/>
      </c>
      <c r="AI190">
        <f ca="1"/>
      </c>
      <c r="AJ190">
        <f ca="1"/>
      </c>
      <c r="AK190">
        <f ca="1"/>
      </c>
      <c r="AL190">
        <f ca="1"/>
      </c>
      <c r="AM190">
        <f ca="1"/>
      </c>
      <c r="AN190">
        <f ca="1"/>
      </c>
      <c r="AO190">
        <f ca="1"/>
      </c>
      <c r="AP190">
        <f ca="1"/>
      </c>
      <c r="AQ190">
        <f ca="1"/>
      </c>
      <c r="AR190">
        <f ca="1"/>
      </c>
      <c r="AT190" s="7">
        <f ca="1"/>
      </c>
      <c r="AU190">
        <f ca="1"/>
      </c>
      <c r="AV190">
        <f ca="1"/>
      </c>
      <c r="AW190">
        <f ca="1"/>
      </c>
      <c r="AX190">
        <f ca="1"/>
      </c>
      <c r="AY190">
        <f ca="1"/>
      </c>
      <c r="BA190" s="7">
        <f ca="1"/>
      </c>
      <c r="BB190">
        <f ca="1"/>
      </c>
      <c r="BC190">
        <f ca="1"/>
      </c>
      <c r="BD190">
        <f ca="1"/>
      </c>
      <c r="BE190">
        <f ca="1"/>
      </c>
    </row>
    <row r="191" spans="31:73" x14ac:dyDescent="0.55000000000000004">
      <c r="AE191" s="7">
        <f ca="1"/>
      </c>
      <c r="AF191">
        <f ca="1"/>
      </c>
      <c r="AG191">
        <f ca="1"/>
      </c>
      <c r="AH191">
        <f ca="1"/>
      </c>
      <c r="AI191">
        <f ca="1"/>
      </c>
      <c r="AJ191">
        <f ca="1"/>
      </c>
      <c r="AK191">
        <f ca="1"/>
      </c>
      <c r="AL191">
        <f ca="1"/>
      </c>
      <c r="AM191">
        <f ca="1"/>
      </c>
      <c r="AN191">
        <f ca="1"/>
      </c>
      <c r="AO191">
        <f ca="1"/>
      </c>
      <c r="AP191">
        <f ca="1"/>
      </c>
      <c r="AQ191">
        <f ca="1"/>
      </c>
      <c r="AR191">
        <f ca="1"/>
      </c>
      <c r="AT191" s="7">
        <f ca="1"/>
      </c>
      <c r="AU191">
        <f ca="1"/>
      </c>
      <c r="AV191">
        <f ca="1"/>
      </c>
      <c r="AW191">
        <f ca="1"/>
      </c>
      <c r="AX191">
        <f ca="1"/>
      </c>
      <c r="AY191">
        <f ca="1"/>
      </c>
      <c r="BA191" s="7">
        <f ca="1"/>
      </c>
      <c r="BB191">
        <f ca="1"/>
      </c>
      <c r="BC191">
        <f ca="1"/>
      </c>
      <c r="BD191">
        <f ca="1"/>
      </c>
      <c r="BE191">
        <f ca="1"/>
      </c>
    </row>
    <row r="192" spans="31:73" x14ac:dyDescent="0.55000000000000004">
      <c r="AE192" s="7">
        <f ca="1"/>
      </c>
      <c r="AF192">
        <f ca="1"/>
      </c>
      <c r="AG192">
        <f ca="1"/>
      </c>
      <c r="AH192">
        <f ca="1"/>
      </c>
      <c r="AI192">
        <f ca="1"/>
      </c>
      <c r="AJ192">
        <f ca="1"/>
      </c>
      <c r="AK192">
        <f ca="1"/>
      </c>
      <c r="AL192">
        <f ca="1"/>
      </c>
      <c r="AM192">
        <f ca="1"/>
      </c>
      <c r="AN192">
        <f ca="1"/>
      </c>
      <c r="AO192">
        <f ca="1"/>
      </c>
      <c r="AP192">
        <f ca="1"/>
      </c>
      <c r="AQ192">
        <f ca="1"/>
      </c>
      <c r="AR192">
        <f ca="1"/>
      </c>
      <c r="AT192" s="7">
        <f ca="1"/>
      </c>
      <c r="AU192">
        <f ca="1"/>
      </c>
      <c r="AV192">
        <f ca="1"/>
      </c>
      <c r="AW192">
        <f ca="1"/>
      </c>
      <c r="AX192">
        <f ca="1"/>
      </c>
      <c r="AY192">
        <f ca="1"/>
      </c>
      <c r="BA192" s="7">
        <f ca="1"/>
      </c>
      <c r="BB192">
        <f ca="1"/>
      </c>
      <c r="BC192">
        <f ca="1"/>
      </c>
      <c r="BD192">
        <f ca="1"/>
      </c>
      <c r="BE192">
        <f ca="1"/>
      </c>
    </row>
    <row r="193" spans="31:57" x14ac:dyDescent="0.55000000000000004">
      <c r="AE193" s="7">
        <f ca="1"/>
      </c>
      <c r="AF193">
        <f ca="1"/>
      </c>
      <c r="AG193">
        <f ca="1"/>
      </c>
      <c r="AH193">
        <f ca="1"/>
      </c>
      <c r="AI193">
        <f ca="1"/>
      </c>
      <c r="AJ193">
        <f ca="1"/>
      </c>
      <c r="AK193">
        <f ca="1"/>
      </c>
      <c r="AL193">
        <f ca="1"/>
      </c>
      <c r="AM193">
        <f ca="1"/>
      </c>
      <c r="AN193">
        <f ca="1"/>
      </c>
      <c r="AO193">
        <f ca="1"/>
      </c>
      <c r="AP193">
        <f ca="1"/>
      </c>
      <c r="AQ193">
        <f ca="1"/>
      </c>
      <c r="AR193">
        <f ca="1"/>
      </c>
      <c r="AT193" s="7">
        <f ca="1"/>
      </c>
      <c r="AU193">
        <f ca="1"/>
      </c>
      <c r="AV193">
        <f ca="1"/>
      </c>
      <c r="AW193">
        <f ca="1"/>
      </c>
      <c r="AX193">
        <f ca="1"/>
      </c>
      <c r="AY193">
        <f ca="1"/>
      </c>
      <c r="BA193" s="7">
        <f ca="1"/>
      </c>
      <c r="BB193">
        <f ca="1"/>
      </c>
      <c r="BC193">
        <f ca="1"/>
      </c>
      <c r="BD193">
        <f ca="1"/>
      </c>
      <c r="BE193">
        <f ca="1"/>
      </c>
    </row>
    <row r="194" spans="31:57" x14ac:dyDescent="0.55000000000000004">
      <c r="AE194" s="7">
        <f ca="1"/>
      </c>
      <c r="AF194">
        <f ca="1"/>
      </c>
      <c r="AG194">
        <f ca="1"/>
      </c>
      <c r="AH194">
        <f ca="1"/>
      </c>
      <c r="AI194">
        <f ca="1"/>
      </c>
      <c r="AJ194">
        <f ca="1"/>
      </c>
      <c r="AK194">
        <f ca="1"/>
      </c>
      <c r="AL194">
        <f ca="1"/>
      </c>
      <c r="AM194">
        <f ca="1"/>
      </c>
      <c r="AN194">
        <f ca="1"/>
      </c>
      <c r="AO194">
        <f ca="1"/>
      </c>
      <c r="AP194">
        <f ca="1"/>
      </c>
      <c r="AQ194">
        <f ca="1"/>
      </c>
      <c r="AR194">
        <f ca="1"/>
      </c>
      <c r="AT194" s="7">
        <f ca="1"/>
      </c>
      <c r="AU194">
        <f ca="1"/>
      </c>
      <c r="AV194">
        <f ca="1"/>
      </c>
      <c r="AW194">
        <f ca="1"/>
      </c>
      <c r="AX194">
        <f ca="1"/>
      </c>
      <c r="AY194">
        <f ca="1"/>
      </c>
      <c r="BA194" s="7">
        <f ca="1"/>
      </c>
      <c r="BB194">
        <f ca="1"/>
      </c>
      <c r="BC194">
        <f ca="1"/>
      </c>
      <c r="BD194">
        <f ca="1"/>
      </c>
      <c r="BE194">
        <f ca="1"/>
      </c>
    </row>
    <row r="195" spans="31:57" x14ac:dyDescent="0.55000000000000004">
      <c r="AE195" s="7">
        <f ca="1"/>
      </c>
      <c r="AF195">
        <f ca="1"/>
      </c>
      <c r="AG195">
        <f ca="1"/>
      </c>
      <c r="AH195">
        <f ca="1"/>
      </c>
      <c r="AI195">
        <f ca="1"/>
      </c>
      <c r="AJ195">
        <f ca="1"/>
      </c>
      <c r="AK195">
        <f ca="1"/>
      </c>
      <c r="AL195">
        <f ca="1"/>
      </c>
      <c r="AM195">
        <f ca="1"/>
      </c>
      <c r="AN195">
        <f ca="1"/>
      </c>
      <c r="AO195">
        <f ca="1"/>
      </c>
      <c r="AP195">
        <f ca="1"/>
      </c>
      <c r="AQ195">
        <f ca="1"/>
      </c>
      <c r="AR195">
        <f ca="1"/>
      </c>
      <c r="AT195" s="7">
        <f ca="1"/>
      </c>
      <c r="AU195">
        <f ca="1"/>
      </c>
      <c r="AV195">
        <f ca="1"/>
      </c>
      <c r="AW195">
        <f ca="1"/>
      </c>
      <c r="AX195">
        <f ca="1"/>
      </c>
      <c r="AY195">
        <f ca="1"/>
      </c>
      <c r="BA195" s="7">
        <f ca="1"/>
      </c>
      <c r="BB195">
        <f ca="1"/>
      </c>
      <c r="BC195">
        <f ca="1"/>
      </c>
      <c r="BD195">
        <f ca="1"/>
      </c>
      <c r="BE195">
        <f ca="1"/>
      </c>
    </row>
    <row r="196" spans="31:57" x14ac:dyDescent="0.55000000000000004">
      <c r="AE196" s="7">
        <f ca="1"/>
      </c>
      <c r="AF196">
        <f ca="1"/>
      </c>
      <c r="AG196">
        <f ca="1"/>
      </c>
      <c r="AH196">
        <f ca="1"/>
      </c>
      <c r="AI196">
        <f ca="1"/>
      </c>
      <c r="AJ196">
        <f ca="1"/>
      </c>
      <c r="AK196">
        <f ca="1"/>
      </c>
      <c r="AL196">
        <f ca="1"/>
      </c>
      <c r="AM196">
        <f ca="1"/>
      </c>
      <c r="AN196">
        <f ca="1"/>
      </c>
      <c r="AO196">
        <f ca="1"/>
      </c>
      <c r="AP196">
        <f ca="1"/>
      </c>
      <c r="AQ196">
        <f ca="1"/>
      </c>
      <c r="AR196">
        <f ca="1"/>
      </c>
      <c r="AT196" s="7">
        <f ca="1"/>
      </c>
      <c r="AU196">
        <f ca="1"/>
      </c>
      <c r="AV196">
        <f ca="1"/>
      </c>
      <c r="AW196">
        <f ca="1"/>
      </c>
      <c r="AX196">
        <f ca="1"/>
      </c>
      <c r="AY196">
        <f ca="1"/>
      </c>
      <c r="BA196" s="7">
        <f ca="1"/>
      </c>
      <c r="BB196">
        <f ca="1"/>
      </c>
      <c r="BC196">
        <f ca="1"/>
      </c>
      <c r="BD196">
        <f ca="1"/>
      </c>
      <c r="BE196">
        <f ca="1"/>
      </c>
    </row>
    <row r="197" spans="31:57" x14ac:dyDescent="0.55000000000000004">
      <c r="AE197" s="7">
        <f ca="1"/>
      </c>
      <c r="AF197">
        <f ca="1"/>
      </c>
      <c r="AG197">
        <f ca="1"/>
      </c>
      <c r="AH197">
        <f ca="1"/>
      </c>
      <c r="AI197">
        <f ca="1"/>
      </c>
      <c r="AJ197">
        <f ca="1"/>
      </c>
      <c r="AK197">
        <f ca="1"/>
      </c>
      <c r="AL197">
        <f ca="1"/>
      </c>
      <c r="AM197">
        <f ca="1"/>
      </c>
      <c r="AN197">
        <f ca="1"/>
      </c>
      <c r="AO197">
        <f ca="1"/>
      </c>
      <c r="AP197">
        <f ca="1"/>
      </c>
      <c r="AQ197">
        <f ca="1"/>
      </c>
      <c r="AR197">
        <f ca="1"/>
      </c>
      <c r="AT197" s="7">
        <f ca="1"/>
      </c>
      <c r="AU197">
        <f ca="1"/>
      </c>
      <c r="AV197">
        <f ca="1"/>
      </c>
      <c r="AW197">
        <f ca="1"/>
      </c>
      <c r="AX197">
        <f ca="1"/>
      </c>
      <c r="AY197">
        <f ca="1"/>
      </c>
      <c r="BA197" s="7">
        <f ca="1"/>
      </c>
      <c r="BB197">
        <f ca="1"/>
      </c>
      <c r="BC197">
        <f ca="1"/>
      </c>
      <c r="BD197">
        <f ca="1"/>
      </c>
      <c r="BE197">
        <f ca="1"/>
      </c>
    </row>
    <row r="198" spans="31:57" x14ac:dyDescent="0.55000000000000004">
      <c r="AE198" s="7">
        <f ca="1"/>
      </c>
      <c r="AF198">
        <f ca="1"/>
      </c>
      <c r="AG198">
        <f ca="1"/>
      </c>
      <c r="AH198">
        <f ca="1"/>
      </c>
      <c r="AI198">
        <f ca="1"/>
      </c>
      <c r="AJ198">
        <f ca="1"/>
      </c>
      <c r="AK198">
        <f ca="1"/>
      </c>
      <c r="AL198">
        <f ca="1"/>
      </c>
      <c r="AM198">
        <f ca="1"/>
      </c>
      <c r="AN198">
        <f ca="1"/>
      </c>
      <c r="AO198">
        <f ca="1"/>
      </c>
      <c r="AP198">
        <f ca="1"/>
      </c>
      <c r="AQ198">
        <f ca="1"/>
      </c>
      <c r="AR198">
        <f ca="1"/>
      </c>
      <c r="AT198" s="7">
        <f ca="1"/>
      </c>
      <c r="AU198">
        <f ca="1"/>
      </c>
      <c r="AV198">
        <f ca="1"/>
      </c>
      <c r="AW198">
        <f ca="1"/>
      </c>
      <c r="AX198">
        <f ca="1"/>
      </c>
      <c r="AY198">
        <f ca="1"/>
      </c>
      <c r="BA198" s="7">
        <f ca="1"/>
      </c>
      <c r="BB198">
        <f ca="1"/>
      </c>
      <c r="BC198">
        <f ca="1"/>
      </c>
      <c r="BD198">
        <f ca="1"/>
      </c>
      <c r="BE198">
        <f ca="1"/>
      </c>
    </row>
    <row r="199" spans="31:57" x14ac:dyDescent="0.55000000000000004">
      <c r="AE199" s="7">
        <f ca="1"/>
      </c>
      <c r="AF199">
        <f ca="1"/>
      </c>
      <c r="AG199">
        <f ca="1"/>
      </c>
      <c r="AH199">
        <f ca="1"/>
      </c>
      <c r="AI199">
        <f ca="1"/>
      </c>
      <c r="AJ199">
        <f ca="1"/>
      </c>
      <c r="AK199">
        <f ca="1"/>
      </c>
      <c r="AL199">
        <f ca="1"/>
      </c>
      <c r="AM199">
        <f ca="1"/>
      </c>
      <c r="AN199">
        <f ca="1"/>
      </c>
      <c r="AO199">
        <f ca="1"/>
      </c>
      <c r="AP199">
        <f ca="1"/>
      </c>
      <c r="AQ199">
        <f ca="1"/>
      </c>
      <c r="AR199">
        <f ca="1"/>
      </c>
      <c r="AT199" s="7">
        <f ca="1"/>
      </c>
      <c r="AU199">
        <f ca="1"/>
      </c>
      <c r="AV199">
        <f ca="1"/>
      </c>
      <c r="AW199">
        <f ca="1"/>
      </c>
      <c r="AX199">
        <f ca="1"/>
      </c>
      <c r="AY199">
        <f ca="1"/>
      </c>
      <c r="BA199" s="7">
        <f ca="1"/>
      </c>
      <c r="BB199">
        <f ca="1"/>
      </c>
      <c r="BC199">
        <f ca="1"/>
      </c>
      <c r="BD199">
        <f ca="1"/>
      </c>
      <c r="BE199">
        <f ca="1"/>
      </c>
    </row>
    <row r="200" spans="31:57" x14ac:dyDescent="0.55000000000000004">
      <c r="AE200" s="7">
        <f ca="1"/>
      </c>
      <c r="AF200">
        <f ca="1"/>
      </c>
      <c r="AG200">
        <f ca="1"/>
      </c>
      <c r="AH200">
        <f ca="1"/>
      </c>
      <c r="AI200">
        <f ca="1"/>
      </c>
      <c r="AJ200">
        <f ca="1"/>
      </c>
      <c r="AK200">
        <f ca="1"/>
      </c>
      <c r="AL200">
        <f ca="1"/>
      </c>
      <c r="AM200">
        <f ca="1"/>
      </c>
      <c r="AN200">
        <f ca="1"/>
      </c>
      <c r="AO200">
        <f ca="1"/>
      </c>
      <c r="AP200">
        <f ca="1"/>
      </c>
      <c r="AQ200">
        <f ca="1"/>
      </c>
      <c r="AR200">
        <f ca="1"/>
      </c>
      <c r="AT200" s="7">
        <f ca="1"/>
      </c>
      <c r="AU200">
        <f ca="1"/>
      </c>
      <c r="AV200">
        <f ca="1"/>
      </c>
      <c r="AW200">
        <f ca="1"/>
      </c>
      <c r="AX200">
        <f ca="1"/>
      </c>
      <c r="AY200">
        <f ca="1"/>
      </c>
      <c r="BA200" s="7">
        <f ca="1"/>
      </c>
      <c r="BB200">
        <f ca="1"/>
      </c>
      <c r="BC200">
        <f ca="1"/>
      </c>
      <c r="BD200">
        <f ca="1"/>
      </c>
      <c r="BE200">
        <f ca="1"/>
      </c>
    </row>
    <row r="201" spans="31:57" x14ac:dyDescent="0.55000000000000004">
      <c r="AE201" s="7">
        <f ca="1"/>
      </c>
      <c r="AF201">
        <f ca="1"/>
      </c>
      <c r="AG201">
        <f ca="1"/>
      </c>
      <c r="AH201">
        <f ca="1"/>
      </c>
      <c r="AI201">
        <f ca="1"/>
      </c>
      <c r="AJ201">
        <f ca="1"/>
      </c>
      <c r="AK201">
        <f ca="1"/>
      </c>
      <c r="AL201">
        <f ca="1"/>
      </c>
      <c r="AM201">
        <f ca="1"/>
      </c>
      <c r="AN201">
        <f ca="1"/>
      </c>
      <c r="AO201">
        <f ca="1"/>
      </c>
      <c r="AP201">
        <f ca="1"/>
      </c>
      <c r="AQ201">
        <f ca="1"/>
      </c>
      <c r="AR201">
        <f ca="1"/>
      </c>
      <c r="AT201" s="7">
        <f ca="1"/>
      </c>
      <c r="AU201">
        <f ca="1"/>
      </c>
      <c r="AV201">
        <f ca="1"/>
      </c>
      <c r="AW201">
        <f ca="1"/>
      </c>
      <c r="AX201">
        <f ca="1"/>
      </c>
      <c r="AY201">
        <f ca="1"/>
      </c>
      <c r="BA201" s="7">
        <f ca="1"/>
      </c>
      <c r="BB201">
        <f ca="1"/>
      </c>
      <c r="BC201">
        <f ca="1"/>
      </c>
      <c r="BD201">
        <f ca="1"/>
      </c>
      <c r="BE201">
        <f ca="1"/>
      </c>
    </row>
    <row r="202" spans="31:57" x14ac:dyDescent="0.55000000000000004">
      <c r="AE202" s="7">
        <f ca="1"/>
      </c>
      <c r="AF202">
        <f ca="1"/>
      </c>
      <c r="AG202">
        <f ca="1"/>
      </c>
      <c r="AH202">
        <f ca="1"/>
      </c>
      <c r="AI202">
        <f ca="1"/>
      </c>
      <c r="AJ202">
        <f ca="1"/>
      </c>
      <c r="AK202">
        <f ca="1"/>
      </c>
      <c r="AL202">
        <f ca="1"/>
      </c>
      <c r="AM202">
        <f ca="1"/>
      </c>
      <c r="AN202">
        <f ca="1"/>
      </c>
      <c r="AO202">
        <f ca="1"/>
      </c>
      <c r="AP202">
        <f ca="1"/>
      </c>
      <c r="AQ202">
        <f ca="1"/>
      </c>
      <c r="AR202">
        <f ca="1"/>
      </c>
      <c r="AT202" s="7">
        <f ca="1"/>
      </c>
      <c r="AU202">
        <f ca="1"/>
      </c>
      <c r="AV202">
        <f ca="1"/>
      </c>
      <c r="AW202">
        <f ca="1"/>
      </c>
      <c r="AX202">
        <f ca="1"/>
      </c>
      <c r="AY202">
        <f ca="1"/>
      </c>
      <c r="BA202" s="7">
        <f ca="1"/>
      </c>
      <c r="BB202">
        <f ca="1"/>
      </c>
      <c r="BC202">
        <f ca="1"/>
      </c>
      <c r="BD202">
        <f ca="1"/>
      </c>
      <c r="BE202">
        <f ca="1"/>
      </c>
    </row>
    <row r="203" spans="31:57" x14ac:dyDescent="0.55000000000000004">
      <c r="AE203" s="7">
        <f ca="1"/>
      </c>
      <c r="AF203">
        <f ca="1"/>
      </c>
      <c r="AG203">
        <f ca="1"/>
      </c>
      <c r="AH203">
        <f ca="1"/>
      </c>
      <c r="AI203">
        <f ca="1"/>
      </c>
      <c r="AJ203">
        <f ca="1"/>
      </c>
      <c r="AK203">
        <f ca="1"/>
      </c>
      <c r="AL203">
        <f ca="1"/>
      </c>
      <c r="AM203">
        <f ca="1"/>
      </c>
      <c r="AN203">
        <f ca="1"/>
      </c>
      <c r="AO203">
        <f ca="1"/>
      </c>
      <c r="AP203">
        <f ca="1"/>
      </c>
      <c r="AQ203">
        <f ca="1"/>
      </c>
      <c r="AR203">
        <f ca="1"/>
      </c>
      <c r="AT203" s="7">
        <f ca="1"/>
      </c>
      <c r="AU203">
        <f ca="1"/>
      </c>
      <c r="AV203">
        <f ca="1"/>
      </c>
      <c r="AW203">
        <f ca="1"/>
      </c>
      <c r="AX203">
        <f ca="1"/>
      </c>
      <c r="AY203">
        <f ca="1"/>
      </c>
      <c r="BA203" s="7">
        <f ca="1"/>
      </c>
      <c r="BB203">
        <f ca="1"/>
      </c>
      <c r="BC203">
        <f ca="1"/>
      </c>
      <c r="BD203">
        <f ca="1"/>
      </c>
      <c r="BE203">
        <f ca="1"/>
      </c>
    </row>
    <row r="204" spans="31:57" x14ac:dyDescent="0.55000000000000004">
      <c r="AE204" s="7">
        <f ca="1"/>
      </c>
      <c r="AF204">
        <f ca="1"/>
      </c>
      <c r="AG204">
        <f ca="1"/>
      </c>
      <c r="AH204">
        <f ca="1"/>
      </c>
      <c r="AI204">
        <f ca="1"/>
      </c>
      <c r="AJ204">
        <f ca="1"/>
      </c>
      <c r="AK204">
        <f ca="1"/>
      </c>
      <c r="AL204">
        <f ca="1"/>
      </c>
      <c r="AM204">
        <f ca="1"/>
      </c>
      <c r="AN204">
        <f ca="1"/>
      </c>
      <c r="AO204">
        <f ca="1"/>
      </c>
      <c r="AP204">
        <f ca="1"/>
      </c>
      <c r="AQ204">
        <f ca="1"/>
      </c>
      <c r="AR204">
        <f ca="1"/>
      </c>
      <c r="AT204" s="7">
        <f ca="1"/>
      </c>
      <c r="AU204">
        <f ca="1"/>
      </c>
      <c r="AV204">
        <f ca="1"/>
      </c>
      <c r="AW204">
        <f ca="1"/>
      </c>
      <c r="AX204">
        <f ca="1"/>
      </c>
      <c r="AY204">
        <f ca="1"/>
      </c>
      <c r="BA204" s="7">
        <f ca="1"/>
      </c>
      <c r="BB204">
        <f ca="1"/>
      </c>
      <c r="BC204">
        <f ca="1"/>
      </c>
      <c r="BD204">
        <f ca="1"/>
      </c>
      <c r="BE204">
        <f ca="1"/>
      </c>
    </row>
    <row r="205" spans="31:57" x14ac:dyDescent="0.55000000000000004">
      <c r="AE205" s="7">
        <f ca="1"/>
      </c>
      <c r="AF205">
        <f ca="1"/>
      </c>
      <c r="AG205">
        <f ca="1"/>
      </c>
      <c r="AH205">
        <f ca="1"/>
      </c>
      <c r="AI205">
        <f ca="1"/>
      </c>
      <c r="AJ205">
        <f ca="1"/>
      </c>
      <c r="AK205">
        <f ca="1"/>
      </c>
      <c r="AL205">
        <f ca="1"/>
      </c>
      <c r="AM205">
        <f ca="1"/>
      </c>
      <c r="AN205">
        <f ca="1"/>
      </c>
      <c r="AO205">
        <f ca="1"/>
      </c>
      <c r="AP205">
        <f ca="1"/>
      </c>
      <c r="AQ205">
        <f ca="1"/>
      </c>
      <c r="AR205">
        <f ca="1"/>
      </c>
      <c r="AT205" s="7">
        <f ca="1"/>
      </c>
      <c r="AU205">
        <f ca="1"/>
      </c>
      <c r="AV205">
        <f ca="1"/>
      </c>
      <c r="AW205">
        <f ca="1"/>
      </c>
      <c r="AX205">
        <f ca="1"/>
      </c>
      <c r="AY205">
        <f ca="1"/>
      </c>
      <c r="BA205" s="7">
        <f ca="1"/>
      </c>
      <c r="BB205">
        <f ca="1"/>
      </c>
      <c r="BC205">
        <f ca="1"/>
      </c>
      <c r="BD205">
        <f ca="1"/>
      </c>
      <c r="BE205">
        <f ca="1"/>
      </c>
    </row>
    <row r="206" spans="31:57" x14ac:dyDescent="0.55000000000000004">
      <c r="AE206" s="7">
        <f ca="1"/>
      </c>
      <c r="AF206">
        <f ca="1"/>
      </c>
      <c r="AG206">
        <f ca="1"/>
      </c>
      <c r="AH206">
        <f ca="1"/>
      </c>
      <c r="AI206">
        <f ca="1"/>
      </c>
      <c r="AJ206">
        <f ca="1"/>
      </c>
      <c r="AK206">
        <f ca="1"/>
      </c>
      <c r="AL206">
        <f ca="1"/>
      </c>
      <c r="AM206">
        <f ca="1"/>
      </c>
      <c r="AN206">
        <f ca="1"/>
      </c>
      <c r="AO206">
        <f ca="1"/>
      </c>
      <c r="AP206">
        <f ca="1"/>
      </c>
      <c r="AQ206">
        <f ca="1"/>
      </c>
      <c r="AR206">
        <f ca="1"/>
      </c>
      <c r="AT206" s="7">
        <f ca="1"/>
      </c>
      <c r="AU206">
        <f ca="1"/>
      </c>
      <c r="AV206">
        <f ca="1"/>
      </c>
      <c r="AW206">
        <f ca="1"/>
      </c>
      <c r="AX206">
        <f ca="1"/>
      </c>
      <c r="AY206">
        <f ca="1"/>
      </c>
      <c r="BA206" s="7">
        <f ca="1"/>
      </c>
      <c r="BB206">
        <f ca="1"/>
      </c>
      <c r="BC206">
        <f ca="1"/>
      </c>
      <c r="BD206">
        <f ca="1"/>
      </c>
      <c r="BE206">
        <f ca="1"/>
      </c>
    </row>
    <row r="207" spans="31:57" x14ac:dyDescent="0.55000000000000004">
      <c r="AE207" s="7">
        <f ca="1"/>
      </c>
      <c r="AF207">
        <f ca="1"/>
      </c>
      <c r="AG207">
        <f ca="1"/>
      </c>
      <c r="AH207">
        <f ca="1"/>
      </c>
      <c r="AI207">
        <f ca="1"/>
      </c>
      <c r="AJ207">
        <f ca="1"/>
      </c>
      <c r="AK207">
        <f ca="1"/>
      </c>
      <c r="AL207">
        <f ca="1"/>
      </c>
      <c r="AM207">
        <f ca="1"/>
      </c>
      <c r="AN207">
        <f ca="1"/>
      </c>
      <c r="AO207">
        <f ca="1"/>
      </c>
      <c r="AP207">
        <f ca="1"/>
      </c>
      <c r="AQ207">
        <f ca="1"/>
      </c>
      <c r="AR207">
        <f ca="1"/>
      </c>
      <c r="AT207" s="7">
        <f ca="1"/>
      </c>
      <c r="AU207">
        <f ca="1"/>
      </c>
      <c r="AV207">
        <f ca="1"/>
      </c>
      <c r="AW207">
        <f ca="1"/>
      </c>
      <c r="AX207">
        <f ca="1"/>
      </c>
      <c r="AY207">
        <f ca="1"/>
      </c>
      <c r="BA207" s="7">
        <f ca="1"/>
      </c>
      <c r="BB207">
        <f ca="1"/>
      </c>
      <c r="BC207">
        <f ca="1"/>
      </c>
      <c r="BD207">
        <f ca="1"/>
      </c>
      <c r="BE207">
        <f ca="1"/>
      </c>
    </row>
    <row r="208" spans="31:57" x14ac:dyDescent="0.55000000000000004">
      <c r="AE208" s="7">
        <f ca="1"/>
      </c>
      <c r="AF208">
        <f ca="1"/>
      </c>
      <c r="AG208">
        <f ca="1"/>
      </c>
      <c r="AH208">
        <f ca="1"/>
      </c>
      <c r="AI208">
        <f ca="1"/>
      </c>
      <c r="AJ208">
        <f ca="1"/>
      </c>
      <c r="AK208">
        <f ca="1"/>
      </c>
      <c r="AL208">
        <f ca="1"/>
      </c>
      <c r="AM208">
        <f ca="1"/>
      </c>
      <c r="AN208">
        <f ca="1"/>
      </c>
      <c r="AO208">
        <f ca="1"/>
      </c>
      <c r="AP208">
        <f ca="1"/>
      </c>
      <c r="AQ208">
        <f ca="1"/>
      </c>
      <c r="AR208">
        <f ca="1"/>
      </c>
      <c r="AT208" s="7">
        <f ca="1"/>
      </c>
      <c r="AU208">
        <f ca="1"/>
      </c>
      <c r="AV208">
        <f ca="1"/>
      </c>
      <c r="AW208">
        <f ca="1"/>
      </c>
      <c r="AX208">
        <f ca="1"/>
      </c>
      <c r="AY208">
        <f ca="1"/>
      </c>
      <c r="BA208" s="7">
        <f ca="1"/>
      </c>
      <c r="BB208">
        <f ca="1"/>
      </c>
      <c r="BC208">
        <f ca="1"/>
      </c>
      <c r="BD208">
        <f ca="1"/>
      </c>
      <c r="BE208">
        <f ca="1"/>
      </c>
    </row>
    <row r="209" spans="31:57" x14ac:dyDescent="0.55000000000000004">
      <c r="AE209" s="7">
        <f ca="1"/>
      </c>
      <c r="AF209">
        <f ca="1"/>
      </c>
      <c r="AG209">
        <f ca="1"/>
      </c>
      <c r="AH209">
        <f ca="1"/>
      </c>
      <c r="AI209">
        <f ca="1"/>
      </c>
      <c r="AJ209">
        <f ca="1"/>
      </c>
      <c r="AK209">
        <f ca="1"/>
      </c>
      <c r="AL209">
        <f ca="1"/>
      </c>
      <c r="AM209">
        <f ca="1"/>
      </c>
      <c r="AN209">
        <f ca="1"/>
      </c>
      <c r="AO209">
        <f ca="1"/>
      </c>
      <c r="AP209">
        <f ca="1"/>
      </c>
      <c r="AQ209">
        <f ca="1"/>
      </c>
      <c r="AR209">
        <f ca="1"/>
      </c>
      <c r="AT209" s="7">
        <f ca="1"/>
      </c>
      <c r="AU209">
        <f ca="1"/>
      </c>
      <c r="AV209">
        <f ca="1"/>
      </c>
      <c r="AW209">
        <f ca="1"/>
      </c>
      <c r="AX209">
        <f ca="1"/>
      </c>
      <c r="AY209">
        <f ca="1"/>
      </c>
      <c r="BA209" s="7">
        <f ca="1"/>
      </c>
      <c r="BB209">
        <f ca="1"/>
      </c>
      <c r="BC209">
        <f ca="1"/>
      </c>
      <c r="BD209">
        <f ca="1"/>
      </c>
      <c r="BE209">
        <f ca="1"/>
      </c>
    </row>
    <row r="210" spans="31:57" x14ac:dyDescent="0.55000000000000004">
      <c r="AE210" s="7">
        <f ca="1"/>
      </c>
      <c r="AF210">
        <f ca="1"/>
      </c>
      <c r="AG210">
        <f ca="1"/>
      </c>
      <c r="AH210">
        <f ca="1"/>
      </c>
      <c r="AI210">
        <f ca="1"/>
      </c>
      <c r="AJ210">
        <f ca="1"/>
      </c>
      <c r="AK210">
        <f ca="1"/>
      </c>
      <c r="AL210">
        <f ca="1"/>
      </c>
      <c r="AM210">
        <f ca="1"/>
      </c>
      <c r="AN210">
        <f ca="1"/>
      </c>
      <c r="AO210">
        <f ca="1"/>
      </c>
      <c r="AP210">
        <f ca="1"/>
      </c>
      <c r="AQ210">
        <f ca="1"/>
      </c>
      <c r="AR210">
        <f ca="1"/>
      </c>
      <c r="AT210" s="7">
        <f ca="1"/>
      </c>
      <c r="AU210">
        <f ca="1"/>
      </c>
      <c r="AV210">
        <f ca="1"/>
      </c>
      <c r="AW210">
        <f ca="1"/>
      </c>
      <c r="AX210">
        <f ca="1"/>
      </c>
      <c r="AY210">
        <f ca="1"/>
      </c>
      <c r="BA210" s="7">
        <f ca="1"/>
      </c>
      <c r="BB210">
        <f ca="1"/>
      </c>
      <c r="BC210">
        <f ca="1"/>
      </c>
      <c r="BD210">
        <f ca="1"/>
      </c>
      <c r="BE210">
        <f ca="1"/>
      </c>
    </row>
    <row r="211" spans="31:57" x14ac:dyDescent="0.55000000000000004">
      <c r="AE211" s="7">
        <f ca="1"/>
      </c>
      <c r="AF211">
        <f ca="1"/>
      </c>
      <c r="AG211">
        <f ca="1"/>
      </c>
      <c r="AH211">
        <f ca="1"/>
      </c>
      <c r="AI211">
        <f ca="1"/>
      </c>
      <c r="AJ211">
        <f ca="1"/>
      </c>
      <c r="AK211">
        <f ca="1"/>
      </c>
      <c r="AL211">
        <f ca="1"/>
      </c>
      <c r="AM211">
        <f ca="1"/>
      </c>
      <c r="AN211">
        <f ca="1"/>
      </c>
      <c r="AO211">
        <f ca="1"/>
      </c>
      <c r="AP211">
        <f ca="1"/>
      </c>
      <c r="AQ211">
        <f ca="1"/>
      </c>
      <c r="AR211">
        <f ca="1"/>
      </c>
      <c r="AT211" s="7">
        <f ca="1"/>
      </c>
      <c r="AU211">
        <f ca="1"/>
      </c>
      <c r="AV211">
        <f ca="1"/>
      </c>
      <c r="AW211">
        <f ca="1"/>
      </c>
      <c r="AX211">
        <f ca="1"/>
      </c>
      <c r="AY211">
        <f ca="1"/>
      </c>
      <c r="BA211" s="7">
        <f ca="1"/>
      </c>
      <c r="BB211">
        <f ca="1"/>
      </c>
      <c r="BC211">
        <f ca="1"/>
      </c>
      <c r="BD211">
        <f ca="1"/>
      </c>
      <c r="BE211">
        <f ca="1"/>
      </c>
    </row>
    <row r="212" spans="31:57" x14ac:dyDescent="0.55000000000000004">
      <c r="AE212" s="7">
        <f ca="1"/>
      </c>
      <c r="AF212">
        <f ca="1"/>
      </c>
      <c r="AG212">
        <f ca="1"/>
      </c>
      <c r="AH212">
        <f ca="1"/>
      </c>
      <c r="AI212">
        <f ca="1"/>
      </c>
      <c r="AJ212">
        <f ca="1"/>
      </c>
      <c r="AK212">
        <f ca="1"/>
      </c>
      <c r="AL212">
        <f ca="1"/>
      </c>
      <c r="AM212">
        <f ca="1"/>
      </c>
      <c r="AN212">
        <f ca="1"/>
      </c>
      <c r="AO212">
        <f ca="1"/>
      </c>
      <c r="AP212">
        <f ca="1"/>
      </c>
      <c r="AQ212">
        <f ca="1"/>
      </c>
      <c r="AR212">
        <f ca="1"/>
      </c>
      <c r="AT212" s="7">
        <f ca="1"/>
      </c>
      <c r="AU212">
        <f ca="1"/>
      </c>
      <c r="AV212">
        <f ca="1"/>
      </c>
      <c r="AW212">
        <f ca="1"/>
      </c>
      <c r="AX212">
        <f ca="1"/>
      </c>
      <c r="AY212">
        <f ca="1"/>
      </c>
      <c r="BA212" s="7">
        <f ca="1"/>
      </c>
      <c r="BB212">
        <f ca="1"/>
      </c>
      <c r="BC212">
        <f ca="1"/>
      </c>
      <c r="BD212">
        <f ca="1"/>
      </c>
      <c r="BE212">
        <f ca="1"/>
      </c>
    </row>
    <row r="213" spans="31:57" x14ac:dyDescent="0.55000000000000004">
      <c r="AE213" s="7">
        <f ca="1"/>
      </c>
      <c r="AF213">
        <f ca="1"/>
      </c>
      <c r="AG213">
        <f ca="1"/>
      </c>
      <c r="AH213">
        <f ca="1"/>
      </c>
      <c r="AI213">
        <f ca="1"/>
      </c>
      <c r="AJ213">
        <f ca="1"/>
      </c>
      <c r="AK213">
        <f ca="1"/>
      </c>
      <c r="AL213">
        <f ca="1"/>
      </c>
      <c r="AM213">
        <f ca="1"/>
      </c>
      <c r="AN213">
        <f ca="1"/>
      </c>
      <c r="AO213">
        <f ca="1"/>
      </c>
      <c r="AP213">
        <f ca="1"/>
      </c>
      <c r="AQ213">
        <f ca="1"/>
      </c>
      <c r="AR213">
        <f ca="1"/>
      </c>
      <c r="AT213" s="7">
        <f ca="1"/>
      </c>
      <c r="AU213">
        <f ca="1"/>
      </c>
      <c r="AV213">
        <f ca="1"/>
      </c>
      <c r="AW213">
        <f ca="1"/>
      </c>
      <c r="AX213">
        <f ca="1"/>
      </c>
      <c r="AY213">
        <f ca="1"/>
      </c>
      <c r="BA213" s="7">
        <f ca="1"/>
      </c>
      <c r="BB213">
        <f ca="1"/>
      </c>
      <c r="BC213">
        <f ca="1"/>
      </c>
      <c r="BD213">
        <f ca="1"/>
      </c>
      <c r="BE213">
        <f ca="1"/>
      </c>
    </row>
    <row r="214" spans="31:57" x14ac:dyDescent="0.55000000000000004">
      <c r="AE214" s="7">
        <f ca="1"/>
      </c>
      <c r="AF214">
        <f ca="1"/>
      </c>
      <c r="AG214">
        <f ca="1"/>
      </c>
      <c r="AH214">
        <f ca="1"/>
      </c>
      <c r="AI214">
        <f ca="1"/>
      </c>
      <c r="AJ214">
        <f ca="1"/>
      </c>
      <c r="AK214">
        <f ca="1"/>
      </c>
      <c r="AL214">
        <f ca="1"/>
      </c>
      <c r="AM214">
        <f ca="1"/>
      </c>
      <c r="AN214">
        <f ca="1"/>
      </c>
      <c r="AO214">
        <f ca="1"/>
      </c>
      <c r="AP214">
        <f ca="1"/>
      </c>
      <c r="AQ214">
        <f ca="1"/>
      </c>
      <c r="AR214">
        <f ca="1"/>
      </c>
      <c r="AT214" s="7">
        <f ca="1"/>
      </c>
      <c r="AU214">
        <f ca="1"/>
      </c>
      <c r="AV214">
        <f ca="1"/>
      </c>
      <c r="AW214">
        <f ca="1"/>
      </c>
      <c r="AX214">
        <f ca="1"/>
      </c>
      <c r="AY214">
        <f ca="1"/>
      </c>
      <c r="BA214" s="7">
        <f ca="1"/>
      </c>
      <c r="BB214">
        <f ca="1"/>
      </c>
      <c r="BC214">
        <f ca="1"/>
      </c>
      <c r="BD214">
        <f ca="1"/>
      </c>
      <c r="BE214">
        <f ca="1"/>
      </c>
    </row>
    <row r="215" spans="31:57" x14ac:dyDescent="0.55000000000000004">
      <c r="AE215" s="7">
        <f ca="1"/>
      </c>
      <c r="AF215">
        <f ca="1"/>
      </c>
      <c r="AG215">
        <f ca="1"/>
      </c>
      <c r="AH215">
        <f ca="1"/>
      </c>
      <c r="AI215">
        <f ca="1"/>
      </c>
      <c r="AJ215">
        <f ca="1"/>
      </c>
      <c r="AK215">
        <f ca="1"/>
      </c>
      <c r="AL215">
        <f ca="1"/>
      </c>
      <c r="AM215">
        <f ca="1"/>
      </c>
      <c r="AN215">
        <f ca="1"/>
      </c>
      <c r="AO215">
        <f ca="1"/>
      </c>
      <c r="AP215">
        <f ca="1"/>
      </c>
      <c r="AQ215">
        <f ca="1"/>
      </c>
      <c r="AR215">
        <f ca="1"/>
      </c>
      <c r="AT215" s="7">
        <f ca="1"/>
      </c>
      <c r="AU215">
        <f ca="1"/>
      </c>
      <c r="AV215">
        <f ca="1"/>
      </c>
      <c r="AW215">
        <f ca="1"/>
      </c>
      <c r="AX215">
        <f ca="1"/>
      </c>
      <c r="AY215">
        <f ca="1"/>
      </c>
      <c r="BA215" s="7">
        <f ca="1"/>
      </c>
      <c r="BB215">
        <f ca="1"/>
      </c>
      <c r="BC215">
        <f ca="1"/>
      </c>
      <c r="BD215">
        <f ca="1"/>
      </c>
      <c r="BE215">
        <f ca="1"/>
      </c>
    </row>
    <row r="216" spans="31:57" x14ac:dyDescent="0.55000000000000004">
      <c r="AE216" s="7">
        <f ca="1"/>
      </c>
      <c r="AF216">
        <f ca="1"/>
      </c>
      <c r="AG216">
        <f ca="1"/>
      </c>
      <c r="AH216">
        <f ca="1"/>
      </c>
      <c r="AI216">
        <f ca="1"/>
      </c>
      <c r="AJ216">
        <f ca="1"/>
      </c>
      <c r="AK216">
        <f ca="1"/>
      </c>
      <c r="AL216">
        <f ca="1"/>
      </c>
      <c r="AM216">
        <f ca="1"/>
      </c>
      <c r="AN216">
        <f ca="1"/>
      </c>
      <c r="AO216">
        <f ca="1"/>
      </c>
      <c r="AP216">
        <f ca="1"/>
      </c>
      <c r="AQ216">
        <f ca="1"/>
      </c>
      <c r="AR216">
        <f ca="1"/>
      </c>
      <c r="AT216" s="7">
        <f ca="1"/>
      </c>
      <c r="AU216">
        <f ca="1"/>
      </c>
      <c r="AV216">
        <f ca="1"/>
      </c>
      <c r="AW216">
        <f ca="1"/>
      </c>
      <c r="AX216">
        <f ca="1"/>
      </c>
      <c r="AY216">
        <f ca="1"/>
      </c>
      <c r="BA216" s="7">
        <f ca="1"/>
      </c>
      <c r="BB216">
        <f ca="1"/>
      </c>
      <c r="BC216">
        <f ca="1"/>
      </c>
      <c r="BD216">
        <f ca="1"/>
      </c>
      <c r="BE216">
        <f ca="1"/>
      </c>
    </row>
    <row r="217" spans="31:57" x14ac:dyDescent="0.55000000000000004">
      <c r="AE217" s="7">
        <f ca="1"/>
      </c>
      <c r="AF217">
        <f ca="1"/>
      </c>
      <c r="AG217">
        <f ca="1"/>
      </c>
      <c r="AH217">
        <f ca="1"/>
      </c>
      <c r="AI217">
        <f ca="1"/>
      </c>
      <c r="AJ217">
        <f ca="1"/>
      </c>
      <c r="AK217">
        <f ca="1"/>
      </c>
      <c r="AL217">
        <f ca="1"/>
      </c>
      <c r="AM217">
        <f ca="1"/>
      </c>
      <c r="AN217">
        <f ca="1"/>
      </c>
      <c r="AO217">
        <f ca="1"/>
      </c>
      <c r="AP217">
        <f ca="1"/>
      </c>
      <c r="AQ217">
        <f ca="1"/>
      </c>
      <c r="AR217">
        <f ca="1"/>
      </c>
      <c r="AT217" s="7">
        <f ca="1"/>
      </c>
      <c r="AU217">
        <f ca="1"/>
      </c>
      <c r="AV217">
        <f ca="1"/>
      </c>
      <c r="AW217">
        <f ca="1"/>
      </c>
      <c r="AX217">
        <f ca="1"/>
      </c>
      <c r="AY217">
        <f ca="1"/>
      </c>
      <c r="BA217" s="7">
        <f ca="1"/>
      </c>
      <c r="BB217">
        <f ca="1"/>
      </c>
      <c r="BC217">
        <f ca="1"/>
      </c>
      <c r="BD217">
        <f ca="1"/>
      </c>
      <c r="BE217">
        <f ca="1"/>
      </c>
    </row>
    <row r="218" spans="31:57" x14ac:dyDescent="0.55000000000000004">
      <c r="AE218" s="7">
        <f ca="1"/>
      </c>
      <c r="AF218">
        <f ca="1"/>
      </c>
      <c r="AG218">
        <f ca="1"/>
      </c>
      <c r="AH218">
        <f ca="1"/>
      </c>
      <c r="AI218">
        <f ca="1"/>
      </c>
      <c r="AJ218">
        <f ca="1"/>
      </c>
      <c r="AK218">
        <f ca="1"/>
      </c>
      <c r="AL218">
        <f ca="1"/>
      </c>
      <c r="AM218">
        <f ca="1"/>
      </c>
      <c r="AN218">
        <f ca="1"/>
      </c>
      <c r="AO218">
        <f ca="1"/>
      </c>
      <c r="AP218">
        <f ca="1"/>
      </c>
      <c r="AQ218">
        <f ca="1"/>
      </c>
      <c r="AR218">
        <f ca="1"/>
      </c>
      <c r="AT218" s="7">
        <f ca="1"/>
      </c>
      <c r="AU218">
        <f ca="1"/>
      </c>
      <c r="AV218">
        <f ca="1"/>
      </c>
      <c r="AW218">
        <f ca="1"/>
      </c>
      <c r="AX218">
        <f ca="1"/>
      </c>
      <c r="AY218">
        <f ca="1"/>
      </c>
      <c r="BA218" s="7">
        <f ca="1"/>
      </c>
      <c r="BB218">
        <f ca="1"/>
      </c>
      <c r="BC218">
        <f ca="1"/>
      </c>
      <c r="BD218">
        <f ca="1"/>
      </c>
      <c r="BE218">
        <f ca="1"/>
      </c>
    </row>
    <row r="219" spans="31:57" x14ac:dyDescent="0.55000000000000004">
      <c r="AE219" s="7">
        <f ca="1"/>
      </c>
      <c r="AF219">
        <f ca="1"/>
      </c>
      <c r="AG219">
        <f ca="1"/>
      </c>
      <c r="AH219">
        <f ca="1"/>
      </c>
      <c r="AI219">
        <f ca="1"/>
      </c>
      <c r="AJ219">
        <f ca="1"/>
      </c>
      <c r="AK219">
        <f ca="1"/>
      </c>
      <c r="AL219">
        <f ca="1"/>
      </c>
      <c r="AM219">
        <f ca="1"/>
      </c>
      <c r="AN219">
        <f ca="1"/>
      </c>
      <c r="AO219">
        <f ca="1"/>
      </c>
      <c r="AP219">
        <f ca="1"/>
      </c>
      <c r="AQ219">
        <f ca="1"/>
      </c>
      <c r="AR219">
        <f ca="1"/>
      </c>
      <c r="AT219" s="7">
        <f ca="1"/>
      </c>
      <c r="AU219">
        <f ca="1"/>
      </c>
      <c r="AV219">
        <f ca="1"/>
      </c>
      <c r="AW219">
        <f ca="1"/>
      </c>
      <c r="AX219">
        <f ca="1"/>
      </c>
      <c r="AY219">
        <f ca="1"/>
      </c>
      <c r="BA219" s="7">
        <f ca="1"/>
      </c>
      <c r="BB219">
        <f ca="1"/>
      </c>
      <c r="BC219">
        <f ca="1"/>
      </c>
      <c r="BD219">
        <f ca="1"/>
      </c>
      <c r="BE219">
        <f ca="1"/>
      </c>
    </row>
    <row r="220" spans="31:57" x14ac:dyDescent="0.55000000000000004">
      <c r="AE220" s="7">
        <f ca="1"/>
      </c>
      <c r="AF220">
        <f ca="1"/>
      </c>
      <c r="AG220">
        <f ca="1"/>
      </c>
      <c r="AH220">
        <f ca="1"/>
      </c>
      <c r="AI220">
        <f ca="1"/>
      </c>
      <c r="AJ220">
        <f ca="1"/>
      </c>
      <c r="AK220">
        <f ca="1"/>
      </c>
      <c r="AL220">
        <f ca="1"/>
      </c>
      <c r="AM220">
        <f ca="1"/>
      </c>
      <c r="AN220">
        <f ca="1"/>
      </c>
      <c r="AO220">
        <f ca="1"/>
      </c>
      <c r="AP220">
        <f ca="1"/>
      </c>
      <c r="AQ220">
        <f ca="1"/>
      </c>
      <c r="AR220">
        <f ca="1"/>
      </c>
      <c r="AT220" s="7">
        <f ca="1"/>
      </c>
      <c r="AU220">
        <f ca="1"/>
      </c>
      <c r="AV220">
        <f ca="1"/>
      </c>
      <c r="AW220">
        <f ca="1"/>
      </c>
      <c r="AX220">
        <f ca="1"/>
      </c>
      <c r="AY220">
        <f ca="1"/>
      </c>
      <c r="BA220" s="7">
        <f ca="1"/>
      </c>
      <c r="BB220">
        <f ca="1"/>
      </c>
      <c r="BC220">
        <f ca="1"/>
      </c>
      <c r="BD220">
        <f ca="1"/>
      </c>
      <c r="BE220">
        <f ca="1"/>
      </c>
    </row>
    <row r="221" spans="31:57" x14ac:dyDescent="0.55000000000000004">
      <c r="AE221" s="7">
        <f ca="1"/>
      </c>
      <c r="AF221">
        <f ca="1"/>
      </c>
      <c r="AG221">
        <f ca="1"/>
      </c>
      <c r="AH221">
        <f ca="1"/>
      </c>
      <c r="AI221">
        <f ca="1"/>
      </c>
      <c r="AJ221">
        <f ca="1"/>
      </c>
      <c r="AK221">
        <f ca="1"/>
      </c>
      <c r="AL221">
        <f ca="1"/>
      </c>
      <c r="AM221">
        <f ca="1"/>
      </c>
      <c r="AN221">
        <f ca="1"/>
      </c>
      <c r="AO221">
        <f ca="1"/>
      </c>
      <c r="AP221">
        <f ca="1"/>
      </c>
      <c r="AQ221">
        <f ca="1"/>
      </c>
      <c r="AR221">
        <f ca="1"/>
      </c>
      <c r="AT221" s="7">
        <f ca="1"/>
      </c>
      <c r="AU221">
        <f ca="1"/>
      </c>
      <c r="AV221">
        <f ca="1"/>
      </c>
      <c r="AW221">
        <f ca="1"/>
      </c>
      <c r="AX221">
        <f ca="1"/>
      </c>
      <c r="AY221">
        <f ca="1"/>
      </c>
      <c r="BA221" s="7">
        <f ca="1"/>
      </c>
      <c r="BB221">
        <f ca="1"/>
      </c>
      <c r="BC221">
        <f ca="1"/>
      </c>
      <c r="BD221">
        <f ca="1"/>
      </c>
      <c r="BE221">
        <f ca="1"/>
      </c>
    </row>
    <row r="222" spans="31:57" x14ac:dyDescent="0.55000000000000004">
      <c r="AE222" s="7">
        <f ca="1"/>
      </c>
      <c r="AF222">
        <f ca="1"/>
      </c>
      <c r="AG222">
        <f ca="1"/>
      </c>
      <c r="AH222">
        <f ca="1"/>
      </c>
      <c r="AI222">
        <f ca="1"/>
      </c>
      <c r="AJ222">
        <f ca="1"/>
      </c>
      <c r="AK222">
        <f ca="1"/>
      </c>
      <c r="AL222">
        <f ca="1"/>
      </c>
      <c r="AM222">
        <f ca="1"/>
      </c>
      <c r="AN222">
        <f ca="1"/>
      </c>
      <c r="AO222">
        <f ca="1"/>
      </c>
      <c r="AP222">
        <f ca="1"/>
      </c>
      <c r="AQ222">
        <f ca="1"/>
      </c>
      <c r="AR222">
        <f ca="1"/>
      </c>
      <c r="AT222" s="7">
        <f ca="1"/>
      </c>
      <c r="AU222">
        <f ca="1"/>
      </c>
      <c r="AV222">
        <f ca="1"/>
      </c>
      <c r="AW222">
        <f ca="1"/>
      </c>
      <c r="AX222">
        <f ca="1"/>
      </c>
      <c r="AY222">
        <f ca="1"/>
      </c>
      <c r="BA222" s="7">
        <f ca="1"/>
      </c>
      <c r="BB222">
        <f ca="1"/>
      </c>
      <c r="BC222">
        <f ca="1"/>
      </c>
      <c r="BD222">
        <f ca="1"/>
      </c>
      <c r="BE222">
        <f ca="1"/>
      </c>
    </row>
    <row r="223" spans="31:57" x14ac:dyDescent="0.55000000000000004">
      <c r="AE223" s="7">
        <f ca="1"/>
      </c>
      <c r="AF223">
        <f ca="1"/>
      </c>
      <c r="AG223">
        <f ca="1"/>
      </c>
      <c r="AH223">
        <f ca="1"/>
      </c>
      <c r="AI223">
        <f ca="1"/>
      </c>
      <c r="AJ223">
        <f ca="1"/>
      </c>
      <c r="AK223">
        <f ca="1"/>
      </c>
      <c r="AL223">
        <f ca="1"/>
      </c>
      <c r="AM223">
        <f ca="1"/>
      </c>
      <c r="AN223">
        <f ca="1"/>
      </c>
      <c r="AO223">
        <f ca="1"/>
      </c>
      <c r="AP223">
        <f ca="1"/>
      </c>
      <c r="AQ223">
        <f ca="1"/>
      </c>
      <c r="AR223">
        <f ca="1"/>
      </c>
      <c r="AT223" s="7">
        <f ca="1"/>
      </c>
      <c r="AU223">
        <f ca="1"/>
      </c>
      <c r="AV223">
        <f ca="1"/>
      </c>
      <c r="AW223">
        <f ca="1"/>
      </c>
      <c r="AX223">
        <f ca="1"/>
      </c>
      <c r="AY223">
        <f ca="1"/>
      </c>
      <c r="BA223" s="7">
        <f ca="1"/>
      </c>
      <c r="BB223">
        <f ca="1"/>
      </c>
      <c r="BC223">
        <f ca="1"/>
      </c>
      <c r="BD223">
        <f ca="1"/>
      </c>
      <c r="BE223">
        <f ca="1"/>
      </c>
    </row>
    <row r="224" spans="31:57" x14ac:dyDescent="0.55000000000000004">
      <c r="AE224" s="7">
        <f ca="1"/>
      </c>
      <c r="AF224">
        <f ca="1"/>
      </c>
      <c r="AG224">
        <f ca="1"/>
      </c>
      <c r="AH224">
        <f ca="1"/>
      </c>
      <c r="AI224">
        <f ca="1"/>
      </c>
      <c r="AJ224">
        <f ca="1"/>
      </c>
      <c r="AK224">
        <f ca="1"/>
      </c>
      <c r="AL224">
        <f ca="1"/>
      </c>
      <c r="AM224">
        <f ca="1"/>
      </c>
      <c r="AN224">
        <f ca="1"/>
      </c>
      <c r="AO224">
        <f ca="1"/>
      </c>
      <c r="AP224">
        <f ca="1"/>
      </c>
      <c r="AQ224">
        <f ca="1"/>
      </c>
      <c r="AR224">
        <f ca="1"/>
      </c>
      <c r="AT224" s="7">
        <f ca="1"/>
      </c>
      <c r="AU224">
        <f ca="1"/>
      </c>
      <c r="AV224">
        <f ca="1"/>
      </c>
      <c r="AW224">
        <f ca="1"/>
      </c>
      <c r="AX224">
        <f ca="1"/>
      </c>
      <c r="AY224">
        <f ca="1"/>
      </c>
      <c r="BA224" s="7">
        <f ca="1"/>
      </c>
      <c r="BB224">
        <f ca="1"/>
      </c>
      <c r="BC224">
        <f ca="1"/>
      </c>
      <c r="BD224">
        <f ca="1"/>
      </c>
      <c r="BE224">
        <f ca="1"/>
      </c>
    </row>
    <row r="225" spans="31:57" x14ac:dyDescent="0.55000000000000004">
      <c r="AE225" s="7">
        <f ca="1"/>
      </c>
      <c r="AF225">
        <f ca="1"/>
      </c>
      <c r="AG225">
        <f ca="1"/>
      </c>
      <c r="AH225">
        <f ca="1"/>
      </c>
      <c r="AI225">
        <f ca="1"/>
      </c>
      <c r="AJ225">
        <f ca="1"/>
      </c>
      <c r="AK225">
        <f ca="1"/>
      </c>
      <c r="AL225">
        <f ca="1"/>
      </c>
      <c r="AM225">
        <f ca="1"/>
      </c>
      <c r="AN225">
        <f ca="1"/>
      </c>
      <c r="AO225">
        <f ca="1"/>
      </c>
      <c r="AP225">
        <f ca="1"/>
      </c>
      <c r="AQ225">
        <f ca="1"/>
      </c>
      <c r="AR225">
        <f ca="1"/>
      </c>
      <c r="AT225" s="7">
        <f ca="1"/>
      </c>
      <c r="AU225">
        <f ca="1"/>
      </c>
      <c r="AV225">
        <f ca="1"/>
      </c>
      <c r="AW225">
        <f ca="1"/>
      </c>
      <c r="AX225">
        <f ca="1"/>
      </c>
      <c r="AY225">
        <f ca="1"/>
      </c>
      <c r="BA225" s="7">
        <f ca="1"/>
      </c>
      <c r="BB225">
        <f ca="1"/>
      </c>
      <c r="BC225">
        <f ca="1"/>
      </c>
      <c r="BD225">
        <f ca="1"/>
      </c>
      <c r="BE225">
        <f ca="1"/>
      </c>
    </row>
    <row r="226" spans="31:57" x14ac:dyDescent="0.55000000000000004">
      <c r="AE226" s="7">
        <f ca="1"/>
      </c>
      <c r="AF226">
        <f ca="1"/>
      </c>
      <c r="AG226">
        <f ca="1"/>
      </c>
      <c r="AH226">
        <f ca="1"/>
      </c>
      <c r="AI226">
        <f ca="1"/>
      </c>
      <c r="AJ226">
        <f ca="1"/>
      </c>
      <c r="AK226">
        <f ca="1"/>
      </c>
      <c r="AL226">
        <f ca="1"/>
      </c>
      <c r="AM226">
        <f ca="1"/>
      </c>
      <c r="AN226">
        <f ca="1"/>
      </c>
      <c r="AO226">
        <f ca="1"/>
      </c>
      <c r="AP226">
        <f ca="1"/>
      </c>
      <c r="AQ226">
        <f ca="1"/>
      </c>
      <c r="AR226">
        <f ca="1"/>
      </c>
      <c r="AT226" s="7">
        <f ca="1"/>
      </c>
      <c r="AU226">
        <f ca="1"/>
      </c>
      <c r="AV226">
        <f ca="1"/>
      </c>
      <c r="AW226">
        <f ca="1"/>
      </c>
      <c r="AX226">
        <f ca="1"/>
      </c>
      <c r="AY226">
        <f ca="1"/>
      </c>
      <c r="BA226" s="7">
        <f ca="1"/>
      </c>
      <c r="BB226">
        <f ca="1"/>
      </c>
      <c r="BC226">
        <f ca="1"/>
      </c>
      <c r="BD226">
        <f ca="1"/>
      </c>
      <c r="BE226">
        <f ca="1"/>
      </c>
    </row>
    <row r="227" spans="31:57" x14ac:dyDescent="0.55000000000000004">
      <c r="AE227" s="7">
        <f ca="1"/>
      </c>
      <c r="AF227">
        <f ca="1"/>
      </c>
      <c r="AG227">
        <f ca="1"/>
      </c>
      <c r="AH227">
        <f ca="1"/>
      </c>
      <c r="AI227">
        <f ca="1"/>
      </c>
      <c r="AJ227">
        <f ca="1"/>
      </c>
      <c r="AK227">
        <f ca="1"/>
      </c>
      <c r="AL227">
        <f ca="1"/>
      </c>
      <c r="AM227">
        <f ca="1"/>
      </c>
      <c r="AN227">
        <f ca="1"/>
      </c>
      <c r="AO227">
        <f ca="1"/>
      </c>
      <c r="AP227">
        <f ca="1"/>
      </c>
      <c r="AQ227">
        <f ca="1"/>
      </c>
      <c r="AR227">
        <f ca="1"/>
      </c>
      <c r="AT227" s="7">
        <f ca="1"/>
      </c>
      <c r="AU227">
        <f ca="1"/>
      </c>
      <c r="AV227">
        <f ca="1"/>
      </c>
      <c r="AW227">
        <f ca="1"/>
      </c>
      <c r="AX227">
        <f ca="1"/>
      </c>
      <c r="AY227">
        <f ca="1"/>
      </c>
      <c r="BA227" s="7">
        <f ca="1"/>
      </c>
      <c r="BB227">
        <f ca="1"/>
      </c>
      <c r="BC227">
        <f ca="1"/>
      </c>
      <c r="BD227">
        <f ca="1"/>
      </c>
      <c r="BE227">
        <f ca="1"/>
      </c>
    </row>
    <row r="228" spans="31:57" x14ac:dyDescent="0.55000000000000004">
      <c r="AE228" s="7">
        <f ca="1"/>
      </c>
      <c r="AF228">
        <f ca="1"/>
      </c>
      <c r="AG228">
        <f ca="1"/>
      </c>
      <c r="AH228">
        <f ca="1"/>
      </c>
      <c r="AI228">
        <f ca="1"/>
      </c>
      <c r="AJ228">
        <f ca="1"/>
      </c>
      <c r="AK228">
        <f ca="1"/>
      </c>
      <c r="AL228">
        <f ca="1"/>
      </c>
      <c r="AM228">
        <f ca="1"/>
      </c>
      <c r="AN228">
        <f ca="1"/>
      </c>
      <c r="AO228">
        <f ca="1"/>
      </c>
      <c r="AP228">
        <f ca="1"/>
      </c>
      <c r="AQ228">
        <f ca="1"/>
      </c>
      <c r="AR228">
        <f ca="1"/>
      </c>
      <c r="AT228" s="7">
        <f ca="1"/>
      </c>
      <c r="AU228">
        <f ca="1"/>
      </c>
      <c r="AV228">
        <f ca="1"/>
      </c>
      <c r="AW228">
        <f ca="1"/>
      </c>
      <c r="AX228">
        <f ca="1"/>
      </c>
      <c r="AY228">
        <f ca="1"/>
      </c>
      <c r="BA228" s="7">
        <f ca="1"/>
      </c>
      <c r="BB228">
        <f ca="1"/>
      </c>
      <c r="BC228">
        <f ca="1"/>
      </c>
      <c r="BD228">
        <f ca="1"/>
      </c>
      <c r="BE228">
        <f ca="1"/>
      </c>
    </row>
    <row r="229" spans="31:57" x14ac:dyDescent="0.55000000000000004">
      <c r="AE229" s="7">
        <f ca="1"/>
      </c>
      <c r="AF229">
        <f ca="1"/>
      </c>
      <c r="AG229">
        <f ca="1"/>
      </c>
      <c r="AH229">
        <f ca="1"/>
      </c>
      <c r="AI229">
        <f ca="1"/>
      </c>
      <c r="AJ229">
        <f ca="1"/>
      </c>
      <c r="AK229">
        <f ca="1"/>
      </c>
      <c r="AL229">
        <f ca="1"/>
      </c>
      <c r="AM229">
        <f ca="1"/>
      </c>
      <c r="AN229">
        <f ca="1"/>
      </c>
      <c r="AO229">
        <f ca="1"/>
      </c>
      <c r="AP229">
        <f ca="1"/>
      </c>
      <c r="AQ229">
        <f ca="1"/>
      </c>
      <c r="AR229">
        <f ca="1"/>
      </c>
      <c r="AT229" s="7">
        <f ca="1"/>
      </c>
      <c r="AU229">
        <f ca="1"/>
      </c>
      <c r="AV229">
        <f ca="1"/>
      </c>
      <c r="AW229">
        <f ca="1"/>
      </c>
      <c r="AX229">
        <f ca="1"/>
      </c>
      <c r="AY229">
        <f ca="1"/>
      </c>
      <c r="BA229" s="7">
        <f ca="1"/>
      </c>
      <c r="BB229">
        <f ca="1"/>
      </c>
      <c r="BC229">
        <f ca="1"/>
      </c>
      <c r="BD229">
        <f ca="1"/>
      </c>
      <c r="BE229">
        <f ca="1"/>
      </c>
    </row>
    <row r="230" spans="31:57" x14ac:dyDescent="0.55000000000000004">
      <c r="AE230" s="7">
        <f ca="1"/>
      </c>
      <c r="AF230">
        <f ca="1"/>
      </c>
      <c r="AG230">
        <f ca="1"/>
      </c>
      <c r="AH230">
        <f ca="1"/>
      </c>
      <c r="AI230">
        <f ca="1"/>
      </c>
      <c r="AJ230">
        <f ca="1"/>
      </c>
      <c r="AK230">
        <f ca="1"/>
      </c>
      <c r="AL230">
        <f ca="1"/>
      </c>
      <c r="AM230">
        <f ca="1"/>
      </c>
      <c r="AN230">
        <f ca="1"/>
      </c>
      <c r="AO230">
        <f ca="1"/>
      </c>
      <c r="AP230">
        <f ca="1"/>
      </c>
      <c r="AQ230">
        <f ca="1"/>
      </c>
      <c r="AR230">
        <f ca="1"/>
      </c>
      <c r="AT230" s="7">
        <f ca="1"/>
      </c>
      <c r="AU230">
        <f ca="1"/>
      </c>
      <c r="AV230">
        <f ca="1"/>
      </c>
      <c r="AW230">
        <f ca="1"/>
      </c>
      <c r="AX230">
        <f ca="1"/>
      </c>
      <c r="AY230">
        <f ca="1"/>
      </c>
      <c r="BA230" s="7">
        <f ca="1"/>
      </c>
      <c r="BB230">
        <f ca="1"/>
      </c>
      <c r="BC230">
        <f ca="1"/>
      </c>
      <c r="BD230">
        <f ca="1"/>
      </c>
      <c r="BE230">
        <f ca="1"/>
      </c>
    </row>
    <row r="231" spans="31:57" x14ac:dyDescent="0.55000000000000004">
      <c r="AE231" s="7">
        <f ca="1"/>
      </c>
      <c r="AF231">
        <f ca="1"/>
      </c>
      <c r="AG231">
        <f ca="1"/>
      </c>
      <c r="AH231">
        <f ca="1"/>
      </c>
      <c r="AI231">
        <f ca="1"/>
      </c>
      <c r="AJ231">
        <f ca="1"/>
      </c>
      <c r="AK231">
        <f ca="1"/>
      </c>
      <c r="AL231">
        <f ca="1"/>
      </c>
      <c r="AM231">
        <f ca="1"/>
      </c>
      <c r="AN231">
        <f ca="1"/>
      </c>
      <c r="AO231">
        <f ca="1"/>
      </c>
      <c r="AP231">
        <f ca="1"/>
      </c>
      <c r="AQ231">
        <f ca="1"/>
      </c>
      <c r="AR231">
        <f ca="1"/>
      </c>
      <c r="AT231" s="7">
        <f ca="1"/>
      </c>
      <c r="AU231">
        <f ca="1"/>
      </c>
      <c r="AV231">
        <f ca="1"/>
      </c>
      <c r="AW231">
        <f ca="1"/>
      </c>
      <c r="AX231">
        <f ca="1"/>
      </c>
      <c r="AY231">
        <f ca="1"/>
      </c>
      <c r="BA231" s="7">
        <f ca="1"/>
      </c>
      <c r="BB231">
        <f ca="1"/>
      </c>
      <c r="BC231">
        <f ca="1"/>
      </c>
      <c r="BD231">
        <f ca="1"/>
      </c>
      <c r="BE231">
        <f ca="1"/>
      </c>
    </row>
    <row r="232" spans="31:57" x14ac:dyDescent="0.55000000000000004">
      <c r="AE232" s="7">
        <f ca="1"/>
      </c>
      <c r="AF232">
        <f ca="1"/>
      </c>
      <c r="AG232">
        <f ca="1"/>
      </c>
      <c r="AH232">
        <f ca="1"/>
      </c>
      <c r="AI232">
        <f ca="1"/>
      </c>
      <c r="AJ232">
        <f ca="1"/>
      </c>
      <c r="AK232">
        <f ca="1"/>
      </c>
      <c r="AL232">
        <f ca="1"/>
      </c>
      <c r="AM232">
        <f ca="1"/>
      </c>
      <c r="AN232">
        <f ca="1"/>
      </c>
      <c r="AO232">
        <f ca="1"/>
      </c>
      <c r="AP232">
        <f ca="1"/>
      </c>
      <c r="AQ232">
        <f ca="1"/>
      </c>
      <c r="AR232">
        <f ca="1"/>
      </c>
      <c r="AT232" s="7">
        <f ca="1"/>
      </c>
      <c r="AU232">
        <f ca="1"/>
      </c>
      <c r="AV232">
        <f ca="1"/>
      </c>
      <c r="AW232">
        <f ca="1"/>
      </c>
      <c r="AX232">
        <f ca="1"/>
      </c>
      <c r="AY232">
        <f ca="1"/>
      </c>
      <c r="BA232" s="7">
        <f ca="1"/>
      </c>
      <c r="BB232">
        <f ca="1"/>
      </c>
      <c r="BC232">
        <f ca="1"/>
      </c>
      <c r="BD232">
        <f ca="1"/>
      </c>
      <c r="BE232">
        <f ca="1"/>
      </c>
    </row>
    <row r="233" spans="31:57" x14ac:dyDescent="0.55000000000000004">
      <c r="AE233" s="7">
        <f ca="1"/>
      </c>
      <c r="AF233">
        <f ca="1"/>
      </c>
      <c r="AG233">
        <f ca="1"/>
      </c>
      <c r="AH233">
        <f ca="1"/>
      </c>
      <c r="AI233">
        <f ca="1"/>
      </c>
      <c r="AJ233">
        <f ca="1"/>
      </c>
      <c r="AK233">
        <f ca="1"/>
      </c>
      <c r="AL233">
        <f ca="1"/>
      </c>
      <c r="AM233">
        <f ca="1"/>
      </c>
      <c r="AN233">
        <f ca="1"/>
      </c>
      <c r="AO233">
        <f ca="1"/>
      </c>
      <c r="AP233">
        <f ca="1"/>
      </c>
      <c r="AQ233">
        <f ca="1"/>
      </c>
      <c r="AR233">
        <f ca="1"/>
      </c>
      <c r="AT233" s="7">
        <f ca="1"/>
      </c>
      <c r="AU233">
        <f ca="1"/>
      </c>
      <c r="AV233">
        <f ca="1"/>
      </c>
      <c r="AW233">
        <f ca="1"/>
      </c>
      <c r="AX233">
        <f ca="1"/>
      </c>
      <c r="AY233">
        <f ca="1"/>
      </c>
      <c r="BA233" s="7">
        <f ca="1"/>
      </c>
      <c r="BB233">
        <f ca="1"/>
      </c>
      <c r="BC233">
        <f ca="1"/>
      </c>
      <c r="BD233">
        <f ca="1"/>
      </c>
      <c r="BE233">
        <f ca="1"/>
      </c>
    </row>
    <row r="234" spans="31:57" x14ac:dyDescent="0.55000000000000004">
      <c r="AE234" s="7">
        <f ca="1"/>
      </c>
      <c r="AF234">
        <f ca="1"/>
      </c>
      <c r="AG234">
        <f ca="1"/>
      </c>
      <c r="AH234">
        <f ca="1"/>
      </c>
      <c r="AI234">
        <f ca="1"/>
      </c>
      <c r="AJ234">
        <f ca="1"/>
      </c>
      <c r="AK234">
        <f ca="1"/>
      </c>
      <c r="AL234">
        <f ca="1"/>
      </c>
      <c r="AM234">
        <f ca="1"/>
      </c>
      <c r="AN234">
        <f ca="1"/>
      </c>
      <c r="AO234">
        <f ca="1"/>
      </c>
      <c r="AP234">
        <f ca="1"/>
      </c>
      <c r="AQ234">
        <f ca="1"/>
      </c>
      <c r="AR234">
        <f ca="1"/>
      </c>
      <c r="AT234" s="7">
        <f ca="1"/>
      </c>
      <c r="AU234">
        <f ca="1"/>
      </c>
      <c r="AV234">
        <f ca="1"/>
      </c>
      <c r="AW234">
        <f ca="1"/>
      </c>
      <c r="AX234">
        <f ca="1"/>
      </c>
      <c r="AY234">
        <f ca="1"/>
      </c>
      <c r="BA234" s="7">
        <f ca="1"/>
      </c>
      <c r="BB234">
        <f ca="1"/>
      </c>
      <c r="BC234">
        <f ca="1"/>
      </c>
      <c r="BD234">
        <f ca="1"/>
      </c>
      <c r="BE234">
        <f ca="1"/>
      </c>
    </row>
    <row r="235" spans="31:57" x14ac:dyDescent="0.55000000000000004">
      <c r="AE235" s="7">
        <f ca="1"/>
      </c>
      <c r="AF235">
        <f ca="1"/>
      </c>
      <c r="AG235">
        <f ca="1"/>
      </c>
      <c r="AH235">
        <f ca="1"/>
      </c>
      <c r="AI235">
        <f ca="1"/>
      </c>
      <c r="AJ235">
        <f ca="1"/>
      </c>
      <c r="AK235">
        <f ca="1"/>
      </c>
      <c r="AL235">
        <f ca="1"/>
      </c>
      <c r="AM235">
        <f ca="1"/>
      </c>
      <c r="AN235">
        <f ca="1"/>
      </c>
      <c r="AO235">
        <f ca="1"/>
      </c>
      <c r="AP235">
        <f ca="1"/>
      </c>
      <c r="AQ235">
        <f ca="1"/>
      </c>
      <c r="AR235">
        <f ca="1"/>
      </c>
      <c r="AT235" s="7">
        <f ca="1"/>
      </c>
      <c r="AU235">
        <f ca="1"/>
      </c>
      <c r="AV235">
        <f ca="1"/>
      </c>
      <c r="AW235">
        <f ca="1"/>
      </c>
      <c r="AX235">
        <f ca="1"/>
      </c>
      <c r="AY235">
        <f ca="1"/>
      </c>
      <c r="BA235" s="7">
        <f ca="1"/>
      </c>
      <c r="BB235">
        <f ca="1"/>
      </c>
      <c r="BC235">
        <f ca="1"/>
      </c>
      <c r="BD235">
        <f ca="1"/>
      </c>
      <c r="BE235">
        <f ca="1"/>
      </c>
    </row>
    <row r="236" spans="31:57" x14ac:dyDescent="0.55000000000000004">
      <c r="AE236" s="7">
        <f ca="1"/>
      </c>
      <c r="AF236">
        <f ca="1"/>
      </c>
      <c r="AG236">
        <f ca="1"/>
      </c>
      <c r="AH236">
        <f ca="1"/>
      </c>
      <c r="AI236">
        <f ca="1"/>
      </c>
      <c r="AJ236">
        <f ca="1"/>
      </c>
      <c r="AK236">
        <f ca="1"/>
      </c>
      <c r="AL236">
        <f ca="1"/>
      </c>
      <c r="AM236">
        <f ca="1"/>
      </c>
      <c r="AN236">
        <f ca="1"/>
      </c>
      <c r="AO236">
        <f ca="1"/>
      </c>
      <c r="AP236">
        <f ca="1"/>
      </c>
      <c r="AQ236">
        <f ca="1"/>
      </c>
      <c r="AR236">
        <f ca="1"/>
      </c>
      <c r="AT236" s="7">
        <f ca="1"/>
      </c>
      <c r="AU236">
        <f ca="1"/>
      </c>
      <c r="AV236">
        <f ca="1"/>
      </c>
      <c r="AW236">
        <f ca="1"/>
      </c>
      <c r="AX236">
        <f ca="1"/>
      </c>
      <c r="AY236">
        <f ca="1"/>
      </c>
      <c r="BA236" s="7">
        <f ca="1"/>
      </c>
      <c r="BB236">
        <f ca="1"/>
      </c>
      <c r="BC236">
        <f ca="1"/>
      </c>
      <c r="BD236">
        <f ca="1"/>
      </c>
      <c r="BE236">
        <f ca="1"/>
      </c>
    </row>
    <row r="237" spans="31:57" x14ac:dyDescent="0.55000000000000004">
      <c r="AE237" s="7">
        <f ca="1"/>
      </c>
      <c r="AF237">
        <f ca="1"/>
      </c>
      <c r="AG237">
        <f ca="1"/>
      </c>
      <c r="AH237">
        <f ca="1"/>
      </c>
      <c r="AI237">
        <f ca="1"/>
      </c>
      <c r="AJ237">
        <f ca="1"/>
      </c>
      <c r="AK237">
        <f ca="1"/>
      </c>
      <c r="AL237">
        <f ca="1"/>
      </c>
      <c r="AM237">
        <f ca="1"/>
      </c>
      <c r="AN237">
        <f ca="1"/>
      </c>
      <c r="AO237">
        <f ca="1"/>
      </c>
      <c r="AP237">
        <f ca="1"/>
      </c>
      <c r="AQ237">
        <f ca="1"/>
      </c>
      <c r="AR237">
        <f ca="1"/>
      </c>
      <c r="AT237" s="7">
        <f ca="1"/>
      </c>
      <c r="AU237">
        <f ca="1"/>
      </c>
      <c r="AV237">
        <f ca="1"/>
      </c>
      <c r="AW237">
        <f ca="1"/>
      </c>
      <c r="AX237">
        <f ca="1"/>
      </c>
      <c r="AY237">
        <f ca="1"/>
      </c>
      <c r="BA237" s="7">
        <f ca="1"/>
      </c>
      <c r="BB237">
        <f ca="1"/>
      </c>
      <c r="BC237">
        <f ca="1"/>
      </c>
      <c r="BD237">
        <f ca="1"/>
      </c>
      <c r="BE237">
        <f ca="1"/>
      </c>
    </row>
    <row r="238" spans="31:57" x14ac:dyDescent="0.55000000000000004">
      <c r="AE238" s="7">
        <f ca="1"/>
      </c>
      <c r="AF238">
        <f ca="1"/>
      </c>
      <c r="AG238">
        <f ca="1"/>
      </c>
      <c r="AH238">
        <f ca="1"/>
      </c>
      <c r="AI238">
        <f ca="1"/>
      </c>
      <c r="AJ238">
        <f ca="1"/>
      </c>
      <c r="AK238">
        <f ca="1"/>
      </c>
      <c r="AL238">
        <f ca="1"/>
      </c>
      <c r="AM238">
        <f ca="1"/>
      </c>
      <c r="AN238">
        <f ca="1"/>
      </c>
      <c r="AO238">
        <f ca="1"/>
      </c>
      <c r="AP238">
        <f ca="1"/>
      </c>
      <c r="AQ238">
        <f ca="1"/>
      </c>
      <c r="AR238">
        <f ca="1"/>
      </c>
      <c r="AT238" s="7">
        <f ca="1"/>
      </c>
      <c r="AU238">
        <f ca="1"/>
      </c>
      <c r="AV238">
        <f ca="1"/>
      </c>
      <c r="AW238">
        <f ca="1"/>
      </c>
      <c r="AX238">
        <f ca="1"/>
      </c>
      <c r="AY238">
        <f ca="1"/>
      </c>
      <c r="BA238" s="7">
        <f ca="1"/>
      </c>
      <c r="BB238">
        <f ca="1"/>
      </c>
      <c r="BC238">
        <f ca="1"/>
      </c>
      <c r="BD238">
        <f ca="1"/>
      </c>
      <c r="BE238">
        <f ca="1"/>
      </c>
    </row>
    <row r="239" spans="31:57" x14ac:dyDescent="0.55000000000000004">
      <c r="AE239" s="7">
        <f ca="1"/>
      </c>
      <c r="AF239">
        <f ca="1"/>
      </c>
      <c r="AG239">
        <f ca="1"/>
      </c>
      <c r="AH239">
        <f ca="1"/>
      </c>
      <c r="AI239">
        <f ca="1"/>
      </c>
      <c r="AJ239">
        <f ca="1"/>
      </c>
      <c r="AK239">
        <f ca="1"/>
      </c>
      <c r="AL239">
        <f ca="1"/>
      </c>
      <c r="AM239">
        <f ca="1"/>
      </c>
      <c r="AN239">
        <f ca="1"/>
      </c>
      <c r="AO239">
        <f ca="1"/>
      </c>
      <c r="AP239">
        <f ca="1"/>
      </c>
      <c r="AQ239">
        <f ca="1"/>
      </c>
      <c r="AR239">
        <f ca="1"/>
      </c>
      <c r="AT239" s="7">
        <f ca="1"/>
      </c>
      <c r="AU239">
        <f ca="1"/>
      </c>
      <c r="AV239">
        <f ca="1"/>
      </c>
      <c r="AW239">
        <f ca="1"/>
      </c>
      <c r="AX239">
        <f ca="1"/>
      </c>
      <c r="AY239">
        <f ca="1"/>
      </c>
      <c r="BA239" s="7">
        <f ca="1"/>
      </c>
      <c r="BB239">
        <f ca="1"/>
      </c>
      <c r="BC239">
        <f ca="1"/>
      </c>
      <c r="BD239">
        <f ca="1"/>
      </c>
      <c r="BE239">
        <f ca="1"/>
      </c>
    </row>
    <row r="240" spans="31:57" x14ac:dyDescent="0.55000000000000004">
      <c r="AE240" s="7">
        <f ca="1"/>
      </c>
      <c r="AF240">
        <f ca="1"/>
      </c>
      <c r="AG240">
        <f ca="1"/>
      </c>
      <c r="AH240">
        <f ca="1"/>
      </c>
      <c r="AI240">
        <f ca="1"/>
      </c>
      <c r="AJ240">
        <f ca="1"/>
      </c>
      <c r="AK240">
        <f ca="1"/>
      </c>
      <c r="AL240">
        <f ca="1"/>
      </c>
      <c r="AM240">
        <f ca="1"/>
      </c>
      <c r="AN240">
        <f ca="1"/>
      </c>
      <c r="AO240">
        <f ca="1"/>
      </c>
      <c r="AP240">
        <f ca="1"/>
      </c>
      <c r="AQ240">
        <f ca="1"/>
      </c>
      <c r="AR240">
        <f ca="1"/>
      </c>
      <c r="AT240" s="7">
        <f ca="1"/>
      </c>
      <c r="AU240">
        <f ca="1"/>
      </c>
      <c r="AV240">
        <f ca="1"/>
      </c>
      <c r="AW240">
        <f ca="1"/>
      </c>
      <c r="AX240">
        <f ca="1"/>
      </c>
      <c r="AY240">
        <f ca="1"/>
      </c>
      <c r="BA240" s="7">
        <f ca="1"/>
      </c>
      <c r="BB240">
        <f ca="1"/>
      </c>
      <c r="BC240">
        <f ca="1"/>
      </c>
      <c r="BD240">
        <f ca="1"/>
      </c>
      <c r="BE240">
        <f ca="1"/>
      </c>
    </row>
    <row r="241" spans="31:57" x14ac:dyDescent="0.55000000000000004">
      <c r="AE241" s="7">
        <f ca="1"/>
      </c>
      <c r="AF241">
        <f ca="1"/>
      </c>
      <c r="AG241">
        <f ca="1"/>
      </c>
      <c r="AH241">
        <f ca="1"/>
      </c>
      <c r="AI241">
        <f ca="1"/>
      </c>
      <c r="AJ241">
        <f ca="1"/>
      </c>
      <c r="AK241">
        <f ca="1"/>
      </c>
      <c r="AL241">
        <f ca="1"/>
      </c>
      <c r="AM241">
        <f ca="1"/>
      </c>
      <c r="AN241">
        <f ca="1"/>
      </c>
      <c r="AO241">
        <f ca="1"/>
      </c>
      <c r="AP241">
        <f ca="1"/>
      </c>
      <c r="AQ241">
        <f ca="1"/>
      </c>
      <c r="AR241">
        <f ca="1"/>
      </c>
      <c r="AT241" s="7">
        <f ca="1"/>
      </c>
      <c r="AU241">
        <f ca="1"/>
      </c>
      <c r="AV241">
        <f ca="1"/>
      </c>
      <c r="AW241">
        <f ca="1"/>
      </c>
      <c r="AX241">
        <f ca="1"/>
      </c>
      <c r="AY241">
        <f ca="1"/>
      </c>
      <c r="BA241" s="7">
        <f ca="1"/>
      </c>
      <c r="BB241">
        <f ca="1"/>
      </c>
      <c r="BC241">
        <f ca="1"/>
      </c>
      <c r="BD241">
        <f ca="1"/>
      </c>
      <c r="BE241">
        <f ca="1"/>
      </c>
    </row>
    <row r="242" spans="31:57" x14ac:dyDescent="0.55000000000000004">
      <c r="AE242" s="7">
        <f ca="1"/>
      </c>
      <c r="AF242">
        <f ca="1"/>
      </c>
      <c r="AG242">
        <f ca="1"/>
      </c>
      <c r="AH242">
        <f ca="1"/>
      </c>
      <c r="AI242">
        <f ca="1"/>
      </c>
      <c r="AJ242">
        <f ca="1"/>
      </c>
      <c r="AK242">
        <f ca="1"/>
      </c>
      <c r="AL242">
        <f ca="1"/>
      </c>
      <c r="AM242">
        <f ca="1"/>
      </c>
      <c r="AN242">
        <f ca="1"/>
      </c>
      <c r="AO242">
        <f ca="1"/>
      </c>
      <c r="AP242">
        <f ca="1"/>
      </c>
      <c r="AQ242">
        <f ca="1"/>
      </c>
      <c r="AR242">
        <f ca="1"/>
      </c>
      <c r="AT242" s="7">
        <f ca="1"/>
      </c>
      <c r="AU242">
        <f ca="1"/>
      </c>
      <c r="AV242">
        <f ca="1"/>
      </c>
      <c r="AW242">
        <f ca="1"/>
      </c>
      <c r="AX242">
        <f ca="1"/>
      </c>
      <c r="AY242">
        <f ca="1"/>
      </c>
      <c r="BA242" s="7">
        <f ca="1"/>
      </c>
      <c r="BB242">
        <f ca="1"/>
      </c>
      <c r="BC242">
        <f ca="1"/>
      </c>
      <c r="BD242">
        <f ca="1"/>
      </c>
      <c r="BE242">
        <f ca="1"/>
      </c>
    </row>
    <row r="243" spans="31:57" x14ac:dyDescent="0.55000000000000004">
      <c r="AE243" s="7">
        <f ca="1"/>
      </c>
      <c r="AF243">
        <f ca="1"/>
      </c>
      <c r="AG243">
        <f ca="1"/>
      </c>
      <c r="AH243">
        <f ca="1"/>
      </c>
      <c r="AI243">
        <f ca="1"/>
      </c>
      <c r="AJ243">
        <f ca="1"/>
      </c>
      <c r="AK243">
        <f ca="1"/>
      </c>
      <c r="AL243">
        <f ca="1"/>
      </c>
      <c r="AM243">
        <f ca="1"/>
      </c>
      <c r="AN243">
        <f ca="1"/>
      </c>
      <c r="AO243">
        <f ca="1"/>
      </c>
      <c r="AP243">
        <f ca="1"/>
      </c>
      <c r="AQ243">
        <f ca="1"/>
      </c>
      <c r="AR243">
        <f ca="1"/>
      </c>
      <c r="AT243" s="7">
        <f ca="1"/>
      </c>
      <c r="AU243">
        <f ca="1"/>
      </c>
      <c r="AV243">
        <f ca="1"/>
      </c>
      <c r="AW243">
        <f ca="1"/>
      </c>
      <c r="AX243">
        <f ca="1"/>
      </c>
      <c r="AY243">
        <f ca="1"/>
      </c>
      <c r="BA243" s="7">
        <f ca="1"/>
      </c>
      <c r="BB243">
        <f ca="1"/>
      </c>
      <c r="BC243">
        <f ca="1"/>
      </c>
      <c r="BD243">
        <f ca="1"/>
      </c>
      <c r="BE243">
        <f ca="1"/>
      </c>
    </row>
    <row r="244" spans="31:57" x14ac:dyDescent="0.55000000000000004">
      <c r="AE244" s="7">
        <f ca="1"/>
      </c>
      <c r="AF244">
        <f ca="1"/>
      </c>
      <c r="AG244">
        <f ca="1"/>
      </c>
      <c r="AH244">
        <f ca="1"/>
      </c>
      <c r="AI244">
        <f ca="1"/>
      </c>
      <c r="AJ244">
        <f ca="1"/>
      </c>
      <c r="AK244">
        <f ca="1"/>
      </c>
      <c r="AL244">
        <f ca="1"/>
      </c>
      <c r="AM244">
        <f ca="1"/>
      </c>
      <c r="AN244">
        <f ca="1"/>
      </c>
      <c r="AO244">
        <f ca="1"/>
      </c>
      <c r="AP244">
        <f ca="1"/>
      </c>
      <c r="AQ244">
        <f ca="1"/>
      </c>
      <c r="AR244">
        <f ca="1"/>
      </c>
      <c r="AT244" s="7">
        <f ca="1"/>
      </c>
      <c r="AU244">
        <f ca="1"/>
      </c>
      <c r="AV244">
        <f ca="1"/>
      </c>
      <c r="AW244">
        <f ca="1"/>
      </c>
      <c r="AX244">
        <f ca="1"/>
      </c>
      <c r="AY244">
        <f ca="1"/>
      </c>
      <c r="BA244" s="7">
        <f ca="1"/>
      </c>
      <c r="BB244">
        <f ca="1"/>
      </c>
      <c r="BC244">
        <f ca="1"/>
      </c>
      <c r="BD244">
        <f ca="1"/>
      </c>
      <c r="BE244">
        <f ca="1"/>
      </c>
    </row>
    <row r="245" spans="31:57" x14ac:dyDescent="0.55000000000000004">
      <c r="AE245" s="7">
        <f ca="1"/>
      </c>
      <c r="AF245">
        <f ca="1"/>
      </c>
      <c r="AG245">
        <f ca="1"/>
      </c>
      <c r="AH245">
        <f ca="1"/>
      </c>
      <c r="AI245">
        <f ca="1"/>
      </c>
      <c r="AJ245">
        <f ca="1"/>
      </c>
      <c r="AK245">
        <f ca="1"/>
      </c>
      <c r="AL245">
        <f ca="1"/>
      </c>
      <c r="AM245">
        <f ca="1"/>
      </c>
      <c r="AN245">
        <f ca="1"/>
      </c>
      <c r="AO245">
        <f ca="1"/>
      </c>
      <c r="AP245">
        <f ca="1"/>
      </c>
      <c r="AQ245">
        <f ca="1"/>
      </c>
      <c r="AR245">
        <f ca="1"/>
      </c>
      <c r="AT245" s="7">
        <f ca="1"/>
      </c>
      <c r="AU245">
        <f ca="1"/>
      </c>
      <c r="AV245">
        <f ca="1"/>
      </c>
      <c r="AW245">
        <f ca="1"/>
      </c>
      <c r="AX245">
        <f ca="1"/>
      </c>
      <c r="AY245">
        <f ca="1"/>
      </c>
      <c r="BA245" s="7">
        <f ca="1"/>
      </c>
      <c r="BB245">
        <f ca="1"/>
      </c>
      <c r="BC245">
        <f ca="1"/>
      </c>
      <c r="BD245">
        <f ca="1"/>
      </c>
      <c r="BE245">
        <f ca="1"/>
      </c>
    </row>
    <row r="246" spans="31:57" x14ac:dyDescent="0.55000000000000004">
      <c r="AE246" s="7">
        <f ca="1"/>
      </c>
      <c r="AF246">
        <f ca="1"/>
      </c>
      <c r="AG246">
        <f ca="1"/>
      </c>
      <c r="AH246">
        <f ca="1"/>
      </c>
      <c r="AI246">
        <f ca="1"/>
      </c>
      <c r="AJ246">
        <f ca="1"/>
      </c>
      <c r="AK246">
        <f ca="1"/>
      </c>
      <c r="AL246">
        <f ca="1"/>
      </c>
      <c r="AM246">
        <f ca="1"/>
      </c>
      <c r="AN246">
        <f ca="1"/>
      </c>
      <c r="AO246">
        <f ca="1"/>
      </c>
      <c r="AP246">
        <f ca="1"/>
      </c>
      <c r="AQ246">
        <f ca="1"/>
      </c>
      <c r="AR246">
        <f ca="1"/>
      </c>
      <c r="AT246" s="7">
        <f ca="1"/>
      </c>
      <c r="AU246">
        <f ca="1"/>
      </c>
      <c r="AV246">
        <f ca="1"/>
      </c>
      <c r="AW246">
        <f ca="1"/>
      </c>
      <c r="AX246">
        <f ca="1"/>
      </c>
      <c r="AY246">
        <f ca="1"/>
      </c>
      <c r="BA246" s="7">
        <f ca="1"/>
      </c>
      <c r="BB246">
        <f ca="1"/>
      </c>
      <c r="BC246">
        <f ca="1"/>
      </c>
      <c r="BD246">
        <f ca="1"/>
      </c>
      <c r="BE246">
        <f ca="1"/>
      </c>
    </row>
    <row r="247" spans="31:57" x14ac:dyDescent="0.55000000000000004">
      <c r="AE247" s="7">
        <f ca="1"/>
      </c>
      <c r="AF247">
        <f ca="1"/>
      </c>
      <c r="AG247">
        <f ca="1"/>
      </c>
      <c r="AH247">
        <f ca="1"/>
      </c>
      <c r="AI247">
        <f ca="1"/>
      </c>
      <c r="AJ247">
        <f ca="1"/>
      </c>
      <c r="AK247">
        <f ca="1"/>
      </c>
      <c r="AL247">
        <f ca="1"/>
      </c>
      <c r="AM247">
        <f ca="1"/>
      </c>
      <c r="AN247">
        <f ca="1"/>
      </c>
      <c r="AO247">
        <f ca="1"/>
      </c>
      <c r="AP247">
        <f ca="1"/>
      </c>
      <c r="AQ247">
        <f ca="1"/>
      </c>
      <c r="AR247">
        <f ca="1"/>
      </c>
      <c r="AT247" s="7">
        <f ca="1"/>
      </c>
      <c r="AU247">
        <f ca="1"/>
      </c>
      <c r="AV247">
        <f ca="1"/>
      </c>
      <c r="AW247">
        <f ca="1"/>
      </c>
      <c r="AX247">
        <f ca="1"/>
      </c>
      <c r="AY247">
        <f ca="1"/>
      </c>
      <c r="BA247" s="7">
        <f ca="1"/>
      </c>
      <c r="BB247">
        <f ca="1"/>
      </c>
      <c r="BC247">
        <f ca="1"/>
      </c>
      <c r="BD247">
        <f ca="1"/>
      </c>
      <c r="BE247">
        <f ca="1"/>
      </c>
    </row>
    <row r="248" spans="31:57" x14ac:dyDescent="0.55000000000000004">
      <c r="AE248" s="7">
        <f ca="1"/>
      </c>
      <c r="AF248">
        <f ca="1"/>
      </c>
      <c r="AG248">
        <f ca="1"/>
      </c>
      <c r="AH248">
        <f ca="1"/>
      </c>
      <c r="AI248">
        <f ca="1"/>
      </c>
      <c r="AJ248">
        <f ca="1"/>
      </c>
      <c r="AK248">
        <f ca="1"/>
      </c>
      <c r="AL248">
        <f ca="1"/>
      </c>
      <c r="AM248">
        <f ca="1"/>
      </c>
      <c r="AN248">
        <f ca="1"/>
      </c>
      <c r="AO248">
        <f ca="1"/>
      </c>
      <c r="AP248">
        <f ca="1"/>
      </c>
      <c r="AQ248">
        <f ca="1"/>
      </c>
      <c r="AR248">
        <f ca="1"/>
      </c>
      <c r="AT248" s="7">
        <f ca="1"/>
      </c>
      <c r="AU248">
        <f ca="1"/>
      </c>
      <c r="AV248">
        <f ca="1"/>
      </c>
      <c r="AW248">
        <f ca="1"/>
      </c>
      <c r="AX248">
        <f ca="1"/>
      </c>
      <c r="AY248">
        <f ca="1"/>
      </c>
      <c r="BA248" s="7">
        <f ca="1"/>
      </c>
      <c r="BB248">
        <f ca="1"/>
      </c>
      <c r="BC248">
        <f ca="1"/>
      </c>
      <c r="BD248">
        <f ca="1"/>
      </c>
      <c r="BE248">
        <f ca="1"/>
      </c>
    </row>
    <row r="249" spans="31:57" x14ac:dyDescent="0.55000000000000004">
      <c r="AE249" s="7">
        <f ca="1"/>
      </c>
      <c r="AF249">
        <f ca="1"/>
      </c>
      <c r="AG249">
        <f ca="1"/>
      </c>
      <c r="AH249">
        <f ca="1"/>
      </c>
      <c r="AI249">
        <f ca="1"/>
      </c>
      <c r="AJ249">
        <f ca="1"/>
      </c>
      <c r="AK249">
        <f ca="1"/>
      </c>
      <c r="AL249">
        <f ca="1"/>
      </c>
      <c r="AM249">
        <f ca="1"/>
      </c>
      <c r="AN249">
        <f ca="1"/>
      </c>
      <c r="AO249">
        <f ca="1"/>
      </c>
      <c r="AP249">
        <f ca="1"/>
      </c>
      <c r="AQ249">
        <f ca="1"/>
      </c>
      <c r="AR249">
        <f ca="1"/>
      </c>
      <c r="AT249" s="7">
        <f ca="1"/>
      </c>
      <c r="AU249">
        <f ca="1"/>
      </c>
      <c r="AV249">
        <f ca="1"/>
      </c>
      <c r="AW249">
        <f ca="1"/>
      </c>
      <c r="AX249">
        <f ca="1"/>
      </c>
      <c r="AY249">
        <f ca="1"/>
      </c>
      <c r="BA249" s="7">
        <f ca="1"/>
      </c>
      <c r="BB249">
        <f ca="1"/>
      </c>
      <c r="BC249">
        <f ca="1"/>
      </c>
      <c r="BD249">
        <f ca="1"/>
      </c>
      <c r="BE249">
        <f ca="1"/>
      </c>
    </row>
    <row r="250" spans="31:57" x14ac:dyDescent="0.55000000000000004">
      <c r="AE250" s="7">
        <f ca="1"/>
      </c>
      <c r="AF250">
        <f ca="1"/>
      </c>
      <c r="AG250">
        <f ca="1"/>
      </c>
      <c r="AH250">
        <f ca="1"/>
      </c>
      <c r="AI250">
        <f ca="1"/>
      </c>
      <c r="AJ250">
        <f ca="1"/>
      </c>
      <c r="AK250">
        <f ca="1"/>
      </c>
      <c r="AL250">
        <f ca="1"/>
      </c>
      <c r="AM250">
        <f ca="1"/>
      </c>
      <c r="AN250">
        <f ca="1"/>
      </c>
      <c r="AO250">
        <f ca="1"/>
      </c>
      <c r="AP250">
        <f ca="1"/>
      </c>
      <c r="AQ250">
        <f ca="1"/>
      </c>
      <c r="AR250">
        <f ca="1"/>
      </c>
      <c r="AT250" s="7">
        <f ca="1"/>
      </c>
      <c r="AU250">
        <f ca="1"/>
      </c>
      <c r="AV250">
        <f ca="1"/>
      </c>
      <c r="AW250">
        <f ca="1"/>
      </c>
      <c r="AX250">
        <f ca="1"/>
      </c>
      <c r="AY250">
        <f ca="1"/>
      </c>
      <c r="BA250" s="7">
        <f ca="1"/>
      </c>
      <c r="BB250">
        <f ca="1"/>
      </c>
      <c r="BC250">
        <f ca="1"/>
      </c>
      <c r="BD250">
        <f ca="1"/>
      </c>
      <c r="BE250">
        <f ca="1"/>
      </c>
    </row>
    <row r="251" spans="31:57" x14ac:dyDescent="0.55000000000000004">
      <c r="AE251" s="7">
        <f ca="1"/>
      </c>
      <c r="AF251">
        <f ca="1"/>
      </c>
      <c r="AG251">
        <f ca="1"/>
      </c>
      <c r="AH251">
        <f ca="1"/>
      </c>
      <c r="AI251">
        <f ca="1"/>
      </c>
      <c r="AJ251">
        <f ca="1"/>
      </c>
      <c r="AK251">
        <f ca="1"/>
      </c>
      <c r="AL251">
        <f ca="1"/>
      </c>
      <c r="AM251">
        <f ca="1"/>
      </c>
      <c r="AN251">
        <f ca="1"/>
      </c>
      <c r="AO251">
        <f ca="1"/>
      </c>
      <c r="AP251">
        <f ca="1"/>
      </c>
      <c r="AQ251">
        <f ca="1"/>
      </c>
      <c r="AR251">
        <f ca="1"/>
      </c>
      <c r="AT251" s="7">
        <f ca="1"/>
      </c>
      <c r="AU251">
        <f ca="1"/>
      </c>
      <c r="AV251">
        <f ca="1"/>
      </c>
      <c r="AW251">
        <f ca="1"/>
      </c>
      <c r="AX251">
        <f ca="1"/>
      </c>
      <c r="AY251">
        <f ca="1"/>
      </c>
      <c r="BA251" s="7">
        <f ca="1"/>
      </c>
      <c r="BB251">
        <f ca="1"/>
      </c>
      <c r="BC251">
        <f ca="1"/>
      </c>
      <c r="BD251">
        <f ca="1"/>
      </c>
      <c r="BE251">
        <f ca="1"/>
      </c>
    </row>
    <row r="252" spans="31:57" x14ac:dyDescent="0.55000000000000004">
      <c r="AE252" s="7">
        <f ca="1"/>
      </c>
      <c r="AF252">
        <f ca="1"/>
      </c>
      <c r="AG252">
        <f ca="1"/>
      </c>
      <c r="AH252">
        <f ca="1"/>
      </c>
      <c r="AI252">
        <f ca="1"/>
      </c>
      <c r="AJ252">
        <f ca="1"/>
      </c>
      <c r="AK252">
        <f ca="1"/>
      </c>
      <c r="AL252">
        <f ca="1"/>
      </c>
      <c r="AM252">
        <f ca="1"/>
      </c>
      <c r="AN252">
        <f ca="1"/>
      </c>
      <c r="AO252">
        <f ca="1"/>
      </c>
      <c r="AP252">
        <f ca="1"/>
      </c>
      <c r="AQ252">
        <f ca="1"/>
      </c>
      <c r="AR252">
        <f ca="1"/>
      </c>
      <c r="AT252" s="7">
        <f ca="1"/>
      </c>
      <c r="AU252">
        <f ca="1"/>
      </c>
      <c r="AV252">
        <f ca="1"/>
      </c>
      <c r="AW252">
        <f ca="1"/>
      </c>
      <c r="AX252">
        <f ca="1"/>
      </c>
      <c r="AY252">
        <f ca="1"/>
      </c>
      <c r="BA252" s="7">
        <f ca="1"/>
      </c>
      <c r="BB252">
        <f ca="1"/>
      </c>
      <c r="BC252">
        <f ca="1"/>
      </c>
      <c r="BD252">
        <f ca="1"/>
      </c>
      <c r="BE252">
        <f ca="1"/>
      </c>
    </row>
    <row r="253" spans="31:57" x14ac:dyDescent="0.55000000000000004">
      <c r="AE253" s="7">
        <f ca="1"/>
      </c>
      <c r="AF253">
        <f ca="1"/>
      </c>
      <c r="AG253">
        <f ca="1"/>
      </c>
      <c r="AH253">
        <f ca="1"/>
      </c>
      <c r="AI253">
        <f ca="1"/>
      </c>
      <c r="AJ253">
        <f ca="1"/>
      </c>
      <c r="AK253">
        <f ca="1"/>
      </c>
      <c r="AL253">
        <f ca="1"/>
      </c>
      <c r="AM253">
        <f ca="1"/>
      </c>
      <c r="AN253">
        <f ca="1"/>
      </c>
      <c r="AO253">
        <f ca="1"/>
      </c>
      <c r="AP253">
        <f ca="1"/>
      </c>
      <c r="AQ253">
        <f ca="1"/>
      </c>
      <c r="AR253">
        <f ca="1"/>
      </c>
      <c r="AT253" s="7">
        <f ca="1"/>
      </c>
      <c r="AU253">
        <f ca="1"/>
      </c>
      <c r="AV253">
        <f ca="1"/>
      </c>
      <c r="AW253">
        <f ca="1"/>
      </c>
      <c r="AX253">
        <f ca="1"/>
      </c>
      <c r="AY253">
        <f ca="1"/>
      </c>
      <c r="BA253" s="7">
        <f ca="1"/>
      </c>
      <c r="BB253">
        <f ca="1"/>
      </c>
      <c r="BC253">
        <f ca="1"/>
      </c>
      <c r="BD253">
        <f ca="1"/>
      </c>
      <c r="BE253">
        <f ca="1"/>
      </c>
    </row>
    <row r="254" spans="31:57" x14ac:dyDescent="0.55000000000000004">
      <c r="AE254" s="7">
        <f ca="1"/>
      </c>
      <c r="AF254">
        <f ca="1"/>
      </c>
      <c r="AG254">
        <f ca="1"/>
      </c>
      <c r="AH254">
        <f ca="1"/>
      </c>
      <c r="AI254">
        <f ca="1"/>
      </c>
      <c r="AJ254">
        <f ca="1"/>
      </c>
      <c r="AK254">
        <f ca="1"/>
      </c>
      <c r="AL254">
        <f ca="1"/>
      </c>
      <c r="AM254">
        <f ca="1"/>
      </c>
      <c r="AN254">
        <f ca="1"/>
      </c>
      <c r="AO254">
        <f ca="1"/>
      </c>
      <c r="AP254">
        <f ca="1"/>
      </c>
      <c r="AQ254">
        <f ca="1"/>
      </c>
      <c r="AR254">
        <f ca="1"/>
      </c>
      <c r="AT254" s="7">
        <f ca="1"/>
      </c>
      <c r="AU254">
        <f ca="1"/>
      </c>
      <c r="AV254">
        <f ca="1"/>
      </c>
      <c r="AW254">
        <f ca="1"/>
      </c>
      <c r="AX254">
        <f ca="1"/>
      </c>
      <c r="AY254">
        <f ca="1"/>
      </c>
      <c r="BA254" s="7">
        <f ca="1"/>
      </c>
      <c r="BB254">
        <f ca="1"/>
      </c>
      <c r="BC254">
        <f ca="1"/>
      </c>
      <c r="BD254">
        <f ca="1"/>
      </c>
      <c r="BE254">
        <f ca="1"/>
      </c>
    </row>
    <row r="255" spans="31:57" x14ac:dyDescent="0.55000000000000004">
      <c r="AE255" s="7">
        <f ca="1"/>
      </c>
      <c r="AF255">
        <f ca="1"/>
      </c>
      <c r="AG255">
        <f ca="1"/>
      </c>
      <c r="AH255">
        <f ca="1"/>
      </c>
      <c r="AI255">
        <f ca="1"/>
      </c>
      <c r="AJ255">
        <f ca="1"/>
      </c>
      <c r="AK255">
        <f ca="1"/>
      </c>
      <c r="AL255">
        <f ca="1"/>
      </c>
      <c r="AM255">
        <f ca="1"/>
      </c>
      <c r="AN255">
        <f ca="1"/>
      </c>
      <c r="AO255">
        <f ca="1"/>
      </c>
      <c r="AP255">
        <f ca="1"/>
      </c>
      <c r="AQ255">
        <f ca="1"/>
      </c>
      <c r="AR255">
        <f ca="1"/>
      </c>
      <c r="AT255" s="7">
        <f ca="1"/>
      </c>
      <c r="AU255">
        <f ca="1"/>
      </c>
      <c r="AV255">
        <f ca="1"/>
      </c>
      <c r="AW255">
        <f ca="1"/>
      </c>
      <c r="AX255">
        <f ca="1"/>
      </c>
      <c r="AY255">
        <f ca="1"/>
      </c>
      <c r="BA255" s="7">
        <f ca="1"/>
      </c>
      <c r="BB255">
        <f ca="1"/>
      </c>
      <c r="BC255">
        <f ca="1"/>
      </c>
      <c r="BD255">
        <f ca="1"/>
      </c>
      <c r="BE255">
        <f ca="1"/>
      </c>
    </row>
    <row r="256" spans="31:57" x14ac:dyDescent="0.55000000000000004">
      <c r="AE256" s="7">
        <f ca="1"/>
      </c>
      <c r="AF256">
        <f ca="1"/>
      </c>
      <c r="AG256">
        <f ca="1"/>
      </c>
      <c r="AH256">
        <f ca="1"/>
      </c>
      <c r="AI256">
        <f ca="1"/>
      </c>
      <c r="AJ256">
        <f ca="1"/>
      </c>
      <c r="AK256">
        <f ca="1"/>
      </c>
      <c r="AL256">
        <f ca="1"/>
      </c>
      <c r="AM256">
        <f ca="1"/>
      </c>
      <c r="AN256">
        <f ca="1"/>
      </c>
      <c r="AO256">
        <f ca="1"/>
      </c>
      <c r="AP256">
        <f ca="1"/>
      </c>
      <c r="AQ256">
        <f ca="1"/>
      </c>
      <c r="AR256">
        <f ca="1"/>
      </c>
      <c r="AT256" s="7">
        <f ca="1"/>
      </c>
      <c r="AU256">
        <f ca="1"/>
      </c>
      <c r="AV256">
        <f ca="1"/>
      </c>
      <c r="AW256">
        <f ca="1"/>
      </c>
      <c r="AX256">
        <f ca="1"/>
      </c>
      <c r="AY256">
        <f ca="1"/>
      </c>
      <c r="BA256" s="7">
        <f ca="1"/>
      </c>
      <c r="BB256">
        <f ca="1"/>
      </c>
      <c r="BC256">
        <f ca="1"/>
      </c>
      <c r="BD256">
        <f ca="1"/>
      </c>
      <c r="BE256">
        <f ca="1"/>
      </c>
    </row>
    <row r="257" spans="31:57" x14ac:dyDescent="0.55000000000000004">
      <c r="AE257" s="7">
        <f ca="1"/>
      </c>
      <c r="AF257">
        <f ca="1"/>
      </c>
      <c r="AG257">
        <f ca="1"/>
      </c>
      <c r="AH257">
        <f ca="1"/>
      </c>
      <c r="AI257">
        <f ca="1"/>
      </c>
      <c r="AJ257">
        <f ca="1"/>
      </c>
      <c r="AK257">
        <f ca="1"/>
      </c>
      <c r="AL257">
        <f ca="1"/>
      </c>
      <c r="AM257">
        <f ca="1"/>
      </c>
      <c r="AN257">
        <f ca="1"/>
      </c>
      <c r="AO257">
        <f ca="1"/>
      </c>
      <c r="AP257">
        <f ca="1"/>
      </c>
      <c r="AQ257">
        <f ca="1"/>
      </c>
      <c r="AR257">
        <f ca="1"/>
      </c>
      <c r="AT257" s="7">
        <f ca="1"/>
      </c>
      <c r="AU257">
        <f ca="1"/>
      </c>
      <c r="AV257">
        <f ca="1"/>
      </c>
      <c r="AW257">
        <f ca="1"/>
      </c>
      <c r="AX257">
        <f ca="1"/>
      </c>
      <c r="AY257">
        <f ca="1"/>
      </c>
      <c r="BA257" s="7">
        <f ca="1"/>
      </c>
      <c r="BB257">
        <f ca="1"/>
      </c>
      <c r="BC257">
        <f ca="1"/>
      </c>
      <c r="BD257">
        <f ca="1"/>
      </c>
      <c r="BE257">
        <f ca="1"/>
      </c>
    </row>
    <row r="258" spans="31:57" x14ac:dyDescent="0.55000000000000004">
      <c r="AE258" s="7">
        <f ca="1"/>
      </c>
      <c r="AF258">
        <f ca="1"/>
      </c>
      <c r="AG258">
        <f ca="1"/>
      </c>
      <c r="AH258">
        <f ca="1"/>
      </c>
      <c r="AI258">
        <f ca="1"/>
      </c>
      <c r="AJ258">
        <f ca="1"/>
      </c>
      <c r="AK258">
        <f ca="1"/>
      </c>
      <c r="AL258">
        <f ca="1"/>
      </c>
      <c r="AM258">
        <f ca="1"/>
      </c>
      <c r="AN258">
        <f ca="1"/>
      </c>
      <c r="AO258">
        <f ca="1"/>
      </c>
      <c r="AP258">
        <f ca="1"/>
      </c>
      <c r="AQ258">
        <f ca="1"/>
      </c>
      <c r="AR258">
        <f ca="1"/>
      </c>
      <c r="AT258" s="7">
        <f ca="1"/>
      </c>
      <c r="AU258">
        <f ca="1"/>
      </c>
      <c r="AV258">
        <f ca="1"/>
      </c>
      <c r="AW258">
        <f ca="1"/>
      </c>
      <c r="AX258">
        <f ca="1"/>
      </c>
      <c r="AY258">
        <f ca="1"/>
      </c>
      <c r="BA258" s="7">
        <f ca="1"/>
      </c>
      <c r="BB258">
        <f ca="1"/>
      </c>
      <c r="BC258">
        <f ca="1"/>
      </c>
      <c r="BD258">
        <f ca="1"/>
      </c>
      <c r="BE258">
        <f ca="1"/>
      </c>
    </row>
    <row r="259" spans="31:57" x14ac:dyDescent="0.55000000000000004">
      <c r="AE259" s="7">
        <f ca="1"/>
      </c>
      <c r="AF259">
        <f ca="1"/>
      </c>
      <c r="AG259">
        <f ca="1"/>
      </c>
      <c r="AH259">
        <f ca="1"/>
      </c>
      <c r="AI259">
        <f ca="1"/>
      </c>
      <c r="AJ259">
        <f ca="1"/>
      </c>
      <c r="AK259">
        <f ca="1"/>
      </c>
      <c r="AL259">
        <f ca="1"/>
      </c>
      <c r="AM259">
        <f ca="1"/>
      </c>
      <c r="AN259">
        <f ca="1"/>
      </c>
      <c r="AO259">
        <f ca="1"/>
      </c>
      <c r="AP259">
        <f ca="1"/>
      </c>
      <c r="AQ259">
        <f ca="1"/>
      </c>
      <c r="AR259">
        <f ca="1"/>
      </c>
      <c r="AT259" s="7">
        <f ca="1"/>
      </c>
      <c r="AU259">
        <f ca="1"/>
      </c>
      <c r="AV259">
        <f ca="1"/>
      </c>
      <c r="AW259">
        <f ca="1"/>
      </c>
      <c r="AX259">
        <f ca="1"/>
      </c>
      <c r="AY259">
        <f ca="1"/>
      </c>
      <c r="BA259" s="7">
        <f ca="1"/>
      </c>
      <c r="BB259">
        <f ca="1"/>
      </c>
      <c r="BC259">
        <f ca="1"/>
      </c>
      <c r="BD259">
        <f ca="1"/>
      </c>
      <c r="BE259">
        <f ca="1"/>
      </c>
    </row>
    <row r="260" spans="31:57" x14ac:dyDescent="0.55000000000000004">
      <c r="AE260" s="7">
        <f ca="1"/>
      </c>
      <c r="AF260">
        <f ca="1"/>
      </c>
      <c r="AG260">
        <f ca="1"/>
      </c>
      <c r="AH260">
        <f ca="1"/>
      </c>
      <c r="AI260">
        <f ca="1"/>
      </c>
      <c r="AJ260">
        <f ca="1"/>
      </c>
      <c r="AK260">
        <f ca="1"/>
      </c>
      <c r="AL260">
        <f ca="1"/>
      </c>
      <c r="AM260">
        <f ca="1"/>
      </c>
      <c r="AN260">
        <f ca="1"/>
      </c>
      <c r="AO260">
        <f ca="1"/>
      </c>
      <c r="AP260">
        <f ca="1"/>
      </c>
      <c r="AQ260">
        <f ca="1"/>
      </c>
      <c r="AR260">
        <f ca="1"/>
      </c>
      <c r="AT260" s="7">
        <f ca="1"/>
      </c>
      <c r="AU260">
        <f ca="1"/>
      </c>
      <c r="AV260">
        <f ca="1"/>
      </c>
      <c r="AW260">
        <f ca="1"/>
      </c>
      <c r="AX260">
        <f ca="1"/>
      </c>
      <c r="AY260">
        <f ca="1"/>
      </c>
      <c r="BA260" s="7">
        <f ca="1"/>
      </c>
      <c r="BB260">
        <f ca="1"/>
      </c>
      <c r="BC260">
        <f ca="1"/>
      </c>
      <c r="BD260">
        <f ca="1"/>
      </c>
      <c r="BE260">
        <f ca="1"/>
      </c>
    </row>
    <row r="261" spans="31:57" x14ac:dyDescent="0.55000000000000004">
      <c r="AE261" s="7">
        <f ca="1"/>
      </c>
      <c r="AF261">
        <f ca="1"/>
      </c>
      <c r="AG261">
        <f ca="1"/>
      </c>
      <c r="AH261">
        <f ca="1"/>
      </c>
      <c r="AI261">
        <f ca="1"/>
      </c>
      <c r="AJ261">
        <f ca="1"/>
      </c>
      <c r="AK261">
        <f ca="1"/>
      </c>
      <c r="AL261">
        <f ca="1"/>
      </c>
      <c r="AM261">
        <f ca="1"/>
      </c>
      <c r="AN261">
        <f ca="1"/>
      </c>
      <c r="AO261">
        <f ca="1"/>
      </c>
      <c r="AP261">
        <f ca="1"/>
      </c>
      <c r="AQ261">
        <f ca="1"/>
      </c>
      <c r="AR261">
        <f ca="1"/>
      </c>
      <c r="AT261" s="7">
        <f ca="1"/>
      </c>
      <c r="AU261">
        <f ca="1"/>
      </c>
      <c r="AV261">
        <f ca="1"/>
      </c>
      <c r="AW261">
        <f ca="1"/>
      </c>
      <c r="AX261">
        <f ca="1"/>
      </c>
      <c r="AY261">
        <f ca="1"/>
      </c>
      <c r="BA261" s="7">
        <f ca="1"/>
      </c>
      <c r="BB261">
        <f ca="1"/>
      </c>
      <c r="BC261">
        <f ca="1"/>
      </c>
      <c r="BD261">
        <f ca="1"/>
      </c>
      <c r="BE261">
        <f ca="1"/>
      </c>
    </row>
    <row r="262" spans="31:57" x14ac:dyDescent="0.55000000000000004">
      <c r="AE262" s="7">
        <f ca="1"/>
      </c>
      <c r="AF262">
        <f ca="1"/>
      </c>
      <c r="AG262">
        <f ca="1"/>
      </c>
      <c r="AH262">
        <f ca="1"/>
      </c>
      <c r="AI262">
        <f ca="1"/>
      </c>
      <c r="AJ262">
        <f ca="1"/>
      </c>
      <c r="AK262">
        <f ca="1"/>
      </c>
      <c r="AL262">
        <f ca="1"/>
      </c>
      <c r="AM262">
        <f ca="1"/>
      </c>
      <c r="AN262">
        <f ca="1"/>
      </c>
      <c r="AO262">
        <f ca="1"/>
      </c>
      <c r="AP262">
        <f ca="1"/>
      </c>
      <c r="AQ262">
        <f ca="1"/>
      </c>
      <c r="AR262">
        <f ca="1"/>
      </c>
      <c r="AT262" s="7">
        <f ca="1"/>
      </c>
      <c r="AU262">
        <f ca="1"/>
      </c>
      <c r="AV262">
        <f ca="1"/>
      </c>
      <c r="AW262">
        <f ca="1"/>
      </c>
      <c r="AX262">
        <f ca="1"/>
      </c>
      <c r="AY262">
        <f ca="1"/>
      </c>
      <c r="BA262" s="7">
        <f ca="1"/>
      </c>
      <c r="BB262">
        <f ca="1"/>
      </c>
      <c r="BC262">
        <f ca="1"/>
      </c>
      <c r="BD262">
        <f ca="1"/>
      </c>
      <c r="BE262">
        <f ca="1"/>
      </c>
    </row>
    <row r="263" spans="31:57" x14ac:dyDescent="0.55000000000000004">
      <c r="AE263" s="7">
        <f ca="1"/>
      </c>
      <c r="AF263">
        <f ca="1"/>
      </c>
      <c r="AG263">
        <f ca="1"/>
      </c>
      <c r="AH263">
        <f ca="1"/>
      </c>
      <c r="AI263">
        <f ca="1"/>
      </c>
      <c r="AJ263">
        <f ca="1"/>
      </c>
      <c r="AK263">
        <f ca="1"/>
      </c>
      <c r="AL263">
        <f ca="1"/>
      </c>
      <c r="AM263">
        <f ca="1"/>
      </c>
      <c r="AN263">
        <f ca="1"/>
      </c>
      <c r="AO263">
        <f ca="1"/>
      </c>
      <c r="AP263">
        <f ca="1"/>
      </c>
      <c r="AQ263">
        <f ca="1"/>
      </c>
      <c r="AR263">
        <f ca="1"/>
      </c>
      <c r="AT263" s="7">
        <f ca="1"/>
      </c>
      <c r="AU263">
        <f ca="1"/>
      </c>
      <c r="AV263">
        <f ca="1"/>
      </c>
      <c r="AW263">
        <f ca="1"/>
      </c>
      <c r="AX263">
        <f ca="1"/>
      </c>
      <c r="AY263">
        <f ca="1"/>
      </c>
      <c r="BA263" s="7">
        <f ca="1"/>
      </c>
      <c r="BB263">
        <f ca="1"/>
      </c>
      <c r="BC263">
        <f ca="1"/>
      </c>
      <c r="BD263">
        <f ca="1"/>
      </c>
      <c r="BE263">
        <f ca="1"/>
      </c>
    </row>
    <row r="264" spans="31:57" x14ac:dyDescent="0.55000000000000004">
      <c r="AE264" s="7">
        <f ca="1"/>
      </c>
      <c r="AF264">
        <f ca="1"/>
      </c>
      <c r="AG264">
        <f ca="1"/>
      </c>
      <c r="AH264">
        <f ca="1"/>
      </c>
      <c r="AI264">
        <f ca="1"/>
      </c>
      <c r="AJ264">
        <f ca="1"/>
      </c>
      <c r="AK264">
        <f ca="1"/>
      </c>
      <c r="AL264">
        <f ca="1"/>
      </c>
      <c r="AM264">
        <f ca="1"/>
      </c>
      <c r="AN264">
        <f ca="1"/>
      </c>
      <c r="AO264">
        <f ca="1"/>
      </c>
      <c r="AP264">
        <f ca="1"/>
      </c>
      <c r="AQ264">
        <f ca="1"/>
      </c>
      <c r="AR264">
        <f ca="1"/>
      </c>
      <c r="AT264" s="7">
        <f ca="1"/>
      </c>
      <c r="AU264">
        <f ca="1"/>
      </c>
      <c r="AV264">
        <f ca="1"/>
      </c>
      <c r="AW264">
        <f ca="1"/>
      </c>
      <c r="AX264">
        <f ca="1"/>
      </c>
      <c r="AY264">
        <f ca="1"/>
      </c>
      <c r="BA264" s="7">
        <f ca="1"/>
      </c>
      <c r="BB264">
        <f ca="1"/>
      </c>
      <c r="BC264">
        <f ca="1"/>
      </c>
      <c r="BD264">
        <f ca="1"/>
      </c>
      <c r="BE264">
        <f ca="1"/>
      </c>
    </row>
    <row r="265" spans="31:57" x14ac:dyDescent="0.55000000000000004">
      <c r="AE265" s="7">
        <f ca="1"/>
      </c>
      <c r="AF265">
        <f ca="1"/>
      </c>
      <c r="AG265">
        <f ca="1"/>
      </c>
      <c r="AH265">
        <f ca="1"/>
      </c>
      <c r="AI265">
        <f ca="1"/>
      </c>
      <c r="AJ265">
        <f ca="1"/>
      </c>
      <c r="AK265">
        <f ca="1"/>
      </c>
      <c r="AL265">
        <f ca="1"/>
      </c>
      <c r="AM265">
        <f ca="1"/>
      </c>
      <c r="AN265">
        <f ca="1"/>
      </c>
      <c r="AO265">
        <f ca="1"/>
      </c>
      <c r="AP265">
        <f ca="1"/>
      </c>
      <c r="AQ265">
        <f ca="1"/>
      </c>
      <c r="AR265">
        <f ca="1"/>
      </c>
      <c r="AT265" s="7">
        <f ca="1"/>
      </c>
      <c r="AU265">
        <f ca="1"/>
      </c>
      <c r="AV265">
        <f ca="1"/>
      </c>
      <c r="AW265">
        <f ca="1"/>
      </c>
      <c r="AX265">
        <f ca="1"/>
      </c>
      <c r="AY265">
        <f ca="1"/>
      </c>
      <c r="BA265" s="7">
        <f ca="1"/>
      </c>
      <c r="BB265">
        <f ca="1"/>
      </c>
      <c r="BC265">
        <f ca="1"/>
      </c>
      <c r="BD265">
        <f ca="1"/>
      </c>
      <c r="BE265">
        <f ca="1"/>
      </c>
    </row>
    <row r="266" spans="31:57" x14ac:dyDescent="0.55000000000000004">
      <c r="AE266" s="7">
        <f ca="1"/>
      </c>
      <c r="AF266">
        <f ca="1"/>
      </c>
      <c r="AG266">
        <f ca="1"/>
      </c>
      <c r="AH266">
        <f ca="1"/>
      </c>
      <c r="AI266">
        <f ca="1"/>
      </c>
      <c r="AJ266">
        <f ca="1"/>
      </c>
      <c r="AK266">
        <f ca="1"/>
      </c>
      <c r="AL266">
        <f ca="1"/>
      </c>
      <c r="AM266">
        <f ca="1"/>
      </c>
      <c r="AN266">
        <f ca="1"/>
      </c>
      <c r="AO266">
        <f ca="1"/>
      </c>
      <c r="AP266">
        <f ca="1"/>
      </c>
      <c r="AQ266">
        <f ca="1"/>
      </c>
      <c r="AR266">
        <f ca="1"/>
      </c>
      <c r="AT266" s="7">
        <f ca="1"/>
      </c>
      <c r="AU266">
        <f ca="1"/>
      </c>
      <c r="AV266">
        <f ca="1"/>
      </c>
      <c r="AW266">
        <f ca="1"/>
      </c>
      <c r="AX266">
        <f ca="1"/>
      </c>
      <c r="AY266">
        <f ca="1"/>
      </c>
      <c r="BA266" s="7">
        <f ca="1"/>
      </c>
      <c r="BB266">
        <f ca="1"/>
      </c>
      <c r="BC266">
        <f ca="1"/>
      </c>
      <c r="BD266">
        <f ca="1"/>
      </c>
      <c r="BE266">
        <f ca="1"/>
      </c>
    </row>
    <row r="267" spans="31:57" x14ac:dyDescent="0.55000000000000004">
      <c r="AE267" s="7">
        <f ca="1"/>
      </c>
      <c r="AF267">
        <f ca="1"/>
      </c>
      <c r="AG267">
        <f ca="1"/>
      </c>
      <c r="AH267">
        <f ca="1"/>
      </c>
      <c r="AI267">
        <f ca="1"/>
      </c>
      <c r="AJ267">
        <f ca="1"/>
      </c>
      <c r="AK267">
        <f ca="1"/>
      </c>
      <c r="AL267">
        <f ca="1"/>
      </c>
      <c r="AM267">
        <f ca="1"/>
      </c>
      <c r="AN267">
        <f ca="1"/>
      </c>
      <c r="AO267">
        <f ca="1"/>
      </c>
      <c r="AP267">
        <f ca="1"/>
      </c>
      <c r="AQ267">
        <f ca="1"/>
      </c>
      <c r="AR267">
        <f ca="1"/>
      </c>
      <c r="AT267" s="7">
        <f ca="1"/>
      </c>
      <c r="AU267">
        <f ca="1"/>
      </c>
      <c r="AV267">
        <f ca="1"/>
      </c>
      <c r="AW267">
        <f ca="1"/>
      </c>
      <c r="AX267">
        <f ca="1"/>
      </c>
      <c r="AY267">
        <f ca="1"/>
      </c>
      <c r="BA267" s="7">
        <f ca="1"/>
      </c>
      <c r="BB267">
        <f ca="1"/>
      </c>
      <c r="BC267">
        <f ca="1"/>
      </c>
      <c r="BD267">
        <f ca="1"/>
      </c>
      <c r="BE267">
        <f ca="1"/>
      </c>
    </row>
    <row r="268" spans="31:57" x14ac:dyDescent="0.55000000000000004">
      <c r="AE268" s="7">
        <f ca="1"/>
      </c>
      <c r="AF268">
        <f ca="1"/>
      </c>
      <c r="AG268">
        <f ca="1"/>
      </c>
      <c r="AH268">
        <f ca="1"/>
      </c>
      <c r="AI268">
        <f ca="1"/>
      </c>
      <c r="AJ268">
        <f ca="1"/>
      </c>
      <c r="AK268">
        <f ca="1"/>
      </c>
      <c r="AL268">
        <f ca="1"/>
      </c>
      <c r="AM268">
        <f ca="1"/>
      </c>
      <c r="AN268">
        <f ca="1"/>
      </c>
      <c r="AO268">
        <f ca="1"/>
      </c>
      <c r="AP268">
        <f ca="1"/>
      </c>
      <c r="AQ268">
        <f ca="1"/>
      </c>
      <c r="AR268">
        <f ca="1"/>
      </c>
      <c r="AT268" s="7">
        <f ca="1"/>
      </c>
      <c r="AU268">
        <f ca="1"/>
      </c>
      <c r="AV268">
        <f ca="1"/>
      </c>
      <c r="AW268">
        <f ca="1"/>
      </c>
      <c r="AX268">
        <f ca="1"/>
      </c>
      <c r="AY268">
        <f ca="1"/>
      </c>
      <c r="BA268" s="7">
        <f ca="1"/>
      </c>
      <c r="BB268">
        <f ca="1"/>
      </c>
      <c r="BC268">
        <f ca="1"/>
      </c>
      <c r="BD268">
        <f ca="1"/>
      </c>
      <c r="BE268">
        <f ca="1"/>
      </c>
    </row>
    <row r="269" spans="31:57" x14ac:dyDescent="0.55000000000000004">
      <c r="AE269" s="7">
        <f ca="1"/>
      </c>
      <c r="AF269">
        <f ca="1"/>
      </c>
      <c r="AG269">
        <f ca="1"/>
      </c>
      <c r="AH269">
        <f ca="1"/>
      </c>
      <c r="AI269">
        <f ca="1"/>
      </c>
      <c r="AJ269">
        <f ca="1"/>
      </c>
      <c r="AK269">
        <f ca="1"/>
      </c>
      <c r="AL269">
        <f ca="1"/>
      </c>
      <c r="AM269">
        <f ca="1"/>
      </c>
      <c r="AN269">
        <f ca="1"/>
      </c>
      <c r="AO269">
        <f ca="1"/>
      </c>
      <c r="AP269">
        <f ca="1"/>
      </c>
      <c r="AQ269">
        <f ca="1"/>
      </c>
      <c r="AR269">
        <f ca="1"/>
      </c>
      <c r="AT269" s="7">
        <f ca="1"/>
      </c>
      <c r="AU269">
        <f ca="1"/>
      </c>
      <c r="AV269">
        <f ca="1"/>
      </c>
      <c r="AW269">
        <f ca="1"/>
      </c>
      <c r="AX269">
        <f ca="1"/>
      </c>
      <c r="AY269">
        <f ca="1"/>
      </c>
      <c r="BA269" s="7">
        <f ca="1"/>
      </c>
      <c r="BB269">
        <f ca="1"/>
      </c>
      <c r="BC269">
        <f ca="1"/>
      </c>
      <c r="BD269">
        <f ca="1"/>
      </c>
      <c r="BE269">
        <f ca="1"/>
      </c>
    </row>
    <row r="270" spans="31:57" x14ac:dyDescent="0.55000000000000004">
      <c r="AE270" s="7">
        <f ca="1"/>
      </c>
      <c r="AF270">
        <f ca="1"/>
      </c>
      <c r="AG270">
        <f ca="1"/>
      </c>
      <c r="AH270">
        <f ca="1"/>
      </c>
      <c r="AI270">
        <f ca="1"/>
      </c>
      <c r="AJ270">
        <f ca="1"/>
      </c>
      <c r="AK270">
        <f ca="1"/>
      </c>
      <c r="AL270">
        <f ca="1"/>
      </c>
      <c r="AM270">
        <f ca="1"/>
      </c>
      <c r="AN270">
        <f ca="1"/>
      </c>
      <c r="AO270">
        <f ca="1"/>
      </c>
      <c r="AP270">
        <f ca="1"/>
      </c>
      <c r="AQ270">
        <f ca="1"/>
      </c>
      <c r="AR270">
        <f ca="1"/>
      </c>
      <c r="AT270" s="7">
        <f ca="1"/>
      </c>
      <c r="AU270">
        <f ca="1"/>
      </c>
      <c r="AV270">
        <f ca="1"/>
      </c>
      <c r="AW270">
        <f ca="1"/>
      </c>
      <c r="AX270">
        <f ca="1"/>
      </c>
      <c r="AY270">
        <f ca="1"/>
      </c>
      <c r="BA270" s="7">
        <f ca="1"/>
      </c>
      <c r="BB270">
        <f ca="1"/>
      </c>
      <c r="BC270">
        <f ca="1"/>
      </c>
      <c r="BD270">
        <f ca="1"/>
      </c>
      <c r="BE270">
        <f ca="1"/>
      </c>
    </row>
    <row r="271" spans="31:57" x14ac:dyDescent="0.55000000000000004">
      <c r="AE271" s="7">
        <f ca="1"/>
      </c>
      <c r="AF271">
        <f ca="1"/>
      </c>
      <c r="AG271">
        <f ca="1"/>
      </c>
      <c r="AH271">
        <f ca="1"/>
      </c>
      <c r="AI271">
        <f ca="1"/>
      </c>
      <c r="AJ271">
        <f ca="1"/>
      </c>
      <c r="AK271">
        <f ca="1"/>
      </c>
      <c r="AL271">
        <f ca="1"/>
      </c>
      <c r="AM271">
        <f ca="1"/>
      </c>
      <c r="AN271">
        <f ca="1"/>
      </c>
      <c r="AO271">
        <f ca="1"/>
      </c>
      <c r="AP271">
        <f ca="1"/>
      </c>
      <c r="AQ271">
        <f ca="1"/>
      </c>
      <c r="AR271">
        <f ca="1"/>
      </c>
      <c r="AT271" s="7">
        <f ca="1"/>
      </c>
      <c r="AU271">
        <f ca="1"/>
      </c>
      <c r="AV271">
        <f ca="1"/>
      </c>
      <c r="AW271">
        <f ca="1"/>
      </c>
      <c r="AX271">
        <f ca="1"/>
      </c>
      <c r="AY271">
        <f ca="1"/>
      </c>
      <c r="BA271" s="7">
        <f ca="1"/>
      </c>
      <c r="BB271">
        <f ca="1"/>
      </c>
      <c r="BC271">
        <f ca="1"/>
      </c>
      <c r="BD271">
        <f ca="1"/>
      </c>
      <c r="BE271">
        <f ca="1"/>
      </c>
    </row>
    <row r="272" spans="31:57" x14ac:dyDescent="0.55000000000000004">
      <c r="AE272" s="7">
        <f ca="1"/>
      </c>
      <c r="AF272">
        <f ca="1"/>
      </c>
      <c r="AG272">
        <f ca="1"/>
      </c>
      <c r="AH272">
        <f ca="1"/>
      </c>
      <c r="AI272">
        <f ca="1"/>
      </c>
      <c r="AJ272">
        <f ca="1"/>
      </c>
      <c r="AK272">
        <f ca="1"/>
      </c>
      <c r="AL272">
        <f ca="1"/>
      </c>
      <c r="AM272">
        <f ca="1"/>
      </c>
      <c r="AN272">
        <f ca="1"/>
      </c>
      <c r="AO272">
        <f ca="1"/>
      </c>
      <c r="AP272">
        <f ca="1"/>
      </c>
      <c r="AQ272">
        <f ca="1"/>
      </c>
      <c r="AR272">
        <f ca="1"/>
      </c>
      <c r="AT272" s="7">
        <f ca="1"/>
      </c>
      <c r="AU272">
        <f ca="1"/>
      </c>
      <c r="AV272">
        <f ca="1"/>
      </c>
      <c r="AW272">
        <f ca="1"/>
      </c>
      <c r="AX272">
        <f ca="1"/>
      </c>
      <c r="AY272">
        <f ca="1"/>
      </c>
      <c r="BA272" s="7">
        <f ca="1"/>
      </c>
      <c r="BB272">
        <f ca="1"/>
      </c>
      <c r="BC272">
        <f ca="1"/>
      </c>
      <c r="BD272">
        <f ca="1"/>
      </c>
      <c r="BE272">
        <f ca="1"/>
      </c>
    </row>
    <row r="273" spans="31:57" x14ac:dyDescent="0.55000000000000004">
      <c r="AE273" s="7">
        <f ca="1"/>
      </c>
      <c r="AF273">
        <f ca="1"/>
      </c>
      <c r="AG273">
        <f ca="1"/>
      </c>
      <c r="AH273">
        <f ca="1"/>
      </c>
      <c r="AI273">
        <f ca="1"/>
      </c>
      <c r="AJ273">
        <f ca="1"/>
      </c>
      <c r="AK273">
        <f ca="1"/>
      </c>
      <c r="AL273">
        <f ca="1"/>
      </c>
      <c r="AM273">
        <f ca="1"/>
      </c>
      <c r="AN273">
        <f ca="1"/>
      </c>
      <c r="AO273">
        <f ca="1"/>
      </c>
      <c r="AP273">
        <f ca="1"/>
      </c>
      <c r="AQ273">
        <f ca="1"/>
      </c>
      <c r="AR273">
        <f ca="1"/>
      </c>
      <c r="AT273" s="7">
        <f ca="1"/>
      </c>
      <c r="AU273">
        <f ca="1"/>
      </c>
      <c r="AV273">
        <f ca="1"/>
      </c>
      <c r="AW273">
        <f ca="1"/>
      </c>
      <c r="AX273">
        <f ca="1"/>
      </c>
      <c r="AY273">
        <f ca="1"/>
      </c>
      <c r="BA273" s="7">
        <f ca="1"/>
      </c>
      <c r="BB273">
        <f ca="1"/>
      </c>
      <c r="BC273">
        <f ca="1"/>
      </c>
      <c r="BD273">
        <f ca="1"/>
      </c>
      <c r="BE273">
        <f ca="1"/>
      </c>
    </row>
    <row r="274" spans="31:57" x14ac:dyDescent="0.55000000000000004">
      <c r="AE274" s="7">
        <f ca="1"/>
      </c>
      <c r="AF274">
        <f ca="1"/>
      </c>
      <c r="AG274">
        <f ca="1"/>
      </c>
      <c r="AH274">
        <f ca="1"/>
      </c>
      <c r="AI274">
        <f ca="1"/>
      </c>
      <c r="AJ274">
        <f ca="1"/>
      </c>
      <c r="AK274">
        <f ca="1"/>
      </c>
      <c r="AL274">
        <f ca="1"/>
      </c>
      <c r="AM274">
        <f ca="1"/>
      </c>
      <c r="AN274">
        <f ca="1"/>
      </c>
      <c r="AO274">
        <f ca="1"/>
      </c>
      <c r="AP274">
        <f ca="1"/>
      </c>
      <c r="AQ274">
        <f ca="1"/>
      </c>
      <c r="AR274">
        <f ca="1"/>
      </c>
      <c r="AT274" s="7">
        <f ca="1"/>
      </c>
      <c r="AU274">
        <f ca="1"/>
      </c>
      <c r="AV274">
        <f ca="1"/>
      </c>
      <c r="AW274">
        <f ca="1"/>
      </c>
      <c r="AX274">
        <f ca="1"/>
      </c>
      <c r="AY274">
        <f ca="1"/>
      </c>
      <c r="BA274" s="7">
        <f ca="1"/>
      </c>
      <c r="BB274">
        <f ca="1"/>
      </c>
      <c r="BC274">
        <f ca="1"/>
      </c>
      <c r="BD274">
        <f ca="1"/>
      </c>
      <c r="BE274">
        <f ca="1"/>
      </c>
    </row>
    <row r="275" spans="31:57" x14ac:dyDescent="0.55000000000000004">
      <c r="AE275" s="7">
        <f ca="1"/>
      </c>
      <c r="AF275">
        <f ca="1"/>
      </c>
      <c r="AG275">
        <f ca="1"/>
      </c>
      <c r="AH275">
        <f ca="1"/>
      </c>
      <c r="AI275">
        <f ca="1"/>
      </c>
      <c r="AJ275">
        <f ca="1"/>
      </c>
      <c r="AK275">
        <f ca="1"/>
      </c>
      <c r="AL275">
        <f ca="1"/>
      </c>
      <c r="AM275">
        <f ca="1"/>
      </c>
      <c r="AN275">
        <f ca="1"/>
      </c>
      <c r="AO275">
        <f ca="1"/>
      </c>
      <c r="AP275">
        <f ca="1"/>
      </c>
      <c r="AQ275">
        <f ca="1"/>
      </c>
      <c r="AR275">
        <f ca="1"/>
      </c>
      <c r="AT275" s="7">
        <f ca="1"/>
      </c>
      <c r="AU275">
        <f ca="1"/>
      </c>
      <c r="AV275">
        <f ca="1"/>
      </c>
      <c r="AW275">
        <f ca="1"/>
      </c>
      <c r="AX275">
        <f ca="1"/>
      </c>
      <c r="AY275">
        <f ca="1"/>
      </c>
      <c r="BA275" s="7">
        <f ca="1"/>
      </c>
      <c r="BB275">
        <f ca="1"/>
      </c>
      <c r="BC275">
        <f ca="1"/>
      </c>
      <c r="BD275">
        <f ca="1"/>
      </c>
      <c r="BE275">
        <f ca="1"/>
      </c>
    </row>
    <row r="276" spans="31:57" x14ac:dyDescent="0.55000000000000004">
      <c r="AE276" s="7">
        <f ca="1"/>
      </c>
      <c r="AF276">
        <f ca="1"/>
      </c>
      <c r="AG276">
        <f ca="1"/>
      </c>
      <c r="AH276">
        <f ca="1"/>
      </c>
      <c r="AI276">
        <f ca="1"/>
      </c>
      <c r="AJ276">
        <f ca="1"/>
      </c>
      <c r="AK276">
        <f ca="1"/>
      </c>
      <c r="AL276">
        <f ca="1"/>
      </c>
      <c r="AM276">
        <f ca="1"/>
      </c>
      <c r="AN276">
        <f ca="1"/>
      </c>
      <c r="AO276">
        <f ca="1"/>
      </c>
      <c r="AP276">
        <f ca="1"/>
      </c>
      <c r="AQ276">
        <f ca="1"/>
      </c>
      <c r="AR276">
        <f ca="1"/>
      </c>
      <c r="AT276" s="7">
        <f ca="1"/>
      </c>
      <c r="AU276">
        <f ca="1"/>
      </c>
      <c r="AV276">
        <f ca="1"/>
      </c>
      <c r="AW276">
        <f ca="1"/>
      </c>
      <c r="AX276">
        <f ca="1"/>
      </c>
      <c r="AY276">
        <f ca="1"/>
      </c>
      <c r="BA276" s="7">
        <f ca="1"/>
      </c>
      <c r="BB276">
        <f ca="1"/>
      </c>
      <c r="BC276">
        <f ca="1"/>
      </c>
      <c r="BD276">
        <f ca="1"/>
      </c>
      <c r="BE276">
        <f ca="1"/>
      </c>
    </row>
    <row r="277" spans="31:57" x14ac:dyDescent="0.55000000000000004">
      <c r="AE277" s="7">
        <f ca="1"/>
      </c>
      <c r="AF277">
        <f ca="1"/>
      </c>
      <c r="AG277">
        <f ca="1"/>
      </c>
      <c r="AH277">
        <f ca="1"/>
      </c>
      <c r="AI277">
        <f ca="1"/>
      </c>
      <c r="AJ277">
        <f ca="1"/>
      </c>
      <c r="AK277">
        <f ca="1"/>
      </c>
      <c r="AL277">
        <f ca="1"/>
      </c>
      <c r="AM277">
        <f ca="1"/>
      </c>
      <c r="AN277">
        <f ca="1"/>
      </c>
      <c r="AO277">
        <f ca="1"/>
      </c>
      <c r="AP277">
        <f ca="1"/>
      </c>
      <c r="AQ277">
        <f ca="1"/>
      </c>
      <c r="AR277">
        <f ca="1"/>
      </c>
      <c r="AT277" s="7">
        <f ca="1"/>
      </c>
      <c r="AU277">
        <f ca="1"/>
      </c>
      <c r="AV277">
        <f ca="1"/>
      </c>
      <c r="AW277">
        <f ca="1"/>
      </c>
      <c r="AX277">
        <f ca="1"/>
      </c>
      <c r="AY277">
        <f ca="1"/>
      </c>
      <c r="BA277" s="7">
        <f ca="1"/>
      </c>
      <c r="BB277">
        <f ca="1"/>
      </c>
      <c r="BC277">
        <f ca="1"/>
      </c>
      <c r="BD277">
        <f ca="1"/>
      </c>
      <c r="BE277">
        <f ca="1"/>
      </c>
    </row>
    <row r="278" spans="31:57" x14ac:dyDescent="0.55000000000000004">
      <c r="AE278" s="7">
        <f ca="1"/>
      </c>
      <c r="AF278">
        <f ca="1"/>
      </c>
      <c r="AG278">
        <f ca="1"/>
      </c>
      <c r="AH278">
        <f ca="1"/>
      </c>
      <c r="AI278">
        <f ca="1"/>
      </c>
      <c r="AJ278">
        <f ca="1"/>
      </c>
      <c r="AK278">
        <f ca="1"/>
      </c>
      <c r="AL278">
        <f ca="1"/>
      </c>
      <c r="AM278">
        <f ca="1"/>
      </c>
      <c r="AN278">
        <f ca="1"/>
      </c>
      <c r="AO278">
        <f ca="1"/>
      </c>
      <c r="AP278">
        <f ca="1"/>
      </c>
      <c r="AQ278">
        <f ca="1"/>
      </c>
      <c r="AR278">
        <f ca="1"/>
      </c>
      <c r="AT278" s="7">
        <f ca="1"/>
      </c>
      <c r="AU278">
        <f ca="1"/>
      </c>
      <c r="AV278">
        <f ca="1"/>
      </c>
      <c r="AW278">
        <f ca="1"/>
      </c>
      <c r="AX278">
        <f ca="1"/>
      </c>
      <c r="AY278">
        <f ca="1"/>
      </c>
      <c r="BA278" s="7">
        <f ca="1"/>
      </c>
      <c r="BB278">
        <f ca="1"/>
      </c>
      <c r="BC278">
        <f ca="1"/>
      </c>
      <c r="BD278">
        <f ca="1"/>
      </c>
      <c r="BE278">
        <f ca="1"/>
      </c>
    </row>
    <row r="279" spans="31:57" x14ac:dyDescent="0.55000000000000004">
      <c r="AE279" s="7">
        <f ca="1"/>
      </c>
      <c r="AF279">
        <f ca="1"/>
      </c>
      <c r="AG279">
        <f ca="1"/>
      </c>
      <c r="AH279">
        <f ca="1"/>
      </c>
      <c r="AI279">
        <f ca="1"/>
      </c>
      <c r="AJ279">
        <f ca="1"/>
      </c>
      <c r="AK279">
        <f ca="1"/>
      </c>
      <c r="AL279">
        <f ca="1"/>
      </c>
      <c r="AM279">
        <f ca="1"/>
      </c>
      <c r="AN279">
        <f ca="1"/>
      </c>
      <c r="AO279">
        <f ca="1"/>
      </c>
      <c r="AP279">
        <f ca="1"/>
      </c>
      <c r="AQ279">
        <f ca="1"/>
      </c>
      <c r="AR279">
        <f ca="1"/>
      </c>
      <c r="AT279" s="7">
        <f ca="1"/>
      </c>
      <c r="AU279">
        <f ca="1"/>
      </c>
      <c r="AV279">
        <f ca="1"/>
      </c>
      <c r="AW279">
        <f ca="1"/>
      </c>
      <c r="AX279">
        <f ca="1"/>
      </c>
      <c r="AY279">
        <f ca="1"/>
      </c>
      <c r="BA279" s="7">
        <f ca="1"/>
      </c>
      <c r="BB279">
        <f ca="1"/>
      </c>
      <c r="BC279">
        <f ca="1"/>
      </c>
      <c r="BD279">
        <f ca="1"/>
      </c>
      <c r="BE279">
        <f ca="1"/>
      </c>
    </row>
    <row r="280" spans="31:57" x14ac:dyDescent="0.55000000000000004">
      <c r="AE280" s="7">
        <f ca="1"/>
      </c>
      <c r="AF280">
        <f ca="1"/>
      </c>
      <c r="AG280">
        <f ca="1"/>
      </c>
      <c r="AH280">
        <f ca="1"/>
      </c>
      <c r="AI280">
        <f ca="1"/>
      </c>
      <c r="AJ280">
        <f ca="1"/>
      </c>
      <c r="AK280">
        <f ca="1"/>
      </c>
      <c r="AL280">
        <f ca="1"/>
      </c>
      <c r="AM280">
        <f ca="1"/>
      </c>
      <c r="AN280">
        <f ca="1"/>
      </c>
      <c r="AO280">
        <f ca="1"/>
      </c>
      <c r="AP280">
        <f ca="1"/>
      </c>
      <c r="AQ280">
        <f ca="1"/>
      </c>
      <c r="AR280">
        <f ca="1"/>
      </c>
      <c r="AT280" s="7">
        <f ca="1"/>
      </c>
      <c r="AU280">
        <f ca="1"/>
      </c>
      <c r="AV280">
        <f ca="1"/>
      </c>
      <c r="AW280">
        <f ca="1"/>
      </c>
      <c r="AX280">
        <f ca="1"/>
      </c>
      <c r="AY280">
        <f ca="1"/>
      </c>
      <c r="BA280" s="7">
        <f ca="1"/>
      </c>
      <c r="BB280">
        <f ca="1"/>
      </c>
      <c r="BC280">
        <f ca="1"/>
      </c>
      <c r="BD280">
        <f ca="1"/>
      </c>
      <c r="BE280">
        <f ca="1"/>
      </c>
    </row>
    <row r="281" spans="31:57" x14ac:dyDescent="0.55000000000000004">
      <c r="AE281" s="7">
        <f ca="1"/>
      </c>
      <c r="AF281">
        <f ca="1"/>
      </c>
      <c r="AG281">
        <f ca="1"/>
      </c>
      <c r="AH281">
        <f ca="1"/>
      </c>
      <c r="AI281">
        <f ca="1"/>
      </c>
      <c r="AJ281">
        <f ca="1"/>
      </c>
      <c r="AK281">
        <f ca="1"/>
      </c>
      <c r="AL281">
        <f ca="1"/>
      </c>
      <c r="AM281">
        <f ca="1"/>
      </c>
      <c r="AN281">
        <f ca="1"/>
      </c>
      <c r="AO281">
        <f ca="1"/>
      </c>
      <c r="AP281">
        <f ca="1"/>
      </c>
      <c r="AQ281">
        <f ca="1"/>
      </c>
      <c r="AR281">
        <f ca="1"/>
      </c>
      <c r="AT281" s="7">
        <f ca="1"/>
      </c>
      <c r="AU281">
        <f ca="1"/>
      </c>
      <c r="AV281">
        <f ca="1"/>
      </c>
      <c r="AW281">
        <f ca="1"/>
      </c>
      <c r="AX281">
        <f ca="1"/>
      </c>
      <c r="AY281">
        <f ca="1"/>
      </c>
      <c r="BA281" s="7">
        <f ca="1"/>
      </c>
      <c r="BB281">
        <f ca="1"/>
      </c>
      <c r="BC281">
        <f ca="1"/>
      </c>
      <c r="BD281">
        <f ca="1"/>
      </c>
      <c r="BE281">
        <f ca="1"/>
      </c>
    </row>
    <row r="282" spans="31:57" x14ac:dyDescent="0.55000000000000004">
      <c r="AE282" s="7">
        <f ca="1"/>
      </c>
      <c r="AF282">
        <f ca="1"/>
      </c>
      <c r="AG282">
        <f ca="1"/>
      </c>
      <c r="AH282">
        <f ca="1"/>
      </c>
      <c r="AI282">
        <f ca="1"/>
      </c>
      <c r="AJ282">
        <f ca="1"/>
      </c>
      <c r="AK282">
        <f ca="1"/>
      </c>
      <c r="AL282">
        <f ca="1"/>
      </c>
      <c r="AM282">
        <f ca="1"/>
      </c>
      <c r="AN282">
        <f ca="1"/>
      </c>
      <c r="AO282">
        <f ca="1"/>
      </c>
      <c r="AP282">
        <f ca="1"/>
      </c>
      <c r="AQ282">
        <f ca="1"/>
      </c>
      <c r="AR282">
        <f ca="1"/>
      </c>
      <c r="AT282" s="7">
        <f ca="1"/>
      </c>
      <c r="AU282">
        <f ca="1"/>
      </c>
      <c r="AV282">
        <f ca="1"/>
      </c>
      <c r="AW282">
        <f ca="1"/>
      </c>
      <c r="AX282">
        <f ca="1"/>
      </c>
      <c r="AY282">
        <f ca="1"/>
      </c>
      <c r="BA282" s="7">
        <f ca="1"/>
      </c>
      <c r="BB282">
        <f ca="1"/>
      </c>
      <c r="BC282">
        <f ca="1"/>
      </c>
      <c r="BD282">
        <f ca="1"/>
      </c>
      <c r="BE282">
        <f ca="1"/>
      </c>
    </row>
    <row r="283" spans="31:57" x14ac:dyDescent="0.55000000000000004">
      <c r="AE283" s="7">
        <f ca="1"/>
      </c>
      <c r="AF283">
        <f ca="1"/>
      </c>
      <c r="AG283">
        <f ca="1"/>
      </c>
      <c r="AH283">
        <f ca="1"/>
      </c>
      <c r="AI283">
        <f ca="1"/>
      </c>
      <c r="AJ283">
        <f ca="1"/>
      </c>
      <c r="AK283">
        <f ca="1"/>
      </c>
      <c r="AL283">
        <f ca="1"/>
      </c>
      <c r="AM283">
        <f ca="1"/>
      </c>
      <c r="AN283">
        <f ca="1"/>
      </c>
      <c r="AO283">
        <f ca="1"/>
      </c>
      <c r="AP283">
        <f ca="1"/>
      </c>
      <c r="AQ283">
        <f ca="1"/>
      </c>
      <c r="AR283">
        <f ca="1"/>
      </c>
      <c r="AT283" s="7">
        <f ca="1"/>
      </c>
      <c r="AU283">
        <f ca="1"/>
      </c>
      <c r="AV283">
        <f ca="1"/>
      </c>
      <c r="AW283">
        <f ca="1"/>
      </c>
      <c r="AX283">
        <f ca="1"/>
      </c>
      <c r="AY283">
        <f ca="1"/>
      </c>
      <c r="BA283" s="7">
        <f ca="1"/>
      </c>
      <c r="BB283">
        <f ca="1"/>
      </c>
      <c r="BC283">
        <f ca="1"/>
      </c>
      <c r="BD283">
        <f ca="1"/>
      </c>
      <c r="BE283">
        <f ca="1"/>
      </c>
    </row>
    <row r="284" spans="31:57" x14ac:dyDescent="0.55000000000000004">
      <c r="AE284" s="7">
        <f ca="1"/>
      </c>
      <c r="AF284">
        <f ca="1"/>
      </c>
      <c r="AG284">
        <f ca="1"/>
      </c>
      <c r="AH284">
        <f ca="1"/>
      </c>
      <c r="AI284">
        <f ca="1"/>
      </c>
      <c r="AJ284">
        <f ca="1"/>
      </c>
      <c r="AK284">
        <f ca="1"/>
      </c>
      <c r="AL284">
        <f ca="1"/>
      </c>
      <c r="AM284">
        <f ca="1"/>
      </c>
      <c r="AN284">
        <f ca="1"/>
      </c>
      <c r="AO284">
        <f ca="1"/>
      </c>
      <c r="AP284">
        <f ca="1"/>
      </c>
      <c r="AQ284">
        <f ca="1"/>
      </c>
      <c r="AR284">
        <f ca="1"/>
      </c>
      <c r="AT284" s="7">
        <f ca="1"/>
      </c>
      <c r="AU284">
        <f ca="1"/>
      </c>
      <c r="AV284">
        <f ca="1"/>
      </c>
      <c r="AW284">
        <f ca="1"/>
      </c>
      <c r="AX284">
        <f ca="1"/>
      </c>
      <c r="AY284">
        <f ca="1"/>
      </c>
      <c r="BA284" s="7">
        <f ca="1"/>
      </c>
      <c r="BB284">
        <f ca="1"/>
      </c>
      <c r="BC284">
        <f ca="1"/>
      </c>
      <c r="BD284">
        <f ca="1"/>
      </c>
      <c r="BE284">
        <f ca="1"/>
      </c>
    </row>
    <row r="285" spans="31:57" x14ac:dyDescent="0.55000000000000004">
      <c r="AE285" s="7">
        <f ca="1"/>
      </c>
      <c r="AF285">
        <f ca="1"/>
      </c>
      <c r="AG285">
        <f ca="1"/>
      </c>
      <c r="AH285">
        <f ca="1"/>
      </c>
      <c r="AI285">
        <f ca="1"/>
      </c>
      <c r="AJ285">
        <f ca="1"/>
      </c>
      <c r="AK285">
        <f ca="1"/>
      </c>
      <c r="AL285">
        <f ca="1"/>
      </c>
      <c r="AM285">
        <f ca="1"/>
      </c>
      <c r="AN285">
        <f ca="1"/>
      </c>
      <c r="AO285">
        <f ca="1"/>
      </c>
      <c r="AP285">
        <f ca="1"/>
      </c>
      <c r="AQ285">
        <f ca="1"/>
      </c>
      <c r="AR285">
        <f ca="1"/>
      </c>
      <c r="AT285" s="7">
        <f ca="1"/>
      </c>
      <c r="AU285">
        <f ca="1"/>
      </c>
      <c r="AV285">
        <f ca="1"/>
      </c>
      <c r="AW285">
        <f ca="1"/>
      </c>
      <c r="AX285">
        <f ca="1"/>
      </c>
      <c r="AY285">
        <f ca="1"/>
      </c>
      <c r="BA285" s="7">
        <f ca="1"/>
      </c>
      <c r="BB285">
        <f ca="1"/>
      </c>
      <c r="BC285">
        <f ca="1"/>
      </c>
      <c r="BD285">
        <f ca="1"/>
      </c>
      <c r="BE285">
        <f ca="1"/>
      </c>
    </row>
    <row r="286" spans="31:57" x14ac:dyDescent="0.55000000000000004">
      <c r="AE286" s="7">
        <f ca="1"/>
      </c>
      <c r="AF286">
        <f ca="1"/>
      </c>
      <c r="AG286">
        <f ca="1"/>
      </c>
      <c r="AH286">
        <f ca="1"/>
      </c>
      <c r="AI286">
        <f ca="1"/>
      </c>
      <c r="AJ286">
        <f ca="1"/>
      </c>
      <c r="AK286">
        <f ca="1"/>
      </c>
      <c r="AL286">
        <f ca="1"/>
      </c>
      <c r="AM286">
        <f ca="1"/>
      </c>
      <c r="AN286">
        <f ca="1"/>
      </c>
      <c r="AO286">
        <f ca="1"/>
      </c>
      <c r="AP286">
        <f ca="1"/>
      </c>
      <c r="AQ286">
        <f ca="1"/>
      </c>
      <c r="AR286">
        <f ca="1"/>
      </c>
      <c r="AT286" s="7">
        <f ca="1"/>
      </c>
      <c r="AU286">
        <f ca="1"/>
      </c>
      <c r="AV286">
        <f ca="1"/>
      </c>
      <c r="AW286">
        <f ca="1"/>
      </c>
      <c r="AX286">
        <f ca="1"/>
      </c>
      <c r="AY286">
        <f ca="1"/>
      </c>
      <c r="BA286" s="7">
        <f ca="1"/>
      </c>
      <c r="BB286">
        <f ca="1"/>
      </c>
      <c r="BC286">
        <f ca="1"/>
      </c>
      <c r="BD286">
        <f ca="1"/>
      </c>
      <c r="BE286">
        <f ca="1"/>
      </c>
    </row>
    <row r="287" spans="31:57" x14ac:dyDescent="0.55000000000000004">
      <c r="AE287" s="7">
        <f ca="1"/>
      </c>
      <c r="AF287">
        <f ca="1"/>
      </c>
      <c r="AG287">
        <f ca="1"/>
      </c>
      <c r="AH287">
        <f ca="1"/>
      </c>
      <c r="AI287">
        <f ca="1"/>
      </c>
      <c r="AJ287">
        <f ca="1"/>
      </c>
      <c r="AK287">
        <f ca="1"/>
      </c>
      <c r="AL287">
        <f ca="1"/>
      </c>
      <c r="AM287">
        <f ca="1"/>
      </c>
      <c r="AN287">
        <f ca="1"/>
      </c>
      <c r="AO287">
        <f ca="1"/>
      </c>
      <c r="AP287">
        <f ca="1"/>
      </c>
      <c r="AQ287">
        <f ca="1"/>
      </c>
      <c r="AR287">
        <f ca="1"/>
      </c>
      <c r="AT287" s="7">
        <f ca="1"/>
      </c>
      <c r="AU287">
        <f ca="1"/>
      </c>
      <c r="AV287">
        <f ca="1"/>
      </c>
      <c r="AW287">
        <f ca="1"/>
      </c>
      <c r="AX287">
        <f ca="1"/>
      </c>
      <c r="AY287">
        <f ca="1"/>
      </c>
      <c r="BA287" s="7">
        <f ca="1"/>
      </c>
      <c r="BB287">
        <f ca="1"/>
      </c>
      <c r="BC287">
        <f ca="1"/>
      </c>
      <c r="BD287">
        <f ca="1"/>
      </c>
      <c r="BE287">
        <f ca="1"/>
      </c>
    </row>
    <row r="288" spans="31:57" x14ac:dyDescent="0.55000000000000004">
      <c r="AE288" s="7">
        <f ca="1"/>
      </c>
      <c r="AF288">
        <f ca="1"/>
      </c>
      <c r="AG288">
        <f ca="1"/>
      </c>
      <c r="AH288">
        <f ca="1"/>
      </c>
      <c r="AI288">
        <f ca="1"/>
      </c>
      <c r="AJ288">
        <f ca="1"/>
      </c>
      <c r="AK288">
        <f ca="1"/>
      </c>
      <c r="AL288">
        <f ca="1"/>
      </c>
      <c r="AM288">
        <f ca="1"/>
      </c>
      <c r="AN288">
        <f ca="1"/>
      </c>
      <c r="AO288">
        <f ca="1"/>
      </c>
      <c r="AP288">
        <f ca="1"/>
      </c>
      <c r="AQ288">
        <f ca="1"/>
      </c>
      <c r="AR288">
        <f ca="1"/>
      </c>
      <c r="AT288" s="7">
        <f ca="1"/>
      </c>
      <c r="AU288">
        <f ca="1"/>
      </c>
      <c r="AV288">
        <f ca="1"/>
      </c>
      <c r="AW288">
        <f ca="1"/>
      </c>
      <c r="AX288">
        <f ca="1"/>
      </c>
      <c r="AY288">
        <f ca="1"/>
      </c>
      <c r="BA288" s="7">
        <f ca="1"/>
      </c>
      <c r="BB288">
        <f ca="1"/>
      </c>
      <c r="BC288">
        <f ca="1"/>
      </c>
      <c r="BD288">
        <f ca="1"/>
      </c>
      <c r="BE288">
        <f ca="1"/>
      </c>
    </row>
    <row r="289" spans="31:57" x14ac:dyDescent="0.55000000000000004">
      <c r="AE289" s="7">
        <f ca="1"/>
      </c>
      <c r="AF289">
        <f ca="1"/>
      </c>
      <c r="AG289">
        <f ca="1"/>
      </c>
      <c r="AH289">
        <f ca="1"/>
      </c>
      <c r="AI289">
        <f ca="1"/>
      </c>
      <c r="AJ289">
        <f ca="1"/>
      </c>
      <c r="AK289">
        <f ca="1"/>
      </c>
      <c r="AL289">
        <f ca="1"/>
      </c>
      <c r="AM289">
        <f ca="1"/>
      </c>
      <c r="AN289">
        <f ca="1"/>
      </c>
      <c r="AO289">
        <f ca="1"/>
      </c>
      <c r="AP289">
        <f ca="1"/>
      </c>
      <c r="AQ289">
        <f ca="1"/>
      </c>
      <c r="AR289">
        <f ca="1"/>
      </c>
      <c r="AT289" s="7">
        <f ca="1"/>
      </c>
      <c r="AU289">
        <f ca="1"/>
      </c>
      <c r="AV289">
        <f ca="1"/>
      </c>
      <c r="AW289">
        <f ca="1"/>
      </c>
      <c r="AX289">
        <f ca="1"/>
      </c>
      <c r="AY289">
        <f ca="1"/>
      </c>
      <c r="BA289" s="7">
        <f ca="1"/>
      </c>
      <c r="BB289">
        <f ca="1"/>
      </c>
      <c r="BC289">
        <f ca="1"/>
      </c>
      <c r="BD289">
        <f ca="1"/>
      </c>
      <c r="BE289">
        <f ca="1"/>
      </c>
    </row>
    <row r="290" spans="31:57" x14ac:dyDescent="0.55000000000000004">
      <c r="AE290" s="7">
        <f ca="1"/>
      </c>
      <c r="AF290">
        <f ca="1"/>
      </c>
      <c r="AG290">
        <f ca="1"/>
      </c>
      <c r="AH290">
        <f ca="1"/>
      </c>
      <c r="AI290">
        <f ca="1"/>
      </c>
      <c r="AJ290">
        <f ca="1"/>
      </c>
      <c r="AK290">
        <f ca="1"/>
      </c>
      <c r="AL290">
        <f ca="1"/>
      </c>
      <c r="AM290">
        <f ca="1"/>
      </c>
      <c r="AN290">
        <f ca="1"/>
      </c>
      <c r="AO290">
        <f ca="1"/>
      </c>
      <c r="AP290">
        <f ca="1"/>
      </c>
      <c r="AQ290">
        <f ca="1"/>
      </c>
      <c r="AR290">
        <f ca="1"/>
      </c>
      <c r="AT290" s="7">
        <f ca="1"/>
      </c>
      <c r="AU290">
        <f ca="1"/>
      </c>
      <c r="AV290">
        <f ca="1"/>
      </c>
      <c r="AW290">
        <f ca="1"/>
      </c>
      <c r="AX290">
        <f ca="1"/>
      </c>
      <c r="AY290">
        <f ca="1"/>
      </c>
      <c r="BA290" s="7">
        <f ca="1"/>
      </c>
      <c r="BB290">
        <f ca="1"/>
      </c>
      <c r="BC290">
        <f ca="1"/>
      </c>
      <c r="BD290">
        <f ca="1"/>
      </c>
      <c r="BE290">
        <f ca="1"/>
      </c>
    </row>
    <row r="291" spans="31:57" x14ac:dyDescent="0.55000000000000004">
      <c r="AE291" s="7">
        <f ca="1"/>
      </c>
      <c r="AF291">
        <f ca="1"/>
      </c>
      <c r="AG291">
        <f ca="1"/>
      </c>
      <c r="AH291">
        <f ca="1"/>
      </c>
      <c r="AI291">
        <f ca="1"/>
      </c>
      <c r="AJ291">
        <f ca="1"/>
      </c>
      <c r="AK291">
        <f ca="1"/>
      </c>
      <c r="AL291">
        <f ca="1"/>
      </c>
      <c r="AM291">
        <f ca="1"/>
      </c>
      <c r="AN291">
        <f ca="1"/>
      </c>
      <c r="AO291">
        <f ca="1"/>
      </c>
      <c r="AP291">
        <f ca="1"/>
      </c>
      <c r="AQ291">
        <f ca="1"/>
      </c>
      <c r="AR291">
        <f ca="1"/>
      </c>
      <c r="AT291" s="7">
        <f ca="1"/>
      </c>
      <c r="AU291">
        <f ca="1"/>
      </c>
      <c r="AV291">
        <f ca="1"/>
      </c>
      <c r="AW291">
        <f ca="1"/>
      </c>
      <c r="AX291">
        <f ca="1"/>
      </c>
      <c r="AY291">
        <f ca="1"/>
      </c>
      <c r="BA291" s="7">
        <f ca="1"/>
      </c>
      <c r="BB291">
        <f ca="1"/>
      </c>
      <c r="BC291">
        <f ca="1"/>
      </c>
      <c r="BD291">
        <f ca="1"/>
      </c>
      <c r="BE291">
        <f ca="1"/>
      </c>
    </row>
    <row r="292" spans="31:57" x14ac:dyDescent="0.55000000000000004">
      <c r="AE292" s="7">
        <f ca="1"/>
      </c>
      <c r="AF292">
        <f ca="1"/>
      </c>
      <c r="AG292">
        <f ca="1"/>
      </c>
      <c r="AH292">
        <f ca="1"/>
      </c>
      <c r="AI292">
        <f ca="1"/>
      </c>
      <c r="AJ292">
        <f ca="1"/>
      </c>
      <c r="AK292">
        <f ca="1"/>
      </c>
      <c r="AL292">
        <f ca="1"/>
      </c>
      <c r="AM292">
        <f ca="1"/>
      </c>
      <c r="AN292">
        <f ca="1"/>
      </c>
      <c r="AO292">
        <f ca="1"/>
      </c>
      <c r="AP292">
        <f ca="1"/>
      </c>
      <c r="AQ292">
        <f ca="1"/>
      </c>
      <c r="AR292">
        <f ca="1"/>
      </c>
      <c r="AT292" s="7">
        <f ca="1"/>
      </c>
      <c r="AU292">
        <f ca="1"/>
      </c>
      <c r="AV292">
        <f ca="1"/>
      </c>
      <c r="AW292">
        <f ca="1"/>
      </c>
      <c r="AX292">
        <f ca="1"/>
      </c>
      <c r="AY292">
        <f ca="1"/>
      </c>
      <c r="BA292" s="7">
        <f ca="1"/>
      </c>
      <c r="BB292">
        <f ca="1"/>
      </c>
      <c r="BC292">
        <f ca="1"/>
      </c>
      <c r="BD292">
        <f ca="1"/>
      </c>
      <c r="BE292">
        <f ca="1"/>
      </c>
    </row>
    <row r="293" spans="31:57" x14ac:dyDescent="0.55000000000000004">
      <c r="AE293" s="7">
        <f ca="1"/>
      </c>
      <c r="AF293">
        <f ca="1"/>
      </c>
      <c r="AG293">
        <f ca="1"/>
      </c>
      <c r="AH293">
        <f ca="1"/>
      </c>
      <c r="AI293">
        <f ca="1"/>
      </c>
      <c r="AJ293">
        <f ca="1"/>
      </c>
      <c r="AK293">
        <f ca="1"/>
      </c>
      <c r="AL293">
        <f ca="1"/>
      </c>
      <c r="AM293">
        <f ca="1"/>
      </c>
      <c r="AN293">
        <f ca="1"/>
      </c>
      <c r="AO293">
        <f ca="1"/>
      </c>
      <c r="AP293">
        <f ca="1"/>
      </c>
      <c r="AQ293">
        <f ca="1"/>
      </c>
      <c r="AR293">
        <f ca="1"/>
      </c>
      <c r="AT293" s="7">
        <f ca="1"/>
      </c>
      <c r="AU293">
        <f ca="1"/>
      </c>
      <c r="AV293">
        <f ca="1"/>
      </c>
      <c r="AW293">
        <f ca="1"/>
      </c>
      <c r="AX293">
        <f ca="1"/>
      </c>
      <c r="AY293">
        <f ca="1"/>
      </c>
      <c r="BA293" s="7">
        <f ca="1"/>
      </c>
      <c r="BB293">
        <f ca="1"/>
      </c>
      <c r="BC293">
        <f ca="1"/>
      </c>
      <c r="BD293">
        <f ca="1"/>
      </c>
      <c r="BE293">
        <f ca="1"/>
      </c>
    </row>
    <row r="294" spans="31:57" x14ac:dyDescent="0.55000000000000004">
      <c r="AE294" s="7">
        <f ca="1"/>
      </c>
      <c r="AF294">
        <f ca="1"/>
      </c>
      <c r="AG294">
        <f ca="1"/>
      </c>
      <c r="AH294">
        <f ca="1"/>
      </c>
      <c r="AI294">
        <f ca="1"/>
      </c>
      <c r="AJ294">
        <f ca="1"/>
      </c>
      <c r="AK294">
        <f ca="1"/>
      </c>
      <c r="AL294">
        <f ca="1"/>
      </c>
      <c r="AM294">
        <f ca="1"/>
      </c>
      <c r="AN294">
        <f ca="1"/>
      </c>
      <c r="AO294">
        <f ca="1"/>
      </c>
      <c r="AP294">
        <f ca="1"/>
      </c>
      <c r="AQ294">
        <f ca="1"/>
      </c>
      <c r="AR294">
        <f ca="1"/>
      </c>
      <c r="AT294" s="7">
        <f ca="1"/>
      </c>
      <c r="AU294">
        <f ca="1"/>
      </c>
      <c r="AV294">
        <f ca="1"/>
      </c>
      <c r="AW294">
        <f ca="1"/>
      </c>
      <c r="AX294">
        <f ca="1"/>
      </c>
      <c r="AY294">
        <f ca="1"/>
      </c>
      <c r="BA294" s="7">
        <f ca="1"/>
      </c>
      <c r="BB294">
        <f ca="1"/>
      </c>
      <c r="BC294">
        <f ca="1"/>
      </c>
      <c r="BD294">
        <f ca="1"/>
      </c>
      <c r="BE294">
        <f ca="1"/>
      </c>
    </row>
    <row r="295" spans="31:57" x14ac:dyDescent="0.55000000000000004">
      <c r="AE295" s="7">
        <f ca="1"/>
      </c>
      <c r="AF295">
        <f ca="1"/>
      </c>
      <c r="AG295">
        <f ca="1"/>
      </c>
      <c r="AH295">
        <f ca="1"/>
      </c>
      <c r="AI295">
        <f ca="1"/>
      </c>
      <c r="AJ295">
        <f ca="1"/>
      </c>
      <c r="AK295">
        <f ca="1"/>
      </c>
      <c r="AL295">
        <f ca="1"/>
      </c>
      <c r="AM295">
        <f ca="1"/>
      </c>
      <c r="AN295">
        <f ca="1"/>
      </c>
      <c r="AO295">
        <f ca="1"/>
      </c>
      <c r="AP295">
        <f ca="1"/>
      </c>
      <c r="AQ295">
        <f ca="1"/>
      </c>
      <c r="AR295">
        <f ca="1"/>
      </c>
      <c r="AT295" s="7">
        <f ca="1"/>
      </c>
      <c r="AU295">
        <f ca="1"/>
      </c>
      <c r="AV295">
        <f ca="1"/>
      </c>
      <c r="AW295">
        <f ca="1"/>
      </c>
      <c r="AX295">
        <f ca="1"/>
      </c>
      <c r="AY295">
        <f ca="1"/>
      </c>
      <c r="BA295" s="7">
        <f ca="1"/>
      </c>
      <c r="BB295">
        <f ca="1"/>
      </c>
      <c r="BC295">
        <f ca="1"/>
      </c>
      <c r="BD295">
        <f ca="1"/>
      </c>
      <c r="BE295">
        <f ca="1"/>
      </c>
    </row>
    <row r="296" spans="31:57" x14ac:dyDescent="0.55000000000000004">
      <c r="AE296" s="7">
        <f ca="1"/>
      </c>
      <c r="AF296">
        <f ca="1"/>
      </c>
      <c r="AG296">
        <f ca="1"/>
      </c>
      <c r="AH296">
        <f ca="1"/>
      </c>
      <c r="AI296">
        <f ca="1"/>
      </c>
      <c r="AJ296">
        <f ca="1"/>
      </c>
      <c r="AK296">
        <f ca="1"/>
      </c>
      <c r="AL296">
        <f ca="1"/>
      </c>
      <c r="AM296">
        <f ca="1"/>
      </c>
      <c r="AN296">
        <f ca="1"/>
      </c>
      <c r="AO296">
        <f ca="1"/>
      </c>
      <c r="AP296">
        <f ca="1"/>
      </c>
      <c r="AQ296">
        <f ca="1"/>
      </c>
      <c r="AR296">
        <f ca="1"/>
      </c>
      <c r="AT296" s="7">
        <f ca="1"/>
      </c>
      <c r="AU296">
        <f ca="1"/>
      </c>
      <c r="AV296">
        <f ca="1"/>
      </c>
      <c r="AW296">
        <f ca="1"/>
      </c>
      <c r="AX296">
        <f ca="1"/>
      </c>
      <c r="AY296">
        <f ca="1"/>
      </c>
      <c r="BA296" s="7">
        <f ca="1"/>
      </c>
      <c r="BB296">
        <f ca="1"/>
      </c>
      <c r="BC296">
        <f ca="1"/>
      </c>
      <c r="BD296">
        <f ca="1"/>
      </c>
      <c r="BE296">
        <f ca="1"/>
      </c>
    </row>
    <row r="297" spans="31:57" x14ac:dyDescent="0.55000000000000004">
      <c r="AE297" s="7">
        <f ca="1"/>
      </c>
      <c r="AF297">
        <f ca="1"/>
      </c>
      <c r="AG297">
        <f ca="1"/>
      </c>
      <c r="AH297">
        <f ca="1"/>
      </c>
      <c r="AI297">
        <f ca="1"/>
      </c>
      <c r="AJ297">
        <f ca="1"/>
      </c>
      <c r="AK297">
        <f ca="1"/>
      </c>
      <c r="AL297">
        <f ca="1"/>
      </c>
      <c r="AM297">
        <f ca="1"/>
      </c>
      <c r="AN297">
        <f ca="1"/>
      </c>
      <c r="AO297">
        <f ca="1"/>
      </c>
      <c r="AP297">
        <f ca="1"/>
      </c>
      <c r="AQ297">
        <f ca="1"/>
      </c>
      <c r="AR297">
        <f ca="1"/>
      </c>
      <c r="AT297" s="7">
        <f ca="1"/>
      </c>
      <c r="AU297">
        <f ca="1"/>
      </c>
      <c r="AV297">
        <f ca="1"/>
      </c>
      <c r="AW297">
        <f ca="1"/>
      </c>
      <c r="AX297">
        <f ca="1"/>
      </c>
      <c r="AY297">
        <f ca="1"/>
      </c>
      <c r="BA297" s="7">
        <f ca="1"/>
      </c>
      <c r="BB297">
        <f ca="1"/>
      </c>
      <c r="BC297">
        <f ca="1"/>
      </c>
      <c r="BD297">
        <f ca="1"/>
      </c>
      <c r="BE297">
        <f ca="1"/>
      </c>
    </row>
    <row r="298" spans="31:57" x14ac:dyDescent="0.55000000000000004">
      <c r="AE298" s="7">
        <f ca="1"/>
      </c>
      <c r="AF298">
        <f ca="1"/>
      </c>
      <c r="AG298">
        <f ca="1"/>
      </c>
      <c r="AH298">
        <f ca="1"/>
      </c>
      <c r="AI298">
        <f ca="1"/>
      </c>
      <c r="AJ298">
        <f ca="1"/>
      </c>
      <c r="AK298">
        <f ca="1"/>
      </c>
      <c r="AL298">
        <f ca="1"/>
      </c>
      <c r="AM298">
        <f ca="1"/>
      </c>
      <c r="AN298">
        <f ca="1"/>
      </c>
      <c r="AO298">
        <f ca="1"/>
      </c>
      <c r="AP298">
        <f ca="1"/>
      </c>
      <c r="AQ298">
        <f ca="1"/>
      </c>
      <c r="AR298">
        <f ca="1"/>
      </c>
      <c r="AT298" s="7">
        <f ca="1"/>
      </c>
      <c r="AU298">
        <f ca="1"/>
      </c>
      <c r="AV298">
        <f ca="1"/>
      </c>
      <c r="AW298">
        <f ca="1"/>
      </c>
      <c r="AX298">
        <f ca="1"/>
      </c>
      <c r="AY298">
        <f ca="1"/>
      </c>
      <c r="BA298" s="7">
        <f ca="1"/>
      </c>
      <c r="BB298">
        <f ca="1"/>
      </c>
      <c r="BC298">
        <f ca="1"/>
      </c>
      <c r="BD298">
        <f ca="1"/>
      </c>
      <c r="BE298">
        <f ca="1"/>
      </c>
    </row>
    <row r="299" spans="31:57" x14ac:dyDescent="0.55000000000000004">
      <c r="AE299" s="7">
        <f ca="1"/>
      </c>
      <c r="AF299">
        <f ca="1"/>
      </c>
      <c r="AG299">
        <f ca="1"/>
      </c>
      <c r="AH299">
        <f ca="1"/>
      </c>
      <c r="AI299">
        <f ca="1"/>
      </c>
      <c r="AJ299">
        <f ca="1"/>
      </c>
      <c r="AK299">
        <f ca="1"/>
      </c>
      <c r="AL299">
        <f ca="1"/>
      </c>
      <c r="AM299">
        <f ca="1"/>
      </c>
      <c r="AN299">
        <f ca="1"/>
      </c>
      <c r="AO299">
        <f ca="1"/>
      </c>
      <c r="AP299">
        <f ca="1"/>
      </c>
      <c r="AQ299">
        <f ca="1"/>
      </c>
      <c r="AR299">
        <f ca="1"/>
      </c>
      <c r="AT299" s="7">
        <f ca="1"/>
      </c>
      <c r="AU299">
        <f ca="1"/>
      </c>
      <c r="AV299">
        <f ca="1"/>
      </c>
      <c r="AW299">
        <f ca="1"/>
      </c>
      <c r="AX299">
        <f ca="1"/>
      </c>
      <c r="AY299">
        <f ca="1"/>
      </c>
      <c r="BA299" s="7">
        <f ca="1"/>
      </c>
      <c r="BB299">
        <f ca="1"/>
      </c>
      <c r="BC299">
        <f ca="1"/>
      </c>
      <c r="BD299">
        <f ca="1"/>
      </c>
      <c r="BE299">
        <f ca="1"/>
      </c>
    </row>
    <row r="300" spans="31:57" x14ac:dyDescent="0.55000000000000004">
      <c r="AE300" s="7">
        <f ca="1"/>
      </c>
      <c r="AF300">
        <f ca="1"/>
      </c>
      <c r="AG300">
        <f ca="1"/>
      </c>
      <c r="AH300">
        <f ca="1"/>
      </c>
      <c r="AI300">
        <f ca="1"/>
      </c>
      <c r="AJ300">
        <f ca="1"/>
      </c>
      <c r="AK300">
        <f ca="1"/>
      </c>
      <c r="AL300">
        <f ca="1"/>
      </c>
      <c r="AM300">
        <f ca="1"/>
      </c>
      <c r="AN300">
        <f ca="1"/>
      </c>
      <c r="AO300">
        <f ca="1"/>
      </c>
      <c r="AP300">
        <f ca="1"/>
      </c>
      <c r="AQ300">
        <f ca="1"/>
      </c>
      <c r="AR300">
        <f ca="1"/>
      </c>
      <c r="AT300" s="7">
        <f ca="1"/>
      </c>
      <c r="AU300">
        <f ca="1"/>
      </c>
      <c r="AV300">
        <f ca="1"/>
      </c>
      <c r="AW300">
        <f ca="1"/>
      </c>
      <c r="AX300">
        <f ca="1"/>
      </c>
      <c r="AY300">
        <f ca="1"/>
      </c>
      <c r="BA300" s="7">
        <f ca="1"/>
      </c>
      <c r="BB300">
        <f ca="1"/>
      </c>
      <c r="BC300">
        <f ca="1"/>
      </c>
      <c r="BD300">
        <f ca="1"/>
      </c>
      <c r="BE300">
        <f ca="1"/>
      </c>
    </row>
    <row r="301" spans="31:57" x14ac:dyDescent="0.55000000000000004">
      <c r="AE301" s="7">
        <f ca="1"/>
      </c>
      <c r="AF301">
        <f ca="1"/>
      </c>
      <c r="AG301">
        <f ca="1"/>
      </c>
      <c r="AH301">
        <f ca="1"/>
      </c>
      <c r="AI301">
        <f ca="1"/>
      </c>
      <c r="AJ301">
        <f ca="1"/>
      </c>
      <c r="AK301">
        <f ca="1"/>
      </c>
      <c r="AL301">
        <f ca="1"/>
      </c>
      <c r="AM301">
        <f ca="1"/>
      </c>
      <c r="AN301">
        <f ca="1"/>
      </c>
      <c r="AO301">
        <f ca="1"/>
      </c>
      <c r="AP301">
        <f ca="1"/>
      </c>
      <c r="AQ301">
        <f ca="1"/>
      </c>
      <c r="AR301">
        <f ca="1"/>
      </c>
      <c r="AT301" s="7">
        <f ca="1"/>
      </c>
      <c r="AU301">
        <f ca="1"/>
      </c>
      <c r="AV301">
        <f ca="1"/>
      </c>
      <c r="AW301">
        <f ca="1"/>
      </c>
      <c r="AX301">
        <f ca="1"/>
      </c>
      <c r="AY301">
        <f ca="1"/>
      </c>
      <c r="BA301" s="7">
        <f ca="1"/>
      </c>
      <c r="BB301">
        <f ca="1"/>
      </c>
      <c r="BC301">
        <f ca="1"/>
      </c>
      <c r="BD301">
        <f ca="1"/>
      </c>
      <c r="BE301">
        <f ca="1"/>
      </c>
    </row>
    <row r="302" spans="31:57" x14ac:dyDescent="0.55000000000000004">
      <c r="AE302" s="7">
        <f ca="1"/>
      </c>
      <c r="AF302">
        <f ca="1"/>
      </c>
      <c r="AG302">
        <f ca="1"/>
      </c>
      <c r="AH302">
        <f ca="1"/>
      </c>
      <c r="AI302">
        <f ca="1"/>
      </c>
      <c r="AJ302">
        <f ca="1"/>
      </c>
      <c r="AK302">
        <f ca="1"/>
      </c>
      <c r="AL302">
        <f ca="1"/>
      </c>
      <c r="AM302">
        <f ca="1"/>
      </c>
      <c r="AN302">
        <f ca="1"/>
      </c>
      <c r="AO302">
        <f ca="1"/>
      </c>
      <c r="AP302">
        <f ca="1"/>
      </c>
      <c r="AQ302">
        <f ca="1"/>
      </c>
      <c r="AR302">
        <f ca="1"/>
      </c>
      <c r="AT302" s="7">
        <f ca="1"/>
      </c>
      <c r="AU302">
        <f ca="1"/>
      </c>
      <c r="AV302">
        <f ca="1"/>
      </c>
      <c r="AW302">
        <f ca="1"/>
      </c>
      <c r="AX302">
        <f ca="1"/>
      </c>
      <c r="AY302">
        <f ca="1"/>
      </c>
      <c r="BA302" s="7">
        <f ca="1"/>
      </c>
      <c r="BB302">
        <f ca="1"/>
      </c>
      <c r="BC302">
        <f ca="1"/>
      </c>
      <c r="BD302">
        <f ca="1"/>
      </c>
      <c r="BE302">
        <f ca="1"/>
      </c>
    </row>
    <row r="303" spans="31:57" x14ac:dyDescent="0.55000000000000004">
      <c r="AE303" s="7">
        <f ca="1"/>
      </c>
      <c r="AF303">
        <f ca="1"/>
      </c>
      <c r="AG303">
        <f ca="1"/>
      </c>
      <c r="AH303">
        <f ca="1"/>
      </c>
      <c r="AI303">
        <f ca="1"/>
      </c>
      <c r="AJ303">
        <f ca="1"/>
      </c>
      <c r="AK303">
        <f ca="1"/>
      </c>
      <c r="AL303">
        <f ca="1"/>
      </c>
      <c r="AM303">
        <f ca="1"/>
      </c>
      <c r="AN303">
        <f ca="1"/>
      </c>
      <c r="AO303">
        <f ca="1"/>
      </c>
      <c r="AP303">
        <f ca="1"/>
      </c>
      <c r="AQ303">
        <f ca="1"/>
      </c>
      <c r="AR303">
        <f ca="1"/>
      </c>
      <c r="AT303" s="7">
        <f ca="1"/>
      </c>
      <c r="AU303">
        <f ca="1"/>
      </c>
      <c r="AV303">
        <f ca="1"/>
      </c>
      <c r="AW303">
        <f ca="1"/>
      </c>
      <c r="AX303">
        <f ca="1"/>
      </c>
      <c r="AY303">
        <f ca="1"/>
      </c>
      <c r="BA303" s="7">
        <f ca="1"/>
      </c>
      <c r="BB303">
        <f ca="1"/>
      </c>
      <c r="BC303">
        <f ca="1"/>
      </c>
      <c r="BD303">
        <f ca="1"/>
      </c>
      <c r="BE303">
        <f ca="1"/>
      </c>
    </row>
    <row r="304" spans="31:57" x14ac:dyDescent="0.55000000000000004">
      <c r="AE304" s="7">
        <f ca="1"/>
      </c>
      <c r="AF304">
        <f ca="1"/>
      </c>
      <c r="AG304">
        <f ca="1"/>
      </c>
      <c r="AH304">
        <f ca="1"/>
      </c>
      <c r="AI304">
        <f ca="1"/>
      </c>
      <c r="AJ304">
        <f ca="1"/>
      </c>
      <c r="AK304">
        <f ca="1"/>
      </c>
      <c r="AL304">
        <f ca="1"/>
      </c>
      <c r="AM304">
        <f ca="1"/>
      </c>
      <c r="AN304">
        <f ca="1"/>
      </c>
      <c r="AO304">
        <f ca="1"/>
      </c>
      <c r="AP304">
        <f ca="1"/>
      </c>
      <c r="AQ304">
        <f ca="1"/>
      </c>
      <c r="AR304">
        <f ca="1"/>
      </c>
      <c r="AT304" s="7">
        <f ca="1"/>
      </c>
      <c r="AU304">
        <f ca="1"/>
      </c>
      <c r="AV304">
        <f ca="1"/>
      </c>
      <c r="AW304">
        <f ca="1"/>
      </c>
      <c r="AX304">
        <f ca="1"/>
      </c>
      <c r="AY304">
        <f ca="1"/>
      </c>
      <c r="BA304" s="7">
        <f ca="1"/>
      </c>
      <c r="BB304">
        <f ca="1"/>
      </c>
      <c r="BC304">
        <f ca="1"/>
      </c>
      <c r="BD304">
        <f ca="1"/>
      </c>
      <c r="BE304">
        <f ca="1"/>
      </c>
    </row>
    <row r="305" spans="31:57" x14ac:dyDescent="0.55000000000000004">
      <c r="AE305" s="7">
        <f ca="1"/>
      </c>
      <c r="AF305">
        <f ca="1"/>
      </c>
      <c r="AG305">
        <f ca="1"/>
      </c>
      <c r="AH305">
        <f ca="1"/>
      </c>
      <c r="AI305">
        <f ca="1"/>
      </c>
      <c r="AJ305">
        <f ca="1"/>
      </c>
      <c r="AK305">
        <f ca="1"/>
      </c>
      <c r="AL305">
        <f ca="1"/>
      </c>
      <c r="AM305">
        <f ca="1"/>
      </c>
      <c r="AN305">
        <f ca="1"/>
      </c>
      <c r="AO305">
        <f ca="1"/>
      </c>
      <c r="AP305">
        <f ca="1"/>
      </c>
      <c r="AQ305">
        <f ca="1"/>
      </c>
      <c r="AR305">
        <f ca="1"/>
      </c>
      <c r="AT305" s="7">
        <f ca="1"/>
      </c>
      <c r="AU305">
        <f ca="1"/>
      </c>
      <c r="AV305">
        <f ca="1"/>
      </c>
      <c r="AW305">
        <f ca="1"/>
      </c>
      <c r="AX305">
        <f ca="1"/>
      </c>
      <c r="AY305">
        <f ca="1"/>
      </c>
      <c r="BA305" s="7">
        <f ca="1"/>
      </c>
      <c r="BB305">
        <f ca="1"/>
      </c>
      <c r="BC305">
        <f ca="1"/>
      </c>
      <c r="BD305">
        <f ca="1"/>
      </c>
      <c r="BE305">
        <f ca="1"/>
      </c>
    </row>
    <row r="306" spans="31:57" x14ac:dyDescent="0.55000000000000004">
      <c r="AE306" s="7">
        <f ca="1"/>
      </c>
      <c r="AF306">
        <f ca="1"/>
      </c>
      <c r="AG306">
        <f ca="1"/>
      </c>
      <c r="AH306">
        <f ca="1"/>
      </c>
      <c r="AI306">
        <f ca="1"/>
      </c>
      <c r="AJ306">
        <f ca="1"/>
      </c>
      <c r="AK306">
        <f ca="1"/>
      </c>
      <c r="AL306">
        <f ca="1"/>
      </c>
      <c r="AM306">
        <f ca="1"/>
      </c>
      <c r="AN306">
        <f ca="1"/>
      </c>
      <c r="AO306">
        <f ca="1"/>
      </c>
      <c r="AP306">
        <f ca="1"/>
      </c>
      <c r="AQ306">
        <f ca="1"/>
      </c>
      <c r="AR306">
        <f ca="1"/>
      </c>
      <c r="AT306" s="7">
        <f ca="1"/>
      </c>
      <c r="AU306">
        <f ca="1"/>
      </c>
      <c r="AV306">
        <f ca="1"/>
      </c>
      <c r="AW306">
        <f ca="1"/>
      </c>
      <c r="AX306">
        <f ca="1"/>
      </c>
      <c r="AY306">
        <f ca="1"/>
      </c>
      <c r="BA306" s="7">
        <f ca="1"/>
      </c>
      <c r="BB306">
        <f ca="1"/>
      </c>
      <c r="BC306">
        <f ca="1"/>
      </c>
      <c r="BD306">
        <f ca="1"/>
      </c>
      <c r="BE306">
        <f ca="1"/>
      </c>
    </row>
    <row r="307" spans="31:57" x14ac:dyDescent="0.55000000000000004">
      <c r="AE307" s="7">
        <f ca="1"/>
      </c>
      <c r="AF307">
        <f ca="1"/>
      </c>
      <c r="AG307">
        <f ca="1"/>
      </c>
      <c r="AH307">
        <f ca="1"/>
      </c>
      <c r="AI307">
        <f ca="1"/>
      </c>
      <c r="AJ307">
        <f ca="1"/>
      </c>
      <c r="AK307">
        <f ca="1"/>
      </c>
      <c r="AL307">
        <f ca="1"/>
      </c>
      <c r="AM307">
        <f ca="1"/>
      </c>
      <c r="AN307">
        <f ca="1"/>
      </c>
      <c r="AO307">
        <f ca="1"/>
      </c>
      <c r="AP307">
        <f ca="1"/>
      </c>
      <c r="AQ307">
        <f ca="1"/>
      </c>
      <c r="AR307">
        <f ca="1"/>
      </c>
      <c r="AT307" s="7">
        <f ca="1"/>
      </c>
      <c r="AU307">
        <f ca="1"/>
      </c>
      <c r="AV307">
        <f ca="1"/>
      </c>
      <c r="AW307">
        <f ca="1"/>
      </c>
      <c r="AX307">
        <f ca="1"/>
      </c>
      <c r="AY307">
        <f ca="1"/>
      </c>
      <c r="BA307" s="7">
        <f ca="1"/>
      </c>
      <c r="BB307">
        <f ca="1"/>
      </c>
      <c r="BC307">
        <f ca="1"/>
      </c>
      <c r="BD307">
        <f ca="1"/>
      </c>
      <c r="BE307">
        <f ca="1"/>
      </c>
    </row>
    <row r="308" spans="31:57" x14ac:dyDescent="0.55000000000000004">
      <c r="AE308" s="7">
        <f ca="1"/>
      </c>
      <c r="AF308">
        <f ca="1"/>
      </c>
      <c r="AG308">
        <f ca="1"/>
      </c>
      <c r="AH308">
        <f ca="1"/>
      </c>
      <c r="AI308">
        <f ca="1"/>
      </c>
      <c r="AJ308">
        <f ca="1"/>
      </c>
      <c r="AK308">
        <f ca="1"/>
      </c>
      <c r="AL308">
        <f ca="1"/>
      </c>
      <c r="AM308">
        <f ca="1"/>
      </c>
      <c r="AN308">
        <f ca="1"/>
      </c>
      <c r="AO308">
        <f ca="1"/>
      </c>
      <c r="AP308">
        <f ca="1"/>
      </c>
      <c r="AQ308">
        <f ca="1"/>
      </c>
      <c r="AR308">
        <f ca="1"/>
      </c>
      <c r="AT308" s="7">
        <f ca="1"/>
      </c>
      <c r="AU308">
        <f ca="1"/>
      </c>
      <c r="AV308">
        <f ca="1"/>
      </c>
      <c r="AW308">
        <f ca="1"/>
      </c>
      <c r="AX308">
        <f ca="1"/>
      </c>
      <c r="AY308">
        <f ca="1"/>
      </c>
      <c r="BA308" s="7">
        <f ca="1"/>
      </c>
      <c r="BB308">
        <f ca="1"/>
      </c>
      <c r="BC308">
        <f ca="1"/>
      </c>
      <c r="BD308">
        <f ca="1"/>
      </c>
      <c r="BE308">
        <f ca="1"/>
      </c>
    </row>
    <row r="309" spans="31:57" x14ac:dyDescent="0.55000000000000004">
      <c r="AE309" s="7">
        <f ca="1"/>
      </c>
      <c r="AF309">
        <f ca="1"/>
      </c>
      <c r="AG309">
        <f ca="1"/>
      </c>
      <c r="AH309">
        <f ca="1"/>
      </c>
      <c r="AI309">
        <f ca="1"/>
      </c>
      <c r="AJ309">
        <f ca="1"/>
      </c>
      <c r="AK309">
        <f ca="1"/>
      </c>
      <c r="AL309">
        <f ca="1"/>
      </c>
      <c r="AM309">
        <f ca="1"/>
      </c>
      <c r="AN309">
        <f ca="1"/>
      </c>
      <c r="AO309">
        <f ca="1"/>
      </c>
      <c r="AP309">
        <f ca="1"/>
      </c>
      <c r="AQ309">
        <f ca="1"/>
      </c>
      <c r="AR309">
        <f ca="1"/>
      </c>
      <c r="AT309" s="7">
        <f ca="1"/>
      </c>
      <c r="AU309">
        <f ca="1"/>
      </c>
      <c r="AV309">
        <f ca="1"/>
      </c>
      <c r="AW309">
        <f ca="1"/>
      </c>
      <c r="AX309">
        <f ca="1"/>
      </c>
      <c r="AY309">
        <f ca="1"/>
      </c>
      <c r="BA309" s="7">
        <f ca="1"/>
      </c>
      <c r="BB309">
        <f ca="1"/>
      </c>
      <c r="BC309">
        <f ca="1"/>
      </c>
      <c r="BD309">
        <f ca="1"/>
      </c>
      <c r="BE309">
        <f ca="1"/>
      </c>
    </row>
    <row r="310" spans="31:57" x14ac:dyDescent="0.55000000000000004">
      <c r="AE310" s="7">
        <f ca="1"/>
      </c>
      <c r="AF310">
        <f ca="1"/>
      </c>
      <c r="AG310">
        <f ca="1"/>
      </c>
      <c r="AH310">
        <f ca="1"/>
      </c>
      <c r="AI310">
        <f ca="1"/>
      </c>
      <c r="AJ310">
        <f ca="1"/>
      </c>
      <c r="AK310">
        <f ca="1"/>
      </c>
      <c r="AL310">
        <f ca="1"/>
      </c>
      <c r="AM310">
        <f ca="1"/>
      </c>
      <c r="AN310">
        <f ca="1"/>
      </c>
      <c r="AO310">
        <f ca="1"/>
      </c>
      <c r="AP310">
        <f ca="1"/>
      </c>
      <c r="AQ310">
        <f ca="1"/>
      </c>
      <c r="AR310">
        <f ca="1"/>
      </c>
      <c r="AT310" s="7">
        <f ca="1"/>
      </c>
      <c r="AU310">
        <f ca="1"/>
      </c>
      <c r="AV310">
        <f ca="1"/>
      </c>
      <c r="AW310">
        <f ca="1"/>
      </c>
      <c r="AX310">
        <f ca="1"/>
      </c>
      <c r="AY310">
        <f ca="1"/>
      </c>
      <c r="BA310" s="7">
        <f ca="1"/>
      </c>
      <c r="BB310">
        <f ca="1"/>
      </c>
      <c r="BC310">
        <f ca="1"/>
      </c>
      <c r="BD310">
        <f ca="1"/>
      </c>
      <c r="BE310">
        <f ca="1"/>
      </c>
    </row>
    <row r="311" spans="31:57" x14ac:dyDescent="0.55000000000000004">
      <c r="AE311" s="7">
        <f ca="1"/>
      </c>
      <c r="AF311">
        <f ca="1"/>
      </c>
      <c r="AG311">
        <f ca="1"/>
      </c>
      <c r="AH311">
        <f ca="1"/>
      </c>
      <c r="AI311">
        <f ca="1"/>
      </c>
      <c r="AJ311">
        <f ca="1"/>
      </c>
      <c r="AK311">
        <f ca="1"/>
      </c>
      <c r="AL311">
        <f ca="1"/>
      </c>
      <c r="AM311">
        <f ca="1"/>
      </c>
      <c r="AN311">
        <f ca="1"/>
      </c>
      <c r="AO311">
        <f ca="1"/>
      </c>
      <c r="AP311">
        <f ca="1"/>
      </c>
      <c r="AQ311">
        <f ca="1"/>
      </c>
      <c r="AR311">
        <f ca="1"/>
      </c>
      <c r="AT311" s="7">
        <f ca="1"/>
      </c>
      <c r="AU311">
        <f ca="1"/>
      </c>
      <c r="AV311">
        <f ca="1"/>
      </c>
      <c r="AW311">
        <f ca="1"/>
      </c>
      <c r="AX311">
        <f ca="1"/>
      </c>
      <c r="AY311">
        <f ca="1"/>
      </c>
      <c r="BA311" s="7">
        <f ca="1"/>
      </c>
      <c r="BB311">
        <f ca="1"/>
      </c>
      <c r="BC311">
        <f ca="1"/>
      </c>
      <c r="BD311">
        <f ca="1"/>
      </c>
      <c r="BE311">
        <f ca="1"/>
      </c>
    </row>
    <row r="312" spans="31:57" x14ac:dyDescent="0.55000000000000004">
      <c r="AE312" s="7">
        <f ca="1"/>
      </c>
      <c r="AF312">
        <f ca="1"/>
      </c>
      <c r="AG312">
        <f ca="1"/>
      </c>
      <c r="AH312">
        <f ca="1"/>
      </c>
      <c r="AI312">
        <f ca="1"/>
      </c>
      <c r="AJ312">
        <f ca="1"/>
      </c>
      <c r="AK312">
        <f ca="1"/>
      </c>
      <c r="AL312">
        <f ca="1"/>
      </c>
      <c r="AM312">
        <f ca="1"/>
      </c>
      <c r="AN312">
        <f ca="1"/>
      </c>
      <c r="AO312">
        <f ca="1"/>
      </c>
      <c r="AP312">
        <f ca="1"/>
      </c>
      <c r="AQ312">
        <f ca="1"/>
      </c>
      <c r="AR312">
        <f ca="1"/>
      </c>
      <c r="AT312" s="7">
        <f ca="1"/>
      </c>
      <c r="AU312">
        <f ca="1"/>
      </c>
      <c r="AV312">
        <f ca="1"/>
      </c>
      <c r="AW312">
        <f ca="1"/>
      </c>
      <c r="AX312">
        <f ca="1"/>
      </c>
      <c r="AY312">
        <f ca="1"/>
      </c>
      <c r="BA312" s="7">
        <f ca="1"/>
      </c>
      <c r="BB312">
        <f ca="1"/>
      </c>
      <c r="BC312">
        <f ca="1"/>
      </c>
      <c r="BD312">
        <f ca="1"/>
      </c>
      <c r="BE312">
        <f ca="1"/>
      </c>
    </row>
    <row r="313" spans="31:57" x14ac:dyDescent="0.55000000000000004">
      <c r="AE313" s="7">
        <f ca="1"/>
      </c>
      <c r="AF313">
        <f ca="1"/>
      </c>
      <c r="AG313">
        <f ca="1"/>
      </c>
      <c r="AH313">
        <f ca="1"/>
      </c>
      <c r="AI313">
        <f ca="1"/>
      </c>
      <c r="AJ313">
        <f ca="1"/>
      </c>
      <c r="AK313">
        <f ca="1"/>
      </c>
      <c r="AL313">
        <f ca="1"/>
      </c>
      <c r="AM313">
        <f ca="1"/>
      </c>
      <c r="AN313">
        <f ca="1"/>
      </c>
      <c r="AO313">
        <f ca="1"/>
      </c>
      <c r="AP313">
        <f ca="1"/>
      </c>
      <c r="AQ313">
        <f ca="1"/>
      </c>
      <c r="AR313">
        <f ca="1"/>
      </c>
      <c r="AT313" s="7">
        <f ca="1"/>
      </c>
      <c r="AU313">
        <f ca="1"/>
      </c>
      <c r="AV313">
        <f ca="1"/>
      </c>
      <c r="AW313">
        <f ca="1"/>
      </c>
      <c r="AX313">
        <f ca="1"/>
      </c>
      <c r="AY313">
        <f ca="1"/>
      </c>
      <c r="BA313" s="7">
        <f ca="1"/>
      </c>
      <c r="BB313">
        <f ca="1"/>
      </c>
      <c r="BC313">
        <f ca="1"/>
      </c>
      <c r="BD313">
        <f ca="1"/>
      </c>
      <c r="BE313">
        <f ca="1"/>
      </c>
    </row>
    <row r="314" spans="31:57" x14ac:dyDescent="0.55000000000000004">
      <c r="AE314" s="7">
        <f ca="1"/>
      </c>
      <c r="AF314">
        <f ca="1"/>
      </c>
      <c r="AG314">
        <f ca="1"/>
      </c>
      <c r="AH314">
        <f ca="1"/>
      </c>
      <c r="AI314">
        <f ca="1"/>
      </c>
      <c r="AJ314">
        <f ca="1"/>
      </c>
      <c r="AK314">
        <f ca="1"/>
      </c>
      <c r="AL314">
        <f ca="1"/>
      </c>
      <c r="AM314">
        <f ca="1"/>
      </c>
      <c r="AN314">
        <f ca="1"/>
      </c>
      <c r="AO314">
        <f ca="1"/>
      </c>
      <c r="AP314">
        <f ca="1"/>
      </c>
      <c r="AQ314">
        <f ca="1"/>
      </c>
      <c r="AR314">
        <f ca="1"/>
      </c>
      <c r="AT314" s="7">
        <f ca="1"/>
      </c>
      <c r="AU314">
        <f ca="1"/>
      </c>
      <c r="AV314">
        <f ca="1"/>
      </c>
      <c r="AW314">
        <f ca="1"/>
      </c>
      <c r="AX314">
        <f ca="1"/>
      </c>
      <c r="AY314">
        <f ca="1"/>
      </c>
      <c r="BA314" s="7">
        <f ca="1"/>
      </c>
      <c r="BB314">
        <f ca="1"/>
      </c>
      <c r="BC314">
        <f ca="1"/>
      </c>
      <c r="BD314">
        <f ca="1"/>
      </c>
      <c r="BE314">
        <f ca="1"/>
      </c>
    </row>
    <row r="315" spans="31:57" x14ac:dyDescent="0.55000000000000004">
      <c r="AE315" s="7">
        <f ca="1"/>
      </c>
      <c r="AF315">
        <f ca="1"/>
      </c>
      <c r="AG315">
        <f ca="1"/>
      </c>
      <c r="AH315">
        <f ca="1"/>
      </c>
      <c r="AI315">
        <f ca="1"/>
      </c>
      <c r="AJ315">
        <f ca="1"/>
      </c>
      <c r="AK315">
        <f ca="1"/>
      </c>
      <c r="AL315">
        <f ca="1"/>
      </c>
      <c r="AM315">
        <f ca="1"/>
      </c>
      <c r="AN315">
        <f ca="1"/>
      </c>
      <c r="AO315">
        <f ca="1"/>
      </c>
      <c r="AP315">
        <f ca="1"/>
      </c>
      <c r="AQ315">
        <f ca="1"/>
      </c>
      <c r="AR315">
        <f ca="1"/>
      </c>
      <c r="AT315" s="7">
        <f ca="1"/>
      </c>
      <c r="AU315">
        <f ca="1"/>
      </c>
      <c r="AV315">
        <f ca="1"/>
      </c>
      <c r="AW315">
        <f ca="1"/>
      </c>
      <c r="AX315">
        <f ca="1"/>
      </c>
      <c r="AY315">
        <f ca="1"/>
      </c>
      <c r="BA315" s="7">
        <f ca="1"/>
      </c>
      <c r="BB315">
        <f ca="1"/>
      </c>
      <c r="BC315">
        <f ca="1"/>
      </c>
      <c r="BD315">
        <f ca="1"/>
      </c>
      <c r="BE315">
        <f ca="1"/>
      </c>
    </row>
    <row r="316" spans="31:57" x14ac:dyDescent="0.55000000000000004">
      <c r="AE316" s="7">
        <f ca="1"/>
      </c>
      <c r="AF316">
        <f ca="1"/>
      </c>
      <c r="AG316">
        <f ca="1"/>
      </c>
      <c r="AH316">
        <f ca="1"/>
      </c>
      <c r="AI316">
        <f ca="1"/>
      </c>
      <c r="AJ316">
        <f ca="1"/>
      </c>
      <c r="AK316">
        <f ca="1"/>
      </c>
      <c r="AL316">
        <f ca="1"/>
      </c>
      <c r="AM316">
        <f ca="1"/>
      </c>
      <c r="AN316">
        <f ca="1"/>
      </c>
      <c r="AO316">
        <f ca="1"/>
      </c>
      <c r="AP316">
        <f ca="1"/>
      </c>
      <c r="AQ316">
        <f ca="1"/>
      </c>
      <c r="AR316">
        <f ca="1"/>
      </c>
      <c r="AT316" s="7">
        <f ca="1"/>
      </c>
      <c r="AU316">
        <f ca="1"/>
      </c>
      <c r="AV316">
        <f ca="1"/>
      </c>
      <c r="AW316">
        <f ca="1"/>
      </c>
      <c r="AX316">
        <f ca="1"/>
      </c>
      <c r="AY316">
        <f ca="1"/>
      </c>
      <c r="BA316" s="7">
        <f ca="1"/>
      </c>
      <c r="BB316">
        <f ca="1"/>
      </c>
      <c r="BC316">
        <f ca="1"/>
      </c>
      <c r="BD316">
        <f ca="1"/>
      </c>
      <c r="BE316">
        <f ca="1"/>
      </c>
    </row>
    <row r="317" spans="31:57" x14ac:dyDescent="0.55000000000000004">
      <c r="AE317" s="7">
        <f ca="1"/>
      </c>
      <c r="AF317">
        <f ca="1"/>
      </c>
      <c r="AG317">
        <f ca="1"/>
      </c>
      <c r="AH317">
        <f ca="1"/>
      </c>
      <c r="AI317">
        <f ca="1"/>
      </c>
      <c r="AJ317">
        <f ca="1"/>
      </c>
      <c r="AK317">
        <f ca="1"/>
      </c>
      <c r="AL317">
        <f ca="1"/>
      </c>
      <c r="AM317">
        <f ca="1"/>
      </c>
      <c r="AN317">
        <f ca="1"/>
      </c>
      <c r="AO317">
        <f ca="1"/>
      </c>
      <c r="AP317">
        <f ca="1"/>
      </c>
      <c r="AQ317">
        <f ca="1"/>
      </c>
      <c r="AR317">
        <f ca="1"/>
      </c>
      <c r="AT317" s="7">
        <f ca="1"/>
      </c>
      <c r="AU317">
        <f ca="1"/>
      </c>
      <c r="AV317">
        <f ca="1"/>
      </c>
      <c r="AW317">
        <f ca="1"/>
      </c>
      <c r="AX317">
        <f ca="1"/>
      </c>
      <c r="AY317">
        <f ca="1"/>
      </c>
      <c r="BA317" s="7">
        <f ca="1"/>
      </c>
      <c r="BB317">
        <f ca="1"/>
      </c>
      <c r="BC317">
        <f ca="1"/>
      </c>
      <c r="BD317">
        <f ca="1"/>
      </c>
      <c r="BE317">
        <f ca="1"/>
      </c>
    </row>
    <row r="318" spans="31:57" x14ac:dyDescent="0.55000000000000004">
      <c r="AE318" s="7">
        <f ca="1"/>
      </c>
      <c r="AF318">
        <f ca="1"/>
      </c>
      <c r="AG318">
        <f ca="1"/>
      </c>
      <c r="AH318">
        <f ca="1"/>
      </c>
      <c r="AI318">
        <f ca="1"/>
      </c>
      <c r="AJ318">
        <f ca="1"/>
      </c>
      <c r="AK318">
        <f ca="1"/>
      </c>
      <c r="AL318">
        <f ca="1"/>
      </c>
      <c r="AM318">
        <f ca="1"/>
      </c>
      <c r="AN318">
        <f ca="1"/>
      </c>
      <c r="AO318">
        <f ca="1"/>
      </c>
      <c r="AP318">
        <f ca="1"/>
      </c>
      <c r="AQ318">
        <f ca="1"/>
      </c>
      <c r="AR318">
        <f ca="1"/>
      </c>
      <c r="AT318" s="7">
        <f ca="1"/>
      </c>
      <c r="AU318">
        <f ca="1"/>
      </c>
      <c r="AV318">
        <f ca="1"/>
      </c>
      <c r="AW318">
        <f ca="1"/>
      </c>
      <c r="AX318">
        <f ca="1"/>
      </c>
      <c r="AY318">
        <f ca="1"/>
      </c>
      <c r="BA318" s="7">
        <f ca="1"/>
      </c>
      <c r="BB318">
        <f ca="1"/>
      </c>
      <c r="BC318">
        <f ca="1"/>
      </c>
      <c r="BD318">
        <f ca="1"/>
      </c>
      <c r="BE318">
        <f ca="1"/>
      </c>
    </row>
    <row r="319" spans="31:57" x14ac:dyDescent="0.55000000000000004">
      <c r="AE319" s="7">
        <f ca="1"/>
      </c>
      <c r="AF319">
        <f ca="1"/>
      </c>
      <c r="AG319">
        <f ca="1"/>
      </c>
      <c r="AH319">
        <f ca="1"/>
      </c>
      <c r="AI319">
        <f ca="1"/>
      </c>
      <c r="AJ319">
        <f ca="1"/>
      </c>
      <c r="AK319">
        <f ca="1"/>
      </c>
      <c r="AL319">
        <f ca="1"/>
      </c>
      <c r="AM319">
        <f ca="1"/>
      </c>
      <c r="AN319">
        <f ca="1"/>
      </c>
      <c r="AO319">
        <f ca="1"/>
      </c>
      <c r="AP319">
        <f ca="1"/>
      </c>
      <c r="AQ319">
        <f ca="1"/>
      </c>
      <c r="AR319">
        <f ca="1"/>
      </c>
      <c r="AT319" s="7">
        <f ca="1"/>
      </c>
      <c r="AU319">
        <f ca="1"/>
      </c>
      <c r="AV319">
        <f ca="1"/>
      </c>
      <c r="AW319">
        <f ca="1"/>
      </c>
      <c r="AX319">
        <f ca="1"/>
      </c>
      <c r="AY319">
        <f ca="1"/>
      </c>
      <c r="BA319" s="7">
        <f ca="1"/>
      </c>
      <c r="BB319">
        <f ca="1"/>
      </c>
      <c r="BC319">
        <f ca="1"/>
      </c>
      <c r="BD319">
        <f ca="1"/>
      </c>
      <c r="BE319">
        <f ca="1"/>
      </c>
    </row>
    <row r="320" spans="31:57" x14ac:dyDescent="0.55000000000000004">
      <c r="AE320" s="7">
        <f ca="1"/>
      </c>
      <c r="AF320">
        <f ca="1"/>
      </c>
      <c r="AG320">
        <f ca="1"/>
      </c>
      <c r="AH320">
        <f ca="1"/>
      </c>
      <c r="AI320">
        <f ca="1"/>
      </c>
      <c r="AJ320">
        <f ca="1"/>
      </c>
      <c r="AK320">
        <f ca="1"/>
      </c>
      <c r="AL320">
        <f ca="1"/>
      </c>
      <c r="AM320">
        <f ca="1"/>
      </c>
      <c r="AN320">
        <f ca="1"/>
      </c>
      <c r="AO320">
        <f ca="1"/>
      </c>
      <c r="AP320">
        <f ca="1"/>
      </c>
      <c r="AQ320">
        <f ca="1"/>
      </c>
      <c r="AR320">
        <f ca="1"/>
      </c>
      <c r="AT320" s="7">
        <f ca="1"/>
      </c>
      <c r="AU320">
        <f ca="1"/>
      </c>
      <c r="AV320">
        <f ca="1"/>
      </c>
      <c r="AW320">
        <f ca="1"/>
      </c>
      <c r="AX320">
        <f ca="1"/>
      </c>
      <c r="AY320">
        <f ca="1"/>
      </c>
      <c r="BA320" s="7">
        <f ca="1"/>
      </c>
      <c r="BB320">
        <f ca="1"/>
      </c>
      <c r="BC320">
        <f ca="1"/>
      </c>
      <c r="BD320">
        <f ca="1"/>
      </c>
      <c r="BE320">
        <f ca="1"/>
      </c>
    </row>
    <row r="321" spans="31:57" x14ac:dyDescent="0.55000000000000004">
      <c r="AE321" s="7">
        <f ca="1"/>
      </c>
      <c r="AF321">
        <f ca="1"/>
      </c>
      <c r="AG321">
        <f ca="1"/>
      </c>
      <c r="AH321">
        <f ca="1"/>
      </c>
      <c r="AI321">
        <f ca="1"/>
      </c>
      <c r="AJ321">
        <f ca="1"/>
      </c>
      <c r="AK321">
        <f ca="1"/>
      </c>
      <c r="AL321">
        <f ca="1"/>
      </c>
      <c r="AM321">
        <f ca="1"/>
      </c>
      <c r="AN321">
        <f ca="1"/>
      </c>
      <c r="AO321">
        <f ca="1"/>
      </c>
      <c r="AP321">
        <f ca="1"/>
      </c>
      <c r="AQ321">
        <f ca="1"/>
      </c>
      <c r="AR321">
        <f ca="1"/>
      </c>
      <c r="AT321" s="7">
        <f ca="1"/>
      </c>
      <c r="AU321">
        <f ca="1"/>
      </c>
      <c r="AV321">
        <f ca="1"/>
      </c>
      <c r="AW321">
        <f ca="1"/>
      </c>
      <c r="AX321">
        <f ca="1"/>
      </c>
      <c r="AY321">
        <f ca="1"/>
      </c>
      <c r="BA321" s="7">
        <f ca="1"/>
      </c>
      <c r="BB321">
        <f ca="1"/>
      </c>
      <c r="BC321">
        <f ca="1"/>
      </c>
      <c r="BD321">
        <f ca="1"/>
      </c>
      <c r="BE321">
        <f ca="1"/>
      </c>
    </row>
    <row r="322" spans="31:57" x14ac:dyDescent="0.55000000000000004">
      <c r="AE322" s="7">
        <f ca="1"/>
      </c>
      <c r="AF322">
        <f ca="1"/>
      </c>
      <c r="AG322">
        <f ca="1"/>
      </c>
      <c r="AH322">
        <f ca="1"/>
      </c>
      <c r="AI322">
        <f ca="1"/>
      </c>
      <c r="AJ322">
        <f ca="1"/>
      </c>
      <c r="AK322">
        <f ca="1"/>
      </c>
      <c r="AL322">
        <f ca="1"/>
      </c>
      <c r="AM322">
        <f ca="1"/>
      </c>
      <c r="AN322">
        <f ca="1"/>
      </c>
      <c r="AO322">
        <f ca="1"/>
      </c>
      <c r="AP322">
        <f ca="1"/>
      </c>
      <c r="AQ322">
        <f ca="1"/>
      </c>
      <c r="AR322">
        <f ca="1"/>
      </c>
      <c r="AT322" s="7">
        <f ca="1"/>
      </c>
      <c r="AU322">
        <f ca="1"/>
      </c>
      <c r="AV322">
        <f ca="1"/>
      </c>
      <c r="AW322">
        <f ca="1"/>
      </c>
      <c r="AX322">
        <f ca="1"/>
      </c>
      <c r="AY322">
        <f ca="1"/>
      </c>
      <c r="BA322" s="7">
        <f ca="1"/>
      </c>
      <c r="BB322">
        <f ca="1"/>
      </c>
      <c r="BC322">
        <f ca="1"/>
      </c>
      <c r="BD322">
        <f ca="1"/>
      </c>
      <c r="BE322">
        <f ca="1"/>
      </c>
    </row>
    <row r="323" spans="31:57" x14ac:dyDescent="0.55000000000000004">
      <c r="AE323" s="7">
        <f ca="1"/>
      </c>
      <c r="AF323">
        <f ca="1"/>
      </c>
      <c r="AG323">
        <f ca="1"/>
      </c>
      <c r="AH323">
        <f ca="1"/>
      </c>
      <c r="AI323">
        <f ca="1"/>
      </c>
      <c r="AJ323">
        <f ca="1"/>
      </c>
      <c r="AK323">
        <f ca="1"/>
      </c>
      <c r="AL323">
        <f ca="1"/>
      </c>
      <c r="AM323">
        <f ca="1"/>
      </c>
      <c r="AN323">
        <f ca="1"/>
      </c>
      <c r="AO323">
        <f ca="1"/>
      </c>
      <c r="AP323">
        <f ca="1"/>
      </c>
      <c r="AQ323">
        <f ca="1"/>
      </c>
      <c r="AR323">
        <f ca="1"/>
      </c>
      <c r="AT323" s="7">
        <f ca="1"/>
      </c>
      <c r="AU323">
        <f ca="1"/>
      </c>
      <c r="AV323">
        <f ca="1"/>
      </c>
      <c r="AW323">
        <f ca="1"/>
      </c>
      <c r="AX323">
        <f ca="1"/>
      </c>
      <c r="AY323">
        <f ca="1"/>
      </c>
      <c r="BA323" s="7">
        <f ca="1"/>
      </c>
      <c r="BB323">
        <f ca="1"/>
      </c>
      <c r="BC323">
        <f ca="1"/>
      </c>
      <c r="BD323">
        <f ca="1"/>
      </c>
      <c r="BE323">
        <f ca="1"/>
      </c>
    </row>
    <row r="324" spans="31:57" x14ac:dyDescent="0.55000000000000004">
      <c r="AE324" s="7">
        <f ca="1"/>
      </c>
      <c r="AF324">
        <f ca="1"/>
      </c>
      <c r="AG324">
        <f ca="1"/>
      </c>
      <c r="AH324">
        <f ca="1"/>
      </c>
      <c r="AI324">
        <f ca="1"/>
      </c>
      <c r="AJ324">
        <f ca="1"/>
      </c>
      <c r="AK324">
        <f ca="1"/>
      </c>
      <c r="AL324">
        <f ca="1"/>
      </c>
      <c r="AM324">
        <f ca="1"/>
      </c>
      <c r="AN324">
        <f ca="1"/>
      </c>
      <c r="AO324">
        <f ca="1"/>
      </c>
      <c r="AP324">
        <f ca="1"/>
      </c>
      <c r="AQ324">
        <f ca="1"/>
      </c>
      <c r="AR324">
        <f ca="1"/>
      </c>
      <c r="AT324" s="7">
        <f ca="1"/>
      </c>
      <c r="AU324">
        <f ca="1"/>
      </c>
      <c r="AV324">
        <f ca="1"/>
      </c>
      <c r="AW324">
        <f ca="1"/>
      </c>
      <c r="AX324">
        <f ca="1"/>
      </c>
      <c r="AY324">
        <f ca="1"/>
      </c>
      <c r="BA324" s="7">
        <f ca="1"/>
      </c>
      <c r="BB324">
        <f ca="1"/>
      </c>
      <c r="BC324">
        <f ca="1"/>
      </c>
      <c r="BD324">
        <f ca="1"/>
      </c>
      <c r="BE324">
        <f ca="1"/>
      </c>
    </row>
    <row r="325" spans="31:57" x14ac:dyDescent="0.55000000000000004">
      <c r="AE325" s="7">
        <f ca="1"/>
      </c>
      <c r="AF325">
        <f ca="1"/>
      </c>
      <c r="AG325">
        <f ca="1"/>
      </c>
      <c r="AH325">
        <f ca="1"/>
      </c>
      <c r="AI325">
        <f ca="1"/>
      </c>
      <c r="AJ325">
        <f ca="1"/>
      </c>
      <c r="AK325">
        <f ca="1"/>
      </c>
      <c r="AL325">
        <f ca="1"/>
      </c>
      <c r="AM325">
        <f ca="1"/>
      </c>
      <c r="AN325">
        <f ca="1"/>
      </c>
      <c r="AO325">
        <f ca="1"/>
      </c>
      <c r="AP325">
        <f ca="1"/>
      </c>
      <c r="AQ325">
        <f ca="1"/>
      </c>
      <c r="AR325">
        <f ca="1"/>
      </c>
      <c r="AT325" s="7">
        <f ca="1"/>
      </c>
      <c r="AU325">
        <f ca="1"/>
      </c>
      <c r="AV325">
        <f ca="1"/>
      </c>
      <c r="AW325">
        <f ca="1"/>
      </c>
      <c r="AX325">
        <f ca="1"/>
      </c>
      <c r="AY325">
        <f ca="1"/>
      </c>
      <c r="BA325" s="7">
        <f ca="1"/>
      </c>
      <c r="BB325">
        <f ca="1"/>
      </c>
      <c r="BC325">
        <f ca="1"/>
      </c>
      <c r="BD325">
        <f ca="1"/>
      </c>
      <c r="BE325">
        <f ca="1"/>
      </c>
    </row>
    <row r="326" spans="31:57" x14ac:dyDescent="0.55000000000000004">
      <c r="AE326" s="7">
        <f ca="1"/>
      </c>
      <c r="AF326">
        <f ca="1"/>
      </c>
      <c r="AG326">
        <f ca="1"/>
      </c>
      <c r="AH326">
        <f ca="1"/>
      </c>
      <c r="AI326">
        <f ca="1"/>
      </c>
      <c r="AJ326">
        <f ca="1"/>
      </c>
      <c r="AK326">
        <f ca="1"/>
      </c>
      <c r="AL326">
        <f ca="1"/>
      </c>
      <c r="AM326">
        <f ca="1"/>
      </c>
      <c r="AN326">
        <f ca="1"/>
      </c>
      <c r="AO326">
        <f ca="1"/>
      </c>
      <c r="AP326">
        <f ca="1"/>
      </c>
      <c r="AQ326">
        <f ca="1"/>
      </c>
      <c r="AR326">
        <f ca="1"/>
      </c>
      <c r="AT326" s="7">
        <f ca="1"/>
      </c>
      <c r="AU326">
        <f ca="1"/>
      </c>
      <c r="AV326">
        <f ca="1"/>
      </c>
      <c r="AW326">
        <f ca="1"/>
      </c>
      <c r="AX326">
        <f ca="1"/>
      </c>
      <c r="AY326">
        <f ca="1"/>
      </c>
      <c r="BA326" s="7">
        <f ca="1"/>
      </c>
      <c r="BB326">
        <f ca="1"/>
      </c>
      <c r="BC326">
        <f ca="1"/>
      </c>
      <c r="BD326">
        <f ca="1"/>
      </c>
      <c r="BE326">
        <f ca="1"/>
      </c>
    </row>
    <row r="327" spans="31:57" x14ac:dyDescent="0.55000000000000004">
      <c r="AE327" s="7">
        <f ca="1"/>
      </c>
      <c r="AF327">
        <f ca="1"/>
      </c>
      <c r="AG327">
        <f ca="1"/>
      </c>
      <c r="AH327">
        <f ca="1"/>
      </c>
      <c r="AI327">
        <f ca="1"/>
      </c>
      <c r="AJ327">
        <f ca="1"/>
      </c>
      <c r="AK327">
        <f ca="1"/>
      </c>
      <c r="AL327">
        <f ca="1"/>
      </c>
      <c r="AM327">
        <f ca="1"/>
      </c>
      <c r="AN327">
        <f ca="1"/>
      </c>
      <c r="AO327">
        <f ca="1"/>
      </c>
      <c r="AP327">
        <f ca="1"/>
      </c>
      <c r="AQ327">
        <f ca="1"/>
      </c>
      <c r="AR327">
        <f ca="1"/>
      </c>
      <c r="AT327" s="7">
        <f ca="1"/>
      </c>
      <c r="AU327">
        <f ca="1"/>
      </c>
      <c r="AV327">
        <f ca="1"/>
      </c>
      <c r="AW327">
        <f ca="1"/>
      </c>
      <c r="AX327">
        <f ca="1"/>
      </c>
      <c r="AY327">
        <f ca="1"/>
      </c>
      <c r="BA327" s="7">
        <f ca="1"/>
      </c>
      <c r="BB327">
        <f ca="1"/>
      </c>
      <c r="BC327">
        <f ca="1"/>
      </c>
      <c r="BD327">
        <f ca="1"/>
      </c>
      <c r="BE327">
        <f ca="1"/>
      </c>
    </row>
    <row r="328" spans="31:57" x14ac:dyDescent="0.55000000000000004">
      <c r="AE328" s="7">
        <f ca="1"/>
      </c>
      <c r="AF328">
        <f ca="1"/>
      </c>
      <c r="AG328">
        <f ca="1"/>
      </c>
      <c r="AH328">
        <f ca="1"/>
      </c>
      <c r="AI328">
        <f ca="1"/>
      </c>
      <c r="AJ328">
        <f ca="1"/>
      </c>
      <c r="AK328">
        <f ca="1"/>
      </c>
      <c r="AL328">
        <f ca="1"/>
      </c>
      <c r="AM328">
        <f ca="1"/>
      </c>
      <c r="AN328">
        <f ca="1"/>
      </c>
      <c r="AO328">
        <f ca="1"/>
      </c>
      <c r="AP328">
        <f ca="1"/>
      </c>
      <c r="AQ328">
        <f ca="1"/>
      </c>
      <c r="AR328">
        <f ca="1"/>
      </c>
      <c r="AT328" s="7">
        <f ca="1"/>
      </c>
      <c r="AU328">
        <f ca="1"/>
      </c>
      <c r="AV328">
        <f ca="1"/>
      </c>
      <c r="AW328">
        <f ca="1"/>
      </c>
      <c r="AX328">
        <f ca="1"/>
      </c>
      <c r="AY328">
        <f ca="1"/>
      </c>
      <c r="BA328" s="7">
        <f ca="1"/>
      </c>
      <c r="BB328">
        <f ca="1"/>
      </c>
      <c r="BC328">
        <f ca="1"/>
      </c>
      <c r="BD328">
        <f ca="1"/>
      </c>
      <c r="BE328">
        <f ca="1"/>
      </c>
    </row>
    <row r="329" spans="31:57" x14ac:dyDescent="0.55000000000000004">
      <c r="AE329" s="7">
        <f ca="1"/>
      </c>
      <c r="AF329">
        <f ca="1"/>
      </c>
      <c r="AG329">
        <f ca="1"/>
      </c>
      <c r="AH329">
        <f ca="1"/>
      </c>
      <c r="AI329">
        <f ca="1"/>
      </c>
      <c r="AJ329">
        <f ca="1"/>
      </c>
      <c r="AK329">
        <f ca="1"/>
      </c>
      <c r="AL329">
        <f ca="1"/>
      </c>
      <c r="AM329">
        <f ca="1"/>
      </c>
      <c r="AN329">
        <f ca="1"/>
      </c>
      <c r="AO329">
        <f ca="1"/>
      </c>
      <c r="AP329">
        <f ca="1"/>
      </c>
      <c r="AQ329">
        <f ca="1"/>
      </c>
      <c r="AR329">
        <f ca="1"/>
      </c>
      <c r="AT329" s="7">
        <f ca="1"/>
      </c>
      <c r="AU329">
        <f ca="1"/>
      </c>
      <c r="AV329">
        <f ca="1"/>
      </c>
      <c r="AW329">
        <f ca="1"/>
      </c>
      <c r="AX329">
        <f ca="1"/>
      </c>
      <c r="AY329">
        <f ca="1"/>
      </c>
      <c r="BA329" s="7">
        <f ca="1"/>
      </c>
      <c r="BB329">
        <f ca="1"/>
      </c>
      <c r="BC329">
        <f ca="1"/>
      </c>
      <c r="BD329">
        <f ca="1"/>
      </c>
      <c r="BE329">
        <f ca="1"/>
      </c>
    </row>
    <row r="330" spans="31:57" x14ac:dyDescent="0.55000000000000004">
      <c r="AE330" s="7">
        <f ca="1"/>
      </c>
      <c r="AF330">
        <f ca="1"/>
      </c>
      <c r="AG330">
        <f ca="1"/>
      </c>
      <c r="AH330">
        <f ca="1"/>
      </c>
      <c r="AI330">
        <f ca="1"/>
      </c>
      <c r="AJ330">
        <f ca="1"/>
      </c>
      <c r="AK330">
        <f ca="1"/>
      </c>
      <c r="AL330">
        <f ca="1"/>
      </c>
      <c r="AM330">
        <f ca="1"/>
      </c>
      <c r="AN330">
        <f ca="1"/>
      </c>
      <c r="AO330">
        <f ca="1"/>
      </c>
      <c r="AP330">
        <f ca="1"/>
      </c>
      <c r="AQ330">
        <f ca="1"/>
      </c>
      <c r="AR330">
        <f ca="1"/>
      </c>
      <c r="AT330" s="7">
        <f ca="1"/>
      </c>
      <c r="AU330">
        <f ca="1"/>
      </c>
      <c r="AV330">
        <f ca="1"/>
      </c>
      <c r="AW330">
        <f ca="1"/>
      </c>
      <c r="AX330">
        <f ca="1"/>
      </c>
      <c r="AY330">
        <f ca="1"/>
      </c>
      <c r="BA330" s="7">
        <f ca="1"/>
      </c>
      <c r="BB330">
        <f ca="1"/>
      </c>
      <c r="BC330">
        <f ca="1"/>
      </c>
      <c r="BD330">
        <f ca="1"/>
      </c>
      <c r="BE330">
        <f ca="1"/>
      </c>
    </row>
    <row r="331" spans="31:57" x14ac:dyDescent="0.55000000000000004">
      <c r="AE331" s="7">
        <f ca="1"/>
      </c>
      <c r="AF331">
        <f ca="1"/>
      </c>
      <c r="AG331">
        <f ca="1"/>
      </c>
      <c r="AH331">
        <f ca="1"/>
      </c>
      <c r="AI331">
        <f ca="1"/>
      </c>
      <c r="AJ331">
        <f ca="1"/>
      </c>
      <c r="AK331">
        <f ca="1"/>
      </c>
      <c r="AL331">
        <f ca="1"/>
      </c>
      <c r="AM331">
        <f ca="1"/>
      </c>
      <c r="AN331">
        <f ca="1"/>
      </c>
      <c r="AO331">
        <f ca="1"/>
      </c>
      <c r="AP331">
        <f ca="1"/>
      </c>
      <c r="AQ331">
        <f ca="1"/>
      </c>
      <c r="AR331">
        <f ca="1"/>
      </c>
      <c r="AT331" s="7">
        <f ca="1"/>
      </c>
      <c r="AU331">
        <f ca="1"/>
      </c>
      <c r="AV331">
        <f ca="1"/>
      </c>
      <c r="AW331">
        <f ca="1"/>
      </c>
      <c r="AX331">
        <f ca="1"/>
      </c>
      <c r="AY331">
        <f ca="1"/>
      </c>
      <c r="BA331" s="7">
        <f ca="1"/>
      </c>
      <c r="BB331">
        <f ca="1"/>
      </c>
      <c r="BC331">
        <f ca="1"/>
      </c>
      <c r="BD331">
        <f ca="1"/>
      </c>
      <c r="BE331">
        <f ca="1"/>
      </c>
    </row>
    <row r="332" spans="31:57" x14ac:dyDescent="0.55000000000000004">
      <c r="AE332" s="7">
        <f ca="1"/>
      </c>
      <c r="AF332">
        <f ca="1"/>
      </c>
      <c r="AG332">
        <f ca="1"/>
      </c>
      <c r="AH332">
        <f ca="1"/>
      </c>
      <c r="AI332">
        <f ca="1"/>
      </c>
      <c r="AJ332">
        <f ca="1"/>
      </c>
      <c r="AK332">
        <f ca="1"/>
      </c>
      <c r="AL332">
        <f ca="1"/>
      </c>
      <c r="AM332">
        <f ca="1"/>
      </c>
      <c r="AN332">
        <f ca="1"/>
      </c>
      <c r="AO332">
        <f ca="1"/>
      </c>
      <c r="AP332">
        <f ca="1"/>
      </c>
      <c r="AQ332">
        <f ca="1"/>
      </c>
      <c r="AR332">
        <f ca="1"/>
      </c>
      <c r="AT332" s="7">
        <f ca="1"/>
      </c>
      <c r="AU332">
        <f ca="1"/>
      </c>
      <c r="AV332">
        <f ca="1"/>
      </c>
      <c r="AW332">
        <f ca="1"/>
      </c>
      <c r="AX332">
        <f ca="1"/>
      </c>
      <c r="AY332">
        <f ca="1"/>
      </c>
      <c r="BA332" s="7">
        <f ca="1"/>
      </c>
      <c r="BB332">
        <f ca="1"/>
      </c>
      <c r="BC332">
        <f ca="1"/>
      </c>
      <c r="BD332">
        <f ca="1"/>
      </c>
      <c r="BE332">
        <f ca="1"/>
      </c>
    </row>
    <row r="333" spans="31:57" x14ac:dyDescent="0.55000000000000004">
      <c r="AE333" s="7">
        <f ca="1"/>
      </c>
      <c r="AF333">
        <f ca="1"/>
      </c>
      <c r="AG333">
        <f ca="1"/>
      </c>
      <c r="AH333">
        <f ca="1"/>
      </c>
      <c r="AI333">
        <f ca="1"/>
      </c>
      <c r="AJ333">
        <f ca="1"/>
      </c>
      <c r="AK333">
        <f ca="1"/>
      </c>
      <c r="AL333">
        <f ca="1"/>
      </c>
      <c r="AM333">
        <f ca="1"/>
      </c>
      <c r="AN333">
        <f ca="1"/>
      </c>
      <c r="AO333">
        <f ca="1"/>
      </c>
      <c r="AP333">
        <f ca="1"/>
      </c>
      <c r="AQ333">
        <f ca="1"/>
      </c>
      <c r="AR333">
        <f ca="1"/>
      </c>
      <c r="AT333" s="7">
        <f ca="1"/>
      </c>
      <c r="AU333">
        <f ca="1"/>
      </c>
      <c r="AV333">
        <f ca="1"/>
      </c>
      <c r="AW333">
        <f ca="1"/>
      </c>
      <c r="AX333">
        <f ca="1"/>
      </c>
      <c r="AY333">
        <f ca="1"/>
      </c>
      <c r="BA333" s="7">
        <f ca="1"/>
      </c>
      <c r="BB333">
        <f ca="1"/>
      </c>
      <c r="BC333">
        <f ca="1"/>
      </c>
      <c r="BD333">
        <f ca="1"/>
      </c>
      <c r="BE333">
        <f ca="1"/>
      </c>
    </row>
    <row r="334" spans="31:57" x14ac:dyDescent="0.55000000000000004">
      <c r="AE334" s="7">
        <f ca="1"/>
      </c>
      <c r="AF334">
        <f ca="1"/>
      </c>
      <c r="AG334">
        <f ca="1"/>
      </c>
      <c r="AH334">
        <f ca="1"/>
      </c>
      <c r="AI334">
        <f ca="1"/>
      </c>
      <c r="AJ334">
        <f ca="1"/>
      </c>
      <c r="AK334">
        <f ca="1"/>
      </c>
      <c r="AL334">
        <f ca="1"/>
      </c>
      <c r="AM334">
        <f ca="1"/>
      </c>
      <c r="AN334">
        <f ca="1"/>
      </c>
      <c r="AO334">
        <f ca="1"/>
      </c>
      <c r="AP334">
        <f ca="1"/>
      </c>
      <c r="AQ334">
        <f ca="1"/>
      </c>
      <c r="AR334">
        <f ca="1"/>
      </c>
      <c r="AT334" s="7">
        <f ca="1"/>
      </c>
      <c r="AU334">
        <f ca="1"/>
      </c>
      <c r="AV334">
        <f ca="1"/>
      </c>
      <c r="AW334">
        <f ca="1"/>
      </c>
      <c r="AX334">
        <f ca="1"/>
      </c>
      <c r="AY334">
        <f ca="1"/>
      </c>
      <c r="BA334" s="7">
        <f ca="1"/>
      </c>
      <c r="BB334">
        <f ca="1"/>
      </c>
      <c r="BC334">
        <f ca="1"/>
      </c>
      <c r="BD334">
        <f ca="1"/>
      </c>
      <c r="BE334">
        <f ca="1"/>
      </c>
    </row>
    <row r="335" spans="31:57" x14ac:dyDescent="0.55000000000000004">
      <c r="AE335" s="7">
        <f ca="1"/>
      </c>
      <c r="AF335">
        <f ca="1"/>
      </c>
      <c r="AG335">
        <f ca="1"/>
      </c>
      <c r="AH335">
        <f ca="1"/>
      </c>
      <c r="AI335">
        <f ca="1"/>
      </c>
      <c r="AJ335">
        <f ca="1"/>
      </c>
      <c r="AK335">
        <f ca="1"/>
      </c>
      <c r="AL335">
        <f ca="1"/>
      </c>
      <c r="AM335">
        <f ca="1"/>
      </c>
      <c r="AN335">
        <f ca="1"/>
      </c>
      <c r="AO335">
        <f ca="1"/>
      </c>
      <c r="AP335">
        <f ca="1"/>
      </c>
      <c r="AQ335">
        <f ca="1"/>
      </c>
      <c r="AR335">
        <f ca="1"/>
      </c>
      <c r="AT335" s="7">
        <f ca="1"/>
      </c>
      <c r="AU335">
        <f ca="1"/>
      </c>
      <c r="AV335">
        <f ca="1"/>
      </c>
      <c r="AW335">
        <f ca="1"/>
      </c>
      <c r="AX335">
        <f ca="1"/>
      </c>
      <c r="AY335">
        <f ca="1"/>
      </c>
      <c r="BA335" s="7">
        <f ca="1"/>
      </c>
      <c r="BB335">
        <f ca="1"/>
      </c>
      <c r="BC335">
        <f ca="1"/>
      </c>
      <c r="BD335">
        <f ca="1"/>
      </c>
      <c r="BE335">
        <f ca="1"/>
      </c>
    </row>
    <row r="336" spans="31:57" x14ac:dyDescent="0.55000000000000004">
      <c r="AE336" s="7">
        <f ca="1"/>
      </c>
      <c r="AF336">
        <f ca="1"/>
      </c>
      <c r="AG336">
        <f ca="1"/>
      </c>
      <c r="AH336">
        <f ca="1"/>
      </c>
      <c r="AI336">
        <f ca="1"/>
      </c>
      <c r="AJ336">
        <f ca="1"/>
      </c>
      <c r="AK336">
        <f ca="1"/>
      </c>
      <c r="AL336">
        <f ca="1"/>
      </c>
      <c r="AM336">
        <f ca="1"/>
      </c>
      <c r="AN336">
        <f ca="1"/>
      </c>
      <c r="AO336">
        <f ca="1"/>
      </c>
      <c r="AP336">
        <f ca="1"/>
      </c>
      <c r="AQ336">
        <f ca="1"/>
      </c>
      <c r="AR336">
        <f ca="1"/>
      </c>
      <c r="AT336" s="7">
        <f ca="1"/>
      </c>
      <c r="AU336">
        <f ca="1"/>
      </c>
      <c r="AV336">
        <f ca="1"/>
      </c>
      <c r="AW336">
        <f ca="1"/>
      </c>
      <c r="AX336">
        <f ca="1"/>
      </c>
      <c r="AY336">
        <f ca="1"/>
      </c>
      <c r="BA336" s="7">
        <f ca="1"/>
      </c>
      <c r="BB336">
        <f ca="1"/>
      </c>
      <c r="BC336">
        <f ca="1"/>
      </c>
      <c r="BD336">
        <f ca="1"/>
      </c>
      <c r="BE336">
        <f ca="1"/>
      </c>
    </row>
    <row r="337" spans="31:57" x14ac:dyDescent="0.55000000000000004">
      <c r="AE337" s="7">
        <f ca="1"/>
      </c>
      <c r="AF337">
        <f ca="1"/>
      </c>
      <c r="AG337">
        <f ca="1"/>
      </c>
      <c r="AH337">
        <f ca="1"/>
      </c>
      <c r="AI337">
        <f ca="1"/>
      </c>
      <c r="AJ337">
        <f ca="1"/>
      </c>
      <c r="AK337">
        <f ca="1"/>
      </c>
      <c r="AL337">
        <f ca="1"/>
      </c>
      <c r="AM337">
        <f ca="1"/>
      </c>
      <c r="AN337">
        <f ca="1"/>
      </c>
      <c r="AO337">
        <f ca="1"/>
      </c>
      <c r="AP337">
        <f ca="1"/>
      </c>
      <c r="AQ337">
        <f ca="1"/>
      </c>
      <c r="AR337">
        <f ca="1"/>
      </c>
      <c r="AT337" s="7">
        <f ca="1"/>
      </c>
      <c r="AU337">
        <f ca="1"/>
      </c>
      <c r="AV337">
        <f ca="1"/>
      </c>
      <c r="AW337">
        <f ca="1"/>
      </c>
      <c r="AX337">
        <f ca="1"/>
      </c>
      <c r="AY337">
        <f ca="1"/>
      </c>
      <c r="BA337" s="7">
        <f ca="1"/>
      </c>
      <c r="BB337">
        <f ca="1"/>
      </c>
      <c r="BC337">
        <f ca="1"/>
      </c>
      <c r="BD337">
        <f ca="1"/>
      </c>
      <c r="BE337">
        <f ca="1"/>
      </c>
    </row>
    <row r="338" spans="31:57" x14ac:dyDescent="0.55000000000000004">
      <c r="AE338" s="7">
        <f ca="1"/>
      </c>
      <c r="AF338">
        <f ca="1"/>
      </c>
      <c r="AG338">
        <f ca="1"/>
      </c>
      <c r="AH338">
        <f ca="1"/>
      </c>
      <c r="AI338">
        <f ca="1"/>
      </c>
      <c r="AJ338">
        <f ca="1"/>
      </c>
      <c r="AK338">
        <f ca="1"/>
      </c>
      <c r="AL338">
        <f ca="1"/>
      </c>
      <c r="AM338">
        <f ca="1"/>
      </c>
      <c r="AN338">
        <f ca="1"/>
      </c>
      <c r="AO338">
        <f ca="1"/>
      </c>
      <c r="AP338">
        <f ca="1"/>
      </c>
      <c r="AQ338">
        <f ca="1"/>
      </c>
      <c r="AR338">
        <f ca="1"/>
      </c>
      <c r="AT338" s="7">
        <f ca="1"/>
      </c>
      <c r="AU338">
        <f ca="1"/>
      </c>
      <c r="AV338">
        <f ca="1"/>
      </c>
      <c r="AW338">
        <f ca="1"/>
      </c>
      <c r="AX338">
        <f ca="1"/>
      </c>
      <c r="AY338">
        <f ca="1"/>
      </c>
      <c r="BA338" s="7">
        <f ca="1"/>
      </c>
      <c r="BB338">
        <f ca="1"/>
      </c>
      <c r="BC338">
        <f ca="1"/>
      </c>
      <c r="BD338">
        <f ca="1"/>
      </c>
      <c r="BE338">
        <f ca="1"/>
      </c>
    </row>
    <row r="339" spans="31:57" x14ac:dyDescent="0.55000000000000004">
      <c r="AE339" s="7">
        <f ca="1"/>
      </c>
      <c r="AF339">
        <f ca="1"/>
      </c>
      <c r="AG339">
        <f ca="1"/>
      </c>
      <c r="AH339">
        <f ca="1"/>
      </c>
      <c r="AI339">
        <f ca="1"/>
      </c>
      <c r="AJ339">
        <f ca="1"/>
      </c>
      <c r="AK339">
        <f ca="1"/>
      </c>
      <c r="AL339">
        <f ca="1"/>
      </c>
      <c r="AM339">
        <f ca="1"/>
      </c>
      <c r="AN339">
        <f ca="1"/>
      </c>
      <c r="AO339">
        <f ca="1"/>
      </c>
      <c r="AP339">
        <f ca="1"/>
      </c>
      <c r="AQ339">
        <f ca="1"/>
      </c>
      <c r="AR339">
        <f ca="1"/>
      </c>
      <c r="AT339" s="7">
        <f ca="1"/>
      </c>
      <c r="AU339">
        <f ca="1"/>
      </c>
      <c r="AV339">
        <f ca="1"/>
      </c>
      <c r="AW339">
        <f ca="1"/>
      </c>
      <c r="AX339">
        <f ca="1"/>
      </c>
      <c r="AY339">
        <f ca="1"/>
      </c>
      <c r="BA339" s="7">
        <f ca="1"/>
      </c>
      <c r="BB339">
        <f ca="1"/>
      </c>
      <c r="BC339">
        <f ca="1"/>
      </c>
      <c r="BD339">
        <f ca="1"/>
      </c>
      <c r="BE339">
        <f ca="1"/>
      </c>
    </row>
    <row r="340" spans="31:57" x14ac:dyDescent="0.55000000000000004">
      <c r="AE340" s="7">
        <f ca="1"/>
      </c>
      <c r="AF340">
        <f ca="1"/>
      </c>
      <c r="AG340">
        <f ca="1"/>
      </c>
      <c r="AH340">
        <f ca="1"/>
      </c>
      <c r="AI340">
        <f ca="1"/>
      </c>
      <c r="AJ340">
        <f ca="1"/>
      </c>
      <c r="AK340">
        <f ca="1"/>
      </c>
      <c r="AL340">
        <f ca="1"/>
      </c>
      <c r="AM340">
        <f ca="1"/>
      </c>
      <c r="AN340">
        <f ca="1"/>
      </c>
      <c r="AO340">
        <f ca="1"/>
      </c>
      <c r="AP340">
        <f ca="1"/>
      </c>
      <c r="AQ340">
        <f ca="1"/>
      </c>
      <c r="AR340">
        <f ca="1"/>
      </c>
      <c r="AT340" s="7">
        <f ca="1"/>
      </c>
      <c r="AU340">
        <f ca="1"/>
      </c>
      <c r="AV340">
        <f ca="1"/>
      </c>
      <c r="AW340">
        <f ca="1"/>
      </c>
      <c r="AX340">
        <f ca="1"/>
      </c>
      <c r="AY340">
        <f ca="1"/>
      </c>
      <c r="BA340" s="7">
        <f ca="1"/>
      </c>
      <c r="BB340">
        <f ca="1"/>
      </c>
      <c r="BC340">
        <f ca="1"/>
      </c>
      <c r="BD340">
        <f ca="1"/>
      </c>
      <c r="BE340">
        <f ca="1"/>
      </c>
    </row>
    <row r="341" spans="31:57" x14ac:dyDescent="0.55000000000000004">
      <c r="AE341" s="7">
        <f ca="1"/>
      </c>
      <c r="AF341">
        <f ca="1"/>
      </c>
      <c r="AG341">
        <f ca="1"/>
      </c>
      <c r="AH341">
        <f ca="1"/>
      </c>
      <c r="AI341">
        <f ca="1"/>
      </c>
      <c r="AJ341">
        <f ca="1"/>
      </c>
      <c r="AK341">
        <f ca="1"/>
      </c>
      <c r="AL341">
        <f ca="1"/>
      </c>
      <c r="AM341">
        <f ca="1"/>
      </c>
      <c r="AN341">
        <f ca="1"/>
      </c>
      <c r="AO341">
        <f ca="1"/>
      </c>
      <c r="AP341">
        <f ca="1"/>
      </c>
      <c r="AQ341">
        <f ca="1"/>
      </c>
      <c r="AR341">
        <f ca="1"/>
      </c>
      <c r="AT341" s="7">
        <f ca="1"/>
      </c>
      <c r="AU341">
        <f ca="1"/>
      </c>
      <c r="AV341">
        <f ca="1"/>
      </c>
      <c r="AW341">
        <f ca="1"/>
      </c>
      <c r="AX341">
        <f ca="1"/>
      </c>
      <c r="AY341">
        <f ca="1"/>
      </c>
      <c r="BA341" s="7">
        <f ca="1"/>
      </c>
      <c r="BB341">
        <f ca="1"/>
      </c>
      <c r="BC341">
        <f ca="1"/>
      </c>
      <c r="BD341">
        <f ca="1"/>
      </c>
      <c r="BE341">
        <f ca="1"/>
      </c>
    </row>
    <row r="342" spans="31:57" x14ac:dyDescent="0.55000000000000004">
      <c r="AE342" s="7">
        <f ca="1"/>
      </c>
      <c r="AF342">
        <f ca="1"/>
      </c>
      <c r="AG342">
        <f ca="1"/>
      </c>
      <c r="AH342">
        <f ca="1"/>
      </c>
      <c r="AI342">
        <f ca="1"/>
      </c>
      <c r="AJ342">
        <f ca="1"/>
      </c>
      <c r="AK342">
        <f ca="1"/>
      </c>
      <c r="AL342">
        <f ca="1"/>
      </c>
      <c r="AM342">
        <f ca="1"/>
      </c>
      <c r="AN342">
        <f ca="1"/>
      </c>
      <c r="AO342">
        <f ca="1"/>
      </c>
      <c r="AP342">
        <f ca="1"/>
      </c>
      <c r="AQ342">
        <f ca="1"/>
      </c>
      <c r="AR342">
        <f ca="1"/>
      </c>
      <c r="AT342" s="7">
        <f ca="1"/>
      </c>
      <c r="AU342">
        <f ca="1"/>
      </c>
      <c r="AV342">
        <f ca="1"/>
      </c>
      <c r="AW342">
        <f ca="1"/>
      </c>
      <c r="AX342">
        <f ca="1"/>
      </c>
      <c r="AY342">
        <f ca="1"/>
      </c>
      <c r="BA342" s="7">
        <f ca="1"/>
      </c>
      <c r="BB342">
        <f ca="1"/>
      </c>
      <c r="BC342">
        <f ca="1"/>
      </c>
      <c r="BD342">
        <f ca="1"/>
      </c>
      <c r="BE342">
        <f ca="1"/>
      </c>
    </row>
    <row r="343" spans="31:57" x14ac:dyDescent="0.55000000000000004">
      <c r="AE343" s="7">
        <f ca="1"/>
      </c>
      <c r="AF343">
        <f ca="1"/>
      </c>
      <c r="AG343">
        <f ca="1"/>
      </c>
      <c r="AH343">
        <f ca="1"/>
      </c>
      <c r="AI343">
        <f ca="1"/>
      </c>
      <c r="AJ343">
        <f ca="1"/>
      </c>
      <c r="AK343">
        <f ca="1"/>
      </c>
      <c r="AL343">
        <f ca="1"/>
      </c>
      <c r="AM343">
        <f ca="1"/>
      </c>
      <c r="AN343">
        <f ca="1"/>
      </c>
      <c r="AO343">
        <f ca="1"/>
      </c>
      <c r="AP343">
        <f ca="1"/>
      </c>
      <c r="AQ343">
        <f ca="1"/>
      </c>
      <c r="AR343">
        <f ca="1"/>
      </c>
      <c r="AT343" s="7">
        <f ca="1"/>
      </c>
      <c r="AU343">
        <f ca="1"/>
      </c>
      <c r="AV343">
        <f ca="1"/>
      </c>
      <c r="AW343">
        <f ca="1"/>
      </c>
      <c r="AX343">
        <f ca="1"/>
      </c>
      <c r="AY343">
        <f ca="1"/>
      </c>
      <c r="BA343" s="7">
        <f ca="1"/>
      </c>
      <c r="BB343">
        <f ca="1"/>
      </c>
      <c r="BC343">
        <f ca="1"/>
      </c>
      <c r="BD343">
        <f ca="1"/>
      </c>
      <c r="BE343">
        <f ca="1"/>
      </c>
    </row>
    <row r="344" spans="31:57" x14ac:dyDescent="0.55000000000000004">
      <c r="AE344" s="7">
        <f ca="1"/>
      </c>
      <c r="AF344">
        <f ca="1"/>
      </c>
      <c r="AG344">
        <f ca="1"/>
      </c>
      <c r="AH344">
        <f ca="1"/>
      </c>
      <c r="AI344">
        <f ca="1"/>
      </c>
      <c r="AJ344">
        <f ca="1"/>
      </c>
      <c r="AK344">
        <f ca="1"/>
      </c>
      <c r="AL344">
        <f ca="1"/>
      </c>
      <c r="AM344">
        <f ca="1"/>
      </c>
      <c r="AN344">
        <f ca="1"/>
      </c>
      <c r="AO344">
        <f ca="1"/>
      </c>
      <c r="AP344">
        <f ca="1"/>
      </c>
      <c r="AQ344">
        <f ca="1"/>
      </c>
      <c r="AR344">
        <f ca="1"/>
      </c>
      <c r="AT344" s="7">
        <f ca="1"/>
      </c>
      <c r="AU344">
        <f ca="1"/>
      </c>
      <c r="AV344">
        <f ca="1"/>
      </c>
      <c r="AW344">
        <f ca="1"/>
      </c>
      <c r="AX344">
        <f ca="1"/>
      </c>
      <c r="AY344">
        <f ca="1"/>
      </c>
      <c r="BA344" s="7">
        <f ca="1"/>
      </c>
      <c r="BB344">
        <f ca="1"/>
      </c>
      <c r="BC344">
        <f ca="1"/>
      </c>
      <c r="BD344">
        <f ca="1"/>
      </c>
      <c r="BE344">
        <f ca="1"/>
      </c>
    </row>
    <row r="345" spans="31:57" x14ac:dyDescent="0.55000000000000004">
      <c r="AE345" s="7">
        <f ca="1"/>
      </c>
      <c r="AF345">
        <f ca="1"/>
      </c>
      <c r="AG345">
        <f ca="1"/>
      </c>
      <c r="AH345">
        <f ca="1"/>
      </c>
      <c r="AI345">
        <f ca="1"/>
      </c>
      <c r="AJ345">
        <f ca="1"/>
      </c>
      <c r="AK345">
        <f ca="1"/>
      </c>
      <c r="AL345">
        <f ca="1"/>
      </c>
      <c r="AM345">
        <f ca="1"/>
      </c>
      <c r="AN345">
        <f ca="1"/>
      </c>
      <c r="AO345">
        <f ca="1"/>
      </c>
      <c r="AP345">
        <f ca="1"/>
      </c>
      <c r="AQ345">
        <f ca="1"/>
      </c>
      <c r="AR345">
        <f ca="1"/>
      </c>
      <c r="AT345" s="7">
        <f ca="1"/>
      </c>
      <c r="AU345">
        <f ca="1"/>
      </c>
      <c r="AV345">
        <f ca="1"/>
      </c>
      <c r="AW345">
        <f ca="1"/>
      </c>
      <c r="AX345">
        <f ca="1"/>
      </c>
      <c r="AY345">
        <f ca="1"/>
      </c>
      <c r="BA345" s="7">
        <f ca="1"/>
      </c>
      <c r="BB345">
        <f ca="1"/>
      </c>
      <c r="BC345">
        <f ca="1"/>
      </c>
      <c r="BD345">
        <f ca="1"/>
      </c>
      <c r="BE345">
        <f ca="1"/>
      </c>
    </row>
    <row r="346" spans="31:57" x14ac:dyDescent="0.55000000000000004">
      <c r="AE346" s="7">
        <f ca="1"/>
      </c>
      <c r="AF346">
        <f ca="1"/>
      </c>
      <c r="AG346">
        <f ca="1"/>
      </c>
      <c r="AH346">
        <f ca="1"/>
      </c>
      <c r="AI346">
        <f ca="1"/>
      </c>
      <c r="AJ346">
        <f ca="1"/>
      </c>
      <c r="AK346">
        <f ca="1"/>
      </c>
      <c r="AL346">
        <f ca="1"/>
      </c>
      <c r="AM346">
        <f ca="1"/>
      </c>
      <c r="AN346">
        <f ca="1"/>
      </c>
      <c r="AO346">
        <f ca="1"/>
      </c>
      <c r="AP346">
        <f ca="1"/>
      </c>
      <c r="AQ346">
        <f ca="1"/>
      </c>
      <c r="AR346">
        <f ca="1"/>
      </c>
      <c r="AT346" s="7">
        <f ca="1"/>
      </c>
      <c r="AU346">
        <f ca="1"/>
      </c>
      <c r="AV346">
        <f ca="1"/>
      </c>
      <c r="AW346">
        <f ca="1"/>
      </c>
      <c r="AX346">
        <f ca="1"/>
      </c>
      <c r="AY346">
        <f ca="1"/>
      </c>
      <c r="BA346" s="7">
        <f ca="1"/>
      </c>
      <c r="BB346">
        <f ca="1"/>
      </c>
      <c r="BC346">
        <f ca="1"/>
      </c>
      <c r="BD346">
        <f ca="1"/>
      </c>
      <c r="BE346">
        <f ca="1"/>
      </c>
    </row>
    <row r="347" spans="31:57" x14ac:dyDescent="0.55000000000000004">
      <c r="AE347" s="7">
        <f ca="1"/>
      </c>
      <c r="AF347">
        <f ca="1"/>
      </c>
      <c r="AG347">
        <f ca="1"/>
      </c>
      <c r="AH347">
        <f ca="1"/>
      </c>
      <c r="AI347">
        <f ca="1"/>
      </c>
      <c r="AJ347">
        <f ca="1"/>
      </c>
      <c r="AK347">
        <f ca="1"/>
      </c>
      <c r="AL347">
        <f ca="1"/>
      </c>
      <c r="AM347">
        <f ca="1"/>
      </c>
      <c r="AN347">
        <f ca="1"/>
      </c>
      <c r="AO347">
        <f ca="1"/>
      </c>
      <c r="AP347">
        <f ca="1"/>
      </c>
      <c r="AQ347">
        <f ca="1"/>
      </c>
      <c r="AR347">
        <f ca="1"/>
      </c>
      <c r="AT347" s="7">
        <f ca="1"/>
      </c>
      <c r="AU347">
        <f ca="1"/>
      </c>
      <c r="AV347">
        <f ca="1"/>
      </c>
      <c r="AW347">
        <f ca="1"/>
      </c>
      <c r="AX347">
        <f ca="1"/>
      </c>
      <c r="AY347">
        <f ca="1"/>
      </c>
      <c r="BA347" s="7">
        <f ca="1"/>
      </c>
      <c r="BB347">
        <f ca="1"/>
      </c>
      <c r="BC347">
        <f ca="1"/>
      </c>
      <c r="BD347">
        <f ca="1"/>
      </c>
      <c r="BE347">
        <f ca="1"/>
      </c>
    </row>
    <row r="348" spans="31:57" x14ac:dyDescent="0.55000000000000004">
      <c r="AE348" s="7">
        <f ca="1"/>
      </c>
      <c r="AF348">
        <f ca="1"/>
      </c>
      <c r="AG348">
        <f ca="1"/>
      </c>
      <c r="AH348">
        <f ca="1"/>
      </c>
      <c r="AI348">
        <f ca="1"/>
      </c>
      <c r="AJ348">
        <f ca="1"/>
      </c>
      <c r="AK348">
        <f ca="1"/>
      </c>
      <c r="AL348">
        <f ca="1"/>
      </c>
      <c r="AM348">
        <f ca="1"/>
      </c>
      <c r="AN348">
        <f ca="1"/>
      </c>
      <c r="AO348">
        <f ca="1"/>
      </c>
      <c r="AP348">
        <f ca="1"/>
      </c>
      <c r="AQ348">
        <f ca="1"/>
      </c>
      <c r="AR348">
        <f ca="1"/>
      </c>
      <c r="AT348" s="7">
        <f ca="1"/>
      </c>
      <c r="AU348">
        <f ca="1"/>
      </c>
      <c r="AV348">
        <f ca="1"/>
      </c>
      <c r="AW348">
        <f ca="1"/>
      </c>
      <c r="AX348">
        <f ca="1"/>
      </c>
      <c r="AY348">
        <f ca="1"/>
      </c>
      <c r="BA348" s="7">
        <f ca="1"/>
      </c>
      <c r="BB348">
        <f ca="1"/>
      </c>
      <c r="BC348">
        <f ca="1"/>
      </c>
      <c r="BD348">
        <f ca="1"/>
      </c>
      <c r="BE348">
        <f ca="1"/>
      </c>
    </row>
    <row r="349" spans="31:57" x14ac:dyDescent="0.55000000000000004">
      <c r="AE349" s="7">
        <f ca="1"/>
      </c>
      <c r="AF349">
        <f ca="1"/>
      </c>
      <c r="AG349">
        <f ca="1"/>
      </c>
      <c r="AH349">
        <f ca="1"/>
      </c>
      <c r="AI349">
        <f ca="1"/>
      </c>
      <c r="AJ349">
        <f ca="1"/>
      </c>
      <c r="AK349">
        <f ca="1"/>
      </c>
      <c r="AL349">
        <f ca="1"/>
      </c>
      <c r="AM349">
        <f ca="1"/>
      </c>
      <c r="AN349">
        <f ca="1"/>
      </c>
      <c r="AO349">
        <f ca="1"/>
      </c>
      <c r="AP349">
        <f ca="1"/>
      </c>
      <c r="AQ349">
        <f ca="1"/>
      </c>
      <c r="AR349">
        <f ca="1"/>
      </c>
      <c r="AT349" s="7">
        <f ca="1"/>
      </c>
      <c r="AU349">
        <f ca="1"/>
      </c>
      <c r="AV349">
        <f ca="1"/>
      </c>
      <c r="AW349">
        <f ca="1"/>
      </c>
      <c r="AX349">
        <f ca="1"/>
      </c>
      <c r="AY349">
        <f ca="1"/>
      </c>
      <c r="BA349" s="7">
        <f ca="1"/>
      </c>
      <c r="BB349">
        <f ca="1"/>
      </c>
      <c r="BC349">
        <f ca="1"/>
      </c>
      <c r="BD349">
        <f ca="1"/>
      </c>
      <c r="BE349">
        <f ca="1"/>
      </c>
    </row>
    <row r="350" spans="31:57" x14ac:dyDescent="0.55000000000000004">
      <c r="AE350" s="7">
        <f ca="1"/>
      </c>
      <c r="AF350">
        <f ca="1"/>
      </c>
      <c r="AG350">
        <f ca="1"/>
      </c>
      <c r="AH350">
        <f ca="1"/>
      </c>
      <c r="AI350">
        <f ca="1"/>
      </c>
      <c r="AJ350">
        <f ca="1"/>
      </c>
      <c r="AK350">
        <f ca="1"/>
      </c>
      <c r="AL350">
        <f ca="1"/>
      </c>
      <c r="AM350">
        <f ca="1"/>
      </c>
      <c r="AN350">
        <f ca="1"/>
      </c>
      <c r="AO350">
        <f ca="1"/>
      </c>
      <c r="AP350">
        <f ca="1"/>
      </c>
      <c r="AQ350">
        <f ca="1"/>
      </c>
      <c r="AR350">
        <f ca="1"/>
      </c>
      <c r="AT350" s="7">
        <f ca="1"/>
      </c>
      <c r="AU350">
        <f ca="1"/>
      </c>
      <c r="AV350">
        <f ca="1"/>
      </c>
      <c r="AW350">
        <f ca="1"/>
      </c>
      <c r="AX350">
        <f ca="1"/>
      </c>
      <c r="AY350">
        <f ca="1"/>
      </c>
      <c r="BA350" s="7">
        <f ca="1"/>
      </c>
      <c r="BB350">
        <f ca="1"/>
      </c>
      <c r="BC350">
        <f ca="1"/>
      </c>
      <c r="BD350">
        <f ca="1"/>
      </c>
      <c r="BE350">
        <f ca="1"/>
      </c>
    </row>
    <row r="351" spans="31:57" x14ac:dyDescent="0.55000000000000004">
      <c r="AE351" s="7">
        <f ca="1"/>
      </c>
      <c r="AF351">
        <f ca="1"/>
      </c>
      <c r="AG351">
        <f ca="1"/>
      </c>
      <c r="AH351">
        <f ca="1"/>
      </c>
      <c r="AI351">
        <f ca="1"/>
      </c>
      <c r="AJ351">
        <f ca="1"/>
      </c>
      <c r="AK351">
        <f ca="1"/>
      </c>
      <c r="AL351">
        <f ca="1"/>
      </c>
      <c r="AM351">
        <f ca="1"/>
      </c>
      <c r="AN351">
        <f ca="1"/>
      </c>
      <c r="AO351">
        <f ca="1"/>
      </c>
      <c r="AP351">
        <f ca="1"/>
      </c>
      <c r="AQ351">
        <f ca="1"/>
      </c>
      <c r="AR351">
        <f ca="1"/>
      </c>
      <c r="AT351" s="7">
        <f ca="1"/>
      </c>
      <c r="AU351">
        <f ca="1"/>
      </c>
      <c r="AV351">
        <f ca="1"/>
      </c>
      <c r="AW351">
        <f ca="1"/>
      </c>
      <c r="AX351">
        <f ca="1"/>
      </c>
      <c r="AY351">
        <f ca="1"/>
      </c>
      <c r="BA351" s="7">
        <f ca="1"/>
      </c>
      <c r="BB351">
        <f ca="1"/>
      </c>
      <c r="BC351">
        <f ca="1"/>
      </c>
      <c r="BD351">
        <f ca="1"/>
      </c>
      <c r="BE351">
        <f ca="1"/>
      </c>
    </row>
    <row r="352" spans="31:57" x14ac:dyDescent="0.55000000000000004">
      <c r="AE352" s="7">
        <f ca="1"/>
      </c>
      <c r="AF352">
        <f ca="1"/>
      </c>
      <c r="AG352">
        <f ca="1"/>
      </c>
      <c r="AH352">
        <f ca="1"/>
      </c>
      <c r="AI352">
        <f ca="1"/>
      </c>
      <c r="AJ352">
        <f ca="1"/>
      </c>
      <c r="AK352">
        <f ca="1"/>
      </c>
      <c r="AL352">
        <f ca="1"/>
      </c>
      <c r="AM352">
        <f ca="1"/>
      </c>
      <c r="AN352">
        <f ca="1"/>
      </c>
      <c r="AO352">
        <f ca="1"/>
      </c>
      <c r="AP352">
        <f ca="1"/>
      </c>
      <c r="AQ352">
        <f ca="1"/>
      </c>
      <c r="AR352">
        <f ca="1"/>
      </c>
      <c r="AT352" s="7">
        <f ca="1"/>
      </c>
      <c r="AU352">
        <f ca="1"/>
      </c>
      <c r="AV352">
        <f ca="1"/>
      </c>
      <c r="AW352">
        <f ca="1"/>
      </c>
      <c r="AX352">
        <f ca="1"/>
      </c>
      <c r="AY352">
        <f ca="1"/>
      </c>
      <c r="BA352" s="7">
        <f ca="1"/>
      </c>
      <c r="BB352">
        <f ca="1"/>
      </c>
      <c r="BC352">
        <f ca="1"/>
      </c>
      <c r="BD352">
        <f ca="1"/>
      </c>
      <c r="BE352">
        <f ca="1"/>
      </c>
    </row>
    <row r="353" spans="31:57" x14ac:dyDescent="0.55000000000000004">
      <c r="AE353" s="7">
        <f ca="1"/>
      </c>
      <c r="AF353">
        <f ca="1"/>
      </c>
      <c r="AG353">
        <f ca="1"/>
      </c>
      <c r="AH353">
        <f ca="1"/>
      </c>
      <c r="AI353">
        <f ca="1"/>
      </c>
      <c r="AJ353">
        <f ca="1"/>
      </c>
      <c r="AK353">
        <f ca="1"/>
      </c>
      <c r="AL353">
        <f ca="1"/>
      </c>
      <c r="AM353">
        <f ca="1"/>
      </c>
      <c r="AN353">
        <f ca="1"/>
      </c>
      <c r="AO353">
        <f ca="1"/>
      </c>
      <c r="AP353">
        <f ca="1"/>
      </c>
      <c r="AQ353">
        <f ca="1"/>
      </c>
      <c r="AR353">
        <f ca="1"/>
      </c>
      <c r="AT353" s="7">
        <f ca="1"/>
      </c>
      <c r="AU353">
        <f ca="1"/>
      </c>
      <c r="AV353">
        <f ca="1"/>
      </c>
      <c r="AW353">
        <f ca="1"/>
      </c>
      <c r="AX353">
        <f ca="1"/>
      </c>
      <c r="AY353">
        <f ca="1"/>
      </c>
      <c r="BA353" s="7">
        <f ca="1"/>
      </c>
      <c r="BB353">
        <f ca="1"/>
      </c>
      <c r="BC353">
        <f ca="1"/>
      </c>
      <c r="BD353">
        <f ca="1"/>
      </c>
      <c r="BE353">
        <f ca="1"/>
      </c>
    </row>
    <row r="354" spans="31:57" x14ac:dyDescent="0.55000000000000004">
      <c r="AE354" s="7">
        <f ca="1"/>
      </c>
      <c r="AF354">
        <f ca="1"/>
      </c>
      <c r="AG354">
        <f ca="1"/>
      </c>
      <c r="AH354">
        <f ca="1"/>
      </c>
      <c r="AI354">
        <f ca="1"/>
      </c>
      <c r="AJ354">
        <f ca="1"/>
      </c>
      <c r="AK354">
        <f ca="1"/>
      </c>
      <c r="AL354">
        <f ca="1"/>
      </c>
      <c r="AM354">
        <f ca="1"/>
      </c>
      <c r="AN354">
        <f ca="1"/>
      </c>
      <c r="AO354">
        <f ca="1"/>
      </c>
      <c r="AP354">
        <f ca="1"/>
      </c>
      <c r="AQ354">
        <f ca="1"/>
      </c>
      <c r="AR354">
        <f ca="1"/>
      </c>
      <c r="AT354" s="7">
        <f ca="1"/>
      </c>
      <c r="AU354">
        <f ca="1"/>
      </c>
      <c r="AV354">
        <f ca="1"/>
      </c>
      <c r="AW354">
        <f ca="1"/>
      </c>
      <c r="AX354">
        <f ca="1"/>
      </c>
      <c r="AY354">
        <f ca="1"/>
      </c>
      <c r="BA354" s="7">
        <f ca="1"/>
      </c>
      <c r="BB354">
        <f ca="1"/>
      </c>
      <c r="BC354">
        <f ca="1"/>
      </c>
      <c r="BD354">
        <f ca="1"/>
      </c>
      <c r="BE354">
        <f ca="1"/>
      </c>
    </row>
    <row r="355" spans="31:57" x14ac:dyDescent="0.55000000000000004">
      <c r="AE355" s="7">
        <f ca="1"/>
      </c>
      <c r="AF355">
        <f ca="1"/>
      </c>
      <c r="AG355">
        <f ca="1"/>
      </c>
      <c r="AH355">
        <f ca="1"/>
      </c>
      <c r="AI355">
        <f ca="1"/>
      </c>
      <c r="AJ355">
        <f ca="1"/>
      </c>
      <c r="AK355">
        <f ca="1"/>
      </c>
      <c r="AL355">
        <f ca="1"/>
      </c>
      <c r="AM355">
        <f ca="1"/>
      </c>
      <c r="AN355">
        <f ca="1"/>
      </c>
      <c r="AO355">
        <f ca="1"/>
      </c>
      <c r="AP355">
        <f ca="1"/>
      </c>
      <c r="AQ355">
        <f ca="1"/>
      </c>
      <c r="AR355">
        <f ca="1"/>
      </c>
      <c r="AT355" s="7">
        <f ca="1"/>
      </c>
      <c r="AU355">
        <f ca="1"/>
      </c>
      <c r="AV355">
        <f ca="1"/>
      </c>
      <c r="AW355">
        <f ca="1"/>
      </c>
      <c r="AX355">
        <f ca="1"/>
      </c>
      <c r="AY355">
        <f ca="1"/>
      </c>
      <c r="BA355" s="7">
        <f ca="1"/>
      </c>
      <c r="BB355">
        <f ca="1"/>
      </c>
      <c r="BC355">
        <f ca="1"/>
      </c>
      <c r="BD355">
        <f ca="1"/>
      </c>
      <c r="BE355">
        <f ca="1"/>
      </c>
    </row>
    <row r="356" spans="31:57" x14ac:dyDescent="0.55000000000000004">
      <c r="AE356" s="7">
        <f ca="1"/>
      </c>
      <c r="AF356">
        <f ca="1"/>
      </c>
      <c r="AG356">
        <f ca="1"/>
      </c>
      <c r="AH356">
        <f ca="1"/>
      </c>
      <c r="AI356">
        <f ca="1"/>
      </c>
      <c r="AJ356">
        <f ca="1"/>
      </c>
      <c r="AK356">
        <f ca="1"/>
      </c>
      <c r="AL356">
        <f ca="1"/>
      </c>
      <c r="AM356">
        <f ca="1"/>
      </c>
      <c r="AN356">
        <f ca="1"/>
      </c>
      <c r="AO356">
        <f ca="1"/>
      </c>
      <c r="AP356">
        <f ca="1"/>
      </c>
      <c r="AQ356">
        <f ca="1"/>
      </c>
      <c r="AR356">
        <f ca="1"/>
      </c>
      <c r="AT356" s="7">
        <f ca="1"/>
      </c>
      <c r="AU356">
        <f ca="1"/>
      </c>
      <c r="AV356">
        <f ca="1"/>
      </c>
      <c r="AW356">
        <f ca="1"/>
      </c>
      <c r="AX356">
        <f ca="1"/>
      </c>
      <c r="AY356">
        <f ca="1"/>
      </c>
      <c r="BA356" s="7">
        <f ca="1"/>
      </c>
      <c r="BB356">
        <f ca="1"/>
      </c>
      <c r="BC356">
        <f ca="1"/>
      </c>
      <c r="BD356">
        <f ca="1"/>
      </c>
      <c r="BE356">
        <f ca="1"/>
      </c>
    </row>
    <row r="357" spans="31:57" x14ac:dyDescent="0.55000000000000004">
      <c r="AE357" s="7">
        <f ca="1"/>
      </c>
      <c r="AF357">
        <f ca="1"/>
      </c>
      <c r="AG357">
        <f ca="1"/>
      </c>
      <c r="AH357">
        <f ca="1"/>
      </c>
      <c r="AI357">
        <f ca="1"/>
      </c>
      <c r="AJ357">
        <f ca="1"/>
      </c>
      <c r="AK357">
        <f ca="1"/>
      </c>
      <c r="AL357">
        <f ca="1"/>
      </c>
      <c r="AM357">
        <f ca="1"/>
      </c>
      <c r="AN357">
        <f ca="1"/>
      </c>
      <c r="AO357">
        <f ca="1"/>
      </c>
      <c r="AP357">
        <f ca="1"/>
      </c>
      <c r="AQ357">
        <f ca="1"/>
      </c>
      <c r="AR357">
        <f ca="1"/>
      </c>
      <c r="AT357" s="7">
        <f ca="1"/>
      </c>
      <c r="AU357">
        <f ca="1"/>
      </c>
      <c r="AV357">
        <f ca="1"/>
      </c>
      <c r="AW357">
        <f ca="1"/>
      </c>
      <c r="AX357">
        <f ca="1"/>
      </c>
      <c r="AY357">
        <f ca="1"/>
      </c>
      <c r="BA357" s="7">
        <f ca="1"/>
      </c>
      <c r="BB357">
        <f ca="1"/>
      </c>
      <c r="BC357">
        <f ca="1"/>
      </c>
      <c r="BD357">
        <f ca="1"/>
      </c>
      <c r="BE357">
        <f ca="1"/>
      </c>
    </row>
    <row r="358" spans="31:57" x14ac:dyDescent="0.55000000000000004">
      <c r="AE358" s="7">
        <f ca="1"/>
      </c>
      <c r="AF358">
        <f ca="1"/>
      </c>
      <c r="AG358">
        <f ca="1"/>
      </c>
      <c r="AH358">
        <f ca="1"/>
      </c>
      <c r="AI358">
        <f ca="1"/>
      </c>
      <c r="AJ358">
        <f ca="1"/>
      </c>
      <c r="AK358">
        <f ca="1"/>
      </c>
      <c r="AL358">
        <f ca="1"/>
      </c>
      <c r="AM358">
        <f ca="1"/>
      </c>
      <c r="AN358">
        <f ca="1"/>
      </c>
      <c r="AO358">
        <f ca="1"/>
      </c>
      <c r="AP358">
        <f ca="1"/>
      </c>
      <c r="AQ358">
        <f ca="1"/>
      </c>
      <c r="AR358">
        <f ca="1"/>
      </c>
      <c r="AT358" s="7">
        <f ca="1"/>
      </c>
      <c r="AU358">
        <f ca="1"/>
      </c>
      <c r="AV358">
        <f ca="1"/>
      </c>
      <c r="AW358">
        <f ca="1"/>
      </c>
      <c r="AX358">
        <f ca="1"/>
      </c>
      <c r="AY358">
        <f ca="1"/>
      </c>
      <c r="BA358" s="7">
        <f ca="1"/>
      </c>
      <c r="BB358">
        <f ca="1"/>
      </c>
      <c r="BC358">
        <f ca="1"/>
      </c>
      <c r="BD358">
        <f ca="1"/>
      </c>
      <c r="BE358">
        <f ca="1"/>
      </c>
    </row>
    <row r="359" spans="31:57" x14ac:dyDescent="0.55000000000000004">
      <c r="AE359" s="7">
        <f ca="1"/>
      </c>
      <c r="AF359">
        <f ca="1"/>
      </c>
      <c r="AG359">
        <f ca="1"/>
      </c>
      <c r="AH359">
        <f ca="1"/>
      </c>
      <c r="AI359">
        <f ca="1"/>
      </c>
      <c r="AJ359">
        <f ca="1"/>
      </c>
      <c r="AK359">
        <f ca="1"/>
      </c>
      <c r="AL359">
        <f ca="1"/>
      </c>
      <c r="AM359">
        <f ca="1"/>
      </c>
      <c r="AN359">
        <f ca="1"/>
      </c>
      <c r="AO359">
        <f ca="1"/>
      </c>
      <c r="AP359">
        <f ca="1"/>
      </c>
      <c r="AQ359">
        <f ca="1"/>
      </c>
      <c r="AR359">
        <f ca="1"/>
      </c>
      <c r="AT359" s="7">
        <f ca="1"/>
      </c>
      <c r="AU359">
        <f ca="1"/>
      </c>
      <c r="AV359">
        <f ca="1"/>
      </c>
      <c r="AW359">
        <f ca="1"/>
      </c>
      <c r="AX359">
        <f ca="1"/>
      </c>
      <c r="AY359">
        <f ca="1"/>
      </c>
      <c r="BA359" s="7">
        <f ca="1"/>
      </c>
      <c r="BB359">
        <f ca="1"/>
      </c>
      <c r="BC359">
        <f ca="1"/>
      </c>
      <c r="BD359">
        <f ca="1"/>
      </c>
      <c r="BE359">
        <f ca="1"/>
      </c>
    </row>
    <row r="360" spans="31:57" x14ac:dyDescent="0.55000000000000004">
      <c r="AE360" s="7">
        <f ca="1"/>
      </c>
      <c r="AF360">
        <f ca="1"/>
      </c>
      <c r="AG360">
        <f ca="1"/>
      </c>
      <c r="AH360">
        <f ca="1"/>
      </c>
      <c r="AI360">
        <f ca="1"/>
      </c>
      <c r="AJ360">
        <f ca="1"/>
      </c>
      <c r="AK360">
        <f ca="1"/>
      </c>
      <c r="AL360">
        <f ca="1"/>
      </c>
      <c r="AM360">
        <f ca="1"/>
      </c>
      <c r="AN360">
        <f ca="1"/>
      </c>
      <c r="AO360">
        <f ca="1"/>
      </c>
      <c r="AP360">
        <f ca="1"/>
      </c>
      <c r="AQ360">
        <f ca="1"/>
      </c>
      <c r="AR360">
        <f ca="1"/>
      </c>
      <c r="AT360" s="7">
        <f ca="1"/>
      </c>
      <c r="AU360">
        <f ca="1"/>
      </c>
      <c r="AV360">
        <f ca="1"/>
      </c>
      <c r="AW360">
        <f ca="1"/>
      </c>
      <c r="AX360">
        <f ca="1"/>
      </c>
      <c r="AY360">
        <f ca="1"/>
      </c>
      <c r="BA360" s="7">
        <f ca="1"/>
      </c>
      <c r="BB360">
        <f ca="1"/>
      </c>
      <c r="BC360">
        <f ca="1"/>
      </c>
      <c r="BD360">
        <f ca="1"/>
      </c>
      <c r="BE360">
        <f ca="1"/>
      </c>
    </row>
    <row r="361" spans="31:57" x14ac:dyDescent="0.55000000000000004">
      <c r="AE361" s="7">
        <f ca="1"/>
      </c>
      <c r="AF361">
        <f ca="1"/>
      </c>
      <c r="AG361">
        <f ca="1"/>
      </c>
      <c r="AH361">
        <f ca="1"/>
      </c>
      <c r="AI361">
        <f ca="1"/>
      </c>
      <c r="AJ361">
        <f ca="1"/>
      </c>
      <c r="AK361">
        <f ca="1"/>
      </c>
      <c r="AL361">
        <f ca="1"/>
      </c>
      <c r="AM361">
        <f ca="1"/>
      </c>
      <c r="AN361">
        <f ca="1"/>
      </c>
      <c r="AO361">
        <f ca="1"/>
      </c>
      <c r="AP361">
        <f ca="1"/>
      </c>
      <c r="AQ361">
        <f ca="1"/>
      </c>
      <c r="AR361">
        <f ca="1"/>
      </c>
      <c r="AT361" s="7">
        <f ca="1"/>
      </c>
      <c r="AU361">
        <f ca="1"/>
      </c>
      <c r="AV361">
        <f ca="1"/>
      </c>
      <c r="AW361">
        <f ca="1"/>
      </c>
      <c r="AX361">
        <f ca="1"/>
      </c>
      <c r="AY361">
        <f ca="1"/>
      </c>
      <c r="BA361" s="7">
        <f ca="1"/>
      </c>
      <c r="BB361">
        <f ca="1"/>
      </c>
      <c r="BC361">
        <f ca="1"/>
      </c>
      <c r="BD361">
        <f ca="1"/>
      </c>
      <c r="BE361">
        <f ca="1"/>
      </c>
    </row>
    <row r="362" spans="31:57" x14ac:dyDescent="0.55000000000000004">
      <c r="AE362" s="7">
        <f ca="1"/>
      </c>
      <c r="AF362">
        <f ca="1"/>
      </c>
      <c r="AG362">
        <f ca="1"/>
      </c>
      <c r="AH362">
        <f ca="1"/>
      </c>
      <c r="AI362">
        <f ca="1"/>
      </c>
      <c r="AJ362">
        <f ca="1"/>
      </c>
      <c r="AK362">
        <f ca="1"/>
      </c>
      <c r="AL362">
        <f ca="1"/>
      </c>
      <c r="AM362">
        <f ca="1"/>
      </c>
      <c r="AN362">
        <f ca="1"/>
      </c>
      <c r="AO362">
        <f ca="1"/>
      </c>
      <c r="AP362">
        <f ca="1"/>
      </c>
      <c r="AQ362">
        <f ca="1"/>
      </c>
      <c r="AR362">
        <f ca="1"/>
      </c>
      <c r="AT362" s="7">
        <f ca="1"/>
      </c>
      <c r="AU362">
        <f ca="1"/>
      </c>
      <c r="AV362">
        <f ca="1"/>
      </c>
      <c r="AW362">
        <f ca="1"/>
      </c>
      <c r="AX362">
        <f ca="1"/>
      </c>
      <c r="AY362">
        <f ca="1"/>
      </c>
      <c r="BA362" s="7">
        <f ca="1"/>
      </c>
      <c r="BB362">
        <f ca="1"/>
      </c>
      <c r="BC362">
        <f ca="1"/>
      </c>
      <c r="BD362">
        <f ca="1"/>
      </c>
      <c r="BE362">
        <f ca="1"/>
      </c>
    </row>
    <row r="363" spans="31:57" x14ac:dyDescent="0.55000000000000004">
      <c r="AE363" s="7">
        <f ca="1"/>
      </c>
      <c r="AF363">
        <f ca="1"/>
      </c>
      <c r="AG363">
        <f ca="1"/>
      </c>
      <c r="AH363">
        <f ca="1"/>
      </c>
      <c r="AI363">
        <f ca="1"/>
      </c>
      <c r="AJ363">
        <f ca="1"/>
      </c>
      <c r="AK363">
        <f ca="1"/>
      </c>
      <c r="AL363">
        <f ca="1"/>
      </c>
      <c r="AM363">
        <f ca="1"/>
      </c>
      <c r="AN363">
        <f ca="1"/>
      </c>
      <c r="AO363">
        <f ca="1"/>
      </c>
      <c r="AP363">
        <f ca="1"/>
      </c>
      <c r="AQ363">
        <f ca="1"/>
      </c>
      <c r="AR363">
        <f ca="1"/>
      </c>
      <c r="AT363" s="7">
        <f ca="1"/>
      </c>
      <c r="AU363">
        <f ca="1"/>
      </c>
      <c r="AV363">
        <f ca="1"/>
      </c>
      <c r="AW363">
        <f ca="1"/>
      </c>
      <c r="AX363">
        <f ca="1"/>
      </c>
      <c r="AY363">
        <f ca="1"/>
      </c>
      <c r="BA363" s="7">
        <f ca="1"/>
      </c>
      <c r="BB363">
        <f ca="1"/>
      </c>
      <c r="BC363">
        <f ca="1"/>
      </c>
      <c r="BD363">
        <f ca="1"/>
      </c>
      <c r="BE363">
        <f ca="1"/>
      </c>
    </row>
    <row r="364" spans="31:57" x14ac:dyDescent="0.55000000000000004">
      <c r="AE364" s="7">
        <f ca="1"/>
      </c>
      <c r="AF364">
        <f ca="1"/>
      </c>
      <c r="AG364">
        <f ca="1"/>
      </c>
      <c r="AH364">
        <f ca="1"/>
      </c>
      <c r="AI364">
        <f ca="1"/>
      </c>
      <c r="AJ364">
        <f ca="1"/>
      </c>
      <c r="AK364">
        <f ca="1"/>
      </c>
      <c r="AL364">
        <f ca="1"/>
      </c>
      <c r="AM364">
        <f ca="1"/>
      </c>
      <c r="AN364">
        <f ca="1"/>
      </c>
      <c r="AO364">
        <f ca="1"/>
      </c>
      <c r="AP364">
        <f ca="1"/>
      </c>
      <c r="AQ364">
        <f ca="1"/>
      </c>
      <c r="AR364">
        <f ca="1"/>
      </c>
      <c r="AT364" s="7">
        <f ca="1"/>
      </c>
      <c r="AU364">
        <f ca="1"/>
      </c>
      <c r="AV364">
        <f ca="1"/>
      </c>
      <c r="AW364">
        <f ca="1"/>
      </c>
      <c r="AX364">
        <f ca="1"/>
      </c>
      <c r="AY364">
        <f ca="1"/>
      </c>
      <c r="BA364" s="7">
        <f ca="1"/>
      </c>
      <c r="BB364">
        <f ca="1"/>
      </c>
      <c r="BC364">
        <f ca="1"/>
      </c>
      <c r="BD364">
        <f ca="1"/>
      </c>
      <c r="BE364">
        <f ca="1"/>
      </c>
    </row>
    <row r="365" spans="31:57" x14ac:dyDescent="0.55000000000000004">
      <c r="AE365" s="7">
        <f ca="1"/>
      </c>
      <c r="AF365">
        <f ca="1"/>
      </c>
      <c r="AG365">
        <f ca="1"/>
      </c>
      <c r="AH365">
        <f ca="1"/>
      </c>
      <c r="AI365">
        <f ca="1"/>
      </c>
      <c r="AJ365">
        <f ca="1"/>
      </c>
      <c r="AK365">
        <f ca="1"/>
      </c>
      <c r="AL365">
        <f ca="1"/>
      </c>
      <c r="AM365">
        <f ca="1"/>
      </c>
      <c r="AN365">
        <f ca="1"/>
      </c>
      <c r="AO365">
        <f ca="1"/>
      </c>
      <c r="AP365">
        <f ca="1"/>
      </c>
      <c r="AQ365">
        <f ca="1"/>
      </c>
      <c r="AR365">
        <f ca="1"/>
      </c>
      <c r="AT365" s="7">
        <f ca="1"/>
      </c>
      <c r="AU365">
        <f ca="1"/>
      </c>
      <c r="AV365">
        <f ca="1"/>
      </c>
      <c r="AW365">
        <f ca="1"/>
      </c>
      <c r="AX365">
        <f ca="1"/>
      </c>
      <c r="AY365">
        <f ca="1"/>
      </c>
      <c r="BA365" s="7">
        <f ca="1"/>
      </c>
      <c r="BB365">
        <f ca="1"/>
      </c>
      <c r="BC365">
        <f ca="1"/>
      </c>
      <c r="BD365">
        <f ca="1"/>
      </c>
      <c r="BE365">
        <f ca="1"/>
      </c>
    </row>
    <row r="366" spans="31:57" x14ac:dyDescent="0.55000000000000004">
      <c r="AE366" s="7">
        <f ca="1"/>
      </c>
      <c r="AF366">
        <f ca="1"/>
      </c>
      <c r="AG366">
        <f ca="1"/>
      </c>
      <c r="AH366">
        <f ca="1"/>
      </c>
      <c r="AI366">
        <f ca="1"/>
      </c>
      <c r="AJ366">
        <f ca="1"/>
      </c>
      <c r="AK366">
        <f ca="1"/>
      </c>
      <c r="AL366">
        <f ca="1"/>
      </c>
      <c r="AM366">
        <f ca="1"/>
      </c>
      <c r="AN366">
        <f ca="1"/>
      </c>
      <c r="AO366">
        <f ca="1"/>
      </c>
      <c r="AP366">
        <f ca="1"/>
      </c>
      <c r="AQ366">
        <f ca="1"/>
      </c>
      <c r="AR366">
        <f ca="1"/>
      </c>
      <c r="AT366" s="7">
        <f ca="1"/>
      </c>
      <c r="AU366">
        <f ca="1"/>
      </c>
      <c r="AV366">
        <f ca="1"/>
      </c>
      <c r="AW366">
        <f ca="1"/>
      </c>
      <c r="AX366">
        <f ca="1"/>
      </c>
      <c r="AY366">
        <f ca="1"/>
      </c>
      <c r="BA366" s="7">
        <f ca="1"/>
      </c>
      <c r="BB366">
        <f ca="1"/>
      </c>
      <c r="BC366">
        <f ca="1"/>
      </c>
      <c r="BD366">
        <f ca="1"/>
      </c>
      <c r="BE366">
        <f ca="1"/>
      </c>
    </row>
    <row r="367" spans="31:57" x14ac:dyDescent="0.55000000000000004">
      <c r="AE367" s="7">
        <f ca="1"/>
      </c>
      <c r="AF367">
        <f ca="1"/>
      </c>
      <c r="AG367">
        <f ca="1"/>
      </c>
      <c r="AH367">
        <f ca="1"/>
      </c>
      <c r="AI367">
        <f ca="1"/>
      </c>
      <c r="AJ367">
        <f ca="1"/>
      </c>
      <c r="AK367">
        <f ca="1"/>
      </c>
      <c r="AL367">
        <f ca="1"/>
      </c>
      <c r="AM367">
        <f ca="1"/>
      </c>
      <c r="AN367">
        <f ca="1"/>
      </c>
      <c r="AO367">
        <f ca="1"/>
      </c>
      <c r="AP367">
        <f ca="1"/>
      </c>
      <c r="AQ367">
        <f ca="1"/>
      </c>
      <c r="AR367">
        <f ca="1"/>
      </c>
      <c r="AT367" s="7">
        <f ca="1"/>
      </c>
      <c r="AU367">
        <f ca="1"/>
      </c>
      <c r="AV367">
        <f ca="1"/>
      </c>
      <c r="AW367">
        <f ca="1"/>
      </c>
      <c r="AX367">
        <f ca="1"/>
      </c>
      <c r="AY367">
        <f ca="1"/>
      </c>
      <c r="BA367" s="7">
        <f ca="1"/>
      </c>
      <c r="BB367">
        <f ca="1"/>
      </c>
      <c r="BC367">
        <f ca="1"/>
      </c>
      <c r="BD367">
        <f ca="1"/>
      </c>
      <c r="BE367">
        <f ca="1"/>
      </c>
    </row>
    <row r="368" spans="31:57" x14ac:dyDescent="0.55000000000000004">
      <c r="AE368" s="7">
        <f ca="1"/>
      </c>
      <c r="AF368">
        <f ca="1"/>
      </c>
      <c r="AG368">
        <f ca="1"/>
      </c>
      <c r="AH368">
        <f ca="1"/>
      </c>
      <c r="AI368">
        <f ca="1"/>
      </c>
      <c r="AJ368">
        <f ca="1"/>
      </c>
      <c r="AK368">
        <f ca="1"/>
      </c>
      <c r="AL368">
        <f ca="1"/>
      </c>
      <c r="AM368">
        <f ca="1"/>
      </c>
      <c r="AN368">
        <f ca="1"/>
      </c>
      <c r="AO368">
        <f ca="1"/>
      </c>
      <c r="AP368">
        <f ca="1"/>
      </c>
      <c r="AQ368">
        <f ca="1"/>
      </c>
      <c r="AR368">
        <f ca="1"/>
      </c>
      <c r="AT368" s="7">
        <f ca="1"/>
      </c>
      <c r="AU368">
        <f ca="1"/>
      </c>
      <c r="AV368">
        <f ca="1"/>
      </c>
      <c r="AW368">
        <f ca="1"/>
      </c>
      <c r="AX368">
        <f ca="1"/>
      </c>
      <c r="AY368">
        <f ca="1"/>
      </c>
      <c r="BA368" s="7">
        <f ca="1"/>
      </c>
      <c r="BB368">
        <f ca="1"/>
      </c>
      <c r="BC368">
        <f ca="1"/>
      </c>
      <c r="BD368">
        <f ca="1"/>
      </c>
      <c r="BE368">
        <f ca="1"/>
      </c>
    </row>
    <row r="369" spans="31:57" x14ac:dyDescent="0.55000000000000004">
      <c r="AE369" s="7">
        <f ca="1"/>
      </c>
      <c r="AF369">
        <f ca="1"/>
      </c>
      <c r="AG369">
        <f ca="1"/>
      </c>
      <c r="AH369">
        <f ca="1"/>
      </c>
      <c r="AI369">
        <f ca="1"/>
      </c>
      <c r="AJ369">
        <f ca="1"/>
      </c>
      <c r="AK369">
        <f ca="1"/>
      </c>
      <c r="AL369">
        <f ca="1"/>
      </c>
      <c r="AM369">
        <f ca="1"/>
      </c>
      <c r="AN369">
        <f ca="1"/>
      </c>
      <c r="AO369">
        <f ca="1"/>
      </c>
      <c r="AP369">
        <f ca="1"/>
      </c>
      <c r="AQ369">
        <f ca="1"/>
      </c>
      <c r="AR369">
        <f ca="1"/>
      </c>
      <c r="AT369" s="7">
        <f ca="1"/>
      </c>
      <c r="AU369">
        <f ca="1"/>
      </c>
      <c r="AV369">
        <f ca="1"/>
      </c>
      <c r="AW369">
        <f ca="1"/>
      </c>
      <c r="AX369">
        <f ca="1"/>
      </c>
      <c r="AY369">
        <f ca="1"/>
      </c>
      <c r="BA369" s="7">
        <f ca="1"/>
      </c>
      <c r="BB369">
        <f ca="1"/>
      </c>
      <c r="BC369">
        <f ca="1"/>
      </c>
      <c r="BD369">
        <f ca="1"/>
      </c>
      <c r="BE369">
        <f ca="1"/>
      </c>
    </row>
    <row r="370" spans="31:57" x14ac:dyDescent="0.55000000000000004">
      <c r="AE370" s="7">
        <f ca="1"/>
      </c>
      <c r="AF370">
        <f ca="1"/>
      </c>
      <c r="AG370">
        <f ca="1"/>
      </c>
      <c r="AH370">
        <f ca="1"/>
      </c>
      <c r="AI370">
        <f ca="1"/>
      </c>
      <c r="AJ370">
        <f ca="1"/>
      </c>
      <c r="AK370">
        <f ca="1"/>
      </c>
      <c r="AL370">
        <f ca="1"/>
      </c>
      <c r="AM370">
        <f ca="1"/>
      </c>
      <c r="AN370">
        <f ca="1"/>
      </c>
      <c r="AO370">
        <f ca="1"/>
      </c>
      <c r="AP370">
        <f ca="1"/>
      </c>
      <c r="AQ370">
        <f ca="1"/>
      </c>
      <c r="AR370">
        <f ca="1"/>
      </c>
      <c r="AT370" s="7">
        <f ca="1"/>
      </c>
      <c r="AU370">
        <f ca="1"/>
      </c>
      <c r="AV370">
        <f ca="1"/>
      </c>
      <c r="AW370">
        <f ca="1"/>
      </c>
      <c r="AX370">
        <f ca="1"/>
      </c>
      <c r="AY370">
        <f ca="1"/>
      </c>
      <c r="BA370" s="7">
        <f ca="1"/>
      </c>
      <c r="BB370">
        <f ca="1"/>
      </c>
      <c r="BC370">
        <f ca="1"/>
      </c>
      <c r="BD370">
        <f ca="1"/>
      </c>
      <c r="BE370">
        <f ca="1"/>
      </c>
    </row>
    <row r="371" spans="31:57" x14ac:dyDescent="0.55000000000000004">
      <c r="AE371" s="7">
        <f ca="1"/>
      </c>
      <c r="AF371">
        <f ca="1"/>
      </c>
      <c r="AG371">
        <f ca="1"/>
      </c>
      <c r="AH371">
        <f ca="1"/>
      </c>
      <c r="AI371">
        <f ca="1"/>
      </c>
      <c r="AJ371">
        <f ca="1"/>
      </c>
      <c r="AK371">
        <f ca="1"/>
      </c>
      <c r="AL371">
        <f ca="1"/>
      </c>
      <c r="AM371">
        <f ca="1"/>
      </c>
      <c r="AN371">
        <f ca="1"/>
      </c>
      <c r="AO371">
        <f ca="1"/>
      </c>
      <c r="AP371">
        <f ca="1"/>
      </c>
      <c r="AQ371">
        <f ca="1"/>
      </c>
      <c r="AR371">
        <f ca="1"/>
      </c>
      <c r="AT371" s="7">
        <f ca="1"/>
      </c>
      <c r="AU371">
        <f ca="1"/>
      </c>
      <c r="AV371">
        <f ca="1"/>
      </c>
      <c r="AW371">
        <f ca="1"/>
      </c>
      <c r="AX371">
        <f ca="1"/>
      </c>
      <c r="AY371">
        <f ca="1"/>
      </c>
      <c r="BA371" s="7">
        <f ca="1"/>
      </c>
      <c r="BB371">
        <f ca="1"/>
      </c>
      <c r="BC371">
        <f ca="1"/>
      </c>
      <c r="BD371">
        <f ca="1"/>
      </c>
      <c r="BE371">
        <f ca="1"/>
      </c>
    </row>
    <row r="372" spans="31:57" x14ac:dyDescent="0.55000000000000004">
      <c r="AE372" s="7">
        <f ca="1"/>
      </c>
      <c r="AF372">
        <f ca="1"/>
      </c>
      <c r="AG372">
        <f ca="1"/>
      </c>
      <c r="AH372">
        <f ca="1"/>
      </c>
      <c r="AI372">
        <f ca="1"/>
      </c>
      <c r="AJ372">
        <f ca="1"/>
      </c>
      <c r="AK372">
        <f ca="1"/>
      </c>
      <c r="AL372">
        <f ca="1"/>
      </c>
      <c r="AM372">
        <f ca="1"/>
      </c>
      <c r="AN372">
        <f ca="1"/>
      </c>
      <c r="AO372">
        <f ca="1"/>
      </c>
      <c r="AP372">
        <f ca="1"/>
      </c>
      <c r="AQ372">
        <f ca="1"/>
      </c>
      <c r="AR372">
        <f ca="1"/>
      </c>
      <c r="AT372" s="7">
        <f ca="1"/>
      </c>
      <c r="AU372">
        <f ca="1"/>
      </c>
      <c r="AV372">
        <f ca="1"/>
      </c>
      <c r="AW372">
        <f ca="1"/>
      </c>
      <c r="AX372">
        <f ca="1"/>
      </c>
      <c r="AY372">
        <f ca="1"/>
      </c>
      <c r="BA372" s="7">
        <f ca="1"/>
      </c>
      <c r="BB372">
        <f ca="1"/>
      </c>
      <c r="BC372">
        <f ca="1"/>
      </c>
      <c r="BD372">
        <f ca="1"/>
      </c>
      <c r="BE372">
        <f ca="1"/>
      </c>
    </row>
    <row r="373" spans="31:57" x14ac:dyDescent="0.55000000000000004">
      <c r="AE373" s="7">
        <f ca="1"/>
      </c>
      <c r="AF373">
        <f ca="1"/>
      </c>
      <c r="AG373">
        <f ca="1"/>
      </c>
      <c r="AH373">
        <f ca="1"/>
      </c>
      <c r="AI373">
        <f ca="1"/>
      </c>
      <c r="AJ373">
        <f ca="1"/>
      </c>
      <c r="AK373">
        <f ca="1"/>
      </c>
      <c r="AL373">
        <f ca="1"/>
      </c>
      <c r="AM373">
        <f ca="1"/>
      </c>
      <c r="AN373">
        <f ca="1"/>
      </c>
      <c r="AO373">
        <f ca="1"/>
      </c>
      <c r="AP373">
        <f ca="1"/>
      </c>
      <c r="AQ373">
        <f ca="1"/>
      </c>
      <c r="AR373">
        <f ca="1"/>
      </c>
      <c r="AT373" s="7">
        <f ca="1"/>
      </c>
      <c r="AU373">
        <f ca="1"/>
      </c>
      <c r="AV373">
        <f ca="1"/>
      </c>
      <c r="AW373">
        <f ca="1"/>
      </c>
      <c r="AX373">
        <f ca="1"/>
      </c>
      <c r="AY373">
        <f ca="1"/>
      </c>
      <c r="BA373" s="7">
        <f ca="1"/>
      </c>
      <c r="BB373">
        <f ca="1"/>
      </c>
      <c r="BC373">
        <f ca="1"/>
      </c>
      <c r="BD373">
        <f ca="1"/>
      </c>
      <c r="BE373">
        <f ca="1"/>
      </c>
    </row>
    <row r="374" spans="31:57" x14ac:dyDescent="0.55000000000000004">
      <c r="AE374" s="7">
        <f ca="1"/>
      </c>
      <c r="AF374">
        <f ca="1"/>
      </c>
      <c r="AG374">
        <f ca="1"/>
      </c>
      <c r="AH374">
        <f ca="1"/>
      </c>
      <c r="AI374">
        <f ca="1"/>
      </c>
      <c r="AJ374">
        <f ca="1"/>
      </c>
      <c r="AK374">
        <f ca="1"/>
      </c>
      <c r="AL374">
        <f ca="1"/>
      </c>
      <c r="AM374">
        <f ca="1"/>
      </c>
      <c r="AN374">
        <f ca="1"/>
      </c>
      <c r="AO374">
        <f ca="1"/>
      </c>
      <c r="AP374">
        <f ca="1"/>
      </c>
      <c r="AQ374">
        <f ca="1"/>
      </c>
      <c r="AR374">
        <f ca="1"/>
      </c>
      <c r="AT374" s="7">
        <f ca="1"/>
      </c>
      <c r="AU374">
        <f ca="1"/>
      </c>
      <c r="AV374">
        <f ca="1"/>
      </c>
      <c r="AW374">
        <f ca="1"/>
      </c>
      <c r="AX374">
        <f ca="1"/>
      </c>
      <c r="AY374">
        <f ca="1"/>
      </c>
      <c r="BA374" s="7">
        <f ca="1"/>
      </c>
      <c r="BB374">
        <f ca="1"/>
      </c>
      <c r="BC374">
        <f ca="1"/>
      </c>
      <c r="BD374">
        <f ca="1"/>
      </c>
      <c r="BE374">
        <f ca="1"/>
      </c>
    </row>
    <row r="375" spans="31:57" x14ac:dyDescent="0.55000000000000004">
      <c r="AE375" s="7">
        <f ca="1"/>
      </c>
      <c r="AF375">
        <f ca="1"/>
      </c>
      <c r="AG375">
        <f ca="1"/>
      </c>
      <c r="AH375">
        <f ca="1"/>
      </c>
      <c r="AI375">
        <f ca="1"/>
      </c>
      <c r="AJ375">
        <f ca="1"/>
      </c>
      <c r="AK375">
        <f ca="1"/>
      </c>
      <c r="AL375">
        <f ca="1"/>
      </c>
      <c r="AM375">
        <f ca="1"/>
      </c>
      <c r="AN375">
        <f ca="1"/>
      </c>
      <c r="AO375">
        <f ca="1"/>
      </c>
      <c r="AP375">
        <f ca="1"/>
      </c>
      <c r="AQ375">
        <f ca="1"/>
      </c>
      <c r="AR375">
        <f ca="1"/>
      </c>
      <c r="AT375" s="7">
        <f ca="1"/>
      </c>
      <c r="AU375">
        <f ca="1"/>
      </c>
      <c r="AV375">
        <f ca="1"/>
      </c>
      <c r="AW375">
        <f ca="1"/>
      </c>
      <c r="AX375">
        <f ca="1"/>
      </c>
      <c r="AY375">
        <f ca="1"/>
      </c>
      <c r="BA375" s="7">
        <f ca="1"/>
      </c>
      <c r="BB375">
        <f ca="1"/>
      </c>
      <c r="BC375">
        <f ca="1"/>
      </c>
      <c r="BD375">
        <f ca="1"/>
      </c>
      <c r="BE375">
        <f ca="1"/>
      </c>
    </row>
    <row r="376" spans="31:57" x14ac:dyDescent="0.55000000000000004">
      <c r="AE376" s="7">
        <f ca="1"/>
      </c>
      <c r="AF376">
        <f ca="1"/>
      </c>
      <c r="AG376">
        <f ca="1"/>
      </c>
      <c r="AH376">
        <f ca="1"/>
      </c>
      <c r="AI376">
        <f ca="1"/>
      </c>
      <c r="AJ376">
        <f ca="1"/>
      </c>
      <c r="AK376">
        <f ca="1"/>
      </c>
      <c r="AL376">
        <f ca="1"/>
      </c>
      <c r="AM376">
        <f ca="1"/>
      </c>
      <c r="AN376">
        <f ca="1"/>
      </c>
      <c r="AO376">
        <f ca="1"/>
      </c>
      <c r="AP376">
        <f ca="1"/>
      </c>
      <c r="AQ376">
        <f ca="1"/>
      </c>
      <c r="AR376">
        <f ca="1"/>
      </c>
      <c r="AT376" s="7">
        <f ca="1"/>
      </c>
      <c r="AU376">
        <f ca="1"/>
      </c>
      <c r="AV376">
        <f ca="1"/>
      </c>
      <c r="AW376">
        <f ca="1"/>
      </c>
      <c r="AX376">
        <f ca="1"/>
      </c>
      <c r="AY376">
        <f ca="1"/>
      </c>
      <c r="BA376" s="7">
        <f ca="1"/>
      </c>
      <c r="BB376">
        <f ca="1"/>
      </c>
      <c r="BC376">
        <f ca="1"/>
      </c>
      <c r="BD376">
        <f ca="1"/>
      </c>
      <c r="BE376">
        <f ca="1"/>
      </c>
    </row>
    <row r="377" spans="31:57" x14ac:dyDescent="0.55000000000000004">
      <c r="AE377" s="7">
        <f ca="1"/>
      </c>
      <c r="AF377">
        <f ca="1"/>
      </c>
      <c r="AG377">
        <f ca="1"/>
      </c>
      <c r="AH377">
        <f ca="1"/>
      </c>
      <c r="AI377">
        <f ca="1"/>
      </c>
      <c r="AJ377">
        <f ca="1"/>
      </c>
      <c r="AK377">
        <f ca="1"/>
      </c>
      <c r="AL377">
        <f ca="1"/>
      </c>
      <c r="AM377">
        <f ca="1"/>
      </c>
      <c r="AN377">
        <f ca="1"/>
      </c>
      <c r="AO377">
        <f ca="1"/>
      </c>
      <c r="AP377">
        <f ca="1"/>
      </c>
      <c r="AQ377">
        <f ca="1"/>
      </c>
      <c r="AR377">
        <f ca="1"/>
      </c>
      <c r="AT377" s="7">
        <f ca="1"/>
      </c>
      <c r="AU377">
        <f ca="1"/>
      </c>
      <c r="AV377">
        <f ca="1"/>
      </c>
      <c r="AW377">
        <f ca="1"/>
      </c>
      <c r="AX377">
        <f ca="1"/>
      </c>
      <c r="AY377">
        <f ca="1"/>
      </c>
      <c r="BA377" s="7">
        <f ca="1"/>
      </c>
      <c r="BB377">
        <f ca="1"/>
      </c>
      <c r="BC377">
        <f ca="1"/>
      </c>
      <c r="BD377">
        <f ca="1"/>
      </c>
      <c r="BE377">
        <f ca="1"/>
      </c>
    </row>
    <row r="378" spans="31:57" x14ac:dyDescent="0.55000000000000004">
      <c r="AE378" s="7">
        <f ca="1"/>
      </c>
      <c r="AF378">
        <f ca="1"/>
      </c>
      <c r="AG378">
        <f ca="1"/>
      </c>
      <c r="AH378">
        <f ca="1"/>
      </c>
      <c r="AI378">
        <f ca="1"/>
      </c>
      <c r="AJ378">
        <f ca="1"/>
      </c>
      <c r="AK378">
        <f ca="1"/>
      </c>
      <c r="AL378">
        <f ca="1"/>
      </c>
      <c r="AM378">
        <f ca="1"/>
      </c>
      <c r="AN378">
        <f ca="1"/>
      </c>
      <c r="AO378">
        <f ca="1"/>
      </c>
      <c r="AP378">
        <f ca="1"/>
      </c>
      <c r="AQ378">
        <f ca="1"/>
      </c>
      <c r="AR378">
        <f ca="1"/>
      </c>
      <c r="AT378" s="7">
        <f ca="1"/>
      </c>
      <c r="AU378">
        <f ca="1"/>
      </c>
      <c r="AV378">
        <f ca="1"/>
      </c>
      <c r="AW378">
        <f ca="1"/>
      </c>
      <c r="AX378">
        <f ca="1"/>
      </c>
      <c r="AY378">
        <f ca="1"/>
      </c>
      <c r="BA378" s="7">
        <f ca="1"/>
      </c>
      <c r="BB378">
        <f ca="1"/>
      </c>
      <c r="BC378">
        <f ca="1"/>
      </c>
      <c r="BD378">
        <f ca="1"/>
      </c>
      <c r="BE378">
        <f ca="1"/>
      </c>
    </row>
    <row r="379" spans="31:57" x14ac:dyDescent="0.55000000000000004">
      <c r="AE379" s="7">
        <f ca="1"/>
      </c>
      <c r="AF379">
        <f ca="1"/>
      </c>
      <c r="AG379">
        <f ca="1"/>
      </c>
      <c r="AH379">
        <f ca="1"/>
      </c>
      <c r="AI379">
        <f ca="1"/>
      </c>
      <c r="AJ379">
        <f ca="1"/>
      </c>
      <c r="AK379">
        <f ca="1"/>
      </c>
      <c r="AL379">
        <f ca="1"/>
      </c>
      <c r="AM379">
        <f ca="1"/>
      </c>
      <c r="AN379">
        <f ca="1"/>
      </c>
      <c r="AO379">
        <f ca="1"/>
      </c>
      <c r="AP379">
        <f ca="1"/>
      </c>
      <c r="AQ379">
        <f ca="1"/>
      </c>
      <c r="AR379">
        <f ca="1"/>
      </c>
      <c r="AT379" s="7">
        <f ca="1"/>
      </c>
      <c r="AU379">
        <f ca="1"/>
      </c>
      <c r="AV379">
        <f ca="1"/>
      </c>
      <c r="AW379">
        <f ca="1"/>
      </c>
      <c r="AX379">
        <f ca="1"/>
      </c>
      <c r="AY379">
        <f ca="1"/>
      </c>
      <c r="BA379" s="7">
        <f ca="1"/>
      </c>
      <c r="BB379">
        <f ca="1"/>
      </c>
      <c r="BC379">
        <f ca="1"/>
      </c>
      <c r="BD379">
        <f ca="1"/>
      </c>
      <c r="BE379">
        <f ca="1"/>
      </c>
    </row>
    <row r="380" spans="31:57" x14ac:dyDescent="0.55000000000000004">
      <c r="AE380" s="7">
        <f ca="1"/>
      </c>
      <c r="AF380">
        <f ca="1"/>
      </c>
      <c r="AG380">
        <f ca="1"/>
      </c>
      <c r="AH380">
        <f ca="1"/>
      </c>
      <c r="AI380">
        <f ca="1"/>
      </c>
      <c r="AJ380">
        <f ca="1"/>
      </c>
      <c r="AK380">
        <f ca="1"/>
      </c>
      <c r="AL380">
        <f ca="1"/>
      </c>
      <c r="AM380">
        <f ca="1"/>
      </c>
      <c r="AN380">
        <f ca="1"/>
      </c>
      <c r="AO380">
        <f ca="1"/>
      </c>
      <c r="AP380">
        <f ca="1"/>
      </c>
      <c r="AQ380">
        <f ca="1"/>
      </c>
      <c r="AR380">
        <f ca="1"/>
      </c>
      <c r="AT380" s="7">
        <f ca="1"/>
      </c>
      <c r="AU380">
        <f ca="1"/>
      </c>
      <c r="AV380">
        <f ca="1"/>
      </c>
      <c r="AW380">
        <f ca="1"/>
      </c>
      <c r="AX380">
        <f ca="1"/>
      </c>
      <c r="AY380">
        <f ca="1"/>
      </c>
      <c r="BA380" s="7">
        <f ca="1"/>
      </c>
      <c r="BB380">
        <f ca="1"/>
      </c>
      <c r="BC380">
        <f ca="1"/>
      </c>
      <c r="BD380">
        <f ca="1"/>
      </c>
      <c r="BE380">
        <f ca="1"/>
      </c>
    </row>
    <row r="381" spans="31:57" x14ac:dyDescent="0.55000000000000004">
      <c r="AE381" s="7">
        <f ca="1"/>
      </c>
      <c r="AF381">
        <f ca="1"/>
      </c>
      <c r="AG381">
        <f ca="1"/>
      </c>
      <c r="AH381">
        <f ca="1"/>
      </c>
      <c r="AI381">
        <f ca="1"/>
      </c>
      <c r="AJ381">
        <f ca="1"/>
      </c>
      <c r="AK381">
        <f ca="1"/>
      </c>
      <c r="AL381">
        <f ca="1"/>
      </c>
      <c r="AM381">
        <f ca="1"/>
      </c>
      <c r="AN381">
        <f ca="1"/>
      </c>
      <c r="AO381">
        <f ca="1"/>
      </c>
      <c r="AP381">
        <f ca="1"/>
      </c>
      <c r="AQ381">
        <f ca="1"/>
      </c>
      <c r="AR381">
        <f ca="1"/>
      </c>
      <c r="AT381" s="7">
        <f ca="1"/>
      </c>
      <c r="AU381">
        <f ca="1"/>
      </c>
      <c r="AV381">
        <f ca="1"/>
      </c>
      <c r="AW381">
        <f ca="1"/>
      </c>
      <c r="AX381">
        <f ca="1"/>
      </c>
      <c r="AY381">
        <f ca="1"/>
      </c>
      <c r="BA381" s="7">
        <f ca="1"/>
      </c>
      <c r="BB381">
        <f ca="1"/>
      </c>
      <c r="BC381">
        <f ca="1"/>
      </c>
      <c r="BD381">
        <f ca="1"/>
      </c>
      <c r="BE381">
        <f ca="1"/>
      </c>
    </row>
    <row r="382" spans="31:57" x14ac:dyDescent="0.55000000000000004">
      <c r="AE382" s="7">
        <f ca="1"/>
      </c>
      <c r="AF382">
        <f ca="1"/>
      </c>
      <c r="AG382">
        <f ca="1"/>
      </c>
      <c r="AH382">
        <f ca="1"/>
      </c>
      <c r="AI382">
        <f ca="1"/>
      </c>
      <c r="AJ382">
        <f ca="1"/>
      </c>
      <c r="AK382">
        <f ca="1"/>
      </c>
      <c r="AL382">
        <f ca="1"/>
      </c>
      <c r="AM382">
        <f ca="1"/>
      </c>
      <c r="AN382">
        <f ca="1"/>
      </c>
      <c r="AO382">
        <f ca="1"/>
      </c>
      <c r="AP382">
        <f ca="1"/>
      </c>
      <c r="AQ382">
        <f ca="1"/>
      </c>
      <c r="AR382">
        <f ca="1"/>
      </c>
      <c r="AT382" s="7">
        <f ca="1"/>
      </c>
      <c r="AU382">
        <f ca="1"/>
      </c>
      <c r="AV382">
        <f ca="1"/>
      </c>
      <c r="AW382">
        <f ca="1"/>
      </c>
      <c r="AX382">
        <f ca="1"/>
      </c>
      <c r="AY382">
        <f ca="1"/>
      </c>
      <c r="BA382" s="7">
        <f ca="1"/>
      </c>
      <c r="BB382">
        <f ca="1"/>
      </c>
      <c r="BC382">
        <f ca="1"/>
      </c>
      <c r="BD382">
        <f ca="1"/>
      </c>
      <c r="BE382">
        <f ca="1"/>
      </c>
    </row>
    <row r="383" spans="31:57" x14ac:dyDescent="0.55000000000000004">
      <c r="AE383" s="7">
        <f ca="1"/>
      </c>
      <c r="AF383">
        <f ca="1"/>
      </c>
      <c r="AG383">
        <f ca="1"/>
      </c>
      <c r="AH383">
        <f ca="1"/>
      </c>
      <c r="AI383">
        <f ca="1"/>
      </c>
      <c r="AJ383">
        <f ca="1"/>
      </c>
      <c r="AK383">
        <f ca="1"/>
      </c>
      <c r="AL383">
        <f ca="1"/>
      </c>
      <c r="AM383">
        <f ca="1"/>
      </c>
      <c r="AN383">
        <f ca="1"/>
      </c>
      <c r="AO383">
        <f ca="1"/>
      </c>
      <c r="AP383">
        <f ca="1"/>
      </c>
      <c r="AQ383">
        <f ca="1"/>
      </c>
      <c r="AR383">
        <f ca="1"/>
      </c>
      <c r="AT383" s="7">
        <f ca="1"/>
      </c>
      <c r="AU383">
        <f ca="1"/>
      </c>
      <c r="AV383">
        <f ca="1"/>
      </c>
      <c r="AW383">
        <f ca="1"/>
      </c>
      <c r="AX383">
        <f ca="1"/>
      </c>
      <c r="AY383">
        <f ca="1"/>
      </c>
      <c r="BA383" s="7">
        <f ca="1"/>
      </c>
      <c r="BB383">
        <f ca="1"/>
      </c>
      <c r="BC383">
        <f ca="1"/>
      </c>
      <c r="BD383">
        <f ca="1"/>
      </c>
      <c r="BE383">
        <f ca="1"/>
      </c>
    </row>
    <row r="384" spans="31:57" x14ac:dyDescent="0.55000000000000004">
      <c r="AE384" s="7">
        <f ca="1"/>
      </c>
      <c r="AF384">
        <f ca="1"/>
      </c>
      <c r="AG384">
        <f ca="1"/>
      </c>
      <c r="AH384">
        <f ca="1"/>
      </c>
      <c r="AI384">
        <f ca="1"/>
      </c>
      <c r="AJ384">
        <f ca="1"/>
      </c>
      <c r="AK384">
        <f ca="1"/>
      </c>
      <c r="AL384">
        <f ca="1"/>
      </c>
      <c r="AM384">
        <f ca="1"/>
      </c>
      <c r="AN384">
        <f ca="1"/>
      </c>
      <c r="AO384">
        <f ca="1"/>
      </c>
      <c r="AP384">
        <f ca="1"/>
      </c>
      <c r="AQ384">
        <f ca="1"/>
      </c>
      <c r="AR384">
        <f ca="1"/>
      </c>
      <c r="AT384" s="7">
        <f ca="1"/>
      </c>
      <c r="AU384">
        <f ca="1"/>
      </c>
      <c r="AV384">
        <f ca="1"/>
      </c>
      <c r="AW384">
        <f ca="1"/>
      </c>
      <c r="AX384">
        <f ca="1"/>
      </c>
      <c r="AY384">
        <f ca="1"/>
      </c>
      <c r="BA384" s="7">
        <f ca="1"/>
      </c>
      <c r="BB384">
        <f ca="1"/>
      </c>
      <c r="BC384">
        <f ca="1"/>
      </c>
      <c r="BD384">
        <f ca="1"/>
      </c>
      <c r="BE384">
        <f ca="1"/>
      </c>
    </row>
    <row r="385" spans="31:57" x14ac:dyDescent="0.55000000000000004">
      <c r="AE385" s="7">
        <f ca="1"/>
      </c>
      <c r="AF385">
        <f ca="1"/>
      </c>
      <c r="AG385">
        <f ca="1"/>
      </c>
      <c r="AH385">
        <f ca="1"/>
      </c>
      <c r="AI385">
        <f ca="1"/>
      </c>
      <c r="AJ385">
        <f ca="1"/>
      </c>
      <c r="AK385">
        <f ca="1"/>
      </c>
      <c r="AL385">
        <f ca="1"/>
      </c>
      <c r="AM385">
        <f ca="1"/>
      </c>
      <c r="AN385">
        <f ca="1"/>
      </c>
      <c r="AO385">
        <f ca="1"/>
      </c>
      <c r="AP385">
        <f ca="1"/>
      </c>
      <c r="AQ385">
        <f ca="1"/>
      </c>
      <c r="AR385">
        <f ca="1"/>
      </c>
      <c r="AT385" s="7">
        <f ca="1"/>
      </c>
      <c r="AU385">
        <f ca="1"/>
      </c>
      <c r="AV385">
        <f ca="1"/>
      </c>
      <c r="AW385">
        <f ca="1"/>
      </c>
      <c r="AX385">
        <f ca="1"/>
      </c>
      <c r="AY385">
        <f ca="1"/>
      </c>
      <c r="BA385" s="7">
        <f ca="1"/>
      </c>
      <c r="BB385">
        <f ca="1"/>
      </c>
      <c r="BC385">
        <f ca="1"/>
      </c>
      <c r="BD385">
        <f ca="1"/>
      </c>
      <c r="BE385">
        <f ca="1"/>
      </c>
    </row>
    <row r="386" spans="31:57" x14ac:dyDescent="0.55000000000000004">
      <c r="AE386" s="7">
        <f ca="1"/>
      </c>
      <c r="AF386">
        <f ca="1"/>
      </c>
      <c r="AG386">
        <f ca="1"/>
      </c>
      <c r="AH386">
        <f ca="1"/>
      </c>
      <c r="AI386">
        <f ca="1"/>
      </c>
      <c r="AJ386">
        <f ca="1"/>
      </c>
      <c r="AK386">
        <f ca="1"/>
      </c>
      <c r="AL386">
        <f ca="1"/>
      </c>
      <c r="AM386">
        <f ca="1"/>
      </c>
      <c r="AN386">
        <f ca="1"/>
      </c>
      <c r="AO386">
        <f ca="1"/>
      </c>
      <c r="AP386">
        <f ca="1"/>
      </c>
      <c r="AQ386">
        <f ca="1"/>
      </c>
      <c r="AR386">
        <f ca="1"/>
      </c>
      <c r="AT386" s="7">
        <f ca="1"/>
      </c>
      <c r="AU386">
        <f ca="1"/>
      </c>
      <c r="AV386">
        <f ca="1"/>
      </c>
      <c r="AW386">
        <f ca="1"/>
      </c>
      <c r="AX386">
        <f ca="1"/>
      </c>
      <c r="AY386">
        <f ca="1"/>
      </c>
      <c r="BA386" s="7">
        <f ca="1"/>
      </c>
      <c r="BB386">
        <f ca="1"/>
      </c>
      <c r="BC386">
        <f ca="1"/>
      </c>
      <c r="BD386">
        <f ca="1"/>
      </c>
      <c r="BE386">
        <f ca="1"/>
      </c>
    </row>
    <row r="387" spans="31:57" x14ac:dyDescent="0.55000000000000004">
      <c r="AE387" s="7">
        <f ca="1"/>
      </c>
      <c r="AF387">
        <f ca="1"/>
      </c>
      <c r="AG387">
        <f ca="1"/>
      </c>
      <c r="AH387">
        <f ca="1"/>
      </c>
      <c r="AI387">
        <f ca="1"/>
      </c>
      <c r="AJ387">
        <f ca="1"/>
      </c>
      <c r="AK387">
        <f ca="1"/>
      </c>
      <c r="AL387">
        <f ca="1"/>
      </c>
      <c r="AM387">
        <f ca="1"/>
      </c>
      <c r="AN387">
        <f ca="1"/>
      </c>
      <c r="AO387">
        <f ca="1"/>
      </c>
      <c r="AP387">
        <f ca="1"/>
      </c>
      <c r="AQ387">
        <f ca="1"/>
      </c>
      <c r="AR387">
        <f ca="1"/>
      </c>
      <c r="AT387" s="7">
        <f ca="1"/>
      </c>
      <c r="AU387">
        <f ca="1"/>
      </c>
      <c r="AV387">
        <f ca="1"/>
      </c>
      <c r="AW387">
        <f ca="1"/>
      </c>
      <c r="AX387">
        <f ca="1"/>
      </c>
      <c r="AY387">
        <f ca="1"/>
      </c>
      <c r="BA387" s="7">
        <f ca="1"/>
      </c>
      <c r="BB387">
        <f ca="1"/>
      </c>
      <c r="BC387">
        <f ca="1"/>
      </c>
      <c r="BD387">
        <f ca="1"/>
      </c>
      <c r="BE387">
        <f ca="1"/>
      </c>
    </row>
    <row r="388" spans="31:57" x14ac:dyDescent="0.55000000000000004">
      <c r="AE388" s="7">
        <f ca="1"/>
      </c>
      <c r="AF388">
        <f ca="1"/>
      </c>
      <c r="AG388">
        <f ca="1"/>
      </c>
      <c r="AH388">
        <f ca="1"/>
      </c>
      <c r="AI388">
        <f ca="1"/>
      </c>
      <c r="AJ388">
        <f ca="1"/>
      </c>
      <c r="AK388">
        <f ca="1"/>
      </c>
      <c r="AL388">
        <f ca="1"/>
      </c>
      <c r="AM388">
        <f ca="1"/>
      </c>
      <c r="AN388">
        <f ca="1"/>
      </c>
      <c r="AO388">
        <f ca="1"/>
      </c>
      <c r="AP388">
        <f ca="1"/>
      </c>
      <c r="AQ388">
        <f ca="1"/>
      </c>
      <c r="AR388">
        <f ca="1"/>
      </c>
      <c r="AT388" s="7">
        <f ca="1"/>
      </c>
      <c r="AU388">
        <f ca="1"/>
      </c>
      <c r="AV388">
        <f ca="1"/>
      </c>
      <c r="AW388">
        <f ca="1"/>
      </c>
      <c r="AX388">
        <f ca="1"/>
      </c>
      <c r="AY388">
        <f ca="1"/>
      </c>
      <c r="BA388" s="7">
        <f ca="1"/>
      </c>
      <c r="BB388">
        <f ca="1"/>
      </c>
      <c r="BC388">
        <f ca="1"/>
      </c>
      <c r="BD388">
        <f ca="1"/>
      </c>
      <c r="BE388">
        <f ca="1"/>
      </c>
    </row>
    <row r="389" spans="31:57" x14ac:dyDescent="0.55000000000000004">
      <c r="AE389" s="7">
        <f ca="1"/>
      </c>
      <c r="AF389">
        <f ca="1"/>
      </c>
      <c r="AG389">
        <f ca="1"/>
      </c>
      <c r="AH389">
        <f ca="1"/>
      </c>
      <c r="AI389">
        <f ca="1"/>
      </c>
      <c r="AJ389">
        <f ca="1"/>
      </c>
      <c r="AK389">
        <f ca="1"/>
      </c>
      <c r="AL389">
        <f ca="1"/>
      </c>
      <c r="AM389">
        <f ca="1"/>
      </c>
      <c r="AN389">
        <f ca="1"/>
      </c>
      <c r="AO389">
        <f ca="1"/>
      </c>
      <c r="AP389">
        <f ca="1"/>
      </c>
      <c r="AQ389">
        <f ca="1"/>
      </c>
      <c r="AR389">
        <f ca="1"/>
      </c>
      <c r="AT389" s="7">
        <f ca="1"/>
      </c>
      <c r="AU389">
        <f ca="1"/>
      </c>
      <c r="AV389">
        <f ca="1"/>
      </c>
      <c r="AW389">
        <f ca="1"/>
      </c>
      <c r="AX389">
        <f ca="1"/>
      </c>
      <c r="AY389">
        <f ca="1"/>
      </c>
      <c r="BA389" s="7">
        <f ca="1"/>
      </c>
      <c r="BB389">
        <f ca="1"/>
      </c>
      <c r="BC389">
        <f ca="1"/>
      </c>
      <c r="BD389">
        <f ca="1"/>
      </c>
      <c r="BE389">
        <f ca="1"/>
      </c>
    </row>
    <row r="390" spans="31:57" x14ac:dyDescent="0.55000000000000004">
      <c r="AE390" s="7">
        <f ca="1"/>
      </c>
      <c r="AF390">
        <f ca="1"/>
      </c>
      <c r="AG390">
        <f ca="1"/>
      </c>
      <c r="AH390">
        <f ca="1"/>
      </c>
      <c r="AI390">
        <f ca="1"/>
      </c>
      <c r="AJ390">
        <f ca="1"/>
      </c>
      <c r="AK390">
        <f ca="1"/>
      </c>
      <c r="AL390">
        <f ca="1"/>
      </c>
      <c r="AM390">
        <f ca="1"/>
      </c>
      <c r="AN390">
        <f ca="1"/>
      </c>
      <c r="AO390">
        <f ca="1"/>
      </c>
      <c r="AP390">
        <f ca="1"/>
      </c>
      <c r="AQ390">
        <f ca="1"/>
      </c>
      <c r="AR390">
        <f ca="1"/>
      </c>
      <c r="AT390" s="7">
        <f ca="1"/>
      </c>
      <c r="AU390">
        <f ca="1"/>
      </c>
      <c r="AV390">
        <f ca="1"/>
      </c>
      <c r="AW390">
        <f ca="1"/>
      </c>
      <c r="AX390">
        <f ca="1"/>
      </c>
      <c r="AY390">
        <f ca="1"/>
      </c>
      <c r="BA390" s="7">
        <f ca="1"/>
      </c>
      <c r="BB390">
        <f ca="1"/>
      </c>
      <c r="BC390">
        <f ca="1"/>
      </c>
      <c r="BD390">
        <f ca="1"/>
      </c>
      <c r="BE390">
        <f ca="1"/>
      </c>
    </row>
    <row r="391" spans="31:57" x14ac:dyDescent="0.55000000000000004">
      <c r="AE391" s="7">
        <f ca="1"/>
      </c>
      <c r="AF391">
        <f ca="1"/>
      </c>
      <c r="AG391">
        <f ca="1"/>
      </c>
      <c r="AH391">
        <f ca="1"/>
      </c>
      <c r="AI391">
        <f ca="1"/>
      </c>
      <c r="AJ391">
        <f ca="1"/>
      </c>
      <c r="AK391">
        <f ca="1"/>
      </c>
      <c r="AL391">
        <f ca="1"/>
      </c>
      <c r="AM391">
        <f ca="1"/>
      </c>
      <c r="AN391">
        <f ca="1"/>
      </c>
      <c r="AO391">
        <f ca="1"/>
      </c>
      <c r="AP391">
        <f ca="1"/>
      </c>
      <c r="AQ391">
        <f ca="1"/>
      </c>
      <c r="AR391">
        <f ca="1"/>
      </c>
      <c r="AT391" s="7">
        <f ca="1"/>
      </c>
      <c r="AU391">
        <f ca="1"/>
      </c>
      <c r="AV391">
        <f ca="1"/>
      </c>
      <c r="AW391">
        <f ca="1"/>
      </c>
      <c r="AX391">
        <f ca="1"/>
      </c>
      <c r="AY391">
        <f ca="1"/>
      </c>
      <c r="BA391" s="7">
        <f ca="1"/>
      </c>
      <c r="BB391">
        <f ca="1"/>
      </c>
      <c r="BC391">
        <f ca="1"/>
      </c>
      <c r="BD391">
        <f ca="1"/>
      </c>
      <c r="BE391">
        <f ca="1"/>
      </c>
    </row>
    <row r="392" spans="31:57" x14ac:dyDescent="0.55000000000000004">
      <c r="AE392" s="7">
        <f ca="1"/>
      </c>
      <c r="AF392">
        <f ca="1"/>
      </c>
      <c r="AG392">
        <f ca="1"/>
      </c>
      <c r="AH392">
        <f ca="1"/>
      </c>
      <c r="AI392">
        <f ca="1"/>
      </c>
      <c r="AJ392">
        <f ca="1"/>
      </c>
      <c r="AK392">
        <f ca="1"/>
      </c>
      <c r="AL392">
        <f ca="1"/>
      </c>
      <c r="AM392">
        <f ca="1"/>
      </c>
      <c r="AN392">
        <f ca="1"/>
      </c>
      <c r="AO392">
        <f ca="1"/>
      </c>
      <c r="AP392">
        <f ca="1"/>
      </c>
      <c r="AQ392">
        <f ca="1"/>
      </c>
      <c r="AR392">
        <f ca="1"/>
      </c>
      <c r="AT392" s="7">
        <f ca="1"/>
      </c>
      <c r="AU392">
        <f ca="1"/>
      </c>
      <c r="AV392">
        <f ca="1"/>
      </c>
      <c r="AW392">
        <f ca="1"/>
      </c>
      <c r="AX392">
        <f ca="1"/>
      </c>
      <c r="AY392">
        <f ca="1"/>
      </c>
      <c r="BA392" s="7">
        <f ca="1"/>
      </c>
      <c r="BB392">
        <f ca="1"/>
      </c>
      <c r="BC392">
        <f ca="1"/>
      </c>
      <c r="BD392">
        <f ca="1"/>
      </c>
      <c r="BE392">
        <f ca="1"/>
      </c>
    </row>
    <row r="393" spans="31:57" x14ac:dyDescent="0.55000000000000004">
      <c r="AE393" s="7">
        <f ca="1"/>
      </c>
      <c r="AF393">
        <f ca="1"/>
      </c>
      <c r="AG393">
        <f ca="1"/>
      </c>
      <c r="AH393">
        <f ca="1"/>
      </c>
      <c r="AI393">
        <f ca="1"/>
      </c>
      <c r="AJ393">
        <f ca="1"/>
      </c>
      <c r="AK393">
        <f ca="1"/>
      </c>
      <c r="AL393">
        <f ca="1"/>
      </c>
      <c r="AM393">
        <f ca="1"/>
      </c>
      <c r="AN393">
        <f ca="1"/>
      </c>
      <c r="AO393">
        <f ca="1"/>
      </c>
      <c r="AP393">
        <f ca="1"/>
      </c>
      <c r="AQ393">
        <f ca="1"/>
      </c>
      <c r="AR393">
        <f ca="1"/>
      </c>
      <c r="AT393" s="7">
        <f ca="1"/>
      </c>
      <c r="AU393">
        <f ca="1"/>
      </c>
      <c r="AV393">
        <f ca="1"/>
      </c>
      <c r="AW393">
        <f ca="1"/>
      </c>
      <c r="AX393">
        <f ca="1"/>
      </c>
      <c r="AY393">
        <f ca="1"/>
      </c>
      <c r="BA393" s="7">
        <f ca="1"/>
      </c>
      <c r="BB393">
        <f ca="1"/>
      </c>
      <c r="BC393">
        <f ca="1"/>
      </c>
      <c r="BD393">
        <f ca="1"/>
      </c>
      <c r="BE393">
        <f ca="1"/>
      </c>
    </row>
    <row r="394" spans="31:57" x14ac:dyDescent="0.55000000000000004">
      <c r="AE394" s="7">
        <f ca="1"/>
      </c>
      <c r="AF394">
        <f ca="1"/>
      </c>
      <c r="AG394">
        <f ca="1"/>
      </c>
      <c r="AH394">
        <f ca="1"/>
      </c>
      <c r="AI394">
        <f ca="1"/>
      </c>
      <c r="AJ394">
        <f ca="1"/>
      </c>
      <c r="AK394">
        <f ca="1"/>
      </c>
      <c r="AL394">
        <f ca="1"/>
      </c>
      <c r="AM394">
        <f ca="1"/>
      </c>
      <c r="AN394">
        <f ca="1"/>
      </c>
      <c r="AO394">
        <f ca="1"/>
      </c>
      <c r="AP394">
        <f ca="1"/>
      </c>
      <c r="AQ394">
        <f ca="1"/>
      </c>
      <c r="AR394">
        <f ca="1"/>
      </c>
      <c r="AT394" s="7">
        <f ca="1"/>
      </c>
      <c r="AU394">
        <f ca="1"/>
      </c>
      <c r="AV394">
        <f ca="1"/>
      </c>
      <c r="AW394">
        <f ca="1"/>
      </c>
      <c r="AX394">
        <f ca="1"/>
      </c>
      <c r="AY394">
        <f ca="1"/>
      </c>
      <c r="BA394" s="7">
        <f ca="1"/>
      </c>
      <c r="BB394">
        <f ca="1"/>
      </c>
      <c r="BC394">
        <f ca="1"/>
      </c>
      <c r="BD394">
        <f ca="1"/>
      </c>
      <c r="BE394">
        <f ca="1"/>
      </c>
    </row>
    <row r="395" spans="31:57" x14ac:dyDescent="0.55000000000000004">
      <c r="AE395" s="7">
        <f ca="1"/>
      </c>
      <c r="AF395">
        <f ca="1"/>
      </c>
      <c r="AG395">
        <f ca="1"/>
      </c>
      <c r="AH395">
        <f ca="1"/>
      </c>
      <c r="AI395">
        <f ca="1"/>
      </c>
      <c r="AJ395">
        <f ca="1"/>
      </c>
      <c r="AK395">
        <f ca="1"/>
      </c>
      <c r="AL395">
        <f ca="1"/>
      </c>
      <c r="AM395">
        <f ca="1"/>
      </c>
      <c r="AN395">
        <f ca="1"/>
      </c>
      <c r="AO395">
        <f ca="1"/>
      </c>
      <c r="AP395">
        <f ca="1"/>
      </c>
      <c r="AQ395">
        <f ca="1"/>
      </c>
      <c r="AR395">
        <f ca="1"/>
      </c>
      <c r="AT395" s="7">
        <f ca="1"/>
      </c>
      <c r="AU395">
        <f ca="1"/>
      </c>
      <c r="AV395">
        <f ca="1"/>
      </c>
      <c r="AW395">
        <f ca="1"/>
      </c>
      <c r="AX395">
        <f ca="1"/>
      </c>
      <c r="AY395">
        <f ca="1"/>
      </c>
      <c r="BA395" s="7">
        <f ca="1"/>
      </c>
      <c r="BB395">
        <f ca="1"/>
      </c>
      <c r="BC395">
        <f ca="1"/>
      </c>
      <c r="BD395">
        <f ca="1"/>
      </c>
      <c r="BE395">
        <f ca="1"/>
      </c>
    </row>
    <row r="396" spans="31:57" x14ac:dyDescent="0.55000000000000004">
      <c r="AE396" s="7">
        <f ca="1"/>
      </c>
      <c r="AF396">
        <f ca="1"/>
      </c>
      <c r="AG396">
        <f ca="1"/>
      </c>
      <c r="AH396">
        <f ca="1"/>
      </c>
      <c r="AI396">
        <f ca="1"/>
      </c>
      <c r="AJ396">
        <f ca="1"/>
      </c>
      <c r="AK396">
        <f ca="1"/>
      </c>
      <c r="AL396">
        <f ca="1"/>
      </c>
      <c r="AM396">
        <f ca="1"/>
      </c>
      <c r="AN396">
        <f ca="1"/>
      </c>
      <c r="AO396">
        <f ca="1"/>
      </c>
      <c r="AP396">
        <f ca="1"/>
      </c>
      <c r="AQ396">
        <f ca="1"/>
      </c>
      <c r="AR396">
        <f ca="1"/>
      </c>
      <c r="AT396" s="7">
        <f ca="1"/>
      </c>
      <c r="AU396">
        <f ca="1"/>
      </c>
      <c r="AV396">
        <f ca="1"/>
      </c>
      <c r="AW396">
        <f ca="1"/>
      </c>
      <c r="AX396">
        <f ca="1"/>
      </c>
      <c r="AY396">
        <f ca="1"/>
      </c>
      <c r="BA396" s="7">
        <f ca="1"/>
      </c>
      <c r="BB396">
        <f ca="1"/>
      </c>
      <c r="BC396">
        <f ca="1"/>
      </c>
      <c r="BD396">
        <f ca="1"/>
      </c>
      <c r="BE396">
        <f ca="1"/>
      </c>
    </row>
    <row r="397" spans="31:57" x14ac:dyDescent="0.55000000000000004">
      <c r="AE397" s="7">
        <f ca="1"/>
      </c>
      <c r="AF397">
        <f ca="1"/>
      </c>
      <c r="AG397">
        <f ca="1"/>
      </c>
      <c r="AH397">
        <f ca="1"/>
      </c>
      <c r="AI397">
        <f ca="1"/>
      </c>
      <c r="AJ397">
        <f ca="1"/>
      </c>
      <c r="AK397">
        <f ca="1"/>
      </c>
      <c r="AL397">
        <f ca="1"/>
      </c>
      <c r="AM397">
        <f ca="1"/>
      </c>
      <c r="AN397">
        <f ca="1"/>
      </c>
      <c r="AO397">
        <f ca="1"/>
      </c>
      <c r="AP397">
        <f ca="1"/>
      </c>
      <c r="AQ397">
        <f ca="1"/>
      </c>
      <c r="AR397">
        <f ca="1"/>
      </c>
      <c r="AT397" s="7">
        <f ca="1"/>
      </c>
      <c r="AU397">
        <f ca="1"/>
      </c>
      <c r="AV397">
        <f ca="1"/>
      </c>
      <c r="AW397">
        <f ca="1"/>
      </c>
      <c r="AX397">
        <f ca="1"/>
      </c>
      <c r="AY397">
        <f ca="1"/>
      </c>
      <c r="BA397" s="7">
        <f ca="1"/>
      </c>
      <c r="BB397">
        <f ca="1"/>
      </c>
      <c r="BC397">
        <f ca="1"/>
      </c>
      <c r="BD397">
        <f ca="1"/>
      </c>
      <c r="BE397">
        <f ca="1"/>
      </c>
    </row>
    <row r="398" spans="31:57" x14ac:dyDescent="0.55000000000000004">
      <c r="AE398" s="7">
        <f ca="1"/>
      </c>
      <c r="AF398">
        <f ca="1"/>
      </c>
      <c r="AG398">
        <f ca="1"/>
      </c>
      <c r="AH398">
        <f ca="1"/>
      </c>
      <c r="AI398">
        <f ca="1"/>
      </c>
      <c r="AJ398">
        <f ca="1"/>
      </c>
      <c r="AK398">
        <f ca="1"/>
      </c>
      <c r="AL398">
        <f ca="1"/>
      </c>
      <c r="AM398">
        <f ca="1"/>
      </c>
      <c r="AN398">
        <f ca="1"/>
      </c>
      <c r="AO398">
        <f ca="1"/>
      </c>
      <c r="AP398">
        <f ca="1"/>
      </c>
      <c r="AQ398">
        <f ca="1"/>
      </c>
      <c r="AR398">
        <f ca="1"/>
      </c>
      <c r="AT398" s="7">
        <f ca="1"/>
      </c>
      <c r="AU398">
        <f ca="1"/>
      </c>
      <c r="AV398">
        <f ca="1"/>
      </c>
      <c r="AW398">
        <f ca="1"/>
      </c>
      <c r="AX398">
        <f ca="1"/>
      </c>
      <c r="AY398">
        <f ca="1"/>
      </c>
      <c r="BA398" s="7">
        <f ca="1"/>
      </c>
      <c r="BB398">
        <f ca="1"/>
      </c>
      <c r="BC398">
        <f ca="1"/>
      </c>
      <c r="BD398">
        <f ca="1"/>
      </c>
      <c r="BE398">
        <f ca="1"/>
      </c>
    </row>
    <row r="399" spans="31:57" x14ac:dyDescent="0.55000000000000004">
      <c r="AE399" s="7">
        <f ca="1"/>
      </c>
      <c r="AF399">
        <f ca="1"/>
      </c>
      <c r="AG399">
        <f ca="1"/>
      </c>
      <c r="AH399">
        <f ca="1"/>
      </c>
      <c r="AI399">
        <f ca="1"/>
      </c>
      <c r="AJ399">
        <f ca="1"/>
      </c>
      <c r="AK399">
        <f ca="1"/>
      </c>
      <c r="AL399">
        <f ca="1"/>
      </c>
      <c r="AM399">
        <f ca="1"/>
      </c>
      <c r="AN399">
        <f ca="1"/>
      </c>
      <c r="AO399">
        <f ca="1"/>
      </c>
      <c r="AP399">
        <f ca="1"/>
      </c>
      <c r="AQ399">
        <f ca="1"/>
      </c>
      <c r="AR399">
        <f ca="1"/>
      </c>
      <c r="AT399" s="7">
        <f ca="1"/>
      </c>
      <c r="AU399">
        <f ca="1"/>
      </c>
      <c r="AV399">
        <f ca="1"/>
      </c>
      <c r="AW399">
        <f ca="1"/>
      </c>
      <c r="AX399">
        <f ca="1"/>
      </c>
      <c r="AY399">
        <f ca="1"/>
      </c>
      <c r="BA399" s="7">
        <f ca="1"/>
      </c>
      <c r="BB399">
        <f ca="1"/>
      </c>
      <c r="BC399">
        <f ca="1"/>
      </c>
      <c r="BD399">
        <f ca="1"/>
      </c>
      <c r="BE399">
        <f ca="1"/>
      </c>
    </row>
    <row r="400" spans="31:57" x14ac:dyDescent="0.55000000000000004">
      <c r="AE400" s="7">
        <f ca="1"/>
      </c>
      <c r="AF400">
        <f ca="1"/>
      </c>
      <c r="AG400">
        <f ca="1"/>
      </c>
      <c r="AH400">
        <f ca="1"/>
      </c>
      <c r="AI400">
        <f ca="1"/>
      </c>
      <c r="AJ400">
        <f ca="1"/>
      </c>
      <c r="AK400">
        <f ca="1"/>
      </c>
      <c r="AL400">
        <f ca="1"/>
      </c>
      <c r="AM400">
        <f ca="1"/>
      </c>
      <c r="AN400">
        <f ca="1"/>
      </c>
      <c r="AO400">
        <f ca="1"/>
      </c>
      <c r="AP400">
        <f ca="1"/>
      </c>
      <c r="AQ400">
        <f ca="1"/>
      </c>
      <c r="AR400">
        <f ca="1"/>
      </c>
      <c r="AT400" s="7">
        <f ca="1"/>
      </c>
      <c r="AU400">
        <f ca="1"/>
      </c>
      <c r="AV400">
        <f ca="1"/>
      </c>
      <c r="AW400">
        <f ca="1"/>
      </c>
      <c r="AX400">
        <f ca="1"/>
      </c>
      <c r="AY400">
        <f ca="1"/>
      </c>
      <c r="BA400" s="7">
        <f ca="1"/>
      </c>
      <c r="BB400">
        <f ca="1"/>
      </c>
      <c r="BC400">
        <f ca="1"/>
      </c>
      <c r="BD400">
        <f ca="1"/>
      </c>
      <c r="BE400">
        <f ca="1"/>
      </c>
    </row>
    <row r="401" spans="31:57" x14ac:dyDescent="0.55000000000000004">
      <c r="AE401" s="7">
        <f ca="1"/>
      </c>
      <c r="AF401">
        <f ca="1"/>
      </c>
      <c r="AG401">
        <f ca="1"/>
      </c>
      <c r="AH401">
        <f ca="1"/>
      </c>
      <c r="AI401">
        <f ca="1"/>
      </c>
      <c r="AJ401">
        <f ca="1"/>
      </c>
      <c r="AK401">
        <f ca="1"/>
      </c>
      <c r="AL401">
        <f ca="1"/>
      </c>
      <c r="AM401">
        <f ca="1"/>
      </c>
      <c r="AN401">
        <f ca="1"/>
      </c>
      <c r="AO401">
        <f ca="1"/>
      </c>
      <c r="AP401">
        <f ca="1"/>
      </c>
      <c r="AQ401">
        <f ca="1"/>
      </c>
      <c r="AR401">
        <f ca="1"/>
      </c>
      <c r="AT401" s="7">
        <f ca="1"/>
      </c>
      <c r="AU401">
        <f ca="1"/>
      </c>
      <c r="AV401">
        <f ca="1"/>
      </c>
      <c r="AW401">
        <f ca="1"/>
      </c>
      <c r="AX401">
        <f ca="1"/>
      </c>
      <c r="AY401">
        <f ca="1"/>
      </c>
      <c r="BA401" s="7">
        <f ca="1"/>
      </c>
      <c r="BB401">
        <f ca="1"/>
      </c>
      <c r="BC401">
        <f ca="1"/>
      </c>
      <c r="BD401">
        <f ca="1"/>
      </c>
      <c r="BE401">
        <f ca="1"/>
      </c>
    </row>
    <row r="402" spans="31:57" x14ac:dyDescent="0.55000000000000004">
      <c r="AE402" s="7">
        <f ca="1"/>
      </c>
      <c r="AF402">
        <f ca="1"/>
      </c>
      <c r="AG402">
        <f ca="1"/>
      </c>
      <c r="AH402">
        <f ca="1"/>
      </c>
      <c r="AI402">
        <f ca="1"/>
      </c>
      <c r="AJ402">
        <f ca="1"/>
      </c>
      <c r="AK402">
        <f ca="1"/>
      </c>
      <c r="AL402">
        <f ca="1"/>
      </c>
      <c r="AM402">
        <f ca="1"/>
      </c>
      <c r="AN402">
        <f ca="1"/>
      </c>
      <c r="AO402">
        <f ca="1"/>
      </c>
      <c r="AP402">
        <f ca="1"/>
      </c>
      <c r="AQ402">
        <f ca="1"/>
      </c>
      <c r="AR402">
        <f ca="1"/>
      </c>
      <c r="AT402" s="7">
        <f ca="1"/>
      </c>
      <c r="AU402">
        <f ca="1"/>
      </c>
      <c r="AV402">
        <f ca="1"/>
      </c>
      <c r="AW402">
        <f ca="1"/>
      </c>
      <c r="AX402">
        <f ca="1"/>
      </c>
      <c r="AY402">
        <f ca="1"/>
      </c>
      <c r="BA402" s="7">
        <f ca="1"/>
      </c>
      <c r="BB402">
        <f ca="1"/>
      </c>
      <c r="BC402">
        <f ca="1"/>
      </c>
      <c r="BD402">
        <f ca="1"/>
      </c>
      <c r="BE402">
        <f ca="1"/>
      </c>
    </row>
    <row r="403" spans="31:57" x14ac:dyDescent="0.55000000000000004">
      <c r="AE403" s="7">
        <f ca="1"/>
      </c>
      <c r="AF403">
        <f ca="1"/>
      </c>
      <c r="AG403">
        <f ca="1"/>
      </c>
      <c r="AH403">
        <f ca="1"/>
      </c>
      <c r="AI403">
        <f ca="1"/>
      </c>
      <c r="AJ403">
        <f ca="1"/>
      </c>
      <c r="AK403">
        <f ca="1"/>
      </c>
      <c r="AL403">
        <f ca="1"/>
      </c>
      <c r="AM403">
        <f ca="1"/>
      </c>
      <c r="AN403">
        <f ca="1"/>
      </c>
      <c r="AO403">
        <f ca="1"/>
      </c>
      <c r="AP403">
        <f ca="1"/>
      </c>
      <c r="AQ403">
        <f ca="1"/>
      </c>
      <c r="AR403">
        <f ca="1"/>
      </c>
      <c r="AT403" s="7">
        <f ca="1"/>
      </c>
      <c r="AU403">
        <f ca="1"/>
      </c>
      <c r="AV403">
        <f ca="1"/>
      </c>
      <c r="AW403">
        <f ca="1"/>
      </c>
      <c r="AX403">
        <f ca="1"/>
      </c>
      <c r="AY403">
        <f ca="1"/>
      </c>
      <c r="BA403" s="7">
        <f ca="1"/>
      </c>
      <c r="BB403">
        <f ca="1"/>
      </c>
      <c r="BC403">
        <f ca="1"/>
      </c>
      <c r="BD403">
        <f ca="1"/>
      </c>
      <c r="BE403">
        <f ca="1"/>
      </c>
    </row>
    <row r="404" spans="31:57" x14ac:dyDescent="0.55000000000000004">
      <c r="AE404" s="7">
        <f ca="1"/>
      </c>
      <c r="AF404">
        <f ca="1"/>
      </c>
      <c r="AG404">
        <f ca="1"/>
      </c>
      <c r="AH404">
        <f ca="1"/>
      </c>
      <c r="AI404">
        <f ca="1"/>
      </c>
      <c r="AJ404">
        <f ca="1"/>
      </c>
      <c r="AK404">
        <f ca="1"/>
      </c>
      <c r="AL404">
        <f ca="1"/>
      </c>
      <c r="AM404">
        <f ca="1"/>
      </c>
      <c r="AN404">
        <f ca="1"/>
      </c>
      <c r="AO404">
        <f ca="1"/>
      </c>
      <c r="AP404">
        <f ca="1"/>
      </c>
      <c r="AQ404">
        <f ca="1"/>
      </c>
      <c r="AR404">
        <f ca="1"/>
      </c>
      <c r="AT404" s="7">
        <f ca="1"/>
      </c>
      <c r="AU404">
        <f ca="1"/>
      </c>
      <c r="AV404">
        <f ca="1"/>
      </c>
      <c r="AW404">
        <f ca="1"/>
      </c>
      <c r="AX404">
        <f ca="1"/>
      </c>
      <c r="AY404">
        <f ca="1"/>
      </c>
      <c r="BA404" s="7">
        <f ca="1"/>
      </c>
      <c r="BB404">
        <f ca="1"/>
      </c>
      <c r="BC404">
        <f ca="1"/>
      </c>
      <c r="BD404">
        <f ca="1"/>
      </c>
      <c r="BE404">
        <f ca="1"/>
      </c>
    </row>
    <row r="405" spans="31:57" x14ac:dyDescent="0.55000000000000004">
      <c r="AE405" s="7">
        <f ca="1"/>
      </c>
      <c r="AF405">
        <f ca="1"/>
      </c>
      <c r="AG405">
        <f ca="1"/>
      </c>
      <c r="AH405">
        <f ca="1"/>
      </c>
      <c r="AI405">
        <f ca="1"/>
      </c>
      <c r="AJ405">
        <f ca="1"/>
      </c>
      <c r="AK405">
        <f ca="1"/>
      </c>
      <c r="AL405">
        <f ca="1"/>
      </c>
      <c r="AM405">
        <f ca="1"/>
      </c>
      <c r="AN405">
        <f ca="1"/>
      </c>
      <c r="AO405">
        <f ca="1"/>
      </c>
      <c r="AP405">
        <f ca="1"/>
      </c>
      <c r="AQ405">
        <f ca="1"/>
      </c>
      <c r="AR405">
        <f ca="1"/>
      </c>
      <c r="AT405" s="7">
        <f ca="1"/>
      </c>
      <c r="AU405">
        <f ca="1"/>
      </c>
      <c r="AV405">
        <f ca="1"/>
      </c>
      <c r="AW405">
        <f ca="1"/>
      </c>
      <c r="AX405">
        <f ca="1"/>
      </c>
      <c r="AY405">
        <f ca="1"/>
      </c>
      <c r="BA405" s="7">
        <f ca="1"/>
      </c>
      <c r="BB405">
        <f ca="1"/>
      </c>
      <c r="BC405">
        <f ca="1"/>
      </c>
      <c r="BD405">
        <f ca="1"/>
      </c>
      <c r="BE405">
        <f ca="1"/>
      </c>
    </row>
    <row r="406" spans="31:57" x14ac:dyDescent="0.55000000000000004">
      <c r="AE406" s="7">
        <f ca="1"/>
      </c>
      <c r="AF406">
        <f ca="1"/>
      </c>
      <c r="AG406">
        <f ca="1"/>
      </c>
      <c r="AH406">
        <f ca="1"/>
      </c>
      <c r="AI406">
        <f ca="1"/>
      </c>
      <c r="AJ406">
        <f ca="1"/>
      </c>
      <c r="AK406">
        <f ca="1"/>
      </c>
      <c r="AL406">
        <f ca="1"/>
      </c>
      <c r="AM406">
        <f ca="1"/>
      </c>
      <c r="AN406">
        <f ca="1"/>
      </c>
      <c r="AO406">
        <f ca="1"/>
      </c>
      <c r="AP406">
        <f ca="1"/>
      </c>
      <c r="AQ406">
        <f ca="1"/>
      </c>
      <c r="AR406">
        <f ca="1"/>
      </c>
      <c r="AT406" s="7">
        <f ca="1"/>
      </c>
      <c r="AU406">
        <f ca="1"/>
      </c>
      <c r="AV406">
        <f ca="1"/>
      </c>
      <c r="AW406">
        <f ca="1"/>
      </c>
      <c r="AX406">
        <f ca="1"/>
      </c>
      <c r="AY406">
        <f ca="1"/>
      </c>
      <c r="BA406" s="7">
        <f ca="1"/>
      </c>
      <c r="BB406">
        <f ca="1"/>
      </c>
      <c r="BC406">
        <f ca="1"/>
      </c>
      <c r="BD406">
        <f ca="1"/>
      </c>
      <c r="BE406">
        <f ca="1"/>
      </c>
    </row>
    <row r="407" spans="31:57" x14ac:dyDescent="0.55000000000000004">
      <c r="AE407" s="7">
        <f ca="1"/>
      </c>
      <c r="AF407">
        <f ca="1"/>
      </c>
      <c r="AG407">
        <f ca="1"/>
      </c>
      <c r="AH407">
        <f ca="1"/>
      </c>
      <c r="AI407">
        <f ca="1"/>
      </c>
      <c r="AJ407">
        <f ca="1"/>
      </c>
      <c r="AK407">
        <f ca="1"/>
      </c>
      <c r="AL407">
        <f ca="1"/>
      </c>
      <c r="AM407">
        <f ca="1"/>
      </c>
      <c r="AN407">
        <f ca="1"/>
      </c>
      <c r="AO407">
        <f ca="1"/>
      </c>
      <c r="AP407">
        <f ca="1"/>
      </c>
      <c r="AQ407">
        <f ca="1"/>
      </c>
      <c r="AR407">
        <f ca="1"/>
      </c>
      <c r="AT407" s="7">
        <f ca="1"/>
      </c>
      <c r="AU407">
        <f ca="1"/>
      </c>
      <c r="AV407">
        <f ca="1"/>
      </c>
      <c r="AW407">
        <f ca="1"/>
      </c>
      <c r="AX407">
        <f ca="1"/>
      </c>
      <c r="AY407">
        <f ca="1"/>
      </c>
      <c r="BA407" s="7">
        <f ca="1"/>
      </c>
      <c r="BB407">
        <f ca="1"/>
      </c>
      <c r="BC407">
        <f ca="1"/>
      </c>
      <c r="BD407">
        <f ca="1"/>
      </c>
      <c r="BE407">
        <f ca="1"/>
      </c>
    </row>
    <row r="408" spans="31:57" x14ac:dyDescent="0.55000000000000004">
      <c r="AE408" s="7">
        <f ca="1"/>
      </c>
      <c r="AF408">
        <f ca="1"/>
      </c>
      <c r="AG408">
        <f ca="1"/>
      </c>
      <c r="AH408">
        <f ca="1"/>
      </c>
      <c r="AI408">
        <f ca="1"/>
      </c>
      <c r="AJ408">
        <f ca="1"/>
      </c>
      <c r="AK408">
        <f ca="1"/>
      </c>
      <c r="AL408">
        <f ca="1"/>
      </c>
      <c r="AM408">
        <f ca="1"/>
      </c>
      <c r="AN408">
        <f ca="1"/>
      </c>
      <c r="AO408">
        <f ca="1"/>
      </c>
      <c r="AP408">
        <f ca="1"/>
      </c>
      <c r="AQ408">
        <f ca="1"/>
      </c>
      <c r="AR408">
        <f ca="1"/>
      </c>
      <c r="AT408" s="7">
        <f ca="1"/>
      </c>
      <c r="AU408">
        <f ca="1"/>
      </c>
      <c r="AV408">
        <f ca="1"/>
      </c>
      <c r="AW408">
        <f ca="1"/>
      </c>
      <c r="AX408">
        <f ca="1"/>
      </c>
      <c r="AY408">
        <f ca="1"/>
      </c>
      <c r="BA408" s="7">
        <f ca="1"/>
      </c>
      <c r="BB408">
        <f ca="1"/>
      </c>
      <c r="BC408">
        <f ca="1"/>
      </c>
      <c r="BD408">
        <f ca="1"/>
      </c>
      <c r="BE408">
        <f ca="1"/>
      </c>
    </row>
    <row r="409" spans="31:57" x14ac:dyDescent="0.55000000000000004">
      <c r="AE409" s="7">
        <f ca="1"/>
      </c>
      <c r="AF409">
        <f ca="1"/>
      </c>
      <c r="AG409">
        <f ca="1"/>
      </c>
      <c r="AH409">
        <f ca="1"/>
      </c>
      <c r="AI409">
        <f ca="1"/>
      </c>
      <c r="AJ409">
        <f ca="1"/>
      </c>
      <c r="AK409">
        <f ca="1"/>
      </c>
      <c r="AL409">
        <f ca="1"/>
      </c>
      <c r="AM409">
        <f ca="1"/>
      </c>
      <c r="AN409">
        <f ca="1"/>
      </c>
      <c r="AO409">
        <f ca="1"/>
      </c>
      <c r="AP409">
        <f ca="1"/>
      </c>
      <c r="AQ409">
        <f ca="1"/>
      </c>
      <c r="AR409">
        <f ca="1"/>
      </c>
      <c r="AT409" s="7">
        <f ca="1"/>
      </c>
      <c r="AU409">
        <f ca="1"/>
      </c>
      <c r="AV409">
        <f ca="1"/>
      </c>
      <c r="AW409">
        <f ca="1"/>
      </c>
      <c r="AX409">
        <f ca="1"/>
      </c>
      <c r="AY409">
        <f ca="1"/>
      </c>
      <c r="BA409" s="7">
        <f ca="1"/>
      </c>
      <c r="BB409">
        <f ca="1"/>
      </c>
      <c r="BC409">
        <f ca="1"/>
      </c>
      <c r="BD409">
        <f ca="1"/>
      </c>
      <c r="BE409">
        <f ca="1"/>
      </c>
    </row>
    <row r="410" spans="31:57" x14ac:dyDescent="0.55000000000000004">
      <c r="AE410" s="7">
        <f ca="1"/>
      </c>
      <c r="AF410">
        <f ca="1"/>
      </c>
      <c r="AG410">
        <f ca="1"/>
      </c>
      <c r="AH410">
        <f ca="1"/>
      </c>
      <c r="AI410">
        <f ca="1"/>
      </c>
      <c r="AJ410">
        <f ca="1"/>
      </c>
      <c r="AK410">
        <f ca="1"/>
      </c>
      <c r="AL410">
        <f ca="1"/>
      </c>
      <c r="AM410">
        <f ca="1"/>
      </c>
      <c r="AN410">
        <f ca="1"/>
      </c>
      <c r="AO410">
        <f ca="1"/>
      </c>
      <c r="AP410">
        <f ca="1"/>
      </c>
      <c r="AQ410">
        <f ca="1"/>
      </c>
      <c r="AR410">
        <f ca="1"/>
      </c>
      <c r="AT410" s="7">
        <f ca="1"/>
      </c>
      <c r="AU410">
        <f ca="1"/>
      </c>
      <c r="AV410">
        <f ca="1"/>
      </c>
      <c r="AW410">
        <f ca="1"/>
      </c>
      <c r="AX410">
        <f ca="1"/>
      </c>
      <c r="AY410">
        <f ca="1"/>
      </c>
      <c r="BA410" s="7">
        <f ca="1"/>
      </c>
      <c r="BB410">
        <f ca="1"/>
      </c>
      <c r="BC410">
        <f ca="1"/>
      </c>
      <c r="BD410">
        <f ca="1"/>
      </c>
      <c r="BE410">
        <f ca="1"/>
      </c>
    </row>
    <row r="411" spans="31:57" x14ac:dyDescent="0.55000000000000004">
      <c r="AE411" s="7">
        <f ca="1"/>
      </c>
      <c r="AF411">
        <f ca="1"/>
      </c>
      <c r="AG411">
        <f ca="1"/>
      </c>
      <c r="AH411">
        <f ca="1"/>
      </c>
      <c r="AI411">
        <f ca="1"/>
      </c>
      <c r="AJ411">
        <f ca="1"/>
      </c>
      <c r="AK411">
        <f ca="1"/>
      </c>
      <c r="AL411">
        <f ca="1"/>
      </c>
      <c r="AM411">
        <f ca="1"/>
      </c>
      <c r="AN411">
        <f ca="1"/>
      </c>
      <c r="AO411">
        <f ca="1"/>
      </c>
      <c r="AP411">
        <f ca="1"/>
      </c>
      <c r="AQ411">
        <f ca="1"/>
      </c>
      <c r="AR411">
        <f ca="1"/>
      </c>
      <c r="AT411" s="7">
        <f ca="1"/>
      </c>
      <c r="AU411">
        <f ca="1"/>
      </c>
      <c r="AV411">
        <f ca="1"/>
      </c>
      <c r="AW411">
        <f ca="1"/>
      </c>
      <c r="AX411">
        <f ca="1"/>
      </c>
      <c r="AY411">
        <f ca="1"/>
      </c>
      <c r="BA411" s="7">
        <f ca="1"/>
      </c>
      <c r="BB411">
        <f ca="1"/>
      </c>
      <c r="BC411">
        <f ca="1"/>
      </c>
      <c r="BD411">
        <f ca="1"/>
      </c>
      <c r="BE411">
        <f ca="1"/>
      </c>
    </row>
    <row r="412" spans="31:57" x14ac:dyDescent="0.55000000000000004">
      <c r="AE412" s="7">
        <f ca="1"/>
      </c>
      <c r="AF412">
        <f ca="1"/>
      </c>
      <c r="AG412">
        <f ca="1"/>
      </c>
      <c r="AH412">
        <f ca="1"/>
      </c>
      <c r="AI412">
        <f ca="1"/>
      </c>
      <c r="AJ412">
        <f ca="1"/>
      </c>
      <c r="AK412">
        <f ca="1"/>
      </c>
      <c r="AL412">
        <f ca="1"/>
      </c>
      <c r="AM412">
        <f ca="1"/>
      </c>
      <c r="AN412">
        <f ca="1"/>
      </c>
      <c r="AO412">
        <f ca="1"/>
      </c>
      <c r="AP412">
        <f ca="1"/>
      </c>
      <c r="AQ412">
        <f ca="1"/>
      </c>
      <c r="AR412">
        <f ca="1"/>
      </c>
      <c r="AT412" s="7">
        <f ca="1"/>
      </c>
      <c r="AU412">
        <f ca="1"/>
      </c>
      <c r="AV412">
        <f ca="1"/>
      </c>
      <c r="AW412">
        <f ca="1"/>
      </c>
      <c r="AX412">
        <f ca="1"/>
      </c>
      <c r="AY412">
        <f ca="1"/>
      </c>
      <c r="BA412" s="7">
        <f ca="1"/>
      </c>
      <c r="BB412">
        <f ca="1"/>
      </c>
      <c r="BC412">
        <f ca="1"/>
      </c>
      <c r="BD412">
        <f ca="1"/>
      </c>
      <c r="BE412">
        <f ca="1"/>
      </c>
    </row>
    <row r="413" spans="31:57" x14ac:dyDescent="0.55000000000000004">
      <c r="AE413" s="7">
        <f ca="1"/>
      </c>
      <c r="AF413">
        <f ca="1"/>
      </c>
      <c r="AG413">
        <f ca="1"/>
      </c>
      <c r="AH413">
        <f ca="1"/>
      </c>
      <c r="AI413">
        <f ca="1"/>
      </c>
      <c r="AJ413">
        <f ca="1"/>
      </c>
      <c r="AK413">
        <f ca="1"/>
      </c>
      <c r="AL413">
        <f ca="1"/>
      </c>
      <c r="AM413">
        <f ca="1"/>
      </c>
      <c r="AN413">
        <f ca="1"/>
      </c>
      <c r="AO413">
        <f ca="1"/>
      </c>
      <c r="AP413">
        <f ca="1"/>
      </c>
      <c r="AQ413">
        <f ca="1"/>
      </c>
      <c r="AR413">
        <f ca="1"/>
      </c>
      <c r="AT413" s="7">
        <f ca="1"/>
      </c>
      <c r="AU413">
        <f ca="1"/>
      </c>
      <c r="AV413">
        <f ca="1"/>
      </c>
      <c r="AW413">
        <f ca="1"/>
      </c>
      <c r="AX413">
        <f ca="1"/>
      </c>
      <c r="AY413">
        <f ca="1"/>
      </c>
      <c r="BA413" s="7">
        <f ca="1"/>
      </c>
      <c r="BB413">
        <f ca="1"/>
      </c>
      <c r="BC413">
        <f ca="1"/>
      </c>
      <c r="BD413">
        <f ca="1"/>
      </c>
      <c r="BE413">
        <f ca="1"/>
      </c>
    </row>
    <row r="414" spans="31:57" x14ac:dyDescent="0.55000000000000004">
      <c r="AE414" s="7">
        <f ca="1"/>
      </c>
      <c r="AF414">
        <f ca="1"/>
      </c>
      <c r="AG414">
        <f ca="1"/>
      </c>
      <c r="AH414">
        <f ca="1"/>
      </c>
      <c r="AI414">
        <f ca="1"/>
      </c>
      <c r="AJ414">
        <f ca="1"/>
      </c>
      <c r="AK414">
        <f ca="1"/>
      </c>
      <c r="AL414">
        <f ca="1"/>
      </c>
      <c r="AM414">
        <f ca="1"/>
      </c>
      <c r="AN414">
        <f ca="1"/>
      </c>
      <c r="AO414">
        <f ca="1"/>
      </c>
      <c r="AP414">
        <f ca="1"/>
      </c>
      <c r="AQ414">
        <f ca="1"/>
      </c>
      <c r="AR414">
        <f ca="1"/>
      </c>
      <c r="AT414" s="7">
        <f ca="1"/>
      </c>
      <c r="AU414">
        <f ca="1"/>
      </c>
      <c r="AV414">
        <f ca="1"/>
      </c>
      <c r="AW414">
        <f ca="1"/>
      </c>
      <c r="AX414">
        <f ca="1"/>
      </c>
      <c r="AY414">
        <f ca="1"/>
      </c>
      <c r="BA414" s="7">
        <f ca="1"/>
      </c>
      <c r="BB414">
        <f ca="1"/>
      </c>
      <c r="BC414">
        <f ca="1"/>
      </c>
      <c r="BD414">
        <f ca="1"/>
      </c>
      <c r="BE414">
        <f ca="1"/>
      </c>
    </row>
    <row r="415" spans="31:57" x14ac:dyDescent="0.55000000000000004">
      <c r="AE415" s="7">
        <f ca="1"/>
      </c>
      <c r="AF415">
        <f ca="1"/>
      </c>
      <c r="AG415">
        <f ca="1"/>
      </c>
      <c r="AH415">
        <f ca="1"/>
      </c>
      <c r="AI415">
        <f ca="1"/>
      </c>
      <c r="AJ415">
        <f ca="1"/>
      </c>
      <c r="AK415">
        <f ca="1"/>
      </c>
      <c r="AL415">
        <f ca="1"/>
      </c>
      <c r="AM415">
        <f ca="1"/>
      </c>
      <c r="AN415">
        <f ca="1"/>
      </c>
      <c r="AO415">
        <f ca="1"/>
      </c>
      <c r="AP415">
        <f ca="1"/>
      </c>
      <c r="AQ415">
        <f ca="1"/>
      </c>
      <c r="AR415">
        <f ca="1"/>
      </c>
      <c r="AT415" s="7">
        <f ca="1"/>
      </c>
      <c r="AU415">
        <f ca="1"/>
      </c>
      <c r="AV415">
        <f ca="1"/>
      </c>
      <c r="AW415">
        <f ca="1"/>
      </c>
      <c r="AX415">
        <f ca="1"/>
      </c>
      <c r="AY415">
        <f ca="1"/>
      </c>
      <c r="BA415" s="7">
        <f ca="1"/>
      </c>
      <c r="BB415">
        <f ca="1"/>
      </c>
      <c r="BC415">
        <f ca="1"/>
      </c>
      <c r="BD415">
        <f ca="1"/>
      </c>
      <c r="BE415">
        <f ca="1"/>
      </c>
    </row>
    <row r="416" spans="31:57" x14ac:dyDescent="0.55000000000000004">
      <c r="AE416" s="7">
        <f ca="1"/>
      </c>
      <c r="AF416">
        <f ca="1"/>
      </c>
      <c r="AG416">
        <f ca="1"/>
      </c>
      <c r="AH416">
        <f ca="1"/>
      </c>
      <c r="AI416">
        <f ca="1"/>
      </c>
      <c r="AJ416">
        <f ca="1"/>
      </c>
      <c r="AK416">
        <f ca="1"/>
      </c>
      <c r="AL416">
        <f ca="1"/>
      </c>
      <c r="AM416">
        <f ca="1"/>
      </c>
      <c r="AN416">
        <f ca="1"/>
      </c>
      <c r="AO416">
        <f ca="1"/>
      </c>
      <c r="AP416">
        <f ca="1"/>
      </c>
      <c r="AQ416">
        <f ca="1"/>
      </c>
      <c r="AR416">
        <f ca="1"/>
      </c>
      <c r="AT416" s="7">
        <f ca="1"/>
      </c>
      <c r="AU416">
        <f ca="1"/>
      </c>
      <c r="AV416">
        <f ca="1"/>
      </c>
      <c r="AW416">
        <f ca="1"/>
      </c>
      <c r="AX416">
        <f ca="1"/>
      </c>
      <c r="AY416">
        <f ca="1"/>
      </c>
      <c r="BA416" s="7">
        <f ca="1"/>
      </c>
      <c r="BB416">
        <f ca="1"/>
      </c>
      <c r="BC416">
        <f ca="1"/>
      </c>
      <c r="BD416">
        <f ca="1"/>
      </c>
      <c r="BE416">
        <f ca="1"/>
      </c>
    </row>
    <row r="417" spans="31:57" x14ac:dyDescent="0.55000000000000004">
      <c r="AE417" s="7">
        <f ca="1"/>
      </c>
      <c r="AF417">
        <f ca="1"/>
      </c>
      <c r="AG417">
        <f ca="1"/>
      </c>
      <c r="AH417">
        <f ca="1"/>
      </c>
      <c r="AI417">
        <f ca="1"/>
      </c>
      <c r="AJ417">
        <f ca="1"/>
      </c>
      <c r="AK417">
        <f ca="1"/>
      </c>
      <c r="AL417">
        <f ca="1"/>
      </c>
      <c r="AM417">
        <f ca="1"/>
      </c>
      <c r="AN417">
        <f ca="1"/>
      </c>
      <c r="AO417">
        <f ca="1"/>
      </c>
      <c r="AP417">
        <f ca="1"/>
      </c>
      <c r="AQ417">
        <f ca="1"/>
      </c>
      <c r="AR417">
        <f ca="1"/>
      </c>
      <c r="AT417" s="7">
        <f ca="1"/>
      </c>
      <c r="AU417">
        <f ca="1"/>
      </c>
      <c r="AV417">
        <f ca="1"/>
      </c>
      <c r="AW417">
        <f ca="1"/>
      </c>
      <c r="AX417">
        <f ca="1"/>
      </c>
      <c r="AY417">
        <f ca="1"/>
      </c>
      <c r="BA417" s="7">
        <f ca="1"/>
      </c>
      <c r="BB417">
        <f ca="1"/>
      </c>
      <c r="BC417">
        <f ca="1"/>
      </c>
      <c r="BD417">
        <f ca="1"/>
      </c>
      <c r="BE417">
        <f ca="1"/>
      </c>
    </row>
    <row r="418" spans="31:57" x14ac:dyDescent="0.55000000000000004">
      <c r="AE418" s="7">
        <f ca="1"/>
      </c>
      <c r="AF418">
        <f ca="1"/>
      </c>
      <c r="AG418">
        <f ca="1"/>
      </c>
      <c r="AH418">
        <f ca="1"/>
      </c>
      <c r="AI418">
        <f ca="1"/>
      </c>
      <c r="AJ418">
        <f ca="1"/>
      </c>
      <c r="AK418">
        <f ca="1"/>
      </c>
      <c r="AL418">
        <f ca="1"/>
      </c>
      <c r="AM418">
        <f ca="1"/>
      </c>
      <c r="AN418">
        <f ca="1"/>
      </c>
      <c r="AO418">
        <f ca="1"/>
      </c>
      <c r="AP418">
        <f ca="1"/>
      </c>
      <c r="AQ418">
        <f ca="1"/>
      </c>
      <c r="AR418">
        <f ca="1"/>
      </c>
      <c r="AT418" s="7">
        <f ca="1"/>
      </c>
      <c r="AU418">
        <f ca="1"/>
      </c>
      <c r="AV418">
        <f ca="1"/>
      </c>
      <c r="AW418">
        <f ca="1"/>
      </c>
      <c r="AX418">
        <f ca="1"/>
      </c>
      <c r="AY418">
        <f ca="1"/>
      </c>
      <c r="BA418" s="7">
        <f ca="1"/>
      </c>
      <c r="BB418">
        <f ca="1"/>
      </c>
      <c r="BC418">
        <f ca="1"/>
      </c>
      <c r="BD418">
        <f ca="1"/>
      </c>
      <c r="BE418">
        <f ca="1"/>
      </c>
    </row>
    <row r="419" spans="31:57" x14ac:dyDescent="0.55000000000000004">
      <c r="AE419" s="7">
        <f ca="1"/>
      </c>
      <c r="AF419">
        <f ca="1"/>
      </c>
      <c r="AG419">
        <f ca="1"/>
      </c>
      <c r="AH419">
        <f ca="1"/>
      </c>
      <c r="AI419">
        <f ca="1"/>
      </c>
      <c r="AJ419">
        <f ca="1"/>
      </c>
      <c r="AK419">
        <f ca="1"/>
      </c>
      <c r="AL419">
        <f ca="1"/>
      </c>
      <c r="AM419">
        <f ca="1"/>
      </c>
      <c r="AN419">
        <f ca="1"/>
      </c>
      <c r="AO419">
        <f ca="1"/>
      </c>
      <c r="AP419">
        <f ca="1"/>
      </c>
      <c r="AQ419">
        <f ca="1"/>
      </c>
      <c r="AR419">
        <f ca="1"/>
      </c>
      <c r="AT419" s="7">
        <f ca="1"/>
      </c>
      <c r="AU419">
        <f ca="1"/>
      </c>
      <c r="AV419">
        <f ca="1"/>
      </c>
      <c r="AW419">
        <f ca="1"/>
      </c>
      <c r="AX419">
        <f ca="1"/>
      </c>
      <c r="AY419">
        <f ca="1"/>
      </c>
      <c r="BA419" s="7">
        <f ca="1"/>
      </c>
      <c r="BB419">
        <f ca="1"/>
      </c>
      <c r="BC419">
        <f ca="1"/>
      </c>
      <c r="BD419">
        <f ca="1"/>
      </c>
      <c r="BE419">
        <f ca="1"/>
      </c>
    </row>
    <row r="420" spans="31:57" x14ac:dyDescent="0.55000000000000004">
      <c r="AE420" s="7">
        <f ca="1"/>
      </c>
      <c r="AF420">
        <f ca="1"/>
      </c>
      <c r="AG420">
        <f ca="1"/>
      </c>
      <c r="AH420">
        <f ca="1"/>
      </c>
      <c r="AI420">
        <f ca="1"/>
      </c>
      <c r="AJ420">
        <f ca="1"/>
      </c>
      <c r="AK420">
        <f ca="1"/>
      </c>
      <c r="AL420">
        <f ca="1"/>
      </c>
      <c r="AM420">
        <f ca="1"/>
      </c>
      <c r="AN420">
        <f ca="1"/>
      </c>
      <c r="AO420">
        <f ca="1"/>
      </c>
      <c r="AP420">
        <f ca="1"/>
      </c>
      <c r="AQ420">
        <f ca="1"/>
      </c>
      <c r="AR420">
        <f ca="1"/>
      </c>
      <c r="AT420" s="7">
        <f ca="1"/>
      </c>
      <c r="AU420">
        <f ca="1"/>
      </c>
      <c r="AV420">
        <f ca="1"/>
      </c>
      <c r="AW420">
        <f ca="1"/>
      </c>
      <c r="AX420">
        <f ca="1"/>
      </c>
      <c r="AY420">
        <f ca="1"/>
      </c>
      <c r="BA420" s="7">
        <f ca="1"/>
      </c>
      <c r="BB420">
        <f ca="1"/>
      </c>
      <c r="BC420">
        <f ca="1"/>
      </c>
      <c r="BD420">
        <f ca="1"/>
      </c>
      <c r="BE420">
        <f ca="1"/>
      </c>
    </row>
    <row r="421" spans="31:57" x14ac:dyDescent="0.55000000000000004">
      <c r="AE421" s="7">
        <f ca="1"/>
      </c>
      <c r="AF421">
        <f ca="1"/>
      </c>
      <c r="AG421">
        <f ca="1"/>
      </c>
      <c r="AH421">
        <f ca="1"/>
      </c>
      <c r="AI421">
        <f ca="1"/>
      </c>
      <c r="AJ421">
        <f ca="1"/>
      </c>
      <c r="AK421">
        <f ca="1"/>
      </c>
      <c r="AL421">
        <f ca="1"/>
      </c>
      <c r="AM421">
        <f ca="1"/>
      </c>
      <c r="AN421">
        <f ca="1"/>
      </c>
      <c r="AO421">
        <f ca="1"/>
      </c>
      <c r="AP421">
        <f ca="1"/>
      </c>
      <c r="AQ421">
        <f ca="1"/>
      </c>
      <c r="AR421">
        <f ca="1"/>
      </c>
      <c r="AT421" s="7">
        <f ca="1"/>
      </c>
      <c r="AU421">
        <f ca="1"/>
      </c>
      <c r="AV421">
        <f ca="1"/>
      </c>
      <c r="AW421">
        <f ca="1"/>
      </c>
      <c r="AX421">
        <f ca="1"/>
      </c>
      <c r="AY421">
        <f ca="1"/>
      </c>
      <c r="BA421" s="7">
        <f ca="1"/>
      </c>
      <c r="BB421">
        <f ca="1"/>
      </c>
      <c r="BC421">
        <f ca="1"/>
      </c>
      <c r="BD421">
        <f ca="1"/>
      </c>
      <c r="BE421">
        <f ca="1"/>
      </c>
    </row>
    <row r="422" spans="31:57" x14ac:dyDescent="0.55000000000000004">
      <c r="AE422" s="7">
        <f ca="1"/>
      </c>
      <c r="AF422">
        <f ca="1"/>
      </c>
      <c r="AG422">
        <f ca="1"/>
      </c>
      <c r="AH422">
        <f ca="1"/>
      </c>
      <c r="AI422">
        <f ca="1"/>
      </c>
      <c r="AJ422">
        <f ca="1"/>
      </c>
      <c r="AK422">
        <f ca="1"/>
      </c>
      <c r="AL422">
        <f ca="1"/>
      </c>
      <c r="AM422">
        <f ca="1"/>
      </c>
      <c r="AN422">
        <f ca="1"/>
      </c>
      <c r="AO422">
        <f ca="1"/>
      </c>
      <c r="AP422">
        <f ca="1"/>
      </c>
      <c r="AQ422">
        <f ca="1"/>
      </c>
      <c r="AR422">
        <f ca="1"/>
      </c>
      <c r="AT422" s="7">
        <f ca="1"/>
      </c>
      <c r="AU422">
        <f ca="1"/>
      </c>
      <c r="AV422">
        <f ca="1"/>
      </c>
      <c r="AW422">
        <f ca="1"/>
      </c>
      <c r="AX422">
        <f ca="1"/>
      </c>
      <c r="AY422">
        <f ca="1"/>
      </c>
      <c r="BA422" s="7">
        <f ca="1"/>
      </c>
      <c r="BB422">
        <f ca="1"/>
      </c>
      <c r="BC422">
        <f ca="1"/>
      </c>
      <c r="BD422">
        <f ca="1"/>
      </c>
      <c r="BE422">
        <f ca="1"/>
      </c>
    </row>
    <row r="423" spans="31:57" x14ac:dyDescent="0.55000000000000004">
      <c r="AE423" s="7">
        <f ca="1"/>
      </c>
      <c r="AF423">
        <f ca="1"/>
      </c>
      <c r="AG423">
        <f ca="1"/>
      </c>
      <c r="AH423">
        <f ca="1"/>
      </c>
      <c r="AI423">
        <f ca="1"/>
      </c>
      <c r="AJ423">
        <f ca="1"/>
      </c>
      <c r="AK423">
        <f ca="1"/>
      </c>
      <c r="AL423">
        <f ca="1"/>
      </c>
      <c r="AM423">
        <f ca="1"/>
      </c>
      <c r="AN423">
        <f ca="1"/>
      </c>
      <c r="AO423">
        <f ca="1"/>
      </c>
      <c r="AP423">
        <f ca="1"/>
      </c>
      <c r="AQ423">
        <f ca="1"/>
      </c>
      <c r="AR423">
        <f ca="1"/>
      </c>
      <c r="AT423" s="7">
        <f ca="1"/>
      </c>
      <c r="AU423">
        <f ca="1"/>
      </c>
      <c r="AV423">
        <f ca="1"/>
      </c>
      <c r="AW423">
        <f ca="1"/>
      </c>
      <c r="AX423">
        <f ca="1"/>
      </c>
      <c r="AY423">
        <f ca="1"/>
      </c>
      <c r="BA423" s="7">
        <f ca="1"/>
      </c>
      <c r="BB423">
        <f ca="1"/>
      </c>
      <c r="BC423">
        <f ca="1"/>
      </c>
      <c r="BD423">
        <f ca="1"/>
      </c>
      <c r="BE423">
        <f ca="1"/>
      </c>
    </row>
    <row r="424" spans="31:57" x14ac:dyDescent="0.55000000000000004">
      <c r="AE424" s="7">
        <f ca="1"/>
      </c>
      <c r="AF424">
        <f ca="1"/>
      </c>
      <c r="AG424">
        <f ca="1"/>
      </c>
      <c r="AH424">
        <f ca="1"/>
      </c>
      <c r="AI424">
        <f ca="1"/>
      </c>
      <c r="AJ424">
        <f ca="1"/>
      </c>
      <c r="AK424">
        <f ca="1"/>
      </c>
      <c r="AL424">
        <f ca="1"/>
      </c>
      <c r="AM424">
        <f ca="1"/>
      </c>
      <c r="AN424">
        <f ca="1"/>
      </c>
      <c r="AO424">
        <f ca="1"/>
      </c>
      <c r="AP424">
        <f ca="1"/>
      </c>
      <c r="AQ424">
        <f ca="1"/>
      </c>
      <c r="AR424">
        <f ca="1"/>
      </c>
      <c r="AT424" s="7">
        <f ca="1"/>
      </c>
      <c r="AU424">
        <f ca="1"/>
      </c>
      <c r="AV424">
        <f ca="1"/>
      </c>
      <c r="AW424">
        <f ca="1"/>
      </c>
      <c r="AX424">
        <f ca="1"/>
      </c>
      <c r="AY424">
        <f ca="1"/>
      </c>
      <c r="BA424" s="7">
        <f ca="1"/>
      </c>
      <c r="BB424">
        <f ca="1"/>
      </c>
      <c r="BC424">
        <f ca="1"/>
      </c>
      <c r="BD424">
        <f ca="1"/>
      </c>
      <c r="BE424">
        <f ca="1"/>
      </c>
    </row>
    <row r="425" spans="31:57" x14ac:dyDescent="0.55000000000000004">
      <c r="AE425" s="7">
        <f ca="1"/>
      </c>
      <c r="AF425">
        <f ca="1"/>
      </c>
      <c r="AG425">
        <f ca="1"/>
      </c>
      <c r="AH425">
        <f ca="1"/>
      </c>
      <c r="AI425">
        <f ca="1"/>
      </c>
      <c r="AJ425">
        <f ca="1"/>
      </c>
      <c r="AK425">
        <f ca="1"/>
      </c>
      <c r="AL425">
        <f ca="1"/>
      </c>
      <c r="AM425">
        <f ca="1"/>
      </c>
      <c r="AN425">
        <f ca="1"/>
      </c>
      <c r="AO425">
        <f ca="1"/>
      </c>
      <c r="AP425">
        <f ca="1"/>
      </c>
      <c r="AQ425">
        <f ca="1"/>
      </c>
      <c r="AR425">
        <f ca="1"/>
      </c>
      <c r="AT425" s="7">
        <f ca="1"/>
      </c>
      <c r="AU425">
        <f ca="1"/>
      </c>
      <c r="AV425">
        <f ca="1"/>
      </c>
      <c r="AW425">
        <f ca="1"/>
      </c>
      <c r="AX425">
        <f ca="1"/>
      </c>
      <c r="AY425">
        <f ca="1"/>
      </c>
      <c r="BA425" s="7">
        <f ca="1"/>
      </c>
      <c r="BB425">
        <f ca="1"/>
      </c>
      <c r="BC425">
        <f ca="1"/>
      </c>
      <c r="BD425">
        <f ca="1"/>
      </c>
      <c r="BE425">
        <f ca="1"/>
      </c>
    </row>
    <row r="426" spans="31:57" x14ac:dyDescent="0.55000000000000004">
      <c r="AE426" s="7">
        <f ca="1"/>
      </c>
      <c r="AF426">
        <f ca="1"/>
      </c>
      <c r="AG426">
        <f ca="1"/>
      </c>
      <c r="AH426">
        <f ca="1"/>
      </c>
      <c r="AI426">
        <f ca="1"/>
      </c>
      <c r="AJ426">
        <f ca="1"/>
      </c>
      <c r="AK426">
        <f ca="1"/>
      </c>
      <c r="AL426">
        <f ca="1"/>
      </c>
      <c r="AM426">
        <f ca="1"/>
      </c>
      <c r="AN426">
        <f ca="1"/>
      </c>
      <c r="AO426">
        <f ca="1"/>
      </c>
      <c r="AP426">
        <f ca="1"/>
      </c>
      <c r="AQ426">
        <f ca="1"/>
      </c>
      <c r="AR426">
        <f ca="1"/>
      </c>
      <c r="AT426" s="7">
        <f ca="1"/>
      </c>
      <c r="AU426">
        <f ca="1"/>
      </c>
      <c r="AV426">
        <f ca="1"/>
      </c>
      <c r="AW426">
        <f ca="1"/>
      </c>
      <c r="AX426">
        <f ca="1"/>
      </c>
      <c r="AY426">
        <f ca="1"/>
      </c>
      <c r="BA426" s="7">
        <f ca="1"/>
      </c>
      <c r="BB426">
        <f ca="1"/>
      </c>
      <c r="BC426">
        <f ca="1"/>
      </c>
      <c r="BD426">
        <f ca="1"/>
      </c>
      <c r="BE426">
        <f ca="1"/>
      </c>
    </row>
    <row r="427" spans="31:57" x14ac:dyDescent="0.55000000000000004">
      <c r="AE427" s="7">
        <f ca="1"/>
      </c>
      <c r="AF427">
        <f ca="1"/>
      </c>
      <c r="AG427">
        <f ca="1"/>
      </c>
      <c r="AH427">
        <f ca="1"/>
      </c>
      <c r="AI427">
        <f ca="1"/>
      </c>
      <c r="AJ427">
        <f ca="1"/>
      </c>
      <c r="AK427">
        <f ca="1"/>
      </c>
      <c r="AL427">
        <f ca="1"/>
      </c>
      <c r="AM427">
        <f ca="1"/>
      </c>
      <c r="AN427">
        <f ca="1"/>
      </c>
      <c r="AO427">
        <f ca="1"/>
      </c>
      <c r="AP427">
        <f ca="1"/>
      </c>
      <c r="AQ427">
        <f ca="1"/>
      </c>
      <c r="AR427">
        <f ca="1"/>
      </c>
      <c r="AT427" s="7">
        <f ca="1"/>
      </c>
      <c r="AU427">
        <f ca="1"/>
      </c>
      <c r="AV427">
        <f ca="1"/>
      </c>
      <c r="AW427">
        <f ca="1"/>
      </c>
      <c r="AX427">
        <f ca="1"/>
      </c>
      <c r="AY427">
        <f ca="1"/>
      </c>
      <c r="BA427" s="7">
        <f ca="1"/>
      </c>
      <c r="BB427">
        <f ca="1"/>
      </c>
      <c r="BC427">
        <f ca="1"/>
      </c>
      <c r="BD427">
        <f ca="1"/>
      </c>
      <c r="BE427">
        <f ca="1"/>
      </c>
    </row>
    <row r="428" spans="31:57" x14ac:dyDescent="0.55000000000000004">
      <c r="AE428" s="7">
        <f ca="1"/>
      </c>
      <c r="AF428">
        <f ca="1"/>
      </c>
      <c r="AG428">
        <f ca="1"/>
      </c>
      <c r="AH428">
        <f ca="1"/>
      </c>
      <c r="AI428">
        <f ca="1"/>
      </c>
      <c r="AJ428">
        <f ca="1"/>
      </c>
      <c r="AK428">
        <f ca="1"/>
      </c>
      <c r="AL428">
        <f ca="1"/>
      </c>
      <c r="AM428">
        <f ca="1"/>
      </c>
      <c r="AN428">
        <f ca="1"/>
      </c>
      <c r="AO428">
        <f ca="1"/>
      </c>
      <c r="AP428">
        <f ca="1"/>
      </c>
      <c r="AQ428">
        <f ca="1"/>
      </c>
      <c r="AR428">
        <f ca="1"/>
      </c>
      <c r="AT428" s="7">
        <f ca="1"/>
      </c>
      <c r="AU428">
        <f ca="1"/>
      </c>
      <c r="AV428">
        <f ca="1"/>
      </c>
      <c r="AW428">
        <f ca="1"/>
      </c>
      <c r="AX428">
        <f ca="1"/>
      </c>
      <c r="AY428">
        <f ca="1"/>
      </c>
      <c r="BA428" s="7">
        <f ca="1"/>
      </c>
      <c r="BB428">
        <f ca="1"/>
      </c>
      <c r="BC428">
        <f ca="1"/>
      </c>
      <c r="BD428">
        <f ca="1"/>
      </c>
      <c r="BE428">
        <f ca="1"/>
      </c>
    </row>
    <row r="429" spans="31:57" x14ac:dyDescent="0.55000000000000004">
      <c r="AE429" s="7">
        <f ca="1"/>
      </c>
      <c r="AF429">
        <f ca="1"/>
      </c>
      <c r="AG429">
        <f ca="1"/>
      </c>
      <c r="AH429">
        <f ca="1"/>
      </c>
      <c r="AI429">
        <f ca="1"/>
      </c>
      <c r="AJ429">
        <f ca="1"/>
      </c>
      <c r="AK429">
        <f ca="1"/>
      </c>
      <c r="AL429">
        <f ca="1"/>
      </c>
      <c r="AM429">
        <f ca="1"/>
      </c>
      <c r="AN429">
        <f ca="1"/>
      </c>
      <c r="AO429">
        <f ca="1"/>
      </c>
      <c r="AP429">
        <f ca="1"/>
      </c>
      <c r="AQ429">
        <f ca="1"/>
      </c>
      <c r="AR429">
        <f ca="1"/>
      </c>
      <c r="AT429" s="7">
        <f ca="1"/>
      </c>
      <c r="AU429">
        <f ca="1"/>
      </c>
      <c r="AV429">
        <f ca="1"/>
      </c>
      <c r="AW429">
        <f ca="1"/>
      </c>
      <c r="AX429">
        <f ca="1"/>
      </c>
      <c r="AY429">
        <f ca="1"/>
      </c>
      <c r="BA429" s="7">
        <f ca="1"/>
      </c>
      <c r="BB429">
        <f ca="1"/>
      </c>
      <c r="BC429">
        <f ca="1"/>
      </c>
      <c r="BD429">
        <f ca="1"/>
      </c>
      <c r="BE429">
        <f ca="1"/>
      </c>
    </row>
    <row r="430" spans="31:57" x14ac:dyDescent="0.55000000000000004">
      <c r="AE430" s="7">
        <f ca="1"/>
      </c>
      <c r="AF430">
        <f ca="1"/>
      </c>
      <c r="AG430">
        <f ca="1"/>
      </c>
      <c r="AH430">
        <f ca="1"/>
      </c>
      <c r="AI430">
        <f ca="1"/>
      </c>
      <c r="AJ430">
        <f ca="1"/>
      </c>
      <c r="AK430">
        <f ca="1"/>
      </c>
      <c r="AL430">
        <f ca="1"/>
      </c>
      <c r="AM430">
        <f ca="1"/>
      </c>
      <c r="AN430">
        <f ca="1"/>
      </c>
      <c r="AO430">
        <f ca="1"/>
      </c>
      <c r="AP430">
        <f ca="1"/>
      </c>
      <c r="AQ430">
        <f ca="1"/>
      </c>
      <c r="AR430">
        <f ca="1"/>
      </c>
      <c r="AT430" s="7">
        <f ca="1"/>
      </c>
      <c r="AU430">
        <f ca="1"/>
      </c>
      <c r="AV430">
        <f ca="1"/>
      </c>
      <c r="AW430">
        <f ca="1"/>
      </c>
      <c r="AX430">
        <f ca="1"/>
      </c>
      <c r="AY430">
        <f ca="1"/>
      </c>
      <c r="BA430" s="7">
        <f ca="1"/>
      </c>
      <c r="BB430">
        <f ca="1"/>
      </c>
      <c r="BC430">
        <f ca="1"/>
      </c>
      <c r="BD430">
        <f ca="1"/>
      </c>
      <c r="BE430">
        <f ca="1"/>
      </c>
    </row>
    <row r="431" spans="31:57" x14ac:dyDescent="0.55000000000000004">
      <c r="AE431" s="7">
        <f ca="1"/>
      </c>
      <c r="AF431">
        <f ca="1"/>
      </c>
      <c r="AG431">
        <f ca="1"/>
      </c>
      <c r="AH431">
        <f ca="1"/>
      </c>
      <c r="AI431">
        <f ca="1"/>
      </c>
      <c r="AJ431">
        <f ca="1"/>
      </c>
      <c r="AK431">
        <f ca="1"/>
      </c>
      <c r="AL431">
        <f ca="1"/>
      </c>
      <c r="AM431">
        <f ca="1"/>
      </c>
      <c r="AN431">
        <f ca="1"/>
      </c>
      <c r="AO431">
        <f ca="1"/>
      </c>
      <c r="AP431">
        <f ca="1"/>
      </c>
      <c r="AQ431">
        <f ca="1"/>
      </c>
      <c r="AR431">
        <f ca="1"/>
      </c>
      <c r="AT431" s="7">
        <f ca="1"/>
      </c>
      <c r="AU431">
        <f ca="1"/>
      </c>
      <c r="AV431">
        <f ca="1"/>
      </c>
      <c r="AW431">
        <f ca="1"/>
      </c>
      <c r="AX431">
        <f ca="1"/>
      </c>
      <c r="AY431">
        <f ca="1"/>
      </c>
      <c r="BA431" s="7">
        <f ca="1"/>
      </c>
      <c r="BB431">
        <f ca="1"/>
      </c>
      <c r="BC431">
        <f ca="1"/>
      </c>
      <c r="BD431">
        <f ca="1"/>
      </c>
      <c r="BE431">
        <f ca="1"/>
      </c>
    </row>
    <row r="432" spans="31:57" x14ac:dyDescent="0.55000000000000004">
      <c r="AE432" s="7">
        <f ca="1"/>
      </c>
      <c r="AF432">
        <f ca="1"/>
      </c>
      <c r="AG432">
        <f ca="1"/>
      </c>
      <c r="AH432">
        <f ca="1"/>
      </c>
      <c r="AI432">
        <f ca="1"/>
      </c>
      <c r="AJ432">
        <f ca="1"/>
      </c>
      <c r="AK432">
        <f ca="1"/>
      </c>
      <c r="AL432">
        <f ca="1"/>
      </c>
      <c r="AM432">
        <f ca="1"/>
      </c>
      <c r="AN432">
        <f ca="1"/>
      </c>
      <c r="AO432">
        <f ca="1"/>
      </c>
      <c r="AP432">
        <f ca="1"/>
      </c>
      <c r="AQ432">
        <f ca="1"/>
      </c>
      <c r="AR432">
        <f ca="1"/>
      </c>
      <c r="AT432" s="7">
        <f ca="1"/>
      </c>
      <c r="AU432">
        <f ca="1"/>
      </c>
      <c r="AV432">
        <f ca="1"/>
      </c>
      <c r="AW432">
        <f ca="1"/>
      </c>
      <c r="AX432">
        <f ca="1"/>
      </c>
      <c r="AY432">
        <f ca="1"/>
      </c>
      <c r="BA432" s="7">
        <f ca="1"/>
      </c>
      <c r="BB432">
        <f ca="1"/>
      </c>
      <c r="BC432">
        <f ca="1"/>
      </c>
      <c r="BD432">
        <f ca="1"/>
      </c>
      <c r="BE432">
        <f ca="1"/>
      </c>
    </row>
    <row r="433" spans="31:57" x14ac:dyDescent="0.55000000000000004">
      <c r="AE433" s="7">
        <f ca="1"/>
      </c>
      <c r="AF433">
        <f ca="1"/>
      </c>
      <c r="AG433">
        <f ca="1"/>
      </c>
      <c r="AH433">
        <f ca="1"/>
      </c>
      <c r="AI433">
        <f ca="1"/>
      </c>
      <c r="AJ433">
        <f ca="1"/>
      </c>
      <c r="AK433">
        <f ca="1"/>
      </c>
      <c r="AL433">
        <f ca="1"/>
      </c>
      <c r="AM433">
        <f ca="1"/>
      </c>
      <c r="AN433">
        <f ca="1"/>
      </c>
      <c r="AO433">
        <f ca="1"/>
      </c>
      <c r="AP433">
        <f ca="1"/>
      </c>
      <c r="AQ433">
        <f ca="1"/>
      </c>
      <c r="AR433">
        <f ca="1"/>
      </c>
      <c r="AT433" s="7">
        <f ca="1"/>
      </c>
      <c r="AU433">
        <f ca="1"/>
      </c>
      <c r="AV433">
        <f ca="1"/>
      </c>
      <c r="AW433">
        <f ca="1"/>
      </c>
      <c r="AX433">
        <f ca="1"/>
      </c>
      <c r="AY433">
        <f ca="1"/>
      </c>
      <c r="BA433" s="7">
        <f ca="1"/>
      </c>
      <c r="BB433">
        <f ca="1"/>
      </c>
      <c r="BC433">
        <f ca="1"/>
      </c>
      <c r="BD433">
        <f ca="1"/>
      </c>
      <c r="BE433">
        <f ca="1"/>
      </c>
    </row>
    <row r="434" spans="31:57" x14ac:dyDescent="0.55000000000000004">
      <c r="AE434" s="7">
        <f ca="1"/>
      </c>
      <c r="AF434">
        <f ca="1"/>
      </c>
      <c r="AG434">
        <f ca="1"/>
      </c>
      <c r="AH434">
        <f ca="1"/>
      </c>
      <c r="AI434">
        <f ca="1"/>
      </c>
      <c r="AJ434">
        <f ca="1"/>
      </c>
      <c r="AK434">
        <f ca="1"/>
      </c>
      <c r="AL434">
        <f ca="1"/>
      </c>
      <c r="AM434">
        <f ca="1"/>
      </c>
      <c r="AN434">
        <f ca="1"/>
      </c>
      <c r="AO434">
        <f ca="1"/>
      </c>
      <c r="AP434">
        <f ca="1"/>
      </c>
      <c r="AQ434">
        <f ca="1"/>
      </c>
      <c r="AR434">
        <f ca="1"/>
      </c>
      <c r="AT434" s="7">
        <f ca="1"/>
      </c>
      <c r="AU434">
        <f ca="1"/>
      </c>
      <c r="AV434">
        <f ca="1"/>
      </c>
      <c r="AW434">
        <f ca="1"/>
      </c>
      <c r="AX434">
        <f ca="1"/>
      </c>
      <c r="AY434">
        <f ca="1"/>
      </c>
      <c r="BA434" s="7">
        <f ca="1"/>
      </c>
      <c r="BB434">
        <f ca="1"/>
      </c>
      <c r="BC434">
        <f ca="1"/>
      </c>
      <c r="BD434">
        <f ca="1"/>
      </c>
      <c r="BE434">
        <f ca="1"/>
      </c>
    </row>
    <row r="435" spans="31:57" x14ac:dyDescent="0.55000000000000004">
      <c r="AE435" s="7">
        <f ca="1"/>
      </c>
      <c r="AF435">
        <f ca="1"/>
      </c>
      <c r="AG435">
        <f ca="1"/>
      </c>
      <c r="AH435">
        <f ca="1"/>
      </c>
      <c r="AI435">
        <f ca="1"/>
      </c>
      <c r="AJ435">
        <f ca="1"/>
      </c>
      <c r="AK435">
        <f ca="1"/>
      </c>
      <c r="AL435">
        <f ca="1"/>
      </c>
      <c r="AM435">
        <f ca="1"/>
      </c>
      <c r="AN435">
        <f ca="1"/>
      </c>
      <c r="AO435">
        <f ca="1"/>
      </c>
      <c r="AP435">
        <f ca="1"/>
      </c>
      <c r="AQ435">
        <f ca="1"/>
      </c>
      <c r="AR435">
        <f ca="1"/>
      </c>
      <c r="AT435" s="7">
        <f ca="1"/>
      </c>
      <c r="AU435">
        <f ca="1"/>
      </c>
      <c r="AV435">
        <f ca="1"/>
      </c>
      <c r="AW435">
        <f ca="1"/>
      </c>
      <c r="AX435">
        <f ca="1"/>
      </c>
      <c r="AY435">
        <f ca="1"/>
      </c>
      <c r="BA435" s="7">
        <f ca="1"/>
      </c>
      <c r="BB435">
        <f ca="1"/>
      </c>
      <c r="BC435">
        <f ca="1"/>
      </c>
      <c r="BD435">
        <f ca="1"/>
      </c>
      <c r="BE435">
        <f ca="1"/>
      </c>
    </row>
    <row r="436" spans="31:57" x14ac:dyDescent="0.55000000000000004">
      <c r="AE436" s="7">
        <f ca="1"/>
      </c>
      <c r="AF436">
        <f ca="1"/>
      </c>
      <c r="AG436">
        <f ca="1"/>
      </c>
      <c r="AH436">
        <f ca="1"/>
      </c>
      <c r="AI436">
        <f ca="1"/>
      </c>
      <c r="AJ436">
        <f ca="1"/>
      </c>
      <c r="AK436">
        <f ca="1"/>
      </c>
      <c r="AL436">
        <f ca="1"/>
      </c>
      <c r="AM436">
        <f ca="1"/>
      </c>
      <c r="AN436">
        <f ca="1"/>
      </c>
      <c r="AO436">
        <f ca="1"/>
      </c>
      <c r="AP436">
        <f ca="1"/>
      </c>
      <c r="AQ436">
        <f ca="1"/>
      </c>
      <c r="AR436">
        <f ca="1"/>
      </c>
      <c r="AT436" s="7">
        <f ca="1"/>
      </c>
      <c r="AU436">
        <f ca="1"/>
      </c>
      <c r="AV436">
        <f ca="1"/>
      </c>
      <c r="AW436">
        <f ca="1"/>
      </c>
      <c r="AX436">
        <f ca="1"/>
      </c>
      <c r="AY436">
        <f ca="1"/>
      </c>
      <c r="BA436" s="7">
        <f ca="1"/>
      </c>
      <c r="BB436">
        <f ca="1"/>
      </c>
      <c r="BC436">
        <f ca="1"/>
      </c>
      <c r="BD436">
        <f ca="1"/>
      </c>
      <c r="BE436">
        <f ca="1"/>
      </c>
    </row>
    <row r="437" spans="31:57" x14ac:dyDescent="0.55000000000000004">
      <c r="AE437" s="7">
        <f ca="1"/>
      </c>
      <c r="AF437">
        <f ca="1"/>
      </c>
      <c r="AG437">
        <f ca="1"/>
      </c>
      <c r="AH437">
        <f ca="1"/>
      </c>
      <c r="AI437">
        <f ca="1"/>
      </c>
      <c r="AJ437">
        <f ca="1"/>
      </c>
      <c r="AK437">
        <f ca="1"/>
      </c>
      <c r="AL437">
        <f ca="1"/>
      </c>
      <c r="AM437">
        <f ca="1"/>
      </c>
      <c r="AN437">
        <f ca="1"/>
      </c>
      <c r="AO437">
        <f ca="1"/>
      </c>
      <c r="AP437">
        <f ca="1"/>
      </c>
      <c r="AQ437">
        <f ca="1"/>
      </c>
      <c r="AR437">
        <f ca="1"/>
      </c>
      <c r="AT437" s="7">
        <f ca="1"/>
      </c>
      <c r="AU437">
        <f ca="1"/>
      </c>
      <c r="AV437">
        <f ca="1"/>
      </c>
      <c r="AW437">
        <f ca="1"/>
      </c>
      <c r="AX437">
        <f ca="1"/>
      </c>
      <c r="AY437">
        <f ca="1"/>
      </c>
      <c r="BA437" s="7">
        <f ca="1"/>
      </c>
      <c r="BB437">
        <f ca="1"/>
      </c>
      <c r="BC437">
        <f ca="1"/>
      </c>
      <c r="BD437">
        <f ca="1"/>
      </c>
      <c r="BE437">
        <f ca="1"/>
      </c>
    </row>
    <row r="438" spans="31:57" x14ac:dyDescent="0.55000000000000004">
      <c r="AE438" s="7">
        <f ca="1"/>
      </c>
      <c r="AF438">
        <f ca="1"/>
      </c>
      <c r="AG438">
        <f ca="1"/>
      </c>
      <c r="AH438">
        <f ca="1"/>
      </c>
      <c r="AI438">
        <f ca="1"/>
      </c>
      <c r="AJ438">
        <f ca="1"/>
      </c>
      <c r="AK438">
        <f ca="1"/>
      </c>
      <c r="AL438">
        <f ca="1"/>
      </c>
      <c r="AM438">
        <f ca="1"/>
      </c>
      <c r="AN438">
        <f ca="1"/>
      </c>
      <c r="AO438">
        <f ca="1"/>
      </c>
      <c r="AP438">
        <f ca="1"/>
      </c>
      <c r="AQ438">
        <f ca="1"/>
      </c>
      <c r="AR438">
        <f ca="1"/>
      </c>
      <c r="AT438" s="7">
        <f ca="1"/>
      </c>
      <c r="AU438">
        <f ca="1"/>
      </c>
      <c r="AV438">
        <f ca="1"/>
      </c>
      <c r="AW438">
        <f ca="1"/>
      </c>
      <c r="AX438">
        <f ca="1"/>
      </c>
      <c r="AY438">
        <f ca="1"/>
      </c>
      <c r="BA438" s="7">
        <f ca="1"/>
      </c>
      <c r="BB438">
        <f ca="1"/>
      </c>
      <c r="BC438">
        <f ca="1"/>
      </c>
      <c r="BD438">
        <f ca="1"/>
      </c>
      <c r="BE438">
        <f ca="1"/>
      </c>
    </row>
    <row r="439" spans="31:57" x14ac:dyDescent="0.55000000000000004">
      <c r="AE439" s="7">
        <f ca="1"/>
      </c>
      <c r="AF439">
        <f ca="1"/>
      </c>
      <c r="AG439">
        <f ca="1"/>
      </c>
      <c r="AH439">
        <f ca="1"/>
      </c>
      <c r="AI439">
        <f ca="1"/>
      </c>
      <c r="AJ439">
        <f ca="1"/>
      </c>
      <c r="AK439">
        <f ca="1"/>
      </c>
      <c r="AL439">
        <f ca="1"/>
      </c>
      <c r="AM439">
        <f ca="1"/>
      </c>
      <c r="AN439">
        <f ca="1"/>
      </c>
      <c r="AO439">
        <f ca="1"/>
      </c>
      <c r="AP439">
        <f ca="1"/>
      </c>
      <c r="AQ439">
        <f ca="1"/>
      </c>
      <c r="AR439">
        <f ca="1"/>
      </c>
      <c r="AT439" s="7">
        <f ca="1"/>
      </c>
      <c r="AU439">
        <f ca="1"/>
      </c>
      <c r="AV439">
        <f ca="1"/>
      </c>
      <c r="AW439">
        <f ca="1"/>
      </c>
      <c r="AX439">
        <f ca="1"/>
      </c>
      <c r="AY439">
        <f ca="1"/>
      </c>
      <c r="BA439" s="7">
        <f ca="1"/>
      </c>
      <c r="BB439">
        <f ca="1"/>
      </c>
      <c r="BC439">
        <f ca="1"/>
      </c>
      <c r="BD439">
        <f ca="1"/>
      </c>
      <c r="BE439">
        <f ca="1"/>
      </c>
    </row>
    <row r="440" spans="31:57" x14ac:dyDescent="0.55000000000000004">
      <c r="AE440" s="7">
        <f ca="1"/>
      </c>
      <c r="AF440">
        <f ca="1"/>
      </c>
      <c r="AG440">
        <f ca="1"/>
      </c>
      <c r="AH440">
        <f ca="1"/>
      </c>
      <c r="AI440">
        <f ca="1"/>
      </c>
      <c r="AJ440">
        <f ca="1"/>
      </c>
      <c r="AK440">
        <f ca="1"/>
      </c>
      <c r="AL440">
        <f ca="1"/>
      </c>
      <c r="AM440">
        <f ca="1"/>
      </c>
      <c r="AN440">
        <f ca="1"/>
      </c>
      <c r="AO440">
        <f ca="1"/>
      </c>
      <c r="AP440">
        <f ca="1"/>
      </c>
      <c r="AQ440">
        <f ca="1"/>
      </c>
      <c r="AR440">
        <f ca="1"/>
      </c>
      <c r="AT440" s="7">
        <f ca="1"/>
      </c>
      <c r="AU440">
        <f ca="1"/>
      </c>
      <c r="AV440">
        <f ca="1"/>
      </c>
      <c r="AW440">
        <f ca="1"/>
      </c>
      <c r="AX440">
        <f ca="1"/>
      </c>
      <c r="AY440">
        <f ca="1"/>
      </c>
      <c r="BA440" s="7">
        <f ca="1"/>
      </c>
      <c r="BB440">
        <f ca="1"/>
      </c>
      <c r="BC440">
        <f ca="1"/>
      </c>
      <c r="BD440">
        <f ca="1"/>
      </c>
      <c r="BE440">
        <f ca="1"/>
      </c>
    </row>
    <row r="441" spans="31:57" x14ac:dyDescent="0.55000000000000004">
      <c r="AE441" s="7">
        <f ca="1"/>
      </c>
      <c r="AF441">
        <f ca="1"/>
      </c>
      <c r="AG441">
        <f ca="1"/>
      </c>
      <c r="AH441">
        <f ca="1"/>
      </c>
      <c r="AI441">
        <f ca="1"/>
      </c>
      <c r="AJ441">
        <f ca="1"/>
      </c>
      <c r="AK441">
        <f ca="1"/>
      </c>
      <c r="AL441">
        <f ca="1"/>
      </c>
      <c r="AM441">
        <f ca="1"/>
      </c>
      <c r="AN441">
        <f ca="1"/>
      </c>
      <c r="AO441">
        <f ca="1"/>
      </c>
      <c r="AP441">
        <f ca="1"/>
      </c>
      <c r="AQ441">
        <f ca="1"/>
      </c>
      <c r="AR441">
        <f ca="1"/>
      </c>
      <c r="AT441" s="7">
        <f ca="1"/>
      </c>
      <c r="AU441">
        <f ca="1"/>
      </c>
      <c r="AV441">
        <f ca="1"/>
      </c>
      <c r="AW441">
        <f ca="1"/>
      </c>
      <c r="AX441">
        <f ca="1"/>
      </c>
      <c r="AY441">
        <f ca="1"/>
      </c>
      <c r="BA441" s="7">
        <f ca="1"/>
      </c>
      <c r="BB441">
        <f ca="1"/>
      </c>
      <c r="BC441">
        <f ca="1"/>
      </c>
      <c r="BD441">
        <f ca="1"/>
      </c>
      <c r="BE441">
        <f ca="1"/>
      </c>
    </row>
    <row r="442" spans="31:57" x14ac:dyDescent="0.55000000000000004">
      <c r="AE442" s="7">
        <f ca="1"/>
      </c>
      <c r="AF442">
        <f ca="1"/>
      </c>
      <c r="AG442">
        <f ca="1"/>
      </c>
      <c r="AH442">
        <f ca="1"/>
      </c>
      <c r="AI442">
        <f ca="1"/>
      </c>
      <c r="AJ442">
        <f ca="1"/>
      </c>
      <c r="AK442">
        <f ca="1"/>
      </c>
      <c r="AL442">
        <f ca="1"/>
      </c>
      <c r="AM442">
        <f ca="1"/>
      </c>
      <c r="AN442">
        <f ca="1"/>
      </c>
      <c r="AO442">
        <f ca="1"/>
      </c>
      <c r="AP442">
        <f ca="1"/>
      </c>
      <c r="AQ442">
        <f ca="1"/>
      </c>
      <c r="AR442">
        <f ca="1"/>
      </c>
      <c r="AT442" s="7">
        <f ca="1"/>
      </c>
      <c r="AU442">
        <f ca="1"/>
      </c>
      <c r="AV442">
        <f ca="1"/>
      </c>
      <c r="AW442">
        <f ca="1"/>
      </c>
      <c r="AX442">
        <f ca="1"/>
      </c>
      <c r="AY442">
        <f ca="1"/>
      </c>
      <c r="BA442" s="7">
        <f ca="1"/>
      </c>
      <c r="BB442">
        <f ca="1"/>
      </c>
      <c r="BC442">
        <f ca="1"/>
      </c>
      <c r="BD442">
        <f ca="1"/>
      </c>
      <c r="BE442">
        <f ca="1"/>
      </c>
    </row>
    <row r="443" spans="31:57" x14ac:dyDescent="0.55000000000000004">
      <c r="AE443" s="7">
        <f ca="1"/>
      </c>
      <c r="AF443">
        <f ca="1"/>
      </c>
      <c r="AG443">
        <f ca="1"/>
      </c>
      <c r="AH443">
        <f ca="1"/>
      </c>
      <c r="AI443">
        <f ca="1"/>
      </c>
      <c r="AJ443">
        <f ca="1"/>
      </c>
      <c r="AK443">
        <f ca="1"/>
      </c>
      <c r="AL443">
        <f ca="1"/>
      </c>
      <c r="AM443">
        <f ca="1"/>
      </c>
      <c r="AN443">
        <f ca="1"/>
      </c>
      <c r="AO443">
        <f ca="1"/>
      </c>
      <c r="AP443">
        <f ca="1"/>
      </c>
      <c r="AQ443">
        <f ca="1"/>
      </c>
      <c r="AR443">
        <f ca="1"/>
      </c>
      <c r="AT443" s="7">
        <f ca="1"/>
      </c>
      <c r="AU443">
        <f ca="1"/>
      </c>
      <c r="AV443">
        <f ca="1"/>
      </c>
      <c r="AW443">
        <f ca="1"/>
      </c>
      <c r="AX443">
        <f ca="1"/>
      </c>
      <c r="AY443">
        <f ca="1"/>
      </c>
      <c r="BA443" s="7">
        <f ca="1"/>
      </c>
      <c r="BB443">
        <f ca="1"/>
      </c>
      <c r="BC443">
        <f ca="1"/>
      </c>
      <c r="BD443">
        <f ca="1"/>
      </c>
      <c r="BE443">
        <f ca="1"/>
      </c>
    </row>
    <row r="444" spans="31:57" x14ac:dyDescent="0.55000000000000004">
      <c r="AE444" s="7">
        <f ca="1"/>
      </c>
      <c r="AF444">
        <f ca="1"/>
      </c>
      <c r="AG444">
        <f ca="1"/>
      </c>
      <c r="AH444">
        <f ca="1"/>
      </c>
      <c r="AI444">
        <f ca="1"/>
      </c>
      <c r="AJ444">
        <f ca="1"/>
      </c>
      <c r="AK444">
        <f ca="1"/>
      </c>
      <c r="AL444">
        <f ca="1"/>
      </c>
      <c r="AM444">
        <f ca="1"/>
      </c>
      <c r="AN444">
        <f ca="1"/>
      </c>
      <c r="AO444">
        <f ca="1"/>
      </c>
      <c r="AP444">
        <f ca="1"/>
      </c>
      <c r="AQ444">
        <f ca="1"/>
      </c>
      <c r="AR444">
        <f ca="1"/>
      </c>
      <c r="AT444" s="7">
        <f ca="1"/>
      </c>
      <c r="AU444">
        <f ca="1"/>
      </c>
      <c r="AV444">
        <f ca="1"/>
      </c>
      <c r="AW444">
        <f ca="1"/>
      </c>
      <c r="AX444">
        <f ca="1"/>
      </c>
      <c r="AY444">
        <f ca="1"/>
      </c>
      <c r="BA444" s="7">
        <f ca="1"/>
      </c>
      <c r="BB444">
        <f ca="1"/>
      </c>
      <c r="BC444">
        <f ca="1"/>
      </c>
      <c r="BD444">
        <f ca="1"/>
      </c>
      <c r="BE444">
        <f ca="1"/>
      </c>
    </row>
    <row r="445" spans="31:57" x14ac:dyDescent="0.55000000000000004">
      <c r="AE445" s="7">
        <f ca="1"/>
      </c>
      <c r="AF445">
        <f ca="1"/>
      </c>
      <c r="AG445">
        <f ca="1"/>
      </c>
      <c r="AH445">
        <f ca="1"/>
      </c>
      <c r="AI445">
        <f ca="1"/>
      </c>
      <c r="AJ445">
        <f ca="1"/>
      </c>
      <c r="AK445">
        <f ca="1"/>
      </c>
      <c r="AL445">
        <f ca="1"/>
      </c>
      <c r="AM445">
        <f ca="1"/>
      </c>
      <c r="AN445">
        <f ca="1"/>
      </c>
      <c r="AO445">
        <f ca="1"/>
      </c>
      <c r="AP445">
        <f ca="1"/>
      </c>
      <c r="AQ445">
        <f ca="1"/>
      </c>
      <c r="AR445">
        <f ca="1"/>
      </c>
      <c r="AT445" s="7">
        <f ca="1"/>
      </c>
      <c r="AU445">
        <f ca="1"/>
      </c>
      <c r="AV445">
        <f ca="1"/>
      </c>
      <c r="AW445">
        <f ca="1"/>
      </c>
      <c r="AX445">
        <f ca="1"/>
      </c>
      <c r="AY445">
        <f ca="1"/>
      </c>
      <c r="BA445" s="7">
        <f ca="1"/>
      </c>
      <c r="BB445">
        <f ca="1"/>
      </c>
      <c r="BC445">
        <f ca="1"/>
      </c>
      <c r="BD445">
        <f ca="1"/>
      </c>
      <c r="BE445">
        <f ca="1"/>
      </c>
    </row>
    <row r="446" spans="31:57" x14ac:dyDescent="0.55000000000000004">
      <c r="AE446" s="7">
        <f ca="1"/>
      </c>
      <c r="AF446">
        <f ca="1"/>
      </c>
      <c r="AG446">
        <f ca="1"/>
      </c>
      <c r="AH446">
        <f ca="1"/>
      </c>
      <c r="AI446">
        <f ca="1"/>
      </c>
      <c r="AJ446">
        <f ca="1"/>
      </c>
      <c r="AK446">
        <f ca="1"/>
      </c>
      <c r="AL446">
        <f ca="1"/>
      </c>
      <c r="AM446">
        <f ca="1"/>
      </c>
      <c r="AN446">
        <f ca="1"/>
      </c>
      <c r="AO446">
        <f ca="1"/>
      </c>
      <c r="AP446">
        <f ca="1"/>
      </c>
      <c r="AQ446">
        <f ca="1"/>
      </c>
      <c r="AR446">
        <f ca="1"/>
      </c>
      <c r="AT446" s="7">
        <f ca="1"/>
      </c>
      <c r="AU446">
        <f ca="1"/>
      </c>
      <c r="AV446">
        <f ca="1"/>
      </c>
      <c r="AW446">
        <f ca="1"/>
      </c>
      <c r="AX446">
        <f ca="1"/>
      </c>
      <c r="AY446">
        <f ca="1"/>
      </c>
      <c r="BA446" s="7">
        <f ca="1"/>
      </c>
      <c r="BB446">
        <f ca="1"/>
      </c>
      <c r="BC446">
        <f ca="1"/>
      </c>
      <c r="BD446">
        <f ca="1"/>
      </c>
      <c r="BE446">
        <f ca="1"/>
      </c>
    </row>
    <row r="447" spans="31:57" x14ac:dyDescent="0.55000000000000004">
      <c r="AE447" s="7">
        <f ca="1"/>
      </c>
      <c r="AF447">
        <f ca="1"/>
      </c>
      <c r="AG447">
        <f ca="1"/>
      </c>
      <c r="AH447">
        <f ca="1"/>
      </c>
      <c r="AI447">
        <f ca="1"/>
      </c>
      <c r="AJ447">
        <f ca="1"/>
      </c>
      <c r="AK447">
        <f ca="1"/>
      </c>
      <c r="AL447">
        <f ca="1"/>
      </c>
      <c r="AM447">
        <f ca="1"/>
      </c>
      <c r="AN447">
        <f ca="1"/>
      </c>
      <c r="AO447">
        <f ca="1"/>
      </c>
      <c r="AP447">
        <f ca="1"/>
      </c>
      <c r="AQ447">
        <f ca="1"/>
      </c>
      <c r="AR447">
        <f ca="1"/>
      </c>
      <c r="AT447" s="7">
        <f ca="1"/>
      </c>
      <c r="AU447">
        <f ca="1"/>
      </c>
      <c r="AV447">
        <f ca="1"/>
      </c>
      <c r="AW447">
        <f ca="1"/>
      </c>
      <c r="AX447">
        <f ca="1"/>
      </c>
      <c r="AY447">
        <f ca="1"/>
      </c>
      <c r="BA447" s="7">
        <f ca="1"/>
      </c>
      <c r="BB447">
        <f ca="1"/>
      </c>
      <c r="BC447">
        <f ca="1"/>
      </c>
      <c r="BD447">
        <f ca="1"/>
      </c>
      <c r="BE447">
        <f ca="1"/>
      </c>
    </row>
    <row r="448" spans="31:57" x14ac:dyDescent="0.55000000000000004">
      <c r="AE448" s="7">
        <f ca="1"/>
      </c>
      <c r="AF448">
        <f ca="1"/>
      </c>
      <c r="AG448">
        <f ca="1"/>
      </c>
      <c r="AH448">
        <f ca="1"/>
      </c>
      <c r="AI448">
        <f ca="1"/>
      </c>
      <c r="AJ448">
        <f ca="1"/>
      </c>
      <c r="AK448">
        <f ca="1"/>
      </c>
      <c r="AL448">
        <f ca="1"/>
      </c>
      <c r="AM448">
        <f ca="1"/>
      </c>
      <c r="AN448">
        <f ca="1"/>
      </c>
      <c r="AO448">
        <f ca="1"/>
      </c>
      <c r="AP448">
        <f ca="1"/>
      </c>
      <c r="AQ448">
        <f ca="1"/>
      </c>
      <c r="AR448">
        <f ca="1"/>
      </c>
      <c r="AT448" s="7">
        <f ca="1"/>
      </c>
      <c r="AU448">
        <f ca="1"/>
      </c>
      <c r="AV448">
        <f ca="1"/>
      </c>
      <c r="AW448">
        <f ca="1"/>
      </c>
      <c r="AX448">
        <f ca="1"/>
      </c>
      <c r="AY448">
        <f ca="1"/>
      </c>
      <c r="BA448" s="7">
        <f ca="1"/>
      </c>
      <c r="BB448">
        <f ca="1"/>
      </c>
      <c r="BC448">
        <f ca="1"/>
      </c>
      <c r="BD448">
        <f ca="1"/>
      </c>
      <c r="BE448">
        <f ca="1"/>
      </c>
    </row>
    <row r="449" spans="31:57" x14ac:dyDescent="0.55000000000000004">
      <c r="AE449" s="7">
        <f ca="1"/>
      </c>
      <c r="AF449">
        <f ca="1"/>
      </c>
      <c r="AG449">
        <f ca="1"/>
      </c>
      <c r="AH449">
        <f ca="1"/>
      </c>
      <c r="AI449">
        <f ca="1"/>
      </c>
      <c r="AJ449">
        <f ca="1"/>
      </c>
      <c r="AK449">
        <f ca="1"/>
      </c>
      <c r="AL449">
        <f ca="1"/>
      </c>
      <c r="AM449">
        <f ca="1"/>
      </c>
      <c r="AN449">
        <f ca="1"/>
      </c>
      <c r="AO449">
        <f ca="1"/>
      </c>
      <c r="AP449">
        <f ca="1"/>
      </c>
      <c r="AQ449">
        <f ca="1"/>
      </c>
      <c r="AR449">
        <f ca="1"/>
      </c>
      <c r="AT449" s="7">
        <f ca="1"/>
      </c>
      <c r="AU449">
        <f ca="1"/>
      </c>
      <c r="AV449">
        <f ca="1"/>
      </c>
      <c r="AW449">
        <f ca="1"/>
      </c>
      <c r="AX449">
        <f ca="1"/>
      </c>
      <c r="AY449">
        <f ca="1"/>
      </c>
      <c r="BA449" s="7">
        <f ca="1"/>
      </c>
      <c r="BB449">
        <f ca="1"/>
      </c>
      <c r="BC449">
        <f ca="1"/>
      </c>
      <c r="BD449">
        <f ca="1"/>
      </c>
      <c r="BE449">
        <f ca="1"/>
      </c>
    </row>
    <row r="450" spans="31:57" x14ac:dyDescent="0.55000000000000004">
      <c r="AE450" s="7">
        <f ca="1"/>
      </c>
      <c r="AF450">
        <f ca="1"/>
      </c>
      <c r="AG450">
        <f ca="1"/>
      </c>
      <c r="AH450">
        <f ca="1"/>
      </c>
      <c r="AI450">
        <f ca="1"/>
      </c>
      <c r="AJ450">
        <f ca="1"/>
      </c>
      <c r="AK450">
        <f ca="1"/>
      </c>
      <c r="AL450">
        <f ca="1"/>
      </c>
      <c r="AM450">
        <f ca="1"/>
      </c>
      <c r="AN450">
        <f ca="1"/>
      </c>
      <c r="AO450">
        <f ca="1"/>
      </c>
      <c r="AP450">
        <f ca="1"/>
      </c>
      <c r="AQ450">
        <f ca="1"/>
      </c>
      <c r="AR450">
        <f ca="1"/>
      </c>
      <c r="AT450" s="7">
        <f ca="1"/>
      </c>
      <c r="AU450">
        <f ca="1"/>
      </c>
      <c r="AV450">
        <f ca="1"/>
      </c>
      <c r="AW450">
        <f ca="1"/>
      </c>
      <c r="AX450">
        <f ca="1"/>
      </c>
      <c r="AY450">
        <f ca="1"/>
      </c>
      <c r="BA450" s="7">
        <f ca="1"/>
      </c>
      <c r="BB450">
        <f ca="1"/>
      </c>
      <c r="BC450">
        <f ca="1"/>
      </c>
      <c r="BD450">
        <f ca="1"/>
      </c>
      <c r="BE450">
        <f ca="1"/>
      </c>
    </row>
    <row r="451" spans="31:57" x14ac:dyDescent="0.55000000000000004">
      <c r="AE451" s="7">
        <f ca="1"/>
      </c>
      <c r="AF451">
        <f ca="1"/>
      </c>
      <c r="AG451">
        <f ca="1"/>
      </c>
      <c r="AH451">
        <f ca="1"/>
      </c>
      <c r="AI451">
        <f ca="1"/>
      </c>
      <c r="AJ451">
        <f ca="1"/>
      </c>
      <c r="AK451">
        <f ca="1"/>
      </c>
      <c r="AL451">
        <f ca="1"/>
      </c>
      <c r="AM451">
        <f ca="1"/>
      </c>
      <c r="AN451">
        <f ca="1"/>
      </c>
      <c r="AO451">
        <f ca="1"/>
      </c>
      <c r="AP451">
        <f ca="1"/>
      </c>
      <c r="AQ451">
        <f ca="1"/>
      </c>
      <c r="AR451">
        <f ca="1"/>
      </c>
      <c r="AT451" s="7">
        <f ca="1"/>
      </c>
      <c r="AU451">
        <f ca="1"/>
      </c>
      <c r="AV451">
        <f ca="1"/>
      </c>
      <c r="AW451">
        <f ca="1"/>
      </c>
      <c r="AX451">
        <f ca="1"/>
      </c>
      <c r="AY451">
        <f ca="1"/>
      </c>
      <c r="BA451" s="7">
        <f ca="1"/>
      </c>
      <c r="BB451">
        <f ca="1"/>
      </c>
      <c r="BC451">
        <f ca="1"/>
      </c>
      <c r="BD451">
        <f ca="1"/>
      </c>
      <c r="BE451">
        <f ca="1"/>
      </c>
    </row>
    <row r="452" spans="31:57" x14ac:dyDescent="0.55000000000000004">
      <c r="AE452" s="7">
        <f ca="1"/>
      </c>
      <c r="AF452">
        <f ca="1"/>
      </c>
      <c r="AG452">
        <f ca="1"/>
      </c>
      <c r="AH452">
        <f ca="1"/>
      </c>
      <c r="AI452">
        <f ca="1"/>
      </c>
      <c r="AJ452">
        <f ca="1"/>
      </c>
      <c r="AK452">
        <f ca="1"/>
      </c>
      <c r="AL452">
        <f ca="1"/>
      </c>
      <c r="AM452">
        <f ca="1"/>
      </c>
      <c r="AN452">
        <f ca="1"/>
      </c>
      <c r="AO452">
        <f ca="1"/>
      </c>
      <c r="AP452">
        <f ca="1"/>
      </c>
      <c r="AQ452">
        <f ca="1"/>
      </c>
      <c r="AR452">
        <f ca="1"/>
      </c>
      <c r="AT452" s="7">
        <f ca="1"/>
      </c>
      <c r="AU452">
        <f ca="1"/>
      </c>
      <c r="AV452">
        <f ca="1"/>
      </c>
      <c r="AW452">
        <f ca="1"/>
      </c>
      <c r="AX452">
        <f ca="1"/>
      </c>
      <c r="AY452">
        <f ca="1"/>
      </c>
      <c r="BA452" s="7">
        <f ca="1"/>
      </c>
      <c r="BB452">
        <f ca="1"/>
      </c>
      <c r="BC452">
        <f ca="1"/>
      </c>
      <c r="BD452">
        <f ca="1"/>
      </c>
      <c r="BE452">
        <f ca="1"/>
      </c>
    </row>
    <row r="453" spans="31:57" x14ac:dyDescent="0.55000000000000004">
      <c r="AE453" s="7">
        <f ca="1"/>
      </c>
      <c r="AF453">
        <f ca="1"/>
      </c>
      <c r="AG453">
        <f ca="1"/>
      </c>
      <c r="AH453">
        <f ca="1"/>
      </c>
      <c r="AI453">
        <f ca="1"/>
      </c>
      <c r="AJ453">
        <f ca="1"/>
      </c>
      <c r="AK453">
        <f ca="1"/>
      </c>
      <c r="AL453">
        <f ca="1"/>
      </c>
      <c r="AM453">
        <f ca="1"/>
      </c>
      <c r="AN453">
        <f ca="1"/>
      </c>
      <c r="AO453">
        <f ca="1"/>
      </c>
      <c r="AP453">
        <f ca="1"/>
      </c>
      <c r="AQ453">
        <f ca="1"/>
      </c>
      <c r="AR453">
        <f ca="1"/>
      </c>
      <c r="AT453" s="7">
        <f ca="1"/>
      </c>
      <c r="AU453">
        <f ca="1"/>
      </c>
      <c r="AV453">
        <f ca="1"/>
      </c>
      <c r="AW453">
        <f ca="1"/>
      </c>
      <c r="AX453">
        <f ca="1"/>
      </c>
      <c r="AY453">
        <f ca="1"/>
      </c>
      <c r="BA453" s="7">
        <f ca="1"/>
      </c>
      <c r="BB453">
        <f ca="1"/>
      </c>
      <c r="BC453">
        <f ca="1"/>
      </c>
      <c r="BD453">
        <f ca="1"/>
      </c>
      <c r="BE453">
        <f ca="1"/>
      </c>
    </row>
    <row r="454" spans="31:57" x14ac:dyDescent="0.55000000000000004">
      <c r="AE454" s="7">
        <f ca="1"/>
      </c>
      <c r="AF454">
        <f ca="1"/>
      </c>
      <c r="AG454">
        <f ca="1"/>
      </c>
      <c r="AH454">
        <f ca="1"/>
      </c>
      <c r="AI454">
        <f ca="1"/>
      </c>
      <c r="AJ454">
        <f ca="1"/>
      </c>
      <c r="AK454">
        <f ca="1"/>
      </c>
      <c r="AL454">
        <f ca="1"/>
      </c>
      <c r="AM454">
        <f ca="1"/>
      </c>
      <c r="AN454">
        <f ca="1"/>
      </c>
      <c r="AO454">
        <f ca="1"/>
      </c>
      <c r="AP454">
        <f ca="1"/>
      </c>
      <c r="AQ454">
        <f ca="1"/>
      </c>
      <c r="AR454">
        <f ca="1"/>
      </c>
      <c r="AT454" s="7">
        <f ca="1"/>
      </c>
      <c r="AU454">
        <f ca="1"/>
      </c>
      <c r="AV454">
        <f ca="1"/>
      </c>
      <c r="AW454">
        <f ca="1"/>
      </c>
      <c r="AX454">
        <f ca="1"/>
      </c>
      <c r="AY454">
        <f ca="1"/>
      </c>
      <c r="BA454" s="7">
        <f ca="1"/>
      </c>
      <c r="BB454">
        <f ca="1"/>
      </c>
      <c r="BC454">
        <f ca="1"/>
      </c>
      <c r="BD454">
        <f ca="1"/>
      </c>
      <c r="BE454">
        <f ca="1"/>
      </c>
    </row>
    <row r="455" spans="31:57" x14ac:dyDescent="0.55000000000000004">
      <c r="AE455" s="7">
        <f ca="1"/>
      </c>
      <c r="AF455">
        <f ca="1"/>
      </c>
      <c r="AG455">
        <f ca="1"/>
      </c>
      <c r="AH455">
        <f ca="1"/>
      </c>
      <c r="AI455">
        <f ca="1"/>
      </c>
      <c r="AJ455">
        <f ca="1"/>
      </c>
      <c r="AK455">
        <f ca="1"/>
      </c>
      <c r="AL455">
        <f ca="1"/>
      </c>
      <c r="AM455">
        <f ca="1"/>
      </c>
      <c r="AN455">
        <f ca="1"/>
      </c>
      <c r="AO455">
        <f ca="1"/>
      </c>
      <c r="AP455">
        <f ca="1"/>
      </c>
      <c r="AQ455">
        <f ca="1"/>
      </c>
      <c r="AR455">
        <f ca="1"/>
      </c>
      <c r="AT455" s="7">
        <f ca="1"/>
      </c>
      <c r="AU455">
        <f ca="1"/>
      </c>
      <c r="AV455">
        <f ca="1"/>
      </c>
      <c r="AW455">
        <f ca="1"/>
      </c>
      <c r="AX455">
        <f ca="1"/>
      </c>
      <c r="AY455">
        <f ca="1"/>
      </c>
      <c r="BA455" s="7">
        <f ca="1"/>
      </c>
      <c r="BB455">
        <f ca="1"/>
      </c>
      <c r="BC455">
        <f ca="1"/>
      </c>
      <c r="BD455">
        <f ca="1"/>
      </c>
      <c r="BE455">
        <f ca="1"/>
      </c>
    </row>
    <row r="456" spans="31:57" x14ac:dyDescent="0.55000000000000004">
      <c r="AE456" s="7">
        <f ca="1"/>
      </c>
      <c r="AF456">
        <f ca="1"/>
      </c>
      <c r="AG456">
        <f ca="1"/>
      </c>
      <c r="AH456">
        <f ca="1"/>
      </c>
      <c r="AI456">
        <f ca="1"/>
      </c>
      <c r="AJ456">
        <f ca="1"/>
      </c>
      <c r="AK456">
        <f ca="1"/>
      </c>
      <c r="AL456">
        <f ca="1"/>
      </c>
      <c r="AM456">
        <f ca="1"/>
      </c>
      <c r="AN456">
        <f ca="1"/>
      </c>
      <c r="AO456">
        <f ca="1"/>
      </c>
      <c r="AP456">
        <f ca="1"/>
      </c>
      <c r="AQ456">
        <f ca="1"/>
      </c>
      <c r="AR456">
        <f ca="1"/>
      </c>
      <c r="AT456" s="7">
        <f ca="1"/>
      </c>
      <c r="AU456">
        <f ca="1"/>
      </c>
      <c r="AV456">
        <f ca="1"/>
      </c>
      <c r="AW456">
        <f ca="1"/>
      </c>
      <c r="AX456">
        <f ca="1"/>
      </c>
      <c r="AY456">
        <f ca="1"/>
      </c>
      <c r="BA456" s="7">
        <f ca="1"/>
      </c>
      <c r="BB456">
        <f ca="1"/>
      </c>
      <c r="BC456">
        <f ca="1"/>
      </c>
      <c r="BD456">
        <f ca="1"/>
      </c>
      <c r="BE456">
        <f ca="1"/>
      </c>
    </row>
    <row r="457" spans="31:57" x14ac:dyDescent="0.55000000000000004">
      <c r="AE457" s="7">
        <f ca="1"/>
      </c>
      <c r="AF457">
        <f ca="1"/>
      </c>
      <c r="AG457">
        <f ca="1"/>
      </c>
      <c r="AH457">
        <f ca="1"/>
      </c>
      <c r="AI457">
        <f ca="1"/>
      </c>
      <c r="AJ457">
        <f ca="1"/>
      </c>
      <c r="AK457">
        <f ca="1"/>
      </c>
      <c r="AL457">
        <f ca="1"/>
      </c>
      <c r="AM457">
        <f ca="1"/>
      </c>
      <c r="AN457">
        <f ca="1"/>
      </c>
      <c r="AO457">
        <f ca="1"/>
      </c>
      <c r="AP457">
        <f ca="1"/>
      </c>
      <c r="AQ457">
        <f ca="1"/>
      </c>
      <c r="AR457">
        <f ca="1"/>
      </c>
      <c r="AT457" s="7">
        <f ca="1"/>
      </c>
      <c r="AU457">
        <f ca="1"/>
      </c>
      <c r="AV457">
        <f ca="1"/>
      </c>
      <c r="AW457">
        <f ca="1"/>
      </c>
      <c r="AX457">
        <f ca="1"/>
      </c>
      <c r="AY457">
        <f ca="1"/>
      </c>
      <c r="BA457" s="7">
        <f ca="1"/>
      </c>
      <c r="BB457">
        <f ca="1"/>
      </c>
      <c r="BC457">
        <f ca="1"/>
      </c>
      <c r="BD457">
        <f ca="1"/>
      </c>
      <c r="BE457">
        <f ca="1"/>
      </c>
    </row>
    <row r="458" spans="31:57" x14ac:dyDescent="0.55000000000000004">
      <c r="AE458" s="7">
        <f ca="1"/>
      </c>
      <c r="AF458">
        <f ca="1"/>
      </c>
      <c r="AG458">
        <f ca="1"/>
      </c>
      <c r="AH458">
        <f ca="1"/>
      </c>
      <c r="AI458">
        <f ca="1"/>
      </c>
      <c r="AJ458">
        <f ca="1"/>
      </c>
      <c r="AK458">
        <f ca="1"/>
      </c>
      <c r="AL458">
        <f ca="1"/>
      </c>
      <c r="AM458">
        <f ca="1"/>
      </c>
      <c r="AN458">
        <f ca="1"/>
      </c>
      <c r="AO458">
        <f ca="1"/>
      </c>
      <c r="AP458">
        <f ca="1"/>
      </c>
      <c r="AQ458">
        <f ca="1"/>
      </c>
      <c r="AR458">
        <f ca="1"/>
      </c>
      <c r="AT458" s="7">
        <f ca="1"/>
      </c>
      <c r="AU458">
        <f ca="1"/>
      </c>
      <c r="AV458">
        <f ca="1"/>
      </c>
      <c r="AW458">
        <f ca="1"/>
      </c>
      <c r="AX458">
        <f ca="1"/>
      </c>
      <c r="AY458">
        <f ca="1"/>
      </c>
      <c r="BA458" s="7">
        <f ca="1"/>
      </c>
      <c r="BB458">
        <f ca="1"/>
      </c>
      <c r="BC458">
        <f ca="1"/>
      </c>
      <c r="BD458">
        <f ca="1"/>
      </c>
      <c r="BE458">
        <f ca="1"/>
      </c>
    </row>
    <row r="459" spans="31:57" x14ac:dyDescent="0.55000000000000004">
      <c r="AE459" s="7">
        <f ca="1"/>
      </c>
      <c r="AF459">
        <f ca="1"/>
      </c>
      <c r="AG459">
        <f ca="1"/>
      </c>
      <c r="AH459">
        <f ca="1"/>
      </c>
      <c r="AI459">
        <f ca="1"/>
      </c>
      <c r="AJ459">
        <f ca="1"/>
      </c>
      <c r="AK459">
        <f ca="1"/>
      </c>
      <c r="AL459">
        <f ca="1"/>
      </c>
      <c r="AM459">
        <f ca="1"/>
      </c>
      <c r="AN459">
        <f ca="1"/>
      </c>
      <c r="AO459">
        <f ca="1"/>
      </c>
      <c r="AP459">
        <f ca="1"/>
      </c>
      <c r="AQ459">
        <f ca="1"/>
      </c>
      <c r="AR459">
        <f ca="1"/>
      </c>
      <c r="AT459" s="7">
        <f ca="1"/>
      </c>
      <c r="AU459">
        <f ca="1"/>
      </c>
      <c r="AV459">
        <f ca="1"/>
      </c>
      <c r="AW459">
        <f ca="1"/>
      </c>
      <c r="AX459">
        <f ca="1"/>
      </c>
      <c r="AY459">
        <f ca="1"/>
      </c>
      <c r="BA459" s="7">
        <f ca="1"/>
      </c>
      <c r="BB459">
        <f ca="1"/>
      </c>
      <c r="BC459">
        <f ca="1"/>
      </c>
      <c r="BD459">
        <f ca="1"/>
      </c>
      <c r="BE459">
        <f ca="1"/>
      </c>
    </row>
    <row r="460" spans="31:57" x14ac:dyDescent="0.55000000000000004">
      <c r="AE460" s="7">
        <f ca="1"/>
      </c>
      <c r="AF460">
        <f ca="1"/>
      </c>
      <c r="AG460">
        <f ca="1"/>
      </c>
      <c r="AH460">
        <f ca="1"/>
      </c>
      <c r="AI460">
        <f ca="1"/>
      </c>
      <c r="AJ460">
        <f ca="1"/>
      </c>
      <c r="AK460">
        <f ca="1"/>
      </c>
      <c r="AL460">
        <f ca="1"/>
      </c>
      <c r="AM460">
        <f ca="1"/>
      </c>
      <c r="AN460">
        <f ca="1"/>
      </c>
      <c r="AO460">
        <f ca="1"/>
      </c>
      <c r="AP460">
        <f ca="1"/>
      </c>
      <c r="AQ460">
        <f ca="1"/>
      </c>
      <c r="AR460">
        <f ca="1"/>
      </c>
      <c r="AT460" s="7">
        <f ca="1"/>
      </c>
      <c r="AU460">
        <f ca="1"/>
      </c>
      <c r="AV460">
        <f ca="1"/>
      </c>
      <c r="AW460">
        <f ca="1"/>
      </c>
      <c r="AX460">
        <f ca="1"/>
      </c>
      <c r="AY460">
        <f ca="1"/>
      </c>
      <c r="BA460" s="7">
        <f ca="1"/>
      </c>
      <c r="BB460">
        <f ca="1"/>
      </c>
      <c r="BC460">
        <f ca="1"/>
      </c>
      <c r="BD460">
        <f ca="1"/>
      </c>
      <c r="BE460">
        <f ca="1"/>
      </c>
    </row>
    <row r="461" spans="31:57" x14ac:dyDescent="0.55000000000000004">
      <c r="AE461" s="7">
        <f ca="1"/>
      </c>
      <c r="AF461">
        <f ca="1"/>
      </c>
      <c r="AG461">
        <f ca="1"/>
      </c>
      <c r="AH461">
        <f ca="1"/>
      </c>
      <c r="AI461">
        <f ca="1"/>
      </c>
      <c r="AJ461">
        <f ca="1"/>
      </c>
      <c r="AK461">
        <f ca="1"/>
      </c>
      <c r="AL461">
        <f ca="1"/>
      </c>
      <c r="AM461">
        <f ca="1"/>
      </c>
      <c r="AN461">
        <f ca="1"/>
      </c>
      <c r="AO461">
        <f ca="1"/>
      </c>
      <c r="AP461">
        <f ca="1"/>
      </c>
      <c r="AQ461">
        <f ca="1"/>
      </c>
      <c r="AR461">
        <f ca="1"/>
      </c>
      <c r="AT461" s="7">
        <f ca="1"/>
      </c>
      <c r="AU461">
        <f ca="1"/>
      </c>
      <c r="AV461">
        <f ca="1"/>
      </c>
      <c r="AW461">
        <f ca="1"/>
      </c>
      <c r="AX461">
        <f ca="1"/>
      </c>
      <c r="AY461">
        <f ca="1"/>
      </c>
      <c r="BA461" s="7">
        <f ca="1"/>
      </c>
      <c r="BB461">
        <f ca="1"/>
      </c>
      <c r="BC461">
        <f ca="1"/>
      </c>
      <c r="BD461">
        <f ca="1"/>
      </c>
      <c r="BE461">
        <f ca="1"/>
      </c>
    </row>
    <row r="462" spans="31:57" x14ac:dyDescent="0.55000000000000004">
      <c r="AE462" s="7">
        <f ca="1"/>
      </c>
      <c r="AF462">
        <f ca="1"/>
      </c>
      <c r="AG462">
        <f ca="1"/>
      </c>
      <c r="AH462">
        <f ca="1"/>
      </c>
      <c r="AI462">
        <f ca="1"/>
      </c>
      <c r="AJ462">
        <f ca="1"/>
      </c>
      <c r="AK462">
        <f ca="1"/>
      </c>
      <c r="AL462">
        <f ca="1"/>
      </c>
      <c r="AM462">
        <f ca="1"/>
      </c>
      <c r="AN462">
        <f ca="1"/>
      </c>
      <c r="AO462">
        <f ca="1"/>
      </c>
      <c r="AP462">
        <f ca="1"/>
      </c>
      <c r="AQ462">
        <f ca="1"/>
      </c>
      <c r="AR462">
        <f ca="1"/>
      </c>
      <c r="AT462" s="7">
        <f ca="1"/>
      </c>
      <c r="AU462">
        <f ca="1"/>
      </c>
      <c r="AV462">
        <f ca="1"/>
      </c>
      <c r="AW462">
        <f ca="1"/>
      </c>
      <c r="AX462">
        <f ca="1"/>
      </c>
      <c r="AY462">
        <f ca="1"/>
      </c>
      <c r="BA462" s="7">
        <f ca="1"/>
      </c>
      <c r="BB462">
        <f ca="1"/>
      </c>
      <c r="BC462">
        <f ca="1"/>
      </c>
      <c r="BD462">
        <f ca="1"/>
      </c>
      <c r="BE462">
        <f ca="1"/>
      </c>
    </row>
    <row r="463" spans="31:57" x14ac:dyDescent="0.55000000000000004">
      <c r="AE463" s="7">
        <f ca="1"/>
      </c>
      <c r="AF463">
        <f ca="1"/>
      </c>
      <c r="AG463">
        <f ca="1"/>
      </c>
      <c r="AH463">
        <f ca="1"/>
      </c>
      <c r="AI463">
        <f ca="1"/>
      </c>
      <c r="AJ463">
        <f ca="1"/>
      </c>
      <c r="AK463">
        <f ca="1"/>
      </c>
      <c r="AL463">
        <f ca="1"/>
      </c>
      <c r="AM463">
        <f ca="1"/>
      </c>
      <c r="AN463">
        <f ca="1"/>
      </c>
      <c r="AO463">
        <f ca="1"/>
      </c>
      <c r="AP463">
        <f ca="1"/>
      </c>
      <c r="AQ463">
        <f ca="1"/>
      </c>
      <c r="AR463">
        <f ca="1"/>
      </c>
      <c r="AT463" s="7">
        <f ca="1"/>
      </c>
      <c r="AU463">
        <f ca="1"/>
      </c>
      <c r="AV463">
        <f ca="1"/>
      </c>
      <c r="AW463">
        <f ca="1"/>
      </c>
      <c r="AX463">
        <f ca="1"/>
      </c>
      <c r="AY463">
        <f ca="1"/>
      </c>
      <c r="BA463" s="7">
        <f ca="1"/>
      </c>
      <c r="BB463">
        <f ca="1"/>
      </c>
      <c r="BC463">
        <f ca="1"/>
      </c>
      <c r="BD463">
        <f ca="1"/>
      </c>
      <c r="BE463">
        <f ca="1"/>
      </c>
    </row>
    <row r="464" spans="31:57" x14ac:dyDescent="0.55000000000000004">
      <c r="AE464" s="7">
        <f ca="1"/>
      </c>
      <c r="AF464">
        <f ca="1"/>
      </c>
      <c r="AG464">
        <f ca="1"/>
      </c>
      <c r="AH464">
        <f ca="1"/>
      </c>
      <c r="AI464">
        <f ca="1"/>
      </c>
      <c r="AJ464">
        <f ca="1"/>
      </c>
      <c r="AK464">
        <f ca="1"/>
      </c>
      <c r="AL464">
        <f ca="1"/>
      </c>
      <c r="AM464">
        <f ca="1"/>
      </c>
      <c r="AN464">
        <f ca="1"/>
      </c>
      <c r="AO464">
        <f ca="1"/>
      </c>
      <c r="AP464">
        <f ca="1"/>
      </c>
      <c r="AQ464">
        <f ca="1"/>
      </c>
      <c r="AR464">
        <f ca="1"/>
      </c>
      <c r="AT464" s="7">
        <f ca="1"/>
      </c>
      <c r="AU464">
        <f ca="1"/>
      </c>
      <c r="AV464">
        <f ca="1"/>
      </c>
      <c r="AW464">
        <f ca="1"/>
      </c>
      <c r="AX464">
        <f ca="1"/>
      </c>
      <c r="AY464">
        <f ca="1"/>
      </c>
      <c r="BA464" s="7">
        <f ca="1"/>
      </c>
      <c r="BB464">
        <f ca="1"/>
      </c>
      <c r="BC464">
        <f ca="1"/>
      </c>
      <c r="BD464">
        <f ca="1"/>
      </c>
      <c r="BE464">
        <f ca="1"/>
      </c>
    </row>
    <row r="465" spans="31:57" x14ac:dyDescent="0.55000000000000004">
      <c r="AE465" s="7">
        <f ca="1"/>
      </c>
      <c r="AF465">
        <f ca="1"/>
      </c>
      <c r="AG465">
        <f ca="1"/>
      </c>
      <c r="AH465">
        <f ca="1"/>
      </c>
      <c r="AI465">
        <f ca="1"/>
      </c>
      <c r="AJ465">
        <f ca="1"/>
      </c>
      <c r="AK465">
        <f ca="1"/>
      </c>
      <c r="AL465">
        <f ca="1"/>
      </c>
      <c r="AM465">
        <f ca="1"/>
      </c>
      <c r="AN465">
        <f ca="1"/>
      </c>
      <c r="AO465">
        <f ca="1"/>
      </c>
      <c r="AP465">
        <f ca="1"/>
      </c>
      <c r="AQ465">
        <f ca="1"/>
      </c>
      <c r="AR465">
        <f ca="1"/>
      </c>
      <c r="AT465" s="7">
        <f ca="1"/>
      </c>
      <c r="AU465">
        <f ca="1"/>
      </c>
      <c r="AV465">
        <f ca="1"/>
      </c>
      <c r="AW465">
        <f ca="1"/>
      </c>
      <c r="AX465">
        <f ca="1"/>
      </c>
      <c r="AY465">
        <f ca="1"/>
      </c>
      <c r="BA465" s="7">
        <f ca="1"/>
      </c>
      <c r="BB465">
        <f ca="1"/>
      </c>
      <c r="BC465">
        <f ca="1"/>
      </c>
      <c r="BD465">
        <f ca="1"/>
      </c>
      <c r="BE465">
        <f ca="1"/>
      </c>
    </row>
    <row r="466" spans="31:57" x14ac:dyDescent="0.55000000000000004">
      <c r="AE466" s="7">
        <f ca="1"/>
      </c>
      <c r="AF466">
        <f ca="1"/>
      </c>
      <c r="AG466">
        <f ca="1"/>
      </c>
      <c r="AH466">
        <f ca="1"/>
      </c>
      <c r="AI466">
        <f ca="1"/>
      </c>
      <c r="AJ466">
        <f ca="1"/>
      </c>
      <c r="AK466">
        <f ca="1"/>
      </c>
      <c r="AL466">
        <f ca="1"/>
      </c>
      <c r="AM466">
        <f ca="1"/>
      </c>
      <c r="AN466">
        <f ca="1"/>
      </c>
      <c r="AO466">
        <f ca="1"/>
      </c>
      <c r="AP466">
        <f ca="1"/>
      </c>
      <c r="AQ466">
        <f ca="1"/>
      </c>
      <c r="AR466">
        <f ca="1"/>
      </c>
      <c r="AT466" s="7">
        <f ca="1"/>
      </c>
      <c r="AU466">
        <f ca="1"/>
      </c>
      <c r="AV466">
        <f ca="1"/>
      </c>
      <c r="AW466">
        <f ca="1"/>
      </c>
      <c r="AX466">
        <f ca="1"/>
      </c>
      <c r="AY466">
        <f ca="1"/>
      </c>
      <c r="BA466" s="7">
        <f ca="1"/>
      </c>
      <c r="BB466">
        <f ca="1"/>
      </c>
      <c r="BC466">
        <f ca="1"/>
      </c>
      <c r="BD466">
        <f ca="1"/>
      </c>
      <c r="BE466">
        <f ca="1"/>
      </c>
    </row>
    <row r="467" spans="31:57" x14ac:dyDescent="0.55000000000000004">
      <c r="AE467" s="7">
        <f ca="1"/>
      </c>
      <c r="AF467">
        <f ca="1"/>
      </c>
      <c r="AG467">
        <f ca="1"/>
      </c>
      <c r="AH467">
        <f ca="1"/>
      </c>
      <c r="AI467">
        <f ca="1"/>
      </c>
      <c r="AJ467">
        <f ca="1"/>
      </c>
      <c r="AK467">
        <f ca="1"/>
      </c>
      <c r="AL467">
        <f ca="1"/>
      </c>
      <c r="AM467">
        <f ca="1"/>
      </c>
      <c r="AN467">
        <f ca="1"/>
      </c>
      <c r="AO467">
        <f ca="1"/>
      </c>
      <c r="AP467">
        <f ca="1"/>
      </c>
      <c r="AQ467">
        <f ca="1"/>
      </c>
      <c r="AR467">
        <f ca="1"/>
      </c>
      <c r="AT467" s="7">
        <f ca="1"/>
      </c>
      <c r="AU467">
        <f ca="1"/>
      </c>
      <c r="AV467">
        <f ca="1"/>
      </c>
      <c r="AW467">
        <f ca="1"/>
      </c>
      <c r="AX467">
        <f ca="1"/>
      </c>
      <c r="AY467">
        <f ca="1"/>
      </c>
      <c r="BA467" s="7">
        <f ca="1"/>
      </c>
      <c r="BB467">
        <f ca="1"/>
      </c>
      <c r="BC467">
        <f ca="1"/>
      </c>
      <c r="BD467">
        <f ca="1"/>
      </c>
      <c r="BE467">
        <f ca="1"/>
      </c>
    </row>
    <row r="468" spans="31:57" x14ac:dyDescent="0.55000000000000004">
      <c r="AE468" s="7">
        <f ca="1"/>
      </c>
      <c r="AF468">
        <f ca="1"/>
      </c>
      <c r="AG468">
        <f ca="1"/>
      </c>
      <c r="AH468">
        <f ca="1"/>
      </c>
      <c r="AI468">
        <f ca="1"/>
      </c>
      <c r="AJ468">
        <f ca="1"/>
      </c>
      <c r="AK468">
        <f ca="1"/>
      </c>
      <c r="AL468">
        <f ca="1"/>
      </c>
      <c r="AM468">
        <f ca="1"/>
      </c>
      <c r="AN468">
        <f ca="1"/>
      </c>
      <c r="AO468">
        <f ca="1"/>
      </c>
      <c r="AP468">
        <f ca="1"/>
      </c>
      <c r="AQ468">
        <f ca="1"/>
      </c>
      <c r="AR468">
        <f ca="1"/>
      </c>
      <c r="AT468" s="7">
        <f ca="1"/>
      </c>
      <c r="AU468">
        <f ca="1"/>
      </c>
      <c r="AV468">
        <f ca="1"/>
      </c>
      <c r="AW468">
        <f ca="1"/>
      </c>
      <c r="AX468">
        <f ca="1"/>
      </c>
      <c r="AY468">
        <f ca="1"/>
      </c>
      <c r="BA468" s="7">
        <f ca="1"/>
      </c>
      <c r="BB468">
        <f ca="1"/>
      </c>
      <c r="BC468">
        <f ca="1"/>
      </c>
      <c r="BD468">
        <f ca="1"/>
      </c>
      <c r="BE468">
        <f ca="1"/>
      </c>
    </row>
    <row r="469" spans="31:57" x14ac:dyDescent="0.55000000000000004">
      <c r="AE469" s="7">
        <f ca="1"/>
      </c>
      <c r="AF469">
        <f ca="1"/>
      </c>
      <c r="AG469">
        <f ca="1"/>
      </c>
      <c r="AH469">
        <f ca="1"/>
      </c>
      <c r="AI469">
        <f ca="1"/>
      </c>
      <c r="AJ469">
        <f ca="1"/>
      </c>
      <c r="AK469">
        <f ca="1"/>
      </c>
      <c r="AL469">
        <f ca="1"/>
      </c>
      <c r="AM469">
        <f ca="1"/>
      </c>
      <c r="AN469">
        <f ca="1"/>
      </c>
      <c r="AO469">
        <f ca="1"/>
      </c>
      <c r="AP469">
        <f ca="1"/>
      </c>
      <c r="AQ469">
        <f ca="1"/>
      </c>
      <c r="AR469">
        <f ca="1"/>
      </c>
      <c r="AT469" s="7">
        <f ca="1"/>
      </c>
      <c r="AU469">
        <f ca="1"/>
      </c>
      <c r="AV469">
        <f ca="1"/>
      </c>
      <c r="AW469">
        <f ca="1"/>
      </c>
      <c r="AX469">
        <f ca="1"/>
      </c>
      <c r="AY469">
        <f ca="1"/>
      </c>
      <c r="BA469" s="7">
        <f ca="1"/>
      </c>
      <c r="BB469">
        <f ca="1"/>
      </c>
      <c r="BC469">
        <f ca="1"/>
      </c>
      <c r="BD469">
        <f ca="1"/>
      </c>
      <c r="BE469">
        <f ca="1"/>
      </c>
    </row>
    <row r="470" spans="31:57" x14ac:dyDescent="0.55000000000000004">
      <c r="AE470" s="7">
        <f ca="1"/>
      </c>
      <c r="AF470">
        <f ca="1"/>
      </c>
      <c r="AG470">
        <f ca="1"/>
      </c>
      <c r="AH470">
        <f ca="1"/>
      </c>
      <c r="AI470">
        <f ca="1"/>
      </c>
      <c r="AJ470">
        <f ca="1"/>
      </c>
      <c r="AK470">
        <f ca="1"/>
      </c>
      <c r="AL470">
        <f ca="1"/>
      </c>
      <c r="AM470">
        <f ca="1"/>
      </c>
      <c r="AN470">
        <f ca="1"/>
      </c>
      <c r="AO470">
        <f ca="1"/>
      </c>
      <c r="AP470">
        <f ca="1"/>
      </c>
      <c r="AQ470">
        <f ca="1"/>
      </c>
      <c r="AR470">
        <f ca="1"/>
      </c>
      <c r="AT470" s="7">
        <f ca="1"/>
      </c>
      <c r="AU470">
        <f ca="1"/>
      </c>
      <c r="AV470">
        <f ca="1"/>
      </c>
      <c r="AW470">
        <f ca="1"/>
      </c>
      <c r="AX470">
        <f ca="1"/>
      </c>
      <c r="AY470">
        <f ca="1"/>
      </c>
      <c r="BA470" s="7">
        <f ca="1"/>
      </c>
      <c r="BB470">
        <f ca="1"/>
      </c>
      <c r="BC470">
        <f ca="1"/>
      </c>
      <c r="BD470">
        <f ca="1"/>
      </c>
      <c r="BE470">
        <f ca="1"/>
      </c>
    </row>
    <row r="471" spans="31:57" x14ac:dyDescent="0.55000000000000004">
      <c r="AE471" s="7">
        <f ca="1"/>
      </c>
      <c r="AF471">
        <f ca="1"/>
      </c>
      <c r="AG471">
        <f ca="1"/>
      </c>
      <c r="AH471">
        <f ca="1"/>
      </c>
      <c r="AI471">
        <f ca="1"/>
      </c>
      <c r="AJ471">
        <f ca="1"/>
      </c>
      <c r="AK471">
        <f ca="1"/>
      </c>
      <c r="AL471">
        <f ca="1"/>
      </c>
      <c r="AM471">
        <f ca="1"/>
      </c>
      <c r="AN471">
        <f ca="1"/>
      </c>
      <c r="AO471">
        <f ca="1"/>
      </c>
      <c r="AP471">
        <f ca="1"/>
      </c>
      <c r="AQ471">
        <f ca="1"/>
      </c>
      <c r="AR471">
        <f ca="1"/>
      </c>
      <c r="AT471" s="7">
        <f ca="1"/>
      </c>
      <c r="AU471">
        <f ca="1"/>
      </c>
      <c r="AV471">
        <f ca="1"/>
      </c>
      <c r="AW471">
        <f ca="1"/>
      </c>
      <c r="AX471">
        <f ca="1"/>
      </c>
      <c r="AY471">
        <f ca="1"/>
      </c>
      <c r="BA471" s="7">
        <f ca="1"/>
      </c>
      <c r="BB471">
        <f ca="1"/>
      </c>
      <c r="BC471">
        <f ca="1"/>
      </c>
      <c r="BD471">
        <f ca="1"/>
      </c>
      <c r="BE471">
        <f ca="1"/>
      </c>
    </row>
    <row r="472" spans="31:57" x14ac:dyDescent="0.55000000000000004">
      <c r="AE472" s="7">
        <f ca="1"/>
      </c>
      <c r="AF472">
        <f ca="1"/>
      </c>
      <c r="AG472">
        <f ca="1"/>
      </c>
      <c r="AH472">
        <f ca="1"/>
      </c>
      <c r="AI472">
        <f ca="1"/>
      </c>
      <c r="AJ472">
        <f ca="1"/>
      </c>
      <c r="AK472">
        <f ca="1"/>
      </c>
      <c r="AL472">
        <f ca="1"/>
      </c>
      <c r="AM472">
        <f ca="1"/>
      </c>
      <c r="AN472">
        <f ca="1"/>
      </c>
      <c r="AO472">
        <f ca="1"/>
      </c>
      <c r="AP472">
        <f ca="1"/>
      </c>
      <c r="AQ472">
        <f ca="1"/>
      </c>
      <c r="AR472">
        <f ca="1"/>
      </c>
      <c r="AT472" s="7">
        <f ca="1"/>
      </c>
      <c r="AU472">
        <f ca="1"/>
      </c>
      <c r="AV472">
        <f ca="1"/>
      </c>
      <c r="AW472">
        <f ca="1"/>
      </c>
      <c r="AX472">
        <f ca="1"/>
      </c>
      <c r="AY472">
        <f ca="1"/>
      </c>
      <c r="BA472" s="7">
        <f ca="1"/>
      </c>
      <c r="BB472">
        <f ca="1"/>
      </c>
      <c r="BC472">
        <f ca="1"/>
      </c>
      <c r="BD472">
        <f ca="1"/>
      </c>
      <c r="BE472">
        <f ca="1"/>
      </c>
    </row>
    <row r="473" spans="31:57" x14ac:dyDescent="0.55000000000000004">
      <c r="AE473" s="7">
        <f ca="1"/>
      </c>
      <c r="AF473">
        <f ca="1"/>
      </c>
      <c r="AG473">
        <f ca="1"/>
      </c>
      <c r="AH473">
        <f ca="1"/>
      </c>
      <c r="AI473">
        <f ca="1"/>
      </c>
      <c r="AJ473">
        <f ca="1"/>
      </c>
      <c r="AK473">
        <f ca="1"/>
      </c>
      <c r="AL473">
        <f ca="1"/>
      </c>
      <c r="AM473">
        <f ca="1"/>
      </c>
      <c r="AN473">
        <f ca="1"/>
      </c>
      <c r="AO473">
        <f ca="1"/>
      </c>
      <c r="AP473">
        <f ca="1"/>
      </c>
      <c r="AQ473">
        <f ca="1"/>
      </c>
      <c r="AR473">
        <f ca="1"/>
      </c>
      <c r="AT473" s="7">
        <f ca="1"/>
      </c>
      <c r="AU473">
        <f ca="1"/>
      </c>
      <c r="AV473">
        <f ca="1"/>
      </c>
      <c r="AW473">
        <f ca="1"/>
      </c>
      <c r="AX473">
        <f ca="1"/>
      </c>
      <c r="AY473">
        <f ca="1"/>
      </c>
      <c r="BA473" s="7">
        <f ca="1"/>
      </c>
      <c r="BB473">
        <f ca="1"/>
      </c>
      <c r="BC473">
        <f ca="1"/>
      </c>
      <c r="BD473">
        <f ca="1"/>
      </c>
      <c r="BE473">
        <f ca="1"/>
      </c>
    </row>
    <row r="474" spans="31:57" x14ac:dyDescent="0.55000000000000004">
      <c r="AE474" s="7">
        <f ca="1"/>
      </c>
      <c r="AF474">
        <f ca="1"/>
      </c>
      <c r="AG474">
        <f ca="1"/>
      </c>
      <c r="AH474">
        <f ca="1"/>
      </c>
      <c r="AI474">
        <f ca="1"/>
      </c>
      <c r="AJ474">
        <f ca="1"/>
      </c>
      <c r="AK474">
        <f ca="1"/>
      </c>
      <c r="AL474">
        <f ca="1"/>
      </c>
      <c r="AM474">
        <f ca="1"/>
      </c>
      <c r="AN474">
        <f ca="1"/>
      </c>
      <c r="AO474">
        <f ca="1"/>
      </c>
      <c r="AP474">
        <f ca="1"/>
      </c>
      <c r="AQ474">
        <f ca="1"/>
      </c>
      <c r="AR474">
        <f ca="1"/>
      </c>
      <c r="AT474" s="7">
        <f ca="1"/>
      </c>
      <c r="AU474">
        <f ca="1"/>
      </c>
      <c r="AV474">
        <f ca="1"/>
      </c>
      <c r="AW474">
        <f ca="1"/>
      </c>
      <c r="AX474">
        <f ca="1"/>
      </c>
      <c r="AY474">
        <f ca="1"/>
      </c>
      <c r="BA474" s="7">
        <f ca="1"/>
      </c>
      <c r="BB474">
        <f ca="1"/>
      </c>
      <c r="BC474">
        <f ca="1"/>
      </c>
      <c r="BD474">
        <f ca="1"/>
      </c>
      <c r="BE474">
        <f ca="1"/>
      </c>
    </row>
    <row r="475" spans="31:57" x14ac:dyDescent="0.55000000000000004">
      <c r="AE475" s="7">
        <f ca="1"/>
      </c>
      <c r="AF475">
        <f ca="1"/>
      </c>
      <c r="AG475">
        <f ca="1"/>
      </c>
      <c r="AH475">
        <f ca="1"/>
      </c>
      <c r="AI475">
        <f ca="1"/>
      </c>
      <c r="AJ475">
        <f ca="1"/>
      </c>
      <c r="AK475">
        <f ca="1"/>
      </c>
      <c r="AL475">
        <f ca="1"/>
      </c>
      <c r="AM475">
        <f ca="1"/>
      </c>
      <c r="AN475">
        <f ca="1"/>
      </c>
      <c r="AO475">
        <f ca="1"/>
      </c>
      <c r="AP475">
        <f ca="1"/>
      </c>
      <c r="AQ475">
        <f ca="1"/>
      </c>
      <c r="AR475">
        <f ca="1"/>
      </c>
      <c r="AT475" s="7">
        <f ca="1"/>
      </c>
      <c r="AU475">
        <f ca="1"/>
      </c>
      <c r="AV475">
        <f ca="1"/>
      </c>
      <c r="AW475">
        <f ca="1"/>
      </c>
      <c r="AX475">
        <f ca="1"/>
      </c>
      <c r="AY475">
        <f ca="1"/>
      </c>
      <c r="BA475" s="7">
        <f ca="1"/>
      </c>
      <c r="BB475">
        <f ca="1"/>
      </c>
      <c r="BC475">
        <f ca="1"/>
      </c>
      <c r="BD475">
        <f ca="1"/>
      </c>
      <c r="BE475">
        <f ca="1"/>
      </c>
    </row>
    <row r="476" spans="31:57" x14ac:dyDescent="0.55000000000000004">
      <c r="AE476" s="7">
        <f ca="1"/>
      </c>
      <c r="AF476">
        <f ca="1"/>
      </c>
      <c r="AG476">
        <f ca="1"/>
      </c>
      <c r="AH476">
        <f ca="1"/>
      </c>
      <c r="AI476">
        <f ca="1"/>
      </c>
      <c r="AJ476">
        <f ca="1"/>
      </c>
      <c r="AK476">
        <f ca="1"/>
      </c>
      <c r="AL476">
        <f ca="1"/>
      </c>
      <c r="AM476">
        <f ca="1"/>
      </c>
      <c r="AN476">
        <f ca="1"/>
      </c>
      <c r="AO476">
        <f ca="1"/>
      </c>
      <c r="AP476">
        <f ca="1"/>
      </c>
      <c r="AQ476">
        <f ca="1"/>
      </c>
      <c r="AR476">
        <f ca="1"/>
      </c>
      <c r="AT476" s="7">
        <f ca="1"/>
      </c>
      <c r="AU476">
        <f ca="1"/>
      </c>
      <c r="AV476">
        <f ca="1"/>
      </c>
      <c r="AW476">
        <f ca="1"/>
      </c>
      <c r="AX476">
        <f ca="1"/>
      </c>
      <c r="AY476">
        <f ca="1"/>
      </c>
      <c r="BA476" s="7">
        <f ca="1"/>
      </c>
      <c r="BB476">
        <f ca="1"/>
      </c>
      <c r="BC476">
        <f ca="1"/>
      </c>
      <c r="BD476">
        <f ca="1"/>
      </c>
      <c r="BE476">
        <f ca="1"/>
      </c>
    </row>
    <row r="477" spans="31:57" x14ac:dyDescent="0.55000000000000004">
      <c r="AE477" s="7">
        <f ca="1"/>
      </c>
      <c r="AF477">
        <f ca="1"/>
      </c>
      <c r="AG477">
        <f ca="1"/>
      </c>
      <c r="AH477">
        <f ca="1"/>
      </c>
      <c r="AI477">
        <f ca="1"/>
      </c>
      <c r="AJ477">
        <f ca="1"/>
      </c>
      <c r="AK477">
        <f ca="1"/>
      </c>
      <c r="AL477">
        <f ca="1"/>
      </c>
      <c r="AM477">
        <f ca="1"/>
      </c>
      <c r="AN477">
        <f ca="1"/>
      </c>
      <c r="AO477">
        <f ca="1"/>
      </c>
      <c r="AP477">
        <f ca="1"/>
      </c>
      <c r="AQ477">
        <f ca="1"/>
      </c>
      <c r="AR477">
        <f ca="1"/>
      </c>
      <c r="AT477" s="7">
        <f ca="1"/>
      </c>
      <c r="AU477">
        <f ca="1"/>
      </c>
      <c r="AV477">
        <f ca="1"/>
      </c>
      <c r="AW477">
        <f ca="1"/>
      </c>
      <c r="AX477">
        <f ca="1"/>
      </c>
      <c r="AY477">
        <f ca="1"/>
      </c>
      <c r="BA477" s="7">
        <f ca="1"/>
      </c>
      <c r="BB477">
        <f ca="1"/>
      </c>
      <c r="BC477">
        <f ca="1"/>
      </c>
      <c r="BD477">
        <f ca="1"/>
      </c>
      <c r="BE477">
        <f ca="1"/>
      </c>
    </row>
    <row r="478" spans="31:57" x14ac:dyDescent="0.55000000000000004">
      <c r="AE478" s="7">
        <f ca="1"/>
      </c>
      <c r="AF478">
        <f ca="1"/>
      </c>
      <c r="AG478">
        <f ca="1"/>
      </c>
      <c r="AH478">
        <f ca="1"/>
      </c>
      <c r="AI478">
        <f ca="1"/>
      </c>
      <c r="AJ478">
        <f ca="1"/>
      </c>
      <c r="AK478">
        <f ca="1"/>
      </c>
      <c r="AL478">
        <f ca="1"/>
      </c>
      <c r="AM478">
        <f ca="1"/>
      </c>
      <c r="AN478">
        <f ca="1"/>
      </c>
      <c r="AO478">
        <f ca="1"/>
      </c>
      <c r="AP478">
        <f ca="1"/>
      </c>
      <c r="AQ478">
        <f ca="1"/>
      </c>
      <c r="AR478">
        <f ca="1"/>
      </c>
      <c r="AT478" s="7">
        <f ca="1"/>
      </c>
      <c r="AU478">
        <f ca="1"/>
      </c>
      <c r="AV478">
        <f ca="1"/>
      </c>
      <c r="AW478">
        <f ca="1"/>
      </c>
      <c r="AX478">
        <f ca="1"/>
      </c>
      <c r="AY478">
        <f ca="1"/>
      </c>
      <c r="BA478" s="7">
        <f ca="1"/>
      </c>
      <c r="BB478">
        <f ca="1"/>
      </c>
      <c r="BC478">
        <f ca="1"/>
      </c>
      <c r="BD478">
        <f ca="1"/>
      </c>
      <c r="BE478">
        <f ca="1"/>
      </c>
    </row>
    <row r="479" spans="31:57" x14ac:dyDescent="0.55000000000000004">
      <c r="AE479" s="7">
        <f ca="1"/>
      </c>
      <c r="AF479">
        <f ca="1"/>
      </c>
      <c r="AG479">
        <f ca="1"/>
      </c>
      <c r="AH479">
        <f ca="1"/>
      </c>
      <c r="AI479">
        <f ca="1"/>
      </c>
      <c r="AJ479">
        <f ca="1"/>
      </c>
      <c r="AK479">
        <f ca="1"/>
      </c>
      <c r="AL479">
        <f ca="1"/>
      </c>
      <c r="AM479">
        <f ca="1"/>
      </c>
      <c r="AN479">
        <f ca="1"/>
      </c>
      <c r="AO479">
        <f ca="1"/>
      </c>
      <c r="AP479">
        <f ca="1"/>
      </c>
      <c r="AQ479">
        <f ca="1"/>
      </c>
      <c r="AR479">
        <f ca="1"/>
      </c>
      <c r="AT479" s="7">
        <f ca="1"/>
      </c>
      <c r="AU479">
        <f ca="1"/>
      </c>
      <c r="AV479">
        <f ca="1"/>
      </c>
      <c r="AW479">
        <f ca="1"/>
      </c>
      <c r="AX479">
        <f ca="1"/>
      </c>
      <c r="AY479">
        <f ca="1"/>
      </c>
      <c r="BA479" s="7">
        <f ca="1"/>
      </c>
      <c r="BB479">
        <f ca="1"/>
      </c>
      <c r="BC479">
        <f ca="1"/>
      </c>
      <c r="BD479">
        <f ca="1"/>
      </c>
      <c r="BE479">
        <f ca="1"/>
      </c>
    </row>
    <row r="480" spans="31:57" x14ac:dyDescent="0.55000000000000004">
      <c r="AE480" s="7">
        <f ca="1"/>
      </c>
      <c r="AF480">
        <f ca="1"/>
      </c>
      <c r="AG480">
        <f ca="1"/>
      </c>
      <c r="AH480">
        <f ca="1"/>
      </c>
      <c r="AI480">
        <f ca="1"/>
      </c>
      <c r="AJ480">
        <f ca="1"/>
      </c>
      <c r="AK480">
        <f ca="1"/>
      </c>
      <c r="AL480">
        <f ca="1"/>
      </c>
      <c r="AM480">
        <f ca="1"/>
      </c>
      <c r="AN480">
        <f ca="1"/>
      </c>
      <c r="AO480">
        <f ca="1"/>
      </c>
      <c r="AP480">
        <f ca="1"/>
      </c>
      <c r="AQ480">
        <f ca="1"/>
      </c>
      <c r="AR480">
        <f ca="1"/>
      </c>
      <c r="AT480" s="7">
        <f ca="1"/>
      </c>
      <c r="AU480">
        <f ca="1"/>
      </c>
      <c r="AV480">
        <f ca="1"/>
      </c>
      <c r="AW480">
        <f ca="1"/>
      </c>
      <c r="AX480">
        <f ca="1"/>
      </c>
      <c r="AY480">
        <f ca="1"/>
      </c>
      <c r="BA480" s="7">
        <f ca="1"/>
      </c>
      <c r="BB480">
        <f ca="1"/>
      </c>
      <c r="BC480">
        <f ca="1"/>
      </c>
      <c r="BD480">
        <f ca="1"/>
      </c>
      <c r="BE480">
        <f ca="1"/>
      </c>
    </row>
    <row r="481" spans="31:57" x14ac:dyDescent="0.55000000000000004">
      <c r="AE481" s="7">
        <f ca="1"/>
      </c>
      <c r="AF481">
        <f ca="1"/>
      </c>
      <c r="AG481">
        <f ca="1"/>
      </c>
      <c r="AH481">
        <f ca="1"/>
      </c>
      <c r="AI481">
        <f ca="1"/>
      </c>
      <c r="AJ481">
        <f ca="1"/>
      </c>
      <c r="AK481">
        <f ca="1"/>
      </c>
      <c r="AL481">
        <f ca="1"/>
      </c>
      <c r="AM481">
        <f ca="1"/>
      </c>
      <c r="AN481">
        <f ca="1"/>
      </c>
      <c r="AO481">
        <f ca="1"/>
      </c>
      <c r="AP481">
        <f ca="1"/>
      </c>
      <c r="AQ481">
        <f ca="1"/>
      </c>
      <c r="AR481">
        <f ca="1"/>
      </c>
      <c r="AT481" s="7">
        <f ca="1"/>
      </c>
      <c r="AU481">
        <f ca="1"/>
      </c>
      <c r="AV481">
        <f ca="1"/>
      </c>
      <c r="AW481">
        <f ca="1"/>
      </c>
      <c r="AX481">
        <f ca="1"/>
      </c>
      <c r="AY481">
        <f ca="1"/>
      </c>
      <c r="BA481" s="7">
        <f ca="1"/>
      </c>
      <c r="BB481">
        <f ca="1"/>
      </c>
      <c r="BC481">
        <f ca="1"/>
      </c>
      <c r="BD481">
        <f ca="1"/>
      </c>
      <c r="BE481">
        <f ca="1"/>
      </c>
    </row>
    <row r="482" spans="31:57" x14ac:dyDescent="0.55000000000000004">
      <c r="AE482" s="7">
        <f ca="1"/>
      </c>
      <c r="AF482">
        <f ca="1"/>
      </c>
      <c r="AG482">
        <f ca="1"/>
      </c>
      <c r="AH482">
        <f ca="1"/>
      </c>
      <c r="AI482">
        <f ca="1"/>
      </c>
      <c r="AJ482">
        <f ca="1"/>
      </c>
      <c r="AK482">
        <f ca="1"/>
      </c>
      <c r="AL482">
        <f ca="1"/>
      </c>
      <c r="AM482">
        <f ca="1"/>
      </c>
      <c r="AN482">
        <f ca="1"/>
      </c>
      <c r="AO482">
        <f ca="1"/>
      </c>
      <c r="AP482">
        <f ca="1"/>
      </c>
      <c r="AQ482">
        <f ca="1"/>
      </c>
      <c r="AR482">
        <f ca="1"/>
      </c>
      <c r="AT482" s="7">
        <f ca="1"/>
      </c>
      <c r="AU482">
        <f ca="1"/>
      </c>
      <c r="AV482">
        <f ca="1"/>
      </c>
      <c r="AW482">
        <f ca="1"/>
      </c>
      <c r="AX482">
        <f ca="1"/>
      </c>
      <c r="AY482">
        <f ca="1"/>
      </c>
      <c r="BA482" s="7">
        <f ca="1"/>
      </c>
      <c r="BB482">
        <f ca="1"/>
      </c>
      <c r="BC482">
        <f ca="1"/>
      </c>
      <c r="BD482">
        <f ca="1"/>
      </c>
      <c r="BE482">
        <f ca="1"/>
      </c>
    </row>
    <row r="483" spans="31:57" x14ac:dyDescent="0.55000000000000004">
      <c r="AE483" s="7">
        <f ca="1"/>
      </c>
      <c r="AF483">
        <f ca="1"/>
      </c>
      <c r="AG483">
        <f ca="1"/>
      </c>
      <c r="AH483">
        <f ca="1"/>
      </c>
      <c r="AI483">
        <f ca="1"/>
      </c>
      <c r="AJ483">
        <f ca="1"/>
      </c>
      <c r="AK483">
        <f ca="1"/>
      </c>
      <c r="AL483">
        <f ca="1"/>
      </c>
      <c r="AM483">
        <f ca="1"/>
      </c>
      <c r="AN483">
        <f ca="1"/>
      </c>
      <c r="AO483">
        <f ca="1"/>
      </c>
      <c r="AP483">
        <f ca="1"/>
      </c>
      <c r="AQ483">
        <f ca="1"/>
      </c>
      <c r="AR483">
        <f ca="1"/>
      </c>
      <c r="AT483" s="7">
        <f ca="1"/>
      </c>
      <c r="AU483">
        <f ca="1"/>
      </c>
      <c r="AV483">
        <f ca="1"/>
      </c>
      <c r="AW483">
        <f ca="1"/>
      </c>
      <c r="AX483">
        <f ca="1"/>
      </c>
      <c r="AY483">
        <f ca="1"/>
      </c>
      <c r="BA483" s="7">
        <f ca="1"/>
      </c>
      <c r="BB483">
        <f ca="1"/>
      </c>
      <c r="BC483">
        <f ca="1"/>
      </c>
      <c r="BD483">
        <f ca="1"/>
      </c>
      <c r="BE483">
        <f ca="1"/>
      </c>
    </row>
    <row r="484" spans="31:57" x14ac:dyDescent="0.55000000000000004">
      <c r="AE484" s="7">
        <f ca="1"/>
      </c>
      <c r="AF484">
        <f ca="1"/>
      </c>
      <c r="AG484">
        <f ca="1"/>
      </c>
      <c r="AH484">
        <f ca="1"/>
      </c>
      <c r="AI484">
        <f ca="1"/>
      </c>
      <c r="AJ484">
        <f ca="1"/>
      </c>
      <c r="AK484">
        <f ca="1"/>
      </c>
      <c r="AL484">
        <f ca="1"/>
      </c>
      <c r="AM484">
        <f ca="1"/>
      </c>
      <c r="AN484">
        <f ca="1"/>
      </c>
      <c r="AO484">
        <f ca="1"/>
      </c>
      <c r="AP484">
        <f ca="1"/>
      </c>
      <c r="AQ484">
        <f ca="1"/>
      </c>
      <c r="AR484">
        <f ca="1"/>
      </c>
      <c r="AT484" s="7">
        <f ca="1"/>
      </c>
      <c r="AU484">
        <f ca="1"/>
      </c>
      <c r="AV484">
        <f ca="1"/>
      </c>
      <c r="AW484">
        <f ca="1"/>
      </c>
      <c r="AX484">
        <f ca="1"/>
      </c>
      <c r="AY484">
        <f ca="1"/>
      </c>
      <c r="BA484" s="7">
        <f ca="1"/>
      </c>
      <c r="BB484">
        <f ca="1"/>
      </c>
      <c r="BC484">
        <f ca="1"/>
      </c>
      <c r="BD484">
        <f ca="1"/>
      </c>
      <c r="BE484">
        <f ca="1"/>
      </c>
    </row>
    <row r="485" spans="31:57" x14ac:dyDescent="0.55000000000000004">
      <c r="AE485" s="7">
        <f ca="1"/>
      </c>
      <c r="AF485">
        <f ca="1"/>
      </c>
      <c r="AG485">
        <f ca="1"/>
      </c>
      <c r="AH485">
        <f ca="1"/>
      </c>
      <c r="AI485">
        <f ca="1"/>
      </c>
      <c r="AJ485">
        <f ca="1"/>
      </c>
      <c r="AK485">
        <f ca="1"/>
      </c>
      <c r="AL485">
        <f ca="1"/>
      </c>
      <c r="AM485">
        <f ca="1"/>
      </c>
      <c r="AN485">
        <f ca="1"/>
      </c>
      <c r="AO485">
        <f ca="1"/>
      </c>
      <c r="AP485">
        <f ca="1"/>
      </c>
      <c r="AQ485">
        <f ca="1"/>
      </c>
      <c r="AR485">
        <f ca="1"/>
      </c>
      <c r="AT485" s="7">
        <f ca="1"/>
      </c>
      <c r="AU485">
        <f ca="1"/>
      </c>
      <c r="AV485">
        <f ca="1"/>
      </c>
      <c r="AW485">
        <f ca="1"/>
      </c>
      <c r="AX485">
        <f ca="1"/>
      </c>
      <c r="AY485">
        <f ca="1"/>
      </c>
      <c r="BA485" s="7">
        <f ca="1"/>
      </c>
      <c r="BB485">
        <f ca="1"/>
      </c>
      <c r="BC485">
        <f ca="1"/>
      </c>
      <c r="BD485">
        <f ca="1"/>
      </c>
      <c r="BE485">
        <f ca="1"/>
      </c>
    </row>
    <row r="486" spans="31:57" x14ac:dyDescent="0.55000000000000004">
      <c r="AE486" s="7">
        <f ca="1"/>
      </c>
      <c r="AF486">
        <f ca="1"/>
      </c>
      <c r="AG486">
        <f ca="1"/>
      </c>
      <c r="AH486">
        <f ca="1"/>
      </c>
      <c r="AI486">
        <f ca="1"/>
      </c>
      <c r="AJ486">
        <f ca="1"/>
      </c>
      <c r="AK486">
        <f ca="1"/>
      </c>
      <c r="AL486">
        <f ca="1"/>
      </c>
      <c r="AM486">
        <f ca="1"/>
      </c>
      <c r="AN486">
        <f ca="1"/>
      </c>
      <c r="AO486">
        <f ca="1"/>
      </c>
      <c r="AP486">
        <f ca="1"/>
      </c>
      <c r="AQ486">
        <f ca="1"/>
      </c>
      <c r="AR486">
        <f ca="1"/>
      </c>
      <c r="AT486" s="7">
        <f ca="1"/>
      </c>
      <c r="AU486">
        <f ca="1"/>
      </c>
      <c r="AV486">
        <f ca="1"/>
      </c>
      <c r="AW486">
        <f ca="1"/>
      </c>
      <c r="AX486">
        <f ca="1"/>
      </c>
      <c r="AY486">
        <f ca="1"/>
      </c>
      <c r="BA486" s="7">
        <f ca="1"/>
      </c>
      <c r="BB486">
        <f ca="1"/>
      </c>
      <c r="BC486">
        <f ca="1"/>
      </c>
      <c r="BD486">
        <f ca="1"/>
      </c>
      <c r="BE486">
        <f ca="1"/>
      </c>
    </row>
    <row r="487" spans="31:57" x14ac:dyDescent="0.55000000000000004">
      <c r="AE487" s="7">
        <f ca="1"/>
      </c>
      <c r="AF487">
        <f ca="1"/>
      </c>
      <c r="AG487">
        <f ca="1"/>
      </c>
      <c r="AH487">
        <f ca="1"/>
      </c>
      <c r="AI487">
        <f ca="1"/>
      </c>
      <c r="AJ487">
        <f ca="1"/>
      </c>
      <c r="AK487">
        <f ca="1"/>
      </c>
      <c r="AL487">
        <f ca="1"/>
      </c>
      <c r="AM487">
        <f ca="1"/>
      </c>
      <c r="AN487">
        <f ca="1"/>
      </c>
      <c r="AO487">
        <f ca="1"/>
      </c>
      <c r="AP487">
        <f ca="1"/>
      </c>
      <c r="AQ487">
        <f ca="1"/>
      </c>
      <c r="AR487">
        <f ca="1"/>
      </c>
      <c r="AT487" s="7">
        <f ca="1"/>
      </c>
      <c r="AU487">
        <f ca="1"/>
      </c>
      <c r="AV487">
        <f ca="1"/>
      </c>
      <c r="AW487">
        <f ca="1"/>
      </c>
      <c r="AX487">
        <f ca="1"/>
      </c>
      <c r="AY487">
        <f ca="1"/>
      </c>
      <c r="BA487" s="7">
        <f ca="1"/>
      </c>
      <c r="BB487">
        <f ca="1"/>
      </c>
      <c r="BC487">
        <f ca="1"/>
      </c>
      <c r="BD487">
        <f ca="1"/>
      </c>
      <c r="BE487">
        <f ca="1"/>
      </c>
    </row>
    <row r="488" spans="31:57" x14ac:dyDescent="0.55000000000000004">
      <c r="AE488" s="7">
        <f ca="1"/>
      </c>
      <c r="AF488">
        <f ca="1"/>
      </c>
      <c r="AG488">
        <f ca="1"/>
      </c>
      <c r="AH488">
        <f ca="1"/>
      </c>
      <c r="AI488">
        <f ca="1"/>
      </c>
      <c r="AJ488">
        <f ca="1"/>
      </c>
      <c r="AK488">
        <f ca="1"/>
      </c>
      <c r="AL488">
        <f ca="1"/>
      </c>
      <c r="AM488">
        <f ca="1"/>
      </c>
      <c r="AN488">
        <f ca="1"/>
      </c>
      <c r="AO488">
        <f ca="1"/>
      </c>
      <c r="AP488">
        <f ca="1"/>
      </c>
      <c r="AQ488">
        <f ca="1"/>
      </c>
      <c r="AR488">
        <f ca="1"/>
      </c>
      <c r="AT488" s="7">
        <f ca="1"/>
      </c>
      <c r="AU488">
        <f ca="1"/>
      </c>
      <c r="AV488">
        <f ca="1"/>
      </c>
      <c r="AW488">
        <f ca="1"/>
      </c>
      <c r="AX488">
        <f ca="1"/>
      </c>
      <c r="AY488">
        <f ca="1"/>
      </c>
      <c r="BA488" s="7">
        <f ca="1"/>
      </c>
      <c r="BB488">
        <f ca="1"/>
      </c>
      <c r="BC488">
        <f ca="1"/>
      </c>
      <c r="BD488">
        <f ca="1"/>
      </c>
      <c r="BE488">
        <f ca="1"/>
      </c>
    </row>
    <row r="489" spans="31:57" x14ac:dyDescent="0.55000000000000004">
      <c r="AE489" s="7">
        <f ca="1"/>
      </c>
      <c r="AF489">
        <f ca="1"/>
      </c>
      <c r="AG489">
        <f ca="1"/>
      </c>
      <c r="AH489">
        <f ca="1"/>
      </c>
      <c r="AI489">
        <f ca="1"/>
      </c>
      <c r="AJ489">
        <f ca="1"/>
      </c>
      <c r="AK489">
        <f ca="1"/>
      </c>
      <c r="AL489">
        <f ca="1"/>
      </c>
      <c r="AM489">
        <f ca="1"/>
      </c>
      <c r="AN489">
        <f ca="1"/>
      </c>
      <c r="AO489">
        <f ca="1"/>
      </c>
      <c r="AP489">
        <f ca="1"/>
      </c>
      <c r="AQ489">
        <f ca="1"/>
      </c>
      <c r="AR489">
        <f ca="1"/>
      </c>
      <c r="AT489" s="7">
        <f ca="1"/>
      </c>
      <c r="AU489">
        <f ca="1"/>
      </c>
      <c r="AV489">
        <f ca="1"/>
      </c>
      <c r="AW489">
        <f ca="1"/>
      </c>
      <c r="AX489">
        <f ca="1"/>
      </c>
      <c r="AY489">
        <f ca="1"/>
      </c>
      <c r="BA489" s="7"/>
    </row>
    <row r="490" spans="31:57" x14ac:dyDescent="0.55000000000000004">
      <c r="AE490" s="7">
        <f ca="1"/>
      </c>
      <c r="AF490">
        <f ca="1"/>
      </c>
      <c r="AG490">
        <f ca="1"/>
      </c>
      <c r="AH490">
        <f ca="1"/>
      </c>
      <c r="AI490">
        <f ca="1"/>
      </c>
      <c r="AJ490">
        <f ca="1"/>
      </c>
      <c r="AK490">
        <f ca="1"/>
      </c>
      <c r="AL490">
        <f ca="1"/>
      </c>
      <c r="AM490">
        <f ca="1"/>
      </c>
      <c r="AN490">
        <f ca="1"/>
      </c>
      <c r="AO490">
        <f ca="1"/>
      </c>
      <c r="AP490">
        <f ca="1"/>
      </c>
      <c r="AQ490">
        <f ca="1"/>
      </c>
      <c r="AR490">
        <f ca="1"/>
      </c>
      <c r="AT490" s="7">
        <f ca="1"/>
      </c>
      <c r="AU490">
        <f ca="1"/>
      </c>
      <c r="AV490">
        <f ca="1"/>
      </c>
      <c r="AW490">
        <f ca="1"/>
      </c>
      <c r="AX490">
        <f ca="1"/>
      </c>
      <c r="AY490">
        <f ca="1"/>
      </c>
      <c r="BA490" s="7"/>
    </row>
    <row r="491" spans="31:57" x14ac:dyDescent="0.55000000000000004">
      <c r="AE491" s="7">
        <f ca="1"/>
      </c>
      <c r="AF491">
        <f ca="1"/>
      </c>
      <c r="AG491">
        <f ca="1"/>
      </c>
      <c r="AH491">
        <f ca="1"/>
      </c>
      <c r="AI491">
        <f ca="1"/>
      </c>
      <c r="AJ491">
        <f ca="1"/>
      </c>
      <c r="AK491">
        <f ca="1"/>
      </c>
      <c r="AL491">
        <f ca="1"/>
      </c>
      <c r="AM491">
        <f ca="1"/>
      </c>
      <c r="AN491">
        <f ca="1"/>
      </c>
      <c r="AO491">
        <f ca="1"/>
      </c>
      <c r="AP491">
        <f ca="1"/>
      </c>
      <c r="AQ491">
        <f ca="1"/>
      </c>
      <c r="AR491">
        <f ca="1"/>
      </c>
      <c r="AT491" s="7">
        <f ca="1"/>
      </c>
      <c r="AU491">
        <f ca="1"/>
      </c>
      <c r="AV491">
        <f ca="1"/>
      </c>
      <c r="AW491">
        <f ca="1"/>
      </c>
      <c r="AX491">
        <f ca="1"/>
      </c>
      <c r="AY491">
        <f ca="1"/>
      </c>
      <c r="BA491" s="7"/>
    </row>
    <row r="492" spans="31:57" x14ac:dyDescent="0.55000000000000004">
      <c r="AE492" s="7">
        <f ca="1"/>
      </c>
      <c r="AF492">
        <f ca="1"/>
      </c>
      <c r="AG492">
        <f ca="1"/>
      </c>
      <c r="AH492">
        <f ca="1"/>
      </c>
      <c r="AI492">
        <f ca="1"/>
      </c>
      <c r="AJ492">
        <f ca="1"/>
      </c>
      <c r="AK492">
        <f ca="1"/>
      </c>
      <c r="AL492">
        <f ca="1"/>
      </c>
      <c r="AM492">
        <f ca="1"/>
      </c>
      <c r="AN492">
        <f ca="1"/>
      </c>
      <c r="AO492">
        <f ca="1"/>
      </c>
      <c r="AP492">
        <f ca="1"/>
      </c>
      <c r="AQ492">
        <f ca="1"/>
      </c>
      <c r="AR492">
        <f ca="1"/>
      </c>
      <c r="AT492" s="7">
        <f ca="1"/>
      </c>
      <c r="AU492">
        <f ca="1"/>
      </c>
      <c r="AV492">
        <f ca="1"/>
      </c>
      <c r="AW492">
        <f ca="1"/>
      </c>
      <c r="AX492">
        <f ca="1"/>
      </c>
      <c r="AY492">
        <f ca="1"/>
      </c>
      <c r="BA492" s="7"/>
    </row>
    <row r="493" spans="31:57" x14ac:dyDescent="0.55000000000000004">
      <c r="AE493" s="7">
        <f ca="1"/>
      </c>
      <c r="AF493">
        <f ca="1"/>
      </c>
      <c r="AG493">
        <f ca="1"/>
      </c>
      <c r="AH493">
        <f ca="1"/>
      </c>
      <c r="AI493">
        <f ca="1"/>
      </c>
      <c r="AJ493">
        <f ca="1"/>
      </c>
      <c r="AK493">
        <f ca="1"/>
      </c>
      <c r="AL493">
        <f ca="1"/>
      </c>
      <c r="AM493">
        <f ca="1"/>
      </c>
      <c r="AN493">
        <f ca="1"/>
      </c>
      <c r="AO493">
        <f ca="1"/>
      </c>
      <c r="AP493">
        <f ca="1"/>
      </c>
      <c r="AQ493">
        <f ca="1"/>
      </c>
      <c r="AR493">
        <f ca="1"/>
      </c>
      <c r="AT493" s="7">
        <f ca="1"/>
      </c>
      <c r="AU493">
        <f ca="1"/>
      </c>
      <c r="AV493">
        <f ca="1"/>
      </c>
      <c r="AW493">
        <f ca="1"/>
      </c>
      <c r="AX493">
        <f ca="1"/>
      </c>
      <c r="AY493">
        <f ca="1"/>
      </c>
      <c r="BA493" s="7"/>
    </row>
    <row r="494" spans="31:57" x14ac:dyDescent="0.55000000000000004">
      <c r="AE494" s="7">
        <f ca="1"/>
      </c>
      <c r="AF494">
        <f ca="1"/>
      </c>
      <c r="AG494">
        <f ca="1"/>
      </c>
      <c r="AH494">
        <f ca="1"/>
      </c>
      <c r="AI494">
        <f ca="1"/>
      </c>
      <c r="AJ494">
        <f ca="1"/>
      </c>
      <c r="AK494">
        <f ca="1"/>
      </c>
      <c r="AL494">
        <f ca="1"/>
      </c>
      <c r="AM494">
        <f ca="1"/>
      </c>
      <c r="AN494">
        <f ca="1"/>
      </c>
      <c r="AO494">
        <f ca="1"/>
      </c>
      <c r="AP494">
        <f ca="1"/>
      </c>
      <c r="AQ494">
        <f ca="1"/>
      </c>
      <c r="AR494">
        <f ca="1"/>
      </c>
      <c r="AT494" s="7">
        <f ca="1"/>
      </c>
      <c r="AU494">
        <f ca="1"/>
      </c>
      <c r="AV494">
        <f ca="1"/>
      </c>
      <c r="AW494">
        <f ca="1"/>
      </c>
      <c r="AX494">
        <f ca="1"/>
      </c>
      <c r="AY494">
        <f ca="1"/>
      </c>
      <c r="BA494" s="7"/>
    </row>
    <row r="495" spans="31:57" x14ac:dyDescent="0.55000000000000004">
      <c r="AE495" s="7">
        <f ca="1"/>
      </c>
      <c r="AF495">
        <f ca="1"/>
      </c>
      <c r="AG495">
        <f ca="1"/>
      </c>
      <c r="AH495">
        <f ca="1"/>
      </c>
      <c r="AI495">
        <f ca="1"/>
      </c>
      <c r="AJ495">
        <f ca="1"/>
      </c>
      <c r="AK495">
        <f ca="1"/>
      </c>
      <c r="AL495">
        <f ca="1"/>
      </c>
      <c r="AM495">
        <f ca="1"/>
      </c>
      <c r="AN495">
        <f ca="1"/>
      </c>
      <c r="AO495">
        <f ca="1"/>
      </c>
      <c r="AP495">
        <f ca="1"/>
      </c>
      <c r="AQ495">
        <f ca="1"/>
      </c>
      <c r="AR495">
        <f ca="1"/>
      </c>
      <c r="AT495" s="7">
        <f ca="1"/>
      </c>
      <c r="AU495">
        <f ca="1"/>
      </c>
      <c r="AV495">
        <f ca="1"/>
      </c>
      <c r="AW495">
        <f ca="1"/>
      </c>
      <c r="AX495">
        <f ca="1"/>
      </c>
      <c r="AY495">
        <f ca="1"/>
      </c>
      <c r="BA495" s="7"/>
    </row>
    <row r="496" spans="31:57" x14ac:dyDescent="0.55000000000000004">
      <c r="AE496" s="7">
        <f ca="1"/>
      </c>
      <c r="AF496">
        <f ca="1"/>
      </c>
      <c r="AG496">
        <f ca="1"/>
      </c>
      <c r="AH496">
        <f ca="1"/>
      </c>
      <c r="AI496">
        <f ca="1"/>
      </c>
      <c r="AJ496">
        <f ca="1"/>
      </c>
      <c r="AK496">
        <f ca="1"/>
      </c>
      <c r="AL496">
        <f ca="1"/>
      </c>
      <c r="AM496">
        <f ca="1"/>
      </c>
      <c r="AN496">
        <f ca="1"/>
      </c>
      <c r="AO496">
        <f ca="1"/>
      </c>
      <c r="AP496">
        <f ca="1"/>
      </c>
      <c r="AQ496">
        <f ca="1"/>
      </c>
      <c r="AR496">
        <f ca="1"/>
      </c>
      <c r="AT496" s="7">
        <f ca="1"/>
      </c>
      <c r="AU496">
        <f ca="1"/>
      </c>
      <c r="AV496">
        <f ca="1"/>
      </c>
      <c r="AW496">
        <f ca="1"/>
      </c>
      <c r="AX496">
        <f ca="1"/>
      </c>
      <c r="AY496">
        <f ca="1"/>
      </c>
      <c r="BA496" s="7"/>
    </row>
    <row r="497" spans="31:53" x14ac:dyDescent="0.55000000000000004">
      <c r="AE497" s="7">
        <f ca="1"/>
      </c>
      <c r="AF497">
        <f ca="1"/>
      </c>
      <c r="AG497">
        <f ca="1"/>
      </c>
      <c r="AH497">
        <f ca="1"/>
      </c>
      <c r="AI497">
        <f ca="1"/>
      </c>
      <c r="AJ497">
        <f ca="1"/>
      </c>
      <c r="AK497">
        <f ca="1"/>
      </c>
      <c r="AL497">
        <f ca="1"/>
      </c>
      <c r="AM497">
        <f ca="1"/>
      </c>
      <c r="AN497">
        <f ca="1"/>
      </c>
      <c r="AO497">
        <f ca="1"/>
      </c>
      <c r="AP497">
        <f ca="1"/>
      </c>
      <c r="AQ497">
        <f ca="1"/>
      </c>
      <c r="AR497">
        <f ca="1"/>
      </c>
      <c r="AT497" s="7">
        <f ca="1"/>
      </c>
      <c r="AU497">
        <f ca="1"/>
      </c>
      <c r="AV497">
        <f ca="1"/>
      </c>
      <c r="AW497">
        <f ca="1"/>
      </c>
      <c r="AX497">
        <f ca="1"/>
      </c>
      <c r="AY497">
        <f ca="1"/>
      </c>
      <c r="BA497" s="7"/>
    </row>
    <row r="498" spans="31:53" x14ac:dyDescent="0.55000000000000004">
      <c r="AE498" s="7">
        <f ca="1"/>
      </c>
      <c r="AF498">
        <f ca="1"/>
      </c>
      <c r="AG498">
        <f ca="1"/>
      </c>
      <c r="AH498">
        <f ca="1"/>
      </c>
      <c r="AI498">
        <f ca="1"/>
      </c>
      <c r="AJ498">
        <f ca="1"/>
      </c>
      <c r="AK498">
        <f ca="1"/>
      </c>
      <c r="AL498">
        <f ca="1"/>
      </c>
      <c r="AM498">
        <f ca="1"/>
      </c>
      <c r="AN498">
        <f ca="1"/>
      </c>
      <c r="AO498">
        <f ca="1"/>
      </c>
      <c r="AP498">
        <f ca="1"/>
      </c>
      <c r="AQ498">
        <f ca="1"/>
      </c>
      <c r="AR498">
        <f ca="1"/>
      </c>
      <c r="AT498" s="7">
        <f ca="1"/>
      </c>
      <c r="AU498">
        <f ca="1"/>
      </c>
      <c r="AV498">
        <f ca="1"/>
      </c>
      <c r="AW498">
        <f ca="1"/>
      </c>
      <c r="AX498">
        <f ca="1"/>
      </c>
      <c r="AY498">
        <f ca="1"/>
      </c>
      <c r="BA498" s="7"/>
    </row>
    <row r="499" spans="31:53" x14ac:dyDescent="0.55000000000000004">
      <c r="AE499" s="7">
        <f ca="1"/>
      </c>
      <c r="AF499">
        <f ca="1"/>
      </c>
      <c r="AG499">
        <f ca="1"/>
      </c>
      <c r="AH499">
        <f ca="1"/>
      </c>
      <c r="AI499">
        <f ca="1"/>
      </c>
      <c r="AJ499">
        <f ca="1"/>
      </c>
      <c r="AK499">
        <f ca="1"/>
      </c>
      <c r="AL499">
        <f ca="1"/>
      </c>
      <c r="AM499">
        <f ca="1"/>
      </c>
      <c r="AN499">
        <f ca="1"/>
      </c>
      <c r="AO499">
        <f ca="1"/>
      </c>
      <c r="AP499">
        <f ca="1"/>
      </c>
      <c r="AQ499">
        <f ca="1"/>
      </c>
      <c r="AR499">
        <f ca="1"/>
      </c>
      <c r="AT499" s="7">
        <f ca="1"/>
      </c>
      <c r="AU499">
        <f ca="1"/>
      </c>
      <c r="AV499">
        <f ca="1"/>
      </c>
      <c r="AW499">
        <f ca="1"/>
      </c>
      <c r="AX499">
        <f ca="1"/>
      </c>
      <c r="AY499">
        <f ca="1"/>
      </c>
      <c r="BA499" s="7"/>
    </row>
    <row r="500" spans="31:53" x14ac:dyDescent="0.55000000000000004">
      <c r="AE500" s="7">
        <f ca="1"/>
      </c>
      <c r="AF500">
        <f ca="1"/>
      </c>
      <c r="AG500">
        <f ca="1"/>
      </c>
      <c r="AH500">
        <f ca="1"/>
      </c>
      <c r="AI500">
        <f ca="1"/>
      </c>
      <c r="AJ500">
        <f ca="1"/>
      </c>
      <c r="AK500">
        <f ca="1"/>
      </c>
      <c r="AL500">
        <f ca="1"/>
      </c>
      <c r="AM500">
        <f ca="1"/>
      </c>
      <c r="AN500">
        <f ca="1"/>
      </c>
      <c r="AO500">
        <f ca="1"/>
      </c>
      <c r="AP500">
        <f ca="1"/>
      </c>
      <c r="AQ500">
        <f ca="1"/>
      </c>
      <c r="AR500">
        <f ca="1"/>
      </c>
      <c r="AT500" s="7">
        <f ca="1"/>
      </c>
      <c r="AU500">
        <f ca="1"/>
      </c>
      <c r="AV500">
        <f ca="1"/>
      </c>
      <c r="AW500">
        <f ca="1"/>
      </c>
      <c r="AX500">
        <f ca="1"/>
      </c>
      <c r="AY500">
        <f ca="1"/>
      </c>
      <c r="BA500" s="7"/>
    </row>
    <row r="501" spans="31:53" x14ac:dyDescent="0.55000000000000004">
      <c r="AE501" s="7">
        <f ca="1"/>
      </c>
      <c r="AF501">
        <f ca="1"/>
      </c>
      <c r="AG501">
        <f ca="1"/>
      </c>
      <c r="AH501">
        <f ca="1"/>
      </c>
      <c r="AI501">
        <f ca="1"/>
      </c>
      <c r="AJ501">
        <f ca="1"/>
      </c>
      <c r="AK501">
        <f ca="1"/>
      </c>
      <c r="AL501">
        <f ca="1"/>
      </c>
      <c r="AM501">
        <f ca="1"/>
      </c>
      <c r="AN501">
        <f ca="1"/>
      </c>
      <c r="AO501">
        <f ca="1"/>
      </c>
      <c r="AP501">
        <f ca="1"/>
      </c>
      <c r="AQ501">
        <f ca="1"/>
      </c>
      <c r="AR501">
        <f ca="1"/>
      </c>
      <c r="AT501" s="7">
        <f ca="1"/>
      </c>
      <c r="AU501">
        <f ca="1"/>
      </c>
      <c r="AV501">
        <f ca="1"/>
      </c>
      <c r="AW501">
        <f ca="1"/>
      </c>
      <c r="AX501">
        <f ca="1"/>
      </c>
      <c r="AY501">
        <f ca="1"/>
      </c>
      <c r="BA501" s="7"/>
    </row>
    <row r="502" spans="31:53" x14ac:dyDescent="0.55000000000000004">
      <c r="AE502" s="7">
        <f ca="1"/>
      </c>
      <c r="AF502">
        <f ca="1"/>
      </c>
      <c r="AG502">
        <f ca="1"/>
      </c>
      <c r="AH502">
        <f ca="1"/>
      </c>
      <c r="AI502">
        <f ca="1"/>
      </c>
      <c r="AJ502">
        <f ca="1"/>
      </c>
      <c r="AK502">
        <f ca="1"/>
      </c>
      <c r="AL502">
        <f ca="1"/>
      </c>
      <c r="AM502">
        <f ca="1"/>
      </c>
      <c r="AN502">
        <f ca="1"/>
      </c>
      <c r="AO502">
        <f ca="1"/>
      </c>
      <c r="AP502">
        <f ca="1"/>
      </c>
      <c r="AQ502">
        <f ca="1"/>
      </c>
      <c r="AR502">
        <f ca="1"/>
      </c>
      <c r="AT502" s="7">
        <f ca="1"/>
      </c>
      <c r="AU502">
        <f ca="1"/>
      </c>
      <c r="AV502">
        <f ca="1"/>
      </c>
      <c r="AW502">
        <f ca="1"/>
      </c>
      <c r="AX502">
        <f ca="1"/>
      </c>
      <c r="AY502">
        <f ca="1"/>
      </c>
      <c r="BA502" s="7"/>
    </row>
    <row r="503" spans="31:53" x14ac:dyDescent="0.55000000000000004">
      <c r="AE503" s="7">
        <f ca="1"/>
      </c>
      <c r="AF503">
        <f ca="1"/>
      </c>
      <c r="AG503">
        <f ca="1"/>
      </c>
      <c r="AH503">
        <f ca="1"/>
      </c>
      <c r="AI503">
        <f ca="1"/>
      </c>
      <c r="AJ503">
        <f ca="1"/>
      </c>
      <c r="AK503">
        <f ca="1"/>
      </c>
      <c r="AL503">
        <f ca="1"/>
      </c>
      <c r="AM503">
        <f ca="1"/>
      </c>
      <c r="AN503">
        <f ca="1"/>
      </c>
      <c r="AO503">
        <f ca="1"/>
      </c>
      <c r="AP503">
        <f ca="1"/>
      </c>
      <c r="AQ503">
        <f ca="1"/>
      </c>
      <c r="AR503">
        <f ca="1"/>
      </c>
      <c r="AT503" s="7">
        <f ca="1"/>
      </c>
      <c r="AU503">
        <f ca="1"/>
      </c>
      <c r="AV503">
        <f ca="1"/>
      </c>
      <c r="AW503">
        <f ca="1"/>
      </c>
      <c r="AX503">
        <f ca="1"/>
      </c>
      <c r="AY503">
        <f ca="1"/>
      </c>
      <c r="BA503" s="7"/>
    </row>
    <row r="504" spans="31:53" x14ac:dyDescent="0.55000000000000004">
      <c r="AE504" s="7">
        <f ca="1"/>
      </c>
      <c r="AF504">
        <f ca="1"/>
      </c>
      <c r="AG504">
        <f ca="1"/>
      </c>
      <c r="AH504">
        <f ca="1"/>
      </c>
      <c r="AI504">
        <f ca="1"/>
      </c>
      <c r="AJ504">
        <f ca="1"/>
      </c>
      <c r="AK504">
        <f ca="1"/>
      </c>
      <c r="AL504">
        <f ca="1"/>
      </c>
      <c r="AM504">
        <f ca="1"/>
      </c>
      <c r="AN504">
        <f ca="1"/>
      </c>
      <c r="AO504">
        <f ca="1"/>
      </c>
      <c r="AP504">
        <f ca="1"/>
      </c>
      <c r="AQ504">
        <f ca="1"/>
      </c>
      <c r="AR504">
        <f ca="1"/>
      </c>
      <c r="AT504" s="7">
        <f ca="1"/>
      </c>
      <c r="AU504">
        <f ca="1"/>
      </c>
      <c r="AV504">
        <f ca="1"/>
      </c>
      <c r="AW504">
        <f ca="1"/>
      </c>
      <c r="AX504">
        <f ca="1"/>
      </c>
      <c r="AY504">
        <f ca="1"/>
      </c>
      <c r="BA504" s="7"/>
    </row>
    <row r="505" spans="31:53" x14ac:dyDescent="0.55000000000000004">
      <c r="AE505" s="7">
        <f ca="1"/>
      </c>
      <c r="AF505">
        <f ca="1"/>
      </c>
      <c r="AG505">
        <f ca="1"/>
      </c>
      <c r="AH505">
        <f ca="1"/>
      </c>
      <c r="AI505">
        <f ca="1"/>
      </c>
      <c r="AJ505">
        <f ca="1"/>
      </c>
      <c r="AK505">
        <f ca="1"/>
      </c>
      <c r="AL505">
        <f ca="1"/>
      </c>
      <c r="AM505">
        <f ca="1"/>
      </c>
      <c r="AN505">
        <f ca="1"/>
      </c>
      <c r="AO505">
        <f ca="1"/>
      </c>
      <c r="AP505">
        <f ca="1"/>
      </c>
      <c r="AQ505">
        <f ca="1"/>
      </c>
      <c r="AR505">
        <f ca="1"/>
      </c>
      <c r="AT505" s="7">
        <f ca="1"/>
      </c>
      <c r="AU505">
        <f ca="1"/>
      </c>
      <c r="AV505">
        <f ca="1"/>
      </c>
      <c r="AW505">
        <f ca="1"/>
      </c>
      <c r="AX505">
        <f ca="1"/>
      </c>
      <c r="AY505">
        <f ca="1"/>
      </c>
      <c r="BA505" s="7"/>
    </row>
    <row r="506" spans="31:53" x14ac:dyDescent="0.55000000000000004">
      <c r="AE506" s="7">
        <f ca="1"/>
      </c>
      <c r="AF506">
        <f ca="1"/>
      </c>
      <c r="AG506">
        <f ca="1"/>
      </c>
      <c r="AH506">
        <f ca="1"/>
      </c>
      <c r="AI506">
        <f ca="1"/>
      </c>
      <c r="AJ506">
        <f ca="1"/>
      </c>
      <c r="AK506">
        <f ca="1"/>
      </c>
      <c r="AL506">
        <f ca="1"/>
      </c>
      <c r="AM506">
        <f ca="1"/>
      </c>
      <c r="AN506">
        <f ca="1"/>
      </c>
      <c r="AO506">
        <f ca="1"/>
      </c>
      <c r="AP506">
        <f ca="1"/>
      </c>
      <c r="AQ506">
        <f ca="1"/>
      </c>
      <c r="AR506">
        <f ca="1"/>
      </c>
      <c r="AT506" s="7">
        <f ca="1"/>
      </c>
      <c r="AU506">
        <f ca="1"/>
      </c>
      <c r="AV506">
        <f ca="1"/>
      </c>
      <c r="AW506">
        <f ca="1"/>
      </c>
      <c r="AX506">
        <f ca="1"/>
      </c>
      <c r="AY506">
        <f ca="1"/>
      </c>
      <c r="BA506" s="7"/>
    </row>
    <row r="507" spans="31:53" x14ac:dyDescent="0.55000000000000004">
      <c r="AE507" s="7">
        <f ca="1"/>
      </c>
      <c r="AF507">
        <f ca="1"/>
      </c>
      <c r="AG507">
        <f ca="1"/>
      </c>
      <c r="AH507">
        <f ca="1"/>
      </c>
      <c r="AI507">
        <f ca="1"/>
      </c>
      <c r="AJ507">
        <f ca="1"/>
      </c>
      <c r="AK507">
        <f ca="1"/>
      </c>
      <c r="AL507">
        <f ca="1"/>
      </c>
      <c r="AM507">
        <f ca="1"/>
      </c>
      <c r="AN507">
        <f ca="1"/>
      </c>
      <c r="AO507">
        <f ca="1"/>
      </c>
      <c r="AP507">
        <f ca="1"/>
      </c>
      <c r="AQ507">
        <f ca="1"/>
      </c>
      <c r="AR507">
        <f ca="1"/>
      </c>
      <c r="AT507" s="7">
        <f ca="1"/>
      </c>
      <c r="AU507">
        <f ca="1"/>
      </c>
      <c r="AV507">
        <f ca="1"/>
      </c>
      <c r="AW507">
        <f ca="1"/>
      </c>
      <c r="AX507">
        <f ca="1"/>
      </c>
      <c r="AY507">
        <f ca="1"/>
      </c>
      <c r="BA507" s="7"/>
    </row>
    <row r="508" spans="31:53" x14ac:dyDescent="0.55000000000000004">
      <c r="AE508" s="7">
        <f ca="1"/>
      </c>
      <c r="AF508">
        <f ca="1"/>
      </c>
      <c r="AG508">
        <f ca="1"/>
      </c>
      <c r="AH508">
        <f ca="1"/>
      </c>
      <c r="AI508">
        <f ca="1"/>
      </c>
      <c r="AJ508">
        <f ca="1"/>
      </c>
      <c r="AK508">
        <f ca="1"/>
      </c>
      <c r="AL508">
        <f ca="1"/>
      </c>
      <c r="AM508">
        <f ca="1"/>
      </c>
      <c r="AN508">
        <f ca="1"/>
      </c>
      <c r="AO508">
        <f ca="1"/>
      </c>
      <c r="AP508">
        <f ca="1"/>
      </c>
      <c r="AQ508">
        <f ca="1"/>
      </c>
      <c r="AR508">
        <f ca="1"/>
      </c>
      <c r="AT508" s="7">
        <f ca="1"/>
      </c>
      <c r="AU508">
        <f ca="1"/>
      </c>
      <c r="AV508">
        <f ca="1"/>
      </c>
      <c r="AW508">
        <f ca="1"/>
      </c>
      <c r="AX508">
        <f ca="1"/>
      </c>
      <c r="AY508">
        <f ca="1"/>
      </c>
      <c r="BA508" s="7"/>
    </row>
    <row r="509" spans="31:53" x14ac:dyDescent="0.55000000000000004">
      <c r="AE509" s="7">
        <f ca="1"/>
      </c>
      <c r="AF509">
        <f ca="1"/>
      </c>
      <c r="AG509">
        <f ca="1"/>
      </c>
      <c r="AH509">
        <f ca="1"/>
      </c>
      <c r="AI509">
        <f ca="1"/>
      </c>
      <c r="AJ509">
        <f ca="1"/>
      </c>
      <c r="AK509">
        <f ca="1"/>
      </c>
      <c r="AL509">
        <f ca="1"/>
      </c>
      <c r="AM509">
        <f ca="1"/>
      </c>
      <c r="AN509">
        <f ca="1"/>
      </c>
      <c r="AO509">
        <f ca="1"/>
      </c>
      <c r="AP509">
        <f ca="1"/>
      </c>
      <c r="AQ509">
        <f ca="1"/>
      </c>
      <c r="AR509">
        <f ca="1"/>
      </c>
      <c r="AT509" s="7">
        <f ca="1"/>
      </c>
      <c r="AU509">
        <f ca="1"/>
      </c>
      <c r="AV509">
        <f ca="1"/>
      </c>
      <c r="AW509">
        <f ca="1"/>
      </c>
      <c r="AX509">
        <f ca="1"/>
      </c>
      <c r="AY509">
        <f ca="1"/>
      </c>
      <c r="BA509" s="7"/>
    </row>
    <row r="510" spans="31:53" x14ac:dyDescent="0.55000000000000004">
      <c r="AE510" s="7">
        <f ca="1"/>
      </c>
      <c r="AF510">
        <f ca="1"/>
      </c>
      <c r="AG510">
        <f ca="1"/>
      </c>
      <c r="AH510">
        <f ca="1"/>
      </c>
      <c r="AI510">
        <f ca="1"/>
      </c>
      <c r="AJ510">
        <f ca="1"/>
      </c>
      <c r="AK510">
        <f ca="1"/>
      </c>
      <c r="AL510">
        <f ca="1"/>
      </c>
      <c r="AM510">
        <f ca="1"/>
      </c>
      <c r="AN510">
        <f ca="1"/>
      </c>
      <c r="AO510">
        <f ca="1"/>
      </c>
      <c r="AP510">
        <f ca="1"/>
      </c>
      <c r="AQ510">
        <f ca="1"/>
      </c>
      <c r="AR510">
        <f ca="1"/>
      </c>
      <c r="AT510" s="7">
        <f ca="1"/>
      </c>
      <c r="AU510">
        <f ca="1"/>
      </c>
      <c r="AV510">
        <f ca="1"/>
      </c>
      <c r="AW510">
        <f ca="1"/>
      </c>
      <c r="AX510">
        <f ca="1"/>
      </c>
      <c r="AY510">
        <f ca="1"/>
      </c>
      <c r="BA510" s="7"/>
    </row>
    <row r="511" spans="31:53" x14ac:dyDescent="0.55000000000000004">
      <c r="AE511" s="7">
        <f ca="1"/>
      </c>
      <c r="AF511">
        <f ca="1"/>
      </c>
      <c r="AG511">
        <f ca="1"/>
      </c>
      <c r="AH511">
        <f ca="1"/>
      </c>
      <c r="AI511">
        <f ca="1"/>
      </c>
      <c r="AJ511">
        <f ca="1"/>
      </c>
      <c r="AK511">
        <f ca="1"/>
      </c>
      <c r="AL511">
        <f ca="1"/>
      </c>
      <c r="AM511">
        <f ca="1"/>
      </c>
      <c r="AN511">
        <f ca="1"/>
      </c>
      <c r="AO511">
        <f ca="1"/>
      </c>
      <c r="AP511">
        <f ca="1"/>
      </c>
      <c r="AQ511">
        <f ca="1"/>
      </c>
      <c r="AR511">
        <f ca="1"/>
      </c>
      <c r="AT511" s="7">
        <f ca="1"/>
      </c>
      <c r="AU511">
        <f ca="1"/>
      </c>
      <c r="AV511">
        <f ca="1"/>
      </c>
      <c r="AW511">
        <f ca="1"/>
      </c>
      <c r="AX511">
        <f ca="1"/>
      </c>
      <c r="AY511">
        <f ca="1"/>
      </c>
      <c r="BA511" s="7"/>
    </row>
    <row r="512" spans="31:53" x14ac:dyDescent="0.55000000000000004">
      <c r="AE512" s="7">
        <f ca="1"/>
      </c>
      <c r="AF512">
        <f ca="1"/>
      </c>
      <c r="AG512">
        <f ca="1"/>
      </c>
      <c r="AH512">
        <f ca="1"/>
      </c>
      <c r="AI512">
        <f ca="1"/>
      </c>
      <c r="AJ512">
        <f ca="1"/>
      </c>
      <c r="AK512">
        <f ca="1"/>
      </c>
      <c r="AL512">
        <f ca="1"/>
      </c>
      <c r="AM512">
        <f ca="1"/>
      </c>
      <c r="AN512">
        <f ca="1"/>
      </c>
      <c r="AO512">
        <f ca="1"/>
      </c>
      <c r="AP512">
        <f ca="1"/>
      </c>
      <c r="AQ512">
        <f ca="1"/>
      </c>
      <c r="AR512">
        <f ca="1"/>
      </c>
      <c r="AT512" s="7">
        <f ca="1"/>
      </c>
      <c r="AU512">
        <f ca="1"/>
      </c>
      <c r="AV512">
        <f ca="1"/>
      </c>
      <c r="AW512">
        <f ca="1"/>
      </c>
      <c r="AX512">
        <f ca="1"/>
      </c>
      <c r="AY512">
        <f ca="1"/>
      </c>
      <c r="BA512" s="7"/>
    </row>
    <row r="513" spans="31:53" x14ac:dyDescent="0.55000000000000004">
      <c r="AE513" s="7">
        <f ca="1"/>
      </c>
      <c r="AF513">
        <f ca="1"/>
      </c>
      <c r="AG513">
        <f ca="1"/>
      </c>
      <c r="AH513">
        <f ca="1"/>
      </c>
      <c r="AI513">
        <f ca="1"/>
      </c>
      <c r="AJ513">
        <f ca="1"/>
      </c>
      <c r="AK513">
        <f ca="1"/>
      </c>
      <c r="AL513">
        <f ca="1"/>
      </c>
      <c r="AM513">
        <f ca="1"/>
      </c>
      <c r="AN513">
        <f ca="1"/>
      </c>
      <c r="AO513">
        <f ca="1"/>
      </c>
      <c r="AP513">
        <f ca="1"/>
      </c>
      <c r="AQ513">
        <f ca="1"/>
      </c>
      <c r="AR513">
        <f ca="1"/>
      </c>
      <c r="AT513" s="7">
        <f ca="1"/>
      </c>
      <c r="AU513">
        <f ca="1"/>
      </c>
      <c r="AV513">
        <f ca="1"/>
      </c>
      <c r="AW513">
        <f ca="1"/>
      </c>
      <c r="AX513">
        <f ca="1"/>
      </c>
      <c r="AY513">
        <f ca="1"/>
      </c>
      <c r="BA513" s="7"/>
    </row>
    <row r="514" spans="31:53" x14ac:dyDescent="0.55000000000000004">
      <c r="AE514" s="7">
        <f ca="1"/>
      </c>
      <c r="AF514">
        <f ca="1"/>
      </c>
      <c r="AG514">
        <f ca="1"/>
      </c>
      <c r="AH514">
        <f ca="1"/>
      </c>
      <c r="AI514">
        <f ca="1"/>
      </c>
      <c r="AJ514">
        <f ca="1"/>
      </c>
      <c r="AK514">
        <f ca="1"/>
      </c>
      <c r="AL514">
        <f ca="1"/>
      </c>
      <c r="AM514">
        <f ca="1"/>
      </c>
      <c r="AN514">
        <f ca="1"/>
      </c>
      <c r="AO514">
        <f ca="1"/>
      </c>
      <c r="AP514">
        <f ca="1"/>
      </c>
      <c r="AQ514">
        <f ca="1"/>
      </c>
      <c r="AR514">
        <f ca="1"/>
      </c>
      <c r="AT514" s="7">
        <f ca="1"/>
      </c>
      <c r="AU514">
        <f ca="1"/>
      </c>
      <c r="AV514">
        <f ca="1"/>
      </c>
      <c r="AW514">
        <f ca="1"/>
      </c>
      <c r="AX514">
        <f ca="1"/>
      </c>
      <c r="AY514">
        <f ca="1"/>
      </c>
      <c r="BA514" s="7"/>
    </row>
    <row r="515" spans="31:53" x14ac:dyDescent="0.55000000000000004">
      <c r="AE515" s="7">
        <f ca="1"/>
      </c>
      <c r="AF515">
        <f ca="1"/>
      </c>
      <c r="AG515">
        <f ca="1"/>
      </c>
      <c r="AH515">
        <f ca="1"/>
      </c>
      <c r="AI515">
        <f ca="1"/>
      </c>
      <c r="AJ515">
        <f ca="1"/>
      </c>
      <c r="AK515">
        <f ca="1"/>
      </c>
      <c r="AL515">
        <f ca="1"/>
      </c>
      <c r="AM515">
        <f ca="1"/>
      </c>
      <c r="AN515">
        <f ca="1"/>
      </c>
      <c r="AO515">
        <f ca="1"/>
      </c>
      <c r="AP515">
        <f ca="1"/>
      </c>
      <c r="AQ515">
        <f ca="1"/>
      </c>
      <c r="AR515">
        <f ca="1"/>
      </c>
      <c r="AT515" s="7">
        <f ca="1"/>
      </c>
      <c r="AU515">
        <f ca="1"/>
      </c>
      <c r="AV515">
        <f ca="1"/>
      </c>
      <c r="AW515">
        <f ca="1"/>
      </c>
      <c r="AX515">
        <f ca="1"/>
      </c>
      <c r="AY515">
        <f ca="1"/>
      </c>
      <c r="BA515" s="7"/>
    </row>
    <row r="516" spans="31:53" x14ac:dyDescent="0.55000000000000004">
      <c r="AE516" s="7">
        <f ca="1"/>
      </c>
      <c r="AF516">
        <f ca="1"/>
      </c>
      <c r="AG516">
        <f ca="1"/>
      </c>
      <c r="AH516">
        <f ca="1"/>
      </c>
      <c r="AI516">
        <f ca="1"/>
      </c>
      <c r="AJ516">
        <f ca="1"/>
      </c>
      <c r="AK516">
        <f ca="1"/>
      </c>
      <c r="AL516">
        <f ca="1"/>
      </c>
      <c r="AM516">
        <f ca="1"/>
      </c>
      <c r="AN516">
        <f ca="1"/>
      </c>
      <c r="AO516">
        <f ca="1"/>
      </c>
      <c r="AP516">
        <f ca="1"/>
      </c>
      <c r="AQ516">
        <f ca="1"/>
      </c>
      <c r="AR516">
        <f ca="1"/>
      </c>
      <c r="AT516" s="7">
        <f ca="1"/>
      </c>
      <c r="AU516">
        <f ca="1"/>
      </c>
      <c r="AV516">
        <f ca="1"/>
      </c>
      <c r="AW516">
        <f ca="1"/>
      </c>
      <c r="AX516">
        <f ca="1"/>
      </c>
      <c r="AY516">
        <f ca="1"/>
      </c>
      <c r="BA516" s="7"/>
    </row>
    <row r="517" spans="31:53" x14ac:dyDescent="0.55000000000000004">
      <c r="AE517" s="7">
        <f ca="1"/>
      </c>
      <c r="AF517">
        <f ca="1"/>
      </c>
      <c r="AG517">
        <f ca="1"/>
      </c>
      <c r="AH517">
        <f ca="1"/>
      </c>
      <c r="AI517">
        <f ca="1"/>
      </c>
      <c r="AJ517">
        <f ca="1"/>
      </c>
      <c r="AK517">
        <f ca="1"/>
      </c>
      <c r="AL517">
        <f ca="1"/>
      </c>
      <c r="AM517">
        <f ca="1"/>
      </c>
      <c r="AN517">
        <f ca="1"/>
      </c>
      <c r="AO517">
        <f ca="1"/>
      </c>
      <c r="AP517">
        <f ca="1"/>
      </c>
      <c r="AQ517">
        <f ca="1"/>
      </c>
      <c r="AR517">
        <f ca="1"/>
      </c>
      <c r="AT517" s="7">
        <f ca="1"/>
      </c>
      <c r="AU517">
        <f ca="1"/>
      </c>
      <c r="AV517">
        <f ca="1"/>
      </c>
      <c r="AW517">
        <f ca="1"/>
      </c>
      <c r="AX517">
        <f ca="1"/>
      </c>
      <c r="AY517">
        <f ca="1"/>
      </c>
      <c r="BA517" s="7"/>
    </row>
    <row r="518" spans="31:53" x14ac:dyDescent="0.55000000000000004">
      <c r="AE518" s="7">
        <f ca="1"/>
      </c>
      <c r="AF518">
        <f ca="1"/>
      </c>
      <c r="AG518">
        <f ca="1"/>
      </c>
      <c r="AH518">
        <f ca="1"/>
      </c>
      <c r="AI518">
        <f ca="1"/>
      </c>
      <c r="AJ518">
        <f ca="1"/>
      </c>
      <c r="AK518">
        <f ca="1"/>
      </c>
      <c r="AL518">
        <f ca="1"/>
      </c>
      <c r="AM518">
        <f ca="1"/>
      </c>
      <c r="AN518">
        <f ca="1"/>
      </c>
      <c r="AO518">
        <f ca="1"/>
      </c>
      <c r="AP518">
        <f ca="1"/>
      </c>
      <c r="AQ518">
        <f ca="1"/>
      </c>
      <c r="AR518">
        <f ca="1"/>
      </c>
      <c r="AT518" s="7">
        <f ca="1"/>
      </c>
      <c r="AU518">
        <f ca="1"/>
      </c>
      <c r="AV518">
        <f ca="1"/>
      </c>
      <c r="AW518">
        <f ca="1"/>
      </c>
      <c r="AX518">
        <f ca="1"/>
      </c>
      <c r="AY518">
        <f ca="1"/>
      </c>
      <c r="BA518" s="7"/>
    </row>
    <row r="519" spans="31:53" x14ac:dyDescent="0.55000000000000004">
      <c r="AE519" s="7">
        <f ca="1"/>
      </c>
      <c r="AF519">
        <f ca="1"/>
      </c>
      <c r="AG519">
        <f ca="1"/>
      </c>
      <c r="AH519">
        <f ca="1"/>
      </c>
      <c r="AI519">
        <f ca="1"/>
      </c>
      <c r="AJ519">
        <f ca="1"/>
      </c>
      <c r="AK519">
        <f ca="1"/>
      </c>
      <c r="AL519">
        <f ca="1"/>
      </c>
      <c r="AM519">
        <f ca="1"/>
      </c>
      <c r="AN519">
        <f ca="1"/>
      </c>
      <c r="AO519">
        <f ca="1"/>
      </c>
      <c r="AP519">
        <f ca="1"/>
      </c>
      <c r="AQ519">
        <f ca="1"/>
      </c>
      <c r="AR519">
        <f ca="1"/>
      </c>
      <c r="AT519" s="7">
        <f ca="1"/>
      </c>
      <c r="AU519">
        <f ca="1"/>
      </c>
      <c r="AV519">
        <f ca="1"/>
      </c>
      <c r="AW519">
        <f ca="1"/>
      </c>
      <c r="AX519">
        <f ca="1"/>
      </c>
      <c r="AY519">
        <f ca="1"/>
      </c>
      <c r="BA519" s="7"/>
    </row>
    <row r="520" spans="31:53" x14ac:dyDescent="0.55000000000000004">
      <c r="AE520" s="7">
        <f ca="1"/>
      </c>
      <c r="AF520">
        <f ca="1"/>
      </c>
      <c r="AG520">
        <f ca="1"/>
      </c>
      <c r="AH520">
        <f ca="1"/>
      </c>
      <c r="AI520">
        <f ca="1"/>
      </c>
      <c r="AJ520">
        <f ca="1"/>
      </c>
      <c r="AK520">
        <f ca="1"/>
      </c>
      <c r="AL520">
        <f ca="1"/>
      </c>
      <c r="AM520">
        <f ca="1"/>
      </c>
      <c r="AN520">
        <f ca="1"/>
      </c>
      <c r="AO520">
        <f ca="1"/>
      </c>
      <c r="AP520">
        <f ca="1"/>
      </c>
      <c r="AQ520">
        <f ca="1"/>
      </c>
      <c r="AR520">
        <f ca="1"/>
      </c>
      <c r="AT520" s="7">
        <f ca="1"/>
      </c>
      <c r="AU520">
        <f ca="1"/>
      </c>
      <c r="AV520">
        <f ca="1"/>
      </c>
      <c r="AW520">
        <f ca="1"/>
      </c>
      <c r="AX520">
        <f ca="1"/>
      </c>
      <c r="AY520">
        <f ca="1"/>
      </c>
      <c r="BA520" s="7"/>
    </row>
    <row r="521" spans="31:53" x14ac:dyDescent="0.55000000000000004">
      <c r="AE521" s="7">
        <f ca="1"/>
      </c>
      <c r="AF521">
        <f ca="1"/>
      </c>
      <c r="AG521">
        <f ca="1"/>
      </c>
      <c r="AH521">
        <f ca="1"/>
      </c>
      <c r="AI521">
        <f ca="1"/>
      </c>
      <c r="AJ521">
        <f ca="1"/>
      </c>
      <c r="AK521">
        <f ca="1"/>
      </c>
      <c r="AL521">
        <f ca="1"/>
      </c>
      <c r="AM521">
        <f ca="1"/>
      </c>
      <c r="AN521">
        <f ca="1"/>
      </c>
      <c r="AO521">
        <f ca="1"/>
      </c>
      <c r="AP521">
        <f ca="1"/>
      </c>
      <c r="AQ521">
        <f ca="1"/>
      </c>
      <c r="AR521">
        <f ca="1"/>
      </c>
      <c r="AT521" s="7">
        <f ca="1"/>
      </c>
      <c r="AU521">
        <f ca="1"/>
      </c>
      <c r="AV521">
        <f ca="1"/>
      </c>
      <c r="AW521">
        <f ca="1"/>
      </c>
      <c r="AX521">
        <f ca="1"/>
      </c>
      <c r="AY521">
        <f ca="1"/>
      </c>
      <c r="BA521" s="7"/>
    </row>
    <row r="522" spans="31:53" x14ac:dyDescent="0.55000000000000004">
      <c r="AE522" s="7">
        <f ca="1"/>
      </c>
      <c r="AF522">
        <f ca="1"/>
      </c>
      <c r="AG522">
        <f ca="1"/>
      </c>
      <c r="AH522">
        <f ca="1"/>
      </c>
      <c r="AI522">
        <f ca="1"/>
      </c>
      <c r="AJ522">
        <f ca="1"/>
      </c>
      <c r="AK522">
        <f ca="1"/>
      </c>
      <c r="AL522">
        <f ca="1"/>
      </c>
      <c r="AM522">
        <f ca="1"/>
      </c>
      <c r="AN522">
        <f ca="1"/>
      </c>
      <c r="AO522">
        <f ca="1"/>
      </c>
      <c r="AP522">
        <f ca="1"/>
      </c>
      <c r="AQ522">
        <f ca="1"/>
      </c>
      <c r="AR522">
        <f ca="1"/>
      </c>
      <c r="AT522" s="7">
        <f ca="1"/>
      </c>
      <c r="AU522">
        <f ca="1"/>
      </c>
      <c r="AV522">
        <f ca="1"/>
      </c>
      <c r="AW522">
        <f ca="1"/>
      </c>
      <c r="AX522">
        <f ca="1"/>
      </c>
      <c r="AY522">
        <f ca="1"/>
      </c>
      <c r="BA522" s="7"/>
    </row>
    <row r="523" spans="31:53" x14ac:dyDescent="0.55000000000000004">
      <c r="AE523" s="7">
        <f ca="1"/>
      </c>
      <c r="AF523">
        <f ca="1"/>
      </c>
      <c r="AG523">
        <f ca="1"/>
      </c>
      <c r="AH523">
        <f ca="1"/>
      </c>
      <c r="AI523">
        <f ca="1"/>
      </c>
      <c r="AJ523">
        <f ca="1"/>
      </c>
      <c r="AK523">
        <f ca="1"/>
      </c>
      <c r="AL523">
        <f ca="1"/>
      </c>
      <c r="AM523">
        <f ca="1"/>
      </c>
      <c r="AN523">
        <f ca="1"/>
      </c>
      <c r="AO523">
        <f ca="1"/>
      </c>
      <c r="AP523">
        <f ca="1"/>
      </c>
      <c r="AQ523">
        <f ca="1"/>
      </c>
      <c r="AR523">
        <f ca="1"/>
      </c>
      <c r="AT523" s="7">
        <f ca="1"/>
      </c>
      <c r="AU523">
        <f ca="1"/>
      </c>
      <c r="AV523">
        <f ca="1"/>
      </c>
      <c r="AW523">
        <f ca="1"/>
      </c>
      <c r="AX523">
        <f ca="1"/>
      </c>
      <c r="AY523">
        <f ca="1"/>
      </c>
      <c r="BA523" s="7"/>
    </row>
    <row r="524" spans="31:53" x14ac:dyDescent="0.55000000000000004">
      <c r="AE524" s="7">
        <f ca="1"/>
      </c>
      <c r="AF524">
        <f ca="1"/>
      </c>
      <c r="AG524">
        <f ca="1"/>
      </c>
      <c r="AH524">
        <f ca="1"/>
      </c>
      <c r="AI524">
        <f ca="1"/>
      </c>
      <c r="AJ524">
        <f ca="1"/>
      </c>
      <c r="AK524">
        <f ca="1"/>
      </c>
      <c r="AL524">
        <f ca="1"/>
      </c>
      <c r="AM524">
        <f ca="1"/>
      </c>
      <c r="AN524">
        <f ca="1"/>
      </c>
      <c r="AO524">
        <f ca="1"/>
      </c>
      <c r="AP524">
        <f ca="1"/>
      </c>
      <c r="AQ524">
        <f ca="1"/>
      </c>
      <c r="AR524">
        <f ca="1"/>
      </c>
      <c r="AT524" s="7">
        <f ca="1"/>
      </c>
      <c r="AU524">
        <f ca="1"/>
      </c>
      <c r="AV524">
        <f ca="1"/>
      </c>
      <c r="AW524">
        <f ca="1"/>
      </c>
      <c r="AX524">
        <f ca="1"/>
      </c>
      <c r="AY524">
        <f ca="1"/>
      </c>
      <c r="BA524" s="7"/>
    </row>
    <row r="525" spans="31:53" x14ac:dyDescent="0.55000000000000004">
      <c r="AE525" s="7">
        <f ca="1"/>
      </c>
      <c r="AF525">
        <f ca="1"/>
      </c>
      <c r="AG525">
        <f ca="1"/>
      </c>
      <c r="AH525">
        <f ca="1"/>
      </c>
      <c r="AI525">
        <f ca="1"/>
      </c>
      <c r="AJ525">
        <f ca="1"/>
      </c>
      <c r="AK525">
        <f ca="1"/>
      </c>
      <c r="AL525">
        <f ca="1"/>
      </c>
      <c r="AM525">
        <f ca="1"/>
      </c>
      <c r="AN525">
        <f ca="1"/>
      </c>
      <c r="AO525">
        <f ca="1"/>
      </c>
      <c r="AP525">
        <f ca="1"/>
      </c>
      <c r="AQ525">
        <f ca="1"/>
      </c>
      <c r="AR525">
        <f ca="1"/>
      </c>
      <c r="AT525" s="7">
        <f ca="1"/>
      </c>
      <c r="AU525">
        <f ca="1"/>
      </c>
      <c r="AV525">
        <f ca="1"/>
      </c>
      <c r="AW525">
        <f ca="1"/>
      </c>
      <c r="AX525">
        <f ca="1"/>
      </c>
      <c r="AY525">
        <f ca="1"/>
      </c>
      <c r="BA525" s="7"/>
    </row>
    <row r="526" spans="31:53" x14ac:dyDescent="0.55000000000000004">
      <c r="AE526" s="7">
        <f ca="1"/>
      </c>
      <c r="AF526">
        <f ca="1"/>
      </c>
      <c r="AG526">
        <f ca="1"/>
      </c>
      <c r="AH526">
        <f ca="1"/>
      </c>
      <c r="AI526">
        <f ca="1"/>
      </c>
      <c r="AJ526">
        <f ca="1"/>
      </c>
      <c r="AK526">
        <f ca="1"/>
      </c>
      <c r="AL526">
        <f ca="1"/>
      </c>
      <c r="AM526">
        <f ca="1"/>
      </c>
      <c r="AN526">
        <f ca="1"/>
      </c>
      <c r="AO526">
        <f ca="1"/>
      </c>
      <c r="AP526">
        <f ca="1"/>
      </c>
      <c r="AQ526">
        <f ca="1"/>
      </c>
      <c r="AR526">
        <f ca="1"/>
      </c>
      <c r="AT526" s="7">
        <f ca="1"/>
      </c>
      <c r="AU526">
        <f ca="1"/>
      </c>
      <c r="AV526">
        <f ca="1"/>
      </c>
      <c r="AW526">
        <f ca="1"/>
      </c>
      <c r="AX526">
        <f ca="1"/>
      </c>
      <c r="AY526">
        <f ca="1"/>
      </c>
      <c r="BA526" s="7"/>
    </row>
    <row r="527" spans="31:53" x14ac:dyDescent="0.55000000000000004">
      <c r="AE527" s="7">
        <f ca="1"/>
      </c>
      <c r="AF527">
        <f ca="1"/>
      </c>
      <c r="AG527">
        <f ca="1"/>
      </c>
      <c r="AH527">
        <f ca="1"/>
      </c>
      <c r="AI527">
        <f ca="1"/>
      </c>
      <c r="AJ527">
        <f ca="1"/>
      </c>
      <c r="AK527">
        <f ca="1"/>
      </c>
      <c r="AL527">
        <f ca="1"/>
      </c>
      <c r="AM527">
        <f ca="1"/>
      </c>
      <c r="AN527">
        <f ca="1"/>
      </c>
      <c r="AO527">
        <f ca="1"/>
      </c>
      <c r="AP527">
        <f ca="1"/>
      </c>
      <c r="AQ527">
        <f ca="1"/>
      </c>
      <c r="AR527">
        <f ca="1"/>
      </c>
      <c r="AT527" s="7">
        <f ca="1"/>
      </c>
      <c r="AU527">
        <f ca="1"/>
      </c>
      <c r="AV527">
        <f ca="1"/>
      </c>
      <c r="AW527">
        <f ca="1"/>
      </c>
      <c r="AX527">
        <f ca="1"/>
      </c>
      <c r="AY527">
        <f ca="1"/>
      </c>
      <c r="BA527" s="7"/>
    </row>
    <row r="528" spans="31:53" x14ac:dyDescent="0.55000000000000004">
      <c r="AE528" s="7">
        <f ca="1"/>
      </c>
      <c r="AF528">
        <f ca="1"/>
      </c>
      <c r="AG528">
        <f ca="1"/>
      </c>
      <c r="AH528">
        <f ca="1"/>
      </c>
      <c r="AI528">
        <f ca="1"/>
      </c>
      <c r="AJ528">
        <f ca="1"/>
      </c>
      <c r="AK528">
        <f ca="1"/>
      </c>
      <c r="AL528">
        <f ca="1"/>
      </c>
      <c r="AM528">
        <f ca="1"/>
      </c>
      <c r="AN528">
        <f ca="1"/>
      </c>
      <c r="AO528">
        <f ca="1"/>
      </c>
      <c r="AP528">
        <f ca="1"/>
      </c>
      <c r="AQ528">
        <f ca="1"/>
      </c>
      <c r="AR528">
        <f ca="1"/>
      </c>
      <c r="AT528" s="7">
        <f ca="1"/>
      </c>
      <c r="AU528">
        <f ca="1"/>
      </c>
      <c r="AV528">
        <f ca="1"/>
      </c>
      <c r="AW528">
        <f ca="1"/>
      </c>
      <c r="AX528">
        <f ca="1"/>
      </c>
      <c r="AY528">
        <f ca="1"/>
      </c>
      <c r="BA528" s="7"/>
    </row>
    <row r="529" spans="31:53" x14ac:dyDescent="0.55000000000000004">
      <c r="AE529" s="7">
        <f ca="1"/>
      </c>
      <c r="AF529">
        <f ca="1"/>
      </c>
      <c r="AG529">
        <f ca="1"/>
      </c>
      <c r="AH529">
        <f ca="1"/>
      </c>
      <c r="AI529">
        <f ca="1"/>
      </c>
      <c r="AJ529">
        <f ca="1"/>
      </c>
      <c r="AK529">
        <f ca="1"/>
      </c>
      <c r="AL529">
        <f ca="1"/>
      </c>
      <c r="AM529">
        <f ca="1"/>
      </c>
      <c r="AN529">
        <f ca="1"/>
      </c>
      <c r="AO529">
        <f ca="1"/>
      </c>
      <c r="AP529">
        <f ca="1"/>
      </c>
      <c r="AQ529">
        <f ca="1"/>
      </c>
      <c r="AR529">
        <f ca="1"/>
      </c>
      <c r="AT529" s="7">
        <f ca="1"/>
      </c>
      <c r="AU529">
        <f ca="1"/>
      </c>
      <c r="AV529">
        <f ca="1"/>
      </c>
      <c r="AW529">
        <f ca="1"/>
      </c>
      <c r="AX529">
        <f ca="1"/>
      </c>
      <c r="AY529">
        <f ca="1"/>
      </c>
      <c r="BA529" s="7"/>
    </row>
    <row r="530" spans="31:53" x14ac:dyDescent="0.55000000000000004">
      <c r="AE530" s="7">
        <f ca="1"/>
      </c>
      <c r="AF530">
        <f ca="1"/>
      </c>
      <c r="AG530">
        <f ca="1"/>
      </c>
      <c r="AH530">
        <f ca="1"/>
      </c>
      <c r="AI530">
        <f ca="1"/>
      </c>
      <c r="AJ530">
        <f ca="1"/>
      </c>
      <c r="AK530">
        <f ca="1"/>
      </c>
      <c r="AL530">
        <f ca="1"/>
      </c>
      <c r="AM530">
        <f ca="1"/>
      </c>
      <c r="AN530">
        <f ca="1"/>
      </c>
      <c r="AO530">
        <f ca="1"/>
      </c>
      <c r="AP530">
        <f ca="1"/>
      </c>
      <c r="AQ530">
        <f ca="1"/>
      </c>
      <c r="AR530">
        <f ca="1"/>
      </c>
      <c r="AT530" s="7">
        <f ca="1"/>
      </c>
      <c r="AU530">
        <f ca="1"/>
      </c>
      <c r="AV530">
        <f ca="1"/>
      </c>
      <c r="AW530">
        <f ca="1"/>
      </c>
      <c r="AX530">
        <f ca="1"/>
      </c>
      <c r="AY530">
        <f ca="1"/>
      </c>
      <c r="BA530" s="7"/>
    </row>
    <row r="531" spans="31:53" x14ac:dyDescent="0.55000000000000004">
      <c r="AE531" s="7">
        <f ca="1"/>
      </c>
      <c r="AF531">
        <f ca="1"/>
      </c>
      <c r="AG531">
        <f ca="1"/>
      </c>
      <c r="AH531">
        <f ca="1"/>
      </c>
      <c r="AI531">
        <f ca="1"/>
      </c>
      <c r="AJ531">
        <f ca="1"/>
      </c>
      <c r="AK531">
        <f ca="1"/>
      </c>
      <c r="AL531">
        <f ca="1"/>
      </c>
      <c r="AM531">
        <f ca="1"/>
      </c>
      <c r="AN531">
        <f ca="1"/>
      </c>
      <c r="AO531">
        <f ca="1"/>
      </c>
      <c r="AP531">
        <f ca="1"/>
      </c>
      <c r="AQ531">
        <f ca="1"/>
      </c>
      <c r="AR531">
        <f ca="1"/>
      </c>
      <c r="AT531" s="7">
        <f ca="1"/>
      </c>
      <c r="AU531">
        <f ca="1"/>
      </c>
      <c r="AV531">
        <f ca="1"/>
      </c>
      <c r="AW531">
        <f ca="1"/>
      </c>
      <c r="AX531">
        <f ca="1"/>
      </c>
      <c r="AY531">
        <f ca="1"/>
      </c>
      <c r="BA531" s="7"/>
    </row>
    <row r="532" spans="31:53" x14ac:dyDescent="0.55000000000000004">
      <c r="AE532" s="7">
        <f ca="1"/>
      </c>
      <c r="AF532">
        <f ca="1"/>
      </c>
      <c r="AG532">
        <f ca="1"/>
      </c>
      <c r="AH532">
        <f ca="1"/>
      </c>
      <c r="AI532">
        <f ca="1"/>
      </c>
      <c r="AJ532">
        <f ca="1"/>
      </c>
      <c r="AK532">
        <f ca="1"/>
      </c>
      <c r="AL532">
        <f ca="1"/>
      </c>
      <c r="AM532">
        <f ca="1"/>
      </c>
      <c r="AN532">
        <f ca="1"/>
      </c>
      <c r="AO532">
        <f ca="1"/>
      </c>
      <c r="AP532">
        <f ca="1"/>
      </c>
      <c r="AQ532">
        <f ca="1"/>
      </c>
      <c r="AR532">
        <f ca="1"/>
      </c>
      <c r="AT532" s="7">
        <f ca="1"/>
      </c>
      <c r="AU532">
        <f ca="1"/>
      </c>
      <c r="AV532">
        <f ca="1"/>
      </c>
      <c r="AW532">
        <f ca="1"/>
      </c>
      <c r="AX532">
        <f ca="1"/>
      </c>
      <c r="AY532">
        <f ca="1"/>
      </c>
      <c r="BA532" s="7"/>
    </row>
    <row r="533" spans="31:53" x14ac:dyDescent="0.55000000000000004">
      <c r="AE533" s="7">
        <f ca="1"/>
      </c>
      <c r="AF533">
        <f ca="1"/>
      </c>
      <c r="AG533">
        <f ca="1"/>
      </c>
      <c r="AH533">
        <f ca="1"/>
      </c>
      <c r="AI533">
        <f ca="1"/>
      </c>
      <c r="AJ533">
        <f ca="1"/>
      </c>
      <c r="AK533">
        <f ca="1"/>
      </c>
      <c r="AL533">
        <f ca="1"/>
      </c>
      <c r="AM533">
        <f ca="1"/>
      </c>
      <c r="AN533">
        <f ca="1"/>
      </c>
      <c r="AO533">
        <f ca="1"/>
      </c>
      <c r="AP533">
        <f ca="1"/>
      </c>
      <c r="AQ533">
        <f ca="1"/>
      </c>
      <c r="AR533">
        <f ca="1"/>
      </c>
      <c r="AT533" s="7">
        <f ca="1"/>
      </c>
      <c r="AU533">
        <f ca="1"/>
      </c>
      <c r="AV533">
        <f ca="1"/>
      </c>
      <c r="AW533">
        <f ca="1"/>
      </c>
      <c r="AX533">
        <f ca="1"/>
      </c>
      <c r="AY533">
        <f ca="1"/>
      </c>
      <c r="BA533" s="7"/>
    </row>
    <row r="534" spans="31:53" x14ac:dyDescent="0.55000000000000004">
      <c r="AE534" s="7">
        <f ca="1"/>
      </c>
      <c r="AF534">
        <f ca="1"/>
      </c>
      <c r="AG534">
        <f ca="1"/>
      </c>
      <c r="AH534">
        <f ca="1"/>
      </c>
      <c r="AI534">
        <f ca="1"/>
      </c>
      <c r="AJ534">
        <f ca="1"/>
      </c>
      <c r="AK534">
        <f ca="1"/>
      </c>
      <c r="AL534">
        <f ca="1"/>
      </c>
      <c r="AM534">
        <f ca="1"/>
      </c>
      <c r="AN534">
        <f ca="1"/>
      </c>
      <c r="AO534">
        <f ca="1"/>
      </c>
      <c r="AP534">
        <f ca="1"/>
      </c>
      <c r="AQ534">
        <f ca="1"/>
      </c>
      <c r="AR534">
        <f ca="1"/>
      </c>
      <c r="AT534" s="7">
        <f ca="1"/>
      </c>
      <c r="AU534">
        <f ca="1"/>
      </c>
      <c r="AV534">
        <f ca="1"/>
      </c>
      <c r="AW534">
        <f ca="1"/>
      </c>
      <c r="AX534">
        <f ca="1"/>
      </c>
      <c r="AY534">
        <f ca="1"/>
      </c>
      <c r="BA534" s="7"/>
    </row>
    <row r="535" spans="31:53" x14ac:dyDescent="0.55000000000000004">
      <c r="AE535" s="7">
        <f ca="1"/>
      </c>
      <c r="AF535">
        <f ca="1"/>
      </c>
      <c r="AG535">
        <f ca="1"/>
      </c>
      <c r="AH535">
        <f ca="1"/>
      </c>
      <c r="AI535">
        <f ca="1"/>
      </c>
      <c r="AJ535">
        <f ca="1"/>
      </c>
      <c r="AK535">
        <f ca="1"/>
      </c>
      <c r="AL535">
        <f ca="1"/>
      </c>
      <c r="AM535">
        <f ca="1"/>
      </c>
      <c r="AN535">
        <f ca="1"/>
      </c>
      <c r="AO535">
        <f ca="1"/>
      </c>
      <c r="AP535">
        <f ca="1"/>
      </c>
      <c r="AQ535">
        <f ca="1"/>
      </c>
      <c r="AR535">
        <f ca="1"/>
      </c>
      <c r="AT535" s="7">
        <f ca="1"/>
      </c>
      <c r="AU535">
        <f ca="1"/>
      </c>
      <c r="AV535">
        <f ca="1"/>
      </c>
      <c r="AW535">
        <f ca="1"/>
      </c>
      <c r="AX535">
        <f ca="1"/>
      </c>
      <c r="AY535">
        <f ca="1"/>
      </c>
      <c r="BA535" s="7"/>
    </row>
    <row r="536" spans="31:53" x14ac:dyDescent="0.55000000000000004">
      <c r="AE536" s="7">
        <f ca="1"/>
      </c>
      <c r="AF536">
        <f ca="1"/>
      </c>
      <c r="AG536">
        <f ca="1"/>
      </c>
      <c r="AH536">
        <f ca="1"/>
      </c>
      <c r="AI536">
        <f ca="1"/>
      </c>
      <c r="AJ536">
        <f ca="1"/>
      </c>
      <c r="AK536">
        <f ca="1"/>
      </c>
      <c r="AL536">
        <f ca="1"/>
      </c>
      <c r="AM536">
        <f ca="1"/>
      </c>
      <c r="AN536">
        <f ca="1"/>
      </c>
      <c r="AO536">
        <f ca="1"/>
      </c>
      <c r="AP536">
        <f ca="1"/>
      </c>
      <c r="AQ536">
        <f ca="1"/>
      </c>
      <c r="AR536">
        <f ca="1"/>
      </c>
      <c r="AT536" s="7">
        <f ca="1"/>
      </c>
      <c r="AU536">
        <f ca="1"/>
      </c>
      <c r="AV536">
        <f ca="1"/>
      </c>
      <c r="AW536">
        <f ca="1"/>
      </c>
      <c r="AX536">
        <f ca="1"/>
      </c>
      <c r="AY536">
        <f ca="1"/>
      </c>
      <c r="BA536" s="7"/>
    </row>
    <row r="537" spans="31:53" x14ac:dyDescent="0.55000000000000004">
      <c r="AE537" s="7">
        <f ca="1"/>
      </c>
      <c r="AF537">
        <f ca="1"/>
      </c>
      <c r="AG537">
        <f ca="1"/>
      </c>
      <c r="AH537">
        <f ca="1"/>
      </c>
      <c r="AI537">
        <f ca="1"/>
      </c>
      <c r="AJ537">
        <f ca="1"/>
      </c>
      <c r="AK537">
        <f ca="1"/>
      </c>
      <c r="AL537">
        <f ca="1"/>
      </c>
      <c r="AM537">
        <f ca="1"/>
      </c>
      <c r="AN537">
        <f ca="1"/>
      </c>
      <c r="AO537">
        <f ca="1"/>
      </c>
      <c r="AP537">
        <f ca="1"/>
      </c>
      <c r="AQ537">
        <f ca="1"/>
      </c>
      <c r="AR537">
        <f ca="1"/>
      </c>
      <c r="AT537" s="7">
        <f ca="1"/>
      </c>
      <c r="AU537">
        <f ca="1"/>
      </c>
      <c r="AV537">
        <f ca="1"/>
      </c>
      <c r="AW537">
        <f ca="1"/>
      </c>
      <c r="AX537">
        <f ca="1"/>
      </c>
      <c r="AY537">
        <f ca="1"/>
      </c>
      <c r="BA537" s="7"/>
    </row>
    <row r="538" spans="31:53" x14ac:dyDescent="0.55000000000000004">
      <c r="AE538" s="7">
        <f ca="1"/>
      </c>
      <c r="AF538">
        <f ca="1"/>
      </c>
      <c r="AG538">
        <f ca="1"/>
      </c>
      <c r="AH538">
        <f ca="1"/>
      </c>
      <c r="AI538">
        <f ca="1"/>
      </c>
      <c r="AJ538">
        <f ca="1"/>
      </c>
      <c r="AK538">
        <f ca="1"/>
      </c>
      <c r="AL538">
        <f ca="1"/>
      </c>
      <c r="AM538">
        <f ca="1"/>
      </c>
      <c r="AN538">
        <f ca="1"/>
      </c>
      <c r="AO538">
        <f ca="1"/>
      </c>
      <c r="AP538">
        <f ca="1"/>
      </c>
      <c r="AQ538">
        <f ca="1"/>
      </c>
      <c r="AR538">
        <f ca="1"/>
      </c>
      <c r="AT538" s="7">
        <f ca="1"/>
      </c>
      <c r="AU538">
        <f ca="1"/>
      </c>
      <c r="AV538">
        <f ca="1"/>
      </c>
      <c r="AW538">
        <f ca="1"/>
      </c>
      <c r="AX538">
        <f ca="1"/>
      </c>
      <c r="AY538">
        <f ca="1"/>
      </c>
      <c r="BA538" s="7"/>
    </row>
    <row r="539" spans="31:53" x14ac:dyDescent="0.55000000000000004">
      <c r="AE539" s="7">
        <f ca="1"/>
      </c>
      <c r="AF539">
        <f ca="1"/>
      </c>
      <c r="AG539">
        <f ca="1"/>
      </c>
      <c r="AH539">
        <f ca="1"/>
      </c>
      <c r="AI539">
        <f ca="1"/>
      </c>
      <c r="AJ539">
        <f ca="1"/>
      </c>
      <c r="AK539">
        <f ca="1"/>
      </c>
      <c r="AL539">
        <f ca="1"/>
      </c>
      <c r="AM539">
        <f ca="1"/>
      </c>
      <c r="AN539">
        <f ca="1"/>
      </c>
      <c r="AO539">
        <f ca="1"/>
      </c>
      <c r="AP539">
        <f ca="1"/>
      </c>
      <c r="AQ539">
        <f ca="1"/>
      </c>
      <c r="AR539">
        <f ca="1"/>
      </c>
      <c r="AT539" s="7">
        <f ca="1"/>
      </c>
      <c r="AU539">
        <f ca="1"/>
      </c>
      <c r="AV539">
        <f ca="1"/>
      </c>
      <c r="AW539">
        <f ca="1"/>
      </c>
      <c r="AX539">
        <f ca="1"/>
      </c>
      <c r="AY539">
        <f ca="1"/>
      </c>
      <c r="BA539" s="7"/>
    </row>
    <row r="540" spans="31:53" x14ac:dyDescent="0.55000000000000004">
      <c r="AE540" s="7">
        <f ca="1"/>
      </c>
      <c r="AF540">
        <f ca="1"/>
      </c>
      <c r="AG540">
        <f ca="1"/>
      </c>
      <c r="AH540">
        <f ca="1"/>
      </c>
      <c r="AI540">
        <f ca="1"/>
      </c>
      <c r="AJ540">
        <f ca="1"/>
      </c>
      <c r="AK540">
        <f ca="1"/>
      </c>
      <c r="AL540">
        <f ca="1"/>
      </c>
      <c r="AM540">
        <f ca="1"/>
      </c>
      <c r="AN540">
        <f ca="1"/>
      </c>
      <c r="AO540">
        <f ca="1"/>
      </c>
      <c r="AP540">
        <f ca="1"/>
      </c>
      <c r="AQ540">
        <f ca="1"/>
      </c>
      <c r="AR540">
        <f ca="1"/>
      </c>
      <c r="AT540" s="7">
        <f ca="1"/>
      </c>
      <c r="AU540">
        <f ca="1"/>
      </c>
      <c r="AV540">
        <f ca="1"/>
      </c>
      <c r="AW540">
        <f ca="1"/>
      </c>
      <c r="AX540">
        <f ca="1"/>
      </c>
      <c r="AY540">
        <f ca="1"/>
      </c>
      <c r="BA540" s="7"/>
    </row>
    <row r="541" spans="31:53" x14ac:dyDescent="0.55000000000000004">
      <c r="AE541" s="7">
        <f ca="1"/>
      </c>
      <c r="AF541">
        <f ca="1"/>
      </c>
      <c r="AG541">
        <f ca="1"/>
      </c>
      <c r="AH541">
        <f ca="1"/>
      </c>
      <c r="AI541">
        <f ca="1"/>
      </c>
      <c r="AJ541">
        <f ca="1"/>
      </c>
      <c r="AK541">
        <f ca="1"/>
      </c>
      <c r="AL541">
        <f ca="1"/>
      </c>
      <c r="AM541">
        <f ca="1"/>
      </c>
      <c r="AN541">
        <f ca="1"/>
      </c>
      <c r="AO541">
        <f ca="1"/>
      </c>
      <c r="AP541">
        <f ca="1"/>
      </c>
      <c r="AQ541">
        <f ca="1"/>
      </c>
      <c r="AR541">
        <f ca="1"/>
      </c>
      <c r="AT541" s="7">
        <f ca="1"/>
      </c>
      <c r="AU541">
        <f ca="1"/>
      </c>
      <c r="AV541">
        <f ca="1"/>
      </c>
      <c r="AW541">
        <f ca="1"/>
      </c>
      <c r="AX541">
        <f ca="1"/>
      </c>
      <c r="AY541">
        <f ca="1"/>
      </c>
      <c r="BA541" s="7"/>
    </row>
    <row r="542" spans="31:53" x14ac:dyDescent="0.55000000000000004">
      <c r="AE542" s="7">
        <f ca="1"/>
      </c>
      <c r="AF542">
        <f ca="1"/>
      </c>
      <c r="AG542">
        <f ca="1"/>
      </c>
      <c r="AH542">
        <f ca="1"/>
      </c>
      <c r="AI542">
        <f ca="1"/>
      </c>
      <c r="AJ542">
        <f ca="1"/>
      </c>
      <c r="AK542">
        <f ca="1"/>
      </c>
      <c r="AL542">
        <f ca="1"/>
      </c>
      <c r="AM542">
        <f ca="1"/>
      </c>
      <c r="AN542">
        <f ca="1"/>
      </c>
      <c r="AO542">
        <f ca="1"/>
      </c>
      <c r="AP542">
        <f ca="1"/>
      </c>
      <c r="AQ542">
        <f ca="1"/>
      </c>
      <c r="AR542">
        <f ca="1"/>
      </c>
      <c r="AT542" s="7">
        <f ca="1"/>
      </c>
      <c r="AU542">
        <f ca="1"/>
      </c>
      <c r="AV542">
        <f ca="1"/>
      </c>
      <c r="AW542">
        <f ca="1"/>
      </c>
      <c r="AX542">
        <f ca="1"/>
      </c>
      <c r="AY542">
        <f ca="1"/>
      </c>
      <c r="BA542" s="7"/>
    </row>
    <row r="543" spans="31:53" x14ac:dyDescent="0.55000000000000004">
      <c r="AE543" s="7">
        <f ca="1"/>
      </c>
      <c r="AF543">
        <f ca="1"/>
      </c>
      <c r="AG543">
        <f ca="1"/>
      </c>
      <c r="AH543">
        <f ca="1"/>
      </c>
      <c r="AI543">
        <f ca="1"/>
      </c>
      <c r="AJ543">
        <f ca="1"/>
      </c>
      <c r="AK543">
        <f ca="1"/>
      </c>
      <c r="AL543">
        <f ca="1"/>
      </c>
      <c r="AM543">
        <f ca="1"/>
      </c>
      <c r="AN543">
        <f ca="1"/>
      </c>
      <c r="AO543">
        <f ca="1"/>
      </c>
      <c r="AP543">
        <f ca="1"/>
      </c>
      <c r="AQ543">
        <f ca="1"/>
      </c>
      <c r="AR543">
        <f ca="1"/>
      </c>
      <c r="AT543" s="7">
        <f ca="1"/>
      </c>
      <c r="AU543">
        <f ca="1"/>
      </c>
      <c r="AV543">
        <f ca="1"/>
      </c>
      <c r="AW543">
        <f ca="1"/>
      </c>
      <c r="AX543">
        <f ca="1"/>
      </c>
      <c r="AY543">
        <f ca="1"/>
      </c>
      <c r="BA543" s="7"/>
    </row>
    <row r="544" spans="31:53" x14ac:dyDescent="0.55000000000000004">
      <c r="AE544" s="7">
        <f ca="1"/>
      </c>
      <c r="AF544">
        <f ca="1"/>
      </c>
      <c r="AG544">
        <f ca="1"/>
      </c>
      <c r="AH544">
        <f ca="1"/>
      </c>
      <c r="AI544">
        <f ca="1"/>
      </c>
      <c r="AJ544">
        <f ca="1"/>
      </c>
      <c r="AK544">
        <f ca="1"/>
      </c>
      <c r="AL544">
        <f ca="1"/>
      </c>
      <c r="AM544">
        <f ca="1"/>
      </c>
      <c r="AN544">
        <f ca="1"/>
      </c>
      <c r="AO544">
        <f ca="1"/>
      </c>
      <c r="AP544">
        <f ca="1"/>
      </c>
      <c r="AQ544">
        <f ca="1"/>
      </c>
      <c r="AR544">
        <f ca="1"/>
      </c>
      <c r="AT544" s="7">
        <f ca="1"/>
      </c>
      <c r="AU544">
        <f ca="1"/>
      </c>
      <c r="AV544">
        <f ca="1"/>
      </c>
      <c r="AW544">
        <f ca="1"/>
      </c>
      <c r="AX544">
        <f ca="1"/>
      </c>
      <c r="AY544">
        <f ca="1"/>
      </c>
      <c r="BA544" s="7"/>
    </row>
    <row r="545" spans="31:53" x14ac:dyDescent="0.55000000000000004">
      <c r="AE545" s="7">
        <f ca="1"/>
      </c>
      <c r="AF545">
        <f ca="1"/>
      </c>
      <c r="AG545">
        <f ca="1"/>
      </c>
      <c r="AH545">
        <f ca="1"/>
      </c>
      <c r="AI545">
        <f ca="1"/>
      </c>
      <c r="AJ545">
        <f ca="1"/>
      </c>
      <c r="AK545">
        <f ca="1"/>
      </c>
      <c r="AL545">
        <f ca="1"/>
      </c>
      <c r="AM545">
        <f ca="1"/>
      </c>
      <c r="AN545">
        <f ca="1"/>
      </c>
      <c r="AO545">
        <f ca="1"/>
      </c>
      <c r="AP545">
        <f ca="1"/>
      </c>
      <c r="AQ545">
        <f ca="1"/>
      </c>
      <c r="AR545">
        <f ca="1"/>
      </c>
      <c r="AT545" s="7">
        <f ca="1"/>
      </c>
      <c r="AU545">
        <f ca="1"/>
      </c>
      <c r="AV545">
        <f ca="1"/>
      </c>
      <c r="AW545">
        <f ca="1"/>
      </c>
      <c r="AX545">
        <f ca="1"/>
      </c>
      <c r="AY545">
        <f ca="1"/>
      </c>
      <c r="BA545" s="7"/>
    </row>
    <row r="546" spans="31:53" x14ac:dyDescent="0.55000000000000004">
      <c r="AE546" s="7">
        <f ca="1"/>
      </c>
      <c r="AF546">
        <f ca="1"/>
      </c>
      <c r="AG546">
        <f ca="1"/>
      </c>
      <c r="AH546">
        <f ca="1"/>
      </c>
      <c r="AI546">
        <f ca="1"/>
      </c>
      <c r="AJ546">
        <f ca="1"/>
      </c>
      <c r="AK546">
        <f ca="1"/>
      </c>
      <c r="AL546">
        <f ca="1"/>
      </c>
      <c r="AM546">
        <f ca="1"/>
      </c>
      <c r="AN546">
        <f ca="1"/>
      </c>
      <c r="AO546">
        <f ca="1"/>
      </c>
      <c r="AP546">
        <f ca="1"/>
      </c>
      <c r="AQ546">
        <f ca="1"/>
      </c>
      <c r="AR546">
        <f ca="1"/>
      </c>
      <c r="AT546" s="7">
        <f ca="1"/>
      </c>
      <c r="AU546">
        <f ca="1"/>
      </c>
      <c r="AV546">
        <f ca="1"/>
      </c>
      <c r="AW546">
        <f ca="1"/>
      </c>
      <c r="AX546">
        <f ca="1"/>
      </c>
      <c r="AY546">
        <f ca="1"/>
      </c>
      <c r="BA546" s="7"/>
    </row>
    <row r="547" spans="31:53" x14ac:dyDescent="0.55000000000000004">
      <c r="AE547" s="7">
        <f ca="1"/>
      </c>
      <c r="AF547">
        <f ca="1"/>
      </c>
      <c r="AG547">
        <f ca="1"/>
      </c>
      <c r="AH547">
        <f ca="1"/>
      </c>
      <c r="AI547">
        <f ca="1"/>
      </c>
      <c r="AJ547">
        <f ca="1"/>
      </c>
      <c r="AK547">
        <f ca="1"/>
      </c>
      <c r="AL547">
        <f ca="1"/>
      </c>
      <c r="AM547">
        <f ca="1"/>
      </c>
      <c r="AN547">
        <f ca="1"/>
      </c>
      <c r="AO547">
        <f ca="1"/>
      </c>
      <c r="AP547">
        <f ca="1"/>
      </c>
      <c r="AQ547">
        <f ca="1"/>
      </c>
      <c r="AR547">
        <f ca="1"/>
      </c>
      <c r="AT547" s="7">
        <f ca="1"/>
      </c>
      <c r="AU547">
        <f ca="1"/>
      </c>
      <c r="AV547">
        <f ca="1"/>
      </c>
      <c r="AW547">
        <f ca="1"/>
      </c>
      <c r="AX547">
        <f ca="1"/>
      </c>
      <c r="AY547">
        <f ca="1"/>
      </c>
      <c r="BA547" s="7"/>
    </row>
    <row r="548" spans="31:53" x14ac:dyDescent="0.55000000000000004">
      <c r="AE548" s="7">
        <f ca="1"/>
      </c>
      <c r="AF548">
        <f ca="1"/>
      </c>
      <c r="AG548">
        <f ca="1"/>
      </c>
      <c r="AH548">
        <f ca="1"/>
      </c>
      <c r="AI548">
        <f ca="1"/>
      </c>
      <c r="AJ548">
        <f ca="1"/>
      </c>
      <c r="AK548">
        <f ca="1"/>
      </c>
      <c r="AL548">
        <f ca="1"/>
      </c>
      <c r="AM548">
        <f ca="1"/>
      </c>
      <c r="AN548">
        <f ca="1"/>
      </c>
      <c r="AO548">
        <f ca="1"/>
      </c>
      <c r="AP548">
        <f ca="1"/>
      </c>
      <c r="AQ548">
        <f ca="1"/>
      </c>
      <c r="AR548">
        <f ca="1"/>
      </c>
      <c r="AT548" s="7">
        <f ca="1"/>
      </c>
      <c r="AU548">
        <f ca="1"/>
      </c>
      <c r="AV548">
        <f ca="1"/>
      </c>
      <c r="AW548">
        <f ca="1"/>
      </c>
      <c r="AX548">
        <f ca="1"/>
      </c>
      <c r="AY548">
        <f ca="1"/>
      </c>
      <c r="BA548" s="7"/>
    </row>
    <row r="549" spans="31:53" x14ac:dyDescent="0.55000000000000004">
      <c r="AE549" s="7">
        <f ca="1"/>
      </c>
      <c r="AF549">
        <f ca="1"/>
      </c>
      <c r="AG549">
        <f ca="1"/>
      </c>
      <c r="AH549">
        <f ca="1"/>
      </c>
      <c r="AI549">
        <f ca="1"/>
      </c>
      <c r="AJ549">
        <f ca="1"/>
      </c>
      <c r="AK549">
        <f ca="1"/>
      </c>
      <c r="AL549">
        <f ca="1"/>
      </c>
      <c r="AM549">
        <f ca="1"/>
      </c>
      <c r="AN549">
        <f ca="1"/>
      </c>
      <c r="AO549">
        <f ca="1"/>
      </c>
      <c r="AP549">
        <f ca="1"/>
      </c>
      <c r="AQ549">
        <f ca="1"/>
      </c>
      <c r="AR549">
        <f ca="1"/>
      </c>
      <c r="AT549" s="7">
        <f ca="1"/>
      </c>
      <c r="AU549">
        <f ca="1"/>
      </c>
      <c r="AV549">
        <f ca="1"/>
      </c>
      <c r="AW549">
        <f ca="1"/>
      </c>
      <c r="AX549">
        <f ca="1"/>
      </c>
      <c r="AY549">
        <f ca="1"/>
      </c>
      <c r="BA549" s="7"/>
    </row>
    <row r="550" spans="31:53" x14ac:dyDescent="0.55000000000000004">
      <c r="AE550" s="7">
        <f ca="1"/>
      </c>
      <c r="AF550">
        <f ca="1"/>
      </c>
      <c r="AG550">
        <f ca="1"/>
      </c>
      <c r="AH550">
        <f ca="1"/>
      </c>
      <c r="AI550">
        <f ca="1"/>
      </c>
      <c r="AJ550">
        <f ca="1"/>
      </c>
      <c r="AK550">
        <f ca="1"/>
      </c>
      <c r="AL550">
        <f ca="1"/>
      </c>
      <c r="AM550">
        <f ca="1"/>
      </c>
      <c r="AN550">
        <f ca="1"/>
      </c>
      <c r="AO550">
        <f ca="1"/>
      </c>
      <c r="AP550">
        <f ca="1"/>
      </c>
      <c r="AQ550">
        <f ca="1"/>
      </c>
      <c r="AR550">
        <f ca="1"/>
      </c>
      <c r="AT550" s="7">
        <f ca="1"/>
      </c>
      <c r="AU550">
        <f ca="1"/>
      </c>
      <c r="AV550">
        <f ca="1"/>
      </c>
      <c r="AW550">
        <f ca="1"/>
      </c>
      <c r="AX550">
        <f ca="1"/>
      </c>
      <c r="AY550">
        <f ca="1"/>
      </c>
      <c r="BA550" s="7"/>
    </row>
    <row r="551" spans="31:53" x14ac:dyDescent="0.55000000000000004">
      <c r="AE551" s="7">
        <f ca="1"/>
      </c>
      <c r="AF551">
        <f ca="1"/>
      </c>
      <c r="AG551">
        <f ca="1"/>
      </c>
      <c r="AH551">
        <f ca="1"/>
      </c>
      <c r="AI551">
        <f ca="1"/>
      </c>
      <c r="AJ551">
        <f ca="1"/>
      </c>
      <c r="AK551">
        <f ca="1"/>
      </c>
      <c r="AL551">
        <f ca="1"/>
      </c>
      <c r="AM551">
        <f ca="1"/>
      </c>
      <c r="AN551">
        <f ca="1"/>
      </c>
      <c r="AO551">
        <f ca="1"/>
      </c>
      <c r="AP551">
        <f ca="1"/>
      </c>
      <c r="AQ551">
        <f ca="1"/>
      </c>
      <c r="AR551">
        <f ca="1"/>
      </c>
      <c r="AT551" s="7">
        <f ca="1"/>
      </c>
      <c r="AU551">
        <f ca="1"/>
      </c>
      <c r="AV551">
        <f ca="1"/>
      </c>
      <c r="AW551">
        <f ca="1"/>
      </c>
      <c r="AX551">
        <f ca="1"/>
      </c>
      <c r="AY551">
        <f ca="1"/>
      </c>
      <c r="BA551" s="7"/>
    </row>
    <row r="552" spans="31:53" x14ac:dyDescent="0.55000000000000004">
      <c r="AE552" s="7">
        <f ca="1"/>
      </c>
      <c r="AF552">
        <f ca="1"/>
      </c>
      <c r="AG552">
        <f ca="1"/>
      </c>
      <c r="AH552">
        <f ca="1"/>
      </c>
      <c r="AI552">
        <f ca="1"/>
      </c>
      <c r="AJ552">
        <f ca="1"/>
      </c>
      <c r="AK552">
        <f ca="1"/>
      </c>
      <c r="AL552">
        <f ca="1"/>
      </c>
      <c r="AM552">
        <f ca="1"/>
      </c>
      <c r="AN552">
        <f ca="1"/>
      </c>
      <c r="AO552">
        <f ca="1"/>
      </c>
      <c r="AP552">
        <f ca="1"/>
      </c>
      <c r="AQ552">
        <f ca="1"/>
      </c>
      <c r="AR552">
        <f ca="1"/>
      </c>
      <c r="AT552" s="7">
        <f ca="1"/>
      </c>
      <c r="AU552">
        <f ca="1"/>
      </c>
      <c r="AV552">
        <f ca="1"/>
      </c>
      <c r="AW552">
        <f ca="1"/>
      </c>
      <c r="AX552">
        <f ca="1"/>
      </c>
      <c r="AY552">
        <f ca="1"/>
      </c>
      <c r="BA552" s="7"/>
    </row>
    <row r="553" spans="31:53" x14ac:dyDescent="0.55000000000000004">
      <c r="AE553" s="7">
        <f ca="1"/>
      </c>
      <c r="AF553">
        <f ca="1"/>
      </c>
      <c r="AG553">
        <f ca="1"/>
      </c>
      <c r="AH553">
        <f ca="1"/>
      </c>
      <c r="AI553">
        <f ca="1"/>
      </c>
      <c r="AJ553">
        <f ca="1"/>
      </c>
      <c r="AK553">
        <f ca="1"/>
      </c>
      <c r="AL553">
        <f ca="1"/>
      </c>
      <c r="AM553">
        <f ca="1"/>
      </c>
      <c r="AN553">
        <f ca="1"/>
      </c>
      <c r="AO553">
        <f ca="1"/>
      </c>
      <c r="AP553">
        <f ca="1"/>
      </c>
      <c r="AQ553">
        <f ca="1"/>
      </c>
      <c r="AR553">
        <f ca="1"/>
      </c>
      <c r="AT553" s="7">
        <f ca="1"/>
      </c>
      <c r="AU553">
        <f ca="1"/>
      </c>
      <c r="AV553">
        <f ca="1"/>
      </c>
      <c r="AW553">
        <f ca="1"/>
      </c>
      <c r="AX553">
        <f ca="1"/>
      </c>
      <c r="AY553">
        <f ca="1"/>
      </c>
      <c r="BA553" s="7"/>
    </row>
    <row r="554" spans="31:53" x14ac:dyDescent="0.55000000000000004">
      <c r="AE554" s="7">
        <f ca="1"/>
      </c>
      <c r="AF554">
        <f ca="1"/>
      </c>
      <c r="AG554">
        <f ca="1"/>
      </c>
      <c r="AH554">
        <f ca="1"/>
      </c>
      <c r="AI554">
        <f ca="1"/>
      </c>
      <c r="AJ554">
        <f ca="1"/>
      </c>
      <c r="AK554">
        <f ca="1"/>
      </c>
      <c r="AL554">
        <f ca="1"/>
      </c>
      <c r="AM554">
        <f ca="1"/>
      </c>
      <c r="AN554">
        <f ca="1"/>
      </c>
      <c r="AO554">
        <f ca="1"/>
      </c>
      <c r="AP554">
        <f ca="1"/>
      </c>
      <c r="AQ554">
        <f ca="1"/>
      </c>
      <c r="AR554">
        <f ca="1"/>
      </c>
      <c r="AT554" s="7">
        <f ca="1"/>
      </c>
      <c r="AU554">
        <f ca="1"/>
      </c>
      <c r="AV554">
        <f ca="1"/>
      </c>
      <c r="AW554">
        <f ca="1"/>
      </c>
      <c r="AX554">
        <f ca="1"/>
      </c>
      <c r="AY554">
        <f ca="1"/>
      </c>
      <c r="BA554" s="7"/>
    </row>
    <row r="555" spans="31:53" x14ac:dyDescent="0.55000000000000004">
      <c r="AE555" s="7">
        <f ca="1"/>
      </c>
      <c r="AF555">
        <f ca="1"/>
      </c>
      <c r="AG555">
        <f ca="1"/>
      </c>
      <c r="AH555">
        <f ca="1"/>
      </c>
      <c r="AI555">
        <f ca="1"/>
      </c>
      <c r="AJ555">
        <f ca="1"/>
      </c>
      <c r="AK555">
        <f ca="1"/>
      </c>
      <c r="AL555">
        <f ca="1"/>
      </c>
      <c r="AM555">
        <f ca="1"/>
      </c>
      <c r="AN555">
        <f ca="1"/>
      </c>
      <c r="AO555">
        <f ca="1"/>
      </c>
      <c r="AP555">
        <f ca="1"/>
      </c>
      <c r="AQ555">
        <f ca="1"/>
      </c>
      <c r="AR555">
        <f ca="1"/>
      </c>
      <c r="AT555" s="7">
        <f ca="1"/>
      </c>
      <c r="AU555">
        <f ca="1"/>
      </c>
      <c r="AV555">
        <f ca="1"/>
      </c>
      <c r="AW555">
        <f ca="1"/>
      </c>
      <c r="AX555">
        <f ca="1"/>
      </c>
      <c r="AY555">
        <f ca="1"/>
      </c>
      <c r="BA555" s="7"/>
    </row>
    <row r="556" spans="31:53" x14ac:dyDescent="0.55000000000000004">
      <c r="AE556" s="7">
        <f ca="1"/>
      </c>
      <c r="AF556">
        <f ca="1"/>
      </c>
      <c r="AG556">
        <f ca="1"/>
      </c>
      <c r="AH556">
        <f ca="1"/>
      </c>
      <c r="AI556">
        <f ca="1"/>
      </c>
      <c r="AJ556">
        <f ca="1"/>
      </c>
      <c r="AK556">
        <f ca="1"/>
      </c>
      <c r="AL556">
        <f ca="1"/>
      </c>
      <c r="AM556">
        <f ca="1"/>
      </c>
      <c r="AN556">
        <f ca="1"/>
      </c>
      <c r="AO556">
        <f ca="1"/>
      </c>
      <c r="AP556">
        <f ca="1"/>
      </c>
      <c r="AQ556">
        <f ca="1"/>
      </c>
      <c r="AR556">
        <f ca="1"/>
      </c>
      <c r="AT556" s="7">
        <f ca="1"/>
      </c>
      <c r="AU556">
        <f ca="1"/>
      </c>
      <c r="AV556">
        <f ca="1"/>
      </c>
      <c r="AW556">
        <f ca="1"/>
      </c>
      <c r="AX556">
        <f ca="1"/>
      </c>
      <c r="AY556">
        <f ca="1"/>
      </c>
      <c r="BA556" s="7"/>
    </row>
    <row r="557" spans="31:53" x14ac:dyDescent="0.55000000000000004">
      <c r="AE557" s="7">
        <f ca="1"/>
      </c>
      <c r="AF557">
        <f ca="1"/>
      </c>
      <c r="AG557">
        <f ca="1"/>
      </c>
      <c r="AH557">
        <f ca="1"/>
      </c>
      <c r="AI557">
        <f ca="1"/>
      </c>
      <c r="AJ557">
        <f ca="1"/>
      </c>
      <c r="AK557">
        <f ca="1"/>
      </c>
      <c r="AL557">
        <f ca="1"/>
      </c>
      <c r="AM557">
        <f ca="1"/>
      </c>
      <c r="AN557">
        <f ca="1"/>
      </c>
      <c r="AO557">
        <f ca="1"/>
      </c>
      <c r="AP557">
        <f ca="1"/>
      </c>
      <c r="AQ557">
        <f ca="1"/>
      </c>
      <c r="AR557">
        <f ca="1"/>
      </c>
      <c r="AT557" s="7">
        <f ca="1"/>
      </c>
      <c r="AU557">
        <f ca="1"/>
      </c>
      <c r="AV557">
        <f ca="1"/>
      </c>
      <c r="AW557">
        <f ca="1"/>
      </c>
      <c r="AX557">
        <f ca="1"/>
      </c>
      <c r="AY557">
        <f ca="1"/>
      </c>
      <c r="BA557" s="7"/>
    </row>
    <row r="558" spans="31:53" x14ac:dyDescent="0.55000000000000004">
      <c r="AE558" s="7">
        <f ca="1"/>
      </c>
      <c r="AF558">
        <f ca="1"/>
      </c>
      <c r="AG558">
        <f ca="1"/>
      </c>
      <c r="AH558">
        <f ca="1"/>
      </c>
      <c r="AI558">
        <f ca="1"/>
      </c>
      <c r="AJ558">
        <f ca="1"/>
      </c>
      <c r="AK558">
        <f ca="1"/>
      </c>
      <c r="AL558">
        <f ca="1"/>
      </c>
      <c r="AM558">
        <f ca="1"/>
      </c>
      <c r="AN558">
        <f ca="1"/>
      </c>
      <c r="AO558">
        <f ca="1"/>
      </c>
      <c r="AP558">
        <f ca="1"/>
      </c>
      <c r="AQ558">
        <f ca="1"/>
      </c>
      <c r="AR558">
        <f ca="1"/>
      </c>
      <c r="AT558" s="7">
        <f ca="1"/>
      </c>
      <c r="AU558">
        <f ca="1"/>
      </c>
      <c r="AV558">
        <f ca="1"/>
      </c>
      <c r="AW558">
        <f ca="1"/>
      </c>
      <c r="AX558">
        <f ca="1"/>
      </c>
      <c r="AY558">
        <f ca="1"/>
      </c>
      <c r="BA558" s="7"/>
    </row>
    <row r="559" spans="31:53" x14ac:dyDescent="0.55000000000000004">
      <c r="AE559" s="7">
        <f ca="1"/>
      </c>
      <c r="AF559">
        <f ca="1"/>
      </c>
      <c r="AG559">
        <f ca="1"/>
      </c>
      <c r="AH559">
        <f ca="1"/>
      </c>
      <c r="AI559">
        <f ca="1"/>
      </c>
      <c r="AJ559">
        <f ca="1"/>
      </c>
      <c r="AK559">
        <f ca="1"/>
      </c>
      <c r="AL559">
        <f ca="1"/>
      </c>
      <c r="AM559">
        <f ca="1"/>
      </c>
      <c r="AN559">
        <f ca="1"/>
      </c>
      <c r="AO559">
        <f ca="1"/>
      </c>
      <c r="AP559">
        <f ca="1"/>
      </c>
      <c r="AQ559">
        <f ca="1"/>
      </c>
      <c r="AR559">
        <f ca="1"/>
      </c>
      <c r="AT559" s="7">
        <f ca="1"/>
      </c>
      <c r="AU559">
        <f ca="1"/>
      </c>
      <c r="AV559">
        <f ca="1"/>
      </c>
      <c r="AW559">
        <f ca="1"/>
      </c>
      <c r="AX559">
        <f ca="1"/>
      </c>
      <c r="AY559">
        <f ca="1"/>
      </c>
      <c r="BA559" s="7"/>
    </row>
    <row r="560" spans="31:53" x14ac:dyDescent="0.55000000000000004">
      <c r="AE560" s="7">
        <f ca="1"/>
      </c>
      <c r="AF560">
        <f ca="1"/>
      </c>
      <c r="AG560">
        <f ca="1"/>
      </c>
      <c r="AH560">
        <f ca="1"/>
      </c>
      <c r="AI560">
        <f ca="1"/>
      </c>
      <c r="AJ560">
        <f ca="1"/>
      </c>
      <c r="AK560">
        <f ca="1"/>
      </c>
      <c r="AL560">
        <f ca="1"/>
      </c>
      <c r="AM560">
        <f ca="1"/>
      </c>
      <c r="AN560">
        <f ca="1"/>
      </c>
      <c r="AO560">
        <f ca="1"/>
      </c>
      <c r="AP560">
        <f ca="1"/>
      </c>
      <c r="AQ560">
        <f ca="1"/>
      </c>
      <c r="AR560">
        <f ca="1"/>
      </c>
      <c r="AT560" s="7">
        <f ca="1"/>
      </c>
      <c r="AU560">
        <f ca="1"/>
      </c>
      <c r="AV560">
        <f ca="1"/>
      </c>
      <c r="AW560">
        <f ca="1"/>
      </c>
      <c r="AX560">
        <f ca="1"/>
      </c>
      <c r="AY560">
        <f ca="1"/>
      </c>
      <c r="BA560" s="7"/>
    </row>
    <row r="561" spans="31:53" x14ac:dyDescent="0.55000000000000004">
      <c r="AE561" s="7">
        <f ca="1"/>
      </c>
      <c r="AF561">
        <f ca="1"/>
      </c>
      <c r="AG561">
        <f ca="1"/>
      </c>
      <c r="AH561">
        <f ca="1"/>
      </c>
      <c r="AI561">
        <f ca="1"/>
      </c>
      <c r="AJ561">
        <f ca="1"/>
      </c>
      <c r="AK561">
        <f ca="1"/>
      </c>
      <c r="AL561">
        <f ca="1"/>
      </c>
      <c r="AM561">
        <f ca="1"/>
      </c>
      <c r="AN561">
        <f ca="1"/>
      </c>
      <c r="AO561">
        <f ca="1"/>
      </c>
      <c r="AP561">
        <f ca="1"/>
      </c>
      <c r="AQ561">
        <f ca="1"/>
      </c>
      <c r="AR561">
        <f ca="1"/>
      </c>
      <c r="AT561" s="7">
        <f ca="1"/>
      </c>
      <c r="AU561">
        <f ca="1"/>
      </c>
      <c r="AV561">
        <f ca="1"/>
      </c>
      <c r="AW561">
        <f ca="1"/>
      </c>
      <c r="AX561">
        <f ca="1"/>
      </c>
      <c r="AY561">
        <f ca="1"/>
      </c>
      <c r="BA561" s="7"/>
    </row>
    <row r="562" spans="31:53" x14ac:dyDescent="0.55000000000000004">
      <c r="AE562" s="7">
        <f ca="1"/>
      </c>
      <c r="AF562">
        <f ca="1"/>
      </c>
      <c r="AG562">
        <f ca="1"/>
      </c>
      <c r="AH562">
        <f ca="1"/>
      </c>
      <c r="AI562">
        <f ca="1"/>
      </c>
      <c r="AJ562">
        <f ca="1"/>
      </c>
      <c r="AK562">
        <f ca="1"/>
      </c>
      <c r="AL562">
        <f ca="1"/>
      </c>
      <c r="AM562">
        <f ca="1"/>
      </c>
      <c r="AN562">
        <f ca="1"/>
      </c>
      <c r="AO562">
        <f ca="1"/>
      </c>
      <c r="AP562">
        <f ca="1"/>
      </c>
      <c r="AQ562">
        <f ca="1"/>
      </c>
      <c r="AR562">
        <f ca="1"/>
      </c>
      <c r="AT562" s="7">
        <f ca="1"/>
      </c>
      <c r="AU562">
        <f ca="1"/>
      </c>
      <c r="AV562">
        <f ca="1"/>
      </c>
      <c r="AW562">
        <f ca="1"/>
      </c>
      <c r="AX562">
        <f ca="1"/>
      </c>
      <c r="AY562">
        <f ca="1"/>
      </c>
      <c r="BA562" s="7"/>
    </row>
    <row r="563" spans="31:53" x14ac:dyDescent="0.55000000000000004">
      <c r="AE563" s="7">
        <f ca="1"/>
      </c>
      <c r="AF563">
        <f ca="1"/>
      </c>
      <c r="AG563">
        <f ca="1"/>
      </c>
      <c r="AH563">
        <f ca="1"/>
      </c>
      <c r="AI563">
        <f ca="1"/>
      </c>
      <c r="AJ563">
        <f ca="1"/>
      </c>
      <c r="AK563">
        <f ca="1"/>
      </c>
      <c r="AL563">
        <f ca="1"/>
      </c>
      <c r="AM563">
        <f ca="1"/>
      </c>
      <c r="AN563">
        <f ca="1"/>
      </c>
      <c r="AO563">
        <f ca="1"/>
      </c>
      <c r="AP563">
        <f ca="1"/>
      </c>
      <c r="AQ563">
        <f ca="1"/>
      </c>
      <c r="AR563">
        <f ca="1"/>
      </c>
      <c r="AT563" s="7">
        <f ca="1"/>
      </c>
      <c r="AU563">
        <f ca="1"/>
      </c>
      <c r="AV563">
        <f ca="1"/>
      </c>
      <c r="AW563">
        <f ca="1"/>
      </c>
      <c r="AX563">
        <f ca="1"/>
      </c>
      <c r="AY563">
        <f ca="1"/>
      </c>
      <c r="BA563" s="7"/>
    </row>
    <row r="564" spans="31:53" x14ac:dyDescent="0.55000000000000004">
      <c r="AE564" s="7">
        <f ca="1"/>
      </c>
      <c r="AF564">
        <f ca="1"/>
      </c>
      <c r="AG564">
        <f ca="1"/>
      </c>
      <c r="AH564">
        <f ca="1"/>
      </c>
      <c r="AI564">
        <f ca="1"/>
      </c>
      <c r="AJ564">
        <f ca="1"/>
      </c>
      <c r="AK564">
        <f ca="1"/>
      </c>
      <c r="AL564">
        <f ca="1"/>
      </c>
      <c r="AM564">
        <f ca="1"/>
      </c>
      <c r="AN564">
        <f ca="1"/>
      </c>
      <c r="AO564">
        <f ca="1"/>
      </c>
      <c r="AP564">
        <f ca="1"/>
      </c>
      <c r="AQ564">
        <f ca="1"/>
      </c>
      <c r="AR564">
        <f ca="1"/>
      </c>
      <c r="AT564" s="7">
        <f ca="1"/>
      </c>
      <c r="AU564">
        <f ca="1"/>
      </c>
      <c r="AV564">
        <f ca="1"/>
      </c>
      <c r="AW564">
        <f ca="1"/>
      </c>
      <c r="AX564">
        <f ca="1"/>
      </c>
      <c r="AY564">
        <f ca="1"/>
      </c>
      <c r="BA564" s="7"/>
    </row>
    <row r="565" spans="31:53" x14ac:dyDescent="0.55000000000000004">
      <c r="AE565" s="7">
        <f ca="1"/>
      </c>
      <c r="AF565">
        <f ca="1"/>
      </c>
      <c r="AG565">
        <f ca="1"/>
      </c>
      <c r="AH565">
        <f ca="1"/>
      </c>
      <c r="AI565">
        <f ca="1"/>
      </c>
      <c r="AJ565">
        <f ca="1"/>
      </c>
      <c r="AK565">
        <f ca="1"/>
      </c>
      <c r="AL565">
        <f ca="1"/>
      </c>
      <c r="AM565">
        <f ca="1"/>
      </c>
      <c r="AN565">
        <f ca="1"/>
      </c>
      <c r="AO565">
        <f ca="1"/>
      </c>
      <c r="AP565">
        <f ca="1"/>
      </c>
      <c r="AQ565">
        <f ca="1"/>
      </c>
      <c r="AR565">
        <f ca="1"/>
      </c>
      <c r="AT565" s="7">
        <f ca="1"/>
      </c>
      <c r="AU565">
        <f ca="1"/>
      </c>
      <c r="AV565">
        <f ca="1"/>
      </c>
      <c r="AW565">
        <f ca="1"/>
      </c>
      <c r="AX565">
        <f ca="1"/>
      </c>
      <c r="AY565">
        <f ca="1"/>
      </c>
      <c r="BA565" s="7"/>
    </row>
    <row r="566" spans="31:53" x14ac:dyDescent="0.55000000000000004">
      <c r="AE566" s="7">
        <f ca="1"/>
      </c>
      <c r="AF566">
        <f ca="1"/>
      </c>
      <c r="AG566">
        <f ca="1"/>
      </c>
      <c r="AH566">
        <f ca="1"/>
      </c>
      <c r="AI566">
        <f ca="1"/>
      </c>
      <c r="AJ566">
        <f ca="1"/>
      </c>
      <c r="AK566">
        <f ca="1"/>
      </c>
      <c r="AL566">
        <f ca="1"/>
      </c>
      <c r="AM566">
        <f ca="1"/>
      </c>
      <c r="AN566">
        <f ca="1"/>
      </c>
      <c r="AO566">
        <f ca="1"/>
      </c>
      <c r="AP566">
        <f ca="1"/>
      </c>
      <c r="AQ566">
        <f ca="1"/>
      </c>
      <c r="AR566">
        <f ca="1"/>
      </c>
      <c r="AT566" s="7">
        <f ca="1"/>
      </c>
      <c r="AU566">
        <f ca="1"/>
      </c>
      <c r="AV566">
        <f ca="1"/>
      </c>
      <c r="AW566">
        <f ca="1"/>
      </c>
      <c r="AX566">
        <f ca="1"/>
      </c>
      <c r="AY566">
        <f ca="1"/>
      </c>
      <c r="BA566" s="7"/>
    </row>
    <row r="567" spans="31:53" x14ac:dyDescent="0.55000000000000004">
      <c r="AE567" s="7">
        <f ca="1"/>
      </c>
      <c r="AF567">
        <f ca="1"/>
      </c>
      <c r="AG567">
        <f ca="1"/>
      </c>
      <c r="AH567">
        <f ca="1"/>
      </c>
      <c r="AI567">
        <f ca="1"/>
      </c>
      <c r="AJ567">
        <f ca="1"/>
      </c>
      <c r="AK567">
        <f ca="1"/>
      </c>
      <c r="AL567">
        <f ca="1"/>
      </c>
      <c r="AM567">
        <f ca="1"/>
      </c>
      <c r="AN567">
        <f ca="1"/>
      </c>
      <c r="AO567">
        <f ca="1"/>
      </c>
      <c r="AP567">
        <f ca="1"/>
      </c>
      <c r="AQ567">
        <f ca="1"/>
      </c>
      <c r="AR567">
        <f ca="1"/>
      </c>
      <c r="AT567" s="7">
        <f ca="1"/>
      </c>
      <c r="AU567">
        <f ca="1"/>
      </c>
      <c r="AV567">
        <f ca="1"/>
      </c>
      <c r="AW567">
        <f ca="1"/>
      </c>
      <c r="AX567">
        <f ca="1"/>
      </c>
      <c r="AY567">
        <f ca="1"/>
      </c>
      <c r="BA567" s="7"/>
    </row>
    <row r="568" spans="31:53" x14ac:dyDescent="0.55000000000000004">
      <c r="AE568" s="7">
        <f ca="1"/>
      </c>
      <c r="AF568">
        <f ca="1"/>
      </c>
      <c r="AG568">
        <f ca="1"/>
      </c>
      <c r="AH568">
        <f ca="1"/>
      </c>
      <c r="AI568">
        <f ca="1"/>
      </c>
      <c r="AJ568">
        <f ca="1"/>
      </c>
      <c r="AK568">
        <f ca="1"/>
      </c>
      <c r="AL568">
        <f ca="1"/>
      </c>
      <c r="AM568">
        <f ca="1"/>
      </c>
      <c r="AN568">
        <f ca="1"/>
      </c>
      <c r="AO568">
        <f ca="1"/>
      </c>
      <c r="AP568">
        <f ca="1"/>
      </c>
      <c r="AQ568">
        <f ca="1"/>
      </c>
      <c r="AR568">
        <f ca="1"/>
      </c>
      <c r="AT568" s="7">
        <f ca="1"/>
      </c>
      <c r="AU568">
        <f ca="1"/>
      </c>
      <c r="AV568">
        <f ca="1"/>
      </c>
      <c r="AW568">
        <f ca="1"/>
      </c>
      <c r="AX568">
        <f ca="1"/>
      </c>
      <c r="AY568">
        <f ca="1"/>
      </c>
      <c r="BA568" s="7"/>
    </row>
    <row r="569" spans="31:53" x14ac:dyDescent="0.55000000000000004">
      <c r="AE569" s="7">
        <f ca="1"/>
      </c>
      <c r="AF569">
        <f ca="1"/>
      </c>
      <c r="AG569">
        <f ca="1"/>
      </c>
      <c r="AH569">
        <f ca="1"/>
      </c>
      <c r="AI569">
        <f ca="1"/>
      </c>
      <c r="AJ569">
        <f ca="1"/>
      </c>
      <c r="AK569">
        <f ca="1"/>
      </c>
      <c r="AL569">
        <f ca="1"/>
      </c>
      <c r="AM569">
        <f ca="1"/>
      </c>
      <c r="AN569">
        <f ca="1"/>
      </c>
      <c r="AO569">
        <f ca="1"/>
      </c>
      <c r="AP569">
        <f ca="1"/>
      </c>
      <c r="AQ569">
        <f ca="1"/>
      </c>
      <c r="AR569">
        <f ca="1"/>
      </c>
      <c r="AT569" s="7">
        <f ca="1"/>
      </c>
      <c r="AU569">
        <f ca="1"/>
      </c>
      <c r="AV569">
        <f ca="1"/>
      </c>
      <c r="AW569">
        <f ca="1"/>
      </c>
      <c r="AX569">
        <f ca="1"/>
      </c>
      <c r="AY569">
        <f ca="1"/>
      </c>
      <c r="BA569" s="7"/>
    </row>
    <row r="570" spans="31:53" x14ac:dyDescent="0.55000000000000004">
      <c r="AE570" s="7">
        <f ca="1"/>
      </c>
      <c r="AF570">
        <f ca="1"/>
      </c>
      <c r="AG570">
        <f ca="1"/>
      </c>
      <c r="AH570">
        <f ca="1"/>
      </c>
      <c r="AI570">
        <f ca="1"/>
      </c>
      <c r="AJ570">
        <f ca="1"/>
      </c>
      <c r="AK570">
        <f ca="1"/>
      </c>
      <c r="AL570">
        <f ca="1"/>
      </c>
      <c r="AM570">
        <f ca="1"/>
      </c>
      <c r="AN570">
        <f ca="1"/>
      </c>
      <c r="AO570">
        <f ca="1"/>
      </c>
      <c r="AP570">
        <f ca="1"/>
      </c>
      <c r="AQ570">
        <f ca="1"/>
      </c>
      <c r="AR570">
        <f ca="1"/>
      </c>
      <c r="AT570" s="7">
        <f ca="1"/>
      </c>
      <c r="AU570">
        <f ca="1"/>
      </c>
      <c r="AV570">
        <f ca="1"/>
      </c>
      <c r="AW570">
        <f ca="1"/>
      </c>
      <c r="AX570">
        <f ca="1"/>
      </c>
      <c r="AY570">
        <f ca="1"/>
      </c>
      <c r="BA570" s="7"/>
    </row>
    <row r="571" spans="31:53" x14ac:dyDescent="0.55000000000000004">
      <c r="AE571" s="7">
        <f ca="1"/>
      </c>
      <c r="AF571">
        <f ca="1"/>
      </c>
      <c r="AG571">
        <f ca="1"/>
      </c>
      <c r="AH571">
        <f ca="1"/>
      </c>
      <c r="AI571">
        <f ca="1"/>
      </c>
      <c r="AJ571">
        <f ca="1"/>
      </c>
      <c r="AK571">
        <f ca="1"/>
      </c>
      <c r="AL571">
        <f ca="1"/>
      </c>
      <c r="AM571">
        <f ca="1"/>
      </c>
      <c r="AN571">
        <f ca="1"/>
      </c>
      <c r="AO571">
        <f ca="1"/>
      </c>
      <c r="AP571">
        <f ca="1"/>
      </c>
      <c r="AQ571">
        <f ca="1"/>
      </c>
      <c r="AR571">
        <f ca="1"/>
      </c>
      <c r="AT571" s="7">
        <f ca="1"/>
      </c>
      <c r="AU571">
        <f ca="1"/>
      </c>
      <c r="AV571">
        <f ca="1"/>
      </c>
      <c r="AW571">
        <f ca="1"/>
      </c>
      <c r="AX571">
        <f ca="1"/>
      </c>
      <c r="AY571">
        <f ca="1"/>
      </c>
      <c r="BA571" s="7"/>
    </row>
    <row r="572" spans="31:53" x14ac:dyDescent="0.55000000000000004">
      <c r="AE572" s="7">
        <f ca="1"/>
      </c>
      <c r="AF572">
        <f ca="1"/>
      </c>
      <c r="AG572">
        <f ca="1"/>
      </c>
      <c r="AH572">
        <f ca="1"/>
      </c>
      <c r="AI572">
        <f ca="1"/>
      </c>
      <c r="AJ572">
        <f ca="1"/>
      </c>
      <c r="AK572">
        <f ca="1"/>
      </c>
      <c r="AL572">
        <f ca="1"/>
      </c>
      <c r="AM572">
        <f ca="1"/>
      </c>
      <c r="AN572">
        <f ca="1"/>
      </c>
      <c r="AO572">
        <f ca="1"/>
      </c>
      <c r="AP572">
        <f ca="1"/>
      </c>
      <c r="AQ572">
        <f ca="1"/>
      </c>
      <c r="AR572">
        <f ca="1"/>
      </c>
      <c r="AT572" s="7">
        <f ca="1"/>
      </c>
      <c r="AU572">
        <f ca="1"/>
      </c>
      <c r="AV572">
        <f ca="1"/>
      </c>
      <c r="AW572">
        <f ca="1"/>
      </c>
      <c r="AX572">
        <f ca="1"/>
      </c>
      <c r="AY572">
        <f ca="1"/>
      </c>
      <c r="BA572" s="7"/>
    </row>
    <row r="573" spans="31:53" x14ac:dyDescent="0.55000000000000004">
      <c r="AE573" s="7">
        <f ca="1"/>
      </c>
      <c r="AF573">
        <f ca="1"/>
      </c>
      <c r="AG573">
        <f ca="1"/>
      </c>
      <c r="AH573">
        <f ca="1"/>
      </c>
      <c r="AI573">
        <f ca="1"/>
      </c>
      <c r="AJ573">
        <f ca="1"/>
      </c>
      <c r="AK573">
        <f ca="1"/>
      </c>
      <c r="AL573">
        <f ca="1"/>
      </c>
      <c r="AM573">
        <f ca="1"/>
      </c>
      <c r="AN573">
        <f ca="1"/>
      </c>
      <c r="AO573">
        <f ca="1"/>
      </c>
      <c r="AP573">
        <f ca="1"/>
      </c>
      <c r="AQ573">
        <f ca="1"/>
      </c>
      <c r="AR573">
        <f ca="1"/>
      </c>
      <c r="AT573" s="7">
        <f ca="1"/>
      </c>
      <c r="AU573">
        <f ca="1"/>
      </c>
      <c r="AV573">
        <f ca="1"/>
      </c>
      <c r="AW573">
        <f ca="1"/>
      </c>
      <c r="AX573">
        <f ca="1"/>
      </c>
      <c r="AY573">
        <f ca="1"/>
      </c>
      <c r="BA573" s="7"/>
    </row>
    <row r="574" spans="31:53" x14ac:dyDescent="0.55000000000000004">
      <c r="AE574" s="7">
        <f ca="1"/>
      </c>
      <c r="AF574">
        <f ca="1"/>
      </c>
      <c r="AG574">
        <f ca="1"/>
      </c>
      <c r="AH574">
        <f ca="1"/>
      </c>
      <c r="AI574">
        <f ca="1"/>
      </c>
      <c r="AJ574">
        <f ca="1"/>
      </c>
      <c r="AK574">
        <f ca="1"/>
      </c>
      <c r="AL574">
        <f ca="1"/>
      </c>
      <c r="AM574">
        <f ca="1"/>
      </c>
      <c r="AN574">
        <f ca="1"/>
      </c>
      <c r="AO574">
        <f ca="1"/>
      </c>
      <c r="AP574">
        <f ca="1"/>
      </c>
      <c r="AQ574">
        <f ca="1"/>
      </c>
      <c r="AR574">
        <f ca="1"/>
      </c>
      <c r="AT574" s="7">
        <f ca="1"/>
      </c>
      <c r="AU574">
        <f ca="1"/>
      </c>
      <c r="AV574">
        <f ca="1"/>
      </c>
      <c r="AW574">
        <f ca="1"/>
      </c>
      <c r="AX574">
        <f ca="1"/>
      </c>
      <c r="AY574">
        <f ca="1"/>
      </c>
      <c r="BA574" s="7"/>
    </row>
    <row r="575" spans="31:53" x14ac:dyDescent="0.55000000000000004">
      <c r="AE575" s="7">
        <f ca="1"/>
      </c>
      <c r="AF575">
        <f ca="1"/>
      </c>
      <c r="AG575">
        <f ca="1"/>
      </c>
      <c r="AH575">
        <f ca="1"/>
      </c>
      <c r="AI575">
        <f ca="1"/>
      </c>
      <c r="AJ575">
        <f ca="1"/>
      </c>
      <c r="AK575">
        <f ca="1"/>
      </c>
      <c r="AL575">
        <f ca="1"/>
      </c>
      <c r="AM575">
        <f ca="1"/>
      </c>
      <c r="AN575">
        <f ca="1"/>
      </c>
      <c r="AO575">
        <f ca="1"/>
      </c>
      <c r="AP575">
        <f ca="1"/>
      </c>
      <c r="AQ575">
        <f ca="1"/>
      </c>
      <c r="AR575">
        <f ca="1"/>
      </c>
      <c r="AT575" s="7">
        <f ca="1"/>
      </c>
      <c r="AU575">
        <f ca="1"/>
      </c>
      <c r="AV575">
        <f ca="1"/>
      </c>
      <c r="AW575">
        <f ca="1"/>
      </c>
      <c r="AX575">
        <f ca="1"/>
      </c>
      <c r="AY575">
        <f ca="1"/>
      </c>
      <c r="BA575" s="7"/>
    </row>
    <row r="576" spans="31:53" x14ac:dyDescent="0.55000000000000004">
      <c r="AE576" s="7">
        <f ca="1"/>
      </c>
      <c r="AF576">
        <f ca="1"/>
      </c>
      <c r="AG576">
        <f ca="1"/>
      </c>
      <c r="AH576">
        <f ca="1"/>
      </c>
      <c r="AI576">
        <f ca="1"/>
      </c>
      <c r="AJ576">
        <f ca="1"/>
      </c>
      <c r="AK576">
        <f ca="1"/>
      </c>
      <c r="AL576">
        <f ca="1"/>
      </c>
      <c r="AM576">
        <f ca="1"/>
      </c>
      <c r="AN576">
        <f ca="1"/>
      </c>
      <c r="AO576">
        <f ca="1"/>
      </c>
      <c r="AP576">
        <f ca="1"/>
      </c>
      <c r="AQ576">
        <f ca="1"/>
      </c>
      <c r="AR576">
        <f ca="1"/>
      </c>
      <c r="AT576" s="7">
        <f ca="1"/>
      </c>
      <c r="AU576">
        <f ca="1"/>
      </c>
      <c r="AV576">
        <f ca="1"/>
      </c>
      <c r="AW576">
        <f ca="1"/>
      </c>
      <c r="AX576">
        <f ca="1"/>
      </c>
      <c r="AY576">
        <f ca="1"/>
      </c>
      <c r="BA576" s="7"/>
    </row>
    <row r="577" spans="31:53" x14ac:dyDescent="0.55000000000000004">
      <c r="AE577" s="7">
        <f ca="1"/>
      </c>
      <c r="AF577">
        <f ca="1"/>
      </c>
      <c r="AG577">
        <f ca="1"/>
      </c>
      <c r="AH577">
        <f ca="1"/>
      </c>
      <c r="AI577">
        <f ca="1"/>
      </c>
      <c r="AJ577">
        <f ca="1"/>
      </c>
      <c r="AK577">
        <f ca="1"/>
      </c>
      <c r="AL577">
        <f ca="1"/>
      </c>
      <c r="AM577">
        <f ca="1"/>
      </c>
      <c r="AN577">
        <f ca="1"/>
      </c>
      <c r="AO577">
        <f ca="1"/>
      </c>
      <c r="AP577">
        <f ca="1"/>
      </c>
      <c r="AQ577">
        <f ca="1"/>
      </c>
      <c r="AR577">
        <f ca="1"/>
      </c>
      <c r="AT577" s="7">
        <f ca="1"/>
      </c>
      <c r="AU577">
        <f ca="1"/>
      </c>
      <c r="AV577">
        <f ca="1"/>
      </c>
      <c r="AW577">
        <f ca="1"/>
      </c>
      <c r="AX577">
        <f ca="1"/>
      </c>
      <c r="AY577">
        <f ca="1"/>
      </c>
      <c r="BA577" s="7"/>
    </row>
    <row r="578" spans="31:53" x14ac:dyDescent="0.55000000000000004">
      <c r="AE578" s="7">
        <f ca="1"/>
      </c>
      <c r="AF578">
        <f ca="1"/>
      </c>
      <c r="AG578">
        <f ca="1"/>
      </c>
      <c r="AH578">
        <f ca="1"/>
      </c>
      <c r="AI578">
        <f ca="1"/>
      </c>
      <c r="AJ578">
        <f ca="1"/>
      </c>
      <c r="AK578">
        <f ca="1"/>
      </c>
      <c r="AL578">
        <f ca="1"/>
      </c>
      <c r="AM578">
        <f ca="1"/>
      </c>
      <c r="AN578">
        <f ca="1"/>
      </c>
      <c r="AO578">
        <f ca="1"/>
      </c>
      <c r="AP578">
        <f ca="1"/>
      </c>
      <c r="AQ578">
        <f ca="1"/>
      </c>
      <c r="AR578">
        <f ca="1"/>
      </c>
      <c r="AT578" s="7">
        <f ca="1"/>
      </c>
      <c r="AU578">
        <f ca="1"/>
      </c>
      <c r="AV578">
        <f ca="1"/>
      </c>
      <c r="AW578">
        <f ca="1"/>
      </c>
      <c r="AX578">
        <f ca="1"/>
      </c>
      <c r="AY578">
        <f ca="1"/>
      </c>
      <c r="BA578" s="7"/>
    </row>
    <row r="579" spans="31:53" x14ac:dyDescent="0.55000000000000004">
      <c r="AE579" s="7">
        <f ca="1"/>
      </c>
      <c r="AF579">
        <f ca="1"/>
      </c>
      <c r="AG579">
        <f ca="1"/>
      </c>
      <c r="AH579">
        <f ca="1"/>
      </c>
      <c r="AI579">
        <f ca="1"/>
      </c>
      <c r="AJ579">
        <f ca="1"/>
      </c>
      <c r="AK579">
        <f ca="1"/>
      </c>
      <c r="AL579">
        <f ca="1"/>
      </c>
      <c r="AM579">
        <f ca="1"/>
      </c>
      <c r="AN579">
        <f ca="1"/>
      </c>
      <c r="AO579">
        <f ca="1"/>
      </c>
      <c r="AP579">
        <f ca="1"/>
      </c>
      <c r="AQ579">
        <f ca="1"/>
      </c>
      <c r="AR579">
        <f ca="1"/>
      </c>
      <c r="AT579" s="7">
        <f ca="1"/>
      </c>
      <c r="AU579">
        <f ca="1"/>
      </c>
      <c r="AV579">
        <f ca="1"/>
      </c>
      <c r="AW579">
        <f ca="1"/>
      </c>
      <c r="AX579">
        <f ca="1"/>
      </c>
      <c r="AY579">
        <f ca="1"/>
      </c>
      <c r="BA579" s="7"/>
    </row>
    <row r="580" spans="31:53" x14ac:dyDescent="0.55000000000000004">
      <c r="AE580" s="7">
        <f ca="1"/>
      </c>
      <c r="AF580">
        <f ca="1"/>
      </c>
      <c r="AG580">
        <f ca="1"/>
      </c>
      <c r="AH580">
        <f ca="1"/>
      </c>
      <c r="AI580">
        <f ca="1"/>
      </c>
      <c r="AJ580">
        <f ca="1"/>
      </c>
      <c r="AK580">
        <f ca="1"/>
      </c>
      <c r="AL580">
        <f ca="1"/>
      </c>
      <c r="AM580">
        <f ca="1"/>
      </c>
      <c r="AN580">
        <f ca="1"/>
      </c>
      <c r="AO580">
        <f ca="1"/>
      </c>
      <c r="AP580">
        <f ca="1"/>
      </c>
      <c r="AQ580">
        <f ca="1"/>
      </c>
      <c r="AR580">
        <f ca="1"/>
      </c>
      <c r="AT580" s="7">
        <f ca="1"/>
      </c>
      <c r="AU580">
        <f ca="1"/>
      </c>
      <c r="AV580">
        <f ca="1"/>
      </c>
      <c r="AW580">
        <f ca="1"/>
      </c>
      <c r="AX580">
        <f ca="1"/>
      </c>
      <c r="AY580">
        <f ca="1"/>
      </c>
      <c r="BA580" s="7"/>
    </row>
    <row r="581" spans="31:53" x14ac:dyDescent="0.55000000000000004">
      <c r="AE581" s="7">
        <f ca="1"/>
      </c>
      <c r="AF581">
        <f ca="1"/>
      </c>
      <c r="AG581">
        <f ca="1"/>
      </c>
      <c r="AH581">
        <f ca="1"/>
      </c>
      <c r="AI581">
        <f ca="1"/>
      </c>
      <c r="AJ581">
        <f ca="1"/>
      </c>
      <c r="AK581">
        <f ca="1"/>
      </c>
      <c r="AL581">
        <f ca="1"/>
      </c>
      <c r="AM581">
        <f ca="1"/>
      </c>
      <c r="AN581">
        <f ca="1"/>
      </c>
      <c r="AO581">
        <f ca="1"/>
      </c>
      <c r="AP581">
        <f ca="1"/>
      </c>
      <c r="AQ581">
        <f ca="1"/>
      </c>
      <c r="AR581">
        <f ca="1"/>
      </c>
      <c r="AT581" s="7">
        <f ca="1"/>
      </c>
      <c r="AU581">
        <f ca="1"/>
      </c>
      <c r="AV581">
        <f ca="1"/>
      </c>
      <c r="AW581">
        <f ca="1"/>
      </c>
      <c r="AX581">
        <f ca="1"/>
      </c>
      <c r="AY581">
        <f ca="1"/>
      </c>
      <c r="BA581" s="7"/>
    </row>
    <row r="582" spans="31:53" x14ac:dyDescent="0.55000000000000004">
      <c r="AE582" s="7">
        <f ca="1"/>
      </c>
      <c r="AF582">
        <f ca="1"/>
      </c>
      <c r="AG582">
        <f ca="1"/>
      </c>
      <c r="AH582">
        <f ca="1"/>
      </c>
      <c r="AI582">
        <f ca="1"/>
      </c>
      <c r="AJ582">
        <f ca="1"/>
      </c>
      <c r="AK582">
        <f ca="1"/>
      </c>
      <c r="AL582">
        <f ca="1"/>
      </c>
      <c r="AM582">
        <f ca="1"/>
      </c>
      <c r="AN582">
        <f ca="1"/>
      </c>
      <c r="AO582">
        <f ca="1"/>
      </c>
      <c r="AP582">
        <f ca="1"/>
      </c>
      <c r="AQ582">
        <f ca="1"/>
      </c>
      <c r="AR582">
        <f ca="1"/>
      </c>
      <c r="AT582" s="7">
        <f ca="1"/>
      </c>
      <c r="AU582">
        <f ca="1"/>
      </c>
      <c r="AV582">
        <f ca="1"/>
      </c>
      <c r="AW582">
        <f ca="1"/>
      </c>
      <c r="AX582">
        <f ca="1"/>
      </c>
      <c r="AY582">
        <f ca="1"/>
      </c>
      <c r="BA582" s="7"/>
    </row>
    <row r="583" spans="31:53" x14ac:dyDescent="0.55000000000000004">
      <c r="AE583" s="7">
        <f ca="1"/>
      </c>
      <c r="AF583">
        <f ca="1"/>
      </c>
      <c r="AG583">
        <f ca="1"/>
      </c>
      <c r="AH583">
        <f ca="1"/>
      </c>
      <c r="AI583">
        <f ca="1"/>
      </c>
      <c r="AJ583">
        <f ca="1"/>
      </c>
      <c r="AK583">
        <f ca="1"/>
      </c>
      <c r="AL583">
        <f ca="1"/>
      </c>
      <c r="AM583">
        <f ca="1"/>
      </c>
      <c r="AN583">
        <f ca="1"/>
      </c>
      <c r="AO583">
        <f ca="1"/>
      </c>
      <c r="AP583">
        <f ca="1"/>
      </c>
      <c r="AQ583">
        <f ca="1"/>
      </c>
      <c r="AR583">
        <f ca="1"/>
      </c>
      <c r="AT583" s="7">
        <f ca="1"/>
      </c>
      <c r="AU583">
        <f ca="1"/>
      </c>
      <c r="AV583">
        <f ca="1"/>
      </c>
      <c r="AW583">
        <f ca="1"/>
      </c>
      <c r="AX583">
        <f ca="1"/>
      </c>
      <c r="AY583">
        <f ca="1"/>
      </c>
      <c r="BA583" s="7"/>
    </row>
    <row r="584" spans="31:53" x14ac:dyDescent="0.55000000000000004">
      <c r="AE584" s="7">
        <f ca="1"/>
      </c>
      <c r="AF584">
        <f ca="1"/>
      </c>
      <c r="AG584">
        <f ca="1"/>
      </c>
      <c r="AH584">
        <f ca="1"/>
      </c>
      <c r="AI584">
        <f ca="1"/>
      </c>
      <c r="AJ584">
        <f ca="1"/>
      </c>
      <c r="AK584">
        <f ca="1"/>
      </c>
      <c r="AL584">
        <f ca="1"/>
      </c>
      <c r="AM584">
        <f ca="1"/>
      </c>
      <c r="AN584">
        <f ca="1"/>
      </c>
      <c r="AO584">
        <f ca="1"/>
      </c>
      <c r="AP584">
        <f ca="1"/>
      </c>
      <c r="AQ584">
        <f ca="1"/>
      </c>
      <c r="AR584">
        <f ca="1"/>
      </c>
      <c r="AT584" s="7">
        <f ca="1"/>
      </c>
      <c r="AU584">
        <f ca="1"/>
      </c>
      <c r="AV584">
        <f ca="1"/>
      </c>
      <c r="AW584">
        <f ca="1"/>
      </c>
      <c r="AX584">
        <f ca="1"/>
      </c>
      <c r="AY584">
        <f ca="1"/>
      </c>
      <c r="BA584" s="7"/>
    </row>
    <row r="585" spans="31:53" x14ac:dyDescent="0.55000000000000004">
      <c r="AE585" s="7">
        <f ca="1"/>
      </c>
      <c r="AF585">
        <f ca="1"/>
      </c>
      <c r="AG585">
        <f ca="1"/>
      </c>
      <c r="AH585">
        <f ca="1"/>
      </c>
      <c r="AI585">
        <f ca="1"/>
      </c>
      <c r="AJ585">
        <f ca="1"/>
      </c>
      <c r="AK585">
        <f ca="1"/>
      </c>
      <c r="AL585">
        <f ca="1"/>
      </c>
      <c r="AM585">
        <f ca="1"/>
      </c>
      <c r="AN585">
        <f ca="1"/>
      </c>
      <c r="AO585">
        <f ca="1"/>
      </c>
      <c r="AP585">
        <f ca="1"/>
      </c>
      <c r="AQ585">
        <f ca="1"/>
      </c>
      <c r="AR585">
        <f ca="1"/>
      </c>
      <c r="AT585" s="7">
        <f ca="1"/>
      </c>
      <c r="AU585">
        <f ca="1"/>
      </c>
      <c r="AV585">
        <f ca="1"/>
      </c>
      <c r="AW585">
        <f ca="1"/>
      </c>
      <c r="AX585">
        <f ca="1"/>
      </c>
      <c r="AY585">
        <f ca="1"/>
      </c>
      <c r="BA585" s="7"/>
    </row>
    <row r="586" spans="31:53" x14ac:dyDescent="0.55000000000000004">
      <c r="AE586" s="7">
        <f ca="1"/>
      </c>
      <c r="AF586">
        <f ca="1"/>
      </c>
      <c r="AG586">
        <f ca="1"/>
      </c>
      <c r="AH586">
        <f ca="1"/>
      </c>
      <c r="AI586">
        <f ca="1"/>
      </c>
      <c r="AJ586">
        <f ca="1"/>
      </c>
      <c r="AK586">
        <f ca="1"/>
      </c>
      <c r="AL586">
        <f ca="1"/>
      </c>
      <c r="AM586">
        <f ca="1"/>
      </c>
      <c r="AN586">
        <f ca="1"/>
      </c>
      <c r="AO586">
        <f ca="1"/>
      </c>
      <c r="AP586">
        <f ca="1"/>
      </c>
      <c r="AQ586">
        <f ca="1"/>
      </c>
      <c r="AR586">
        <f ca="1"/>
      </c>
      <c r="AT586" s="7">
        <f ca="1"/>
      </c>
      <c r="AU586">
        <f ca="1"/>
      </c>
      <c r="AV586">
        <f ca="1"/>
      </c>
      <c r="AW586">
        <f ca="1"/>
      </c>
      <c r="AX586">
        <f ca="1"/>
      </c>
      <c r="AY586">
        <f ca="1"/>
      </c>
      <c r="BA586" s="7"/>
    </row>
    <row r="587" spans="31:53" x14ac:dyDescent="0.55000000000000004">
      <c r="AE587" s="7">
        <f ca="1"/>
      </c>
      <c r="AF587">
        <f ca="1"/>
      </c>
      <c r="AG587">
        <f ca="1"/>
      </c>
      <c r="AH587">
        <f ca="1"/>
      </c>
      <c r="AI587">
        <f ca="1"/>
      </c>
      <c r="AJ587">
        <f ca="1"/>
      </c>
      <c r="AK587">
        <f ca="1"/>
      </c>
      <c r="AL587">
        <f ca="1"/>
      </c>
      <c r="AM587">
        <f ca="1"/>
      </c>
      <c r="AN587">
        <f ca="1"/>
      </c>
      <c r="AO587">
        <f ca="1"/>
      </c>
      <c r="AP587">
        <f ca="1"/>
      </c>
      <c r="AQ587">
        <f ca="1"/>
      </c>
      <c r="AR587">
        <f ca="1"/>
      </c>
      <c r="AT587" s="7">
        <f ca="1"/>
      </c>
      <c r="AU587">
        <f ca="1"/>
      </c>
      <c r="AV587">
        <f ca="1"/>
      </c>
      <c r="AW587">
        <f ca="1"/>
      </c>
      <c r="AX587">
        <f ca="1"/>
      </c>
      <c r="AY587">
        <f ca="1"/>
      </c>
      <c r="BA587" s="7"/>
    </row>
    <row r="588" spans="31:53" x14ac:dyDescent="0.55000000000000004">
      <c r="AE588" s="7">
        <f ca="1"/>
      </c>
      <c r="AF588">
        <f ca="1"/>
      </c>
      <c r="AG588">
        <f ca="1"/>
      </c>
      <c r="AH588">
        <f ca="1"/>
      </c>
      <c r="AI588">
        <f ca="1"/>
      </c>
      <c r="AJ588">
        <f ca="1"/>
      </c>
      <c r="AK588">
        <f ca="1"/>
      </c>
      <c r="AL588">
        <f ca="1"/>
      </c>
      <c r="AM588">
        <f ca="1"/>
      </c>
      <c r="AN588">
        <f ca="1"/>
      </c>
      <c r="AO588">
        <f ca="1"/>
      </c>
      <c r="AP588">
        <f ca="1"/>
      </c>
      <c r="AQ588">
        <f ca="1"/>
      </c>
      <c r="AR588">
        <f ca="1"/>
      </c>
      <c r="AT588" s="7">
        <f ca="1"/>
      </c>
      <c r="AU588">
        <f ca="1"/>
      </c>
      <c r="AV588">
        <f ca="1"/>
      </c>
      <c r="AW588">
        <f ca="1"/>
      </c>
      <c r="AX588">
        <f ca="1"/>
      </c>
      <c r="AY588">
        <f ca="1"/>
      </c>
      <c r="BA588" s="7"/>
    </row>
    <row r="589" spans="31:53" x14ac:dyDescent="0.55000000000000004">
      <c r="AE589" s="7">
        <f ca="1"/>
      </c>
      <c r="AF589">
        <f ca="1"/>
      </c>
      <c r="AG589">
        <f ca="1"/>
      </c>
      <c r="AH589">
        <f ca="1"/>
      </c>
      <c r="AI589">
        <f ca="1"/>
      </c>
      <c r="AJ589">
        <f ca="1"/>
      </c>
      <c r="AK589">
        <f ca="1"/>
      </c>
      <c r="AL589">
        <f ca="1"/>
      </c>
      <c r="AM589">
        <f ca="1"/>
      </c>
      <c r="AN589">
        <f ca="1"/>
      </c>
      <c r="AO589">
        <f ca="1"/>
      </c>
      <c r="AP589">
        <f ca="1"/>
      </c>
      <c r="AQ589">
        <f ca="1"/>
      </c>
      <c r="AR589">
        <f ca="1"/>
      </c>
      <c r="AT589" s="7">
        <f ca="1"/>
      </c>
      <c r="AU589">
        <f ca="1"/>
      </c>
      <c r="AV589">
        <f ca="1"/>
      </c>
      <c r="AW589">
        <f ca="1"/>
      </c>
      <c r="AX589">
        <f ca="1"/>
      </c>
      <c r="AY589">
        <f ca="1"/>
      </c>
      <c r="BA589" s="7"/>
    </row>
    <row r="590" spans="31:53" x14ac:dyDescent="0.55000000000000004">
      <c r="AE590" s="7">
        <f ca="1"/>
      </c>
      <c r="AF590">
        <f ca="1"/>
      </c>
      <c r="AG590">
        <f ca="1"/>
      </c>
      <c r="AH590">
        <f ca="1"/>
      </c>
      <c r="AI590">
        <f ca="1"/>
      </c>
      <c r="AJ590">
        <f ca="1"/>
      </c>
      <c r="AK590">
        <f ca="1"/>
      </c>
      <c r="AL590">
        <f ca="1"/>
      </c>
      <c r="AM590">
        <f ca="1"/>
      </c>
      <c r="AN590">
        <f ca="1"/>
      </c>
      <c r="AO590">
        <f ca="1"/>
      </c>
      <c r="AP590">
        <f ca="1"/>
      </c>
      <c r="AQ590">
        <f ca="1"/>
      </c>
      <c r="AR590">
        <f ca="1"/>
      </c>
      <c r="AT590" s="7">
        <f ca="1"/>
      </c>
      <c r="AU590">
        <f ca="1"/>
      </c>
      <c r="AV590">
        <f ca="1"/>
      </c>
      <c r="AW590">
        <f ca="1"/>
      </c>
      <c r="AX590">
        <f ca="1"/>
      </c>
      <c r="AY590">
        <f ca="1"/>
      </c>
      <c r="BA590" s="7"/>
    </row>
    <row r="591" spans="31:53" x14ac:dyDescent="0.55000000000000004">
      <c r="AE591" s="7">
        <f ca="1"/>
      </c>
      <c r="AF591">
        <f ca="1"/>
      </c>
      <c r="AG591">
        <f ca="1"/>
      </c>
      <c r="AH591">
        <f ca="1"/>
      </c>
      <c r="AI591">
        <f ca="1"/>
      </c>
      <c r="AJ591">
        <f ca="1"/>
      </c>
      <c r="AK591">
        <f ca="1"/>
      </c>
      <c r="AL591">
        <f ca="1"/>
      </c>
      <c r="AM591">
        <f ca="1"/>
      </c>
      <c r="AN591">
        <f ca="1"/>
      </c>
      <c r="AO591">
        <f ca="1"/>
      </c>
      <c r="AP591">
        <f ca="1"/>
      </c>
      <c r="AQ591">
        <f ca="1"/>
      </c>
      <c r="AR591">
        <f ca="1"/>
      </c>
      <c r="AT591" s="7">
        <f ca="1"/>
      </c>
      <c r="AU591">
        <f ca="1"/>
      </c>
      <c r="AV591">
        <f ca="1"/>
      </c>
      <c r="AW591">
        <f ca="1"/>
      </c>
      <c r="AX591">
        <f ca="1"/>
      </c>
      <c r="AY591">
        <f ca="1"/>
      </c>
      <c r="BA591" s="7"/>
    </row>
    <row r="592" spans="31:53" x14ac:dyDescent="0.55000000000000004">
      <c r="AE592" s="7">
        <f ca="1"/>
      </c>
      <c r="AF592">
        <f ca="1"/>
      </c>
      <c r="AG592">
        <f ca="1"/>
      </c>
      <c r="AH592">
        <f ca="1"/>
      </c>
      <c r="AI592">
        <f ca="1"/>
      </c>
      <c r="AJ592">
        <f ca="1"/>
      </c>
      <c r="AK592">
        <f ca="1"/>
      </c>
      <c r="AL592">
        <f ca="1"/>
      </c>
      <c r="AM592">
        <f ca="1"/>
      </c>
      <c r="AN592">
        <f ca="1"/>
      </c>
      <c r="AO592">
        <f ca="1"/>
      </c>
      <c r="AP592">
        <f ca="1"/>
      </c>
      <c r="AQ592">
        <f ca="1"/>
      </c>
      <c r="AR592">
        <f ca="1"/>
      </c>
      <c r="AT592" s="7">
        <f ca="1"/>
      </c>
      <c r="AU592">
        <f ca="1"/>
      </c>
      <c r="AV592">
        <f ca="1"/>
      </c>
      <c r="AW592">
        <f ca="1"/>
      </c>
      <c r="AX592">
        <f ca="1"/>
      </c>
      <c r="AY592">
        <f ca="1"/>
      </c>
      <c r="BA592" s="7"/>
    </row>
    <row r="593" spans="31:53" x14ac:dyDescent="0.55000000000000004">
      <c r="AE593" s="7">
        <f ca="1"/>
      </c>
      <c r="AF593">
        <f ca="1"/>
      </c>
      <c r="AG593">
        <f ca="1"/>
      </c>
      <c r="AH593">
        <f ca="1"/>
      </c>
      <c r="AI593">
        <f ca="1"/>
      </c>
      <c r="AJ593">
        <f ca="1"/>
      </c>
      <c r="AK593">
        <f ca="1"/>
      </c>
      <c r="AL593">
        <f ca="1"/>
      </c>
      <c r="AM593">
        <f ca="1"/>
      </c>
      <c r="AN593">
        <f ca="1"/>
      </c>
      <c r="AO593">
        <f ca="1"/>
      </c>
      <c r="AP593">
        <f ca="1"/>
      </c>
      <c r="AQ593">
        <f ca="1"/>
      </c>
      <c r="AR593">
        <f ca="1"/>
      </c>
      <c r="AT593" s="7">
        <f ca="1"/>
      </c>
      <c r="AU593">
        <f ca="1"/>
      </c>
      <c r="AV593">
        <f ca="1"/>
      </c>
      <c r="AW593">
        <f ca="1"/>
      </c>
      <c r="AX593">
        <f ca="1"/>
      </c>
      <c r="AY593">
        <f ca="1"/>
      </c>
      <c r="BA593" s="7"/>
    </row>
    <row r="594" spans="31:53" x14ac:dyDescent="0.55000000000000004">
      <c r="AE594" s="7">
        <f ca="1"/>
      </c>
      <c r="AF594">
        <f ca="1"/>
      </c>
      <c r="AG594">
        <f ca="1"/>
      </c>
      <c r="AH594">
        <f ca="1"/>
      </c>
      <c r="AI594">
        <f ca="1"/>
      </c>
      <c r="AJ594">
        <f ca="1"/>
      </c>
      <c r="AK594">
        <f ca="1"/>
      </c>
      <c r="AL594">
        <f ca="1"/>
      </c>
      <c r="AM594">
        <f ca="1"/>
      </c>
      <c r="AN594">
        <f ca="1"/>
      </c>
      <c r="AO594">
        <f ca="1"/>
      </c>
      <c r="AP594">
        <f ca="1"/>
      </c>
      <c r="AQ594">
        <f ca="1"/>
      </c>
      <c r="AR594">
        <f ca="1"/>
      </c>
      <c r="AT594" s="7">
        <f ca="1"/>
      </c>
      <c r="AU594">
        <f ca="1"/>
      </c>
      <c r="AV594">
        <f ca="1"/>
      </c>
      <c r="AW594">
        <f ca="1"/>
      </c>
      <c r="AX594">
        <f ca="1"/>
      </c>
      <c r="AY594">
        <f ca="1"/>
      </c>
      <c r="BA594" s="7"/>
    </row>
    <row r="595" spans="31:53" x14ac:dyDescent="0.55000000000000004">
      <c r="AE595" s="7">
        <f ca="1"/>
      </c>
      <c r="AF595">
        <f ca="1"/>
      </c>
      <c r="AG595">
        <f ca="1"/>
      </c>
      <c r="AH595">
        <f ca="1"/>
      </c>
      <c r="AI595">
        <f ca="1"/>
      </c>
      <c r="AJ595">
        <f ca="1"/>
      </c>
      <c r="AK595">
        <f ca="1"/>
      </c>
      <c r="AL595">
        <f ca="1"/>
      </c>
      <c r="AM595">
        <f ca="1"/>
      </c>
      <c r="AN595">
        <f ca="1"/>
      </c>
      <c r="AO595">
        <f ca="1"/>
      </c>
      <c r="AP595">
        <f ca="1"/>
      </c>
      <c r="AQ595">
        <f ca="1"/>
      </c>
      <c r="AR595">
        <f ca="1"/>
      </c>
      <c r="AT595" s="7">
        <f ca="1"/>
      </c>
      <c r="AU595">
        <f ca="1"/>
      </c>
      <c r="AV595">
        <f ca="1"/>
      </c>
      <c r="AW595">
        <f ca="1"/>
      </c>
      <c r="AX595">
        <f ca="1"/>
      </c>
      <c r="AY595">
        <f ca="1"/>
      </c>
      <c r="BA595" s="7"/>
    </row>
    <row r="596" spans="31:53" x14ac:dyDescent="0.55000000000000004">
      <c r="AE596" s="7">
        <f ca="1"/>
      </c>
      <c r="AF596">
        <f ca="1"/>
      </c>
      <c r="AG596">
        <f ca="1"/>
      </c>
      <c r="AH596">
        <f ca="1"/>
      </c>
      <c r="AI596">
        <f ca="1"/>
      </c>
      <c r="AJ596">
        <f ca="1"/>
      </c>
      <c r="AK596">
        <f ca="1"/>
      </c>
      <c r="AL596">
        <f ca="1"/>
      </c>
      <c r="AM596">
        <f ca="1"/>
      </c>
      <c r="AN596">
        <f ca="1"/>
      </c>
      <c r="AO596">
        <f ca="1"/>
      </c>
      <c r="AP596">
        <f ca="1"/>
      </c>
      <c r="AQ596">
        <f ca="1"/>
      </c>
      <c r="AR596">
        <f ca="1"/>
      </c>
      <c r="AT596" s="7">
        <f ca="1"/>
      </c>
      <c r="AU596">
        <f ca="1"/>
      </c>
      <c r="AV596">
        <f ca="1"/>
      </c>
      <c r="AW596">
        <f ca="1"/>
      </c>
      <c r="AX596">
        <f ca="1"/>
      </c>
      <c r="AY596">
        <f ca="1"/>
      </c>
      <c r="BA596" s="7"/>
    </row>
    <row r="597" spans="31:53" x14ac:dyDescent="0.55000000000000004">
      <c r="AE597" s="7">
        <f ca="1"/>
      </c>
      <c r="AF597">
        <f ca="1"/>
      </c>
      <c r="AG597">
        <f ca="1"/>
      </c>
      <c r="AH597">
        <f ca="1"/>
      </c>
      <c r="AI597">
        <f ca="1"/>
      </c>
      <c r="AJ597">
        <f ca="1"/>
      </c>
      <c r="AK597">
        <f ca="1"/>
      </c>
      <c r="AL597">
        <f ca="1"/>
      </c>
      <c r="AM597">
        <f ca="1"/>
      </c>
      <c r="AN597">
        <f ca="1"/>
      </c>
      <c r="AO597">
        <f ca="1"/>
      </c>
      <c r="AP597">
        <f ca="1"/>
      </c>
      <c r="AQ597">
        <f ca="1"/>
      </c>
      <c r="AR597">
        <f ca="1"/>
      </c>
      <c r="AT597" s="7">
        <f ca="1"/>
      </c>
      <c r="AU597">
        <f ca="1"/>
      </c>
      <c r="AV597">
        <f ca="1"/>
      </c>
      <c r="AW597">
        <f ca="1"/>
      </c>
      <c r="AX597">
        <f ca="1"/>
      </c>
      <c r="AY597">
        <f ca="1"/>
      </c>
      <c r="BA597" s="7"/>
    </row>
    <row r="598" spans="31:53" x14ac:dyDescent="0.55000000000000004">
      <c r="AE598" s="7">
        <f ca="1"/>
      </c>
      <c r="AF598">
        <f ca="1"/>
      </c>
      <c r="AG598">
        <f ca="1"/>
      </c>
      <c r="AH598">
        <f ca="1"/>
      </c>
      <c r="AI598">
        <f ca="1"/>
      </c>
      <c r="AJ598">
        <f ca="1"/>
      </c>
      <c r="AK598">
        <f ca="1"/>
      </c>
      <c r="AL598">
        <f ca="1"/>
      </c>
      <c r="AM598">
        <f ca="1"/>
      </c>
      <c r="AN598">
        <f ca="1"/>
      </c>
      <c r="AO598">
        <f ca="1"/>
      </c>
      <c r="AP598">
        <f ca="1"/>
      </c>
      <c r="AQ598">
        <f ca="1"/>
      </c>
      <c r="AR598">
        <f ca="1"/>
      </c>
      <c r="AT598" s="7">
        <f ca="1"/>
      </c>
      <c r="AU598">
        <f ca="1"/>
      </c>
      <c r="AV598">
        <f ca="1"/>
      </c>
      <c r="AW598">
        <f ca="1"/>
      </c>
      <c r="AX598">
        <f ca="1"/>
      </c>
      <c r="AY598">
        <f ca="1"/>
      </c>
      <c r="BA598" s="7"/>
    </row>
    <row r="599" spans="31:53" x14ac:dyDescent="0.55000000000000004">
      <c r="AE599" s="7">
        <f ca="1"/>
      </c>
      <c r="AF599">
        <f ca="1"/>
      </c>
      <c r="AG599">
        <f ca="1"/>
      </c>
      <c r="AH599">
        <f ca="1"/>
      </c>
      <c r="AI599">
        <f ca="1"/>
      </c>
      <c r="AJ599">
        <f ca="1"/>
      </c>
      <c r="AK599">
        <f ca="1"/>
      </c>
      <c r="AL599">
        <f ca="1"/>
      </c>
      <c r="AM599">
        <f ca="1"/>
      </c>
      <c r="AN599">
        <f ca="1"/>
      </c>
      <c r="AO599">
        <f ca="1"/>
      </c>
      <c r="AP599">
        <f ca="1"/>
      </c>
      <c r="AQ599">
        <f ca="1"/>
      </c>
      <c r="AR599">
        <f ca="1"/>
      </c>
      <c r="AT599" s="7">
        <f ca="1"/>
      </c>
      <c r="AU599">
        <f ca="1"/>
      </c>
      <c r="AV599">
        <f ca="1"/>
      </c>
      <c r="AW599">
        <f ca="1"/>
      </c>
      <c r="AX599">
        <f ca="1"/>
      </c>
      <c r="AY599">
        <f ca="1"/>
      </c>
      <c r="BA599" s="7"/>
    </row>
    <row r="600" spans="31:53" x14ac:dyDescent="0.55000000000000004">
      <c r="AE600" s="7">
        <f ca="1"/>
      </c>
      <c r="AF600">
        <f ca="1"/>
      </c>
      <c r="AG600">
        <f ca="1"/>
      </c>
      <c r="AH600">
        <f ca="1"/>
      </c>
      <c r="AI600">
        <f ca="1"/>
      </c>
      <c r="AJ600">
        <f ca="1"/>
      </c>
      <c r="AK600">
        <f ca="1"/>
      </c>
      <c r="AL600">
        <f ca="1"/>
      </c>
      <c r="AM600">
        <f ca="1"/>
      </c>
      <c r="AN600">
        <f ca="1"/>
      </c>
      <c r="AO600">
        <f ca="1"/>
      </c>
      <c r="AP600">
        <f ca="1"/>
      </c>
      <c r="AQ600">
        <f ca="1"/>
      </c>
      <c r="AR600">
        <f ca="1"/>
      </c>
      <c r="AT600" s="7">
        <f ca="1"/>
      </c>
      <c r="AU600">
        <f ca="1"/>
      </c>
      <c r="AV600">
        <f ca="1"/>
      </c>
      <c r="AW600">
        <f ca="1"/>
      </c>
      <c r="AX600">
        <f ca="1"/>
      </c>
      <c r="AY600">
        <f ca="1"/>
      </c>
      <c r="BA600" s="7"/>
    </row>
    <row r="601" spans="31:53" x14ac:dyDescent="0.55000000000000004">
      <c r="AE601" s="7">
        <f ca="1"/>
      </c>
      <c r="AF601">
        <f ca="1"/>
      </c>
      <c r="AG601">
        <f ca="1"/>
      </c>
      <c r="AH601">
        <f ca="1"/>
      </c>
      <c r="AI601">
        <f ca="1"/>
      </c>
      <c r="AJ601">
        <f ca="1"/>
      </c>
      <c r="AK601">
        <f ca="1"/>
      </c>
      <c r="AL601">
        <f ca="1"/>
      </c>
      <c r="AM601">
        <f ca="1"/>
      </c>
      <c r="AN601">
        <f ca="1"/>
      </c>
      <c r="AO601">
        <f ca="1"/>
      </c>
      <c r="AP601">
        <f ca="1"/>
      </c>
      <c r="AQ601">
        <f ca="1"/>
      </c>
      <c r="AR601">
        <f ca="1"/>
      </c>
      <c r="AT601" s="7">
        <f ca="1"/>
      </c>
      <c r="AU601">
        <f ca="1"/>
      </c>
      <c r="AV601">
        <f ca="1"/>
      </c>
      <c r="AW601">
        <f ca="1"/>
      </c>
      <c r="AX601">
        <f ca="1"/>
      </c>
      <c r="AY601">
        <f ca="1"/>
      </c>
      <c r="BA601" s="7"/>
    </row>
    <row r="602" spans="31:53" x14ac:dyDescent="0.55000000000000004">
      <c r="AE602" s="7">
        <f ca="1"/>
      </c>
      <c r="AF602">
        <f ca="1"/>
      </c>
      <c r="AG602">
        <f ca="1"/>
      </c>
      <c r="AH602">
        <f ca="1"/>
      </c>
      <c r="AI602">
        <f ca="1"/>
      </c>
      <c r="AJ602">
        <f ca="1"/>
      </c>
      <c r="AK602">
        <f ca="1"/>
      </c>
      <c r="AL602">
        <f ca="1"/>
      </c>
      <c r="AM602">
        <f ca="1"/>
      </c>
      <c r="AN602">
        <f ca="1"/>
      </c>
      <c r="AO602">
        <f ca="1"/>
      </c>
      <c r="AP602">
        <f ca="1"/>
      </c>
      <c r="AQ602">
        <f ca="1"/>
      </c>
      <c r="AR602">
        <f ca="1"/>
      </c>
      <c r="AT602" s="7">
        <f ca="1"/>
      </c>
      <c r="AU602">
        <f ca="1"/>
      </c>
      <c r="AV602">
        <f ca="1"/>
      </c>
      <c r="AW602">
        <f ca="1"/>
      </c>
      <c r="AX602">
        <f ca="1"/>
      </c>
      <c r="AY602">
        <f ca="1"/>
      </c>
      <c r="BA602" s="7"/>
    </row>
    <row r="603" spans="31:53" x14ac:dyDescent="0.55000000000000004">
      <c r="AE603" s="7">
        <f ca="1"/>
      </c>
      <c r="AF603">
        <f ca="1"/>
      </c>
      <c r="AG603">
        <f ca="1"/>
      </c>
      <c r="AH603">
        <f ca="1"/>
      </c>
      <c r="AI603">
        <f ca="1"/>
      </c>
      <c r="AJ603">
        <f ca="1"/>
      </c>
      <c r="AK603">
        <f ca="1"/>
      </c>
      <c r="AL603">
        <f ca="1"/>
      </c>
      <c r="AM603">
        <f ca="1"/>
      </c>
      <c r="AN603">
        <f ca="1"/>
      </c>
      <c r="AO603">
        <f ca="1"/>
      </c>
      <c r="AP603">
        <f ca="1"/>
      </c>
      <c r="AQ603">
        <f ca="1"/>
      </c>
      <c r="AR603">
        <f ca="1"/>
      </c>
      <c r="AT603" s="7">
        <f ca="1"/>
      </c>
      <c r="AU603">
        <f ca="1"/>
      </c>
      <c r="AV603">
        <f ca="1"/>
      </c>
      <c r="AW603">
        <f ca="1"/>
      </c>
      <c r="AX603">
        <f ca="1"/>
      </c>
      <c r="AY603">
        <f ca="1"/>
      </c>
      <c r="BA603" s="7"/>
    </row>
    <row r="604" spans="31:53" x14ac:dyDescent="0.55000000000000004">
      <c r="AE604" s="7">
        <f ca="1"/>
      </c>
      <c r="AF604">
        <f ca="1"/>
      </c>
      <c r="AG604">
        <f ca="1"/>
      </c>
      <c r="AH604">
        <f ca="1"/>
      </c>
      <c r="AI604">
        <f ca="1"/>
      </c>
      <c r="AJ604">
        <f ca="1"/>
      </c>
      <c r="AK604">
        <f ca="1"/>
      </c>
      <c r="AL604">
        <f ca="1"/>
      </c>
      <c r="AM604">
        <f ca="1"/>
      </c>
      <c r="AN604">
        <f ca="1"/>
      </c>
      <c r="AO604">
        <f ca="1"/>
      </c>
      <c r="AP604">
        <f ca="1"/>
      </c>
      <c r="AQ604">
        <f ca="1"/>
      </c>
      <c r="AR604">
        <f ca="1"/>
      </c>
      <c r="AT604" s="7">
        <f ca="1"/>
      </c>
      <c r="AU604">
        <f ca="1"/>
      </c>
      <c r="AV604">
        <f ca="1"/>
      </c>
      <c r="AW604">
        <f ca="1"/>
      </c>
      <c r="AX604">
        <f ca="1"/>
      </c>
      <c r="AY604">
        <f ca="1"/>
      </c>
      <c r="BA604" s="7"/>
    </row>
    <row r="605" spans="31:53" x14ac:dyDescent="0.55000000000000004">
      <c r="AE605" s="7">
        <f ca="1"/>
      </c>
      <c r="AF605">
        <f ca="1"/>
      </c>
      <c r="AG605">
        <f ca="1"/>
      </c>
      <c r="AH605">
        <f ca="1"/>
      </c>
      <c r="AI605">
        <f ca="1"/>
      </c>
      <c r="AJ605">
        <f ca="1"/>
      </c>
      <c r="AK605">
        <f ca="1"/>
      </c>
      <c r="AL605">
        <f ca="1"/>
      </c>
      <c r="AM605">
        <f ca="1"/>
      </c>
      <c r="AN605">
        <f ca="1"/>
      </c>
      <c r="AO605">
        <f ca="1"/>
      </c>
      <c r="AP605">
        <f ca="1"/>
      </c>
      <c r="AQ605">
        <f ca="1"/>
      </c>
      <c r="AR605">
        <f ca="1"/>
      </c>
      <c r="AT605" s="7">
        <f ca="1"/>
      </c>
      <c r="AU605">
        <f ca="1"/>
      </c>
      <c r="AV605">
        <f ca="1"/>
      </c>
      <c r="AW605">
        <f ca="1"/>
      </c>
      <c r="AX605">
        <f ca="1"/>
      </c>
      <c r="AY605">
        <f ca="1"/>
      </c>
      <c r="BA605" s="7"/>
    </row>
    <row r="606" spans="31:53" x14ac:dyDescent="0.55000000000000004">
      <c r="AE606" s="7">
        <f ca="1"/>
      </c>
      <c r="AF606">
        <f ca="1"/>
      </c>
      <c r="AG606">
        <f ca="1"/>
      </c>
      <c r="AH606">
        <f ca="1"/>
      </c>
      <c r="AI606">
        <f ca="1"/>
      </c>
      <c r="AJ606">
        <f ca="1"/>
      </c>
      <c r="AK606">
        <f ca="1"/>
      </c>
      <c r="AL606">
        <f ca="1"/>
      </c>
      <c r="AM606">
        <f ca="1"/>
      </c>
      <c r="AN606">
        <f ca="1"/>
      </c>
      <c r="AO606">
        <f ca="1"/>
      </c>
      <c r="AP606">
        <f ca="1"/>
      </c>
      <c r="AQ606">
        <f ca="1"/>
      </c>
      <c r="AR606">
        <f ca="1"/>
      </c>
      <c r="AT606" s="7">
        <f ca="1"/>
      </c>
      <c r="AU606">
        <f ca="1"/>
      </c>
      <c r="AV606">
        <f ca="1"/>
      </c>
      <c r="AW606">
        <f ca="1"/>
      </c>
      <c r="AX606">
        <f ca="1"/>
      </c>
      <c r="AY606">
        <f ca="1"/>
      </c>
      <c r="BA606" s="7"/>
    </row>
    <row r="607" spans="31:53" x14ac:dyDescent="0.55000000000000004">
      <c r="AE607" s="7">
        <f ca="1"/>
      </c>
      <c r="AF607">
        <f ca="1"/>
      </c>
      <c r="AG607">
        <f ca="1"/>
      </c>
      <c r="AH607">
        <f ca="1"/>
      </c>
      <c r="AI607">
        <f ca="1"/>
      </c>
      <c r="AJ607">
        <f ca="1"/>
      </c>
      <c r="AK607">
        <f ca="1"/>
      </c>
      <c r="AL607">
        <f ca="1"/>
      </c>
      <c r="AM607">
        <f ca="1"/>
      </c>
      <c r="AN607">
        <f ca="1"/>
      </c>
      <c r="AO607">
        <f ca="1"/>
      </c>
      <c r="AP607">
        <f ca="1"/>
      </c>
      <c r="AQ607">
        <f ca="1"/>
      </c>
      <c r="AR607">
        <f ca="1"/>
      </c>
      <c r="AT607" s="7">
        <f ca="1"/>
      </c>
      <c r="AU607">
        <f ca="1"/>
      </c>
      <c r="AV607">
        <f ca="1"/>
      </c>
      <c r="AW607">
        <f ca="1"/>
      </c>
      <c r="AX607">
        <f ca="1"/>
      </c>
      <c r="AY607">
        <f ca="1"/>
      </c>
      <c r="BA607" s="7"/>
    </row>
    <row r="608" spans="31:53" x14ac:dyDescent="0.55000000000000004">
      <c r="AE608" s="7">
        <f ca="1"/>
      </c>
      <c r="AF608">
        <f ca="1"/>
      </c>
      <c r="AG608">
        <f ca="1"/>
      </c>
      <c r="AH608">
        <f ca="1"/>
      </c>
      <c r="AI608">
        <f ca="1"/>
      </c>
      <c r="AJ608">
        <f ca="1"/>
      </c>
      <c r="AK608">
        <f ca="1"/>
      </c>
      <c r="AL608">
        <f ca="1"/>
      </c>
      <c r="AM608">
        <f ca="1"/>
      </c>
      <c r="AN608">
        <f ca="1"/>
      </c>
      <c r="AO608">
        <f ca="1"/>
      </c>
      <c r="AP608">
        <f ca="1"/>
      </c>
      <c r="AQ608">
        <f ca="1"/>
      </c>
      <c r="AR608">
        <f ca="1"/>
      </c>
      <c r="AT608" s="7">
        <f ca="1"/>
      </c>
      <c r="AU608">
        <f ca="1"/>
      </c>
      <c r="AV608">
        <f ca="1"/>
      </c>
      <c r="AW608">
        <f ca="1"/>
      </c>
      <c r="AX608">
        <f ca="1"/>
      </c>
      <c r="AY608">
        <f ca="1"/>
      </c>
      <c r="BA608" s="7"/>
    </row>
    <row r="609" spans="31:53" x14ac:dyDescent="0.55000000000000004">
      <c r="AE609" s="7">
        <f ca="1"/>
      </c>
      <c r="AF609">
        <f ca="1"/>
      </c>
      <c r="AG609">
        <f ca="1"/>
      </c>
      <c r="AH609">
        <f ca="1"/>
      </c>
      <c r="AI609">
        <f ca="1"/>
      </c>
      <c r="AJ609">
        <f ca="1"/>
      </c>
      <c r="AK609">
        <f ca="1"/>
      </c>
      <c r="AL609">
        <f ca="1"/>
      </c>
      <c r="AM609">
        <f ca="1"/>
      </c>
      <c r="AN609">
        <f ca="1"/>
      </c>
      <c r="AO609">
        <f ca="1"/>
      </c>
      <c r="AP609">
        <f ca="1"/>
      </c>
      <c r="AQ609">
        <f ca="1"/>
      </c>
      <c r="AR609">
        <f ca="1"/>
      </c>
      <c r="AT609" s="7">
        <f ca="1"/>
      </c>
      <c r="AU609">
        <f ca="1"/>
      </c>
      <c r="AV609">
        <f ca="1"/>
      </c>
      <c r="AW609">
        <f ca="1"/>
      </c>
      <c r="AX609">
        <f ca="1"/>
      </c>
      <c r="AY609">
        <f ca="1"/>
      </c>
      <c r="BA609" s="7"/>
    </row>
    <row r="610" spans="31:53" x14ac:dyDescent="0.55000000000000004">
      <c r="AE610" s="7">
        <f ca="1"/>
      </c>
      <c r="AF610">
        <f ca="1"/>
      </c>
      <c r="AG610">
        <f ca="1"/>
      </c>
      <c r="AH610">
        <f ca="1"/>
      </c>
      <c r="AI610">
        <f ca="1"/>
      </c>
      <c r="AJ610">
        <f ca="1"/>
      </c>
      <c r="AK610">
        <f ca="1"/>
      </c>
      <c r="AL610">
        <f ca="1"/>
      </c>
      <c r="AM610">
        <f ca="1"/>
      </c>
      <c r="AN610">
        <f ca="1"/>
      </c>
      <c r="AO610">
        <f ca="1"/>
      </c>
      <c r="AP610">
        <f ca="1"/>
      </c>
      <c r="AQ610">
        <f ca="1"/>
      </c>
      <c r="AR610">
        <f ca="1"/>
      </c>
      <c r="AT610" s="7">
        <f ca="1"/>
      </c>
      <c r="AU610">
        <f ca="1"/>
      </c>
      <c r="AV610">
        <f ca="1"/>
      </c>
      <c r="AW610">
        <f ca="1"/>
      </c>
      <c r="AX610">
        <f ca="1"/>
      </c>
      <c r="AY610">
        <f ca="1"/>
      </c>
      <c r="BA610" s="7"/>
    </row>
    <row r="611" spans="31:53" x14ac:dyDescent="0.55000000000000004">
      <c r="AE611" s="7">
        <f ca="1"/>
      </c>
      <c r="AF611">
        <f ca="1"/>
      </c>
      <c r="AG611">
        <f ca="1"/>
      </c>
      <c r="AH611">
        <f ca="1"/>
      </c>
      <c r="AI611">
        <f ca="1"/>
      </c>
      <c r="AJ611">
        <f ca="1"/>
      </c>
      <c r="AK611">
        <f ca="1"/>
      </c>
      <c r="AL611">
        <f ca="1"/>
      </c>
      <c r="AM611">
        <f ca="1"/>
      </c>
      <c r="AN611">
        <f ca="1"/>
      </c>
      <c r="AO611">
        <f ca="1"/>
      </c>
      <c r="AP611">
        <f ca="1"/>
      </c>
      <c r="AQ611">
        <f ca="1"/>
      </c>
      <c r="AR611">
        <f ca="1"/>
      </c>
      <c r="AT611" s="7">
        <f ca="1"/>
      </c>
      <c r="AU611">
        <f ca="1"/>
      </c>
      <c r="AV611">
        <f ca="1"/>
      </c>
      <c r="AW611">
        <f ca="1"/>
      </c>
      <c r="AX611">
        <f ca="1"/>
      </c>
      <c r="AY611">
        <f ca="1"/>
      </c>
      <c r="BA611" s="7"/>
    </row>
    <row r="612" spans="31:53" x14ac:dyDescent="0.55000000000000004">
      <c r="AE612" s="7">
        <f ca="1"/>
      </c>
      <c r="AF612">
        <f ca="1"/>
      </c>
      <c r="AG612">
        <f ca="1"/>
      </c>
      <c r="AH612">
        <f ca="1"/>
      </c>
      <c r="AI612">
        <f ca="1"/>
      </c>
      <c r="AJ612">
        <f ca="1"/>
      </c>
      <c r="AK612">
        <f ca="1"/>
      </c>
      <c r="AL612">
        <f ca="1"/>
      </c>
      <c r="AM612">
        <f ca="1"/>
      </c>
      <c r="AN612">
        <f ca="1"/>
      </c>
      <c r="AO612">
        <f ca="1"/>
      </c>
      <c r="AP612">
        <f ca="1"/>
      </c>
      <c r="AQ612">
        <f ca="1"/>
      </c>
      <c r="AR612">
        <f ca="1"/>
      </c>
      <c r="AT612" s="7">
        <f ca="1"/>
      </c>
      <c r="AU612">
        <f ca="1"/>
      </c>
      <c r="AV612">
        <f ca="1"/>
      </c>
      <c r="AW612">
        <f ca="1"/>
      </c>
      <c r="AX612">
        <f ca="1"/>
      </c>
      <c r="AY612">
        <f ca="1"/>
      </c>
      <c r="BA612" s="7"/>
    </row>
    <row r="613" spans="31:53" x14ac:dyDescent="0.55000000000000004">
      <c r="AE613" s="7">
        <f ca="1"/>
      </c>
      <c r="AF613">
        <f ca="1"/>
      </c>
      <c r="AG613">
        <f ca="1"/>
      </c>
      <c r="AH613">
        <f ca="1"/>
      </c>
      <c r="AI613">
        <f ca="1"/>
      </c>
      <c r="AJ613">
        <f ca="1"/>
      </c>
      <c r="AK613">
        <f ca="1"/>
      </c>
      <c r="AL613">
        <f ca="1"/>
      </c>
      <c r="AM613">
        <f ca="1"/>
      </c>
      <c r="AN613">
        <f ca="1"/>
      </c>
      <c r="AO613">
        <f ca="1"/>
      </c>
      <c r="AP613">
        <f ca="1"/>
      </c>
      <c r="AQ613">
        <f ca="1"/>
      </c>
      <c r="AR613">
        <f ca="1"/>
      </c>
      <c r="AT613" s="7">
        <f ca="1"/>
      </c>
      <c r="AU613">
        <f ca="1"/>
      </c>
      <c r="AV613">
        <f ca="1"/>
      </c>
      <c r="AW613">
        <f ca="1"/>
      </c>
      <c r="AX613">
        <f ca="1"/>
      </c>
      <c r="AY613">
        <f ca="1"/>
      </c>
      <c r="BA613" s="7"/>
    </row>
    <row r="614" spans="31:53" x14ac:dyDescent="0.55000000000000004">
      <c r="AE614" s="7">
        <f ca="1"/>
      </c>
      <c r="AF614">
        <f ca="1"/>
      </c>
      <c r="AG614">
        <f ca="1"/>
      </c>
      <c r="AH614">
        <f ca="1"/>
      </c>
      <c r="AI614">
        <f ca="1"/>
      </c>
      <c r="AJ614">
        <f ca="1"/>
      </c>
      <c r="AK614">
        <f ca="1"/>
      </c>
      <c r="AL614">
        <f ca="1"/>
      </c>
      <c r="AM614">
        <f ca="1"/>
      </c>
      <c r="AN614">
        <f ca="1"/>
      </c>
      <c r="AO614">
        <f ca="1"/>
      </c>
      <c r="AP614">
        <f ca="1"/>
      </c>
      <c r="AQ614">
        <f ca="1"/>
      </c>
      <c r="AR614">
        <f ca="1"/>
      </c>
      <c r="AT614" s="7">
        <f ca="1"/>
      </c>
      <c r="AU614">
        <f ca="1"/>
      </c>
      <c r="AV614">
        <f ca="1"/>
      </c>
      <c r="AW614">
        <f ca="1"/>
      </c>
      <c r="AX614">
        <f ca="1"/>
      </c>
      <c r="AY614">
        <f ca="1"/>
      </c>
      <c r="BA614" s="7"/>
    </row>
    <row r="615" spans="31:53" x14ac:dyDescent="0.55000000000000004">
      <c r="AE615" s="7">
        <f ca="1"/>
      </c>
      <c r="AF615">
        <f ca="1"/>
      </c>
      <c r="AG615">
        <f ca="1"/>
      </c>
      <c r="AH615">
        <f ca="1"/>
      </c>
      <c r="AI615">
        <f ca="1"/>
      </c>
      <c r="AJ615">
        <f ca="1"/>
      </c>
      <c r="AK615">
        <f ca="1"/>
      </c>
      <c r="AL615">
        <f ca="1"/>
      </c>
      <c r="AM615">
        <f ca="1"/>
      </c>
      <c r="AN615">
        <f ca="1"/>
      </c>
      <c r="AO615">
        <f ca="1"/>
      </c>
      <c r="AP615">
        <f ca="1"/>
      </c>
      <c r="AQ615">
        <f ca="1"/>
      </c>
      <c r="AR615">
        <f ca="1"/>
      </c>
      <c r="AT615" s="7">
        <f ca="1"/>
      </c>
      <c r="AU615">
        <f ca="1"/>
      </c>
      <c r="AV615">
        <f ca="1"/>
      </c>
      <c r="AW615">
        <f ca="1"/>
      </c>
      <c r="AX615">
        <f ca="1"/>
      </c>
      <c r="AY615">
        <f ca="1"/>
      </c>
      <c r="BA615" s="7"/>
    </row>
    <row r="616" spans="31:53" x14ac:dyDescent="0.55000000000000004">
      <c r="AE616" s="7">
        <f ca="1"/>
      </c>
      <c r="AF616">
        <f ca="1"/>
      </c>
      <c r="AG616">
        <f ca="1"/>
      </c>
      <c r="AH616">
        <f ca="1"/>
      </c>
      <c r="AI616">
        <f ca="1"/>
      </c>
      <c r="AJ616">
        <f ca="1"/>
      </c>
      <c r="AK616">
        <f ca="1"/>
      </c>
      <c r="AL616">
        <f ca="1"/>
      </c>
      <c r="AM616">
        <f ca="1"/>
      </c>
      <c r="AN616">
        <f ca="1"/>
      </c>
      <c r="AO616">
        <f ca="1"/>
      </c>
      <c r="AP616">
        <f ca="1"/>
      </c>
      <c r="AQ616">
        <f ca="1"/>
      </c>
      <c r="AR616">
        <f ca="1"/>
      </c>
      <c r="AT616" s="7">
        <f ca="1"/>
      </c>
      <c r="AU616">
        <f ca="1"/>
      </c>
      <c r="AV616">
        <f ca="1"/>
      </c>
      <c r="AW616">
        <f ca="1"/>
      </c>
      <c r="AX616">
        <f ca="1"/>
      </c>
      <c r="AY616">
        <f ca="1"/>
      </c>
      <c r="BA616" s="7"/>
    </row>
    <row r="617" spans="31:53" x14ac:dyDescent="0.55000000000000004">
      <c r="AE617" s="7">
        <f ca="1"/>
      </c>
      <c r="AF617">
        <f ca="1"/>
      </c>
      <c r="AG617">
        <f ca="1"/>
      </c>
      <c r="AH617">
        <f ca="1"/>
      </c>
      <c r="AI617">
        <f ca="1"/>
      </c>
      <c r="AJ617">
        <f ca="1"/>
      </c>
      <c r="AK617">
        <f ca="1"/>
      </c>
      <c r="AL617">
        <f ca="1"/>
      </c>
      <c r="AM617">
        <f ca="1"/>
      </c>
      <c r="AN617">
        <f ca="1"/>
      </c>
      <c r="AO617">
        <f ca="1"/>
      </c>
      <c r="AP617">
        <f ca="1"/>
      </c>
      <c r="AQ617">
        <f ca="1"/>
      </c>
      <c r="AR617">
        <f ca="1"/>
      </c>
      <c r="AT617" s="7">
        <f ca="1"/>
      </c>
      <c r="AU617">
        <f ca="1"/>
      </c>
      <c r="AV617">
        <f ca="1"/>
      </c>
      <c r="AW617">
        <f ca="1"/>
      </c>
      <c r="AX617">
        <f ca="1"/>
      </c>
      <c r="AY617">
        <f ca="1"/>
      </c>
      <c r="BA617" s="7"/>
    </row>
    <row r="618" spans="31:53" x14ac:dyDescent="0.55000000000000004">
      <c r="AE618" s="7">
        <f ca="1"/>
      </c>
      <c r="AF618">
        <f ca="1"/>
      </c>
      <c r="AG618">
        <f ca="1"/>
      </c>
      <c r="AH618">
        <f ca="1"/>
      </c>
      <c r="AI618">
        <f ca="1"/>
      </c>
      <c r="AJ618">
        <f ca="1"/>
      </c>
      <c r="AK618">
        <f ca="1"/>
      </c>
      <c r="AL618">
        <f ca="1"/>
      </c>
      <c r="AM618">
        <f ca="1"/>
      </c>
      <c r="AN618">
        <f ca="1"/>
      </c>
      <c r="AO618">
        <f ca="1"/>
      </c>
      <c r="AP618">
        <f ca="1"/>
      </c>
      <c r="AQ618">
        <f ca="1"/>
      </c>
      <c r="AR618">
        <f ca="1"/>
      </c>
      <c r="AT618" s="7">
        <f ca="1"/>
      </c>
      <c r="AU618">
        <f ca="1"/>
      </c>
      <c r="AV618">
        <f ca="1"/>
      </c>
      <c r="AW618">
        <f ca="1"/>
      </c>
      <c r="AX618">
        <f ca="1"/>
      </c>
      <c r="AY618">
        <f ca="1"/>
      </c>
      <c r="BA618" s="7"/>
    </row>
    <row r="619" spans="31:53" x14ac:dyDescent="0.55000000000000004">
      <c r="AE619" s="7">
        <f ca="1"/>
      </c>
      <c r="AF619">
        <f ca="1"/>
      </c>
      <c r="AG619">
        <f ca="1"/>
      </c>
      <c r="AH619">
        <f ca="1"/>
      </c>
      <c r="AI619">
        <f ca="1"/>
      </c>
      <c r="AJ619">
        <f ca="1"/>
      </c>
      <c r="AK619">
        <f ca="1"/>
      </c>
      <c r="AL619">
        <f ca="1"/>
      </c>
      <c r="AM619">
        <f ca="1"/>
      </c>
      <c r="AN619">
        <f ca="1"/>
      </c>
      <c r="AO619">
        <f ca="1"/>
      </c>
      <c r="AP619">
        <f ca="1"/>
      </c>
      <c r="AQ619">
        <f ca="1"/>
      </c>
      <c r="AR619">
        <f ca="1"/>
      </c>
      <c r="AT619" s="7">
        <f ca="1"/>
      </c>
      <c r="AU619">
        <f ca="1"/>
      </c>
      <c r="AV619">
        <f ca="1"/>
      </c>
      <c r="AW619">
        <f ca="1"/>
      </c>
      <c r="AX619">
        <f ca="1"/>
      </c>
      <c r="AY619">
        <f ca="1"/>
      </c>
      <c r="BA619" s="7"/>
    </row>
    <row r="620" spans="31:53" x14ac:dyDescent="0.55000000000000004">
      <c r="AE620" s="7">
        <f ca="1"/>
      </c>
      <c r="AF620">
        <f ca="1"/>
      </c>
      <c r="AG620">
        <f ca="1"/>
      </c>
      <c r="AH620">
        <f ca="1"/>
      </c>
      <c r="AI620">
        <f ca="1"/>
      </c>
      <c r="AJ620">
        <f ca="1"/>
      </c>
      <c r="AK620">
        <f ca="1"/>
      </c>
      <c r="AL620">
        <f ca="1"/>
      </c>
      <c r="AM620">
        <f ca="1"/>
      </c>
      <c r="AN620">
        <f ca="1"/>
      </c>
      <c r="AO620">
        <f ca="1"/>
      </c>
      <c r="AP620">
        <f ca="1"/>
      </c>
      <c r="AQ620">
        <f ca="1"/>
      </c>
      <c r="AR620">
        <f ca="1"/>
      </c>
      <c r="AT620" s="7">
        <f ca="1"/>
      </c>
      <c r="AU620">
        <f ca="1"/>
      </c>
      <c r="AV620">
        <f ca="1"/>
      </c>
      <c r="AW620">
        <f ca="1"/>
      </c>
      <c r="AX620">
        <f ca="1"/>
      </c>
      <c r="AY620">
        <f ca="1"/>
      </c>
      <c r="BA620" s="7"/>
    </row>
    <row r="621" spans="31:53" x14ac:dyDescent="0.55000000000000004">
      <c r="AE621" s="7">
        <f ca="1"/>
      </c>
      <c r="AF621">
        <f ca="1"/>
      </c>
      <c r="AG621">
        <f ca="1"/>
      </c>
      <c r="AH621">
        <f ca="1"/>
      </c>
      <c r="AI621">
        <f ca="1"/>
      </c>
      <c r="AJ621">
        <f ca="1"/>
      </c>
      <c r="AK621">
        <f ca="1"/>
      </c>
      <c r="AL621">
        <f ca="1"/>
      </c>
      <c r="AM621">
        <f ca="1"/>
      </c>
      <c r="AN621">
        <f ca="1"/>
      </c>
      <c r="AO621">
        <f ca="1"/>
      </c>
      <c r="AP621">
        <f ca="1"/>
      </c>
      <c r="AQ621">
        <f ca="1"/>
      </c>
      <c r="AR621">
        <f ca="1"/>
      </c>
      <c r="AT621" s="7">
        <f ca="1"/>
      </c>
      <c r="AU621">
        <f ca="1"/>
      </c>
      <c r="AV621">
        <f ca="1"/>
      </c>
      <c r="AW621">
        <f ca="1"/>
      </c>
      <c r="AX621">
        <f ca="1"/>
      </c>
      <c r="AY621">
        <f ca="1"/>
      </c>
      <c r="BA621" s="7"/>
    </row>
    <row r="622" spans="31:53" x14ac:dyDescent="0.55000000000000004">
      <c r="AE622" s="7">
        <f ca="1"/>
      </c>
      <c r="AF622">
        <f ca="1"/>
      </c>
      <c r="AG622">
        <f ca="1"/>
      </c>
      <c r="AH622">
        <f ca="1"/>
      </c>
      <c r="AI622">
        <f ca="1"/>
      </c>
      <c r="AJ622">
        <f ca="1"/>
      </c>
      <c r="AK622">
        <f ca="1"/>
      </c>
      <c r="AL622">
        <f ca="1"/>
      </c>
      <c r="AM622">
        <f ca="1"/>
      </c>
      <c r="AN622">
        <f ca="1"/>
      </c>
      <c r="AO622">
        <f ca="1"/>
      </c>
      <c r="AP622">
        <f ca="1"/>
      </c>
      <c r="AQ622">
        <f ca="1"/>
      </c>
      <c r="AR622">
        <f ca="1"/>
      </c>
      <c r="AT622" s="7">
        <f ca="1"/>
      </c>
      <c r="AU622">
        <f ca="1"/>
      </c>
      <c r="AV622">
        <f ca="1"/>
      </c>
      <c r="AW622">
        <f ca="1"/>
      </c>
      <c r="AX622">
        <f ca="1"/>
      </c>
      <c r="AY622">
        <f ca="1"/>
      </c>
      <c r="BA622" s="7"/>
    </row>
    <row r="623" spans="31:53" x14ac:dyDescent="0.55000000000000004">
      <c r="AE623" s="7">
        <f ca="1"/>
      </c>
      <c r="AF623">
        <f ca="1"/>
      </c>
      <c r="AG623">
        <f ca="1"/>
      </c>
      <c r="AH623">
        <f ca="1"/>
      </c>
      <c r="AI623">
        <f ca="1"/>
      </c>
      <c r="AJ623">
        <f ca="1"/>
      </c>
      <c r="AK623">
        <f ca="1"/>
      </c>
      <c r="AL623">
        <f ca="1"/>
      </c>
      <c r="AM623">
        <f ca="1"/>
      </c>
      <c r="AN623">
        <f ca="1"/>
      </c>
      <c r="AO623">
        <f ca="1"/>
      </c>
      <c r="AP623">
        <f ca="1"/>
      </c>
      <c r="AQ623">
        <f ca="1"/>
      </c>
      <c r="AR623">
        <f ca="1"/>
      </c>
      <c r="AT623" s="7">
        <f ca="1"/>
      </c>
      <c r="AU623">
        <f ca="1"/>
      </c>
      <c r="AV623">
        <f ca="1"/>
      </c>
      <c r="AW623">
        <f ca="1"/>
      </c>
      <c r="AX623">
        <f ca="1"/>
      </c>
      <c r="AY623">
        <f ca="1"/>
      </c>
      <c r="BA623" s="7"/>
    </row>
    <row r="624" spans="31:53" x14ac:dyDescent="0.55000000000000004">
      <c r="AE624" s="7">
        <f ca="1"/>
      </c>
      <c r="AF624">
        <f ca="1"/>
      </c>
      <c r="AG624">
        <f ca="1"/>
      </c>
      <c r="AH624">
        <f ca="1"/>
      </c>
      <c r="AI624">
        <f ca="1"/>
      </c>
      <c r="AJ624">
        <f ca="1"/>
      </c>
      <c r="AK624">
        <f ca="1"/>
      </c>
      <c r="AL624">
        <f ca="1"/>
      </c>
      <c r="AM624">
        <f ca="1"/>
      </c>
      <c r="AN624">
        <f ca="1"/>
      </c>
      <c r="AO624">
        <f ca="1"/>
      </c>
      <c r="AP624">
        <f ca="1"/>
      </c>
      <c r="AQ624">
        <f ca="1"/>
      </c>
      <c r="AR624">
        <f ca="1"/>
      </c>
      <c r="AT624" s="7">
        <f ca="1"/>
      </c>
      <c r="AU624">
        <f ca="1"/>
      </c>
      <c r="AV624">
        <f ca="1"/>
      </c>
      <c r="AW624">
        <f ca="1"/>
      </c>
      <c r="AX624">
        <f ca="1"/>
      </c>
      <c r="AY624">
        <f ca="1"/>
      </c>
      <c r="BA624" s="7"/>
    </row>
    <row r="625" spans="31:53" x14ac:dyDescent="0.55000000000000004">
      <c r="AE625" s="7">
        <f ca="1"/>
      </c>
      <c r="AF625">
        <f ca="1"/>
      </c>
      <c r="AG625">
        <f ca="1"/>
      </c>
      <c r="AH625">
        <f ca="1"/>
      </c>
      <c r="AI625">
        <f ca="1"/>
      </c>
      <c r="AJ625">
        <f ca="1"/>
      </c>
      <c r="AK625">
        <f ca="1"/>
      </c>
      <c r="AL625">
        <f ca="1"/>
      </c>
      <c r="AM625">
        <f ca="1"/>
      </c>
      <c r="AN625">
        <f ca="1"/>
      </c>
      <c r="AO625">
        <f ca="1"/>
      </c>
      <c r="AP625">
        <f ca="1"/>
      </c>
      <c r="AQ625">
        <f ca="1"/>
      </c>
      <c r="AR625">
        <f ca="1"/>
      </c>
      <c r="AT625" s="7">
        <f ca="1"/>
      </c>
      <c r="AU625">
        <f ca="1"/>
      </c>
      <c r="AV625">
        <f ca="1"/>
      </c>
      <c r="AW625">
        <f ca="1"/>
      </c>
      <c r="AX625">
        <f ca="1"/>
      </c>
      <c r="AY625">
        <f ca="1"/>
      </c>
      <c r="BA625" s="7"/>
    </row>
    <row r="626" spans="31:53" x14ac:dyDescent="0.55000000000000004">
      <c r="AE626" s="7">
        <f ca="1"/>
      </c>
      <c r="AF626">
        <f ca="1"/>
      </c>
      <c r="AG626">
        <f ca="1"/>
      </c>
      <c r="AH626">
        <f ca="1"/>
      </c>
      <c r="AI626">
        <f ca="1"/>
      </c>
      <c r="AJ626">
        <f ca="1"/>
      </c>
      <c r="AK626">
        <f ca="1"/>
      </c>
      <c r="AL626">
        <f ca="1"/>
      </c>
      <c r="AM626">
        <f ca="1"/>
      </c>
      <c r="AN626">
        <f ca="1"/>
      </c>
      <c r="AO626">
        <f ca="1"/>
      </c>
      <c r="AP626">
        <f ca="1"/>
      </c>
      <c r="AQ626">
        <f ca="1"/>
      </c>
      <c r="AR626">
        <f ca="1"/>
      </c>
      <c r="AT626" s="7">
        <f ca="1"/>
      </c>
      <c r="AU626">
        <f ca="1"/>
      </c>
      <c r="AV626">
        <f ca="1"/>
      </c>
      <c r="AW626">
        <f ca="1"/>
      </c>
      <c r="AX626">
        <f ca="1"/>
      </c>
      <c r="AY626">
        <f ca="1"/>
      </c>
      <c r="BA626" s="7"/>
    </row>
    <row r="627" spans="31:53" x14ac:dyDescent="0.55000000000000004">
      <c r="AE627" s="7">
        <f ca="1"/>
      </c>
      <c r="AF627">
        <f ca="1"/>
      </c>
      <c r="AG627">
        <f ca="1"/>
      </c>
      <c r="AH627">
        <f ca="1"/>
      </c>
      <c r="AI627">
        <f ca="1"/>
      </c>
      <c r="AJ627">
        <f ca="1"/>
      </c>
      <c r="AK627">
        <f ca="1"/>
      </c>
      <c r="AL627">
        <f ca="1"/>
      </c>
      <c r="AM627">
        <f ca="1"/>
      </c>
      <c r="AN627">
        <f ca="1"/>
      </c>
      <c r="AO627">
        <f ca="1"/>
      </c>
      <c r="AP627">
        <f ca="1"/>
      </c>
      <c r="AQ627">
        <f ca="1"/>
      </c>
      <c r="AR627">
        <f ca="1"/>
      </c>
      <c r="AT627" s="7">
        <f ca="1"/>
      </c>
      <c r="AU627">
        <f ca="1"/>
      </c>
      <c r="AV627">
        <f ca="1"/>
      </c>
      <c r="AW627">
        <f ca="1"/>
      </c>
      <c r="AX627">
        <f ca="1"/>
      </c>
      <c r="AY627">
        <f ca="1"/>
      </c>
      <c r="BA627" s="7"/>
    </row>
    <row r="628" spans="31:53" x14ac:dyDescent="0.55000000000000004">
      <c r="AE628" s="7">
        <f ca="1"/>
      </c>
      <c r="AF628">
        <f ca="1"/>
      </c>
      <c r="AG628">
        <f ca="1"/>
      </c>
      <c r="AH628">
        <f ca="1"/>
      </c>
      <c r="AI628">
        <f ca="1"/>
      </c>
      <c r="AJ628">
        <f ca="1"/>
      </c>
      <c r="AK628">
        <f ca="1"/>
      </c>
      <c r="AL628">
        <f ca="1"/>
      </c>
      <c r="AM628">
        <f ca="1"/>
      </c>
      <c r="AN628">
        <f ca="1"/>
      </c>
      <c r="AO628">
        <f ca="1"/>
      </c>
      <c r="AP628">
        <f ca="1"/>
      </c>
      <c r="AQ628">
        <f ca="1"/>
      </c>
      <c r="AR628">
        <f ca="1"/>
      </c>
      <c r="AT628" s="7">
        <f ca="1"/>
      </c>
      <c r="AU628">
        <f ca="1"/>
      </c>
      <c r="AV628">
        <f ca="1"/>
      </c>
      <c r="AW628">
        <f ca="1"/>
      </c>
      <c r="AX628">
        <f ca="1"/>
      </c>
      <c r="AY628">
        <f ca="1"/>
      </c>
      <c r="BA628" s="7"/>
    </row>
    <row r="629" spans="31:53" x14ac:dyDescent="0.55000000000000004">
      <c r="AE629" s="7">
        <f ca="1"/>
      </c>
      <c r="AF629">
        <f ca="1"/>
      </c>
      <c r="AG629">
        <f ca="1"/>
      </c>
      <c r="AH629">
        <f ca="1"/>
      </c>
      <c r="AI629">
        <f ca="1"/>
      </c>
      <c r="AJ629">
        <f ca="1"/>
      </c>
      <c r="AK629">
        <f ca="1"/>
      </c>
      <c r="AL629">
        <f ca="1"/>
      </c>
      <c r="AM629">
        <f ca="1"/>
      </c>
      <c r="AN629">
        <f ca="1"/>
      </c>
      <c r="AO629">
        <f ca="1"/>
      </c>
      <c r="AP629">
        <f ca="1"/>
      </c>
      <c r="AQ629">
        <f ca="1"/>
      </c>
      <c r="AR629">
        <f ca="1"/>
      </c>
      <c r="AT629" s="7">
        <f ca="1"/>
      </c>
      <c r="AU629">
        <f ca="1"/>
      </c>
      <c r="AV629">
        <f ca="1"/>
      </c>
      <c r="AW629">
        <f ca="1"/>
      </c>
      <c r="AX629">
        <f ca="1"/>
      </c>
      <c r="AY629">
        <f ca="1"/>
      </c>
      <c r="BA629" s="7"/>
    </row>
    <row r="630" spans="31:53" x14ac:dyDescent="0.55000000000000004">
      <c r="AE630" s="7">
        <f ca="1"/>
      </c>
      <c r="AF630">
        <f ca="1"/>
      </c>
      <c r="AG630">
        <f ca="1"/>
      </c>
      <c r="AH630">
        <f ca="1"/>
      </c>
      <c r="AI630">
        <f ca="1"/>
      </c>
      <c r="AJ630">
        <f ca="1"/>
      </c>
      <c r="AK630">
        <f ca="1"/>
      </c>
      <c r="AL630">
        <f ca="1"/>
      </c>
      <c r="AM630">
        <f ca="1"/>
      </c>
      <c r="AN630">
        <f ca="1"/>
      </c>
      <c r="AO630">
        <f ca="1"/>
      </c>
      <c r="AP630">
        <f ca="1"/>
      </c>
      <c r="AQ630">
        <f ca="1"/>
      </c>
      <c r="AR630">
        <f ca="1"/>
      </c>
      <c r="AT630" s="7">
        <f ca="1"/>
      </c>
      <c r="AU630">
        <f ca="1"/>
      </c>
      <c r="AV630">
        <f ca="1"/>
      </c>
      <c r="AW630">
        <f ca="1"/>
      </c>
      <c r="AX630">
        <f ca="1"/>
      </c>
      <c r="AY630">
        <f ca="1"/>
      </c>
      <c r="BA630" s="7"/>
    </row>
    <row r="631" spans="31:53" x14ac:dyDescent="0.55000000000000004">
      <c r="AE631" s="7">
        <f ca="1"/>
      </c>
      <c r="AF631">
        <f ca="1"/>
      </c>
      <c r="AG631">
        <f ca="1"/>
      </c>
      <c r="AH631">
        <f ca="1"/>
      </c>
      <c r="AI631">
        <f ca="1"/>
      </c>
      <c r="AJ631">
        <f ca="1"/>
      </c>
      <c r="AK631">
        <f ca="1"/>
      </c>
      <c r="AL631">
        <f ca="1"/>
      </c>
      <c r="AM631">
        <f ca="1"/>
      </c>
      <c r="AN631">
        <f ca="1"/>
      </c>
      <c r="AO631">
        <f ca="1"/>
      </c>
      <c r="AP631">
        <f ca="1"/>
      </c>
      <c r="AQ631">
        <f ca="1"/>
      </c>
      <c r="AR631">
        <f ca="1"/>
      </c>
      <c r="AT631" s="7">
        <f ca="1"/>
      </c>
      <c r="AU631">
        <f ca="1"/>
      </c>
      <c r="AV631">
        <f ca="1"/>
      </c>
      <c r="AW631">
        <f ca="1"/>
      </c>
      <c r="AX631">
        <f ca="1"/>
      </c>
      <c r="AY631">
        <f ca="1"/>
      </c>
      <c r="BA631" s="7"/>
    </row>
    <row r="632" spans="31:53" x14ac:dyDescent="0.55000000000000004">
      <c r="AE632" s="7">
        <f ca="1"/>
      </c>
      <c r="AF632">
        <f ca="1"/>
      </c>
      <c r="AG632">
        <f ca="1"/>
      </c>
      <c r="AH632">
        <f ca="1"/>
      </c>
      <c r="AI632">
        <f ca="1"/>
      </c>
      <c r="AJ632">
        <f ca="1"/>
      </c>
      <c r="AK632">
        <f ca="1"/>
      </c>
      <c r="AL632">
        <f ca="1"/>
      </c>
      <c r="AM632">
        <f ca="1"/>
      </c>
      <c r="AN632">
        <f ca="1"/>
      </c>
      <c r="AO632">
        <f ca="1"/>
      </c>
      <c r="AP632">
        <f ca="1"/>
      </c>
      <c r="AQ632">
        <f ca="1"/>
      </c>
      <c r="AR632">
        <f ca="1"/>
      </c>
      <c r="AT632" s="7">
        <f ca="1"/>
      </c>
      <c r="AU632">
        <f ca="1"/>
      </c>
      <c r="AV632">
        <f ca="1"/>
      </c>
      <c r="AW632">
        <f ca="1"/>
      </c>
      <c r="AX632">
        <f ca="1"/>
      </c>
      <c r="AY632">
        <f ca="1"/>
      </c>
      <c r="BA632" s="7"/>
    </row>
    <row r="633" spans="31:53" x14ac:dyDescent="0.55000000000000004">
      <c r="AE633" s="7">
        <f ca="1"/>
      </c>
      <c r="AF633">
        <f ca="1"/>
      </c>
      <c r="AG633">
        <f ca="1"/>
      </c>
      <c r="AH633">
        <f ca="1"/>
      </c>
      <c r="AI633">
        <f ca="1"/>
      </c>
      <c r="AJ633">
        <f ca="1"/>
      </c>
      <c r="AK633">
        <f ca="1"/>
      </c>
      <c r="AL633">
        <f ca="1"/>
      </c>
      <c r="AM633">
        <f ca="1"/>
      </c>
      <c r="AN633">
        <f ca="1"/>
      </c>
      <c r="AO633">
        <f ca="1"/>
      </c>
      <c r="AP633">
        <f ca="1"/>
      </c>
      <c r="AQ633">
        <f ca="1"/>
      </c>
      <c r="AR633">
        <f ca="1"/>
      </c>
      <c r="AT633" s="7">
        <f ca="1"/>
      </c>
      <c r="AU633">
        <f ca="1"/>
      </c>
      <c r="AV633">
        <f ca="1"/>
      </c>
      <c r="AW633">
        <f ca="1"/>
      </c>
      <c r="AX633">
        <f ca="1"/>
      </c>
      <c r="AY633">
        <f ca="1"/>
      </c>
      <c r="BA633" s="7"/>
    </row>
    <row r="634" spans="31:53" x14ac:dyDescent="0.55000000000000004">
      <c r="AE634" s="7">
        <f ca="1"/>
      </c>
      <c r="AF634">
        <f ca="1"/>
      </c>
      <c r="AG634">
        <f ca="1"/>
      </c>
      <c r="AH634">
        <f ca="1"/>
      </c>
      <c r="AI634">
        <f ca="1"/>
      </c>
      <c r="AJ634">
        <f ca="1"/>
      </c>
      <c r="AK634">
        <f ca="1"/>
      </c>
      <c r="AL634">
        <f ca="1"/>
      </c>
      <c r="AM634">
        <f ca="1"/>
      </c>
      <c r="AN634">
        <f ca="1"/>
      </c>
      <c r="AO634">
        <f ca="1"/>
      </c>
      <c r="AP634">
        <f ca="1"/>
      </c>
      <c r="AQ634">
        <f ca="1"/>
      </c>
      <c r="AR634">
        <f ca="1"/>
      </c>
      <c r="AT634" s="7">
        <f ca="1"/>
      </c>
      <c r="AU634">
        <f ca="1"/>
      </c>
      <c r="AV634">
        <f ca="1"/>
      </c>
      <c r="AW634">
        <f ca="1"/>
      </c>
      <c r="AX634">
        <f ca="1"/>
      </c>
      <c r="AY634">
        <f ca="1"/>
      </c>
      <c r="BA634" s="7"/>
    </row>
    <row r="635" spans="31:53" x14ac:dyDescent="0.55000000000000004">
      <c r="AE635" s="7">
        <f ca="1"/>
      </c>
      <c r="AF635">
        <f ca="1"/>
      </c>
      <c r="AG635">
        <f ca="1"/>
      </c>
      <c r="AH635">
        <f ca="1"/>
      </c>
      <c r="AI635">
        <f ca="1"/>
      </c>
      <c r="AJ635">
        <f ca="1"/>
      </c>
      <c r="AK635">
        <f ca="1"/>
      </c>
      <c r="AL635">
        <f ca="1"/>
      </c>
      <c r="AM635">
        <f ca="1"/>
      </c>
      <c r="AN635">
        <f ca="1"/>
      </c>
      <c r="AO635">
        <f ca="1"/>
      </c>
      <c r="AP635">
        <f ca="1"/>
      </c>
      <c r="AQ635">
        <f ca="1"/>
      </c>
      <c r="AR635">
        <f ca="1"/>
      </c>
      <c r="AT635" s="7">
        <f ca="1"/>
      </c>
      <c r="AU635">
        <f ca="1"/>
      </c>
      <c r="AV635">
        <f ca="1"/>
      </c>
      <c r="AW635">
        <f ca="1"/>
      </c>
      <c r="AX635">
        <f ca="1"/>
      </c>
      <c r="AY635">
        <f ca="1"/>
      </c>
      <c r="BA635" s="7"/>
    </row>
    <row r="636" spans="31:53" x14ac:dyDescent="0.55000000000000004">
      <c r="AE636" s="7">
        <f ca="1"/>
      </c>
      <c r="AF636">
        <f ca="1"/>
      </c>
      <c r="AG636">
        <f ca="1"/>
      </c>
      <c r="AH636">
        <f ca="1"/>
      </c>
      <c r="AI636">
        <f ca="1"/>
      </c>
      <c r="AJ636">
        <f ca="1"/>
      </c>
      <c r="AK636">
        <f ca="1"/>
      </c>
      <c r="AL636">
        <f ca="1"/>
      </c>
      <c r="AM636">
        <f ca="1"/>
      </c>
      <c r="AN636">
        <f ca="1"/>
      </c>
      <c r="AO636">
        <f ca="1"/>
      </c>
      <c r="AP636">
        <f ca="1"/>
      </c>
      <c r="AQ636">
        <f ca="1"/>
      </c>
      <c r="AR636">
        <f ca="1"/>
      </c>
      <c r="AT636" s="7">
        <f ca="1"/>
      </c>
      <c r="AU636">
        <f ca="1"/>
      </c>
      <c r="AV636">
        <f ca="1"/>
      </c>
      <c r="AW636">
        <f ca="1"/>
      </c>
      <c r="AX636">
        <f ca="1"/>
      </c>
      <c r="AY636">
        <f ca="1"/>
      </c>
      <c r="BA636" s="7"/>
    </row>
    <row r="637" spans="31:53" x14ac:dyDescent="0.55000000000000004">
      <c r="AE637" s="7">
        <f ca="1"/>
      </c>
      <c r="AF637">
        <f ca="1"/>
      </c>
      <c r="AG637">
        <f ca="1"/>
      </c>
      <c r="AH637">
        <f ca="1"/>
      </c>
      <c r="AI637">
        <f ca="1"/>
      </c>
      <c r="AJ637">
        <f ca="1"/>
      </c>
      <c r="AK637">
        <f ca="1"/>
      </c>
      <c r="AL637">
        <f ca="1"/>
      </c>
      <c r="AM637">
        <f ca="1"/>
      </c>
      <c r="AN637">
        <f ca="1"/>
      </c>
      <c r="AO637">
        <f ca="1"/>
      </c>
      <c r="AP637">
        <f ca="1"/>
      </c>
      <c r="AQ637">
        <f ca="1"/>
      </c>
      <c r="AR637">
        <f ca="1"/>
      </c>
      <c r="AT637" s="7">
        <f ca="1"/>
      </c>
      <c r="AU637">
        <f ca="1"/>
      </c>
      <c r="AV637">
        <f ca="1"/>
      </c>
      <c r="AW637">
        <f ca="1"/>
      </c>
      <c r="AX637">
        <f ca="1"/>
      </c>
      <c r="AY637">
        <f ca="1"/>
      </c>
      <c r="BA637" s="7"/>
    </row>
    <row r="638" spans="31:53" x14ac:dyDescent="0.55000000000000004">
      <c r="AE638" s="7">
        <f ca="1"/>
      </c>
      <c r="AF638">
        <f ca="1"/>
      </c>
      <c r="AG638">
        <f ca="1"/>
      </c>
      <c r="AH638">
        <f ca="1"/>
      </c>
      <c r="AI638">
        <f ca="1"/>
      </c>
      <c r="AJ638">
        <f ca="1"/>
      </c>
      <c r="AK638">
        <f ca="1"/>
      </c>
      <c r="AL638">
        <f ca="1"/>
      </c>
      <c r="AM638">
        <f ca="1"/>
      </c>
      <c r="AN638">
        <f ca="1"/>
      </c>
      <c r="AO638">
        <f ca="1"/>
      </c>
      <c r="AP638">
        <f ca="1"/>
      </c>
      <c r="AQ638">
        <f ca="1"/>
      </c>
      <c r="AR638">
        <f ca="1"/>
      </c>
      <c r="AT638" s="7">
        <f ca="1"/>
      </c>
      <c r="AU638">
        <f ca="1"/>
      </c>
      <c r="AV638">
        <f ca="1"/>
      </c>
      <c r="AW638">
        <f ca="1"/>
      </c>
      <c r="AX638">
        <f ca="1"/>
      </c>
      <c r="AY638">
        <f ca="1"/>
      </c>
      <c r="BA638" s="7"/>
    </row>
    <row r="639" spans="31:53" x14ac:dyDescent="0.55000000000000004">
      <c r="AE639" s="7">
        <f ca="1"/>
      </c>
      <c r="AF639">
        <f ca="1"/>
      </c>
      <c r="AG639">
        <f ca="1"/>
      </c>
      <c r="AH639">
        <f ca="1"/>
      </c>
      <c r="AI639">
        <f ca="1"/>
      </c>
      <c r="AJ639">
        <f ca="1"/>
      </c>
      <c r="AK639">
        <f ca="1"/>
      </c>
      <c r="AL639">
        <f ca="1"/>
      </c>
      <c r="AM639">
        <f ca="1"/>
      </c>
      <c r="AN639">
        <f ca="1"/>
      </c>
      <c r="AO639">
        <f ca="1"/>
      </c>
      <c r="AP639">
        <f ca="1"/>
      </c>
      <c r="AQ639">
        <f ca="1"/>
      </c>
      <c r="AR639">
        <f ca="1"/>
      </c>
      <c r="AT639" s="7">
        <f ca="1"/>
      </c>
      <c r="AU639">
        <f ca="1"/>
      </c>
      <c r="AV639">
        <f ca="1"/>
      </c>
      <c r="AW639">
        <f ca="1"/>
      </c>
      <c r="AX639">
        <f ca="1"/>
      </c>
      <c r="AY639">
        <f ca="1"/>
      </c>
      <c r="BA639" s="7"/>
    </row>
    <row r="640" spans="31:53" x14ac:dyDescent="0.55000000000000004">
      <c r="AE640" s="7">
        <f ca="1"/>
      </c>
      <c r="AF640">
        <f ca="1"/>
      </c>
      <c r="AG640">
        <f ca="1"/>
      </c>
      <c r="AH640">
        <f ca="1"/>
      </c>
      <c r="AI640">
        <f ca="1"/>
      </c>
      <c r="AJ640">
        <f ca="1"/>
      </c>
      <c r="AK640">
        <f ca="1"/>
      </c>
      <c r="AL640">
        <f ca="1"/>
      </c>
      <c r="AM640">
        <f ca="1"/>
      </c>
      <c r="AN640">
        <f ca="1"/>
      </c>
      <c r="AO640">
        <f ca="1"/>
      </c>
      <c r="AP640">
        <f ca="1"/>
      </c>
      <c r="AQ640">
        <f ca="1"/>
      </c>
      <c r="AR640">
        <f ca="1"/>
      </c>
      <c r="AT640" s="7">
        <f ca="1"/>
      </c>
      <c r="AU640">
        <f ca="1"/>
      </c>
      <c r="AV640">
        <f ca="1"/>
      </c>
      <c r="AW640">
        <f ca="1"/>
      </c>
      <c r="AX640">
        <f ca="1"/>
      </c>
      <c r="AY640">
        <f ca="1"/>
      </c>
      <c r="BA640" s="7"/>
    </row>
    <row r="641" spans="31:53" x14ac:dyDescent="0.55000000000000004">
      <c r="AE641" s="7">
        <f ca="1"/>
      </c>
      <c r="AF641">
        <f ca="1"/>
      </c>
      <c r="AG641">
        <f ca="1"/>
      </c>
      <c r="AH641">
        <f ca="1"/>
      </c>
      <c r="AI641">
        <f ca="1"/>
      </c>
      <c r="AJ641">
        <f ca="1"/>
      </c>
      <c r="AK641">
        <f ca="1"/>
      </c>
      <c r="AL641">
        <f ca="1"/>
      </c>
      <c r="AM641">
        <f ca="1"/>
      </c>
      <c r="AN641">
        <f ca="1"/>
      </c>
      <c r="AO641">
        <f ca="1"/>
      </c>
      <c r="AP641">
        <f ca="1"/>
      </c>
      <c r="AQ641">
        <f ca="1"/>
      </c>
      <c r="AR641">
        <f ca="1"/>
      </c>
      <c r="AT641" s="7">
        <f ca="1"/>
      </c>
      <c r="AU641">
        <f ca="1"/>
      </c>
      <c r="AV641">
        <f ca="1"/>
      </c>
      <c r="AW641">
        <f ca="1"/>
      </c>
      <c r="AX641">
        <f ca="1"/>
      </c>
      <c r="AY641">
        <f ca="1"/>
      </c>
      <c r="BA641" s="7"/>
    </row>
    <row r="642" spans="31:53" x14ac:dyDescent="0.55000000000000004">
      <c r="AE642" s="7">
        <f ca="1"/>
      </c>
      <c r="AF642">
        <f ca="1"/>
      </c>
      <c r="AG642">
        <f ca="1"/>
      </c>
      <c r="AH642">
        <f ca="1"/>
      </c>
      <c r="AI642">
        <f ca="1"/>
      </c>
      <c r="AJ642">
        <f ca="1"/>
      </c>
      <c r="AK642">
        <f ca="1"/>
      </c>
      <c r="AL642">
        <f ca="1"/>
      </c>
      <c r="AM642">
        <f ca="1"/>
      </c>
      <c r="AN642">
        <f ca="1"/>
      </c>
      <c r="AO642">
        <f ca="1"/>
      </c>
      <c r="AP642">
        <f ca="1"/>
      </c>
      <c r="AQ642">
        <f ca="1"/>
      </c>
      <c r="AR642">
        <f ca="1"/>
      </c>
      <c r="AT642" s="7">
        <f ca="1"/>
      </c>
      <c r="AU642">
        <f ca="1"/>
      </c>
      <c r="AV642">
        <f ca="1"/>
      </c>
      <c r="AW642">
        <f ca="1"/>
      </c>
      <c r="AX642">
        <f ca="1"/>
      </c>
      <c r="AY642">
        <f ca="1"/>
      </c>
      <c r="BA642" s="7"/>
    </row>
    <row r="643" spans="31:53" x14ac:dyDescent="0.55000000000000004">
      <c r="AE643" s="7">
        <f ca="1"/>
      </c>
      <c r="AF643">
        <f ca="1"/>
      </c>
      <c r="AG643">
        <f ca="1"/>
      </c>
      <c r="AH643">
        <f ca="1"/>
      </c>
      <c r="AI643">
        <f ca="1"/>
      </c>
      <c r="AJ643">
        <f ca="1"/>
      </c>
      <c r="AK643">
        <f ca="1"/>
      </c>
      <c r="AL643">
        <f ca="1"/>
      </c>
      <c r="AM643">
        <f ca="1"/>
      </c>
      <c r="AN643">
        <f ca="1"/>
      </c>
      <c r="AO643">
        <f ca="1"/>
      </c>
      <c r="AP643">
        <f ca="1"/>
      </c>
      <c r="AQ643">
        <f ca="1"/>
      </c>
      <c r="AR643">
        <f ca="1"/>
      </c>
      <c r="AT643" s="7">
        <f ca="1"/>
      </c>
      <c r="AU643">
        <f ca="1"/>
      </c>
      <c r="AV643">
        <f ca="1"/>
      </c>
      <c r="AW643">
        <f ca="1"/>
      </c>
      <c r="AX643">
        <f ca="1"/>
      </c>
      <c r="AY643">
        <f ca="1"/>
      </c>
      <c r="BA643" s="7"/>
    </row>
    <row r="644" spans="31:53" x14ac:dyDescent="0.55000000000000004">
      <c r="AE644" s="7">
        <f ca="1"/>
      </c>
      <c r="AF644">
        <f ca="1"/>
      </c>
      <c r="AG644">
        <f ca="1"/>
      </c>
      <c r="AH644">
        <f ca="1"/>
      </c>
      <c r="AI644">
        <f ca="1"/>
      </c>
      <c r="AJ644">
        <f ca="1"/>
      </c>
      <c r="AK644">
        <f ca="1"/>
      </c>
      <c r="AL644">
        <f ca="1"/>
      </c>
      <c r="AM644">
        <f ca="1"/>
      </c>
      <c r="AN644">
        <f ca="1"/>
      </c>
      <c r="AO644">
        <f ca="1"/>
      </c>
      <c r="AP644">
        <f ca="1"/>
      </c>
      <c r="AQ644">
        <f ca="1"/>
      </c>
      <c r="AR644">
        <f ca="1"/>
      </c>
      <c r="AT644" s="7">
        <f ca="1"/>
      </c>
      <c r="AU644">
        <f ca="1"/>
      </c>
      <c r="AV644">
        <f ca="1"/>
      </c>
      <c r="AW644">
        <f ca="1"/>
      </c>
      <c r="AX644">
        <f ca="1"/>
      </c>
      <c r="AY644">
        <f ca="1"/>
      </c>
      <c r="BA644" s="7"/>
    </row>
    <row r="645" spans="31:53" x14ac:dyDescent="0.55000000000000004">
      <c r="AE645" s="7">
        <f ca="1"/>
      </c>
      <c r="AF645">
        <f ca="1"/>
      </c>
      <c r="AG645">
        <f ca="1"/>
      </c>
      <c r="AH645">
        <f ca="1"/>
      </c>
      <c r="AI645">
        <f ca="1"/>
      </c>
      <c r="AJ645">
        <f ca="1"/>
      </c>
      <c r="AK645">
        <f ca="1"/>
      </c>
      <c r="AL645">
        <f ca="1"/>
      </c>
      <c r="AM645">
        <f ca="1"/>
      </c>
      <c r="AN645">
        <f ca="1"/>
      </c>
      <c r="AO645">
        <f ca="1"/>
      </c>
      <c r="AP645">
        <f ca="1"/>
      </c>
      <c r="AQ645">
        <f ca="1"/>
      </c>
      <c r="AR645">
        <f ca="1"/>
      </c>
      <c r="AT645" s="7">
        <f ca="1"/>
      </c>
      <c r="AU645">
        <f ca="1"/>
      </c>
      <c r="AV645">
        <f ca="1"/>
      </c>
      <c r="AW645">
        <f ca="1"/>
      </c>
      <c r="AX645">
        <f ca="1"/>
      </c>
      <c r="AY645">
        <f ca="1"/>
      </c>
      <c r="BA645" s="7"/>
    </row>
    <row r="646" spans="31:53" x14ac:dyDescent="0.55000000000000004">
      <c r="AE646" s="7">
        <f ca="1"/>
      </c>
      <c r="AF646">
        <f ca="1"/>
      </c>
      <c r="AG646">
        <f ca="1"/>
      </c>
      <c r="AH646">
        <f ca="1"/>
      </c>
      <c r="AI646">
        <f ca="1"/>
      </c>
      <c r="AJ646">
        <f ca="1"/>
      </c>
      <c r="AK646">
        <f ca="1"/>
      </c>
      <c r="AL646">
        <f ca="1"/>
      </c>
      <c r="AM646">
        <f ca="1"/>
      </c>
      <c r="AN646">
        <f ca="1"/>
      </c>
      <c r="AO646">
        <f ca="1"/>
      </c>
      <c r="AP646">
        <f ca="1"/>
      </c>
      <c r="AQ646">
        <f ca="1"/>
      </c>
      <c r="AR646">
        <f ca="1"/>
      </c>
      <c r="AT646" s="7">
        <f ca="1"/>
      </c>
      <c r="AU646">
        <f ca="1"/>
      </c>
      <c r="AV646">
        <f ca="1"/>
      </c>
      <c r="AW646">
        <f ca="1"/>
      </c>
      <c r="AX646">
        <f ca="1"/>
      </c>
      <c r="AY646">
        <f ca="1"/>
      </c>
      <c r="BA646" s="7"/>
    </row>
    <row r="647" spans="31:53" x14ac:dyDescent="0.55000000000000004">
      <c r="AE647" s="7">
        <f ca="1"/>
      </c>
      <c r="AF647">
        <f ca="1"/>
      </c>
      <c r="AG647">
        <f ca="1"/>
      </c>
      <c r="AH647">
        <f ca="1"/>
      </c>
      <c r="AI647">
        <f ca="1"/>
      </c>
      <c r="AJ647">
        <f ca="1"/>
      </c>
      <c r="AK647">
        <f ca="1"/>
      </c>
      <c r="AL647">
        <f ca="1"/>
      </c>
      <c r="AM647">
        <f ca="1"/>
      </c>
      <c r="AN647">
        <f ca="1"/>
      </c>
      <c r="AO647">
        <f ca="1"/>
      </c>
      <c r="AP647">
        <f ca="1"/>
      </c>
      <c r="AQ647">
        <f ca="1"/>
      </c>
      <c r="AR647">
        <f ca="1"/>
      </c>
      <c r="AT647" s="7">
        <f ca="1"/>
      </c>
      <c r="AU647">
        <f ca="1"/>
      </c>
      <c r="AV647">
        <f ca="1"/>
      </c>
      <c r="AW647">
        <f ca="1"/>
      </c>
      <c r="AX647">
        <f ca="1"/>
      </c>
      <c r="AY647">
        <f ca="1"/>
      </c>
      <c r="BA647" s="7"/>
    </row>
    <row r="648" spans="31:53" x14ac:dyDescent="0.55000000000000004">
      <c r="AE648" s="7">
        <f ca="1"/>
      </c>
      <c r="AF648">
        <f ca="1"/>
      </c>
      <c r="AG648">
        <f ca="1"/>
      </c>
      <c r="AH648">
        <f ca="1"/>
      </c>
      <c r="AI648">
        <f ca="1"/>
      </c>
      <c r="AJ648">
        <f ca="1"/>
      </c>
      <c r="AK648">
        <f ca="1"/>
      </c>
      <c r="AL648">
        <f ca="1"/>
      </c>
      <c r="AM648">
        <f ca="1"/>
      </c>
      <c r="AN648">
        <f ca="1"/>
      </c>
      <c r="AO648">
        <f ca="1"/>
      </c>
      <c r="AP648">
        <f ca="1"/>
      </c>
      <c r="AQ648">
        <f ca="1"/>
      </c>
      <c r="AR648">
        <f ca="1"/>
      </c>
      <c r="AT648" s="7">
        <f ca="1"/>
      </c>
      <c r="AU648">
        <f ca="1"/>
      </c>
      <c r="AV648">
        <f ca="1"/>
      </c>
      <c r="AW648">
        <f ca="1"/>
      </c>
      <c r="AX648">
        <f ca="1"/>
      </c>
      <c r="AY648">
        <f ca="1"/>
      </c>
      <c r="BA648" s="7"/>
    </row>
    <row r="649" spans="31:53" x14ac:dyDescent="0.55000000000000004">
      <c r="AE649" s="7">
        <f ca="1"/>
      </c>
      <c r="AF649">
        <f ca="1"/>
      </c>
      <c r="AG649">
        <f ca="1"/>
      </c>
      <c r="AH649">
        <f ca="1"/>
      </c>
      <c r="AI649">
        <f ca="1"/>
      </c>
      <c r="AJ649">
        <f ca="1"/>
      </c>
      <c r="AK649">
        <f ca="1"/>
      </c>
      <c r="AL649">
        <f ca="1"/>
      </c>
      <c r="AM649">
        <f ca="1"/>
      </c>
      <c r="AN649">
        <f ca="1"/>
      </c>
      <c r="AO649">
        <f ca="1"/>
      </c>
      <c r="AP649">
        <f ca="1"/>
      </c>
      <c r="AQ649">
        <f ca="1"/>
      </c>
      <c r="AR649">
        <f ca="1"/>
      </c>
      <c r="AT649" s="7">
        <f ca="1"/>
      </c>
      <c r="AU649">
        <f ca="1"/>
      </c>
      <c r="AV649">
        <f ca="1"/>
      </c>
      <c r="AW649">
        <f ca="1"/>
      </c>
      <c r="AX649">
        <f ca="1"/>
      </c>
      <c r="AY649">
        <f ca="1"/>
      </c>
      <c r="BA649" s="7"/>
    </row>
    <row r="650" spans="31:53" x14ac:dyDescent="0.55000000000000004">
      <c r="AE650" s="7">
        <f ca="1"/>
      </c>
      <c r="AF650">
        <f ca="1"/>
      </c>
      <c r="AG650">
        <f ca="1"/>
      </c>
      <c r="AH650">
        <f ca="1"/>
      </c>
      <c r="AI650">
        <f ca="1"/>
      </c>
      <c r="AJ650">
        <f ca="1"/>
      </c>
      <c r="AK650">
        <f ca="1"/>
      </c>
      <c r="AL650">
        <f ca="1"/>
      </c>
      <c r="AM650">
        <f ca="1"/>
      </c>
      <c r="AN650">
        <f ca="1"/>
      </c>
      <c r="AO650">
        <f ca="1"/>
      </c>
      <c r="AP650">
        <f ca="1"/>
      </c>
      <c r="AQ650">
        <f ca="1"/>
      </c>
      <c r="AR650">
        <f ca="1"/>
      </c>
      <c r="AT650" s="7">
        <f ca="1"/>
      </c>
      <c r="AU650">
        <f ca="1"/>
      </c>
      <c r="AV650">
        <f ca="1"/>
      </c>
      <c r="AW650">
        <f ca="1"/>
      </c>
      <c r="AX650">
        <f ca="1"/>
      </c>
      <c r="AY650">
        <f ca="1"/>
      </c>
      <c r="BA650" s="7"/>
    </row>
    <row r="651" spans="31:53" x14ac:dyDescent="0.55000000000000004">
      <c r="AE651" s="7">
        <f ca="1"/>
      </c>
      <c r="AF651">
        <f ca="1"/>
      </c>
      <c r="AG651">
        <f ca="1"/>
      </c>
      <c r="AH651">
        <f ca="1"/>
      </c>
      <c r="AI651">
        <f ca="1"/>
      </c>
      <c r="AJ651">
        <f ca="1"/>
      </c>
      <c r="AK651">
        <f ca="1"/>
      </c>
      <c r="AL651">
        <f ca="1"/>
      </c>
      <c r="AM651">
        <f ca="1"/>
      </c>
      <c r="AN651">
        <f ca="1"/>
      </c>
      <c r="AO651">
        <f ca="1"/>
      </c>
      <c r="AP651">
        <f ca="1"/>
      </c>
      <c r="AQ651">
        <f ca="1"/>
      </c>
      <c r="AR651">
        <f ca="1"/>
      </c>
      <c r="AT651" s="7">
        <f ca="1"/>
      </c>
      <c r="AU651">
        <f ca="1"/>
      </c>
      <c r="AV651">
        <f ca="1"/>
      </c>
      <c r="AW651">
        <f ca="1"/>
      </c>
      <c r="AX651">
        <f ca="1"/>
      </c>
      <c r="AY651">
        <f ca="1"/>
      </c>
      <c r="BA651" s="7"/>
    </row>
    <row r="652" spans="31:53" x14ac:dyDescent="0.55000000000000004">
      <c r="AE652" s="7">
        <f ca="1"/>
      </c>
      <c r="AF652">
        <f ca="1"/>
      </c>
      <c r="AG652">
        <f ca="1"/>
      </c>
      <c r="AH652">
        <f ca="1"/>
      </c>
      <c r="AI652">
        <f ca="1"/>
      </c>
      <c r="AJ652">
        <f ca="1"/>
      </c>
      <c r="AK652">
        <f ca="1"/>
      </c>
      <c r="AL652">
        <f ca="1"/>
      </c>
      <c r="AM652">
        <f ca="1"/>
      </c>
      <c r="AN652">
        <f ca="1"/>
      </c>
      <c r="AO652">
        <f ca="1"/>
      </c>
      <c r="AP652">
        <f ca="1"/>
      </c>
      <c r="AQ652">
        <f ca="1"/>
      </c>
      <c r="AR652">
        <f ca="1"/>
      </c>
      <c r="AT652" s="7">
        <f ca="1"/>
      </c>
      <c r="AU652">
        <f ca="1"/>
      </c>
      <c r="AV652">
        <f ca="1"/>
      </c>
      <c r="AW652">
        <f ca="1"/>
      </c>
      <c r="AX652">
        <f ca="1"/>
      </c>
      <c r="AY652">
        <f ca="1"/>
      </c>
      <c r="BA652" s="7"/>
    </row>
    <row r="653" spans="31:53" x14ac:dyDescent="0.55000000000000004">
      <c r="AE653" s="7">
        <f ca="1"/>
      </c>
      <c r="AF653">
        <f ca="1"/>
      </c>
      <c r="AG653">
        <f ca="1"/>
      </c>
      <c r="AH653">
        <f ca="1"/>
      </c>
      <c r="AI653">
        <f ca="1"/>
      </c>
      <c r="AJ653">
        <f ca="1"/>
      </c>
      <c r="AK653">
        <f ca="1"/>
      </c>
      <c r="AL653">
        <f ca="1"/>
      </c>
      <c r="AM653">
        <f ca="1"/>
      </c>
      <c r="AN653">
        <f ca="1"/>
      </c>
      <c r="AO653">
        <f ca="1"/>
      </c>
      <c r="AP653">
        <f ca="1"/>
      </c>
      <c r="AQ653">
        <f ca="1"/>
      </c>
      <c r="AR653">
        <f ca="1"/>
      </c>
      <c r="AT653" s="7">
        <f ca="1"/>
      </c>
      <c r="AU653">
        <f ca="1"/>
      </c>
      <c r="AV653">
        <f ca="1"/>
      </c>
      <c r="AW653">
        <f ca="1"/>
      </c>
      <c r="AX653">
        <f ca="1"/>
      </c>
      <c r="AY653">
        <f ca="1"/>
      </c>
      <c r="BA653" s="7"/>
    </row>
    <row r="654" spans="31:53" x14ac:dyDescent="0.55000000000000004">
      <c r="AE654" s="7">
        <f ca="1"/>
      </c>
      <c r="AF654">
        <f ca="1"/>
      </c>
      <c r="AG654">
        <f ca="1"/>
      </c>
      <c r="AH654">
        <f ca="1"/>
      </c>
      <c r="AI654">
        <f ca="1"/>
      </c>
      <c r="AJ654">
        <f ca="1"/>
      </c>
      <c r="AK654">
        <f ca="1"/>
      </c>
      <c r="AL654">
        <f ca="1"/>
      </c>
      <c r="AM654">
        <f ca="1"/>
      </c>
      <c r="AN654">
        <f ca="1"/>
      </c>
      <c r="AO654">
        <f ca="1"/>
      </c>
      <c r="AP654">
        <f ca="1"/>
      </c>
      <c r="AQ654">
        <f ca="1"/>
      </c>
      <c r="AR654">
        <f ca="1"/>
      </c>
      <c r="AT654" s="7">
        <f ca="1"/>
      </c>
      <c r="AU654">
        <f ca="1"/>
      </c>
      <c r="AV654">
        <f ca="1"/>
      </c>
      <c r="AW654">
        <f ca="1"/>
      </c>
      <c r="AX654">
        <f ca="1"/>
      </c>
      <c r="AY654">
        <f ca="1"/>
      </c>
      <c r="BA654" s="7"/>
    </row>
    <row r="655" spans="31:53" x14ac:dyDescent="0.55000000000000004">
      <c r="AE655" s="7">
        <f ca="1"/>
      </c>
      <c r="AF655">
        <f ca="1"/>
      </c>
      <c r="AG655">
        <f ca="1"/>
      </c>
      <c r="AH655">
        <f ca="1"/>
      </c>
      <c r="AI655">
        <f ca="1"/>
      </c>
      <c r="AJ655">
        <f ca="1"/>
      </c>
      <c r="AK655">
        <f ca="1"/>
      </c>
      <c r="AL655">
        <f ca="1"/>
      </c>
      <c r="AM655">
        <f ca="1"/>
      </c>
      <c r="AN655">
        <f ca="1"/>
      </c>
      <c r="AO655">
        <f ca="1"/>
      </c>
      <c r="AP655">
        <f ca="1"/>
      </c>
      <c r="AQ655">
        <f ca="1"/>
      </c>
      <c r="AR655">
        <f ca="1"/>
      </c>
      <c r="AT655" s="7">
        <f ca="1"/>
      </c>
      <c r="AU655">
        <f ca="1"/>
      </c>
      <c r="AV655">
        <f ca="1"/>
      </c>
      <c r="AW655">
        <f ca="1"/>
      </c>
      <c r="AX655">
        <f ca="1"/>
      </c>
      <c r="AY655">
        <f ca="1"/>
      </c>
      <c r="BA655" s="7"/>
    </row>
    <row r="656" spans="31:53" x14ac:dyDescent="0.55000000000000004">
      <c r="AE656" s="7">
        <f ca="1"/>
      </c>
      <c r="AF656">
        <f ca="1"/>
      </c>
      <c r="AG656">
        <f ca="1"/>
      </c>
      <c r="AH656">
        <f ca="1"/>
      </c>
      <c r="AI656">
        <f ca="1"/>
      </c>
      <c r="AJ656">
        <f ca="1"/>
      </c>
      <c r="AK656">
        <f ca="1"/>
      </c>
      <c r="AL656">
        <f ca="1"/>
      </c>
      <c r="AM656">
        <f ca="1"/>
      </c>
      <c r="AN656">
        <f ca="1"/>
      </c>
      <c r="AO656">
        <f ca="1"/>
      </c>
      <c r="AP656">
        <f ca="1"/>
      </c>
      <c r="AQ656">
        <f ca="1"/>
      </c>
      <c r="AR656">
        <f ca="1"/>
      </c>
      <c r="AT656" s="7">
        <f ca="1"/>
      </c>
      <c r="AU656">
        <f ca="1"/>
      </c>
      <c r="AV656">
        <f ca="1"/>
      </c>
      <c r="AW656">
        <f ca="1"/>
      </c>
      <c r="AX656">
        <f ca="1"/>
      </c>
      <c r="AY656">
        <f ca="1"/>
      </c>
      <c r="BA656" s="7"/>
    </row>
    <row r="657" spans="31:53" x14ac:dyDescent="0.55000000000000004">
      <c r="AE657" s="7">
        <f ca="1"/>
      </c>
      <c r="AF657">
        <f ca="1"/>
      </c>
      <c r="AG657">
        <f ca="1"/>
      </c>
      <c r="AH657">
        <f ca="1"/>
      </c>
      <c r="AI657">
        <f ca="1"/>
      </c>
      <c r="AJ657">
        <f ca="1"/>
      </c>
      <c r="AK657">
        <f ca="1"/>
      </c>
      <c r="AL657">
        <f ca="1"/>
      </c>
      <c r="AM657">
        <f ca="1"/>
      </c>
      <c r="AN657">
        <f ca="1"/>
      </c>
      <c r="AO657">
        <f ca="1"/>
      </c>
      <c r="AP657">
        <f ca="1"/>
      </c>
      <c r="AQ657">
        <f ca="1"/>
      </c>
      <c r="AR657">
        <f ca="1"/>
      </c>
      <c r="AT657" s="7">
        <f ca="1"/>
      </c>
      <c r="AU657">
        <f ca="1"/>
      </c>
      <c r="AV657">
        <f ca="1"/>
      </c>
      <c r="AW657">
        <f ca="1"/>
      </c>
      <c r="AX657">
        <f ca="1"/>
      </c>
      <c r="AY657">
        <f ca="1"/>
      </c>
      <c r="BA657" s="7"/>
    </row>
    <row r="658" spans="31:53" x14ac:dyDescent="0.55000000000000004">
      <c r="AE658" s="7">
        <f ca="1"/>
      </c>
      <c r="AF658">
        <f ca="1"/>
      </c>
      <c r="AG658">
        <f ca="1"/>
      </c>
      <c r="AH658">
        <f ca="1"/>
      </c>
      <c r="AI658">
        <f ca="1"/>
      </c>
      <c r="AJ658">
        <f ca="1"/>
      </c>
      <c r="AK658">
        <f ca="1"/>
      </c>
      <c r="AL658">
        <f ca="1"/>
      </c>
      <c r="AM658">
        <f ca="1"/>
      </c>
      <c r="AN658">
        <f ca="1"/>
      </c>
      <c r="AO658">
        <f ca="1"/>
      </c>
      <c r="AP658">
        <f ca="1"/>
      </c>
      <c r="AQ658">
        <f ca="1"/>
      </c>
      <c r="AR658">
        <f ca="1"/>
      </c>
      <c r="AT658" s="7">
        <f ca="1"/>
      </c>
      <c r="AU658">
        <f ca="1"/>
      </c>
      <c r="AV658">
        <f ca="1"/>
      </c>
      <c r="AW658">
        <f ca="1"/>
      </c>
      <c r="AX658">
        <f ca="1"/>
      </c>
      <c r="AY658">
        <f ca="1"/>
      </c>
      <c r="BA658" s="7"/>
    </row>
    <row r="659" spans="31:53" x14ac:dyDescent="0.55000000000000004">
      <c r="AE659" s="7">
        <f ca="1"/>
      </c>
      <c r="AF659">
        <f ca="1"/>
      </c>
      <c r="AG659">
        <f ca="1"/>
      </c>
      <c r="AH659">
        <f ca="1"/>
      </c>
      <c r="AI659">
        <f ca="1"/>
      </c>
      <c r="AJ659">
        <f ca="1"/>
      </c>
      <c r="AK659">
        <f ca="1"/>
      </c>
      <c r="AL659">
        <f ca="1"/>
      </c>
      <c r="AM659">
        <f ca="1"/>
      </c>
      <c r="AN659">
        <f ca="1"/>
      </c>
      <c r="AO659">
        <f ca="1"/>
      </c>
      <c r="AP659">
        <f ca="1"/>
      </c>
      <c r="AQ659">
        <f ca="1"/>
      </c>
      <c r="AR659">
        <f ca="1"/>
      </c>
      <c r="AT659" s="7">
        <f ca="1"/>
      </c>
      <c r="AU659">
        <f ca="1"/>
      </c>
      <c r="AV659">
        <f ca="1"/>
      </c>
      <c r="AW659">
        <f ca="1"/>
      </c>
      <c r="AX659">
        <f ca="1"/>
      </c>
      <c r="AY659">
        <f ca="1"/>
      </c>
      <c r="BA659" s="7"/>
    </row>
    <row r="660" spans="31:53" x14ac:dyDescent="0.55000000000000004">
      <c r="AE660" s="7">
        <f ca="1"/>
      </c>
      <c r="AF660">
        <f ca="1"/>
      </c>
      <c r="AG660">
        <f ca="1"/>
      </c>
      <c r="AH660">
        <f ca="1"/>
      </c>
      <c r="AI660">
        <f ca="1"/>
      </c>
      <c r="AJ660">
        <f ca="1"/>
      </c>
      <c r="AK660">
        <f ca="1"/>
      </c>
      <c r="AL660">
        <f ca="1"/>
      </c>
      <c r="AM660">
        <f ca="1"/>
      </c>
      <c r="AN660">
        <f ca="1"/>
      </c>
      <c r="AO660">
        <f ca="1"/>
      </c>
      <c r="AP660">
        <f ca="1"/>
      </c>
      <c r="AQ660">
        <f ca="1"/>
      </c>
      <c r="AR660">
        <f ca="1"/>
      </c>
      <c r="AT660" s="7">
        <f ca="1"/>
      </c>
      <c r="AU660">
        <f ca="1"/>
      </c>
      <c r="AV660">
        <f ca="1"/>
      </c>
      <c r="AW660">
        <f ca="1"/>
      </c>
      <c r="AX660">
        <f ca="1"/>
      </c>
      <c r="AY660">
        <f ca="1"/>
      </c>
      <c r="BA660" s="7"/>
    </row>
    <row r="661" spans="31:53" x14ac:dyDescent="0.55000000000000004">
      <c r="AE661" s="7">
        <f ca="1"/>
      </c>
      <c r="AF661">
        <f ca="1"/>
      </c>
      <c r="AG661">
        <f ca="1"/>
      </c>
      <c r="AH661">
        <f ca="1"/>
      </c>
      <c r="AI661">
        <f ca="1"/>
      </c>
      <c r="AJ661">
        <f ca="1"/>
      </c>
      <c r="AK661">
        <f ca="1"/>
      </c>
      <c r="AL661">
        <f ca="1"/>
      </c>
      <c r="AM661">
        <f ca="1"/>
      </c>
      <c r="AN661">
        <f ca="1"/>
      </c>
      <c r="AO661">
        <f ca="1"/>
      </c>
      <c r="AP661">
        <f ca="1"/>
      </c>
      <c r="AQ661">
        <f ca="1"/>
      </c>
      <c r="AR661">
        <f ca="1"/>
      </c>
      <c r="AT661" s="7">
        <f ca="1"/>
      </c>
      <c r="AU661">
        <f ca="1"/>
      </c>
      <c r="AV661">
        <f ca="1"/>
      </c>
      <c r="AW661">
        <f ca="1"/>
      </c>
      <c r="AX661">
        <f ca="1"/>
      </c>
      <c r="AY661">
        <f ca="1"/>
      </c>
      <c r="BA661" s="7"/>
    </row>
    <row r="662" spans="31:53" x14ac:dyDescent="0.55000000000000004">
      <c r="AE662" s="7">
        <f ca="1"/>
      </c>
      <c r="AF662">
        <f ca="1"/>
      </c>
      <c r="AG662">
        <f ca="1"/>
      </c>
      <c r="AH662">
        <f ca="1"/>
      </c>
      <c r="AI662">
        <f ca="1"/>
      </c>
      <c r="AJ662">
        <f ca="1"/>
      </c>
      <c r="AK662">
        <f ca="1"/>
      </c>
      <c r="AL662">
        <f ca="1"/>
      </c>
      <c r="AM662">
        <f ca="1"/>
      </c>
      <c r="AN662">
        <f ca="1"/>
      </c>
      <c r="AO662">
        <f ca="1"/>
      </c>
      <c r="AP662">
        <f ca="1"/>
      </c>
      <c r="AQ662">
        <f ca="1"/>
      </c>
      <c r="AR662">
        <f ca="1"/>
      </c>
      <c r="AT662" s="7">
        <f ca="1"/>
      </c>
      <c r="AU662">
        <f ca="1"/>
      </c>
      <c r="AV662">
        <f ca="1"/>
      </c>
      <c r="AW662">
        <f ca="1"/>
      </c>
      <c r="AX662">
        <f ca="1"/>
      </c>
      <c r="AY662">
        <f ca="1"/>
      </c>
      <c r="BA662" s="7"/>
    </row>
    <row r="663" spans="31:53" x14ac:dyDescent="0.55000000000000004">
      <c r="AE663" s="7">
        <f ca="1"/>
      </c>
      <c r="AF663">
        <f ca="1"/>
      </c>
      <c r="AG663">
        <f ca="1"/>
      </c>
      <c r="AH663">
        <f ca="1"/>
      </c>
      <c r="AI663">
        <f ca="1"/>
      </c>
      <c r="AJ663">
        <f ca="1"/>
      </c>
      <c r="AK663">
        <f ca="1"/>
      </c>
      <c r="AL663">
        <f ca="1"/>
      </c>
      <c r="AM663">
        <f ca="1"/>
      </c>
      <c r="AN663">
        <f ca="1"/>
      </c>
      <c r="AO663">
        <f ca="1"/>
      </c>
      <c r="AP663">
        <f ca="1"/>
      </c>
      <c r="AQ663">
        <f ca="1"/>
      </c>
      <c r="AR663">
        <f ca="1"/>
      </c>
      <c r="AT663" s="7">
        <f ca="1"/>
      </c>
      <c r="AU663">
        <f ca="1"/>
      </c>
      <c r="AV663">
        <f ca="1"/>
      </c>
      <c r="AW663">
        <f ca="1"/>
      </c>
      <c r="AX663">
        <f ca="1"/>
      </c>
      <c r="AY663">
        <f ca="1"/>
      </c>
      <c r="BA663" s="7"/>
    </row>
    <row r="664" spans="31:53" x14ac:dyDescent="0.55000000000000004">
      <c r="AE664" s="7">
        <f ca="1"/>
      </c>
      <c r="AF664">
        <f ca="1"/>
      </c>
      <c r="AG664">
        <f ca="1"/>
      </c>
      <c r="AH664">
        <f ca="1"/>
      </c>
      <c r="AI664">
        <f ca="1"/>
      </c>
      <c r="AJ664">
        <f ca="1"/>
      </c>
      <c r="AK664">
        <f ca="1"/>
      </c>
      <c r="AL664">
        <f ca="1"/>
      </c>
      <c r="AM664">
        <f ca="1"/>
      </c>
      <c r="AN664">
        <f ca="1"/>
      </c>
      <c r="AO664">
        <f ca="1"/>
      </c>
      <c r="AP664">
        <f ca="1"/>
      </c>
      <c r="AQ664">
        <f ca="1"/>
      </c>
      <c r="AR664">
        <f ca="1"/>
      </c>
      <c r="AT664" s="7">
        <f ca="1"/>
      </c>
      <c r="AU664">
        <f ca="1"/>
      </c>
      <c r="AV664">
        <f ca="1"/>
      </c>
      <c r="AW664">
        <f ca="1"/>
      </c>
      <c r="AX664">
        <f ca="1"/>
      </c>
      <c r="AY664">
        <f ca="1"/>
      </c>
      <c r="BA664" s="7"/>
    </row>
    <row r="665" spans="31:53" x14ac:dyDescent="0.55000000000000004">
      <c r="AE665" s="7">
        <f ca="1"/>
      </c>
      <c r="AF665">
        <f ca="1"/>
      </c>
      <c r="AG665">
        <f ca="1"/>
      </c>
      <c r="AH665">
        <f ca="1"/>
      </c>
      <c r="AI665">
        <f ca="1"/>
      </c>
      <c r="AJ665">
        <f ca="1"/>
      </c>
      <c r="AK665">
        <f ca="1"/>
      </c>
      <c r="AL665">
        <f ca="1"/>
      </c>
      <c r="AM665">
        <f ca="1"/>
      </c>
      <c r="AN665">
        <f ca="1"/>
      </c>
      <c r="AO665">
        <f ca="1"/>
      </c>
      <c r="AP665">
        <f ca="1"/>
      </c>
      <c r="AQ665">
        <f ca="1"/>
      </c>
      <c r="AR665">
        <f ca="1"/>
      </c>
      <c r="AT665" s="7">
        <f ca="1"/>
      </c>
      <c r="AU665">
        <f ca="1"/>
      </c>
      <c r="AV665">
        <f ca="1"/>
      </c>
      <c r="AW665">
        <f ca="1"/>
      </c>
      <c r="AX665">
        <f ca="1"/>
      </c>
      <c r="AY665">
        <f ca="1"/>
      </c>
      <c r="BA665" s="7"/>
    </row>
    <row r="666" spans="31:53" x14ac:dyDescent="0.55000000000000004">
      <c r="AE666" s="7">
        <f ca="1"/>
      </c>
      <c r="AF666">
        <f ca="1"/>
      </c>
      <c r="AG666">
        <f ca="1"/>
      </c>
      <c r="AH666">
        <f ca="1"/>
      </c>
      <c r="AI666">
        <f ca="1"/>
      </c>
      <c r="AJ666">
        <f ca="1"/>
      </c>
      <c r="AK666">
        <f ca="1"/>
      </c>
      <c r="AL666">
        <f ca="1"/>
      </c>
      <c r="AM666">
        <f ca="1"/>
      </c>
      <c r="AN666">
        <f ca="1"/>
      </c>
      <c r="AO666">
        <f ca="1"/>
      </c>
      <c r="AP666">
        <f ca="1"/>
      </c>
      <c r="AQ666">
        <f ca="1"/>
      </c>
      <c r="AR666">
        <f ca="1"/>
      </c>
      <c r="AT666" s="7">
        <f ca="1"/>
      </c>
      <c r="AU666">
        <f ca="1"/>
      </c>
      <c r="AV666">
        <f ca="1"/>
      </c>
      <c r="AW666">
        <f ca="1"/>
      </c>
      <c r="AX666">
        <f ca="1"/>
      </c>
      <c r="AY666">
        <f ca="1"/>
      </c>
      <c r="BA666" s="7"/>
    </row>
    <row r="667" spans="31:53" x14ac:dyDescent="0.55000000000000004">
      <c r="AE667" s="7">
        <f ca="1"/>
      </c>
      <c r="AF667">
        <f ca="1"/>
      </c>
      <c r="AG667">
        <f ca="1"/>
      </c>
      <c r="AH667">
        <f ca="1"/>
      </c>
      <c r="AI667">
        <f ca="1"/>
      </c>
      <c r="AJ667">
        <f ca="1"/>
      </c>
      <c r="AK667">
        <f ca="1"/>
      </c>
      <c r="AL667">
        <f ca="1"/>
      </c>
      <c r="AM667">
        <f ca="1"/>
      </c>
      <c r="AN667">
        <f ca="1"/>
      </c>
      <c r="AO667">
        <f ca="1"/>
      </c>
      <c r="AP667">
        <f ca="1"/>
      </c>
      <c r="AQ667">
        <f ca="1"/>
      </c>
      <c r="AR667">
        <f ca="1"/>
      </c>
      <c r="AT667" s="7">
        <f ca="1"/>
      </c>
      <c r="AU667">
        <f ca="1"/>
      </c>
      <c r="AV667">
        <f ca="1"/>
      </c>
      <c r="AW667">
        <f ca="1"/>
      </c>
      <c r="AX667">
        <f ca="1"/>
      </c>
      <c r="AY667">
        <f ca="1"/>
      </c>
      <c r="BA667" s="7"/>
    </row>
    <row r="668" spans="31:53" x14ac:dyDescent="0.55000000000000004">
      <c r="AE668" s="7">
        <f ca="1"/>
      </c>
      <c r="AF668">
        <f ca="1"/>
      </c>
      <c r="AG668">
        <f ca="1"/>
      </c>
      <c r="AH668">
        <f ca="1"/>
      </c>
      <c r="AI668">
        <f ca="1"/>
      </c>
      <c r="AJ668">
        <f ca="1"/>
      </c>
      <c r="AK668">
        <f ca="1"/>
      </c>
      <c r="AL668">
        <f ca="1"/>
      </c>
      <c r="AM668">
        <f ca="1"/>
      </c>
      <c r="AN668">
        <f ca="1"/>
      </c>
      <c r="AO668">
        <f ca="1"/>
      </c>
      <c r="AP668">
        <f ca="1"/>
      </c>
      <c r="AQ668">
        <f ca="1"/>
      </c>
      <c r="AR668">
        <f ca="1"/>
      </c>
      <c r="AT668" s="7">
        <f ca="1"/>
      </c>
      <c r="AU668">
        <f ca="1"/>
      </c>
      <c r="AV668">
        <f ca="1"/>
      </c>
      <c r="AW668">
        <f ca="1"/>
      </c>
      <c r="AX668">
        <f ca="1"/>
      </c>
      <c r="AY668">
        <f ca="1"/>
      </c>
      <c r="BA668" s="7"/>
    </row>
    <row r="669" spans="31:53" x14ac:dyDescent="0.55000000000000004">
      <c r="AE669" s="7">
        <f ca="1"/>
      </c>
      <c r="AF669">
        <f ca="1"/>
      </c>
      <c r="AG669">
        <f ca="1"/>
      </c>
      <c r="AH669">
        <f ca="1"/>
      </c>
      <c r="AI669">
        <f ca="1"/>
      </c>
      <c r="AJ669">
        <f ca="1"/>
      </c>
      <c r="AK669">
        <f ca="1"/>
      </c>
      <c r="AL669">
        <f ca="1"/>
      </c>
      <c r="AM669">
        <f ca="1"/>
      </c>
      <c r="AN669">
        <f ca="1"/>
      </c>
      <c r="AO669">
        <f ca="1"/>
      </c>
      <c r="AP669">
        <f ca="1"/>
      </c>
      <c r="AQ669">
        <f ca="1"/>
      </c>
      <c r="AR669">
        <f ca="1"/>
      </c>
      <c r="AT669" s="7">
        <f ca="1"/>
      </c>
      <c r="AU669">
        <f ca="1"/>
      </c>
      <c r="AV669">
        <f ca="1"/>
      </c>
      <c r="AW669">
        <f ca="1"/>
      </c>
      <c r="AX669">
        <f ca="1"/>
      </c>
      <c r="AY669">
        <f ca="1"/>
      </c>
      <c r="BA669" s="7"/>
    </row>
    <row r="670" spans="31:53" x14ac:dyDescent="0.55000000000000004">
      <c r="AE670" s="7">
        <f ca="1"/>
      </c>
      <c r="AF670">
        <f ca="1"/>
      </c>
      <c r="AG670">
        <f ca="1"/>
      </c>
      <c r="AH670">
        <f ca="1"/>
      </c>
      <c r="AI670">
        <f ca="1"/>
      </c>
      <c r="AJ670">
        <f ca="1"/>
      </c>
      <c r="AK670">
        <f ca="1"/>
      </c>
      <c r="AL670">
        <f ca="1"/>
      </c>
      <c r="AM670">
        <f ca="1"/>
      </c>
      <c r="AN670">
        <f ca="1"/>
      </c>
      <c r="AO670">
        <f ca="1"/>
      </c>
      <c r="AP670">
        <f ca="1"/>
      </c>
      <c r="AQ670">
        <f ca="1"/>
      </c>
      <c r="AR670">
        <f ca="1"/>
      </c>
      <c r="AT670" s="7">
        <f ca="1"/>
      </c>
      <c r="AU670">
        <f ca="1"/>
      </c>
      <c r="AV670">
        <f ca="1"/>
      </c>
      <c r="AW670">
        <f ca="1"/>
      </c>
      <c r="AX670">
        <f ca="1"/>
      </c>
      <c r="AY670">
        <f ca="1"/>
      </c>
      <c r="BA670" s="7"/>
    </row>
    <row r="671" spans="31:53" x14ac:dyDescent="0.55000000000000004">
      <c r="AE671" s="7">
        <f ca="1"/>
      </c>
      <c r="AF671">
        <f ca="1"/>
      </c>
      <c r="AG671">
        <f ca="1"/>
      </c>
      <c r="AH671">
        <f ca="1"/>
      </c>
      <c r="AI671">
        <f ca="1"/>
      </c>
      <c r="AJ671">
        <f ca="1"/>
      </c>
      <c r="AK671">
        <f ca="1"/>
      </c>
      <c r="AL671">
        <f ca="1"/>
      </c>
      <c r="AM671">
        <f ca="1"/>
      </c>
      <c r="AN671">
        <f ca="1"/>
      </c>
      <c r="AO671">
        <f ca="1"/>
      </c>
      <c r="AP671">
        <f ca="1"/>
      </c>
      <c r="AQ671">
        <f ca="1"/>
      </c>
      <c r="AR671">
        <f ca="1"/>
      </c>
      <c r="AT671" s="7">
        <f ca="1"/>
      </c>
      <c r="AU671">
        <f ca="1"/>
      </c>
      <c r="AV671">
        <f ca="1"/>
      </c>
      <c r="AW671">
        <f ca="1"/>
      </c>
      <c r="AX671">
        <f ca="1"/>
      </c>
      <c r="AY671">
        <f ca="1"/>
      </c>
      <c r="BA671" s="7"/>
    </row>
    <row r="672" spans="31:53" x14ac:dyDescent="0.55000000000000004">
      <c r="AE672" s="7">
        <f ca="1"/>
      </c>
      <c r="AF672">
        <f ca="1"/>
      </c>
      <c r="AG672">
        <f ca="1"/>
      </c>
      <c r="AH672">
        <f ca="1"/>
      </c>
      <c r="AI672">
        <f ca="1"/>
      </c>
      <c r="AJ672">
        <f ca="1"/>
      </c>
      <c r="AK672">
        <f ca="1"/>
      </c>
      <c r="AL672">
        <f ca="1"/>
      </c>
      <c r="AM672">
        <f ca="1"/>
      </c>
      <c r="AN672">
        <f ca="1"/>
      </c>
      <c r="AO672">
        <f ca="1"/>
      </c>
      <c r="AP672">
        <f ca="1"/>
      </c>
      <c r="AQ672">
        <f ca="1"/>
      </c>
      <c r="AR672">
        <f ca="1"/>
      </c>
      <c r="AT672" s="7">
        <f ca="1"/>
      </c>
      <c r="AU672">
        <f ca="1"/>
      </c>
      <c r="AV672">
        <f ca="1"/>
      </c>
      <c r="AW672">
        <f ca="1"/>
      </c>
      <c r="AX672">
        <f ca="1"/>
      </c>
      <c r="AY672">
        <f ca="1"/>
      </c>
      <c r="BA672" s="7"/>
    </row>
    <row r="673" spans="31:53" x14ac:dyDescent="0.55000000000000004">
      <c r="AE673" s="7">
        <f ca="1"/>
      </c>
      <c r="AF673">
        <f ca="1"/>
      </c>
      <c r="AG673">
        <f ca="1"/>
      </c>
      <c r="AH673">
        <f ca="1"/>
      </c>
      <c r="AI673">
        <f ca="1"/>
      </c>
      <c r="AJ673">
        <f ca="1"/>
      </c>
      <c r="AK673">
        <f ca="1"/>
      </c>
      <c r="AL673">
        <f ca="1"/>
      </c>
      <c r="AM673">
        <f ca="1"/>
      </c>
      <c r="AN673">
        <f ca="1"/>
      </c>
      <c r="AO673">
        <f ca="1"/>
      </c>
      <c r="AP673">
        <f ca="1"/>
      </c>
      <c r="AQ673">
        <f ca="1"/>
      </c>
      <c r="AR673">
        <f ca="1"/>
      </c>
      <c r="AT673" s="7">
        <f ca="1"/>
      </c>
      <c r="AU673">
        <f ca="1"/>
      </c>
      <c r="AV673">
        <f ca="1"/>
      </c>
      <c r="AW673">
        <f ca="1"/>
      </c>
      <c r="AX673">
        <f ca="1"/>
      </c>
      <c r="AY673">
        <f ca="1"/>
      </c>
      <c r="BA673" s="7"/>
    </row>
    <row r="674" spans="31:53" x14ac:dyDescent="0.55000000000000004">
      <c r="AE674" s="7">
        <f ca="1"/>
      </c>
      <c r="AF674">
        <f ca="1"/>
      </c>
      <c r="AG674">
        <f ca="1"/>
      </c>
      <c r="AH674">
        <f ca="1"/>
      </c>
      <c r="AI674">
        <f ca="1"/>
      </c>
      <c r="AJ674">
        <f ca="1"/>
      </c>
      <c r="AK674">
        <f ca="1"/>
      </c>
      <c r="AL674">
        <f ca="1"/>
      </c>
      <c r="AM674">
        <f ca="1"/>
      </c>
      <c r="AN674">
        <f ca="1"/>
      </c>
      <c r="AO674">
        <f ca="1"/>
      </c>
      <c r="AP674">
        <f ca="1"/>
      </c>
      <c r="AQ674">
        <f ca="1"/>
      </c>
      <c r="AR674">
        <f ca="1"/>
      </c>
      <c r="AT674" s="7">
        <f ca="1"/>
      </c>
      <c r="AU674">
        <f ca="1"/>
      </c>
      <c r="AV674">
        <f ca="1"/>
      </c>
      <c r="AW674">
        <f ca="1"/>
      </c>
      <c r="AX674">
        <f ca="1"/>
      </c>
      <c r="AY674">
        <f ca="1"/>
      </c>
      <c r="BA674" s="7"/>
    </row>
    <row r="675" spans="31:53" x14ac:dyDescent="0.55000000000000004">
      <c r="AE675" s="7">
        <f ca="1"/>
      </c>
      <c r="AF675">
        <f ca="1"/>
      </c>
      <c r="AG675">
        <f ca="1"/>
      </c>
      <c r="AH675">
        <f ca="1"/>
      </c>
      <c r="AI675">
        <f ca="1"/>
      </c>
      <c r="AJ675">
        <f ca="1"/>
      </c>
      <c r="AK675">
        <f ca="1"/>
      </c>
      <c r="AL675">
        <f ca="1"/>
      </c>
      <c r="AM675">
        <f ca="1"/>
      </c>
      <c r="AN675">
        <f ca="1"/>
      </c>
      <c r="AO675">
        <f ca="1"/>
      </c>
      <c r="AP675">
        <f ca="1"/>
      </c>
      <c r="AQ675">
        <f ca="1"/>
      </c>
      <c r="AR675">
        <f ca="1"/>
      </c>
      <c r="AT675" s="7">
        <f ca="1"/>
      </c>
      <c r="AU675">
        <f ca="1"/>
      </c>
      <c r="AV675">
        <f ca="1"/>
      </c>
      <c r="AW675">
        <f ca="1"/>
      </c>
      <c r="AX675">
        <f ca="1"/>
      </c>
      <c r="AY675">
        <f ca="1"/>
      </c>
      <c r="BA675" s="7"/>
    </row>
    <row r="676" spans="31:53" x14ac:dyDescent="0.55000000000000004">
      <c r="AE676" s="7">
        <f ca="1"/>
      </c>
      <c r="AF676">
        <f ca="1"/>
      </c>
      <c r="AG676">
        <f ca="1"/>
      </c>
      <c r="AH676">
        <f ca="1"/>
      </c>
      <c r="AI676">
        <f ca="1"/>
      </c>
      <c r="AJ676">
        <f ca="1"/>
      </c>
      <c r="AK676">
        <f ca="1"/>
      </c>
      <c r="AL676">
        <f ca="1"/>
      </c>
      <c r="AM676">
        <f ca="1"/>
      </c>
      <c r="AN676">
        <f ca="1"/>
      </c>
      <c r="AO676">
        <f ca="1"/>
      </c>
      <c r="AP676">
        <f ca="1"/>
      </c>
      <c r="AQ676">
        <f ca="1"/>
      </c>
      <c r="AR676">
        <f ca="1"/>
      </c>
      <c r="AT676" s="7">
        <f ca="1"/>
      </c>
      <c r="AU676">
        <f ca="1"/>
      </c>
      <c r="AV676">
        <f ca="1"/>
      </c>
      <c r="AW676">
        <f ca="1"/>
      </c>
      <c r="AX676">
        <f ca="1"/>
      </c>
      <c r="AY676">
        <f ca="1"/>
      </c>
      <c r="BA676" s="7"/>
    </row>
    <row r="677" spans="31:53" x14ac:dyDescent="0.55000000000000004">
      <c r="AE677" s="7">
        <f ca="1"/>
      </c>
      <c r="AF677">
        <f ca="1"/>
      </c>
      <c r="AG677">
        <f ca="1"/>
      </c>
      <c r="AH677">
        <f ca="1"/>
      </c>
      <c r="AI677">
        <f ca="1"/>
      </c>
      <c r="AJ677">
        <f ca="1"/>
      </c>
      <c r="AK677">
        <f ca="1"/>
      </c>
      <c r="AL677">
        <f ca="1"/>
      </c>
      <c r="AM677">
        <f ca="1"/>
      </c>
      <c r="AN677">
        <f ca="1"/>
      </c>
      <c r="AO677">
        <f ca="1"/>
      </c>
      <c r="AP677">
        <f ca="1"/>
      </c>
      <c r="AQ677">
        <f ca="1"/>
      </c>
      <c r="AR677">
        <f ca="1"/>
      </c>
      <c r="AT677" s="7">
        <f ca="1"/>
      </c>
      <c r="AU677">
        <f ca="1"/>
      </c>
      <c r="AV677">
        <f ca="1"/>
      </c>
      <c r="AW677">
        <f ca="1"/>
      </c>
      <c r="AX677">
        <f ca="1"/>
      </c>
      <c r="AY677">
        <f ca="1"/>
      </c>
      <c r="BA677" s="7"/>
    </row>
    <row r="678" spans="31:53" x14ac:dyDescent="0.55000000000000004">
      <c r="AE678" s="7">
        <f ca="1"/>
      </c>
      <c r="AF678">
        <f ca="1"/>
      </c>
      <c r="AG678">
        <f ca="1"/>
      </c>
      <c r="AH678">
        <f ca="1"/>
      </c>
      <c r="AI678">
        <f ca="1"/>
      </c>
      <c r="AJ678">
        <f ca="1"/>
      </c>
      <c r="AK678">
        <f ca="1"/>
      </c>
      <c r="AL678">
        <f ca="1"/>
      </c>
      <c r="AM678">
        <f ca="1"/>
      </c>
      <c r="AN678">
        <f ca="1"/>
      </c>
      <c r="AO678">
        <f ca="1"/>
      </c>
      <c r="AP678">
        <f ca="1"/>
      </c>
      <c r="AQ678">
        <f ca="1"/>
      </c>
      <c r="AR678">
        <f ca="1"/>
      </c>
      <c r="AT678" s="7">
        <f ca="1"/>
      </c>
      <c r="AU678">
        <f ca="1"/>
      </c>
      <c r="AV678">
        <f ca="1"/>
      </c>
      <c r="AW678">
        <f ca="1"/>
      </c>
      <c r="AX678">
        <f ca="1"/>
      </c>
      <c r="AY678">
        <f ca="1"/>
      </c>
      <c r="BA678" s="7"/>
    </row>
    <row r="679" spans="31:53" x14ac:dyDescent="0.55000000000000004">
      <c r="AE679" s="7">
        <f ca="1"/>
      </c>
      <c r="AF679">
        <f ca="1"/>
      </c>
      <c r="AG679">
        <f ca="1"/>
      </c>
      <c r="AH679">
        <f ca="1"/>
      </c>
      <c r="AI679">
        <f ca="1"/>
      </c>
      <c r="AJ679">
        <f ca="1"/>
      </c>
      <c r="AK679">
        <f ca="1"/>
      </c>
      <c r="AL679">
        <f ca="1"/>
      </c>
      <c r="AM679">
        <f ca="1"/>
      </c>
      <c r="AN679">
        <f ca="1"/>
      </c>
      <c r="AO679">
        <f ca="1"/>
      </c>
      <c r="AP679">
        <f ca="1"/>
      </c>
      <c r="AQ679">
        <f ca="1"/>
      </c>
      <c r="AR679">
        <f ca="1"/>
      </c>
      <c r="AT679" s="7">
        <f ca="1"/>
      </c>
      <c r="AU679">
        <f ca="1"/>
      </c>
      <c r="AV679">
        <f ca="1"/>
      </c>
      <c r="AW679">
        <f ca="1"/>
      </c>
      <c r="AX679">
        <f ca="1"/>
      </c>
      <c r="AY679">
        <f ca="1"/>
      </c>
      <c r="BA679" s="7"/>
    </row>
    <row r="680" spans="31:53" x14ac:dyDescent="0.55000000000000004">
      <c r="AE680" s="7">
        <f ca="1"/>
      </c>
      <c r="AF680">
        <f ca="1"/>
      </c>
      <c r="AG680">
        <f ca="1"/>
      </c>
      <c r="AH680">
        <f ca="1"/>
      </c>
      <c r="AI680">
        <f ca="1"/>
      </c>
      <c r="AJ680">
        <f ca="1"/>
      </c>
      <c r="AK680">
        <f ca="1"/>
      </c>
      <c r="AL680">
        <f ca="1"/>
      </c>
      <c r="AM680">
        <f ca="1"/>
      </c>
      <c r="AN680">
        <f ca="1"/>
      </c>
      <c r="AO680">
        <f ca="1"/>
      </c>
      <c r="AP680">
        <f ca="1"/>
      </c>
      <c r="AQ680">
        <f ca="1"/>
      </c>
      <c r="AR680">
        <f ca="1"/>
      </c>
      <c r="AT680" s="7">
        <f ca="1"/>
      </c>
      <c r="AU680">
        <f ca="1"/>
      </c>
      <c r="AV680">
        <f ca="1"/>
      </c>
      <c r="AW680">
        <f ca="1"/>
      </c>
      <c r="AX680">
        <f ca="1"/>
      </c>
      <c r="AY680">
        <f ca="1"/>
      </c>
      <c r="BA680" s="7"/>
    </row>
    <row r="681" spans="31:53" x14ac:dyDescent="0.55000000000000004">
      <c r="AE681" s="7">
        <f ca="1"/>
      </c>
      <c r="AF681">
        <f ca="1"/>
      </c>
      <c r="AG681">
        <f ca="1"/>
      </c>
      <c r="AH681">
        <f ca="1"/>
      </c>
      <c r="AI681">
        <f ca="1"/>
      </c>
      <c r="AJ681">
        <f ca="1"/>
      </c>
      <c r="AK681">
        <f ca="1"/>
      </c>
      <c r="AL681">
        <f ca="1"/>
      </c>
      <c r="AM681">
        <f ca="1"/>
      </c>
      <c r="AN681">
        <f ca="1"/>
      </c>
      <c r="AO681">
        <f ca="1"/>
      </c>
      <c r="AP681">
        <f ca="1"/>
      </c>
      <c r="AQ681">
        <f ca="1"/>
      </c>
      <c r="AR681">
        <f ca="1"/>
      </c>
      <c r="AT681" s="7">
        <f ca="1"/>
      </c>
      <c r="AU681">
        <f ca="1"/>
      </c>
      <c r="AV681">
        <f ca="1"/>
      </c>
      <c r="AW681">
        <f ca="1"/>
      </c>
      <c r="AX681">
        <f ca="1"/>
      </c>
      <c r="AY681">
        <f ca="1"/>
      </c>
      <c r="BA681" s="7"/>
    </row>
    <row r="682" spans="31:53" x14ac:dyDescent="0.55000000000000004">
      <c r="AE682" s="7">
        <f ca="1"/>
      </c>
      <c r="AF682">
        <f ca="1"/>
      </c>
      <c r="AG682">
        <f ca="1"/>
      </c>
      <c r="AH682">
        <f ca="1"/>
      </c>
      <c r="AI682">
        <f ca="1"/>
      </c>
      <c r="AJ682">
        <f ca="1"/>
      </c>
      <c r="AK682">
        <f ca="1"/>
      </c>
      <c r="AL682">
        <f ca="1"/>
      </c>
      <c r="AM682">
        <f ca="1"/>
      </c>
      <c r="AN682">
        <f ca="1"/>
      </c>
      <c r="AO682">
        <f ca="1"/>
      </c>
      <c r="AP682">
        <f ca="1"/>
      </c>
      <c r="AQ682">
        <f ca="1"/>
      </c>
      <c r="AR682">
        <f ca="1"/>
      </c>
      <c r="AT682" s="7">
        <f ca="1"/>
      </c>
      <c r="AU682">
        <f ca="1"/>
      </c>
      <c r="AV682">
        <f ca="1"/>
      </c>
      <c r="AW682">
        <f ca="1"/>
      </c>
      <c r="AX682">
        <f ca="1"/>
      </c>
      <c r="AY682">
        <f ca="1"/>
      </c>
      <c r="BA682" s="7"/>
    </row>
    <row r="683" spans="31:53" x14ac:dyDescent="0.55000000000000004">
      <c r="AE683" s="7">
        <f ca="1"/>
      </c>
      <c r="AF683">
        <f ca="1"/>
      </c>
      <c r="AG683">
        <f ca="1"/>
      </c>
      <c r="AH683">
        <f ca="1"/>
      </c>
      <c r="AI683">
        <f ca="1"/>
      </c>
      <c r="AJ683">
        <f ca="1"/>
      </c>
      <c r="AK683">
        <f ca="1"/>
      </c>
      <c r="AL683">
        <f ca="1"/>
      </c>
      <c r="AM683">
        <f ca="1"/>
      </c>
      <c r="AN683">
        <f ca="1"/>
      </c>
      <c r="AO683">
        <f ca="1"/>
      </c>
      <c r="AP683">
        <f ca="1"/>
      </c>
      <c r="AQ683">
        <f ca="1"/>
      </c>
      <c r="AR683">
        <f ca="1"/>
      </c>
      <c r="AT683" s="7">
        <f ca="1"/>
      </c>
      <c r="AU683">
        <f ca="1"/>
      </c>
      <c r="AV683">
        <f ca="1"/>
      </c>
      <c r="AW683">
        <f ca="1"/>
      </c>
      <c r="AX683">
        <f ca="1"/>
      </c>
      <c r="AY683">
        <f ca="1"/>
      </c>
      <c r="BA683" s="7"/>
    </row>
    <row r="684" spans="31:53" x14ac:dyDescent="0.55000000000000004">
      <c r="AE684" s="7">
        <f ca="1"/>
      </c>
      <c r="AF684">
        <f ca="1"/>
      </c>
      <c r="AG684">
        <f ca="1"/>
      </c>
      <c r="AH684">
        <f ca="1"/>
      </c>
      <c r="AI684">
        <f ca="1"/>
      </c>
      <c r="AJ684">
        <f ca="1"/>
      </c>
      <c r="AK684">
        <f ca="1"/>
      </c>
      <c r="AL684">
        <f ca="1"/>
      </c>
      <c r="AM684">
        <f ca="1"/>
      </c>
      <c r="AN684">
        <f ca="1"/>
      </c>
      <c r="AO684">
        <f ca="1"/>
      </c>
      <c r="AP684">
        <f ca="1"/>
      </c>
      <c r="AQ684">
        <f ca="1"/>
      </c>
      <c r="AR684">
        <f ca="1"/>
      </c>
      <c r="AT684" s="7">
        <f ca="1"/>
      </c>
      <c r="AU684">
        <f ca="1"/>
      </c>
      <c r="AV684">
        <f ca="1"/>
      </c>
      <c r="AW684">
        <f ca="1"/>
      </c>
      <c r="AX684">
        <f ca="1"/>
      </c>
      <c r="AY684">
        <f ca="1"/>
      </c>
      <c r="BA684" s="7"/>
    </row>
    <row r="685" spans="31:53" x14ac:dyDescent="0.55000000000000004">
      <c r="AE685" s="7">
        <f ca="1"/>
      </c>
      <c r="AF685">
        <f ca="1"/>
      </c>
      <c r="AG685">
        <f ca="1"/>
      </c>
      <c r="AH685">
        <f ca="1"/>
      </c>
      <c r="AI685">
        <f ca="1"/>
      </c>
      <c r="AJ685">
        <f ca="1"/>
      </c>
      <c r="AK685">
        <f ca="1"/>
      </c>
      <c r="AL685">
        <f ca="1"/>
      </c>
      <c r="AM685">
        <f ca="1"/>
      </c>
      <c r="AN685">
        <f ca="1"/>
      </c>
      <c r="AO685">
        <f ca="1"/>
      </c>
      <c r="AP685">
        <f ca="1"/>
      </c>
      <c r="AQ685">
        <f ca="1"/>
      </c>
      <c r="AR685">
        <f ca="1"/>
      </c>
      <c r="AT685" s="7">
        <f ca="1"/>
      </c>
      <c r="AU685">
        <f ca="1"/>
      </c>
      <c r="AV685">
        <f ca="1"/>
      </c>
      <c r="AW685">
        <f ca="1"/>
      </c>
      <c r="AX685">
        <f ca="1"/>
      </c>
      <c r="AY685">
        <f ca="1"/>
      </c>
      <c r="BA685" s="7"/>
    </row>
    <row r="686" spans="31:53" x14ac:dyDescent="0.55000000000000004">
      <c r="AE686" s="7">
        <f ca="1"/>
      </c>
      <c r="AF686">
        <f ca="1"/>
      </c>
      <c r="AG686">
        <f ca="1"/>
      </c>
      <c r="AH686">
        <f ca="1"/>
      </c>
      <c r="AI686">
        <f ca="1"/>
      </c>
      <c r="AJ686">
        <f ca="1"/>
      </c>
      <c r="AK686">
        <f ca="1"/>
      </c>
      <c r="AL686">
        <f ca="1"/>
      </c>
      <c r="AM686">
        <f ca="1"/>
      </c>
      <c r="AN686">
        <f ca="1"/>
      </c>
      <c r="AO686">
        <f ca="1"/>
      </c>
      <c r="AP686">
        <f ca="1"/>
      </c>
      <c r="AQ686">
        <f ca="1"/>
      </c>
      <c r="AR686">
        <f ca="1"/>
      </c>
      <c r="AT686" s="7">
        <f ca="1"/>
      </c>
      <c r="AU686">
        <f ca="1"/>
      </c>
      <c r="AV686">
        <f ca="1"/>
      </c>
      <c r="AW686">
        <f ca="1"/>
      </c>
      <c r="AX686">
        <f ca="1"/>
      </c>
      <c r="AY686">
        <f ca="1"/>
      </c>
      <c r="BA686" s="7"/>
    </row>
    <row r="687" spans="31:53" x14ac:dyDescent="0.55000000000000004">
      <c r="AE687" s="7">
        <f ca="1"/>
      </c>
      <c r="AF687">
        <f ca="1"/>
      </c>
      <c r="AG687">
        <f ca="1"/>
      </c>
      <c r="AH687">
        <f ca="1"/>
      </c>
      <c r="AI687">
        <f ca="1"/>
      </c>
      <c r="AJ687">
        <f ca="1"/>
      </c>
      <c r="AK687">
        <f ca="1"/>
      </c>
      <c r="AL687">
        <f ca="1"/>
      </c>
      <c r="AM687">
        <f ca="1"/>
      </c>
      <c r="AN687">
        <f ca="1"/>
      </c>
      <c r="AO687">
        <f ca="1"/>
      </c>
      <c r="AP687">
        <f ca="1"/>
      </c>
      <c r="AQ687">
        <f ca="1"/>
      </c>
      <c r="AR687">
        <f ca="1"/>
      </c>
      <c r="AT687" s="7">
        <f ca="1"/>
      </c>
      <c r="AU687">
        <f ca="1"/>
      </c>
      <c r="AV687">
        <f ca="1"/>
      </c>
      <c r="AW687">
        <f ca="1"/>
      </c>
      <c r="AX687">
        <f ca="1"/>
      </c>
      <c r="AY687">
        <f ca="1"/>
      </c>
      <c r="BA687" s="7"/>
    </row>
    <row r="688" spans="31:53" x14ac:dyDescent="0.55000000000000004">
      <c r="AE688" s="7">
        <f ca="1"/>
      </c>
      <c r="AF688">
        <f ca="1"/>
      </c>
      <c r="AG688">
        <f ca="1"/>
      </c>
      <c r="AH688">
        <f ca="1"/>
      </c>
      <c r="AI688">
        <f ca="1"/>
      </c>
      <c r="AJ688">
        <f ca="1"/>
      </c>
      <c r="AK688">
        <f ca="1"/>
      </c>
      <c r="AL688">
        <f ca="1"/>
      </c>
      <c r="AM688">
        <f ca="1"/>
      </c>
      <c r="AN688">
        <f ca="1"/>
      </c>
      <c r="AO688">
        <f ca="1"/>
      </c>
      <c r="AP688">
        <f ca="1"/>
      </c>
      <c r="AQ688">
        <f ca="1"/>
      </c>
      <c r="AR688">
        <f ca="1"/>
      </c>
      <c r="AT688" s="7">
        <f ca="1"/>
      </c>
      <c r="AU688">
        <f ca="1"/>
      </c>
      <c r="AV688">
        <f ca="1"/>
      </c>
      <c r="AW688">
        <f ca="1"/>
      </c>
      <c r="AX688">
        <f ca="1"/>
      </c>
      <c r="AY688">
        <f ca="1"/>
      </c>
      <c r="BA688" s="7"/>
    </row>
    <row r="689" spans="31:53" x14ac:dyDescent="0.55000000000000004">
      <c r="AE689" s="7">
        <f ca="1"/>
      </c>
      <c r="AF689">
        <f ca="1"/>
      </c>
      <c r="AG689">
        <f ca="1"/>
      </c>
      <c r="AH689">
        <f ca="1"/>
      </c>
      <c r="AI689">
        <f ca="1"/>
      </c>
      <c r="AJ689">
        <f ca="1"/>
      </c>
      <c r="AK689">
        <f ca="1"/>
      </c>
      <c r="AL689">
        <f ca="1"/>
      </c>
      <c r="AM689">
        <f ca="1"/>
      </c>
      <c r="AN689">
        <f ca="1"/>
      </c>
      <c r="AO689">
        <f ca="1"/>
      </c>
      <c r="AP689">
        <f ca="1"/>
      </c>
      <c r="AQ689">
        <f ca="1"/>
      </c>
      <c r="AR689">
        <f ca="1"/>
      </c>
      <c r="AT689" s="7">
        <f ca="1"/>
      </c>
      <c r="AU689">
        <f ca="1"/>
      </c>
      <c r="AV689">
        <f ca="1"/>
      </c>
      <c r="AW689">
        <f ca="1"/>
      </c>
      <c r="AX689">
        <f ca="1"/>
      </c>
      <c r="AY689">
        <f ca="1"/>
      </c>
      <c r="BA689" s="7"/>
    </row>
    <row r="690" spans="31:53" x14ac:dyDescent="0.55000000000000004">
      <c r="AE690" s="7">
        <f ca="1"/>
      </c>
      <c r="AF690">
        <f ca="1"/>
      </c>
      <c r="AG690">
        <f ca="1"/>
      </c>
      <c r="AH690">
        <f ca="1"/>
      </c>
      <c r="AI690">
        <f ca="1"/>
      </c>
      <c r="AJ690">
        <f ca="1"/>
      </c>
      <c r="AK690">
        <f ca="1"/>
      </c>
      <c r="AL690">
        <f ca="1"/>
      </c>
      <c r="AM690">
        <f ca="1"/>
      </c>
      <c r="AN690">
        <f ca="1"/>
      </c>
      <c r="AO690">
        <f ca="1"/>
      </c>
      <c r="AP690">
        <f ca="1"/>
      </c>
      <c r="AQ690">
        <f ca="1"/>
      </c>
      <c r="AR690">
        <f ca="1"/>
      </c>
      <c r="AT690" s="7">
        <f ca="1"/>
      </c>
      <c r="AU690">
        <f ca="1"/>
      </c>
      <c r="AV690">
        <f ca="1"/>
      </c>
      <c r="AW690">
        <f ca="1"/>
      </c>
      <c r="AX690">
        <f ca="1"/>
      </c>
      <c r="AY690">
        <f ca="1"/>
      </c>
      <c r="BA690" s="7"/>
    </row>
    <row r="691" spans="31:53" x14ac:dyDescent="0.55000000000000004">
      <c r="AE691" s="7">
        <f ca="1"/>
      </c>
      <c r="AF691">
        <f ca="1"/>
      </c>
      <c r="AG691">
        <f ca="1"/>
      </c>
      <c r="AH691">
        <f ca="1"/>
      </c>
      <c r="AI691">
        <f ca="1"/>
      </c>
      <c r="AJ691">
        <f ca="1"/>
      </c>
      <c r="AK691">
        <f ca="1"/>
      </c>
      <c r="AL691">
        <f ca="1"/>
      </c>
      <c r="AM691">
        <f ca="1"/>
      </c>
      <c r="AN691">
        <f ca="1"/>
      </c>
      <c r="AO691">
        <f ca="1"/>
      </c>
      <c r="AP691">
        <f ca="1"/>
      </c>
      <c r="AQ691">
        <f ca="1"/>
      </c>
      <c r="AR691">
        <f ca="1"/>
      </c>
      <c r="AT691" s="7">
        <f ca="1"/>
      </c>
      <c r="AU691">
        <f ca="1"/>
      </c>
      <c r="AV691">
        <f ca="1"/>
      </c>
      <c r="AW691">
        <f ca="1"/>
      </c>
      <c r="AX691">
        <f ca="1"/>
      </c>
      <c r="AY691">
        <f ca="1"/>
      </c>
      <c r="BA691" s="7"/>
    </row>
    <row r="692" spans="31:53" x14ac:dyDescent="0.55000000000000004">
      <c r="AE692" s="7">
        <f ca="1"/>
      </c>
      <c r="AF692">
        <f ca="1"/>
      </c>
      <c r="AG692">
        <f ca="1"/>
      </c>
      <c r="AH692">
        <f ca="1"/>
      </c>
      <c r="AI692">
        <f ca="1"/>
      </c>
      <c r="AJ692">
        <f ca="1"/>
      </c>
      <c r="AK692">
        <f ca="1"/>
      </c>
      <c r="AL692">
        <f ca="1"/>
      </c>
      <c r="AM692">
        <f ca="1"/>
      </c>
      <c r="AN692">
        <f ca="1"/>
      </c>
      <c r="AO692">
        <f ca="1"/>
      </c>
      <c r="AP692">
        <f ca="1"/>
      </c>
      <c r="AQ692">
        <f ca="1"/>
      </c>
      <c r="AR692">
        <f ca="1"/>
      </c>
      <c r="AT692" s="7">
        <f ca="1"/>
      </c>
      <c r="AU692">
        <f ca="1"/>
      </c>
      <c r="AV692">
        <f ca="1"/>
      </c>
      <c r="AW692">
        <f ca="1"/>
      </c>
      <c r="AX692">
        <f ca="1"/>
      </c>
      <c r="AY692">
        <f ca="1"/>
      </c>
      <c r="BA692" s="7"/>
    </row>
    <row r="693" spans="31:53" x14ac:dyDescent="0.55000000000000004">
      <c r="AE693" s="7">
        <f ca="1"/>
      </c>
      <c r="AF693">
        <f ca="1"/>
      </c>
      <c r="AG693">
        <f ca="1"/>
      </c>
      <c r="AH693">
        <f ca="1"/>
      </c>
      <c r="AI693">
        <f ca="1"/>
      </c>
      <c r="AJ693">
        <f ca="1"/>
      </c>
      <c r="AK693">
        <f ca="1"/>
      </c>
      <c r="AL693">
        <f ca="1"/>
      </c>
      <c r="AM693">
        <f ca="1"/>
      </c>
      <c r="AN693">
        <f ca="1"/>
      </c>
      <c r="AO693">
        <f ca="1"/>
      </c>
      <c r="AP693">
        <f ca="1"/>
      </c>
      <c r="AQ693">
        <f ca="1"/>
      </c>
      <c r="AR693">
        <f ca="1"/>
      </c>
      <c r="AT693" s="7">
        <f ca="1"/>
      </c>
      <c r="AU693">
        <f ca="1"/>
      </c>
      <c r="AV693">
        <f ca="1"/>
      </c>
      <c r="AW693">
        <f ca="1"/>
      </c>
      <c r="AX693">
        <f ca="1"/>
      </c>
      <c r="AY693">
        <f ca="1"/>
      </c>
      <c r="BA693" s="7"/>
    </row>
    <row r="694" spans="31:53" x14ac:dyDescent="0.55000000000000004">
      <c r="AE694" s="7">
        <f ca="1"/>
      </c>
      <c r="AF694">
        <f ca="1"/>
      </c>
      <c r="AG694">
        <f ca="1"/>
      </c>
      <c r="AH694">
        <f ca="1"/>
      </c>
      <c r="AI694">
        <f ca="1"/>
      </c>
      <c r="AJ694">
        <f ca="1"/>
      </c>
      <c r="AK694">
        <f ca="1"/>
      </c>
      <c r="AL694">
        <f ca="1"/>
      </c>
      <c r="AM694">
        <f ca="1"/>
      </c>
      <c r="AN694">
        <f ca="1"/>
      </c>
      <c r="AO694">
        <f ca="1"/>
      </c>
      <c r="AP694">
        <f ca="1"/>
      </c>
      <c r="AQ694">
        <f ca="1"/>
      </c>
      <c r="AR694">
        <f ca="1"/>
      </c>
      <c r="AT694" s="7">
        <f ca="1"/>
      </c>
      <c r="AU694">
        <f ca="1"/>
      </c>
      <c r="AV694">
        <f ca="1"/>
      </c>
      <c r="AW694">
        <f ca="1"/>
      </c>
      <c r="AX694">
        <f ca="1"/>
      </c>
      <c r="AY694">
        <f ca="1"/>
      </c>
      <c r="BA694" s="7"/>
    </row>
    <row r="695" spans="31:53" x14ac:dyDescent="0.55000000000000004">
      <c r="AE695" s="7">
        <f ca="1"/>
      </c>
      <c r="AF695">
        <f ca="1"/>
      </c>
      <c r="AG695">
        <f ca="1"/>
      </c>
      <c r="AH695">
        <f ca="1"/>
      </c>
      <c r="AI695">
        <f ca="1"/>
      </c>
      <c r="AJ695">
        <f ca="1"/>
      </c>
      <c r="AK695">
        <f ca="1"/>
      </c>
      <c r="AL695">
        <f ca="1"/>
      </c>
      <c r="AM695">
        <f ca="1"/>
      </c>
      <c r="AN695">
        <f ca="1"/>
      </c>
      <c r="AO695">
        <f ca="1"/>
      </c>
      <c r="AP695">
        <f ca="1"/>
      </c>
      <c r="AQ695">
        <f ca="1"/>
      </c>
      <c r="AR695">
        <f ca="1"/>
      </c>
      <c r="AT695" s="7">
        <f ca="1"/>
      </c>
      <c r="AU695">
        <f ca="1"/>
      </c>
      <c r="AV695">
        <f ca="1"/>
      </c>
      <c r="AW695">
        <f ca="1"/>
      </c>
      <c r="AX695">
        <f ca="1"/>
      </c>
      <c r="AY695">
        <f ca="1"/>
      </c>
      <c r="BA695" s="7"/>
    </row>
    <row r="696" spans="31:53" x14ac:dyDescent="0.55000000000000004">
      <c r="AE696" s="7">
        <f ca="1"/>
      </c>
      <c r="AF696">
        <f ca="1"/>
      </c>
      <c r="AG696">
        <f ca="1"/>
      </c>
      <c r="AH696">
        <f ca="1"/>
      </c>
      <c r="AI696">
        <f ca="1"/>
      </c>
      <c r="AJ696">
        <f ca="1"/>
      </c>
      <c r="AK696">
        <f ca="1"/>
      </c>
      <c r="AL696">
        <f ca="1"/>
      </c>
      <c r="AM696">
        <f ca="1"/>
      </c>
      <c r="AN696">
        <f ca="1"/>
      </c>
      <c r="AO696">
        <f ca="1"/>
      </c>
      <c r="AP696">
        <f ca="1"/>
      </c>
      <c r="AQ696">
        <f ca="1"/>
      </c>
      <c r="AR696">
        <f ca="1"/>
      </c>
      <c r="AT696" s="7">
        <f ca="1"/>
      </c>
      <c r="AU696">
        <f ca="1"/>
      </c>
      <c r="AV696">
        <f ca="1"/>
      </c>
      <c r="AW696">
        <f ca="1"/>
      </c>
      <c r="AX696">
        <f ca="1"/>
      </c>
      <c r="AY696">
        <f ca="1"/>
      </c>
      <c r="BA696" s="7"/>
    </row>
    <row r="697" spans="31:53" x14ac:dyDescent="0.55000000000000004">
      <c r="AE697" s="7">
        <f ca="1"/>
      </c>
      <c r="AF697">
        <f ca="1"/>
      </c>
      <c r="AG697">
        <f ca="1"/>
      </c>
      <c r="AH697">
        <f ca="1"/>
      </c>
      <c r="AI697">
        <f ca="1"/>
      </c>
      <c r="AJ697">
        <f ca="1"/>
      </c>
      <c r="AK697">
        <f ca="1"/>
      </c>
      <c r="AL697">
        <f ca="1"/>
      </c>
      <c r="AM697">
        <f ca="1"/>
      </c>
      <c r="AN697">
        <f ca="1"/>
      </c>
      <c r="AO697">
        <f ca="1"/>
      </c>
      <c r="AP697">
        <f ca="1"/>
      </c>
      <c r="AQ697">
        <f ca="1"/>
      </c>
      <c r="AR697">
        <f ca="1"/>
      </c>
      <c r="AT697" s="7">
        <f ca="1"/>
      </c>
      <c r="AU697">
        <f ca="1"/>
      </c>
      <c r="AV697">
        <f ca="1"/>
      </c>
      <c r="AW697">
        <f ca="1"/>
      </c>
      <c r="AX697">
        <f ca="1"/>
      </c>
      <c r="AY697">
        <f ca="1"/>
      </c>
      <c r="BA697" s="7"/>
    </row>
    <row r="698" spans="31:53" x14ac:dyDescent="0.55000000000000004">
      <c r="AE698" s="7">
        <f ca="1"/>
      </c>
      <c r="AF698">
        <f ca="1"/>
      </c>
      <c r="AG698">
        <f ca="1"/>
      </c>
      <c r="AH698">
        <f ca="1"/>
      </c>
      <c r="AI698">
        <f ca="1"/>
      </c>
      <c r="AJ698">
        <f ca="1"/>
      </c>
      <c r="AK698">
        <f ca="1"/>
      </c>
      <c r="AL698">
        <f ca="1"/>
      </c>
      <c r="AM698">
        <f ca="1"/>
      </c>
      <c r="AN698">
        <f ca="1"/>
      </c>
      <c r="AO698">
        <f ca="1"/>
      </c>
      <c r="AP698">
        <f ca="1"/>
      </c>
      <c r="AQ698">
        <f ca="1"/>
      </c>
      <c r="AR698">
        <f ca="1"/>
      </c>
      <c r="AT698" s="7">
        <f ca="1"/>
      </c>
      <c r="AU698">
        <f ca="1"/>
      </c>
      <c r="AV698">
        <f ca="1"/>
      </c>
      <c r="AW698">
        <f ca="1"/>
      </c>
      <c r="AX698">
        <f ca="1"/>
      </c>
      <c r="AY698">
        <f ca="1"/>
      </c>
      <c r="BA698" s="7"/>
    </row>
    <row r="699" spans="31:53" x14ac:dyDescent="0.55000000000000004">
      <c r="AE699" s="7">
        <f ca="1"/>
      </c>
      <c r="AF699">
        <f ca="1"/>
      </c>
      <c r="AG699">
        <f ca="1"/>
      </c>
      <c r="AH699">
        <f ca="1"/>
      </c>
      <c r="AI699">
        <f ca="1"/>
      </c>
      <c r="AJ699">
        <f ca="1"/>
      </c>
      <c r="AK699">
        <f ca="1"/>
      </c>
      <c r="AL699">
        <f ca="1"/>
      </c>
      <c r="AM699">
        <f ca="1"/>
      </c>
      <c r="AN699">
        <f ca="1"/>
      </c>
      <c r="AO699">
        <f ca="1"/>
      </c>
      <c r="AP699">
        <f ca="1"/>
      </c>
      <c r="AQ699">
        <f ca="1"/>
      </c>
      <c r="AR699">
        <f ca="1"/>
      </c>
      <c r="AT699" s="7">
        <f ca="1"/>
      </c>
      <c r="AU699">
        <f ca="1"/>
      </c>
      <c r="AV699">
        <f ca="1"/>
      </c>
      <c r="AW699">
        <f ca="1"/>
      </c>
      <c r="AX699">
        <f ca="1"/>
      </c>
      <c r="AY699">
        <f ca="1"/>
      </c>
      <c r="BA699" s="7"/>
    </row>
    <row r="700" spans="31:53" x14ac:dyDescent="0.55000000000000004">
      <c r="AE700" s="7">
        <f ca="1"/>
      </c>
      <c r="AF700">
        <f ca="1"/>
      </c>
      <c r="AG700">
        <f ca="1"/>
      </c>
      <c r="AH700">
        <f ca="1"/>
      </c>
      <c r="AI700">
        <f ca="1"/>
      </c>
      <c r="AJ700">
        <f ca="1"/>
      </c>
      <c r="AK700">
        <f ca="1"/>
      </c>
      <c r="AL700">
        <f ca="1"/>
      </c>
      <c r="AM700">
        <f ca="1"/>
      </c>
      <c r="AN700">
        <f ca="1"/>
      </c>
      <c r="AO700">
        <f ca="1"/>
      </c>
      <c r="AP700">
        <f ca="1"/>
      </c>
      <c r="AQ700">
        <f ca="1"/>
      </c>
      <c r="AR700">
        <f ca="1"/>
      </c>
      <c r="AT700" s="7">
        <f ca="1"/>
      </c>
      <c r="AU700">
        <f ca="1"/>
      </c>
      <c r="AV700">
        <f ca="1"/>
      </c>
      <c r="AW700">
        <f ca="1"/>
      </c>
      <c r="AX700">
        <f ca="1"/>
      </c>
      <c r="AY700">
        <f ca="1"/>
      </c>
      <c r="BA700" s="7"/>
    </row>
    <row r="701" spans="31:53" x14ac:dyDescent="0.55000000000000004">
      <c r="AE701" s="7">
        <f ca="1"/>
      </c>
      <c r="AF701">
        <f ca="1"/>
      </c>
      <c r="AG701">
        <f ca="1"/>
      </c>
      <c r="AH701">
        <f ca="1"/>
      </c>
      <c r="AI701">
        <f ca="1"/>
      </c>
      <c r="AJ701">
        <f ca="1"/>
      </c>
      <c r="AK701">
        <f ca="1"/>
      </c>
      <c r="AL701">
        <f ca="1"/>
      </c>
      <c r="AM701">
        <f ca="1"/>
      </c>
      <c r="AN701">
        <f ca="1"/>
      </c>
      <c r="AO701">
        <f ca="1"/>
      </c>
      <c r="AP701">
        <f ca="1"/>
      </c>
      <c r="AQ701">
        <f ca="1"/>
      </c>
      <c r="AR701">
        <f ca="1"/>
      </c>
      <c r="AT701" s="7">
        <f ca="1"/>
      </c>
      <c r="AU701">
        <f ca="1"/>
      </c>
      <c r="AV701">
        <f ca="1"/>
      </c>
      <c r="AW701">
        <f ca="1"/>
      </c>
      <c r="AX701">
        <f ca="1"/>
      </c>
      <c r="AY701">
        <f ca="1"/>
      </c>
      <c r="BA701" s="7"/>
    </row>
    <row r="702" spans="31:53" x14ac:dyDescent="0.55000000000000004">
      <c r="AE702" s="7">
        <f ca="1"/>
      </c>
      <c r="AF702">
        <f ca="1"/>
      </c>
      <c r="AG702">
        <f ca="1"/>
      </c>
      <c r="AH702">
        <f ca="1"/>
      </c>
      <c r="AI702">
        <f ca="1"/>
      </c>
      <c r="AJ702">
        <f ca="1"/>
      </c>
      <c r="AK702">
        <f ca="1"/>
      </c>
      <c r="AL702">
        <f ca="1"/>
      </c>
      <c r="AM702">
        <f ca="1"/>
      </c>
      <c r="AN702">
        <f ca="1"/>
      </c>
      <c r="AO702">
        <f ca="1"/>
      </c>
      <c r="AP702">
        <f ca="1"/>
      </c>
      <c r="AQ702">
        <f ca="1"/>
      </c>
      <c r="AR702">
        <f ca="1"/>
      </c>
      <c r="AT702" s="7">
        <f ca="1"/>
      </c>
      <c r="AU702">
        <f ca="1"/>
      </c>
      <c r="AV702">
        <f ca="1"/>
      </c>
      <c r="AW702">
        <f ca="1"/>
      </c>
      <c r="AX702">
        <f ca="1"/>
      </c>
      <c r="AY702">
        <f ca="1"/>
      </c>
      <c r="BA702" s="7"/>
    </row>
    <row r="703" spans="31:53" x14ac:dyDescent="0.55000000000000004">
      <c r="AE703" s="7">
        <f ca="1"/>
      </c>
      <c r="AF703">
        <f ca="1"/>
      </c>
      <c r="AG703">
        <f ca="1"/>
      </c>
      <c r="AH703">
        <f ca="1"/>
      </c>
      <c r="AI703">
        <f ca="1"/>
      </c>
      <c r="AJ703">
        <f ca="1"/>
      </c>
      <c r="AK703">
        <f ca="1"/>
      </c>
      <c r="AL703">
        <f ca="1"/>
      </c>
      <c r="AM703">
        <f ca="1"/>
      </c>
      <c r="AN703">
        <f ca="1"/>
      </c>
      <c r="AO703">
        <f ca="1"/>
      </c>
      <c r="AP703">
        <f ca="1"/>
      </c>
      <c r="AQ703">
        <f ca="1"/>
      </c>
      <c r="AR703">
        <f ca="1"/>
      </c>
      <c r="AT703" s="7">
        <f ca="1"/>
      </c>
      <c r="AU703">
        <f ca="1"/>
      </c>
      <c r="AV703">
        <f ca="1"/>
      </c>
      <c r="AW703">
        <f ca="1"/>
      </c>
      <c r="AX703">
        <f ca="1"/>
      </c>
      <c r="AY703">
        <f ca="1"/>
      </c>
      <c r="BA703" s="7"/>
    </row>
    <row r="704" spans="31:53" x14ac:dyDescent="0.55000000000000004">
      <c r="AE704" s="7">
        <f ca="1"/>
      </c>
      <c r="AF704">
        <f ca="1"/>
      </c>
      <c r="AG704">
        <f ca="1"/>
      </c>
      <c r="AH704">
        <f ca="1"/>
      </c>
      <c r="AI704">
        <f ca="1"/>
      </c>
      <c r="AJ704">
        <f ca="1"/>
      </c>
      <c r="AK704">
        <f ca="1"/>
      </c>
      <c r="AL704">
        <f ca="1"/>
      </c>
      <c r="AM704">
        <f ca="1"/>
      </c>
      <c r="AN704">
        <f ca="1"/>
      </c>
      <c r="AO704">
        <f ca="1"/>
      </c>
      <c r="AP704">
        <f ca="1"/>
      </c>
      <c r="AQ704">
        <f ca="1"/>
      </c>
      <c r="AR704">
        <f ca="1"/>
      </c>
      <c r="AT704" s="7">
        <f ca="1"/>
      </c>
      <c r="AU704">
        <f ca="1"/>
      </c>
      <c r="AV704">
        <f ca="1"/>
      </c>
      <c r="AW704">
        <f ca="1"/>
      </c>
      <c r="AX704">
        <f ca="1"/>
      </c>
      <c r="AY704">
        <f ca="1"/>
      </c>
      <c r="BA704" s="7"/>
    </row>
    <row r="705" spans="31:53" x14ac:dyDescent="0.55000000000000004">
      <c r="AE705" s="7">
        <f ca="1"/>
      </c>
      <c r="AF705">
        <f ca="1"/>
      </c>
      <c r="AG705">
        <f ca="1"/>
      </c>
      <c r="AH705">
        <f ca="1"/>
      </c>
      <c r="AI705">
        <f ca="1"/>
      </c>
      <c r="AJ705">
        <f ca="1"/>
      </c>
      <c r="AK705">
        <f ca="1"/>
      </c>
      <c r="AL705">
        <f ca="1"/>
      </c>
      <c r="AM705">
        <f ca="1"/>
      </c>
      <c r="AN705">
        <f ca="1"/>
      </c>
      <c r="AO705">
        <f ca="1"/>
      </c>
      <c r="AP705">
        <f ca="1"/>
      </c>
      <c r="AQ705">
        <f ca="1"/>
      </c>
      <c r="AR705">
        <f ca="1"/>
      </c>
      <c r="AT705" s="7">
        <f ca="1"/>
      </c>
      <c r="AU705">
        <f ca="1"/>
      </c>
      <c r="AV705">
        <f ca="1"/>
      </c>
      <c r="AW705">
        <f ca="1"/>
      </c>
      <c r="AX705">
        <f ca="1"/>
      </c>
      <c r="AY705">
        <f ca="1"/>
      </c>
      <c r="BA705" s="7"/>
    </row>
    <row r="706" spans="31:53" x14ac:dyDescent="0.55000000000000004">
      <c r="AE706" s="7">
        <f ca="1"/>
      </c>
      <c r="AF706">
        <f ca="1"/>
      </c>
      <c r="AG706">
        <f ca="1"/>
      </c>
      <c r="AH706">
        <f ca="1"/>
      </c>
      <c r="AI706">
        <f ca="1"/>
      </c>
      <c r="AJ706">
        <f ca="1"/>
      </c>
      <c r="AK706">
        <f ca="1"/>
      </c>
      <c r="AL706">
        <f ca="1"/>
      </c>
      <c r="AM706">
        <f ca="1"/>
      </c>
      <c r="AN706">
        <f ca="1"/>
      </c>
      <c r="AO706">
        <f ca="1"/>
      </c>
      <c r="AP706">
        <f ca="1"/>
      </c>
      <c r="AQ706">
        <f ca="1"/>
      </c>
      <c r="AR706">
        <f ca="1"/>
      </c>
      <c r="AT706" s="7">
        <f ca="1"/>
      </c>
      <c r="AU706">
        <f ca="1"/>
      </c>
      <c r="AV706">
        <f ca="1"/>
      </c>
      <c r="AW706">
        <f ca="1"/>
      </c>
      <c r="AX706">
        <f ca="1"/>
      </c>
      <c r="AY706">
        <f ca="1"/>
      </c>
      <c r="BA706" s="7"/>
    </row>
    <row r="707" spans="31:53" x14ac:dyDescent="0.55000000000000004">
      <c r="AE707" s="7">
        <f ca="1"/>
      </c>
      <c r="AF707">
        <f ca="1"/>
      </c>
      <c r="AG707">
        <f ca="1"/>
      </c>
      <c r="AH707">
        <f ca="1"/>
      </c>
      <c r="AI707">
        <f ca="1"/>
      </c>
      <c r="AJ707">
        <f ca="1"/>
      </c>
      <c r="AK707">
        <f ca="1"/>
      </c>
      <c r="AL707">
        <f ca="1"/>
      </c>
      <c r="AM707">
        <f ca="1"/>
      </c>
      <c r="AN707">
        <f ca="1"/>
      </c>
      <c r="AO707">
        <f ca="1"/>
      </c>
      <c r="AP707">
        <f ca="1"/>
      </c>
      <c r="AQ707">
        <f ca="1"/>
      </c>
      <c r="AR707">
        <f ca="1"/>
      </c>
      <c r="AT707" s="7">
        <f ca="1"/>
      </c>
      <c r="AU707">
        <f ca="1"/>
      </c>
      <c r="AV707">
        <f ca="1"/>
      </c>
      <c r="AW707">
        <f ca="1"/>
      </c>
      <c r="AX707">
        <f ca="1"/>
      </c>
      <c r="AY707">
        <f ca="1"/>
      </c>
      <c r="BA707" s="7"/>
    </row>
    <row r="708" spans="31:53" x14ac:dyDescent="0.55000000000000004">
      <c r="AE708" s="7">
        <f ca="1"/>
      </c>
      <c r="AF708">
        <f ca="1"/>
      </c>
      <c r="AG708">
        <f ca="1"/>
      </c>
      <c r="AH708">
        <f ca="1"/>
      </c>
      <c r="AI708">
        <f ca="1"/>
      </c>
      <c r="AJ708">
        <f ca="1"/>
      </c>
      <c r="AK708">
        <f ca="1"/>
      </c>
      <c r="AL708">
        <f ca="1"/>
      </c>
      <c r="AM708">
        <f ca="1"/>
      </c>
      <c r="AN708">
        <f ca="1"/>
      </c>
      <c r="AO708">
        <f ca="1"/>
      </c>
      <c r="AP708">
        <f ca="1"/>
      </c>
      <c r="AQ708">
        <f ca="1"/>
      </c>
      <c r="AR708">
        <f ca="1"/>
      </c>
      <c r="AT708" s="7">
        <f ca="1"/>
      </c>
      <c r="AU708">
        <f ca="1"/>
      </c>
      <c r="AV708">
        <f ca="1"/>
      </c>
      <c r="AW708">
        <f ca="1"/>
      </c>
      <c r="AX708">
        <f ca="1"/>
      </c>
      <c r="AY708">
        <f ca="1"/>
      </c>
      <c r="BA708" s="7"/>
    </row>
    <row r="709" spans="31:53" x14ac:dyDescent="0.55000000000000004">
      <c r="AE709" s="7">
        <f ca="1"/>
      </c>
      <c r="AF709">
        <f ca="1"/>
      </c>
      <c r="AG709">
        <f ca="1"/>
      </c>
      <c r="AH709">
        <f ca="1"/>
      </c>
      <c r="AI709">
        <f ca="1"/>
      </c>
      <c r="AJ709">
        <f ca="1"/>
      </c>
      <c r="AK709">
        <f ca="1"/>
      </c>
      <c r="AL709">
        <f ca="1"/>
      </c>
      <c r="AM709">
        <f ca="1"/>
      </c>
      <c r="AN709">
        <f ca="1"/>
      </c>
      <c r="AO709">
        <f ca="1"/>
      </c>
      <c r="AP709">
        <f ca="1"/>
      </c>
      <c r="AQ709">
        <f ca="1"/>
      </c>
      <c r="AR709">
        <f ca="1"/>
      </c>
      <c r="AT709" s="7">
        <f ca="1"/>
      </c>
      <c r="AU709">
        <f ca="1"/>
      </c>
      <c r="AV709">
        <f ca="1"/>
      </c>
      <c r="AW709">
        <f ca="1"/>
      </c>
      <c r="AX709">
        <f ca="1"/>
      </c>
      <c r="AY709">
        <f ca="1"/>
      </c>
      <c r="BA709" s="7"/>
    </row>
    <row r="710" spans="31:53" x14ac:dyDescent="0.55000000000000004">
      <c r="AE710" s="7">
        <f ca="1"/>
      </c>
      <c r="AF710">
        <f ca="1"/>
      </c>
      <c r="AG710">
        <f ca="1"/>
      </c>
      <c r="AH710">
        <f ca="1"/>
      </c>
      <c r="AI710">
        <f ca="1"/>
      </c>
      <c r="AJ710">
        <f ca="1"/>
      </c>
      <c r="AK710">
        <f ca="1"/>
      </c>
      <c r="AL710">
        <f ca="1"/>
      </c>
      <c r="AM710">
        <f ca="1"/>
      </c>
      <c r="AN710">
        <f ca="1"/>
      </c>
      <c r="AO710">
        <f ca="1"/>
      </c>
      <c r="AP710">
        <f ca="1"/>
      </c>
      <c r="AQ710">
        <f ca="1"/>
      </c>
      <c r="AR710">
        <f ca="1"/>
      </c>
      <c r="AT710" s="7">
        <f ca="1"/>
      </c>
      <c r="AU710">
        <f ca="1"/>
      </c>
      <c r="AV710">
        <f ca="1"/>
      </c>
      <c r="AW710">
        <f ca="1"/>
      </c>
      <c r="AX710">
        <f ca="1"/>
      </c>
      <c r="AY710">
        <f ca="1"/>
      </c>
      <c r="BA710" s="7"/>
    </row>
    <row r="711" spans="31:53" x14ac:dyDescent="0.55000000000000004">
      <c r="AE711" s="7">
        <f ca="1"/>
      </c>
      <c r="AF711">
        <f ca="1"/>
      </c>
      <c r="AG711">
        <f ca="1"/>
      </c>
      <c r="AH711">
        <f ca="1"/>
      </c>
      <c r="AI711">
        <f ca="1"/>
      </c>
      <c r="AJ711">
        <f ca="1"/>
      </c>
      <c r="AK711">
        <f ca="1"/>
      </c>
      <c r="AL711">
        <f ca="1"/>
      </c>
      <c r="AM711">
        <f ca="1"/>
      </c>
      <c r="AN711">
        <f ca="1"/>
      </c>
      <c r="AO711">
        <f ca="1"/>
      </c>
      <c r="AP711">
        <f ca="1"/>
      </c>
      <c r="AQ711">
        <f ca="1"/>
      </c>
      <c r="AR711">
        <f ca="1"/>
      </c>
      <c r="AT711" s="7">
        <f ca="1"/>
      </c>
      <c r="AU711">
        <f ca="1"/>
      </c>
      <c r="AV711">
        <f ca="1"/>
      </c>
      <c r="AW711">
        <f ca="1"/>
      </c>
      <c r="AX711">
        <f ca="1"/>
      </c>
      <c r="AY711">
        <f ca="1"/>
      </c>
      <c r="BA711" s="7"/>
    </row>
    <row r="712" spans="31:53" x14ac:dyDescent="0.55000000000000004">
      <c r="AE712" s="7">
        <f ca="1"/>
      </c>
      <c r="AF712">
        <f ca="1"/>
      </c>
      <c r="AG712">
        <f ca="1"/>
      </c>
      <c r="AH712">
        <f ca="1"/>
      </c>
      <c r="AI712">
        <f ca="1"/>
      </c>
      <c r="AJ712">
        <f ca="1"/>
      </c>
      <c r="AK712">
        <f ca="1"/>
      </c>
      <c r="AL712">
        <f ca="1"/>
      </c>
      <c r="AM712">
        <f ca="1"/>
      </c>
      <c r="AN712">
        <f ca="1"/>
      </c>
      <c r="AO712">
        <f ca="1"/>
      </c>
      <c r="AP712">
        <f ca="1"/>
      </c>
      <c r="AQ712">
        <f ca="1"/>
      </c>
      <c r="AR712">
        <f ca="1"/>
      </c>
      <c r="AT712" s="7">
        <f ca="1"/>
      </c>
      <c r="AU712">
        <f ca="1"/>
      </c>
      <c r="AV712">
        <f ca="1"/>
      </c>
      <c r="AW712">
        <f ca="1"/>
      </c>
      <c r="AX712">
        <f ca="1"/>
      </c>
      <c r="AY712">
        <f ca="1"/>
      </c>
      <c r="BA712" s="7"/>
    </row>
    <row r="713" spans="31:53" x14ac:dyDescent="0.55000000000000004">
      <c r="AE713" s="7">
        <f ca="1"/>
      </c>
      <c r="AF713">
        <f ca="1"/>
      </c>
      <c r="AG713">
        <f ca="1"/>
      </c>
      <c r="AH713">
        <f ca="1"/>
      </c>
      <c r="AI713">
        <f ca="1"/>
      </c>
      <c r="AJ713">
        <f ca="1"/>
      </c>
      <c r="AK713">
        <f ca="1"/>
      </c>
      <c r="AL713">
        <f ca="1"/>
      </c>
      <c r="AM713">
        <f ca="1"/>
      </c>
      <c r="AN713">
        <f ca="1"/>
      </c>
      <c r="AO713">
        <f ca="1"/>
      </c>
      <c r="AP713">
        <f ca="1"/>
      </c>
      <c r="AQ713">
        <f ca="1"/>
      </c>
      <c r="AR713">
        <f ca="1"/>
      </c>
      <c r="AT713" s="7">
        <f ca="1"/>
      </c>
      <c r="AU713">
        <f ca="1"/>
      </c>
      <c r="AV713">
        <f ca="1"/>
      </c>
      <c r="AW713">
        <f ca="1"/>
      </c>
      <c r="AX713">
        <f ca="1"/>
      </c>
      <c r="AY713">
        <f ca="1"/>
      </c>
      <c r="BA713" s="7"/>
    </row>
    <row r="714" spans="31:53" x14ac:dyDescent="0.55000000000000004">
      <c r="AE714" s="7">
        <f ca="1"/>
      </c>
      <c r="AF714">
        <f ca="1"/>
      </c>
      <c r="AG714">
        <f ca="1"/>
      </c>
      <c r="AH714">
        <f ca="1"/>
      </c>
      <c r="AI714">
        <f ca="1"/>
      </c>
      <c r="AJ714">
        <f ca="1"/>
      </c>
      <c r="AK714">
        <f ca="1"/>
      </c>
      <c r="AL714">
        <f ca="1"/>
      </c>
      <c r="AM714">
        <f ca="1"/>
      </c>
      <c r="AN714">
        <f ca="1"/>
      </c>
      <c r="AO714">
        <f ca="1"/>
      </c>
      <c r="AP714">
        <f ca="1"/>
      </c>
      <c r="AQ714">
        <f ca="1"/>
      </c>
      <c r="AR714">
        <f ca="1"/>
      </c>
      <c r="AT714" s="7">
        <f ca="1"/>
      </c>
      <c r="AU714">
        <f ca="1"/>
      </c>
      <c r="AV714">
        <f ca="1"/>
      </c>
      <c r="AW714">
        <f ca="1"/>
      </c>
      <c r="AX714">
        <f ca="1"/>
      </c>
      <c r="AY714">
        <f ca="1"/>
      </c>
      <c r="BA714" s="7"/>
    </row>
    <row r="715" spans="31:53" x14ac:dyDescent="0.55000000000000004">
      <c r="AE715" s="7">
        <f ca="1"/>
      </c>
      <c r="AF715">
        <f ca="1"/>
      </c>
      <c r="AG715">
        <f ca="1"/>
      </c>
      <c r="AH715">
        <f ca="1"/>
      </c>
      <c r="AI715">
        <f ca="1"/>
      </c>
      <c r="AJ715">
        <f ca="1"/>
      </c>
      <c r="AK715">
        <f ca="1"/>
      </c>
      <c r="AL715">
        <f ca="1"/>
      </c>
      <c r="AM715">
        <f ca="1"/>
      </c>
      <c r="AN715">
        <f ca="1"/>
      </c>
      <c r="AO715">
        <f ca="1"/>
      </c>
      <c r="AP715">
        <f ca="1"/>
      </c>
      <c r="AQ715">
        <f ca="1"/>
      </c>
      <c r="AR715">
        <f ca="1"/>
      </c>
      <c r="AT715" s="7">
        <f ca="1"/>
      </c>
      <c r="AU715">
        <f ca="1"/>
      </c>
      <c r="AV715">
        <f ca="1"/>
      </c>
      <c r="AW715">
        <f ca="1"/>
      </c>
      <c r="AX715">
        <f ca="1"/>
      </c>
      <c r="AY715">
        <f ca="1"/>
      </c>
      <c r="BA715" s="7"/>
    </row>
    <row r="716" spans="31:53" x14ac:dyDescent="0.55000000000000004">
      <c r="AE716" s="7">
        <f ca="1"/>
      </c>
      <c r="AF716">
        <f ca="1"/>
      </c>
      <c r="AG716">
        <f ca="1"/>
      </c>
      <c r="AH716">
        <f ca="1"/>
      </c>
      <c r="AI716">
        <f ca="1"/>
      </c>
      <c r="AJ716">
        <f ca="1"/>
      </c>
      <c r="AK716">
        <f ca="1"/>
      </c>
      <c r="AL716">
        <f ca="1"/>
      </c>
      <c r="AM716">
        <f ca="1"/>
      </c>
      <c r="AN716">
        <f ca="1"/>
      </c>
      <c r="AO716">
        <f ca="1"/>
      </c>
      <c r="AP716">
        <f ca="1"/>
      </c>
      <c r="AQ716">
        <f ca="1"/>
      </c>
      <c r="AR716">
        <f ca="1"/>
      </c>
      <c r="AT716" s="7">
        <f ca="1"/>
      </c>
      <c r="AU716">
        <f ca="1"/>
      </c>
      <c r="AV716">
        <f ca="1"/>
      </c>
      <c r="AW716">
        <f ca="1"/>
      </c>
      <c r="AX716">
        <f ca="1"/>
      </c>
      <c r="AY716">
        <f ca="1"/>
      </c>
      <c r="BA716" s="7"/>
    </row>
    <row r="717" spans="31:53" x14ac:dyDescent="0.55000000000000004">
      <c r="AE717" s="7">
        <f ca="1"/>
      </c>
      <c r="AF717">
        <f ca="1"/>
      </c>
      <c r="AG717">
        <f ca="1"/>
      </c>
      <c r="AH717">
        <f ca="1"/>
      </c>
      <c r="AI717">
        <f ca="1"/>
      </c>
      <c r="AJ717">
        <f ca="1"/>
      </c>
      <c r="AK717">
        <f ca="1"/>
      </c>
      <c r="AL717">
        <f ca="1"/>
      </c>
      <c r="AM717">
        <f ca="1"/>
      </c>
      <c r="AN717">
        <f ca="1"/>
      </c>
      <c r="AO717">
        <f ca="1"/>
      </c>
      <c r="AP717">
        <f ca="1"/>
      </c>
      <c r="AQ717">
        <f ca="1"/>
      </c>
      <c r="AR717">
        <f ca="1"/>
      </c>
      <c r="AT717" s="7">
        <f ca="1"/>
      </c>
      <c r="AU717">
        <f ca="1"/>
      </c>
      <c r="AV717">
        <f ca="1"/>
      </c>
      <c r="AW717">
        <f ca="1"/>
      </c>
      <c r="AX717">
        <f ca="1"/>
      </c>
      <c r="AY717">
        <f ca="1"/>
      </c>
      <c r="BA717" s="7"/>
    </row>
    <row r="718" spans="31:53" x14ac:dyDescent="0.55000000000000004">
      <c r="AE718" s="7">
        <f ca="1"/>
      </c>
      <c r="AF718">
        <f ca="1"/>
      </c>
      <c r="AG718">
        <f ca="1"/>
      </c>
      <c r="AH718">
        <f ca="1"/>
      </c>
      <c r="AI718">
        <f ca="1"/>
      </c>
      <c r="AJ718">
        <f ca="1"/>
      </c>
      <c r="AK718">
        <f ca="1"/>
      </c>
      <c r="AL718">
        <f ca="1"/>
      </c>
      <c r="AM718">
        <f ca="1"/>
      </c>
      <c r="AN718">
        <f ca="1"/>
      </c>
      <c r="AO718">
        <f ca="1"/>
      </c>
      <c r="AP718">
        <f ca="1"/>
      </c>
      <c r="AQ718">
        <f ca="1"/>
      </c>
      <c r="AR718">
        <f ca="1"/>
      </c>
      <c r="AT718" s="7">
        <f ca="1"/>
      </c>
      <c r="AU718">
        <f ca="1"/>
      </c>
      <c r="AV718">
        <f ca="1"/>
      </c>
      <c r="AW718">
        <f ca="1"/>
      </c>
      <c r="AX718">
        <f ca="1"/>
      </c>
      <c r="AY718">
        <f ca="1"/>
      </c>
      <c r="BA718" s="7"/>
    </row>
    <row r="719" spans="31:53" x14ac:dyDescent="0.55000000000000004">
      <c r="AE719" s="7">
        <f ca="1"/>
      </c>
      <c r="AF719">
        <f ca="1"/>
      </c>
      <c r="AG719">
        <f ca="1"/>
      </c>
      <c r="AH719">
        <f ca="1"/>
      </c>
      <c r="AI719">
        <f ca="1"/>
      </c>
      <c r="AJ719">
        <f ca="1"/>
      </c>
      <c r="AK719">
        <f ca="1"/>
      </c>
      <c r="AL719">
        <f ca="1"/>
      </c>
      <c r="AM719">
        <f ca="1"/>
      </c>
      <c r="AN719">
        <f ca="1"/>
      </c>
      <c r="AO719">
        <f ca="1"/>
      </c>
      <c r="AP719">
        <f ca="1"/>
      </c>
      <c r="AQ719">
        <f ca="1"/>
      </c>
      <c r="AR719">
        <f ca="1"/>
      </c>
      <c r="AT719" s="7">
        <f ca="1"/>
      </c>
      <c r="AU719">
        <f ca="1"/>
      </c>
      <c r="AV719">
        <f ca="1"/>
      </c>
      <c r="AW719">
        <f ca="1"/>
      </c>
      <c r="AX719">
        <f ca="1"/>
      </c>
      <c r="AY719">
        <f ca="1"/>
      </c>
      <c r="BA719" s="7"/>
    </row>
    <row r="720" spans="31:53" x14ac:dyDescent="0.55000000000000004">
      <c r="AE720" s="7">
        <f ca="1"/>
      </c>
      <c r="AF720">
        <f ca="1"/>
      </c>
      <c r="AG720">
        <f ca="1"/>
      </c>
      <c r="AH720">
        <f ca="1"/>
      </c>
      <c r="AI720">
        <f ca="1"/>
      </c>
      <c r="AJ720">
        <f ca="1"/>
      </c>
      <c r="AK720">
        <f ca="1"/>
      </c>
      <c r="AL720">
        <f ca="1"/>
      </c>
      <c r="AM720">
        <f ca="1"/>
      </c>
      <c r="AN720">
        <f ca="1"/>
      </c>
      <c r="AO720">
        <f ca="1"/>
      </c>
      <c r="AP720">
        <f ca="1"/>
      </c>
      <c r="AQ720">
        <f ca="1"/>
      </c>
      <c r="AR720">
        <f ca="1"/>
      </c>
      <c r="AT720" s="7">
        <f ca="1"/>
      </c>
      <c r="AU720">
        <f ca="1"/>
      </c>
      <c r="AV720">
        <f ca="1"/>
      </c>
      <c r="AW720">
        <f ca="1"/>
      </c>
      <c r="AX720">
        <f ca="1"/>
      </c>
      <c r="AY720">
        <f ca="1"/>
      </c>
      <c r="BA720" s="7"/>
    </row>
    <row r="721" spans="31:53" x14ac:dyDescent="0.55000000000000004">
      <c r="AE721" s="7">
        <f ca="1"/>
      </c>
      <c r="AF721">
        <f ca="1"/>
      </c>
      <c r="AG721">
        <f ca="1"/>
      </c>
      <c r="AH721">
        <f ca="1"/>
      </c>
      <c r="AI721">
        <f ca="1"/>
      </c>
      <c r="AJ721">
        <f ca="1"/>
      </c>
      <c r="AK721">
        <f ca="1"/>
      </c>
      <c r="AL721">
        <f ca="1"/>
      </c>
      <c r="AM721">
        <f ca="1"/>
      </c>
      <c r="AN721">
        <f ca="1"/>
      </c>
      <c r="AO721">
        <f ca="1"/>
      </c>
      <c r="AP721">
        <f ca="1"/>
      </c>
      <c r="AQ721">
        <f ca="1"/>
      </c>
      <c r="AR721">
        <f ca="1"/>
      </c>
      <c r="AT721" s="7">
        <f ca="1"/>
      </c>
      <c r="AU721">
        <f ca="1"/>
      </c>
      <c r="AV721">
        <f ca="1"/>
      </c>
      <c r="AW721">
        <f ca="1"/>
      </c>
      <c r="AX721">
        <f ca="1"/>
      </c>
      <c r="AY721">
        <f ca="1"/>
      </c>
      <c r="BA721" s="7"/>
    </row>
    <row r="722" spans="31:53" x14ac:dyDescent="0.55000000000000004">
      <c r="AE722" s="7">
        <f ca="1"/>
      </c>
      <c r="AF722">
        <f ca="1"/>
      </c>
      <c r="AG722">
        <f ca="1"/>
      </c>
      <c r="AH722">
        <f ca="1"/>
      </c>
      <c r="AI722">
        <f ca="1"/>
      </c>
      <c r="AJ722">
        <f ca="1"/>
      </c>
      <c r="AK722">
        <f ca="1"/>
      </c>
      <c r="AL722">
        <f ca="1"/>
      </c>
      <c r="AM722">
        <f ca="1"/>
      </c>
      <c r="AN722">
        <f ca="1"/>
      </c>
      <c r="AO722">
        <f ca="1"/>
      </c>
      <c r="AP722">
        <f ca="1"/>
      </c>
      <c r="AQ722">
        <f ca="1"/>
      </c>
      <c r="AR722">
        <f ca="1"/>
      </c>
      <c r="AT722" s="7">
        <f ca="1"/>
      </c>
      <c r="AU722">
        <f ca="1"/>
      </c>
      <c r="AV722">
        <f ca="1"/>
      </c>
      <c r="AW722">
        <f ca="1"/>
      </c>
      <c r="AX722">
        <f ca="1"/>
      </c>
      <c r="AY722">
        <f ca="1"/>
      </c>
      <c r="BA722" s="7"/>
    </row>
    <row r="723" spans="31:53" x14ac:dyDescent="0.55000000000000004">
      <c r="AE723" s="7">
        <f ca="1"/>
      </c>
      <c r="AF723">
        <f ca="1"/>
      </c>
      <c r="AG723">
        <f ca="1"/>
      </c>
      <c r="AH723">
        <f ca="1"/>
      </c>
      <c r="AI723">
        <f ca="1"/>
      </c>
      <c r="AJ723">
        <f ca="1"/>
      </c>
      <c r="AK723">
        <f ca="1"/>
      </c>
      <c r="AL723">
        <f ca="1"/>
      </c>
      <c r="AM723">
        <f ca="1"/>
      </c>
      <c r="AN723">
        <f ca="1"/>
      </c>
      <c r="AO723">
        <f ca="1"/>
      </c>
      <c r="AP723">
        <f ca="1"/>
      </c>
      <c r="AQ723">
        <f ca="1"/>
      </c>
      <c r="AR723">
        <f ca="1"/>
      </c>
      <c r="AT723" s="7">
        <f ca="1"/>
      </c>
      <c r="AU723">
        <f ca="1"/>
      </c>
      <c r="AV723">
        <f ca="1"/>
      </c>
      <c r="AW723">
        <f ca="1"/>
      </c>
      <c r="AX723">
        <f ca="1"/>
      </c>
      <c r="AY723">
        <f ca="1"/>
      </c>
      <c r="BA723" s="7"/>
    </row>
    <row r="724" spans="31:53" x14ac:dyDescent="0.55000000000000004">
      <c r="AE724" s="7">
        <f ca="1"/>
      </c>
      <c r="AF724">
        <f ca="1"/>
      </c>
      <c r="AG724">
        <f ca="1"/>
      </c>
      <c r="AH724">
        <f ca="1"/>
      </c>
      <c r="AI724">
        <f ca="1"/>
      </c>
      <c r="AJ724">
        <f ca="1"/>
      </c>
      <c r="AK724">
        <f ca="1"/>
      </c>
      <c r="AL724">
        <f ca="1"/>
      </c>
      <c r="AM724">
        <f ca="1"/>
      </c>
      <c r="AN724">
        <f ca="1"/>
      </c>
      <c r="AO724">
        <f ca="1"/>
      </c>
      <c r="AP724">
        <f ca="1"/>
      </c>
      <c r="AQ724">
        <f ca="1"/>
      </c>
      <c r="AR724">
        <f ca="1"/>
      </c>
      <c r="AT724" s="7">
        <f ca="1"/>
      </c>
      <c r="AU724">
        <f ca="1"/>
      </c>
      <c r="AV724">
        <f ca="1"/>
      </c>
      <c r="AW724">
        <f ca="1"/>
      </c>
      <c r="AX724">
        <f ca="1"/>
      </c>
      <c r="AY724">
        <f ca="1"/>
      </c>
      <c r="BA724" s="7"/>
    </row>
    <row r="725" spans="31:53" x14ac:dyDescent="0.55000000000000004">
      <c r="AE725" s="7">
        <f ca="1"/>
      </c>
      <c r="AF725">
        <f ca="1"/>
      </c>
      <c r="AG725">
        <f ca="1"/>
      </c>
      <c r="AH725">
        <f ca="1"/>
      </c>
      <c r="AI725">
        <f ca="1"/>
      </c>
      <c r="AJ725">
        <f ca="1"/>
      </c>
      <c r="AK725">
        <f ca="1"/>
      </c>
      <c r="AL725">
        <f ca="1"/>
      </c>
      <c r="AM725">
        <f ca="1"/>
      </c>
      <c r="AN725">
        <f ca="1"/>
      </c>
      <c r="AO725">
        <f ca="1"/>
      </c>
      <c r="AP725">
        <f ca="1"/>
      </c>
      <c r="AQ725">
        <f ca="1"/>
      </c>
      <c r="AR725">
        <f ca="1"/>
      </c>
      <c r="AT725" s="7">
        <f ca="1"/>
      </c>
      <c r="AU725">
        <f ca="1"/>
      </c>
      <c r="AV725">
        <f ca="1"/>
      </c>
      <c r="AW725">
        <f ca="1"/>
      </c>
      <c r="AX725">
        <f ca="1"/>
      </c>
      <c r="AY725">
        <f ca="1"/>
      </c>
      <c r="BA725" s="7"/>
    </row>
    <row r="726" spans="31:53" x14ac:dyDescent="0.55000000000000004">
      <c r="AE726" s="7">
        <f ca="1"/>
      </c>
      <c r="AF726">
        <f ca="1"/>
      </c>
      <c r="AG726">
        <f ca="1"/>
      </c>
      <c r="AH726">
        <f ca="1"/>
      </c>
      <c r="AI726">
        <f ca="1"/>
      </c>
      <c r="AJ726">
        <f ca="1"/>
      </c>
      <c r="AK726">
        <f ca="1"/>
      </c>
      <c r="AL726">
        <f ca="1"/>
      </c>
      <c r="AM726">
        <f ca="1"/>
      </c>
      <c r="AN726">
        <f ca="1"/>
      </c>
      <c r="AO726">
        <f ca="1"/>
      </c>
      <c r="AP726">
        <f ca="1"/>
      </c>
      <c r="AQ726">
        <f ca="1"/>
      </c>
      <c r="AR726">
        <f ca="1"/>
      </c>
      <c r="AT726" s="7">
        <f ca="1"/>
      </c>
      <c r="AU726">
        <f ca="1"/>
      </c>
      <c r="AV726">
        <f ca="1"/>
      </c>
      <c r="AW726">
        <f ca="1"/>
      </c>
      <c r="AX726">
        <f ca="1"/>
      </c>
      <c r="AY726">
        <f ca="1"/>
      </c>
      <c r="BA726" s="7"/>
    </row>
    <row r="727" spans="31:53" x14ac:dyDescent="0.55000000000000004">
      <c r="AE727" s="7">
        <f ca="1"/>
      </c>
      <c r="AF727">
        <f ca="1"/>
      </c>
      <c r="AG727">
        <f ca="1"/>
      </c>
      <c r="AH727">
        <f ca="1"/>
      </c>
      <c r="AI727">
        <f ca="1"/>
      </c>
      <c r="AJ727">
        <f ca="1"/>
      </c>
      <c r="AK727">
        <f ca="1"/>
      </c>
      <c r="AL727">
        <f ca="1"/>
      </c>
      <c r="AM727">
        <f ca="1"/>
      </c>
      <c r="AN727">
        <f ca="1"/>
      </c>
      <c r="AO727">
        <f ca="1"/>
      </c>
      <c r="AP727">
        <f ca="1"/>
      </c>
      <c r="AQ727">
        <f ca="1"/>
      </c>
      <c r="AR727">
        <f ca="1"/>
      </c>
      <c r="AT727" s="7">
        <f ca="1"/>
      </c>
      <c r="AU727">
        <f ca="1"/>
      </c>
      <c r="AV727">
        <f ca="1"/>
      </c>
      <c r="AW727">
        <f ca="1"/>
      </c>
      <c r="AX727">
        <f ca="1"/>
      </c>
      <c r="AY727">
        <f ca="1"/>
      </c>
      <c r="BA727" s="7"/>
    </row>
    <row r="728" spans="31:53" x14ac:dyDescent="0.55000000000000004">
      <c r="AE728" s="7">
        <f ca="1"/>
      </c>
      <c r="AF728">
        <f ca="1"/>
      </c>
      <c r="AG728">
        <f ca="1"/>
      </c>
      <c r="AH728">
        <f ca="1"/>
      </c>
      <c r="AI728">
        <f ca="1"/>
      </c>
      <c r="AJ728">
        <f ca="1"/>
      </c>
      <c r="AK728">
        <f ca="1"/>
      </c>
      <c r="AL728">
        <f ca="1"/>
      </c>
      <c r="AM728">
        <f ca="1"/>
      </c>
      <c r="AN728">
        <f ca="1"/>
      </c>
      <c r="AO728">
        <f ca="1"/>
      </c>
      <c r="AP728">
        <f ca="1"/>
      </c>
      <c r="AQ728">
        <f ca="1"/>
      </c>
      <c r="AR728">
        <f ca="1"/>
      </c>
      <c r="AT728" s="7">
        <f ca="1"/>
      </c>
      <c r="AU728">
        <f ca="1"/>
      </c>
      <c r="AV728">
        <f ca="1"/>
      </c>
      <c r="AW728">
        <f ca="1"/>
      </c>
      <c r="AX728">
        <f ca="1"/>
      </c>
      <c r="AY728">
        <f ca="1"/>
      </c>
      <c r="BA728" s="7"/>
    </row>
    <row r="729" spans="31:53" x14ac:dyDescent="0.55000000000000004">
      <c r="AE729" s="7">
        <f ca="1"/>
      </c>
      <c r="AF729">
        <f ca="1"/>
      </c>
      <c r="AG729">
        <f ca="1"/>
      </c>
      <c r="AH729">
        <f ca="1"/>
      </c>
      <c r="AI729">
        <f ca="1"/>
      </c>
      <c r="AJ729">
        <f ca="1"/>
      </c>
      <c r="AK729">
        <f ca="1"/>
      </c>
      <c r="AL729">
        <f ca="1"/>
      </c>
      <c r="AM729">
        <f ca="1"/>
      </c>
      <c r="AN729">
        <f ca="1"/>
      </c>
      <c r="AO729">
        <f ca="1"/>
      </c>
      <c r="AP729">
        <f ca="1"/>
      </c>
      <c r="AQ729">
        <f ca="1"/>
      </c>
      <c r="AR729">
        <f ca="1"/>
      </c>
      <c r="AT729" s="7">
        <f ca="1"/>
      </c>
      <c r="AU729">
        <f ca="1"/>
      </c>
      <c r="AV729">
        <f ca="1"/>
      </c>
      <c r="AW729">
        <f ca="1"/>
      </c>
      <c r="AX729">
        <f ca="1"/>
      </c>
      <c r="AY729">
        <f ca="1"/>
      </c>
      <c r="BA729" s="7"/>
    </row>
    <row r="730" spans="31:53" x14ac:dyDescent="0.55000000000000004">
      <c r="AE730" s="7">
        <f ca="1"/>
      </c>
      <c r="AF730">
        <f ca="1"/>
      </c>
      <c r="AG730">
        <f ca="1"/>
      </c>
      <c r="AH730">
        <f ca="1"/>
      </c>
      <c r="AI730">
        <f ca="1"/>
      </c>
      <c r="AJ730">
        <f ca="1"/>
      </c>
      <c r="AK730">
        <f ca="1"/>
      </c>
      <c r="AL730">
        <f ca="1"/>
      </c>
      <c r="AM730">
        <f ca="1"/>
      </c>
      <c r="AN730">
        <f ca="1"/>
      </c>
      <c r="AO730">
        <f ca="1"/>
      </c>
      <c r="AP730">
        <f ca="1"/>
      </c>
      <c r="AQ730">
        <f ca="1"/>
      </c>
      <c r="AR730">
        <f ca="1"/>
      </c>
      <c r="AT730" s="7">
        <f ca="1"/>
      </c>
      <c r="AU730">
        <f ca="1"/>
      </c>
      <c r="AV730">
        <f ca="1"/>
      </c>
      <c r="AW730">
        <f ca="1"/>
      </c>
      <c r="AX730">
        <f ca="1"/>
      </c>
      <c r="AY730">
        <f ca="1"/>
      </c>
      <c r="BA730" s="7"/>
    </row>
    <row r="731" spans="31:53" x14ac:dyDescent="0.55000000000000004">
      <c r="AE731" s="7">
        <f ca="1"/>
      </c>
      <c r="AF731">
        <f ca="1"/>
      </c>
      <c r="AG731">
        <f ca="1"/>
      </c>
      <c r="AH731">
        <f ca="1"/>
      </c>
      <c r="AI731">
        <f ca="1"/>
      </c>
      <c r="AJ731">
        <f ca="1"/>
      </c>
      <c r="AK731">
        <f ca="1"/>
      </c>
      <c r="AL731">
        <f ca="1"/>
      </c>
      <c r="AM731">
        <f ca="1"/>
      </c>
      <c r="AN731">
        <f ca="1"/>
      </c>
      <c r="AO731">
        <f ca="1"/>
      </c>
      <c r="AP731">
        <f ca="1"/>
      </c>
      <c r="AQ731">
        <f ca="1"/>
      </c>
      <c r="AR731">
        <f ca="1"/>
      </c>
      <c r="AT731" s="7">
        <f ca="1"/>
      </c>
      <c r="AU731">
        <f ca="1"/>
      </c>
      <c r="AV731">
        <f ca="1"/>
      </c>
      <c r="AW731">
        <f ca="1"/>
      </c>
      <c r="AX731">
        <f ca="1"/>
      </c>
      <c r="AY731">
        <f ca="1"/>
      </c>
      <c r="BA731" s="7"/>
    </row>
    <row r="732" spans="31:53" x14ac:dyDescent="0.55000000000000004">
      <c r="AE732" s="7">
        <f ca="1"/>
      </c>
      <c r="AF732">
        <f ca="1"/>
      </c>
      <c r="AG732">
        <f ca="1"/>
      </c>
      <c r="AH732">
        <f ca="1"/>
      </c>
      <c r="AI732">
        <f ca="1"/>
      </c>
      <c r="AJ732">
        <f ca="1"/>
      </c>
      <c r="AK732">
        <f ca="1"/>
      </c>
      <c r="AL732">
        <f ca="1"/>
      </c>
      <c r="AM732">
        <f ca="1"/>
      </c>
      <c r="AN732">
        <f ca="1"/>
      </c>
      <c r="AO732">
        <f ca="1"/>
      </c>
      <c r="AP732">
        <f ca="1"/>
      </c>
      <c r="AQ732">
        <f ca="1"/>
      </c>
      <c r="AR732">
        <f ca="1"/>
      </c>
      <c r="AT732" s="7">
        <f ca="1"/>
      </c>
      <c r="AU732">
        <f ca="1"/>
      </c>
      <c r="AV732">
        <f ca="1"/>
      </c>
      <c r="AW732">
        <f ca="1"/>
      </c>
      <c r="AX732">
        <f ca="1"/>
      </c>
      <c r="AY732">
        <f ca="1"/>
      </c>
      <c r="BA732" s="7"/>
    </row>
    <row r="733" spans="31:53" x14ac:dyDescent="0.55000000000000004">
      <c r="AE733" s="7">
        <f ca="1"/>
      </c>
      <c r="AF733">
        <f ca="1"/>
      </c>
      <c r="AG733">
        <f ca="1"/>
      </c>
      <c r="AH733">
        <f ca="1"/>
      </c>
      <c r="AI733">
        <f ca="1"/>
      </c>
      <c r="AJ733">
        <f ca="1"/>
      </c>
      <c r="AK733">
        <f ca="1"/>
      </c>
      <c r="AL733">
        <f ca="1"/>
      </c>
      <c r="AM733">
        <f ca="1"/>
      </c>
      <c r="AN733">
        <f ca="1"/>
      </c>
      <c r="AO733">
        <f ca="1"/>
      </c>
      <c r="AP733">
        <f ca="1"/>
      </c>
      <c r="AQ733">
        <f ca="1"/>
      </c>
      <c r="AR733">
        <f ca="1"/>
      </c>
      <c r="AT733" s="7">
        <f ca="1"/>
      </c>
      <c r="AU733">
        <f ca="1"/>
      </c>
      <c r="AV733">
        <f ca="1"/>
      </c>
      <c r="AW733">
        <f ca="1"/>
      </c>
      <c r="AX733">
        <f ca="1"/>
      </c>
      <c r="AY733">
        <f ca="1"/>
      </c>
      <c r="BA733" s="7"/>
    </row>
    <row r="734" spans="31:53" x14ac:dyDescent="0.55000000000000004">
      <c r="AE734" s="7">
        <f ca="1"/>
      </c>
      <c r="AF734">
        <f ca="1"/>
      </c>
      <c r="AG734">
        <f ca="1"/>
      </c>
      <c r="AH734">
        <f ca="1"/>
      </c>
      <c r="AI734">
        <f ca="1"/>
      </c>
      <c r="AJ734">
        <f ca="1"/>
      </c>
      <c r="AK734">
        <f ca="1"/>
      </c>
      <c r="AL734">
        <f ca="1"/>
      </c>
      <c r="AM734">
        <f ca="1"/>
      </c>
      <c r="AN734">
        <f ca="1"/>
      </c>
      <c r="AO734">
        <f ca="1"/>
      </c>
      <c r="AP734">
        <f ca="1"/>
      </c>
      <c r="AQ734">
        <f ca="1"/>
      </c>
      <c r="AR734">
        <f ca="1"/>
      </c>
      <c r="AT734" s="7">
        <f ca="1"/>
      </c>
      <c r="AU734">
        <f ca="1"/>
      </c>
      <c r="AV734">
        <f ca="1"/>
      </c>
      <c r="AW734">
        <f ca="1"/>
      </c>
      <c r="AX734">
        <f ca="1"/>
      </c>
      <c r="AY734">
        <f ca="1"/>
      </c>
      <c r="BA734" s="7"/>
    </row>
    <row r="735" spans="31:53" x14ac:dyDescent="0.55000000000000004">
      <c r="AE735" s="7">
        <f ca="1"/>
      </c>
      <c r="AF735">
        <f ca="1"/>
      </c>
      <c r="AG735">
        <f ca="1"/>
      </c>
      <c r="AH735">
        <f ca="1"/>
      </c>
      <c r="AI735">
        <f ca="1"/>
      </c>
      <c r="AJ735">
        <f ca="1"/>
      </c>
      <c r="AK735">
        <f ca="1"/>
      </c>
      <c r="AL735">
        <f ca="1"/>
      </c>
      <c r="AM735">
        <f ca="1"/>
      </c>
      <c r="AN735">
        <f ca="1"/>
      </c>
      <c r="AO735">
        <f ca="1"/>
      </c>
      <c r="AP735">
        <f ca="1"/>
      </c>
      <c r="AQ735">
        <f ca="1"/>
      </c>
      <c r="AR735">
        <f ca="1"/>
      </c>
      <c r="AT735" s="7">
        <f ca="1"/>
      </c>
      <c r="AU735">
        <f ca="1"/>
      </c>
      <c r="AV735">
        <f ca="1"/>
      </c>
      <c r="AW735">
        <f ca="1"/>
      </c>
      <c r="AX735">
        <f ca="1"/>
      </c>
      <c r="AY735">
        <f ca="1"/>
      </c>
      <c r="BA735" s="7"/>
    </row>
    <row r="736" spans="31:53" x14ac:dyDescent="0.55000000000000004">
      <c r="AE736" s="7">
        <f ca="1"/>
      </c>
      <c r="AF736">
        <f ca="1"/>
      </c>
      <c r="AG736">
        <f ca="1"/>
      </c>
      <c r="AH736">
        <f ca="1"/>
      </c>
      <c r="AI736">
        <f ca="1"/>
      </c>
      <c r="AJ736">
        <f ca="1"/>
      </c>
      <c r="AK736">
        <f ca="1"/>
      </c>
      <c r="AL736">
        <f ca="1"/>
      </c>
      <c r="AM736">
        <f ca="1"/>
      </c>
      <c r="AN736">
        <f ca="1"/>
      </c>
      <c r="AO736">
        <f ca="1"/>
      </c>
      <c r="AP736">
        <f ca="1"/>
      </c>
      <c r="AQ736">
        <f ca="1"/>
      </c>
      <c r="AR736">
        <f ca="1"/>
      </c>
      <c r="AT736" s="7">
        <f ca="1"/>
      </c>
      <c r="AU736">
        <f ca="1"/>
      </c>
      <c r="AV736">
        <f ca="1"/>
      </c>
      <c r="AW736">
        <f ca="1"/>
      </c>
      <c r="AX736">
        <f ca="1"/>
      </c>
      <c r="AY736">
        <f ca="1"/>
      </c>
      <c r="BA736" s="7"/>
    </row>
    <row r="737" spans="31:53" x14ac:dyDescent="0.55000000000000004">
      <c r="AE737" s="7">
        <f ca="1"/>
      </c>
      <c r="AF737">
        <f ca="1"/>
      </c>
      <c r="AG737">
        <f ca="1"/>
      </c>
      <c r="AH737">
        <f ca="1"/>
      </c>
      <c r="AI737">
        <f ca="1"/>
      </c>
      <c r="AJ737">
        <f ca="1"/>
      </c>
      <c r="AK737">
        <f ca="1"/>
      </c>
      <c r="AL737">
        <f ca="1"/>
      </c>
      <c r="AM737">
        <f ca="1"/>
      </c>
      <c r="AN737">
        <f ca="1"/>
      </c>
      <c r="AO737">
        <f ca="1"/>
      </c>
      <c r="AP737">
        <f ca="1"/>
      </c>
      <c r="AQ737">
        <f ca="1"/>
      </c>
      <c r="AR737">
        <f ca="1"/>
      </c>
      <c r="AT737" s="7">
        <f ca="1"/>
      </c>
      <c r="AU737">
        <f ca="1"/>
      </c>
      <c r="AV737">
        <f ca="1"/>
      </c>
      <c r="AW737">
        <f ca="1"/>
      </c>
      <c r="AX737">
        <f ca="1"/>
      </c>
      <c r="AY737">
        <f ca="1"/>
      </c>
      <c r="BA737" s="7"/>
    </row>
    <row r="738" spans="31:53" x14ac:dyDescent="0.55000000000000004">
      <c r="AE738" s="7">
        <f ca="1"/>
      </c>
      <c r="AF738">
        <f ca="1"/>
      </c>
      <c r="AG738">
        <f ca="1"/>
      </c>
      <c r="AH738">
        <f ca="1"/>
      </c>
      <c r="AI738">
        <f ca="1"/>
      </c>
      <c r="AJ738">
        <f ca="1"/>
      </c>
      <c r="AK738">
        <f ca="1"/>
      </c>
      <c r="AL738">
        <f ca="1"/>
      </c>
      <c r="AM738">
        <f ca="1"/>
      </c>
      <c r="AN738">
        <f ca="1"/>
      </c>
      <c r="AO738">
        <f ca="1"/>
      </c>
      <c r="AP738">
        <f ca="1"/>
      </c>
      <c r="AQ738">
        <f ca="1"/>
      </c>
      <c r="AR738">
        <f ca="1"/>
      </c>
      <c r="AT738" s="7">
        <f ca="1"/>
      </c>
      <c r="AU738">
        <f ca="1"/>
      </c>
      <c r="AV738">
        <f ca="1"/>
      </c>
      <c r="AW738">
        <f ca="1"/>
      </c>
      <c r="AX738">
        <f ca="1"/>
      </c>
      <c r="AY738">
        <f ca="1"/>
      </c>
      <c r="BA738" s="7"/>
    </row>
    <row r="739" spans="31:53" x14ac:dyDescent="0.55000000000000004">
      <c r="AE739" s="7">
        <f ca="1"/>
      </c>
      <c r="AF739">
        <f ca="1"/>
      </c>
      <c r="AG739">
        <f ca="1"/>
      </c>
      <c r="AH739">
        <f ca="1"/>
      </c>
      <c r="AI739">
        <f ca="1"/>
      </c>
      <c r="AJ739">
        <f ca="1"/>
      </c>
      <c r="AK739">
        <f ca="1"/>
      </c>
      <c r="AL739">
        <f ca="1"/>
      </c>
      <c r="AM739">
        <f ca="1"/>
      </c>
      <c r="AN739">
        <f ca="1"/>
      </c>
      <c r="AO739">
        <f ca="1"/>
      </c>
      <c r="AP739">
        <f ca="1"/>
      </c>
      <c r="AQ739">
        <f ca="1"/>
      </c>
      <c r="AR739">
        <f ca="1"/>
      </c>
      <c r="AT739" s="7">
        <f ca="1"/>
      </c>
      <c r="AU739">
        <f ca="1"/>
      </c>
      <c r="AV739">
        <f ca="1"/>
      </c>
      <c r="AW739">
        <f ca="1"/>
      </c>
      <c r="AX739">
        <f ca="1"/>
      </c>
      <c r="AY739">
        <f ca="1"/>
      </c>
      <c r="BA739" s="7"/>
    </row>
    <row r="740" spans="31:53" x14ac:dyDescent="0.55000000000000004">
      <c r="AE740" s="7">
        <f ca="1"/>
      </c>
      <c r="AF740">
        <f ca="1"/>
      </c>
      <c r="AG740">
        <f ca="1"/>
      </c>
      <c r="AH740">
        <f ca="1"/>
      </c>
      <c r="AI740">
        <f ca="1"/>
      </c>
      <c r="AJ740">
        <f ca="1"/>
      </c>
      <c r="AK740">
        <f ca="1"/>
      </c>
      <c r="AL740">
        <f ca="1"/>
      </c>
      <c r="AM740">
        <f ca="1"/>
      </c>
      <c r="AN740">
        <f ca="1"/>
      </c>
      <c r="AO740">
        <f ca="1"/>
      </c>
      <c r="AP740">
        <f ca="1"/>
      </c>
      <c r="AQ740">
        <f ca="1"/>
      </c>
      <c r="AR740">
        <f ca="1"/>
      </c>
      <c r="AT740" s="7">
        <f ca="1"/>
      </c>
      <c r="AU740">
        <f ca="1"/>
      </c>
      <c r="AV740">
        <f ca="1"/>
      </c>
      <c r="AW740">
        <f ca="1"/>
      </c>
      <c r="AX740">
        <f ca="1"/>
      </c>
      <c r="AY740">
        <f ca="1"/>
      </c>
      <c r="BA740" s="7"/>
    </row>
    <row r="741" spans="31:53" x14ac:dyDescent="0.55000000000000004">
      <c r="AE741" s="7">
        <f ca="1"/>
      </c>
      <c r="AF741">
        <f ca="1"/>
      </c>
      <c r="AG741">
        <f ca="1"/>
      </c>
      <c r="AH741">
        <f ca="1"/>
      </c>
      <c r="AI741">
        <f ca="1"/>
      </c>
      <c r="AJ741">
        <f ca="1"/>
      </c>
      <c r="AK741">
        <f ca="1"/>
      </c>
      <c r="AL741">
        <f ca="1"/>
      </c>
      <c r="AM741">
        <f ca="1"/>
      </c>
      <c r="AN741">
        <f ca="1"/>
      </c>
      <c r="AO741">
        <f ca="1"/>
      </c>
      <c r="AP741">
        <f ca="1"/>
      </c>
      <c r="AQ741">
        <f ca="1"/>
      </c>
      <c r="AR741">
        <f ca="1"/>
      </c>
      <c r="AT741" s="7">
        <f ca="1"/>
      </c>
      <c r="AU741">
        <f ca="1"/>
      </c>
      <c r="AV741">
        <f ca="1"/>
      </c>
      <c r="AW741">
        <f ca="1"/>
      </c>
      <c r="AX741">
        <f ca="1"/>
      </c>
      <c r="AY741">
        <f ca="1"/>
      </c>
      <c r="BA741" s="7"/>
    </row>
    <row r="742" spans="31:53" x14ac:dyDescent="0.55000000000000004">
      <c r="AE742" s="7">
        <f ca="1"/>
      </c>
      <c r="AF742">
        <f ca="1"/>
      </c>
      <c r="AG742">
        <f ca="1"/>
      </c>
      <c r="AH742">
        <f ca="1"/>
      </c>
      <c r="AI742">
        <f ca="1"/>
      </c>
      <c r="AJ742">
        <f ca="1"/>
      </c>
      <c r="AK742">
        <f ca="1"/>
      </c>
      <c r="AL742">
        <f ca="1"/>
      </c>
      <c r="AM742">
        <f ca="1"/>
      </c>
      <c r="AN742">
        <f ca="1"/>
      </c>
      <c r="AO742">
        <f ca="1"/>
      </c>
      <c r="AP742">
        <f ca="1"/>
      </c>
      <c r="AQ742">
        <f ca="1"/>
      </c>
      <c r="AR742">
        <f ca="1"/>
      </c>
      <c r="AT742" s="7">
        <f ca="1"/>
      </c>
      <c r="AU742">
        <f ca="1"/>
      </c>
      <c r="AV742">
        <f ca="1"/>
      </c>
      <c r="AW742">
        <f ca="1"/>
      </c>
      <c r="AX742">
        <f ca="1"/>
      </c>
      <c r="AY742">
        <f ca="1"/>
      </c>
      <c r="BA742" s="7"/>
    </row>
    <row r="743" spans="31:53" x14ac:dyDescent="0.55000000000000004">
      <c r="AE743" s="7">
        <f ca="1"/>
      </c>
      <c r="AF743">
        <f ca="1"/>
      </c>
      <c r="AG743">
        <f ca="1"/>
      </c>
      <c r="AH743">
        <f ca="1"/>
      </c>
      <c r="AI743">
        <f ca="1"/>
      </c>
      <c r="AJ743">
        <f ca="1"/>
      </c>
      <c r="AK743">
        <f ca="1"/>
      </c>
      <c r="AL743">
        <f ca="1"/>
      </c>
      <c r="AM743">
        <f ca="1"/>
      </c>
      <c r="AN743">
        <f ca="1"/>
      </c>
      <c r="AO743">
        <f ca="1"/>
      </c>
      <c r="AP743">
        <f ca="1"/>
      </c>
      <c r="AQ743">
        <f ca="1"/>
      </c>
      <c r="AR743">
        <f ca="1"/>
      </c>
      <c r="AT743" s="7">
        <f ca="1"/>
      </c>
      <c r="AU743">
        <f ca="1"/>
      </c>
      <c r="AV743">
        <f ca="1"/>
      </c>
      <c r="AW743">
        <f ca="1"/>
      </c>
      <c r="AX743">
        <f ca="1"/>
      </c>
      <c r="AY743">
        <f ca="1"/>
      </c>
      <c r="BA743" s="7"/>
    </row>
    <row r="744" spans="31:53" x14ac:dyDescent="0.55000000000000004">
      <c r="AE744" s="7">
        <f ca="1"/>
      </c>
      <c r="AF744">
        <f ca="1"/>
      </c>
      <c r="AG744">
        <f ca="1"/>
      </c>
      <c r="AH744">
        <f ca="1"/>
      </c>
      <c r="AI744">
        <f ca="1"/>
      </c>
      <c r="AJ744">
        <f ca="1"/>
      </c>
      <c r="AK744">
        <f ca="1"/>
      </c>
      <c r="AL744">
        <f ca="1"/>
      </c>
      <c r="AM744">
        <f ca="1"/>
      </c>
      <c r="AN744">
        <f ca="1"/>
      </c>
      <c r="AO744">
        <f ca="1"/>
      </c>
      <c r="AP744">
        <f ca="1"/>
      </c>
      <c r="AQ744">
        <f ca="1"/>
      </c>
      <c r="AR744">
        <f ca="1"/>
      </c>
      <c r="AT744" s="7">
        <f ca="1"/>
      </c>
      <c r="AU744">
        <f ca="1"/>
      </c>
      <c r="AV744">
        <f ca="1"/>
      </c>
      <c r="AW744">
        <f ca="1"/>
      </c>
      <c r="AX744">
        <f ca="1"/>
      </c>
      <c r="AY744">
        <f ca="1"/>
      </c>
      <c r="BA744" s="7"/>
    </row>
    <row r="745" spans="31:53" x14ac:dyDescent="0.55000000000000004">
      <c r="AE745" s="7">
        <f ca="1"/>
      </c>
      <c r="AF745">
        <f ca="1"/>
      </c>
      <c r="AG745">
        <f ca="1"/>
      </c>
      <c r="AH745">
        <f ca="1"/>
      </c>
      <c r="AI745">
        <f ca="1"/>
      </c>
      <c r="AJ745">
        <f ca="1"/>
      </c>
      <c r="AK745">
        <f ca="1"/>
      </c>
      <c r="AL745">
        <f ca="1"/>
      </c>
      <c r="AM745">
        <f ca="1"/>
      </c>
      <c r="AN745">
        <f ca="1"/>
      </c>
      <c r="AO745">
        <f ca="1"/>
      </c>
      <c r="AP745">
        <f ca="1"/>
      </c>
      <c r="AQ745">
        <f ca="1"/>
      </c>
      <c r="AR745">
        <f ca="1"/>
      </c>
      <c r="AT745" s="7">
        <f ca="1"/>
      </c>
      <c r="AU745">
        <f ca="1"/>
      </c>
      <c r="AV745">
        <f ca="1"/>
      </c>
      <c r="AW745">
        <f ca="1"/>
      </c>
      <c r="AX745">
        <f ca="1"/>
      </c>
      <c r="AY745">
        <f ca="1"/>
      </c>
      <c r="BA745" s="7"/>
    </row>
    <row r="746" spans="31:53" x14ac:dyDescent="0.55000000000000004">
      <c r="AE746" s="7">
        <f ca="1"/>
      </c>
      <c r="AF746">
        <f ca="1"/>
      </c>
      <c r="AG746">
        <f ca="1"/>
      </c>
      <c r="AH746">
        <f ca="1"/>
      </c>
      <c r="AI746">
        <f ca="1"/>
      </c>
      <c r="AJ746">
        <f ca="1"/>
      </c>
      <c r="AK746">
        <f ca="1"/>
      </c>
      <c r="AL746">
        <f ca="1"/>
      </c>
      <c r="AM746">
        <f ca="1"/>
      </c>
      <c r="AN746">
        <f ca="1"/>
      </c>
      <c r="AO746">
        <f ca="1"/>
      </c>
      <c r="AP746">
        <f ca="1"/>
      </c>
      <c r="AQ746">
        <f ca="1"/>
      </c>
      <c r="AR746">
        <f ca="1"/>
      </c>
      <c r="AT746" s="7">
        <f ca="1"/>
      </c>
      <c r="AU746">
        <f ca="1"/>
      </c>
      <c r="AV746">
        <f ca="1"/>
      </c>
      <c r="AW746">
        <f ca="1"/>
      </c>
      <c r="AX746">
        <f ca="1"/>
      </c>
      <c r="AY746">
        <f ca="1"/>
      </c>
      <c r="BA746" s="7"/>
    </row>
    <row r="747" spans="31:53" x14ac:dyDescent="0.55000000000000004">
      <c r="AE747" s="7">
        <f ca="1"/>
      </c>
      <c r="AF747">
        <f ca="1"/>
      </c>
      <c r="AG747">
        <f ca="1"/>
      </c>
      <c r="AH747">
        <f ca="1"/>
      </c>
      <c r="AI747">
        <f ca="1"/>
      </c>
      <c r="AJ747">
        <f ca="1"/>
      </c>
      <c r="AK747">
        <f ca="1"/>
      </c>
      <c r="AL747">
        <f ca="1"/>
      </c>
      <c r="AM747">
        <f ca="1"/>
      </c>
      <c r="AN747">
        <f ca="1"/>
      </c>
      <c r="AO747">
        <f ca="1"/>
      </c>
      <c r="AP747">
        <f ca="1"/>
      </c>
      <c r="AQ747">
        <f ca="1"/>
      </c>
      <c r="AR747">
        <f ca="1"/>
      </c>
      <c r="AT747" s="7">
        <f ca="1"/>
      </c>
      <c r="AU747">
        <f ca="1"/>
      </c>
      <c r="AV747">
        <f ca="1"/>
      </c>
      <c r="AW747">
        <f ca="1"/>
      </c>
      <c r="AX747">
        <f ca="1"/>
      </c>
      <c r="AY747">
        <f ca="1"/>
      </c>
      <c r="BA747" s="7"/>
    </row>
    <row r="748" spans="31:53" x14ac:dyDescent="0.55000000000000004">
      <c r="AE748" s="7">
        <f ca="1"/>
      </c>
      <c r="AF748">
        <f ca="1"/>
      </c>
      <c r="AG748">
        <f ca="1"/>
      </c>
      <c r="AH748">
        <f ca="1"/>
      </c>
      <c r="AI748">
        <f ca="1"/>
      </c>
      <c r="AJ748">
        <f ca="1"/>
      </c>
      <c r="AK748">
        <f ca="1"/>
      </c>
      <c r="AL748">
        <f ca="1"/>
      </c>
      <c r="AM748">
        <f ca="1"/>
      </c>
      <c r="AN748">
        <f ca="1"/>
      </c>
      <c r="AO748">
        <f ca="1"/>
      </c>
      <c r="AP748">
        <f ca="1"/>
      </c>
      <c r="AQ748">
        <f ca="1"/>
      </c>
      <c r="AR748">
        <f ca="1"/>
      </c>
      <c r="AT748" s="7">
        <f ca="1"/>
      </c>
      <c r="AU748">
        <f ca="1"/>
      </c>
      <c r="AV748">
        <f ca="1"/>
      </c>
      <c r="AW748">
        <f ca="1"/>
      </c>
      <c r="AX748">
        <f ca="1"/>
      </c>
      <c r="AY748">
        <f ca="1"/>
      </c>
      <c r="BA748" s="7"/>
    </row>
    <row r="749" spans="31:53" x14ac:dyDescent="0.55000000000000004">
      <c r="AE749" s="7">
        <f ca="1"/>
      </c>
      <c r="AF749">
        <f ca="1"/>
      </c>
      <c r="AG749">
        <f ca="1"/>
      </c>
      <c r="AH749">
        <f ca="1"/>
      </c>
      <c r="AI749">
        <f ca="1"/>
      </c>
      <c r="AJ749">
        <f ca="1"/>
      </c>
      <c r="AK749">
        <f ca="1"/>
      </c>
      <c r="AL749">
        <f ca="1"/>
      </c>
      <c r="AM749">
        <f ca="1"/>
      </c>
      <c r="AN749">
        <f ca="1"/>
      </c>
      <c r="AO749">
        <f ca="1"/>
      </c>
      <c r="AP749">
        <f ca="1"/>
      </c>
      <c r="AQ749">
        <f ca="1"/>
      </c>
      <c r="AR749">
        <f ca="1"/>
      </c>
      <c r="AT749" s="7">
        <f ca="1"/>
      </c>
      <c r="AU749">
        <f ca="1"/>
      </c>
      <c r="AV749">
        <f ca="1"/>
      </c>
      <c r="AW749">
        <f ca="1"/>
      </c>
      <c r="AX749">
        <f ca="1"/>
      </c>
      <c r="AY749">
        <f ca="1"/>
      </c>
      <c r="BA749" s="7"/>
    </row>
    <row r="750" spans="31:53" x14ac:dyDescent="0.55000000000000004">
      <c r="AE750" s="7">
        <f ca="1"/>
      </c>
      <c r="AF750">
        <f ca="1"/>
      </c>
      <c r="AG750">
        <f ca="1"/>
      </c>
      <c r="AH750">
        <f ca="1"/>
      </c>
      <c r="AI750">
        <f ca="1"/>
      </c>
      <c r="AJ750">
        <f ca="1"/>
      </c>
      <c r="AK750">
        <f ca="1"/>
      </c>
      <c r="AL750">
        <f ca="1"/>
      </c>
      <c r="AM750">
        <f ca="1"/>
      </c>
      <c r="AN750">
        <f ca="1"/>
      </c>
      <c r="AO750">
        <f ca="1"/>
      </c>
      <c r="AP750">
        <f ca="1"/>
      </c>
      <c r="AQ750">
        <f ca="1"/>
      </c>
      <c r="AR750">
        <f ca="1"/>
      </c>
      <c r="AT750" s="7">
        <f ca="1"/>
      </c>
      <c r="AU750">
        <f ca="1"/>
      </c>
      <c r="AV750">
        <f ca="1"/>
      </c>
      <c r="AW750">
        <f ca="1"/>
      </c>
      <c r="AX750">
        <f ca="1"/>
      </c>
      <c r="AY750">
        <f ca="1"/>
      </c>
      <c r="BA750" s="7"/>
    </row>
    <row r="751" spans="31:53" x14ac:dyDescent="0.55000000000000004">
      <c r="AE751" s="7">
        <f ca="1"/>
      </c>
      <c r="AF751">
        <f ca="1"/>
      </c>
      <c r="AG751">
        <f ca="1"/>
      </c>
      <c r="AH751">
        <f ca="1"/>
      </c>
      <c r="AI751">
        <f ca="1"/>
      </c>
      <c r="AJ751">
        <f ca="1"/>
      </c>
      <c r="AK751">
        <f ca="1"/>
      </c>
      <c r="AL751">
        <f ca="1"/>
      </c>
      <c r="AM751">
        <f ca="1"/>
      </c>
      <c r="AN751">
        <f ca="1"/>
      </c>
      <c r="AO751">
        <f ca="1"/>
      </c>
      <c r="AP751">
        <f ca="1"/>
      </c>
      <c r="AQ751">
        <f ca="1"/>
      </c>
      <c r="AR751">
        <f ca="1"/>
      </c>
      <c r="AT751" s="7">
        <f ca="1"/>
      </c>
      <c r="AU751">
        <f ca="1"/>
      </c>
      <c r="AV751">
        <f ca="1"/>
      </c>
      <c r="AW751">
        <f ca="1"/>
      </c>
      <c r="AX751">
        <f ca="1"/>
      </c>
      <c r="AY751">
        <f ca="1"/>
      </c>
      <c r="BA751" s="7"/>
    </row>
    <row r="752" spans="31:53" x14ac:dyDescent="0.55000000000000004">
      <c r="AE752" s="7">
        <f ca="1"/>
      </c>
      <c r="AF752">
        <f ca="1"/>
      </c>
      <c r="AG752">
        <f ca="1"/>
      </c>
      <c r="AH752">
        <f ca="1"/>
      </c>
      <c r="AI752">
        <f ca="1"/>
      </c>
      <c r="AJ752">
        <f ca="1"/>
      </c>
      <c r="AK752">
        <f ca="1"/>
      </c>
      <c r="AL752">
        <f ca="1"/>
      </c>
      <c r="AM752">
        <f ca="1"/>
      </c>
      <c r="AN752">
        <f ca="1"/>
      </c>
      <c r="AO752">
        <f ca="1"/>
      </c>
      <c r="AP752">
        <f ca="1"/>
      </c>
      <c r="AQ752">
        <f ca="1"/>
      </c>
      <c r="AR752">
        <f ca="1"/>
      </c>
      <c r="AT752" s="7">
        <f ca="1"/>
      </c>
      <c r="AU752">
        <f ca="1"/>
      </c>
      <c r="AV752">
        <f ca="1"/>
      </c>
      <c r="AW752">
        <f ca="1"/>
      </c>
      <c r="AX752">
        <f ca="1"/>
      </c>
      <c r="AY752">
        <f ca="1"/>
      </c>
      <c r="BA752" s="7"/>
    </row>
    <row r="753" spans="31:53" x14ac:dyDescent="0.55000000000000004">
      <c r="AE753" s="7">
        <f ca="1"/>
      </c>
      <c r="AF753">
        <f ca="1"/>
      </c>
      <c r="AG753">
        <f ca="1"/>
      </c>
      <c r="AH753">
        <f ca="1"/>
      </c>
      <c r="AI753">
        <f ca="1"/>
      </c>
      <c r="AJ753">
        <f ca="1"/>
      </c>
      <c r="AK753">
        <f ca="1"/>
      </c>
      <c r="AL753">
        <f ca="1"/>
      </c>
      <c r="AM753">
        <f ca="1"/>
      </c>
      <c r="AN753">
        <f ca="1"/>
      </c>
      <c r="AO753">
        <f ca="1"/>
      </c>
      <c r="AP753">
        <f ca="1"/>
      </c>
      <c r="AQ753">
        <f ca="1"/>
      </c>
      <c r="AR753">
        <f ca="1"/>
      </c>
      <c r="AT753" s="7">
        <f ca="1"/>
      </c>
      <c r="AU753">
        <f ca="1"/>
      </c>
      <c r="AV753">
        <f ca="1"/>
      </c>
      <c r="AW753">
        <f ca="1"/>
      </c>
      <c r="AX753">
        <f ca="1"/>
      </c>
      <c r="AY753">
        <f ca="1"/>
      </c>
      <c r="BA753" s="7"/>
    </row>
    <row r="754" spans="31:53" x14ac:dyDescent="0.55000000000000004">
      <c r="AE754" s="7">
        <f ca="1"/>
      </c>
      <c r="AF754">
        <f ca="1"/>
      </c>
      <c r="AG754">
        <f ca="1"/>
      </c>
      <c r="AH754">
        <f ca="1"/>
      </c>
      <c r="AI754">
        <f ca="1"/>
      </c>
      <c r="AJ754">
        <f ca="1"/>
      </c>
      <c r="AK754">
        <f ca="1"/>
      </c>
      <c r="AL754">
        <f ca="1"/>
      </c>
      <c r="AM754">
        <f ca="1"/>
      </c>
      <c r="AN754">
        <f ca="1"/>
      </c>
      <c r="AO754">
        <f ca="1"/>
      </c>
      <c r="AP754">
        <f ca="1"/>
      </c>
      <c r="AQ754">
        <f ca="1"/>
      </c>
      <c r="AR754">
        <f ca="1"/>
      </c>
      <c r="AT754" s="7">
        <f ca="1"/>
      </c>
      <c r="AU754">
        <f ca="1"/>
      </c>
      <c r="AV754">
        <f ca="1"/>
      </c>
      <c r="AW754">
        <f ca="1"/>
      </c>
      <c r="AX754">
        <f ca="1"/>
      </c>
      <c r="AY754">
        <f ca="1"/>
      </c>
      <c r="BA754" s="7"/>
    </row>
    <row r="755" spans="31:53" x14ac:dyDescent="0.55000000000000004">
      <c r="AE755" s="7">
        <f ca="1"/>
      </c>
      <c r="AF755">
        <f ca="1"/>
      </c>
      <c r="AG755">
        <f ca="1"/>
      </c>
      <c r="AH755">
        <f ca="1"/>
      </c>
      <c r="AI755">
        <f ca="1"/>
      </c>
      <c r="AJ755">
        <f ca="1"/>
      </c>
      <c r="AK755">
        <f ca="1"/>
      </c>
      <c r="AL755">
        <f ca="1"/>
      </c>
      <c r="AM755">
        <f ca="1"/>
      </c>
      <c r="AN755">
        <f ca="1"/>
      </c>
      <c r="AO755">
        <f ca="1"/>
      </c>
      <c r="AP755">
        <f ca="1"/>
      </c>
      <c r="AQ755">
        <f ca="1"/>
      </c>
      <c r="AR755">
        <f ca="1"/>
      </c>
      <c r="AT755" s="7">
        <f ca="1"/>
      </c>
      <c r="AU755">
        <f ca="1"/>
      </c>
      <c r="AV755">
        <f ca="1"/>
      </c>
      <c r="AW755">
        <f ca="1"/>
      </c>
      <c r="AX755">
        <f ca="1"/>
      </c>
      <c r="AY755">
        <f ca="1"/>
      </c>
      <c r="BA755" s="7"/>
    </row>
    <row r="756" spans="31:53" x14ac:dyDescent="0.55000000000000004">
      <c r="AE756" s="7">
        <f ca="1"/>
      </c>
      <c r="AF756">
        <f ca="1"/>
      </c>
      <c r="AG756">
        <f ca="1"/>
      </c>
      <c r="AH756">
        <f ca="1"/>
      </c>
      <c r="AI756">
        <f ca="1"/>
      </c>
      <c r="AJ756">
        <f ca="1"/>
      </c>
      <c r="AK756">
        <f ca="1"/>
      </c>
      <c r="AL756">
        <f ca="1"/>
      </c>
      <c r="AM756">
        <f ca="1"/>
      </c>
      <c r="AN756">
        <f ca="1"/>
      </c>
      <c r="AO756">
        <f ca="1"/>
      </c>
      <c r="AP756">
        <f ca="1"/>
      </c>
      <c r="AQ756">
        <f ca="1"/>
      </c>
      <c r="AR756">
        <f ca="1"/>
      </c>
      <c r="AT756" s="7">
        <f ca="1"/>
      </c>
      <c r="AU756">
        <f ca="1"/>
      </c>
      <c r="AV756">
        <f ca="1"/>
      </c>
      <c r="AW756">
        <f ca="1"/>
      </c>
      <c r="AX756">
        <f ca="1"/>
      </c>
      <c r="AY756">
        <f ca="1"/>
      </c>
      <c r="BA756" s="7"/>
    </row>
    <row r="757" spans="31:53" x14ac:dyDescent="0.55000000000000004">
      <c r="AE757" s="7">
        <f ca="1"/>
      </c>
      <c r="AF757">
        <f ca="1"/>
      </c>
      <c r="AG757">
        <f ca="1"/>
      </c>
      <c r="AH757">
        <f ca="1"/>
      </c>
      <c r="AI757">
        <f ca="1"/>
      </c>
      <c r="AJ757">
        <f ca="1"/>
      </c>
      <c r="AK757">
        <f ca="1"/>
      </c>
      <c r="AL757">
        <f ca="1"/>
      </c>
      <c r="AM757">
        <f ca="1"/>
      </c>
      <c r="AN757">
        <f ca="1"/>
      </c>
      <c r="AO757">
        <f ca="1"/>
      </c>
      <c r="AP757">
        <f ca="1"/>
      </c>
      <c r="AQ757">
        <f ca="1"/>
      </c>
      <c r="AR757">
        <f ca="1"/>
      </c>
      <c r="AT757" s="7">
        <f ca="1"/>
      </c>
      <c r="AU757">
        <f ca="1"/>
      </c>
      <c r="AV757">
        <f ca="1"/>
      </c>
      <c r="AW757">
        <f ca="1"/>
      </c>
      <c r="AX757">
        <f ca="1"/>
      </c>
      <c r="AY757">
        <f ca="1"/>
      </c>
      <c r="BA757" s="7"/>
    </row>
    <row r="758" spans="31:53" x14ac:dyDescent="0.55000000000000004">
      <c r="AE758" s="7">
        <f ca="1"/>
      </c>
      <c r="AF758">
        <f ca="1"/>
      </c>
      <c r="AG758">
        <f ca="1"/>
      </c>
      <c r="AH758">
        <f ca="1"/>
      </c>
      <c r="AI758">
        <f ca="1"/>
      </c>
      <c r="AJ758">
        <f ca="1"/>
      </c>
      <c r="AK758">
        <f ca="1"/>
      </c>
      <c r="AL758">
        <f ca="1"/>
      </c>
      <c r="AM758">
        <f ca="1"/>
      </c>
      <c r="AN758">
        <f ca="1"/>
      </c>
      <c r="AO758">
        <f ca="1"/>
      </c>
      <c r="AP758">
        <f ca="1"/>
      </c>
      <c r="AQ758">
        <f ca="1"/>
      </c>
      <c r="AR758">
        <f ca="1"/>
      </c>
      <c r="AT758" s="7">
        <f ca="1"/>
      </c>
      <c r="AU758">
        <f ca="1"/>
      </c>
      <c r="AV758">
        <f ca="1"/>
      </c>
      <c r="AW758">
        <f ca="1"/>
      </c>
      <c r="AX758">
        <f ca="1"/>
      </c>
      <c r="AY758">
        <f ca="1"/>
      </c>
      <c r="BA758" s="7"/>
    </row>
    <row r="759" spans="31:53" x14ac:dyDescent="0.55000000000000004">
      <c r="AE759" s="7">
        <f ca="1"/>
      </c>
      <c r="AF759">
        <f ca="1"/>
      </c>
      <c r="AG759">
        <f ca="1"/>
      </c>
      <c r="AH759">
        <f ca="1"/>
      </c>
      <c r="AI759">
        <f ca="1"/>
      </c>
      <c r="AJ759">
        <f ca="1"/>
      </c>
      <c r="AK759">
        <f ca="1"/>
      </c>
      <c r="AL759">
        <f ca="1"/>
      </c>
      <c r="AM759">
        <f ca="1"/>
      </c>
      <c r="AN759">
        <f ca="1"/>
      </c>
      <c r="AO759">
        <f ca="1"/>
      </c>
      <c r="AP759">
        <f ca="1"/>
      </c>
      <c r="AQ759">
        <f ca="1"/>
      </c>
      <c r="AR759">
        <f ca="1"/>
      </c>
      <c r="AT759" s="7">
        <f ca="1"/>
      </c>
      <c r="AU759">
        <f ca="1"/>
      </c>
      <c r="AV759">
        <f ca="1"/>
      </c>
      <c r="AW759">
        <f ca="1"/>
      </c>
      <c r="AX759">
        <f ca="1"/>
      </c>
      <c r="AY759">
        <f ca="1"/>
      </c>
      <c r="BA759" s="7"/>
    </row>
    <row r="760" spans="31:53" x14ac:dyDescent="0.55000000000000004">
      <c r="AE760" s="7">
        <f ca="1"/>
      </c>
      <c r="AF760">
        <f ca="1"/>
      </c>
      <c r="AG760">
        <f ca="1"/>
      </c>
      <c r="AH760">
        <f ca="1"/>
      </c>
      <c r="AI760">
        <f ca="1"/>
      </c>
      <c r="AJ760">
        <f ca="1"/>
      </c>
      <c r="AK760">
        <f ca="1"/>
      </c>
      <c r="AL760">
        <f ca="1"/>
      </c>
      <c r="AM760">
        <f ca="1"/>
      </c>
      <c r="AN760">
        <f ca="1"/>
      </c>
      <c r="AO760">
        <f ca="1"/>
      </c>
      <c r="AP760">
        <f ca="1"/>
      </c>
      <c r="AQ760">
        <f ca="1"/>
      </c>
      <c r="AR760">
        <f ca="1"/>
      </c>
      <c r="AT760" s="7">
        <f ca="1"/>
      </c>
      <c r="AU760">
        <f ca="1"/>
      </c>
      <c r="AV760">
        <f ca="1"/>
      </c>
      <c r="AW760">
        <f ca="1"/>
      </c>
      <c r="AX760">
        <f ca="1"/>
      </c>
      <c r="AY760">
        <f ca="1"/>
      </c>
      <c r="BA760" s="7"/>
    </row>
    <row r="761" spans="31:53" x14ac:dyDescent="0.55000000000000004">
      <c r="AE761" s="7">
        <f ca="1"/>
      </c>
      <c r="AF761">
        <f ca="1"/>
      </c>
      <c r="AG761">
        <f ca="1"/>
      </c>
      <c r="AH761">
        <f ca="1"/>
      </c>
      <c r="AI761">
        <f ca="1"/>
      </c>
      <c r="AJ761">
        <f ca="1"/>
      </c>
      <c r="AK761">
        <f ca="1"/>
      </c>
      <c r="AL761">
        <f ca="1"/>
      </c>
      <c r="AM761">
        <f ca="1"/>
      </c>
      <c r="AN761">
        <f ca="1"/>
      </c>
      <c r="AO761">
        <f ca="1"/>
      </c>
      <c r="AP761">
        <f ca="1"/>
      </c>
      <c r="AQ761">
        <f ca="1"/>
      </c>
      <c r="AR761">
        <f ca="1"/>
      </c>
      <c r="AT761" s="7">
        <f ca="1"/>
      </c>
      <c r="AU761">
        <f ca="1"/>
      </c>
      <c r="AV761">
        <f ca="1"/>
      </c>
      <c r="AW761">
        <f ca="1"/>
      </c>
      <c r="AX761">
        <f ca="1"/>
      </c>
      <c r="AY761">
        <f ca="1"/>
      </c>
      <c r="BA761" s="7"/>
    </row>
    <row r="762" spans="31:53" x14ac:dyDescent="0.55000000000000004">
      <c r="AE762" s="7">
        <f ca="1"/>
      </c>
      <c r="AF762">
        <f ca="1"/>
      </c>
      <c r="AG762">
        <f ca="1"/>
      </c>
      <c r="AH762">
        <f ca="1"/>
      </c>
      <c r="AI762">
        <f ca="1"/>
      </c>
      <c r="AJ762">
        <f ca="1"/>
      </c>
      <c r="AK762">
        <f ca="1"/>
      </c>
      <c r="AL762">
        <f ca="1"/>
      </c>
      <c r="AM762">
        <f ca="1"/>
      </c>
      <c r="AN762">
        <f ca="1"/>
      </c>
      <c r="AO762">
        <f ca="1"/>
      </c>
      <c r="AP762">
        <f ca="1"/>
      </c>
      <c r="AQ762">
        <f ca="1"/>
      </c>
      <c r="AR762">
        <f ca="1"/>
      </c>
      <c r="AT762" s="7">
        <f ca="1"/>
      </c>
      <c r="AU762">
        <f ca="1"/>
      </c>
      <c r="AV762">
        <f ca="1"/>
      </c>
      <c r="AW762">
        <f ca="1"/>
      </c>
      <c r="AX762">
        <f ca="1"/>
      </c>
      <c r="AY762">
        <f ca="1"/>
      </c>
      <c r="BA762" s="7"/>
    </row>
    <row r="763" spans="31:53" x14ac:dyDescent="0.55000000000000004">
      <c r="AE763" s="7">
        <f ca="1"/>
      </c>
      <c r="AF763">
        <f ca="1"/>
      </c>
      <c r="AG763">
        <f ca="1"/>
      </c>
      <c r="AH763">
        <f ca="1"/>
      </c>
      <c r="AI763">
        <f ca="1"/>
      </c>
      <c r="AJ763">
        <f ca="1"/>
      </c>
      <c r="AK763">
        <f ca="1"/>
      </c>
      <c r="AL763">
        <f ca="1"/>
      </c>
      <c r="AM763">
        <f ca="1"/>
      </c>
      <c r="AN763">
        <f ca="1"/>
      </c>
      <c r="AO763">
        <f ca="1"/>
      </c>
      <c r="AP763">
        <f ca="1"/>
      </c>
      <c r="AQ763">
        <f ca="1"/>
      </c>
      <c r="AR763">
        <f ca="1"/>
      </c>
      <c r="AT763" s="7">
        <f ca="1"/>
      </c>
      <c r="AU763">
        <f ca="1"/>
      </c>
      <c r="AV763">
        <f ca="1"/>
      </c>
      <c r="AW763">
        <f ca="1"/>
      </c>
      <c r="AX763">
        <f ca="1"/>
      </c>
      <c r="AY763">
        <f ca="1"/>
      </c>
      <c r="BA763" s="7"/>
    </row>
    <row r="764" spans="31:53" x14ac:dyDescent="0.55000000000000004">
      <c r="AE764" s="7">
        <f ca="1"/>
      </c>
      <c r="AF764">
        <f ca="1"/>
      </c>
      <c r="AG764">
        <f ca="1"/>
      </c>
      <c r="AH764">
        <f ca="1"/>
      </c>
      <c r="AI764">
        <f ca="1"/>
      </c>
      <c r="AJ764">
        <f ca="1"/>
      </c>
      <c r="AK764">
        <f ca="1"/>
      </c>
      <c r="AL764">
        <f ca="1"/>
      </c>
      <c r="AM764">
        <f ca="1"/>
      </c>
      <c r="AN764">
        <f ca="1"/>
      </c>
      <c r="AO764">
        <f ca="1"/>
      </c>
      <c r="AP764">
        <f ca="1"/>
      </c>
      <c r="AQ764">
        <f ca="1"/>
      </c>
      <c r="AR764">
        <f ca="1"/>
      </c>
      <c r="AT764" s="7">
        <f ca="1"/>
      </c>
      <c r="AU764">
        <f ca="1"/>
      </c>
      <c r="AV764">
        <f ca="1"/>
      </c>
      <c r="AW764">
        <f ca="1"/>
      </c>
      <c r="AX764">
        <f ca="1"/>
      </c>
      <c r="AY764">
        <f ca="1"/>
      </c>
      <c r="BA764" s="7"/>
    </row>
    <row r="765" spans="31:53" x14ac:dyDescent="0.55000000000000004">
      <c r="AE765" s="7">
        <f ca="1"/>
      </c>
      <c r="AF765">
        <f ca="1"/>
      </c>
      <c r="AG765">
        <f ca="1"/>
      </c>
      <c r="AH765">
        <f ca="1"/>
      </c>
      <c r="AI765">
        <f ca="1"/>
      </c>
      <c r="AJ765">
        <f ca="1"/>
      </c>
      <c r="AK765">
        <f ca="1"/>
      </c>
      <c r="AL765">
        <f ca="1"/>
      </c>
      <c r="AM765">
        <f ca="1"/>
      </c>
      <c r="AN765">
        <f ca="1"/>
      </c>
      <c r="AO765">
        <f ca="1"/>
      </c>
      <c r="AP765">
        <f ca="1"/>
      </c>
      <c r="AQ765">
        <f ca="1"/>
      </c>
      <c r="AR765">
        <f ca="1"/>
      </c>
      <c r="AT765" s="7">
        <f ca="1"/>
      </c>
      <c r="AU765">
        <f ca="1"/>
      </c>
      <c r="AV765">
        <f ca="1"/>
      </c>
      <c r="AW765">
        <f ca="1"/>
      </c>
      <c r="AX765">
        <f ca="1"/>
      </c>
      <c r="AY765">
        <f ca="1"/>
      </c>
      <c r="BA765" s="7"/>
    </row>
    <row r="766" spans="31:53" x14ac:dyDescent="0.55000000000000004">
      <c r="AE766" s="7">
        <f ca="1"/>
      </c>
      <c r="AF766">
        <f ca="1"/>
      </c>
      <c r="AG766">
        <f ca="1"/>
      </c>
      <c r="AH766">
        <f ca="1"/>
      </c>
      <c r="AI766">
        <f ca="1"/>
      </c>
      <c r="AJ766">
        <f ca="1"/>
      </c>
      <c r="AK766">
        <f ca="1"/>
      </c>
      <c r="AL766">
        <f ca="1"/>
      </c>
      <c r="AM766">
        <f ca="1"/>
      </c>
      <c r="AN766">
        <f ca="1"/>
      </c>
      <c r="AO766">
        <f ca="1"/>
      </c>
      <c r="AP766">
        <f ca="1"/>
      </c>
      <c r="AQ766">
        <f ca="1"/>
      </c>
      <c r="AR766">
        <f ca="1"/>
      </c>
      <c r="AT766" s="7">
        <f ca="1"/>
      </c>
      <c r="AU766">
        <f ca="1"/>
      </c>
      <c r="AV766">
        <f ca="1"/>
      </c>
      <c r="AW766">
        <f ca="1"/>
      </c>
      <c r="AX766">
        <f ca="1"/>
      </c>
      <c r="AY766">
        <f ca="1"/>
      </c>
      <c r="BA766" s="7"/>
    </row>
    <row r="767" spans="31:53" x14ac:dyDescent="0.55000000000000004">
      <c r="AE767" s="7">
        <f ca="1"/>
      </c>
      <c r="AF767">
        <f ca="1"/>
      </c>
      <c r="AG767">
        <f ca="1"/>
      </c>
      <c r="AH767">
        <f ca="1"/>
      </c>
      <c r="AI767">
        <f ca="1"/>
      </c>
      <c r="AJ767">
        <f ca="1"/>
      </c>
      <c r="AK767">
        <f ca="1"/>
      </c>
      <c r="AL767">
        <f ca="1"/>
      </c>
      <c r="AM767">
        <f ca="1"/>
      </c>
      <c r="AN767">
        <f ca="1"/>
      </c>
      <c r="AO767">
        <f ca="1"/>
      </c>
      <c r="AP767">
        <f ca="1"/>
      </c>
      <c r="AQ767">
        <f ca="1"/>
      </c>
      <c r="AR767">
        <f ca="1"/>
      </c>
      <c r="AT767" s="7">
        <f ca="1"/>
      </c>
      <c r="AU767">
        <f ca="1"/>
      </c>
      <c r="AV767">
        <f ca="1"/>
      </c>
      <c r="AW767">
        <f ca="1"/>
      </c>
      <c r="AX767">
        <f ca="1"/>
      </c>
      <c r="AY767">
        <f ca="1"/>
      </c>
      <c r="BA767" s="7"/>
    </row>
    <row r="768" spans="31:53" x14ac:dyDescent="0.55000000000000004">
      <c r="AE768" s="7">
        <f ca="1"/>
      </c>
      <c r="AF768">
        <f ca="1"/>
      </c>
      <c r="AG768">
        <f ca="1"/>
      </c>
      <c r="AH768">
        <f ca="1"/>
      </c>
      <c r="AI768">
        <f ca="1"/>
      </c>
      <c r="AJ768">
        <f ca="1"/>
      </c>
      <c r="AK768">
        <f ca="1"/>
      </c>
      <c r="AL768">
        <f ca="1"/>
      </c>
      <c r="AM768">
        <f ca="1"/>
      </c>
      <c r="AN768">
        <f ca="1"/>
      </c>
      <c r="AO768">
        <f ca="1"/>
      </c>
      <c r="AP768">
        <f ca="1"/>
      </c>
      <c r="AQ768">
        <f ca="1"/>
      </c>
      <c r="AR768">
        <f ca="1"/>
      </c>
      <c r="AT768" s="7">
        <f ca="1"/>
      </c>
      <c r="AU768">
        <f ca="1"/>
      </c>
      <c r="AV768">
        <f ca="1"/>
      </c>
      <c r="AW768">
        <f ca="1"/>
      </c>
      <c r="AX768">
        <f ca="1"/>
      </c>
      <c r="AY768">
        <f ca="1"/>
      </c>
      <c r="BA768" s="7"/>
    </row>
    <row r="769" spans="31:53" x14ac:dyDescent="0.55000000000000004">
      <c r="AE769" s="7">
        <f ca="1"/>
      </c>
      <c r="AF769">
        <f ca="1"/>
      </c>
      <c r="AG769">
        <f ca="1"/>
      </c>
      <c r="AH769">
        <f ca="1"/>
      </c>
      <c r="AI769">
        <f ca="1"/>
      </c>
      <c r="AJ769">
        <f ca="1"/>
      </c>
      <c r="AK769">
        <f ca="1"/>
      </c>
      <c r="AL769">
        <f ca="1"/>
      </c>
      <c r="AM769">
        <f ca="1"/>
      </c>
      <c r="AN769">
        <f ca="1"/>
      </c>
      <c r="AO769">
        <f ca="1"/>
      </c>
      <c r="AP769">
        <f ca="1"/>
      </c>
      <c r="AQ769">
        <f ca="1"/>
      </c>
      <c r="AR769">
        <f ca="1"/>
      </c>
      <c r="AT769" s="7">
        <f ca="1"/>
      </c>
      <c r="AU769">
        <f ca="1"/>
      </c>
      <c r="AV769">
        <f ca="1"/>
      </c>
      <c r="AW769">
        <f ca="1"/>
      </c>
      <c r="AX769">
        <f ca="1"/>
      </c>
      <c r="AY769">
        <f ca="1"/>
      </c>
      <c r="BA769" s="7"/>
    </row>
    <row r="770" spans="31:53" x14ac:dyDescent="0.55000000000000004">
      <c r="AE770" s="7">
        <f ca="1"/>
      </c>
      <c r="AF770">
        <f ca="1"/>
      </c>
      <c r="AG770">
        <f ca="1"/>
      </c>
      <c r="AH770">
        <f ca="1"/>
      </c>
      <c r="AI770">
        <f ca="1"/>
      </c>
      <c r="AJ770">
        <f ca="1"/>
      </c>
      <c r="AK770">
        <f ca="1"/>
      </c>
      <c r="AL770">
        <f ca="1"/>
      </c>
      <c r="AM770">
        <f ca="1"/>
      </c>
      <c r="AN770">
        <f ca="1"/>
      </c>
      <c r="AO770">
        <f ca="1"/>
      </c>
      <c r="AP770">
        <f ca="1"/>
      </c>
      <c r="AQ770">
        <f ca="1"/>
      </c>
      <c r="AR770">
        <f ca="1"/>
      </c>
      <c r="AT770" s="7">
        <f ca="1"/>
      </c>
      <c r="AU770">
        <f ca="1"/>
      </c>
      <c r="AV770">
        <f ca="1"/>
      </c>
      <c r="AW770">
        <f ca="1"/>
      </c>
      <c r="AX770">
        <f ca="1"/>
      </c>
      <c r="AY770">
        <f ca="1"/>
      </c>
      <c r="BA770" s="7"/>
    </row>
    <row r="771" spans="31:53" x14ac:dyDescent="0.55000000000000004">
      <c r="AE771" s="7">
        <f ca="1"/>
      </c>
      <c r="AF771">
        <f ca="1"/>
      </c>
      <c r="AG771">
        <f ca="1"/>
      </c>
      <c r="AH771">
        <f ca="1"/>
      </c>
      <c r="AI771">
        <f ca="1"/>
      </c>
      <c r="AJ771">
        <f ca="1"/>
      </c>
      <c r="AK771">
        <f ca="1"/>
      </c>
      <c r="AL771">
        <f ca="1"/>
      </c>
      <c r="AM771">
        <f ca="1"/>
      </c>
      <c r="AN771">
        <f ca="1"/>
      </c>
      <c r="AO771">
        <f ca="1"/>
      </c>
      <c r="AP771">
        <f ca="1"/>
      </c>
      <c r="AQ771">
        <f ca="1"/>
      </c>
      <c r="AR771">
        <f ca="1"/>
      </c>
      <c r="AT771" s="7">
        <f ca="1"/>
      </c>
      <c r="AU771">
        <f ca="1"/>
      </c>
      <c r="AV771">
        <f ca="1"/>
      </c>
      <c r="AW771">
        <f ca="1"/>
      </c>
      <c r="AX771">
        <f ca="1"/>
      </c>
      <c r="AY771">
        <f ca="1"/>
      </c>
      <c r="BA771" s="7"/>
    </row>
    <row r="772" spans="31:53" x14ac:dyDescent="0.55000000000000004">
      <c r="AE772" s="7">
        <f ca="1"/>
      </c>
      <c r="AF772">
        <f ca="1"/>
      </c>
      <c r="AG772">
        <f ca="1"/>
      </c>
      <c r="AH772">
        <f ca="1"/>
      </c>
      <c r="AI772">
        <f ca="1"/>
      </c>
      <c r="AJ772">
        <f ca="1"/>
      </c>
      <c r="AK772">
        <f ca="1"/>
      </c>
      <c r="AL772">
        <f ca="1"/>
      </c>
      <c r="AM772">
        <f ca="1"/>
      </c>
      <c r="AN772">
        <f ca="1"/>
      </c>
      <c r="AO772">
        <f ca="1"/>
      </c>
      <c r="AP772">
        <f ca="1"/>
      </c>
      <c r="AQ772">
        <f ca="1"/>
      </c>
      <c r="AR772">
        <f ca="1"/>
      </c>
      <c r="AT772" s="7">
        <f ca="1"/>
      </c>
      <c r="AU772">
        <f ca="1"/>
      </c>
      <c r="AV772">
        <f ca="1"/>
      </c>
      <c r="AW772">
        <f ca="1"/>
      </c>
      <c r="AX772">
        <f ca="1"/>
      </c>
      <c r="AY772">
        <f ca="1"/>
      </c>
      <c r="BA772" s="7"/>
    </row>
    <row r="773" spans="31:53" x14ac:dyDescent="0.55000000000000004">
      <c r="AE773" s="7">
        <f ca="1"/>
      </c>
      <c r="AF773">
        <f ca="1"/>
      </c>
      <c r="AG773">
        <f ca="1"/>
      </c>
      <c r="AH773">
        <f ca="1"/>
      </c>
      <c r="AI773">
        <f ca="1"/>
      </c>
      <c r="AJ773">
        <f ca="1"/>
      </c>
      <c r="AK773">
        <f ca="1"/>
      </c>
      <c r="AL773">
        <f ca="1"/>
      </c>
      <c r="AM773">
        <f ca="1"/>
      </c>
      <c r="AN773">
        <f ca="1"/>
      </c>
      <c r="AO773">
        <f ca="1"/>
      </c>
      <c r="AP773">
        <f ca="1"/>
      </c>
      <c r="AQ773">
        <f ca="1"/>
      </c>
      <c r="AR773">
        <f ca="1"/>
      </c>
      <c r="AT773" s="7">
        <f ca="1"/>
      </c>
      <c r="AU773">
        <f ca="1"/>
      </c>
      <c r="AV773">
        <f ca="1"/>
      </c>
      <c r="AW773">
        <f ca="1"/>
      </c>
      <c r="AX773">
        <f ca="1"/>
      </c>
      <c r="AY773">
        <f ca="1"/>
      </c>
      <c r="BA773" s="7"/>
    </row>
    <row r="774" spans="31:53" x14ac:dyDescent="0.55000000000000004">
      <c r="AE774" s="7">
        <f ca="1"/>
      </c>
      <c r="AF774">
        <f ca="1"/>
      </c>
      <c r="AG774">
        <f ca="1"/>
      </c>
      <c r="AH774">
        <f ca="1"/>
      </c>
      <c r="AI774">
        <f ca="1"/>
      </c>
      <c r="AJ774">
        <f ca="1"/>
      </c>
      <c r="AK774">
        <f ca="1"/>
      </c>
      <c r="AL774">
        <f ca="1"/>
      </c>
      <c r="AM774">
        <f ca="1"/>
      </c>
      <c r="AN774">
        <f ca="1"/>
      </c>
      <c r="AO774">
        <f ca="1"/>
      </c>
      <c r="AP774">
        <f ca="1"/>
      </c>
      <c r="AQ774">
        <f ca="1"/>
      </c>
      <c r="AR774">
        <f ca="1"/>
      </c>
      <c r="AT774" s="7">
        <f ca="1"/>
      </c>
      <c r="AU774">
        <f ca="1"/>
      </c>
      <c r="AV774">
        <f ca="1"/>
      </c>
      <c r="AW774">
        <f ca="1"/>
      </c>
      <c r="AX774">
        <f ca="1"/>
      </c>
      <c r="AY774">
        <f ca="1"/>
      </c>
      <c r="BA774" s="7"/>
    </row>
    <row r="775" spans="31:53" x14ac:dyDescent="0.55000000000000004">
      <c r="AE775" s="7">
        <f ca="1"/>
      </c>
      <c r="AF775">
        <f ca="1"/>
      </c>
      <c r="AG775">
        <f ca="1"/>
      </c>
      <c r="AH775">
        <f ca="1"/>
      </c>
      <c r="AI775">
        <f ca="1"/>
      </c>
      <c r="AJ775">
        <f ca="1"/>
      </c>
      <c r="AK775">
        <f ca="1"/>
      </c>
      <c r="AL775">
        <f ca="1"/>
      </c>
      <c r="AM775">
        <f ca="1"/>
      </c>
      <c r="AN775">
        <f ca="1"/>
      </c>
      <c r="AO775">
        <f ca="1"/>
      </c>
      <c r="AP775">
        <f ca="1"/>
      </c>
      <c r="AQ775">
        <f ca="1"/>
      </c>
      <c r="AR775">
        <f ca="1"/>
      </c>
      <c r="AT775" s="7">
        <f ca="1"/>
      </c>
      <c r="AU775">
        <f ca="1"/>
      </c>
      <c r="AV775">
        <f ca="1"/>
      </c>
      <c r="AW775">
        <f ca="1"/>
      </c>
      <c r="AX775">
        <f ca="1"/>
      </c>
      <c r="AY775">
        <f ca="1"/>
      </c>
      <c r="BA775" s="7"/>
    </row>
    <row r="776" spans="31:53" x14ac:dyDescent="0.55000000000000004">
      <c r="AE776" s="7">
        <f ca="1"/>
      </c>
      <c r="AF776">
        <f ca="1"/>
      </c>
      <c r="AG776">
        <f ca="1"/>
      </c>
      <c r="AH776">
        <f ca="1"/>
      </c>
      <c r="AI776">
        <f ca="1"/>
      </c>
      <c r="AJ776">
        <f ca="1"/>
      </c>
      <c r="AK776">
        <f ca="1"/>
      </c>
      <c r="AL776">
        <f ca="1"/>
      </c>
      <c r="AM776">
        <f ca="1"/>
      </c>
      <c r="AN776">
        <f ca="1"/>
      </c>
      <c r="AO776">
        <f ca="1"/>
      </c>
      <c r="AP776">
        <f ca="1"/>
      </c>
      <c r="AQ776">
        <f ca="1"/>
      </c>
      <c r="AR776">
        <f ca="1"/>
      </c>
      <c r="AT776" s="7">
        <f ca="1"/>
      </c>
      <c r="AU776">
        <f ca="1"/>
      </c>
      <c r="AV776">
        <f ca="1"/>
      </c>
      <c r="AW776">
        <f ca="1"/>
      </c>
      <c r="AX776">
        <f ca="1"/>
      </c>
      <c r="AY776">
        <f ca="1"/>
      </c>
      <c r="BA776" s="7"/>
    </row>
    <row r="777" spans="31:53" x14ac:dyDescent="0.55000000000000004">
      <c r="AE777" s="7">
        <f ca="1"/>
      </c>
      <c r="AF777">
        <f ca="1"/>
      </c>
      <c r="AG777">
        <f ca="1"/>
      </c>
      <c r="AH777">
        <f ca="1"/>
      </c>
      <c r="AI777">
        <f ca="1"/>
      </c>
      <c r="AJ777">
        <f ca="1"/>
      </c>
      <c r="AK777">
        <f ca="1"/>
      </c>
      <c r="AL777">
        <f ca="1"/>
      </c>
      <c r="AM777">
        <f ca="1"/>
      </c>
      <c r="AN777">
        <f ca="1"/>
      </c>
      <c r="AO777">
        <f ca="1"/>
      </c>
      <c r="AP777">
        <f ca="1"/>
      </c>
      <c r="AQ777">
        <f ca="1"/>
      </c>
      <c r="AR777">
        <f ca="1"/>
      </c>
      <c r="AT777" s="7">
        <f ca="1"/>
      </c>
      <c r="AU777">
        <f ca="1"/>
      </c>
      <c r="AV777">
        <f ca="1"/>
      </c>
      <c r="AW777">
        <f ca="1"/>
      </c>
      <c r="AX777">
        <f ca="1"/>
      </c>
      <c r="AY777">
        <f ca="1"/>
      </c>
      <c r="BA777" s="7"/>
    </row>
    <row r="778" spans="31:53" x14ac:dyDescent="0.55000000000000004">
      <c r="AE778" s="7">
        <f ca="1"/>
      </c>
      <c r="AF778">
        <f ca="1"/>
      </c>
      <c r="AG778">
        <f ca="1"/>
      </c>
      <c r="AH778">
        <f ca="1"/>
      </c>
      <c r="AI778">
        <f ca="1"/>
      </c>
      <c r="AJ778">
        <f ca="1"/>
      </c>
      <c r="AK778">
        <f ca="1"/>
      </c>
      <c r="AL778">
        <f ca="1"/>
      </c>
      <c r="AM778">
        <f ca="1"/>
      </c>
      <c r="AN778">
        <f ca="1"/>
      </c>
      <c r="AO778">
        <f ca="1"/>
      </c>
      <c r="AP778">
        <f ca="1"/>
      </c>
      <c r="AQ778">
        <f ca="1"/>
      </c>
      <c r="AR778">
        <f ca="1"/>
      </c>
      <c r="AT778" s="7">
        <f ca="1"/>
      </c>
      <c r="AU778">
        <f ca="1"/>
      </c>
      <c r="AV778">
        <f ca="1"/>
      </c>
      <c r="AW778">
        <f ca="1"/>
      </c>
      <c r="AX778">
        <f ca="1"/>
      </c>
      <c r="AY778">
        <f ca="1"/>
      </c>
      <c r="BA778" s="7"/>
    </row>
    <row r="779" spans="31:53" x14ac:dyDescent="0.55000000000000004">
      <c r="AE779" s="7">
        <f ca="1"/>
      </c>
      <c r="AF779">
        <f ca="1"/>
      </c>
      <c r="AG779">
        <f ca="1"/>
      </c>
      <c r="AH779">
        <f ca="1"/>
      </c>
      <c r="AI779">
        <f ca="1"/>
      </c>
      <c r="AJ779">
        <f ca="1"/>
      </c>
      <c r="AK779">
        <f ca="1"/>
      </c>
      <c r="AL779">
        <f ca="1"/>
      </c>
      <c r="AM779">
        <f ca="1"/>
      </c>
      <c r="AN779">
        <f ca="1"/>
      </c>
      <c r="AO779">
        <f ca="1"/>
      </c>
      <c r="AP779">
        <f ca="1"/>
      </c>
      <c r="AQ779">
        <f ca="1"/>
      </c>
      <c r="AR779">
        <f ca="1"/>
      </c>
      <c r="AT779" s="7">
        <f ca="1"/>
      </c>
      <c r="AU779">
        <f ca="1"/>
      </c>
      <c r="AV779">
        <f ca="1"/>
      </c>
      <c r="AW779">
        <f ca="1"/>
      </c>
      <c r="AX779">
        <f ca="1"/>
      </c>
      <c r="AY779">
        <f ca="1"/>
      </c>
      <c r="BA779" s="7"/>
    </row>
    <row r="780" spans="31:53" x14ac:dyDescent="0.55000000000000004">
      <c r="AE780" s="7">
        <f ca="1"/>
      </c>
      <c r="AF780">
        <f ca="1"/>
      </c>
      <c r="AG780">
        <f ca="1"/>
      </c>
      <c r="AH780">
        <f ca="1"/>
      </c>
      <c r="AI780">
        <f ca="1"/>
      </c>
      <c r="AJ780">
        <f ca="1"/>
      </c>
      <c r="AK780">
        <f ca="1"/>
      </c>
      <c r="AL780">
        <f ca="1"/>
      </c>
      <c r="AM780">
        <f ca="1"/>
      </c>
      <c r="AN780">
        <f ca="1"/>
      </c>
      <c r="AO780">
        <f ca="1"/>
      </c>
      <c r="AP780">
        <f ca="1"/>
      </c>
      <c r="AQ780">
        <f ca="1"/>
      </c>
      <c r="AR780">
        <f ca="1"/>
      </c>
      <c r="AT780" s="7">
        <f ca="1"/>
      </c>
      <c r="AU780">
        <f ca="1"/>
      </c>
      <c r="AV780">
        <f ca="1"/>
      </c>
      <c r="AW780">
        <f ca="1"/>
      </c>
      <c r="AX780">
        <f ca="1"/>
      </c>
      <c r="AY780">
        <f ca="1"/>
      </c>
      <c r="BA780" s="7"/>
    </row>
    <row r="781" spans="31:53" x14ac:dyDescent="0.55000000000000004">
      <c r="AE781" s="7">
        <f ca="1"/>
      </c>
      <c r="AF781">
        <f ca="1"/>
      </c>
      <c r="AG781">
        <f ca="1"/>
      </c>
      <c r="AH781">
        <f ca="1"/>
      </c>
      <c r="AI781">
        <f ca="1"/>
      </c>
      <c r="AJ781">
        <f ca="1"/>
      </c>
      <c r="AK781">
        <f ca="1"/>
      </c>
      <c r="AL781">
        <f ca="1"/>
      </c>
      <c r="AM781">
        <f ca="1"/>
      </c>
      <c r="AN781">
        <f ca="1"/>
      </c>
      <c r="AO781">
        <f ca="1"/>
      </c>
      <c r="AP781">
        <f ca="1"/>
      </c>
      <c r="AQ781">
        <f ca="1"/>
      </c>
      <c r="AR781">
        <f ca="1"/>
      </c>
      <c r="AT781" s="7">
        <f ca="1"/>
      </c>
      <c r="AU781">
        <f ca="1"/>
      </c>
      <c r="AV781">
        <f ca="1"/>
      </c>
      <c r="AW781">
        <f ca="1"/>
      </c>
      <c r="AX781">
        <f ca="1"/>
      </c>
      <c r="AY781">
        <f ca="1"/>
      </c>
      <c r="BA781" s="7"/>
    </row>
    <row r="782" spans="31:53" x14ac:dyDescent="0.55000000000000004">
      <c r="AE782" s="7">
        <f ca="1"/>
      </c>
      <c r="AF782">
        <f ca="1"/>
      </c>
      <c r="AG782">
        <f ca="1"/>
      </c>
      <c r="AH782">
        <f ca="1"/>
      </c>
      <c r="AI782">
        <f ca="1"/>
      </c>
      <c r="AJ782">
        <f ca="1"/>
      </c>
      <c r="AK782">
        <f ca="1"/>
      </c>
      <c r="AL782">
        <f ca="1"/>
      </c>
      <c r="AM782">
        <f ca="1"/>
      </c>
      <c r="AN782">
        <f ca="1"/>
      </c>
      <c r="AO782">
        <f ca="1"/>
      </c>
      <c r="AP782">
        <f ca="1"/>
      </c>
      <c r="AQ782">
        <f ca="1"/>
      </c>
      <c r="AR782">
        <f ca="1"/>
      </c>
      <c r="AT782" s="7">
        <f ca="1"/>
      </c>
      <c r="AU782">
        <f ca="1"/>
      </c>
      <c r="AV782">
        <f ca="1"/>
      </c>
      <c r="AW782">
        <f ca="1"/>
      </c>
      <c r="AX782">
        <f ca="1"/>
      </c>
      <c r="AY782">
        <f ca="1"/>
      </c>
      <c r="BA782" s="7"/>
    </row>
    <row r="783" spans="31:53" x14ac:dyDescent="0.55000000000000004">
      <c r="AE783" s="7">
        <f ca="1"/>
      </c>
      <c r="AF783">
        <f ca="1"/>
      </c>
      <c r="AG783">
        <f ca="1"/>
      </c>
      <c r="AH783">
        <f ca="1"/>
      </c>
      <c r="AI783">
        <f ca="1"/>
      </c>
      <c r="AJ783">
        <f ca="1"/>
      </c>
      <c r="AK783">
        <f ca="1"/>
      </c>
      <c r="AL783">
        <f ca="1"/>
      </c>
      <c r="AM783">
        <f ca="1"/>
      </c>
      <c r="AN783">
        <f ca="1"/>
      </c>
      <c r="AO783">
        <f ca="1"/>
      </c>
      <c r="AP783">
        <f ca="1"/>
      </c>
      <c r="AQ783">
        <f ca="1"/>
      </c>
      <c r="AR783">
        <f ca="1"/>
      </c>
      <c r="AT783" s="7">
        <f ca="1"/>
      </c>
      <c r="AU783">
        <f ca="1"/>
      </c>
      <c r="AV783">
        <f ca="1"/>
      </c>
      <c r="AW783">
        <f ca="1"/>
      </c>
      <c r="AX783">
        <f ca="1"/>
      </c>
      <c r="AY783">
        <f ca="1"/>
      </c>
      <c r="BA783" s="7"/>
    </row>
    <row r="784" spans="31:53" x14ac:dyDescent="0.55000000000000004">
      <c r="AE784" s="7">
        <f ca="1"/>
      </c>
      <c r="AF784">
        <f ca="1"/>
      </c>
      <c r="AG784">
        <f ca="1"/>
      </c>
      <c r="AH784">
        <f ca="1"/>
      </c>
      <c r="AI784">
        <f ca="1"/>
      </c>
      <c r="AJ784">
        <f ca="1"/>
      </c>
      <c r="AK784">
        <f ca="1"/>
      </c>
      <c r="AL784">
        <f ca="1"/>
      </c>
      <c r="AM784">
        <f ca="1"/>
      </c>
      <c r="AN784">
        <f ca="1"/>
      </c>
      <c r="AO784">
        <f ca="1"/>
      </c>
      <c r="AP784">
        <f ca="1"/>
      </c>
      <c r="AQ784">
        <f ca="1"/>
      </c>
      <c r="AR784">
        <f ca="1"/>
      </c>
      <c r="AT784" s="7">
        <f ca="1"/>
      </c>
      <c r="AU784">
        <f ca="1"/>
      </c>
      <c r="AV784">
        <f ca="1"/>
      </c>
      <c r="AW784">
        <f ca="1"/>
      </c>
      <c r="AX784">
        <f ca="1"/>
      </c>
      <c r="AY784">
        <f ca="1"/>
      </c>
      <c r="BA784" s="7"/>
    </row>
    <row r="785" spans="31:53" x14ac:dyDescent="0.55000000000000004">
      <c r="AE785" s="7">
        <f ca="1"/>
      </c>
      <c r="AF785">
        <f ca="1"/>
      </c>
      <c r="AG785">
        <f ca="1"/>
      </c>
      <c r="AH785">
        <f ca="1"/>
      </c>
      <c r="AI785">
        <f ca="1"/>
      </c>
      <c r="AJ785">
        <f ca="1"/>
      </c>
      <c r="AK785">
        <f ca="1"/>
      </c>
      <c r="AL785">
        <f ca="1"/>
      </c>
      <c r="AM785">
        <f ca="1"/>
      </c>
      <c r="AN785">
        <f ca="1"/>
      </c>
      <c r="AO785">
        <f ca="1"/>
      </c>
      <c r="AP785">
        <f ca="1"/>
      </c>
      <c r="AQ785">
        <f ca="1"/>
      </c>
      <c r="AR785">
        <f ca="1"/>
      </c>
      <c r="AT785" s="7">
        <f ca="1"/>
      </c>
      <c r="AU785">
        <f ca="1"/>
      </c>
      <c r="AV785">
        <f ca="1"/>
      </c>
      <c r="AW785">
        <f ca="1"/>
      </c>
      <c r="AX785">
        <f ca="1"/>
      </c>
      <c r="AY785">
        <f ca="1"/>
      </c>
      <c r="BA785" s="7"/>
    </row>
    <row r="786" spans="31:53" x14ac:dyDescent="0.55000000000000004">
      <c r="AE786" s="7">
        <f ca="1"/>
      </c>
      <c r="AF786">
        <f ca="1"/>
      </c>
      <c r="AG786">
        <f ca="1"/>
      </c>
      <c r="AH786">
        <f ca="1"/>
      </c>
      <c r="AI786">
        <f ca="1"/>
      </c>
      <c r="AJ786">
        <f ca="1"/>
      </c>
      <c r="AK786">
        <f ca="1"/>
      </c>
      <c r="AL786">
        <f ca="1"/>
      </c>
      <c r="AM786">
        <f ca="1"/>
      </c>
      <c r="AN786">
        <f ca="1"/>
      </c>
      <c r="AO786">
        <f ca="1"/>
      </c>
      <c r="AP786">
        <f ca="1"/>
      </c>
      <c r="AQ786">
        <f ca="1"/>
      </c>
      <c r="AR786">
        <f ca="1"/>
      </c>
      <c r="AT786" s="7">
        <f ca="1"/>
      </c>
      <c r="AU786">
        <f ca="1"/>
      </c>
      <c r="AV786">
        <f ca="1"/>
      </c>
      <c r="AW786">
        <f ca="1"/>
      </c>
      <c r="AX786">
        <f ca="1"/>
      </c>
      <c r="AY786">
        <f ca="1"/>
      </c>
      <c r="BA786" s="7"/>
    </row>
    <row r="787" spans="31:53" x14ac:dyDescent="0.55000000000000004">
      <c r="AE787" s="7">
        <f ca="1"/>
      </c>
      <c r="AF787">
        <f ca="1"/>
      </c>
      <c r="AG787">
        <f ca="1"/>
      </c>
      <c r="AH787">
        <f ca="1"/>
      </c>
      <c r="AI787">
        <f ca="1"/>
      </c>
      <c r="AJ787">
        <f ca="1"/>
      </c>
      <c r="AK787">
        <f ca="1"/>
      </c>
      <c r="AL787">
        <f ca="1"/>
      </c>
      <c r="AM787">
        <f ca="1"/>
      </c>
      <c r="AN787">
        <f ca="1"/>
      </c>
      <c r="AO787">
        <f ca="1"/>
      </c>
      <c r="AP787">
        <f ca="1"/>
      </c>
      <c r="AQ787">
        <f ca="1"/>
      </c>
      <c r="AR787">
        <f ca="1"/>
      </c>
      <c r="AT787" s="7">
        <f ca="1"/>
      </c>
      <c r="AU787">
        <f ca="1"/>
      </c>
      <c r="AV787">
        <f ca="1"/>
      </c>
      <c r="AW787">
        <f ca="1"/>
      </c>
      <c r="AX787">
        <f ca="1"/>
      </c>
      <c r="AY787">
        <f ca="1"/>
      </c>
      <c r="BA787" s="7"/>
    </row>
    <row r="788" spans="31:53" x14ac:dyDescent="0.55000000000000004">
      <c r="AE788" s="7">
        <f ca="1"/>
      </c>
      <c r="AF788">
        <f ca="1"/>
      </c>
      <c r="AG788">
        <f ca="1"/>
      </c>
      <c r="AH788">
        <f ca="1"/>
      </c>
      <c r="AI788">
        <f ca="1"/>
      </c>
      <c r="AJ788">
        <f ca="1"/>
      </c>
      <c r="AK788">
        <f ca="1"/>
      </c>
      <c r="AL788">
        <f ca="1"/>
      </c>
      <c r="AM788">
        <f ca="1"/>
      </c>
      <c r="AN788">
        <f ca="1"/>
      </c>
      <c r="AO788">
        <f ca="1"/>
      </c>
      <c r="AP788">
        <f ca="1"/>
      </c>
      <c r="AQ788">
        <f ca="1"/>
      </c>
      <c r="AR788">
        <f ca="1"/>
      </c>
      <c r="AT788" s="7">
        <f ca="1"/>
      </c>
      <c r="AU788">
        <f ca="1"/>
      </c>
      <c r="AV788">
        <f ca="1"/>
      </c>
      <c r="AW788">
        <f ca="1"/>
      </c>
      <c r="AX788">
        <f ca="1"/>
      </c>
      <c r="AY788">
        <f ca="1"/>
      </c>
      <c r="BA788" s="7"/>
    </row>
    <row r="789" spans="31:53" x14ac:dyDescent="0.55000000000000004">
      <c r="AE789" s="7">
        <f ca="1"/>
      </c>
      <c r="AF789">
        <f ca="1"/>
      </c>
      <c r="AG789">
        <f ca="1"/>
      </c>
      <c r="AH789">
        <f ca="1"/>
      </c>
      <c r="AI789">
        <f ca="1"/>
      </c>
      <c r="AJ789">
        <f ca="1"/>
      </c>
      <c r="AK789">
        <f ca="1"/>
      </c>
      <c r="AL789">
        <f ca="1"/>
      </c>
      <c r="AM789">
        <f ca="1"/>
      </c>
      <c r="AN789">
        <f ca="1"/>
      </c>
      <c r="AO789">
        <f ca="1"/>
      </c>
      <c r="AP789">
        <f ca="1"/>
      </c>
      <c r="AQ789">
        <f ca="1"/>
      </c>
      <c r="AR789">
        <f ca="1"/>
      </c>
      <c r="AT789" s="7">
        <f ca="1"/>
      </c>
      <c r="AU789">
        <f ca="1"/>
      </c>
      <c r="AV789">
        <f ca="1"/>
      </c>
      <c r="AW789">
        <f ca="1"/>
      </c>
      <c r="AX789">
        <f ca="1"/>
      </c>
      <c r="AY789">
        <f ca="1"/>
      </c>
      <c r="BA789" s="7"/>
    </row>
    <row r="790" spans="31:53" x14ac:dyDescent="0.55000000000000004">
      <c r="AE790" s="7">
        <f ca="1"/>
      </c>
      <c r="AF790">
        <f ca="1"/>
      </c>
      <c r="AG790">
        <f ca="1"/>
      </c>
      <c r="AH790">
        <f ca="1"/>
      </c>
      <c r="AI790">
        <f ca="1"/>
      </c>
      <c r="AJ790">
        <f ca="1"/>
      </c>
      <c r="AK790">
        <f ca="1"/>
      </c>
      <c r="AL790">
        <f ca="1"/>
      </c>
      <c r="AM790">
        <f ca="1"/>
      </c>
      <c r="AN790">
        <f ca="1"/>
      </c>
      <c r="AO790">
        <f ca="1"/>
      </c>
      <c r="AP790">
        <f ca="1"/>
      </c>
      <c r="AQ790">
        <f ca="1"/>
      </c>
      <c r="AR790">
        <f ca="1"/>
      </c>
      <c r="AT790" s="7">
        <f ca="1"/>
      </c>
      <c r="AU790">
        <f ca="1"/>
      </c>
      <c r="AV790">
        <f ca="1"/>
      </c>
      <c r="AW790">
        <f ca="1"/>
      </c>
      <c r="AX790">
        <f ca="1"/>
      </c>
      <c r="AY790">
        <f ca="1"/>
      </c>
      <c r="BA790" s="7"/>
    </row>
    <row r="791" spans="31:53" x14ac:dyDescent="0.55000000000000004">
      <c r="AE791" s="7">
        <f ca="1"/>
      </c>
      <c r="AF791">
        <f ca="1"/>
      </c>
      <c r="AG791">
        <f ca="1"/>
      </c>
      <c r="AH791">
        <f ca="1"/>
      </c>
      <c r="AI791">
        <f ca="1"/>
      </c>
      <c r="AJ791">
        <f ca="1"/>
      </c>
      <c r="AK791">
        <f ca="1"/>
      </c>
      <c r="AL791">
        <f ca="1"/>
      </c>
      <c r="AM791">
        <f ca="1"/>
      </c>
      <c r="AN791">
        <f ca="1"/>
      </c>
      <c r="AO791">
        <f ca="1"/>
      </c>
      <c r="AP791">
        <f ca="1"/>
      </c>
      <c r="AQ791">
        <f ca="1"/>
      </c>
      <c r="AR791">
        <f ca="1"/>
      </c>
      <c r="AT791" s="7">
        <f ca="1"/>
      </c>
      <c r="AU791">
        <f ca="1"/>
      </c>
      <c r="AV791">
        <f ca="1"/>
      </c>
      <c r="AW791">
        <f ca="1"/>
      </c>
      <c r="AX791">
        <f ca="1"/>
      </c>
      <c r="AY791">
        <f ca="1"/>
      </c>
      <c r="BA791" s="7"/>
    </row>
    <row r="792" spans="31:53" x14ac:dyDescent="0.55000000000000004">
      <c r="AE792" s="7">
        <f ca="1"/>
      </c>
      <c r="AF792">
        <f ca="1"/>
      </c>
      <c r="AG792">
        <f ca="1"/>
      </c>
      <c r="AH792">
        <f ca="1"/>
      </c>
      <c r="AI792">
        <f ca="1"/>
      </c>
      <c r="AJ792">
        <f ca="1"/>
      </c>
      <c r="AK792">
        <f ca="1"/>
      </c>
      <c r="AL792">
        <f ca="1"/>
      </c>
      <c r="AM792">
        <f ca="1"/>
      </c>
      <c r="AN792">
        <f ca="1"/>
      </c>
      <c r="AO792">
        <f ca="1"/>
      </c>
      <c r="AP792">
        <f ca="1"/>
      </c>
      <c r="AQ792">
        <f ca="1"/>
      </c>
      <c r="AR792">
        <f ca="1"/>
      </c>
      <c r="AT792" s="7">
        <f ca="1"/>
      </c>
      <c r="AU792">
        <f ca="1"/>
      </c>
      <c r="AV792">
        <f ca="1"/>
      </c>
      <c r="AW792">
        <f ca="1"/>
      </c>
      <c r="AX792">
        <f ca="1"/>
      </c>
      <c r="AY792">
        <f ca="1"/>
      </c>
      <c r="BA792" s="7"/>
    </row>
    <row r="793" spans="31:53" x14ac:dyDescent="0.55000000000000004">
      <c r="AE793" s="7">
        <f ca="1"/>
      </c>
      <c r="AF793">
        <f ca="1"/>
      </c>
      <c r="AG793">
        <f ca="1"/>
      </c>
      <c r="AH793">
        <f ca="1"/>
      </c>
      <c r="AI793">
        <f ca="1"/>
      </c>
      <c r="AJ793">
        <f ca="1"/>
      </c>
      <c r="AK793">
        <f ca="1"/>
      </c>
      <c r="AL793">
        <f ca="1"/>
      </c>
      <c r="AM793">
        <f ca="1"/>
      </c>
      <c r="AN793">
        <f ca="1"/>
      </c>
      <c r="AO793">
        <f ca="1"/>
      </c>
      <c r="AP793">
        <f ca="1"/>
      </c>
      <c r="AQ793">
        <f ca="1"/>
      </c>
      <c r="AR793">
        <f ca="1"/>
      </c>
      <c r="AT793" s="7">
        <f ca="1"/>
      </c>
      <c r="AU793">
        <f ca="1"/>
      </c>
      <c r="AV793">
        <f ca="1"/>
      </c>
      <c r="AW793">
        <f ca="1"/>
      </c>
      <c r="AX793">
        <f ca="1"/>
      </c>
      <c r="AY793">
        <f ca="1"/>
      </c>
      <c r="BA793" s="7"/>
    </row>
    <row r="794" spans="31:53" x14ac:dyDescent="0.55000000000000004">
      <c r="AE794" s="7">
        <f ca="1"/>
      </c>
      <c r="AF794">
        <f ca="1"/>
      </c>
      <c r="AG794">
        <f ca="1"/>
      </c>
      <c r="AH794">
        <f ca="1"/>
      </c>
      <c r="AI794">
        <f ca="1"/>
      </c>
      <c r="AJ794">
        <f ca="1"/>
      </c>
      <c r="AK794">
        <f ca="1"/>
      </c>
      <c r="AL794">
        <f ca="1"/>
      </c>
      <c r="AM794">
        <f ca="1"/>
      </c>
      <c r="AN794">
        <f ca="1"/>
      </c>
      <c r="AO794">
        <f ca="1"/>
      </c>
      <c r="AP794">
        <f ca="1"/>
      </c>
      <c r="AQ794">
        <f ca="1"/>
      </c>
      <c r="AR794">
        <f ca="1"/>
      </c>
      <c r="AT794" s="7">
        <f ca="1"/>
      </c>
      <c r="AU794">
        <f ca="1"/>
      </c>
      <c r="AV794">
        <f ca="1"/>
      </c>
      <c r="AW794">
        <f ca="1"/>
      </c>
      <c r="AX794">
        <f ca="1"/>
      </c>
      <c r="AY794">
        <f ca="1"/>
      </c>
      <c r="BA794" s="7"/>
    </row>
    <row r="795" spans="31:53" x14ac:dyDescent="0.55000000000000004">
      <c r="AE795" s="7">
        <f ca="1"/>
      </c>
      <c r="AF795">
        <f ca="1"/>
      </c>
      <c r="AG795">
        <f ca="1"/>
      </c>
      <c r="AH795">
        <f ca="1"/>
      </c>
      <c r="AI795">
        <f ca="1"/>
      </c>
      <c r="AJ795">
        <f ca="1"/>
      </c>
      <c r="AK795">
        <f ca="1"/>
      </c>
      <c r="AL795">
        <f ca="1"/>
      </c>
      <c r="AM795">
        <f ca="1"/>
      </c>
      <c r="AN795">
        <f ca="1"/>
      </c>
      <c r="AO795">
        <f ca="1"/>
      </c>
      <c r="AP795">
        <f ca="1"/>
      </c>
      <c r="AQ795">
        <f ca="1"/>
      </c>
      <c r="AR795">
        <f ca="1"/>
      </c>
      <c r="AT795" s="7">
        <f ca="1"/>
      </c>
      <c r="AU795">
        <f ca="1"/>
      </c>
      <c r="AV795">
        <f ca="1"/>
      </c>
      <c r="AW795">
        <f ca="1"/>
      </c>
      <c r="AX795">
        <f ca="1"/>
      </c>
      <c r="AY795">
        <f ca="1"/>
      </c>
      <c r="BA795" s="7"/>
    </row>
    <row r="796" spans="31:53" x14ac:dyDescent="0.55000000000000004">
      <c r="AE796" s="7">
        <f ca="1"/>
      </c>
      <c r="AF796">
        <f ca="1"/>
      </c>
      <c r="AG796">
        <f ca="1"/>
      </c>
      <c r="AH796">
        <f ca="1"/>
      </c>
      <c r="AI796">
        <f ca="1"/>
      </c>
      <c r="AJ796">
        <f ca="1"/>
      </c>
      <c r="AK796">
        <f ca="1"/>
      </c>
      <c r="AL796">
        <f ca="1"/>
      </c>
      <c r="AM796">
        <f ca="1"/>
      </c>
      <c r="AN796">
        <f ca="1"/>
      </c>
      <c r="AO796">
        <f ca="1"/>
      </c>
      <c r="AP796">
        <f ca="1"/>
      </c>
      <c r="AQ796">
        <f ca="1"/>
      </c>
      <c r="AR796">
        <f ca="1"/>
      </c>
      <c r="AT796" s="7">
        <f ca="1"/>
      </c>
      <c r="AU796">
        <f ca="1"/>
      </c>
      <c r="AV796">
        <f ca="1"/>
      </c>
      <c r="AW796">
        <f ca="1"/>
      </c>
      <c r="AX796">
        <f ca="1"/>
      </c>
      <c r="AY796">
        <f ca="1"/>
      </c>
      <c r="BA796" s="7"/>
    </row>
    <row r="797" spans="31:53" x14ac:dyDescent="0.55000000000000004">
      <c r="AE797" s="7">
        <f ca="1"/>
      </c>
      <c r="AF797">
        <f ca="1"/>
      </c>
      <c r="AG797">
        <f ca="1"/>
      </c>
      <c r="AH797">
        <f ca="1"/>
      </c>
      <c r="AI797">
        <f ca="1"/>
      </c>
      <c r="AJ797">
        <f ca="1"/>
      </c>
      <c r="AK797">
        <f ca="1"/>
      </c>
      <c r="AL797">
        <f ca="1"/>
      </c>
      <c r="AM797">
        <f ca="1"/>
      </c>
      <c r="AN797">
        <f ca="1"/>
      </c>
      <c r="AO797">
        <f ca="1"/>
      </c>
      <c r="AP797">
        <f ca="1"/>
      </c>
      <c r="AQ797">
        <f ca="1"/>
      </c>
      <c r="AR797">
        <f ca="1"/>
      </c>
      <c r="AT797" s="7">
        <f ca="1"/>
      </c>
      <c r="AU797">
        <f ca="1"/>
      </c>
      <c r="AV797">
        <f ca="1"/>
      </c>
      <c r="AW797">
        <f ca="1"/>
      </c>
      <c r="AX797">
        <f ca="1"/>
      </c>
      <c r="AY797">
        <f ca="1"/>
      </c>
      <c r="BA797" s="7"/>
    </row>
    <row r="798" spans="31:53" x14ac:dyDescent="0.55000000000000004">
      <c r="AE798" s="7">
        <f ca="1"/>
      </c>
      <c r="AF798">
        <f ca="1"/>
      </c>
      <c r="AG798">
        <f ca="1"/>
      </c>
      <c r="AH798">
        <f ca="1"/>
      </c>
      <c r="AI798">
        <f ca="1"/>
      </c>
      <c r="AJ798">
        <f ca="1"/>
      </c>
      <c r="AK798">
        <f ca="1"/>
      </c>
      <c r="AL798">
        <f ca="1"/>
      </c>
      <c r="AM798">
        <f ca="1"/>
      </c>
      <c r="AN798">
        <f ca="1"/>
      </c>
      <c r="AO798">
        <f ca="1"/>
      </c>
      <c r="AP798">
        <f ca="1"/>
      </c>
      <c r="AQ798">
        <f ca="1"/>
      </c>
      <c r="AR798">
        <f ca="1"/>
      </c>
      <c r="AT798" s="7">
        <f ca="1"/>
      </c>
      <c r="AU798">
        <f ca="1"/>
      </c>
      <c r="AV798">
        <f ca="1"/>
      </c>
      <c r="AW798">
        <f ca="1"/>
      </c>
      <c r="AX798">
        <f ca="1"/>
      </c>
      <c r="AY798">
        <f ca="1"/>
      </c>
      <c r="BA798" s="7"/>
    </row>
    <row r="799" spans="31:53" x14ac:dyDescent="0.55000000000000004">
      <c r="AE799" s="7">
        <f ca="1"/>
      </c>
      <c r="AF799">
        <f ca="1"/>
      </c>
      <c r="AG799">
        <f ca="1"/>
      </c>
      <c r="AH799">
        <f ca="1"/>
      </c>
      <c r="AI799">
        <f ca="1"/>
      </c>
      <c r="AJ799">
        <f ca="1"/>
      </c>
      <c r="AK799">
        <f ca="1"/>
      </c>
      <c r="AL799">
        <f ca="1"/>
      </c>
      <c r="AM799">
        <f ca="1"/>
      </c>
      <c r="AN799">
        <f ca="1"/>
      </c>
      <c r="AO799">
        <f ca="1"/>
      </c>
      <c r="AP799">
        <f ca="1"/>
      </c>
      <c r="AQ799">
        <f ca="1"/>
      </c>
      <c r="AR799">
        <f ca="1"/>
      </c>
      <c r="AT799" s="7">
        <f ca="1"/>
      </c>
      <c r="AU799">
        <f ca="1"/>
      </c>
      <c r="AV799">
        <f ca="1"/>
      </c>
      <c r="AW799">
        <f ca="1"/>
      </c>
      <c r="AX799">
        <f ca="1"/>
      </c>
      <c r="AY799">
        <f ca="1"/>
      </c>
      <c r="BA799" s="7"/>
    </row>
    <row r="800" spans="31:53" x14ac:dyDescent="0.55000000000000004">
      <c r="AE800" s="7">
        <f ca="1"/>
      </c>
      <c r="AF800">
        <f ca="1"/>
      </c>
      <c r="AG800">
        <f ca="1"/>
      </c>
      <c r="AH800">
        <f ca="1"/>
      </c>
      <c r="AI800">
        <f ca="1"/>
      </c>
      <c r="AJ800">
        <f ca="1"/>
      </c>
      <c r="AK800">
        <f ca="1"/>
      </c>
      <c r="AL800">
        <f ca="1"/>
      </c>
      <c r="AM800">
        <f ca="1"/>
      </c>
      <c r="AN800">
        <f ca="1"/>
      </c>
      <c r="AO800">
        <f ca="1"/>
      </c>
      <c r="AP800">
        <f ca="1"/>
      </c>
      <c r="AQ800">
        <f ca="1"/>
      </c>
      <c r="AR800">
        <f ca="1"/>
      </c>
      <c r="AT800" s="7">
        <f ca="1"/>
      </c>
      <c r="AU800">
        <f ca="1"/>
      </c>
      <c r="AV800">
        <f ca="1"/>
      </c>
      <c r="AW800">
        <f ca="1"/>
      </c>
      <c r="AX800">
        <f ca="1"/>
      </c>
      <c r="AY800">
        <f ca="1"/>
      </c>
      <c r="BA800" s="7"/>
    </row>
    <row r="801" spans="31:53" x14ac:dyDescent="0.55000000000000004">
      <c r="AE801" s="7">
        <f ca="1"/>
      </c>
      <c r="AF801">
        <f ca="1"/>
      </c>
      <c r="AG801">
        <f ca="1"/>
      </c>
      <c r="AH801">
        <f ca="1"/>
      </c>
      <c r="AI801">
        <f ca="1"/>
      </c>
      <c r="AJ801">
        <f ca="1"/>
      </c>
      <c r="AK801">
        <f ca="1"/>
      </c>
      <c r="AL801">
        <f ca="1"/>
      </c>
      <c r="AM801">
        <f ca="1"/>
      </c>
      <c r="AN801">
        <f ca="1"/>
      </c>
      <c r="AO801">
        <f ca="1"/>
      </c>
      <c r="AP801">
        <f ca="1"/>
      </c>
      <c r="AQ801">
        <f ca="1"/>
      </c>
      <c r="AR801">
        <f ca="1"/>
      </c>
      <c r="AT801" s="7">
        <f ca="1"/>
      </c>
      <c r="AU801">
        <f ca="1"/>
      </c>
      <c r="AV801">
        <f ca="1"/>
      </c>
      <c r="AW801">
        <f ca="1"/>
      </c>
      <c r="AX801">
        <f ca="1"/>
      </c>
      <c r="AY801">
        <f ca="1"/>
      </c>
      <c r="BA801" s="7"/>
    </row>
    <row r="802" spans="31:53" x14ac:dyDescent="0.55000000000000004">
      <c r="AE802" s="7">
        <f ca="1"/>
      </c>
      <c r="AF802">
        <f ca="1"/>
      </c>
      <c r="AG802">
        <f ca="1"/>
      </c>
      <c r="AH802">
        <f ca="1"/>
      </c>
      <c r="AI802">
        <f ca="1"/>
      </c>
      <c r="AJ802">
        <f ca="1"/>
      </c>
      <c r="AK802">
        <f ca="1"/>
      </c>
      <c r="AL802">
        <f ca="1"/>
      </c>
      <c r="AM802">
        <f ca="1"/>
      </c>
      <c r="AN802">
        <f ca="1"/>
      </c>
      <c r="AO802">
        <f ca="1"/>
      </c>
      <c r="AP802">
        <f ca="1"/>
      </c>
      <c r="AQ802">
        <f ca="1"/>
      </c>
      <c r="AR802">
        <f ca="1"/>
      </c>
      <c r="AT802" s="7">
        <f ca="1"/>
      </c>
      <c r="AU802">
        <f ca="1"/>
      </c>
      <c r="AV802">
        <f ca="1"/>
      </c>
      <c r="AW802">
        <f ca="1"/>
      </c>
      <c r="AX802">
        <f ca="1"/>
      </c>
      <c r="AY802">
        <f ca="1"/>
      </c>
      <c r="BA802" s="7"/>
    </row>
    <row r="803" spans="31:53" x14ac:dyDescent="0.55000000000000004">
      <c r="AE803" s="7">
        <f ca="1"/>
      </c>
      <c r="AF803">
        <f ca="1"/>
      </c>
      <c r="AG803">
        <f ca="1"/>
      </c>
      <c r="AH803">
        <f ca="1"/>
      </c>
      <c r="AI803">
        <f ca="1"/>
      </c>
      <c r="AJ803">
        <f ca="1"/>
      </c>
      <c r="AK803">
        <f ca="1"/>
      </c>
      <c r="AL803">
        <f ca="1"/>
      </c>
      <c r="AM803">
        <f ca="1"/>
      </c>
      <c r="AN803">
        <f ca="1"/>
      </c>
      <c r="AO803">
        <f ca="1"/>
      </c>
      <c r="AP803">
        <f ca="1"/>
      </c>
      <c r="AQ803">
        <f ca="1"/>
      </c>
      <c r="AR803">
        <f ca="1"/>
      </c>
      <c r="AT803" s="7">
        <f ca="1"/>
      </c>
      <c r="AU803">
        <f ca="1"/>
      </c>
      <c r="AV803">
        <f ca="1"/>
      </c>
      <c r="AW803">
        <f ca="1"/>
      </c>
      <c r="AX803">
        <f ca="1"/>
      </c>
      <c r="AY803">
        <f ca="1"/>
      </c>
      <c r="BA803" s="7"/>
    </row>
    <row r="804" spans="31:53" x14ac:dyDescent="0.55000000000000004">
      <c r="AE804" s="7">
        <f ca="1"/>
      </c>
      <c r="AF804">
        <f ca="1"/>
      </c>
      <c r="AG804">
        <f ca="1"/>
      </c>
      <c r="AH804">
        <f ca="1"/>
      </c>
      <c r="AI804">
        <f ca="1"/>
      </c>
      <c r="AJ804">
        <f ca="1"/>
      </c>
      <c r="AK804">
        <f ca="1"/>
      </c>
      <c r="AL804">
        <f ca="1"/>
      </c>
      <c r="AM804">
        <f ca="1"/>
      </c>
      <c r="AN804">
        <f ca="1"/>
      </c>
      <c r="AO804">
        <f ca="1"/>
      </c>
      <c r="AP804">
        <f ca="1"/>
      </c>
      <c r="AQ804">
        <f ca="1"/>
      </c>
      <c r="AR804">
        <f ca="1"/>
      </c>
      <c r="AT804" s="7">
        <f ca="1"/>
      </c>
      <c r="AU804">
        <f ca="1"/>
      </c>
      <c r="AV804">
        <f ca="1"/>
      </c>
      <c r="AW804">
        <f ca="1"/>
      </c>
      <c r="AX804">
        <f ca="1"/>
      </c>
      <c r="AY804">
        <f ca="1"/>
      </c>
      <c r="BA804" s="7"/>
    </row>
    <row r="805" spans="31:53" x14ac:dyDescent="0.55000000000000004">
      <c r="AE805" s="7">
        <f ca="1"/>
      </c>
      <c r="AF805">
        <f ca="1"/>
      </c>
      <c r="AG805">
        <f ca="1"/>
      </c>
      <c r="AH805">
        <f ca="1"/>
      </c>
      <c r="AI805">
        <f ca="1"/>
      </c>
      <c r="AJ805">
        <f ca="1"/>
      </c>
      <c r="AK805">
        <f ca="1"/>
      </c>
      <c r="AL805">
        <f ca="1"/>
      </c>
      <c r="AM805">
        <f ca="1"/>
      </c>
      <c r="AN805">
        <f ca="1"/>
      </c>
      <c r="AO805">
        <f ca="1"/>
      </c>
      <c r="AP805">
        <f ca="1"/>
      </c>
      <c r="AQ805">
        <f ca="1"/>
      </c>
      <c r="AR805">
        <f ca="1"/>
      </c>
      <c r="AT805" s="7">
        <f ca="1"/>
      </c>
      <c r="AU805">
        <f ca="1"/>
      </c>
      <c r="AV805">
        <f ca="1"/>
      </c>
      <c r="AW805">
        <f ca="1"/>
      </c>
      <c r="AX805">
        <f ca="1"/>
      </c>
      <c r="AY805">
        <f ca="1"/>
      </c>
      <c r="BA805" s="7"/>
    </row>
    <row r="806" spans="31:53" x14ac:dyDescent="0.55000000000000004">
      <c r="AE806" s="7">
        <f ca="1"/>
      </c>
      <c r="AF806">
        <f ca="1"/>
      </c>
      <c r="AG806">
        <f ca="1"/>
      </c>
      <c r="AH806">
        <f ca="1"/>
      </c>
      <c r="AI806">
        <f ca="1"/>
      </c>
      <c r="AJ806">
        <f ca="1"/>
      </c>
      <c r="AK806">
        <f ca="1"/>
      </c>
      <c r="AL806">
        <f ca="1"/>
      </c>
      <c r="AM806">
        <f ca="1"/>
      </c>
      <c r="AN806">
        <f ca="1"/>
      </c>
      <c r="AO806">
        <f ca="1"/>
      </c>
      <c r="AP806">
        <f ca="1"/>
      </c>
      <c r="AQ806">
        <f ca="1"/>
      </c>
      <c r="AR806">
        <f ca="1"/>
      </c>
      <c r="AT806" s="7">
        <f ca="1"/>
      </c>
      <c r="AU806">
        <f ca="1"/>
      </c>
      <c r="AV806">
        <f ca="1"/>
      </c>
      <c r="AW806">
        <f ca="1"/>
      </c>
      <c r="AX806">
        <f ca="1"/>
      </c>
      <c r="AY806">
        <f ca="1"/>
      </c>
      <c r="BA806" s="7"/>
    </row>
    <row r="807" spans="31:53" x14ac:dyDescent="0.55000000000000004">
      <c r="AE807" s="7">
        <f ca="1"/>
      </c>
      <c r="AF807">
        <f ca="1"/>
      </c>
      <c r="AG807">
        <f ca="1"/>
      </c>
      <c r="AH807">
        <f ca="1"/>
      </c>
      <c r="AI807">
        <f ca="1"/>
      </c>
      <c r="AJ807">
        <f ca="1"/>
      </c>
      <c r="AK807">
        <f ca="1"/>
      </c>
      <c r="AL807">
        <f ca="1"/>
      </c>
      <c r="AM807">
        <f ca="1"/>
      </c>
      <c r="AN807">
        <f ca="1"/>
      </c>
      <c r="AO807">
        <f ca="1"/>
      </c>
      <c r="AP807">
        <f ca="1"/>
      </c>
      <c r="AQ807">
        <f ca="1"/>
      </c>
      <c r="AR807">
        <f ca="1"/>
      </c>
      <c r="AT807" s="7">
        <f ca="1"/>
      </c>
      <c r="AU807">
        <f ca="1"/>
      </c>
      <c r="AV807">
        <f ca="1"/>
      </c>
      <c r="AW807">
        <f ca="1"/>
      </c>
      <c r="AX807">
        <f ca="1"/>
      </c>
      <c r="AY807">
        <f ca="1"/>
      </c>
      <c r="BA807" s="7"/>
    </row>
    <row r="808" spans="31:53" x14ac:dyDescent="0.55000000000000004">
      <c r="AE808" s="7">
        <f ca="1"/>
      </c>
      <c r="AF808">
        <f ca="1"/>
      </c>
      <c r="AG808">
        <f ca="1"/>
      </c>
      <c r="AH808">
        <f ca="1"/>
      </c>
      <c r="AI808">
        <f ca="1"/>
      </c>
      <c r="AJ808">
        <f ca="1"/>
      </c>
      <c r="AK808">
        <f ca="1"/>
      </c>
      <c r="AL808">
        <f ca="1"/>
      </c>
      <c r="AM808">
        <f ca="1"/>
      </c>
      <c r="AN808">
        <f ca="1"/>
      </c>
      <c r="AO808">
        <f ca="1"/>
      </c>
      <c r="AP808">
        <f ca="1"/>
      </c>
      <c r="AQ808">
        <f ca="1"/>
      </c>
      <c r="AR808">
        <f ca="1"/>
      </c>
      <c r="AT808" s="7">
        <f ca="1"/>
      </c>
      <c r="AU808">
        <f ca="1"/>
      </c>
      <c r="AV808">
        <f ca="1"/>
      </c>
      <c r="AW808">
        <f ca="1"/>
      </c>
      <c r="AX808">
        <f ca="1"/>
      </c>
      <c r="AY808">
        <f ca="1"/>
      </c>
      <c r="BA808" s="7"/>
    </row>
    <row r="809" spans="31:53" x14ac:dyDescent="0.55000000000000004">
      <c r="AE809" s="7">
        <f ca="1"/>
      </c>
      <c r="AF809">
        <f ca="1"/>
      </c>
      <c r="AG809">
        <f ca="1"/>
      </c>
      <c r="AH809">
        <f ca="1"/>
      </c>
      <c r="AI809">
        <f ca="1"/>
      </c>
      <c r="AJ809">
        <f ca="1"/>
      </c>
      <c r="AK809">
        <f ca="1"/>
      </c>
      <c r="AL809">
        <f ca="1"/>
      </c>
      <c r="AM809">
        <f ca="1"/>
      </c>
      <c r="AN809">
        <f ca="1"/>
      </c>
      <c r="AO809">
        <f ca="1"/>
      </c>
      <c r="AP809">
        <f ca="1"/>
      </c>
      <c r="AQ809">
        <f ca="1"/>
      </c>
      <c r="AR809">
        <f ca="1"/>
      </c>
      <c r="AT809" s="7">
        <f ca="1"/>
      </c>
      <c r="AU809">
        <f ca="1"/>
      </c>
      <c r="AV809">
        <f ca="1"/>
      </c>
      <c r="AW809">
        <f ca="1"/>
      </c>
      <c r="AX809">
        <f ca="1"/>
      </c>
      <c r="AY809">
        <f ca="1"/>
      </c>
      <c r="BA809" s="7"/>
    </row>
    <row r="810" spans="31:53" x14ac:dyDescent="0.55000000000000004">
      <c r="AE810" s="7">
        <f ca="1"/>
      </c>
      <c r="AF810">
        <f ca="1"/>
      </c>
      <c r="AG810">
        <f ca="1"/>
      </c>
      <c r="AH810">
        <f ca="1"/>
      </c>
      <c r="AI810">
        <f ca="1"/>
      </c>
      <c r="AJ810">
        <f ca="1"/>
      </c>
      <c r="AK810">
        <f ca="1"/>
      </c>
      <c r="AL810">
        <f ca="1"/>
      </c>
      <c r="AM810">
        <f ca="1"/>
      </c>
      <c r="AN810">
        <f ca="1"/>
      </c>
      <c r="AO810">
        <f ca="1"/>
      </c>
      <c r="AP810">
        <f ca="1"/>
      </c>
      <c r="AQ810">
        <f ca="1"/>
      </c>
      <c r="AR810">
        <f ca="1"/>
      </c>
      <c r="AT810" s="7">
        <f ca="1"/>
      </c>
      <c r="AU810">
        <f ca="1"/>
      </c>
      <c r="AV810">
        <f ca="1"/>
      </c>
      <c r="AW810">
        <f ca="1"/>
      </c>
      <c r="AX810">
        <f ca="1"/>
      </c>
      <c r="AY810">
        <f ca="1"/>
      </c>
      <c r="BA810" s="7"/>
    </row>
    <row r="811" spans="31:53" x14ac:dyDescent="0.55000000000000004">
      <c r="AE811" s="7">
        <f ca="1"/>
      </c>
      <c r="AF811">
        <f ca="1"/>
      </c>
      <c r="AG811">
        <f ca="1"/>
      </c>
      <c r="AH811">
        <f ca="1"/>
      </c>
      <c r="AI811">
        <f ca="1"/>
      </c>
      <c r="AJ811">
        <f ca="1"/>
      </c>
      <c r="AK811">
        <f ca="1"/>
      </c>
      <c r="AL811">
        <f ca="1"/>
      </c>
      <c r="AM811">
        <f ca="1"/>
      </c>
      <c r="AN811">
        <f ca="1"/>
      </c>
      <c r="AO811">
        <f ca="1"/>
      </c>
      <c r="AP811">
        <f ca="1"/>
      </c>
      <c r="AQ811">
        <f ca="1"/>
      </c>
      <c r="AR811">
        <f ca="1"/>
      </c>
      <c r="AT811" s="7">
        <f ca="1"/>
      </c>
      <c r="AU811">
        <f ca="1"/>
      </c>
      <c r="AV811">
        <f ca="1"/>
      </c>
      <c r="AW811">
        <f ca="1"/>
      </c>
      <c r="AX811">
        <f ca="1"/>
      </c>
      <c r="AY811">
        <f ca="1"/>
      </c>
      <c r="BA811" s="7"/>
    </row>
    <row r="812" spans="31:53" x14ac:dyDescent="0.55000000000000004">
      <c r="AE812" s="7">
        <f ca="1"/>
      </c>
      <c r="AF812">
        <f ca="1"/>
      </c>
      <c r="AG812">
        <f ca="1"/>
      </c>
      <c r="AH812">
        <f ca="1"/>
      </c>
      <c r="AI812">
        <f ca="1"/>
      </c>
      <c r="AJ812">
        <f ca="1"/>
      </c>
      <c r="AK812">
        <f ca="1"/>
      </c>
      <c r="AL812">
        <f ca="1"/>
      </c>
      <c r="AM812">
        <f ca="1"/>
      </c>
      <c r="AN812">
        <f ca="1"/>
      </c>
      <c r="AO812">
        <f ca="1"/>
      </c>
      <c r="AP812">
        <f ca="1"/>
      </c>
      <c r="AQ812">
        <f ca="1"/>
      </c>
      <c r="AR812">
        <f ca="1"/>
      </c>
      <c r="AT812" s="7">
        <f ca="1"/>
      </c>
      <c r="AU812">
        <f ca="1"/>
      </c>
      <c r="AV812">
        <f ca="1"/>
      </c>
      <c r="AW812">
        <f ca="1"/>
      </c>
      <c r="AX812">
        <f ca="1"/>
      </c>
      <c r="AY812">
        <f ca="1"/>
      </c>
      <c r="BA812" s="7"/>
    </row>
    <row r="813" spans="31:53" x14ac:dyDescent="0.55000000000000004">
      <c r="AE813" s="7">
        <f ca="1"/>
      </c>
      <c r="AF813">
        <f ca="1"/>
      </c>
      <c r="AG813">
        <f ca="1"/>
      </c>
      <c r="AH813">
        <f ca="1"/>
      </c>
      <c r="AI813">
        <f ca="1"/>
      </c>
      <c r="AJ813">
        <f ca="1"/>
      </c>
      <c r="AK813">
        <f ca="1"/>
      </c>
      <c r="AL813">
        <f ca="1"/>
      </c>
      <c r="AM813">
        <f ca="1"/>
      </c>
      <c r="AN813">
        <f ca="1"/>
      </c>
      <c r="AO813">
        <f ca="1"/>
      </c>
      <c r="AP813">
        <f ca="1"/>
      </c>
      <c r="AQ813">
        <f ca="1"/>
      </c>
      <c r="AR813">
        <f ca="1"/>
      </c>
      <c r="AT813" s="7">
        <f ca="1"/>
      </c>
      <c r="AU813">
        <f ca="1"/>
      </c>
      <c r="AV813">
        <f ca="1"/>
      </c>
      <c r="AW813">
        <f ca="1"/>
      </c>
      <c r="AX813">
        <f ca="1"/>
      </c>
      <c r="AY813">
        <f ca="1"/>
      </c>
      <c r="BA813" s="7"/>
    </row>
    <row r="814" spans="31:53" x14ac:dyDescent="0.55000000000000004">
      <c r="AE814" s="7">
        <f ca="1"/>
      </c>
      <c r="AF814">
        <f ca="1"/>
      </c>
      <c r="AG814">
        <f ca="1"/>
      </c>
      <c r="AH814">
        <f ca="1"/>
      </c>
      <c r="AI814">
        <f ca="1"/>
      </c>
      <c r="AJ814">
        <f ca="1"/>
      </c>
      <c r="AK814">
        <f ca="1"/>
      </c>
      <c r="AL814">
        <f ca="1"/>
      </c>
      <c r="AM814">
        <f ca="1"/>
      </c>
      <c r="AN814">
        <f ca="1"/>
      </c>
      <c r="AO814">
        <f ca="1"/>
      </c>
      <c r="AP814">
        <f ca="1"/>
      </c>
      <c r="AQ814">
        <f ca="1"/>
      </c>
      <c r="AR814">
        <f ca="1"/>
      </c>
      <c r="AT814" s="7">
        <f ca="1"/>
      </c>
      <c r="AU814">
        <f ca="1"/>
      </c>
      <c r="AV814">
        <f ca="1"/>
      </c>
      <c r="AW814">
        <f ca="1"/>
      </c>
      <c r="AX814">
        <f ca="1"/>
      </c>
      <c r="AY814">
        <f ca="1"/>
      </c>
      <c r="BA814" s="7"/>
    </row>
    <row r="815" spans="31:53" x14ac:dyDescent="0.55000000000000004">
      <c r="AE815" s="7">
        <f ca="1"/>
      </c>
      <c r="AF815">
        <f ca="1"/>
      </c>
      <c r="AG815">
        <f ca="1"/>
      </c>
      <c r="AH815">
        <f ca="1"/>
      </c>
      <c r="AI815">
        <f ca="1"/>
      </c>
      <c r="AJ815">
        <f ca="1"/>
      </c>
      <c r="AK815">
        <f ca="1"/>
      </c>
      <c r="AL815">
        <f ca="1"/>
      </c>
      <c r="AM815">
        <f ca="1"/>
      </c>
      <c r="AN815">
        <f ca="1"/>
      </c>
      <c r="AO815">
        <f ca="1"/>
      </c>
      <c r="AP815">
        <f ca="1"/>
      </c>
      <c r="AQ815">
        <f ca="1"/>
      </c>
      <c r="AR815">
        <f ca="1"/>
      </c>
      <c r="AT815" s="7">
        <f ca="1"/>
      </c>
      <c r="AU815">
        <f ca="1"/>
      </c>
      <c r="AV815">
        <f ca="1"/>
      </c>
      <c r="AW815">
        <f ca="1"/>
      </c>
      <c r="AX815">
        <f ca="1"/>
      </c>
      <c r="AY815">
        <f ca="1"/>
      </c>
      <c r="BA815" s="7"/>
    </row>
    <row r="816" spans="31:53" x14ac:dyDescent="0.55000000000000004">
      <c r="AE816" s="7">
        <f ca="1"/>
      </c>
      <c r="AF816">
        <f ca="1"/>
      </c>
      <c r="AG816">
        <f ca="1"/>
      </c>
      <c r="AH816">
        <f ca="1"/>
      </c>
      <c r="AI816">
        <f ca="1"/>
      </c>
      <c r="AJ816">
        <f ca="1"/>
      </c>
      <c r="AK816">
        <f ca="1"/>
      </c>
      <c r="AL816">
        <f ca="1"/>
      </c>
      <c r="AM816">
        <f ca="1"/>
      </c>
      <c r="AN816">
        <f ca="1"/>
      </c>
      <c r="AO816">
        <f ca="1"/>
      </c>
      <c r="AP816">
        <f ca="1"/>
      </c>
      <c r="AQ816">
        <f ca="1"/>
      </c>
      <c r="AR816">
        <f ca="1"/>
      </c>
      <c r="AT816" s="7">
        <f ca="1"/>
      </c>
      <c r="AU816">
        <f ca="1"/>
      </c>
      <c r="AV816">
        <f ca="1"/>
      </c>
      <c r="AW816">
        <f ca="1"/>
      </c>
      <c r="AX816">
        <f ca="1"/>
      </c>
      <c r="AY816">
        <f ca="1"/>
      </c>
      <c r="BA816" s="7"/>
    </row>
    <row r="817" spans="31:53" x14ac:dyDescent="0.55000000000000004">
      <c r="AE817" s="7">
        <f ca="1"/>
      </c>
      <c r="AF817">
        <f ca="1"/>
      </c>
      <c r="AG817">
        <f ca="1"/>
      </c>
      <c r="AH817">
        <f ca="1"/>
      </c>
      <c r="AI817">
        <f ca="1"/>
      </c>
      <c r="AJ817">
        <f ca="1"/>
      </c>
      <c r="AK817">
        <f ca="1"/>
      </c>
      <c r="AL817">
        <f ca="1"/>
      </c>
      <c r="AM817">
        <f ca="1"/>
      </c>
      <c r="AN817">
        <f ca="1"/>
      </c>
      <c r="AO817">
        <f ca="1"/>
      </c>
      <c r="AP817">
        <f ca="1"/>
      </c>
      <c r="AQ817">
        <f ca="1"/>
      </c>
      <c r="AR817">
        <f ca="1"/>
      </c>
      <c r="AT817" s="7">
        <f ca="1"/>
      </c>
      <c r="AU817">
        <f ca="1"/>
      </c>
      <c r="AV817">
        <f ca="1"/>
      </c>
      <c r="AW817">
        <f ca="1"/>
      </c>
      <c r="AX817">
        <f ca="1"/>
      </c>
      <c r="AY817">
        <f ca="1"/>
      </c>
      <c r="BA817" s="7"/>
    </row>
    <row r="818" spans="31:53" x14ac:dyDescent="0.55000000000000004">
      <c r="AE818" s="7">
        <f ca="1"/>
      </c>
      <c r="AF818">
        <f ca="1"/>
      </c>
      <c r="AG818">
        <f ca="1"/>
      </c>
      <c r="AH818">
        <f ca="1"/>
      </c>
      <c r="AI818">
        <f ca="1"/>
      </c>
      <c r="AJ818">
        <f ca="1"/>
      </c>
      <c r="AK818">
        <f ca="1"/>
      </c>
      <c r="AL818">
        <f ca="1"/>
      </c>
      <c r="AM818">
        <f ca="1"/>
      </c>
      <c r="AN818">
        <f ca="1"/>
      </c>
      <c r="AO818">
        <f ca="1"/>
      </c>
      <c r="AP818">
        <f ca="1"/>
      </c>
      <c r="AQ818">
        <f ca="1"/>
      </c>
      <c r="AR818">
        <f ca="1"/>
      </c>
      <c r="AT818" s="7">
        <f ca="1"/>
      </c>
      <c r="AU818">
        <f ca="1"/>
      </c>
      <c r="AV818">
        <f ca="1"/>
      </c>
      <c r="AW818">
        <f ca="1"/>
      </c>
      <c r="AX818">
        <f ca="1"/>
      </c>
      <c r="AY818">
        <f ca="1"/>
      </c>
      <c r="BA818" s="7"/>
    </row>
    <row r="819" spans="31:53" x14ac:dyDescent="0.55000000000000004">
      <c r="AE819" s="7">
        <f ca="1"/>
      </c>
      <c r="AF819">
        <f ca="1"/>
      </c>
      <c r="AG819">
        <f ca="1"/>
      </c>
      <c r="AH819">
        <f ca="1"/>
      </c>
      <c r="AI819">
        <f ca="1"/>
      </c>
      <c r="AJ819">
        <f ca="1"/>
      </c>
      <c r="AK819">
        <f ca="1"/>
      </c>
      <c r="AL819">
        <f ca="1"/>
      </c>
      <c r="AM819">
        <f ca="1"/>
      </c>
      <c r="AN819">
        <f ca="1"/>
      </c>
      <c r="AO819">
        <f ca="1"/>
      </c>
      <c r="AP819">
        <f ca="1"/>
      </c>
      <c r="AQ819">
        <f ca="1"/>
      </c>
      <c r="AR819">
        <f ca="1"/>
      </c>
      <c r="AT819" s="7">
        <f ca="1"/>
      </c>
      <c r="AU819">
        <f ca="1"/>
      </c>
      <c r="AV819">
        <f ca="1"/>
      </c>
      <c r="AW819">
        <f ca="1"/>
      </c>
      <c r="AX819">
        <f ca="1"/>
      </c>
      <c r="AY819">
        <f ca="1"/>
      </c>
      <c r="BA819" s="7"/>
    </row>
    <row r="820" spans="31:53" x14ac:dyDescent="0.55000000000000004">
      <c r="AE820" s="7">
        <f ca="1"/>
      </c>
      <c r="AF820">
        <f ca="1"/>
      </c>
      <c r="AG820">
        <f ca="1"/>
      </c>
      <c r="AH820">
        <f ca="1"/>
      </c>
      <c r="AI820">
        <f ca="1"/>
      </c>
      <c r="AJ820">
        <f ca="1"/>
      </c>
      <c r="AK820">
        <f ca="1"/>
      </c>
      <c r="AL820">
        <f ca="1"/>
      </c>
      <c r="AM820">
        <f ca="1"/>
      </c>
      <c r="AN820">
        <f ca="1"/>
      </c>
      <c r="AO820">
        <f ca="1"/>
      </c>
      <c r="AP820">
        <f ca="1"/>
      </c>
      <c r="AQ820">
        <f ca="1"/>
      </c>
      <c r="AR820">
        <f ca="1"/>
      </c>
      <c r="AT820" s="7">
        <f ca="1"/>
      </c>
      <c r="AU820">
        <f ca="1"/>
      </c>
      <c r="AV820">
        <f ca="1"/>
      </c>
      <c r="AW820">
        <f ca="1"/>
      </c>
      <c r="AX820">
        <f ca="1"/>
      </c>
      <c r="AY820">
        <f ca="1"/>
      </c>
      <c r="BA820" s="7"/>
    </row>
    <row r="821" spans="31:53" x14ac:dyDescent="0.55000000000000004">
      <c r="AE821" s="7">
        <f ca="1"/>
      </c>
      <c r="AF821">
        <f ca="1"/>
      </c>
      <c r="AG821">
        <f ca="1"/>
      </c>
      <c r="AH821">
        <f ca="1"/>
      </c>
      <c r="AI821">
        <f ca="1"/>
      </c>
      <c r="AJ821">
        <f ca="1"/>
      </c>
      <c r="AK821">
        <f ca="1"/>
      </c>
      <c r="AL821">
        <f ca="1"/>
      </c>
      <c r="AM821">
        <f ca="1"/>
      </c>
      <c r="AN821">
        <f ca="1"/>
      </c>
      <c r="AO821">
        <f ca="1"/>
      </c>
      <c r="AP821">
        <f ca="1"/>
      </c>
      <c r="AQ821">
        <f ca="1"/>
      </c>
      <c r="AR821">
        <f ca="1"/>
      </c>
      <c r="AT821" s="7">
        <f ca="1"/>
      </c>
      <c r="AU821">
        <f ca="1"/>
      </c>
      <c r="AV821">
        <f ca="1"/>
      </c>
      <c r="AW821">
        <f ca="1"/>
      </c>
      <c r="AX821">
        <f ca="1"/>
      </c>
      <c r="AY821">
        <f ca="1"/>
      </c>
      <c r="BA821" s="7"/>
    </row>
    <row r="822" spans="31:53" x14ac:dyDescent="0.55000000000000004">
      <c r="AE822" s="7">
        <f ca="1"/>
      </c>
      <c r="AF822">
        <f ca="1"/>
      </c>
      <c r="AG822">
        <f ca="1"/>
      </c>
      <c r="AH822">
        <f ca="1"/>
      </c>
      <c r="AI822">
        <f ca="1"/>
      </c>
      <c r="AJ822">
        <f ca="1"/>
      </c>
      <c r="AK822">
        <f ca="1"/>
      </c>
      <c r="AL822">
        <f ca="1"/>
      </c>
      <c r="AM822">
        <f ca="1"/>
      </c>
      <c r="AN822">
        <f ca="1"/>
      </c>
      <c r="AO822">
        <f ca="1"/>
      </c>
      <c r="AP822">
        <f ca="1"/>
      </c>
      <c r="AQ822">
        <f ca="1"/>
      </c>
      <c r="AR822">
        <f ca="1"/>
      </c>
      <c r="AT822" s="7">
        <f ca="1"/>
      </c>
      <c r="AU822">
        <f ca="1"/>
      </c>
      <c r="AV822">
        <f ca="1"/>
      </c>
      <c r="AW822">
        <f ca="1"/>
      </c>
      <c r="AX822">
        <f ca="1"/>
      </c>
      <c r="AY822">
        <f ca="1"/>
      </c>
      <c r="BA822" s="7"/>
    </row>
    <row r="823" spans="31:53" x14ac:dyDescent="0.55000000000000004">
      <c r="AE823" s="7">
        <f ca="1"/>
      </c>
      <c r="AF823">
        <f ca="1"/>
      </c>
      <c r="AG823">
        <f ca="1"/>
      </c>
      <c r="AH823">
        <f ca="1"/>
      </c>
      <c r="AI823">
        <f ca="1"/>
      </c>
      <c r="AJ823">
        <f ca="1"/>
      </c>
      <c r="AK823">
        <f ca="1"/>
      </c>
      <c r="AL823">
        <f ca="1"/>
      </c>
      <c r="AM823">
        <f ca="1"/>
      </c>
      <c r="AN823">
        <f ca="1"/>
      </c>
      <c r="AO823">
        <f ca="1"/>
      </c>
      <c r="AP823">
        <f ca="1"/>
      </c>
      <c r="AQ823">
        <f ca="1"/>
      </c>
      <c r="AR823">
        <f ca="1"/>
      </c>
      <c r="AT823" s="7">
        <f ca="1"/>
      </c>
      <c r="AU823">
        <f ca="1"/>
      </c>
      <c r="AV823">
        <f ca="1"/>
      </c>
      <c r="AW823">
        <f ca="1"/>
      </c>
      <c r="AX823">
        <f ca="1"/>
      </c>
      <c r="AY823">
        <f ca="1"/>
      </c>
      <c r="BA823" s="7"/>
    </row>
    <row r="824" spans="31:53" x14ac:dyDescent="0.55000000000000004">
      <c r="AE824" s="7">
        <f ca="1"/>
      </c>
      <c r="AF824">
        <f ca="1"/>
      </c>
      <c r="AG824">
        <f ca="1"/>
      </c>
      <c r="AH824">
        <f ca="1"/>
      </c>
      <c r="AI824">
        <f ca="1"/>
      </c>
      <c r="AJ824">
        <f ca="1"/>
      </c>
      <c r="AK824">
        <f ca="1"/>
      </c>
      <c r="AL824">
        <f ca="1"/>
      </c>
      <c r="AM824">
        <f ca="1"/>
      </c>
      <c r="AN824">
        <f ca="1"/>
      </c>
      <c r="AO824">
        <f ca="1"/>
      </c>
      <c r="AP824">
        <f ca="1"/>
      </c>
      <c r="AQ824">
        <f ca="1"/>
      </c>
      <c r="AR824">
        <f ca="1"/>
      </c>
      <c r="AT824" s="7">
        <f ca="1"/>
      </c>
      <c r="AU824">
        <f ca="1"/>
      </c>
      <c r="AV824">
        <f ca="1"/>
      </c>
      <c r="AW824">
        <f ca="1"/>
      </c>
      <c r="AX824">
        <f ca="1"/>
      </c>
      <c r="AY824">
        <f ca="1"/>
      </c>
      <c r="BA824" s="7"/>
    </row>
    <row r="825" spans="31:53" x14ac:dyDescent="0.55000000000000004">
      <c r="AE825" s="7">
        <f ca="1"/>
      </c>
      <c r="AF825">
        <f ca="1"/>
      </c>
      <c r="AG825">
        <f ca="1"/>
      </c>
      <c r="AH825">
        <f ca="1"/>
      </c>
      <c r="AI825">
        <f ca="1"/>
      </c>
      <c r="AJ825">
        <f ca="1"/>
      </c>
      <c r="AK825">
        <f ca="1"/>
      </c>
      <c r="AL825">
        <f ca="1"/>
      </c>
      <c r="AM825">
        <f ca="1"/>
      </c>
      <c r="AN825">
        <f ca="1"/>
      </c>
      <c r="AO825">
        <f ca="1"/>
      </c>
      <c r="AP825">
        <f ca="1"/>
      </c>
      <c r="AQ825">
        <f ca="1"/>
      </c>
      <c r="AR825">
        <f ca="1"/>
      </c>
      <c r="AT825" s="7">
        <f ca="1"/>
      </c>
      <c r="AU825">
        <f ca="1"/>
      </c>
      <c r="AV825">
        <f ca="1"/>
      </c>
      <c r="AW825">
        <f ca="1"/>
      </c>
      <c r="AX825">
        <f ca="1"/>
      </c>
      <c r="AY825">
        <f ca="1"/>
      </c>
      <c r="BA825" s="7"/>
    </row>
    <row r="826" spans="31:53" x14ac:dyDescent="0.55000000000000004">
      <c r="AE826" s="7">
        <f ca="1"/>
      </c>
      <c r="AF826">
        <f ca="1"/>
      </c>
      <c r="AG826">
        <f ca="1"/>
      </c>
      <c r="AH826">
        <f ca="1"/>
      </c>
      <c r="AI826">
        <f ca="1"/>
      </c>
      <c r="AJ826">
        <f ca="1"/>
      </c>
      <c r="AK826">
        <f ca="1"/>
      </c>
      <c r="AL826">
        <f ca="1"/>
      </c>
      <c r="AM826">
        <f ca="1"/>
      </c>
      <c r="AN826">
        <f ca="1"/>
      </c>
      <c r="AO826">
        <f ca="1"/>
      </c>
      <c r="AP826">
        <f ca="1"/>
      </c>
      <c r="AQ826">
        <f ca="1"/>
      </c>
      <c r="AR826">
        <f ca="1"/>
      </c>
      <c r="AT826" s="7">
        <f ca="1"/>
      </c>
      <c r="AU826">
        <f ca="1"/>
      </c>
      <c r="AV826">
        <f ca="1"/>
      </c>
      <c r="AW826">
        <f ca="1"/>
      </c>
      <c r="AX826">
        <f ca="1"/>
      </c>
      <c r="AY826">
        <f ca="1"/>
      </c>
      <c r="BA826" s="7"/>
    </row>
    <row r="827" spans="31:53" x14ac:dyDescent="0.55000000000000004">
      <c r="AE827" s="7">
        <f ca="1"/>
      </c>
      <c r="AF827">
        <f ca="1"/>
      </c>
      <c r="AG827">
        <f ca="1"/>
      </c>
      <c r="AH827">
        <f ca="1"/>
      </c>
      <c r="AI827">
        <f ca="1"/>
      </c>
      <c r="AJ827">
        <f ca="1"/>
      </c>
      <c r="AK827">
        <f ca="1"/>
      </c>
      <c r="AL827">
        <f ca="1"/>
      </c>
      <c r="AM827">
        <f ca="1"/>
      </c>
      <c r="AN827">
        <f ca="1"/>
      </c>
      <c r="AO827">
        <f ca="1"/>
      </c>
      <c r="AP827">
        <f ca="1"/>
      </c>
      <c r="AQ827">
        <f ca="1"/>
      </c>
      <c r="AR827">
        <f ca="1"/>
      </c>
      <c r="AT827" s="7">
        <f ca="1"/>
      </c>
      <c r="AU827">
        <f ca="1"/>
      </c>
      <c r="AV827">
        <f ca="1"/>
      </c>
      <c r="AW827">
        <f ca="1"/>
      </c>
      <c r="AX827">
        <f ca="1"/>
      </c>
      <c r="AY827">
        <f ca="1"/>
      </c>
      <c r="BA827" s="7"/>
    </row>
    <row r="828" spans="31:53" x14ac:dyDescent="0.55000000000000004">
      <c r="AE828" s="7">
        <f ca="1"/>
      </c>
      <c r="AF828">
        <f ca="1"/>
      </c>
      <c r="AG828">
        <f ca="1"/>
      </c>
      <c r="AH828">
        <f ca="1"/>
      </c>
      <c r="AI828">
        <f ca="1"/>
      </c>
      <c r="AJ828">
        <f ca="1"/>
      </c>
      <c r="AK828">
        <f ca="1"/>
      </c>
      <c r="AL828">
        <f ca="1"/>
      </c>
      <c r="AM828">
        <f ca="1"/>
      </c>
      <c r="AN828">
        <f ca="1"/>
      </c>
      <c r="AO828">
        <f ca="1"/>
      </c>
      <c r="AP828">
        <f ca="1"/>
      </c>
      <c r="AQ828">
        <f ca="1"/>
      </c>
      <c r="AR828">
        <f ca="1"/>
      </c>
      <c r="AT828" s="7">
        <f ca="1"/>
      </c>
      <c r="AU828">
        <f ca="1"/>
      </c>
      <c r="AV828">
        <f ca="1"/>
      </c>
      <c r="AW828">
        <f ca="1"/>
      </c>
      <c r="AX828">
        <f ca="1"/>
      </c>
      <c r="AY828">
        <f ca="1"/>
      </c>
      <c r="BA828" s="7"/>
    </row>
    <row r="829" spans="31:53" x14ac:dyDescent="0.55000000000000004">
      <c r="AE829" s="7">
        <f ca="1"/>
      </c>
      <c r="AF829">
        <f ca="1"/>
      </c>
      <c r="AG829">
        <f ca="1"/>
      </c>
      <c r="AH829">
        <f ca="1"/>
      </c>
      <c r="AI829">
        <f ca="1"/>
      </c>
      <c r="AJ829">
        <f ca="1"/>
      </c>
      <c r="AK829">
        <f ca="1"/>
      </c>
      <c r="AL829">
        <f ca="1"/>
      </c>
      <c r="AM829">
        <f ca="1"/>
      </c>
      <c r="AN829">
        <f ca="1"/>
      </c>
      <c r="AO829">
        <f ca="1"/>
      </c>
      <c r="AP829">
        <f ca="1"/>
      </c>
      <c r="AQ829">
        <f ca="1"/>
      </c>
      <c r="AR829">
        <f ca="1"/>
      </c>
      <c r="AT829" s="7">
        <f ca="1"/>
      </c>
      <c r="AU829">
        <f ca="1"/>
      </c>
      <c r="AV829">
        <f ca="1"/>
      </c>
      <c r="AW829">
        <f ca="1"/>
      </c>
      <c r="AX829">
        <f ca="1"/>
      </c>
      <c r="AY829">
        <f ca="1"/>
      </c>
      <c r="BA829" s="7"/>
    </row>
    <row r="830" spans="31:53" x14ac:dyDescent="0.55000000000000004">
      <c r="AE830" s="7">
        <f ca="1"/>
      </c>
      <c r="AF830">
        <f ca="1"/>
      </c>
      <c r="AG830">
        <f ca="1"/>
      </c>
      <c r="AH830">
        <f ca="1"/>
      </c>
      <c r="AI830">
        <f ca="1"/>
      </c>
      <c r="AJ830">
        <f ca="1"/>
      </c>
      <c r="AK830">
        <f ca="1"/>
      </c>
      <c r="AL830">
        <f ca="1"/>
      </c>
      <c r="AM830">
        <f ca="1"/>
      </c>
      <c r="AN830">
        <f ca="1"/>
      </c>
      <c r="AO830">
        <f ca="1"/>
      </c>
      <c r="AP830">
        <f ca="1"/>
      </c>
      <c r="AQ830">
        <f ca="1"/>
      </c>
      <c r="AR830">
        <f ca="1"/>
      </c>
      <c r="AT830" s="7">
        <f ca="1"/>
      </c>
      <c r="AU830">
        <f ca="1"/>
      </c>
      <c r="AV830">
        <f ca="1"/>
      </c>
      <c r="AW830">
        <f ca="1"/>
      </c>
      <c r="AX830">
        <f ca="1"/>
      </c>
      <c r="AY830">
        <f ca="1"/>
      </c>
      <c r="BA830" s="7"/>
    </row>
    <row r="831" spans="31:53" x14ac:dyDescent="0.55000000000000004">
      <c r="AE831" s="7">
        <f ca="1"/>
      </c>
      <c r="AF831">
        <f ca="1"/>
      </c>
      <c r="AG831">
        <f ca="1"/>
      </c>
      <c r="AH831">
        <f ca="1"/>
      </c>
      <c r="AI831">
        <f ca="1"/>
      </c>
      <c r="AJ831">
        <f ca="1"/>
      </c>
      <c r="AK831">
        <f ca="1"/>
      </c>
      <c r="AL831">
        <f ca="1"/>
      </c>
      <c r="AM831">
        <f ca="1"/>
      </c>
      <c r="AN831">
        <f ca="1"/>
      </c>
      <c r="AO831">
        <f ca="1"/>
      </c>
      <c r="AP831">
        <f ca="1"/>
      </c>
      <c r="AQ831">
        <f ca="1"/>
      </c>
      <c r="AR831">
        <f ca="1"/>
      </c>
      <c r="AT831" s="7">
        <f ca="1"/>
      </c>
      <c r="AU831">
        <f ca="1"/>
      </c>
      <c r="AV831">
        <f ca="1"/>
      </c>
      <c r="AW831">
        <f ca="1"/>
      </c>
      <c r="AX831">
        <f ca="1"/>
      </c>
      <c r="AY831">
        <f ca="1"/>
      </c>
      <c r="BA831" s="7"/>
    </row>
    <row r="832" spans="31:53" x14ac:dyDescent="0.55000000000000004">
      <c r="AE832" s="7">
        <f ca="1"/>
      </c>
      <c r="AF832">
        <f ca="1"/>
      </c>
      <c r="AG832">
        <f ca="1"/>
      </c>
      <c r="AH832">
        <f ca="1"/>
      </c>
      <c r="AI832">
        <f ca="1"/>
      </c>
      <c r="AJ832">
        <f ca="1"/>
      </c>
      <c r="AK832">
        <f ca="1"/>
      </c>
      <c r="AL832">
        <f ca="1"/>
      </c>
      <c r="AM832">
        <f ca="1"/>
      </c>
      <c r="AN832">
        <f ca="1"/>
      </c>
      <c r="AO832">
        <f ca="1"/>
      </c>
      <c r="AP832">
        <f ca="1"/>
      </c>
      <c r="AQ832">
        <f ca="1"/>
      </c>
      <c r="AR832">
        <f ca="1"/>
      </c>
      <c r="AT832" s="7">
        <f ca="1"/>
      </c>
      <c r="AU832">
        <f ca="1"/>
      </c>
      <c r="AV832">
        <f ca="1"/>
      </c>
      <c r="AW832">
        <f ca="1"/>
      </c>
      <c r="AX832">
        <f ca="1"/>
      </c>
      <c r="AY832">
        <f ca="1"/>
      </c>
      <c r="BA832" s="7"/>
    </row>
    <row r="833" spans="31:53" x14ac:dyDescent="0.55000000000000004">
      <c r="AE833" s="7">
        <f ca="1"/>
      </c>
      <c r="AF833">
        <f ca="1"/>
      </c>
      <c r="AG833">
        <f ca="1"/>
      </c>
      <c r="AH833">
        <f ca="1"/>
      </c>
      <c r="AI833">
        <f ca="1"/>
      </c>
      <c r="AJ833">
        <f ca="1"/>
      </c>
      <c r="AK833">
        <f ca="1"/>
      </c>
      <c r="AL833">
        <f ca="1"/>
      </c>
      <c r="AM833">
        <f ca="1"/>
      </c>
      <c r="AN833">
        <f ca="1"/>
      </c>
      <c r="AO833">
        <f ca="1"/>
      </c>
      <c r="AP833">
        <f ca="1"/>
      </c>
      <c r="AQ833">
        <f ca="1"/>
      </c>
      <c r="AR833">
        <f ca="1"/>
      </c>
      <c r="AT833" s="7">
        <f ca="1"/>
      </c>
      <c r="AU833">
        <f ca="1"/>
      </c>
      <c r="AV833">
        <f ca="1"/>
      </c>
      <c r="AW833">
        <f ca="1"/>
      </c>
      <c r="AX833">
        <f ca="1"/>
      </c>
      <c r="AY833">
        <f ca="1"/>
      </c>
      <c r="BA833" s="7"/>
    </row>
    <row r="834" spans="31:53" x14ac:dyDescent="0.55000000000000004">
      <c r="AE834" s="7">
        <f ca="1"/>
      </c>
      <c r="AF834">
        <f ca="1"/>
      </c>
      <c r="AG834">
        <f ca="1"/>
      </c>
      <c r="AH834">
        <f ca="1"/>
      </c>
      <c r="AI834">
        <f ca="1"/>
      </c>
      <c r="AJ834">
        <f ca="1"/>
      </c>
      <c r="AK834">
        <f ca="1"/>
      </c>
      <c r="AL834">
        <f ca="1"/>
      </c>
      <c r="AM834">
        <f ca="1"/>
      </c>
      <c r="AN834">
        <f ca="1"/>
      </c>
      <c r="AO834">
        <f ca="1"/>
      </c>
      <c r="AP834">
        <f ca="1"/>
      </c>
      <c r="AQ834">
        <f ca="1"/>
      </c>
      <c r="AR834">
        <f ca="1"/>
      </c>
      <c r="AT834" s="7">
        <f ca="1"/>
      </c>
      <c r="AU834">
        <f ca="1"/>
      </c>
      <c r="AV834">
        <f ca="1"/>
      </c>
      <c r="AW834">
        <f ca="1"/>
      </c>
      <c r="AX834">
        <f ca="1"/>
      </c>
      <c r="AY834">
        <f ca="1"/>
      </c>
      <c r="BA834" s="7"/>
    </row>
    <row r="835" spans="31:53" x14ac:dyDescent="0.55000000000000004">
      <c r="AE835" s="7">
        <f ca="1"/>
      </c>
      <c r="AF835">
        <f ca="1"/>
      </c>
      <c r="AG835">
        <f ca="1"/>
      </c>
      <c r="AH835">
        <f ca="1"/>
      </c>
      <c r="AI835">
        <f ca="1"/>
      </c>
      <c r="AJ835">
        <f ca="1"/>
      </c>
      <c r="AK835">
        <f ca="1"/>
      </c>
      <c r="AL835">
        <f ca="1"/>
      </c>
      <c r="AM835">
        <f ca="1"/>
      </c>
      <c r="AN835">
        <f ca="1"/>
      </c>
      <c r="AO835">
        <f ca="1"/>
      </c>
      <c r="AP835">
        <f ca="1"/>
      </c>
      <c r="AQ835">
        <f ca="1"/>
      </c>
      <c r="AR835">
        <f ca="1"/>
      </c>
      <c r="AT835" s="7">
        <f ca="1"/>
      </c>
      <c r="AU835">
        <f ca="1"/>
      </c>
      <c r="AV835">
        <f ca="1"/>
      </c>
      <c r="AW835">
        <f ca="1"/>
      </c>
      <c r="AX835">
        <f ca="1"/>
      </c>
      <c r="AY835">
        <f ca="1"/>
      </c>
      <c r="BA835" s="7"/>
    </row>
    <row r="836" spans="31:53" x14ac:dyDescent="0.55000000000000004">
      <c r="AE836" s="7">
        <f ca="1"/>
      </c>
      <c r="AF836">
        <f ca="1"/>
      </c>
      <c r="AG836">
        <f ca="1"/>
      </c>
      <c r="AH836">
        <f ca="1"/>
      </c>
      <c r="AI836">
        <f ca="1"/>
      </c>
      <c r="AJ836">
        <f ca="1"/>
      </c>
      <c r="AK836">
        <f ca="1"/>
      </c>
      <c r="AL836">
        <f ca="1"/>
      </c>
      <c r="AM836">
        <f ca="1"/>
      </c>
      <c r="AN836">
        <f ca="1"/>
      </c>
      <c r="AO836">
        <f ca="1"/>
      </c>
      <c r="AP836">
        <f ca="1"/>
      </c>
      <c r="AQ836">
        <f ca="1"/>
      </c>
      <c r="AR836">
        <f ca="1"/>
      </c>
      <c r="AT836" s="7">
        <f ca="1"/>
      </c>
      <c r="AU836">
        <f ca="1"/>
      </c>
      <c r="AV836">
        <f ca="1"/>
      </c>
      <c r="AW836">
        <f ca="1"/>
      </c>
      <c r="AX836">
        <f ca="1"/>
      </c>
      <c r="AY836">
        <f ca="1"/>
      </c>
      <c r="BA836" s="7"/>
    </row>
    <row r="837" spans="31:53" x14ac:dyDescent="0.55000000000000004">
      <c r="AE837" s="7">
        <f ca="1"/>
      </c>
      <c r="AF837">
        <f ca="1"/>
      </c>
      <c r="AG837">
        <f ca="1"/>
      </c>
      <c r="AH837">
        <f ca="1"/>
      </c>
      <c r="AI837">
        <f ca="1"/>
      </c>
      <c r="AJ837">
        <f ca="1"/>
      </c>
      <c r="AK837">
        <f ca="1"/>
      </c>
      <c r="AL837">
        <f ca="1"/>
      </c>
      <c r="AM837">
        <f ca="1"/>
      </c>
      <c r="AN837">
        <f ca="1"/>
      </c>
      <c r="AO837">
        <f ca="1"/>
      </c>
      <c r="AP837">
        <f ca="1"/>
      </c>
      <c r="AQ837">
        <f ca="1"/>
      </c>
      <c r="AR837">
        <f ca="1"/>
      </c>
      <c r="AT837" s="7">
        <f ca="1"/>
      </c>
      <c r="AU837">
        <f ca="1"/>
      </c>
      <c r="AV837">
        <f ca="1"/>
      </c>
      <c r="AW837">
        <f ca="1"/>
      </c>
      <c r="AX837">
        <f ca="1"/>
      </c>
      <c r="AY837">
        <f ca="1"/>
      </c>
      <c r="BA837" s="7"/>
    </row>
    <row r="838" spans="31:53" x14ac:dyDescent="0.55000000000000004">
      <c r="AE838" s="7">
        <f ca="1"/>
      </c>
      <c r="AF838">
        <f ca="1"/>
      </c>
      <c r="AG838">
        <f ca="1"/>
      </c>
      <c r="AH838">
        <f ca="1"/>
      </c>
      <c r="AI838">
        <f ca="1"/>
      </c>
      <c r="AJ838">
        <f ca="1"/>
      </c>
      <c r="AK838">
        <f ca="1"/>
      </c>
      <c r="AL838">
        <f ca="1"/>
      </c>
      <c r="AM838">
        <f ca="1"/>
      </c>
      <c r="AN838">
        <f ca="1"/>
      </c>
      <c r="AO838">
        <f ca="1"/>
      </c>
      <c r="AP838">
        <f ca="1"/>
      </c>
      <c r="AQ838">
        <f ca="1"/>
      </c>
      <c r="AR838">
        <f ca="1"/>
      </c>
      <c r="AT838" s="7">
        <f ca="1"/>
      </c>
      <c r="AU838">
        <f ca="1"/>
      </c>
      <c r="AV838">
        <f ca="1"/>
      </c>
      <c r="AW838">
        <f ca="1"/>
      </c>
      <c r="AX838">
        <f ca="1"/>
      </c>
      <c r="AY838">
        <f ca="1"/>
      </c>
      <c r="BA838" s="7"/>
    </row>
    <row r="839" spans="31:53" x14ac:dyDescent="0.55000000000000004">
      <c r="AE839" s="7">
        <f ca="1"/>
      </c>
      <c r="AF839">
        <f ca="1"/>
      </c>
      <c r="AG839">
        <f ca="1"/>
      </c>
      <c r="AH839">
        <f ca="1"/>
      </c>
      <c r="AI839">
        <f ca="1"/>
      </c>
      <c r="AJ839">
        <f ca="1"/>
      </c>
      <c r="AK839">
        <f ca="1"/>
      </c>
      <c r="AL839">
        <f ca="1"/>
      </c>
      <c r="AM839">
        <f ca="1"/>
      </c>
      <c r="AN839">
        <f ca="1"/>
      </c>
      <c r="AO839">
        <f ca="1"/>
      </c>
      <c r="AP839">
        <f ca="1"/>
      </c>
      <c r="AQ839">
        <f ca="1"/>
      </c>
      <c r="AR839">
        <f ca="1"/>
      </c>
      <c r="AT839" s="7">
        <f ca="1"/>
      </c>
      <c r="AU839">
        <f ca="1"/>
      </c>
      <c r="AV839">
        <f ca="1"/>
      </c>
      <c r="AW839">
        <f ca="1"/>
      </c>
      <c r="AX839">
        <f ca="1"/>
      </c>
      <c r="AY839">
        <f ca="1"/>
      </c>
      <c r="BA839" s="7"/>
    </row>
    <row r="840" spans="31:53" x14ac:dyDescent="0.55000000000000004">
      <c r="AE840" s="7">
        <f ca="1"/>
      </c>
      <c r="AF840">
        <f ca="1"/>
      </c>
      <c r="AG840">
        <f ca="1"/>
      </c>
      <c r="AH840">
        <f ca="1"/>
      </c>
      <c r="AI840">
        <f ca="1"/>
      </c>
      <c r="AJ840">
        <f ca="1"/>
      </c>
      <c r="AK840">
        <f ca="1"/>
      </c>
      <c r="AL840">
        <f ca="1"/>
      </c>
      <c r="AM840">
        <f ca="1"/>
      </c>
      <c r="AN840">
        <f ca="1"/>
      </c>
      <c r="AO840">
        <f ca="1"/>
      </c>
      <c r="AP840">
        <f ca="1"/>
      </c>
      <c r="AQ840">
        <f ca="1"/>
      </c>
      <c r="AR840">
        <f ca="1"/>
      </c>
      <c r="AT840" s="7">
        <f ca="1"/>
      </c>
      <c r="AU840">
        <f ca="1"/>
      </c>
      <c r="AV840">
        <f ca="1"/>
      </c>
      <c r="AW840">
        <f ca="1"/>
      </c>
      <c r="AX840">
        <f ca="1"/>
      </c>
      <c r="AY840">
        <f ca="1"/>
      </c>
      <c r="BA840" s="7"/>
    </row>
    <row r="841" spans="31:53" x14ac:dyDescent="0.55000000000000004">
      <c r="AE841" s="7">
        <f ca="1"/>
      </c>
      <c r="AF841">
        <f ca="1"/>
      </c>
      <c r="AG841">
        <f ca="1"/>
      </c>
      <c r="AH841">
        <f ca="1"/>
      </c>
      <c r="AI841">
        <f ca="1"/>
      </c>
      <c r="AJ841">
        <f ca="1"/>
      </c>
      <c r="AK841">
        <f ca="1"/>
      </c>
      <c r="AL841">
        <f ca="1"/>
      </c>
      <c r="AM841">
        <f ca="1"/>
      </c>
      <c r="AN841">
        <f ca="1"/>
      </c>
      <c r="AO841">
        <f ca="1"/>
      </c>
      <c r="AP841">
        <f ca="1"/>
      </c>
      <c r="AQ841">
        <f ca="1"/>
      </c>
      <c r="AR841">
        <f ca="1"/>
      </c>
      <c r="AT841" s="7">
        <f ca="1"/>
      </c>
      <c r="AU841">
        <f ca="1"/>
      </c>
      <c r="AV841">
        <f ca="1"/>
      </c>
      <c r="AW841">
        <f ca="1"/>
      </c>
      <c r="AX841">
        <f ca="1"/>
      </c>
      <c r="AY841">
        <f ca="1"/>
      </c>
      <c r="BA841" s="7"/>
    </row>
    <row r="842" spans="31:53" x14ac:dyDescent="0.55000000000000004">
      <c r="AE842" s="7">
        <f ca="1"/>
      </c>
      <c r="AF842">
        <f ca="1"/>
      </c>
      <c r="AG842">
        <f ca="1"/>
      </c>
      <c r="AH842">
        <f ca="1"/>
      </c>
      <c r="AI842">
        <f ca="1"/>
      </c>
      <c r="AJ842">
        <f ca="1"/>
      </c>
      <c r="AK842">
        <f ca="1"/>
      </c>
      <c r="AL842">
        <f ca="1"/>
      </c>
      <c r="AM842">
        <f ca="1"/>
      </c>
      <c r="AN842">
        <f ca="1"/>
      </c>
      <c r="AO842">
        <f ca="1"/>
      </c>
      <c r="AP842">
        <f ca="1"/>
      </c>
      <c r="AQ842">
        <f ca="1"/>
      </c>
      <c r="AR842">
        <f ca="1"/>
      </c>
      <c r="AT842" s="7">
        <f ca="1"/>
      </c>
      <c r="AU842">
        <f ca="1"/>
      </c>
      <c r="AV842">
        <f ca="1"/>
      </c>
      <c r="AW842">
        <f ca="1"/>
      </c>
      <c r="AX842">
        <f ca="1"/>
      </c>
      <c r="AY842">
        <f ca="1"/>
      </c>
      <c r="BA842" s="7"/>
    </row>
    <row r="843" spans="31:53" x14ac:dyDescent="0.55000000000000004">
      <c r="AE843" s="7">
        <f ca="1"/>
      </c>
      <c r="AF843">
        <f ca="1"/>
      </c>
      <c r="AG843">
        <f ca="1"/>
      </c>
      <c r="AH843">
        <f ca="1"/>
      </c>
      <c r="AI843">
        <f ca="1"/>
      </c>
      <c r="AJ843">
        <f ca="1"/>
      </c>
      <c r="AK843">
        <f ca="1"/>
      </c>
      <c r="AL843">
        <f ca="1"/>
      </c>
      <c r="AM843">
        <f ca="1"/>
      </c>
      <c r="AN843">
        <f ca="1"/>
      </c>
      <c r="AO843">
        <f ca="1"/>
      </c>
      <c r="AP843">
        <f ca="1"/>
      </c>
      <c r="AQ843">
        <f ca="1"/>
      </c>
      <c r="AR843">
        <f ca="1"/>
      </c>
      <c r="AT843" s="7">
        <f ca="1"/>
      </c>
      <c r="AU843">
        <f ca="1"/>
      </c>
      <c r="AV843">
        <f ca="1"/>
      </c>
      <c r="AW843">
        <f ca="1"/>
      </c>
      <c r="AX843">
        <f ca="1"/>
      </c>
      <c r="AY843">
        <f ca="1"/>
      </c>
      <c r="BA843" s="7"/>
    </row>
    <row r="844" spans="31:53" x14ac:dyDescent="0.55000000000000004">
      <c r="AE844" s="7">
        <f ca="1"/>
      </c>
      <c r="AF844">
        <f ca="1"/>
      </c>
      <c r="AG844">
        <f ca="1"/>
      </c>
      <c r="AH844">
        <f ca="1"/>
      </c>
      <c r="AI844">
        <f ca="1"/>
      </c>
      <c r="AJ844">
        <f ca="1"/>
      </c>
      <c r="AK844">
        <f ca="1"/>
      </c>
      <c r="AL844">
        <f ca="1"/>
      </c>
      <c r="AM844">
        <f ca="1"/>
      </c>
      <c r="AN844">
        <f ca="1"/>
      </c>
      <c r="AO844">
        <f ca="1"/>
      </c>
      <c r="AP844">
        <f ca="1"/>
      </c>
      <c r="AQ844">
        <f ca="1"/>
      </c>
      <c r="AR844">
        <f ca="1"/>
      </c>
      <c r="AT844" s="7">
        <f ca="1"/>
      </c>
      <c r="AU844">
        <f ca="1"/>
      </c>
      <c r="AV844">
        <f ca="1"/>
      </c>
      <c r="AW844">
        <f ca="1"/>
      </c>
      <c r="AX844">
        <f ca="1"/>
      </c>
      <c r="AY844">
        <f ca="1"/>
      </c>
      <c r="BA844" s="7"/>
    </row>
    <row r="845" spans="31:53" x14ac:dyDescent="0.55000000000000004">
      <c r="AE845" s="7">
        <f ca="1"/>
      </c>
      <c r="AF845">
        <f ca="1"/>
      </c>
      <c r="AG845">
        <f ca="1"/>
      </c>
      <c r="AH845">
        <f ca="1"/>
      </c>
      <c r="AI845">
        <f ca="1"/>
      </c>
      <c r="AJ845">
        <f ca="1"/>
      </c>
      <c r="AK845">
        <f ca="1"/>
      </c>
      <c r="AL845">
        <f ca="1"/>
      </c>
      <c r="AM845">
        <f ca="1"/>
      </c>
      <c r="AN845">
        <f ca="1"/>
      </c>
      <c r="AO845">
        <f ca="1"/>
      </c>
      <c r="AP845">
        <f ca="1"/>
      </c>
      <c r="AQ845">
        <f ca="1"/>
      </c>
      <c r="AR845">
        <f ca="1"/>
      </c>
      <c r="AT845" s="7">
        <f ca="1"/>
      </c>
      <c r="AU845">
        <f ca="1"/>
      </c>
      <c r="AV845">
        <f ca="1"/>
      </c>
      <c r="AW845">
        <f ca="1"/>
      </c>
      <c r="AX845">
        <f ca="1"/>
      </c>
      <c r="AY845">
        <f ca="1"/>
      </c>
      <c r="BA845" s="7"/>
    </row>
    <row r="846" spans="31:53" x14ac:dyDescent="0.55000000000000004">
      <c r="AE846" s="7">
        <f ca="1"/>
      </c>
      <c r="AF846">
        <f ca="1"/>
      </c>
      <c r="AG846">
        <f ca="1"/>
      </c>
      <c r="AH846">
        <f ca="1"/>
      </c>
      <c r="AI846">
        <f ca="1"/>
      </c>
      <c r="AJ846">
        <f ca="1"/>
      </c>
      <c r="AK846">
        <f ca="1"/>
      </c>
      <c r="AL846">
        <f ca="1"/>
      </c>
      <c r="AM846">
        <f ca="1"/>
      </c>
      <c r="AN846">
        <f ca="1"/>
      </c>
      <c r="AO846">
        <f ca="1"/>
      </c>
      <c r="AP846">
        <f ca="1"/>
      </c>
      <c r="AQ846">
        <f ca="1"/>
      </c>
      <c r="AR846">
        <f ca="1"/>
      </c>
      <c r="AT846" s="7">
        <f ca="1"/>
      </c>
      <c r="AU846">
        <f ca="1"/>
      </c>
      <c r="AV846">
        <f ca="1"/>
      </c>
      <c r="AW846">
        <f ca="1"/>
      </c>
      <c r="AX846">
        <f ca="1"/>
      </c>
      <c r="AY846">
        <f ca="1"/>
      </c>
      <c r="BA846" s="7"/>
    </row>
    <row r="847" spans="31:53" x14ac:dyDescent="0.55000000000000004">
      <c r="AE847" s="7">
        <f ca="1"/>
      </c>
      <c r="AF847">
        <f ca="1"/>
      </c>
      <c r="AG847">
        <f ca="1"/>
      </c>
      <c r="AH847">
        <f ca="1"/>
      </c>
      <c r="AI847">
        <f ca="1"/>
      </c>
      <c r="AJ847">
        <f ca="1"/>
      </c>
      <c r="AK847">
        <f ca="1"/>
      </c>
      <c r="AL847">
        <f ca="1"/>
      </c>
      <c r="AM847">
        <f ca="1"/>
      </c>
      <c r="AN847">
        <f ca="1"/>
      </c>
      <c r="AO847">
        <f ca="1"/>
      </c>
      <c r="AP847">
        <f ca="1"/>
      </c>
      <c r="AQ847">
        <f ca="1"/>
      </c>
      <c r="AR847">
        <f ca="1"/>
      </c>
      <c r="AT847" s="7">
        <f ca="1"/>
      </c>
      <c r="AU847">
        <f ca="1"/>
      </c>
      <c r="AV847">
        <f ca="1"/>
      </c>
      <c r="AW847">
        <f ca="1"/>
      </c>
      <c r="AX847">
        <f ca="1"/>
      </c>
      <c r="AY847">
        <f ca="1"/>
      </c>
      <c r="BA847" s="7"/>
    </row>
    <row r="848" spans="31:53" x14ac:dyDescent="0.55000000000000004">
      <c r="AE848" s="7">
        <f ca="1"/>
      </c>
      <c r="AF848">
        <f ca="1"/>
      </c>
      <c r="AG848">
        <f ca="1"/>
      </c>
      <c r="AH848">
        <f ca="1"/>
      </c>
      <c r="AI848">
        <f ca="1"/>
      </c>
      <c r="AJ848">
        <f ca="1"/>
      </c>
      <c r="AK848">
        <f ca="1"/>
      </c>
      <c r="AL848">
        <f ca="1"/>
      </c>
      <c r="AM848">
        <f ca="1"/>
      </c>
      <c r="AN848">
        <f ca="1"/>
      </c>
      <c r="AO848">
        <f ca="1"/>
      </c>
      <c r="AP848">
        <f ca="1"/>
      </c>
      <c r="AQ848">
        <f ca="1"/>
      </c>
      <c r="AR848">
        <f ca="1"/>
      </c>
      <c r="AT848" s="7">
        <f ca="1"/>
      </c>
      <c r="AU848">
        <f ca="1"/>
      </c>
      <c r="AV848">
        <f ca="1"/>
      </c>
      <c r="AW848">
        <f ca="1"/>
      </c>
      <c r="AX848">
        <f ca="1"/>
      </c>
      <c r="AY848">
        <f ca="1"/>
      </c>
      <c r="BA848" s="7"/>
    </row>
    <row r="849" spans="31:53" x14ac:dyDescent="0.55000000000000004">
      <c r="AE849" s="7">
        <f ca="1"/>
      </c>
      <c r="AF849">
        <f ca="1"/>
      </c>
      <c r="AG849">
        <f ca="1"/>
      </c>
      <c r="AH849">
        <f ca="1"/>
      </c>
      <c r="AI849">
        <f ca="1"/>
      </c>
      <c r="AJ849">
        <f ca="1"/>
      </c>
      <c r="AK849">
        <f ca="1"/>
      </c>
      <c r="AL849">
        <f ca="1"/>
      </c>
      <c r="AM849">
        <f ca="1"/>
      </c>
      <c r="AN849">
        <f ca="1"/>
      </c>
      <c r="AO849">
        <f ca="1"/>
      </c>
      <c r="AP849">
        <f ca="1"/>
      </c>
      <c r="AQ849">
        <f ca="1"/>
      </c>
      <c r="AR849">
        <f ca="1"/>
      </c>
      <c r="AT849" s="7">
        <f ca="1"/>
      </c>
      <c r="AU849">
        <f ca="1"/>
      </c>
      <c r="AV849">
        <f ca="1"/>
      </c>
      <c r="AW849">
        <f ca="1"/>
      </c>
      <c r="AX849">
        <f ca="1"/>
      </c>
      <c r="AY849">
        <f ca="1"/>
      </c>
      <c r="BA849" s="7"/>
    </row>
    <row r="850" spans="31:53" x14ac:dyDescent="0.55000000000000004">
      <c r="AE850" s="7">
        <f ca="1"/>
      </c>
      <c r="AF850">
        <f ca="1"/>
      </c>
      <c r="AG850">
        <f ca="1"/>
      </c>
      <c r="AH850">
        <f ca="1"/>
      </c>
      <c r="AI850">
        <f ca="1"/>
      </c>
      <c r="AJ850">
        <f ca="1"/>
      </c>
      <c r="AK850">
        <f ca="1"/>
      </c>
      <c r="AL850">
        <f ca="1"/>
      </c>
      <c r="AM850">
        <f ca="1"/>
      </c>
      <c r="AN850">
        <f ca="1"/>
      </c>
      <c r="AO850">
        <f ca="1"/>
      </c>
      <c r="AP850">
        <f ca="1"/>
      </c>
      <c r="AQ850">
        <f ca="1"/>
      </c>
      <c r="AR850">
        <f ca="1"/>
      </c>
      <c r="AT850" s="7">
        <f ca="1"/>
      </c>
      <c r="AU850">
        <f ca="1"/>
      </c>
      <c r="AV850">
        <f ca="1"/>
      </c>
      <c r="AW850">
        <f ca="1"/>
      </c>
      <c r="AX850">
        <f ca="1"/>
      </c>
      <c r="AY850">
        <f ca="1"/>
      </c>
      <c r="BA850" s="7"/>
    </row>
    <row r="851" spans="31:53" x14ac:dyDescent="0.55000000000000004">
      <c r="AE851" s="7">
        <f ca="1"/>
      </c>
      <c r="AF851">
        <f ca="1"/>
      </c>
      <c r="AG851">
        <f ca="1"/>
      </c>
      <c r="AH851">
        <f ca="1"/>
      </c>
      <c r="AI851">
        <f ca="1"/>
      </c>
      <c r="AJ851">
        <f ca="1"/>
      </c>
      <c r="AK851">
        <f ca="1"/>
      </c>
      <c r="AL851">
        <f ca="1"/>
      </c>
      <c r="AM851">
        <f ca="1"/>
      </c>
      <c r="AN851">
        <f ca="1"/>
      </c>
      <c r="AO851">
        <f ca="1"/>
      </c>
      <c r="AP851">
        <f ca="1"/>
      </c>
      <c r="AQ851">
        <f ca="1"/>
      </c>
      <c r="AR851">
        <f ca="1"/>
      </c>
      <c r="AT851" s="7">
        <f ca="1"/>
      </c>
      <c r="AU851">
        <f ca="1"/>
      </c>
      <c r="AV851">
        <f ca="1"/>
      </c>
      <c r="AW851">
        <f ca="1"/>
      </c>
      <c r="AX851">
        <f ca="1"/>
      </c>
      <c r="AY851">
        <f ca="1"/>
      </c>
      <c r="BA851" s="7"/>
    </row>
    <row r="852" spans="31:53" x14ac:dyDescent="0.55000000000000004">
      <c r="AE852" s="7">
        <f ca="1"/>
      </c>
      <c r="AF852">
        <f ca="1"/>
      </c>
      <c r="AG852">
        <f ca="1"/>
      </c>
      <c r="AH852">
        <f ca="1"/>
      </c>
      <c r="AI852">
        <f ca="1"/>
      </c>
      <c r="AJ852">
        <f ca="1"/>
      </c>
      <c r="AK852">
        <f ca="1"/>
      </c>
      <c r="AL852">
        <f ca="1"/>
      </c>
      <c r="AM852">
        <f ca="1"/>
      </c>
      <c r="AN852">
        <f ca="1"/>
      </c>
      <c r="AO852">
        <f ca="1"/>
      </c>
      <c r="AP852">
        <f ca="1"/>
      </c>
      <c r="AQ852">
        <f ca="1"/>
      </c>
      <c r="AR852">
        <f ca="1"/>
      </c>
      <c r="AT852" s="7">
        <f ca="1"/>
      </c>
      <c r="AU852">
        <f ca="1"/>
      </c>
      <c r="AV852">
        <f ca="1"/>
      </c>
      <c r="AW852">
        <f ca="1"/>
      </c>
      <c r="AX852">
        <f ca="1"/>
      </c>
      <c r="AY852">
        <f ca="1"/>
      </c>
      <c r="BA852" s="7"/>
    </row>
    <row r="853" spans="31:53" x14ac:dyDescent="0.55000000000000004">
      <c r="AE853" s="7">
        <f ca="1"/>
      </c>
      <c r="AF853">
        <f ca="1"/>
      </c>
      <c r="AG853">
        <f ca="1"/>
      </c>
      <c r="AH853">
        <f ca="1"/>
      </c>
      <c r="AI853">
        <f ca="1"/>
      </c>
      <c r="AJ853">
        <f ca="1"/>
      </c>
      <c r="AK853">
        <f ca="1"/>
      </c>
      <c r="AL853">
        <f ca="1"/>
      </c>
      <c r="AM853">
        <f ca="1"/>
      </c>
      <c r="AN853">
        <f ca="1"/>
      </c>
      <c r="AO853">
        <f ca="1"/>
      </c>
      <c r="AP853">
        <f ca="1"/>
      </c>
      <c r="AQ853">
        <f ca="1"/>
      </c>
      <c r="AR853">
        <f ca="1"/>
      </c>
      <c r="AT853" s="7">
        <f ca="1"/>
      </c>
      <c r="AU853">
        <f ca="1"/>
      </c>
      <c r="AV853">
        <f ca="1"/>
      </c>
      <c r="AW853">
        <f ca="1"/>
      </c>
      <c r="AX853">
        <f ca="1"/>
      </c>
      <c r="AY853">
        <f ca="1"/>
      </c>
      <c r="BA853" s="7"/>
    </row>
    <row r="854" spans="31:53" x14ac:dyDescent="0.55000000000000004">
      <c r="AE854" s="7">
        <f ca="1"/>
      </c>
      <c r="AF854">
        <f ca="1"/>
      </c>
      <c r="AG854">
        <f ca="1"/>
      </c>
      <c r="AH854">
        <f ca="1"/>
      </c>
      <c r="AI854">
        <f ca="1"/>
      </c>
      <c r="AJ854">
        <f ca="1"/>
      </c>
      <c r="AK854">
        <f ca="1"/>
      </c>
      <c r="AL854">
        <f ca="1"/>
      </c>
      <c r="AM854">
        <f ca="1"/>
      </c>
      <c r="AN854">
        <f ca="1"/>
      </c>
      <c r="AO854">
        <f ca="1"/>
      </c>
      <c r="AP854">
        <f ca="1"/>
      </c>
      <c r="AQ854">
        <f ca="1"/>
      </c>
      <c r="AR854">
        <f ca="1"/>
      </c>
      <c r="AT854" s="7">
        <f ca="1"/>
      </c>
      <c r="AU854">
        <f ca="1"/>
      </c>
      <c r="AV854">
        <f ca="1"/>
      </c>
      <c r="AW854">
        <f ca="1"/>
      </c>
      <c r="AX854">
        <f ca="1"/>
      </c>
      <c r="AY854">
        <f ca="1"/>
      </c>
      <c r="BA854" s="7"/>
    </row>
    <row r="855" spans="31:53" x14ac:dyDescent="0.55000000000000004">
      <c r="AE855" s="7">
        <f ca="1"/>
      </c>
      <c r="AF855">
        <f ca="1"/>
      </c>
      <c r="AG855">
        <f ca="1"/>
      </c>
      <c r="AH855">
        <f ca="1"/>
      </c>
      <c r="AI855">
        <f ca="1"/>
      </c>
      <c r="AJ855">
        <f ca="1"/>
      </c>
      <c r="AK855">
        <f ca="1"/>
      </c>
      <c r="AL855">
        <f ca="1"/>
      </c>
      <c r="AM855">
        <f ca="1"/>
      </c>
      <c r="AN855">
        <f ca="1"/>
      </c>
      <c r="AO855">
        <f ca="1"/>
      </c>
      <c r="AP855">
        <f ca="1"/>
      </c>
      <c r="AQ855">
        <f ca="1"/>
      </c>
      <c r="AR855">
        <f ca="1"/>
      </c>
      <c r="AT855" s="7">
        <f ca="1"/>
      </c>
      <c r="AU855">
        <f ca="1"/>
      </c>
      <c r="AV855">
        <f ca="1"/>
      </c>
      <c r="AW855">
        <f ca="1"/>
      </c>
      <c r="AX855">
        <f ca="1"/>
      </c>
      <c r="AY855">
        <f ca="1"/>
      </c>
      <c r="BA855" s="7"/>
    </row>
    <row r="856" spans="31:53" x14ac:dyDescent="0.55000000000000004">
      <c r="AE856" s="7">
        <f ca="1"/>
      </c>
      <c r="AF856">
        <f ca="1"/>
      </c>
      <c r="AG856">
        <f ca="1"/>
      </c>
      <c r="AH856">
        <f ca="1"/>
      </c>
      <c r="AI856">
        <f ca="1"/>
      </c>
      <c r="AJ856">
        <f ca="1"/>
      </c>
      <c r="AK856">
        <f ca="1"/>
      </c>
      <c r="AL856">
        <f ca="1"/>
      </c>
      <c r="AM856">
        <f ca="1"/>
      </c>
      <c r="AN856">
        <f ca="1"/>
      </c>
      <c r="AO856">
        <f ca="1"/>
      </c>
      <c r="AP856">
        <f ca="1"/>
      </c>
      <c r="AQ856">
        <f ca="1"/>
      </c>
      <c r="AR856">
        <f ca="1"/>
      </c>
      <c r="AT856" s="7">
        <f ca="1"/>
      </c>
      <c r="AU856">
        <f ca="1"/>
      </c>
      <c r="AV856">
        <f ca="1"/>
      </c>
      <c r="AW856">
        <f ca="1"/>
      </c>
      <c r="AX856">
        <f ca="1"/>
      </c>
      <c r="AY856">
        <f ca="1"/>
      </c>
      <c r="BA856" s="7"/>
    </row>
    <row r="857" spans="31:53" x14ac:dyDescent="0.55000000000000004">
      <c r="AE857" s="7">
        <f ca="1"/>
      </c>
      <c r="AF857">
        <f ca="1"/>
      </c>
      <c r="AG857">
        <f ca="1"/>
      </c>
      <c r="AH857">
        <f ca="1"/>
      </c>
      <c r="AI857">
        <f ca="1"/>
      </c>
      <c r="AJ857">
        <f ca="1"/>
      </c>
      <c r="AK857">
        <f ca="1"/>
      </c>
      <c r="AL857">
        <f ca="1"/>
      </c>
      <c r="AM857">
        <f ca="1"/>
      </c>
      <c r="AN857">
        <f ca="1"/>
      </c>
      <c r="AO857">
        <f ca="1"/>
      </c>
      <c r="AP857">
        <f ca="1"/>
      </c>
      <c r="AQ857">
        <f ca="1"/>
      </c>
      <c r="AR857">
        <f ca="1"/>
      </c>
      <c r="AT857" s="7">
        <f ca="1"/>
      </c>
      <c r="AU857">
        <f ca="1"/>
      </c>
      <c r="AV857">
        <f ca="1"/>
      </c>
      <c r="AW857">
        <f ca="1"/>
      </c>
      <c r="AX857">
        <f ca="1"/>
      </c>
      <c r="AY857">
        <f ca="1"/>
      </c>
      <c r="BA857" s="7"/>
    </row>
    <row r="858" spans="31:53" x14ac:dyDescent="0.55000000000000004">
      <c r="AE858" s="7">
        <f ca="1"/>
      </c>
      <c r="AF858">
        <f ca="1"/>
      </c>
      <c r="AG858">
        <f ca="1"/>
      </c>
      <c r="AH858">
        <f ca="1"/>
      </c>
      <c r="AI858">
        <f ca="1"/>
      </c>
      <c r="AJ858">
        <f ca="1"/>
      </c>
      <c r="AK858">
        <f ca="1"/>
      </c>
      <c r="AL858">
        <f ca="1"/>
      </c>
      <c r="AM858">
        <f ca="1"/>
      </c>
      <c r="AN858">
        <f ca="1"/>
      </c>
      <c r="AO858">
        <f ca="1"/>
      </c>
      <c r="AP858">
        <f ca="1"/>
      </c>
      <c r="AQ858">
        <f ca="1"/>
      </c>
      <c r="AR858">
        <f ca="1"/>
      </c>
      <c r="AT858" s="7">
        <f ca="1"/>
      </c>
      <c r="AU858">
        <f ca="1"/>
      </c>
      <c r="AV858">
        <f ca="1"/>
      </c>
      <c r="AW858">
        <f ca="1"/>
      </c>
      <c r="AX858">
        <f ca="1"/>
      </c>
      <c r="AY858">
        <f ca="1"/>
      </c>
      <c r="BA858" s="7"/>
    </row>
    <row r="859" spans="31:53" x14ac:dyDescent="0.55000000000000004">
      <c r="AE859" s="7">
        <f ca="1"/>
      </c>
      <c r="AF859">
        <f ca="1"/>
      </c>
      <c r="AG859">
        <f ca="1"/>
      </c>
      <c r="AH859">
        <f ca="1"/>
      </c>
      <c r="AI859">
        <f ca="1"/>
      </c>
      <c r="AJ859">
        <f ca="1"/>
      </c>
      <c r="AK859">
        <f ca="1"/>
      </c>
      <c r="AL859">
        <f ca="1"/>
      </c>
      <c r="AM859">
        <f ca="1"/>
      </c>
      <c r="AN859">
        <f ca="1"/>
      </c>
      <c r="AO859">
        <f ca="1"/>
      </c>
      <c r="AP859">
        <f ca="1"/>
      </c>
      <c r="AQ859">
        <f ca="1"/>
      </c>
      <c r="AR859">
        <f ca="1"/>
      </c>
      <c r="AT859" s="7">
        <f ca="1"/>
      </c>
      <c r="AU859">
        <f ca="1"/>
      </c>
      <c r="AV859">
        <f ca="1"/>
      </c>
      <c r="AW859">
        <f ca="1"/>
      </c>
      <c r="AX859">
        <f ca="1"/>
      </c>
      <c r="AY859">
        <f ca="1"/>
      </c>
      <c r="BA859" s="7"/>
    </row>
    <row r="860" spans="31:53" x14ac:dyDescent="0.55000000000000004">
      <c r="AE860" s="7">
        <f ca="1"/>
      </c>
      <c r="AF860">
        <f ca="1"/>
      </c>
      <c r="AG860">
        <f ca="1"/>
      </c>
      <c r="AH860">
        <f ca="1"/>
      </c>
      <c r="AI860">
        <f ca="1"/>
      </c>
      <c r="AJ860">
        <f ca="1"/>
      </c>
      <c r="AK860">
        <f ca="1"/>
      </c>
      <c r="AL860">
        <f ca="1"/>
      </c>
      <c r="AM860">
        <f ca="1"/>
      </c>
      <c r="AN860">
        <f ca="1"/>
      </c>
      <c r="AO860">
        <f ca="1"/>
      </c>
      <c r="AP860">
        <f ca="1"/>
      </c>
      <c r="AQ860">
        <f ca="1"/>
      </c>
      <c r="AR860">
        <f ca="1"/>
      </c>
      <c r="AT860" s="7">
        <f ca="1"/>
      </c>
      <c r="AU860">
        <f ca="1"/>
      </c>
      <c r="AV860">
        <f ca="1"/>
      </c>
      <c r="AW860">
        <f ca="1"/>
      </c>
      <c r="AX860">
        <f ca="1"/>
      </c>
      <c r="AY860">
        <f ca="1"/>
      </c>
      <c r="BA860" s="7"/>
    </row>
    <row r="861" spans="31:53" x14ac:dyDescent="0.55000000000000004">
      <c r="AE861" s="7">
        <f ca="1"/>
      </c>
      <c r="AF861">
        <f ca="1"/>
      </c>
      <c r="AG861">
        <f ca="1"/>
      </c>
      <c r="AH861">
        <f ca="1"/>
      </c>
      <c r="AI861">
        <f ca="1"/>
      </c>
      <c r="AJ861">
        <f ca="1"/>
      </c>
      <c r="AK861">
        <f ca="1"/>
      </c>
      <c r="AL861">
        <f ca="1"/>
      </c>
      <c r="AM861">
        <f ca="1"/>
      </c>
      <c r="AN861">
        <f ca="1"/>
      </c>
      <c r="AO861">
        <f ca="1"/>
      </c>
      <c r="AP861">
        <f ca="1"/>
      </c>
      <c r="AQ861">
        <f ca="1"/>
      </c>
      <c r="AR861">
        <f ca="1"/>
      </c>
      <c r="AT861" s="7">
        <f ca="1"/>
      </c>
      <c r="AU861">
        <f ca="1"/>
      </c>
      <c r="AV861">
        <f ca="1"/>
      </c>
      <c r="AW861">
        <f ca="1"/>
      </c>
      <c r="AX861">
        <f ca="1"/>
      </c>
      <c r="AY861">
        <f ca="1"/>
      </c>
      <c r="BA861" s="7"/>
    </row>
    <row r="862" spans="31:53" x14ac:dyDescent="0.55000000000000004">
      <c r="AE862" s="7">
        <f ca="1"/>
      </c>
      <c r="AF862">
        <f ca="1"/>
      </c>
      <c r="AG862">
        <f ca="1"/>
      </c>
      <c r="AH862">
        <f ca="1"/>
      </c>
      <c r="AI862">
        <f ca="1"/>
      </c>
      <c r="AJ862">
        <f ca="1"/>
      </c>
      <c r="AK862">
        <f ca="1"/>
      </c>
      <c r="AL862">
        <f ca="1"/>
      </c>
      <c r="AM862">
        <f ca="1"/>
      </c>
      <c r="AN862">
        <f ca="1"/>
      </c>
      <c r="AO862">
        <f ca="1"/>
      </c>
      <c r="AP862">
        <f ca="1"/>
      </c>
      <c r="AQ862">
        <f ca="1"/>
      </c>
      <c r="AR862">
        <f ca="1"/>
      </c>
      <c r="AT862" s="7">
        <f ca="1"/>
      </c>
      <c r="AU862">
        <f ca="1"/>
      </c>
      <c r="AV862">
        <f ca="1"/>
      </c>
      <c r="AW862">
        <f ca="1"/>
      </c>
      <c r="AX862">
        <f ca="1"/>
      </c>
      <c r="AY862">
        <f ca="1"/>
      </c>
      <c r="BA862" s="7"/>
    </row>
    <row r="863" spans="31:53" x14ac:dyDescent="0.55000000000000004">
      <c r="AE863" s="7">
        <f ca="1"/>
      </c>
      <c r="AF863">
        <f ca="1"/>
      </c>
      <c r="AG863">
        <f ca="1"/>
      </c>
      <c r="AH863">
        <f ca="1"/>
      </c>
      <c r="AI863">
        <f ca="1"/>
      </c>
      <c r="AJ863">
        <f ca="1"/>
      </c>
      <c r="AK863">
        <f ca="1"/>
      </c>
      <c r="AL863">
        <f ca="1"/>
      </c>
      <c r="AM863">
        <f ca="1"/>
      </c>
      <c r="AN863">
        <f ca="1"/>
      </c>
      <c r="AO863">
        <f ca="1"/>
      </c>
      <c r="AP863">
        <f ca="1"/>
      </c>
      <c r="AQ863">
        <f ca="1"/>
      </c>
      <c r="AR863">
        <f ca="1"/>
      </c>
      <c r="AT863" s="7">
        <f ca="1"/>
      </c>
      <c r="AU863">
        <f ca="1"/>
      </c>
      <c r="AV863">
        <f ca="1"/>
      </c>
      <c r="AW863">
        <f ca="1"/>
      </c>
      <c r="AX863">
        <f ca="1"/>
      </c>
      <c r="AY863">
        <f ca="1"/>
      </c>
      <c r="BA863" s="7"/>
    </row>
    <row r="864" spans="31:53" x14ac:dyDescent="0.55000000000000004">
      <c r="AE864" s="7">
        <f ca="1"/>
      </c>
      <c r="AF864">
        <f ca="1"/>
      </c>
      <c r="AG864">
        <f ca="1"/>
      </c>
      <c r="AH864">
        <f ca="1"/>
      </c>
      <c r="AI864">
        <f ca="1"/>
      </c>
      <c r="AJ864">
        <f ca="1"/>
      </c>
      <c r="AK864">
        <f ca="1"/>
      </c>
      <c r="AL864">
        <f ca="1"/>
      </c>
      <c r="AM864">
        <f ca="1"/>
      </c>
      <c r="AN864">
        <f ca="1"/>
      </c>
      <c r="AO864">
        <f ca="1"/>
      </c>
      <c r="AP864">
        <f ca="1"/>
      </c>
      <c r="AQ864">
        <f ca="1"/>
      </c>
      <c r="AR864">
        <f ca="1"/>
      </c>
      <c r="AT864" s="7">
        <f ca="1"/>
      </c>
      <c r="AU864">
        <f ca="1"/>
      </c>
      <c r="AV864">
        <f ca="1"/>
      </c>
      <c r="AW864">
        <f ca="1"/>
      </c>
      <c r="AX864">
        <f ca="1"/>
      </c>
      <c r="AY864">
        <f ca="1"/>
      </c>
      <c r="BA864" s="7"/>
    </row>
    <row r="865" spans="31:53" x14ac:dyDescent="0.55000000000000004">
      <c r="AE865" s="7">
        <f ca="1"/>
      </c>
      <c r="AF865">
        <f ca="1"/>
      </c>
      <c r="AG865">
        <f ca="1"/>
      </c>
      <c r="AH865">
        <f ca="1"/>
      </c>
      <c r="AI865">
        <f ca="1"/>
      </c>
      <c r="AJ865">
        <f ca="1"/>
      </c>
      <c r="AK865">
        <f ca="1"/>
      </c>
      <c r="AL865">
        <f ca="1"/>
      </c>
      <c r="AM865">
        <f ca="1"/>
      </c>
      <c r="AN865">
        <f ca="1"/>
      </c>
      <c r="AO865">
        <f ca="1"/>
      </c>
      <c r="AP865">
        <f ca="1"/>
      </c>
      <c r="AQ865">
        <f ca="1"/>
      </c>
      <c r="AR865">
        <f ca="1"/>
      </c>
      <c r="AT865" s="7">
        <f ca="1"/>
      </c>
      <c r="AU865">
        <f ca="1"/>
      </c>
      <c r="AV865">
        <f ca="1"/>
      </c>
      <c r="AW865">
        <f ca="1"/>
      </c>
      <c r="AX865">
        <f ca="1"/>
      </c>
      <c r="AY865">
        <f ca="1"/>
      </c>
      <c r="BA865" s="7"/>
    </row>
    <row r="866" spans="31:53" x14ac:dyDescent="0.55000000000000004">
      <c r="AE866" s="7">
        <f ca="1"/>
      </c>
      <c r="AF866">
        <f ca="1"/>
      </c>
      <c r="AG866">
        <f ca="1"/>
      </c>
      <c r="AH866">
        <f ca="1"/>
      </c>
      <c r="AI866">
        <f ca="1"/>
      </c>
      <c r="AJ866">
        <f ca="1"/>
      </c>
      <c r="AK866">
        <f ca="1"/>
      </c>
      <c r="AL866">
        <f ca="1"/>
      </c>
      <c r="AM866">
        <f ca="1"/>
      </c>
      <c r="AN866">
        <f ca="1"/>
      </c>
      <c r="AO866">
        <f ca="1"/>
      </c>
      <c r="AP866">
        <f ca="1"/>
      </c>
      <c r="AQ866">
        <f ca="1"/>
      </c>
      <c r="AR866">
        <f ca="1"/>
      </c>
      <c r="AT866" s="7">
        <f ca="1"/>
      </c>
      <c r="AU866">
        <f ca="1"/>
      </c>
      <c r="AV866">
        <f ca="1"/>
      </c>
      <c r="AW866">
        <f ca="1"/>
      </c>
      <c r="AX866">
        <f ca="1"/>
      </c>
      <c r="AY866">
        <f ca="1"/>
      </c>
      <c r="BA866" s="7"/>
    </row>
    <row r="867" spans="31:53" x14ac:dyDescent="0.55000000000000004">
      <c r="AE867" s="7">
        <f ca="1"/>
      </c>
      <c r="AF867">
        <f ca="1"/>
      </c>
      <c r="AG867">
        <f ca="1"/>
      </c>
      <c r="AH867">
        <f ca="1"/>
      </c>
      <c r="AI867">
        <f ca="1"/>
      </c>
      <c r="AJ867">
        <f ca="1"/>
      </c>
      <c r="AK867">
        <f ca="1"/>
      </c>
      <c r="AL867">
        <f ca="1"/>
      </c>
      <c r="AM867">
        <f ca="1"/>
      </c>
      <c r="AN867">
        <f ca="1"/>
      </c>
      <c r="AO867">
        <f ca="1"/>
      </c>
      <c r="AP867">
        <f ca="1"/>
      </c>
      <c r="AQ867">
        <f ca="1"/>
      </c>
      <c r="AR867">
        <f ca="1"/>
      </c>
      <c r="AT867" s="7">
        <f ca="1"/>
      </c>
      <c r="AU867">
        <f ca="1"/>
      </c>
      <c r="AV867">
        <f ca="1"/>
      </c>
      <c r="AW867">
        <f ca="1"/>
      </c>
      <c r="AX867">
        <f ca="1"/>
      </c>
      <c r="AY867">
        <f ca="1"/>
      </c>
      <c r="BA867" s="7"/>
    </row>
    <row r="868" spans="31:53" x14ac:dyDescent="0.55000000000000004">
      <c r="AE868" s="7">
        <f ca="1"/>
      </c>
      <c r="AF868">
        <f ca="1"/>
      </c>
      <c r="AG868">
        <f ca="1"/>
      </c>
      <c r="AH868">
        <f ca="1"/>
      </c>
      <c r="AI868">
        <f ca="1"/>
      </c>
      <c r="AJ868">
        <f ca="1"/>
      </c>
      <c r="AK868">
        <f ca="1"/>
      </c>
      <c r="AL868">
        <f ca="1"/>
      </c>
      <c r="AM868">
        <f ca="1"/>
      </c>
      <c r="AN868">
        <f ca="1"/>
      </c>
      <c r="AO868">
        <f ca="1"/>
      </c>
      <c r="AP868">
        <f ca="1"/>
      </c>
      <c r="AQ868">
        <f ca="1"/>
      </c>
      <c r="AR868">
        <f ca="1"/>
      </c>
      <c r="AT868" s="7">
        <f ca="1"/>
      </c>
      <c r="AU868">
        <f ca="1"/>
      </c>
      <c r="AV868">
        <f ca="1"/>
      </c>
      <c r="AW868">
        <f ca="1"/>
      </c>
      <c r="AX868">
        <f ca="1"/>
      </c>
      <c r="AY868">
        <f ca="1"/>
      </c>
      <c r="BA868" s="7"/>
    </row>
    <row r="869" spans="31:53" x14ac:dyDescent="0.55000000000000004">
      <c r="AE869" s="7">
        <f ca="1"/>
      </c>
      <c r="AF869">
        <f ca="1"/>
      </c>
      <c r="AG869">
        <f ca="1"/>
      </c>
      <c r="AH869">
        <f ca="1"/>
      </c>
      <c r="AI869">
        <f ca="1"/>
      </c>
      <c r="AJ869">
        <f ca="1"/>
      </c>
      <c r="AK869">
        <f ca="1"/>
      </c>
      <c r="AL869">
        <f ca="1"/>
      </c>
      <c r="AM869">
        <f ca="1"/>
      </c>
      <c r="AN869">
        <f ca="1"/>
      </c>
      <c r="AO869">
        <f ca="1"/>
      </c>
      <c r="AP869">
        <f ca="1"/>
      </c>
      <c r="AQ869">
        <f ca="1"/>
      </c>
      <c r="AR869">
        <f ca="1"/>
      </c>
      <c r="AT869" s="7">
        <f ca="1"/>
      </c>
      <c r="AU869">
        <f ca="1"/>
      </c>
      <c r="AV869">
        <f ca="1"/>
      </c>
      <c r="AW869">
        <f ca="1"/>
      </c>
      <c r="AX869">
        <f ca="1"/>
      </c>
      <c r="AY869">
        <f ca="1"/>
      </c>
      <c r="BA869" s="7"/>
    </row>
    <row r="870" spans="31:53" x14ac:dyDescent="0.55000000000000004">
      <c r="AE870" s="7">
        <f ca="1"/>
      </c>
      <c r="AF870">
        <f ca="1"/>
      </c>
      <c r="AG870">
        <f ca="1"/>
      </c>
      <c r="AH870">
        <f ca="1"/>
      </c>
      <c r="AI870">
        <f ca="1"/>
      </c>
      <c r="AJ870">
        <f ca="1"/>
      </c>
      <c r="AK870">
        <f ca="1"/>
      </c>
      <c r="AL870">
        <f ca="1"/>
      </c>
      <c r="AM870">
        <f ca="1"/>
      </c>
      <c r="AN870">
        <f ca="1"/>
      </c>
      <c r="AO870">
        <f ca="1"/>
      </c>
      <c r="AP870">
        <f ca="1"/>
      </c>
      <c r="AQ870">
        <f ca="1"/>
      </c>
      <c r="AR870">
        <f ca="1"/>
      </c>
      <c r="AT870" s="7">
        <f ca="1"/>
      </c>
      <c r="AU870">
        <f ca="1"/>
      </c>
      <c r="AV870">
        <f ca="1"/>
      </c>
      <c r="AW870">
        <f ca="1"/>
      </c>
      <c r="AX870">
        <f ca="1"/>
      </c>
      <c r="AY870">
        <f ca="1"/>
      </c>
      <c r="BA870" s="7"/>
    </row>
    <row r="871" spans="31:53" x14ac:dyDescent="0.55000000000000004">
      <c r="AE871" s="7">
        <f ca="1"/>
      </c>
      <c r="AF871">
        <f ca="1"/>
      </c>
      <c r="AG871">
        <f ca="1"/>
      </c>
      <c r="AH871">
        <f ca="1"/>
      </c>
      <c r="AI871">
        <f ca="1"/>
      </c>
      <c r="AJ871">
        <f ca="1"/>
      </c>
      <c r="AK871">
        <f ca="1"/>
      </c>
      <c r="AL871">
        <f ca="1"/>
      </c>
      <c r="AM871">
        <f ca="1"/>
      </c>
      <c r="AN871">
        <f ca="1"/>
      </c>
      <c r="AO871">
        <f ca="1"/>
      </c>
      <c r="AP871">
        <f ca="1"/>
      </c>
      <c r="AQ871">
        <f ca="1"/>
      </c>
      <c r="AR871">
        <f ca="1"/>
      </c>
      <c r="AT871" s="7">
        <f ca="1"/>
      </c>
      <c r="AU871">
        <f ca="1"/>
      </c>
      <c r="AV871">
        <f ca="1"/>
      </c>
      <c r="AW871">
        <f ca="1"/>
      </c>
      <c r="AX871">
        <f ca="1"/>
      </c>
      <c r="AY871">
        <f ca="1"/>
      </c>
      <c r="BA871" s="7"/>
    </row>
    <row r="872" spans="31:53" x14ac:dyDescent="0.55000000000000004">
      <c r="AE872" s="7">
        <f ca="1"/>
      </c>
      <c r="AF872">
        <f ca="1"/>
      </c>
      <c r="AG872">
        <f ca="1"/>
      </c>
      <c r="AH872">
        <f ca="1"/>
      </c>
      <c r="AI872">
        <f ca="1"/>
      </c>
      <c r="AJ872">
        <f ca="1"/>
      </c>
      <c r="AK872">
        <f ca="1"/>
      </c>
      <c r="AL872">
        <f ca="1"/>
      </c>
      <c r="AM872">
        <f ca="1"/>
      </c>
      <c r="AN872">
        <f ca="1"/>
      </c>
      <c r="AO872">
        <f ca="1"/>
      </c>
      <c r="AP872">
        <f ca="1"/>
      </c>
      <c r="AQ872">
        <f ca="1"/>
      </c>
      <c r="AR872">
        <f ca="1"/>
      </c>
      <c r="AT872" s="7">
        <f ca="1"/>
      </c>
      <c r="AU872">
        <f ca="1"/>
      </c>
      <c r="AV872">
        <f ca="1"/>
      </c>
      <c r="AW872">
        <f ca="1"/>
      </c>
      <c r="AX872">
        <f ca="1"/>
      </c>
      <c r="AY872">
        <f ca="1"/>
      </c>
      <c r="BA872" s="7"/>
    </row>
    <row r="873" spans="31:53" x14ac:dyDescent="0.55000000000000004">
      <c r="AE873" s="7">
        <f ca="1"/>
      </c>
      <c r="AF873">
        <f ca="1"/>
      </c>
      <c r="AG873">
        <f ca="1"/>
      </c>
      <c r="AH873">
        <f ca="1"/>
      </c>
      <c r="AI873">
        <f ca="1"/>
      </c>
      <c r="AJ873">
        <f ca="1"/>
      </c>
      <c r="AK873">
        <f ca="1"/>
      </c>
      <c r="AL873">
        <f ca="1"/>
      </c>
      <c r="AM873">
        <f ca="1"/>
      </c>
      <c r="AN873">
        <f ca="1"/>
      </c>
      <c r="AO873">
        <f ca="1"/>
      </c>
      <c r="AP873">
        <f ca="1"/>
      </c>
      <c r="AQ873">
        <f ca="1"/>
      </c>
      <c r="AR873">
        <f ca="1"/>
      </c>
      <c r="AT873" s="7">
        <f ca="1"/>
      </c>
      <c r="AU873">
        <f ca="1"/>
      </c>
      <c r="AV873">
        <f ca="1"/>
      </c>
      <c r="AW873">
        <f ca="1"/>
      </c>
      <c r="AX873">
        <f ca="1"/>
      </c>
      <c r="AY873">
        <f ca="1"/>
      </c>
      <c r="BA873" s="7"/>
    </row>
    <row r="874" spans="31:53" x14ac:dyDescent="0.55000000000000004">
      <c r="AE874" s="7">
        <f ca="1"/>
      </c>
      <c r="AF874">
        <f ca="1"/>
      </c>
      <c r="AG874">
        <f ca="1"/>
      </c>
      <c r="AH874">
        <f ca="1"/>
      </c>
      <c r="AI874">
        <f ca="1"/>
      </c>
      <c r="AJ874">
        <f ca="1"/>
      </c>
      <c r="AK874">
        <f ca="1"/>
      </c>
      <c r="AL874">
        <f ca="1"/>
      </c>
      <c r="AM874">
        <f ca="1"/>
      </c>
      <c r="AN874">
        <f ca="1"/>
      </c>
      <c r="AO874">
        <f ca="1"/>
      </c>
      <c r="AP874">
        <f ca="1"/>
      </c>
      <c r="AQ874">
        <f ca="1"/>
      </c>
      <c r="AR874">
        <f ca="1"/>
      </c>
      <c r="AT874" s="7">
        <f ca="1"/>
      </c>
      <c r="AU874">
        <f ca="1"/>
      </c>
      <c r="AV874">
        <f ca="1"/>
      </c>
      <c r="AW874">
        <f ca="1"/>
      </c>
      <c r="AX874">
        <f ca="1"/>
      </c>
      <c r="AY874">
        <f ca="1"/>
      </c>
      <c r="BA874" s="7"/>
    </row>
    <row r="875" spans="31:53" x14ac:dyDescent="0.55000000000000004">
      <c r="AE875" s="7">
        <f ca="1"/>
      </c>
      <c r="AF875">
        <f ca="1"/>
      </c>
      <c r="AG875">
        <f ca="1"/>
      </c>
      <c r="AH875">
        <f ca="1"/>
      </c>
      <c r="AI875">
        <f ca="1"/>
      </c>
      <c r="AJ875">
        <f ca="1"/>
      </c>
      <c r="AK875">
        <f ca="1"/>
      </c>
      <c r="AL875">
        <f ca="1"/>
      </c>
      <c r="AM875">
        <f ca="1"/>
      </c>
      <c r="AN875">
        <f ca="1"/>
      </c>
      <c r="AO875">
        <f ca="1"/>
      </c>
      <c r="AP875">
        <f ca="1"/>
      </c>
      <c r="AQ875">
        <f ca="1"/>
      </c>
      <c r="AR875">
        <f ca="1"/>
      </c>
      <c r="AT875" s="7">
        <f ca="1"/>
      </c>
      <c r="AU875">
        <f ca="1"/>
      </c>
      <c r="AV875">
        <f ca="1"/>
      </c>
      <c r="AW875">
        <f ca="1"/>
      </c>
      <c r="AX875">
        <f ca="1"/>
      </c>
      <c r="AY875">
        <f ca="1"/>
      </c>
      <c r="BA875" s="7"/>
    </row>
    <row r="876" spans="31:53" x14ac:dyDescent="0.55000000000000004">
      <c r="AE876" s="7">
        <f ca="1"/>
      </c>
      <c r="AF876">
        <f ca="1"/>
      </c>
      <c r="AG876">
        <f ca="1"/>
      </c>
      <c r="AH876">
        <f ca="1"/>
      </c>
      <c r="AI876">
        <f ca="1"/>
      </c>
      <c r="AJ876">
        <f ca="1"/>
      </c>
      <c r="AK876">
        <f ca="1"/>
      </c>
      <c r="AL876">
        <f ca="1"/>
      </c>
      <c r="AM876">
        <f ca="1"/>
      </c>
      <c r="AN876">
        <f ca="1"/>
      </c>
      <c r="AO876">
        <f ca="1"/>
      </c>
      <c r="AP876">
        <f ca="1"/>
      </c>
      <c r="AQ876">
        <f ca="1"/>
      </c>
      <c r="AR876">
        <f ca="1"/>
      </c>
      <c r="AT876" s="7">
        <f ca="1"/>
      </c>
      <c r="AU876">
        <f ca="1"/>
      </c>
      <c r="AV876">
        <f ca="1"/>
      </c>
      <c r="AW876">
        <f ca="1"/>
      </c>
      <c r="AX876">
        <f ca="1"/>
      </c>
      <c r="AY876">
        <f ca="1"/>
      </c>
      <c r="BA876" s="7"/>
    </row>
    <row r="877" spans="31:53" x14ac:dyDescent="0.55000000000000004">
      <c r="AE877" s="7">
        <f ca="1"/>
      </c>
      <c r="AF877">
        <f ca="1"/>
      </c>
      <c r="AG877">
        <f ca="1"/>
      </c>
      <c r="AH877">
        <f ca="1"/>
      </c>
      <c r="AI877">
        <f ca="1"/>
      </c>
      <c r="AJ877">
        <f ca="1"/>
      </c>
      <c r="AK877">
        <f ca="1"/>
      </c>
      <c r="AL877">
        <f ca="1"/>
      </c>
      <c r="AM877">
        <f ca="1"/>
      </c>
      <c r="AN877">
        <f ca="1"/>
      </c>
      <c r="AO877">
        <f ca="1"/>
      </c>
      <c r="AP877">
        <f ca="1"/>
      </c>
      <c r="AQ877">
        <f ca="1"/>
      </c>
      <c r="AR877">
        <f ca="1"/>
      </c>
      <c r="AT877" s="7">
        <f ca="1"/>
      </c>
      <c r="AU877">
        <f ca="1"/>
      </c>
      <c r="AV877">
        <f ca="1"/>
      </c>
      <c r="AW877">
        <f ca="1"/>
      </c>
      <c r="AX877">
        <f ca="1"/>
      </c>
      <c r="AY877">
        <f ca="1"/>
      </c>
      <c r="BA877" s="7"/>
    </row>
    <row r="878" spans="31:53" x14ac:dyDescent="0.55000000000000004">
      <c r="AE878" s="7">
        <f ca="1"/>
      </c>
      <c r="AF878">
        <f ca="1"/>
      </c>
      <c r="AG878">
        <f ca="1"/>
      </c>
      <c r="AH878">
        <f ca="1"/>
      </c>
      <c r="AI878">
        <f ca="1"/>
      </c>
      <c r="AJ878">
        <f ca="1"/>
      </c>
      <c r="AK878">
        <f ca="1"/>
      </c>
      <c r="AL878">
        <f ca="1"/>
      </c>
      <c r="AM878">
        <f ca="1"/>
      </c>
      <c r="AN878">
        <f ca="1"/>
      </c>
      <c r="AO878">
        <f ca="1"/>
      </c>
      <c r="AP878">
        <f ca="1"/>
      </c>
      <c r="AQ878">
        <f ca="1"/>
      </c>
      <c r="AR878">
        <f ca="1"/>
      </c>
      <c r="AT878" s="7">
        <f ca="1"/>
      </c>
      <c r="AU878">
        <f ca="1"/>
      </c>
      <c r="AV878">
        <f ca="1"/>
      </c>
      <c r="AW878">
        <f ca="1"/>
      </c>
      <c r="AX878">
        <f ca="1"/>
      </c>
      <c r="AY878">
        <f ca="1"/>
      </c>
      <c r="BA878" s="7"/>
    </row>
    <row r="879" spans="31:53" x14ac:dyDescent="0.55000000000000004">
      <c r="AE879" s="7">
        <f ca="1"/>
      </c>
      <c r="AF879">
        <f ca="1"/>
      </c>
      <c r="AG879">
        <f ca="1"/>
      </c>
      <c r="AH879">
        <f ca="1"/>
      </c>
      <c r="AI879">
        <f ca="1"/>
      </c>
      <c r="AJ879">
        <f ca="1"/>
      </c>
      <c r="AK879">
        <f ca="1"/>
      </c>
      <c r="AL879">
        <f ca="1"/>
      </c>
      <c r="AM879">
        <f ca="1"/>
      </c>
      <c r="AN879">
        <f ca="1"/>
      </c>
      <c r="AO879">
        <f ca="1"/>
      </c>
      <c r="AP879">
        <f ca="1"/>
      </c>
      <c r="AQ879">
        <f ca="1"/>
      </c>
      <c r="AR879">
        <f ca="1"/>
      </c>
      <c r="AT879" s="7">
        <f ca="1"/>
      </c>
      <c r="AU879">
        <f ca="1"/>
      </c>
      <c r="AV879">
        <f ca="1"/>
      </c>
      <c r="AW879">
        <f ca="1"/>
      </c>
      <c r="AX879">
        <f ca="1"/>
      </c>
      <c r="AY879">
        <f ca="1"/>
      </c>
      <c r="BA879" s="7"/>
    </row>
    <row r="880" spans="31:53" x14ac:dyDescent="0.55000000000000004">
      <c r="AE880" s="7">
        <f ca="1"/>
      </c>
      <c r="AF880">
        <f ca="1"/>
      </c>
      <c r="AG880">
        <f ca="1"/>
      </c>
      <c r="AH880">
        <f ca="1"/>
      </c>
      <c r="AI880">
        <f ca="1"/>
      </c>
      <c r="AJ880">
        <f ca="1"/>
      </c>
      <c r="AK880">
        <f ca="1"/>
      </c>
      <c r="AL880">
        <f ca="1"/>
      </c>
      <c r="AM880">
        <f ca="1"/>
      </c>
      <c r="AN880">
        <f ca="1"/>
      </c>
      <c r="AO880">
        <f ca="1"/>
      </c>
      <c r="AP880">
        <f ca="1"/>
      </c>
      <c r="AQ880">
        <f ca="1"/>
      </c>
      <c r="AR880">
        <f ca="1"/>
      </c>
      <c r="AT880" s="7">
        <f ca="1"/>
      </c>
      <c r="AU880">
        <f ca="1"/>
      </c>
      <c r="AV880">
        <f ca="1"/>
      </c>
      <c r="AW880">
        <f ca="1"/>
      </c>
      <c r="AX880">
        <f ca="1"/>
      </c>
      <c r="AY880">
        <f ca="1"/>
      </c>
      <c r="BA880" s="7"/>
    </row>
    <row r="881" spans="31:53" x14ac:dyDescent="0.55000000000000004">
      <c r="AE881" s="7">
        <f ca="1"/>
      </c>
      <c r="AF881">
        <f ca="1"/>
      </c>
      <c r="AG881">
        <f ca="1"/>
      </c>
      <c r="AH881">
        <f ca="1"/>
      </c>
      <c r="AI881">
        <f ca="1"/>
      </c>
      <c r="AJ881">
        <f ca="1"/>
      </c>
      <c r="AK881">
        <f ca="1"/>
      </c>
      <c r="AL881">
        <f ca="1"/>
      </c>
      <c r="AM881">
        <f ca="1"/>
      </c>
      <c r="AN881">
        <f ca="1"/>
      </c>
      <c r="AO881">
        <f ca="1"/>
      </c>
      <c r="AP881">
        <f ca="1"/>
      </c>
      <c r="AQ881">
        <f ca="1"/>
      </c>
      <c r="AR881">
        <f ca="1"/>
      </c>
      <c r="AT881" s="7">
        <f ca="1"/>
      </c>
      <c r="AU881">
        <f ca="1"/>
      </c>
      <c r="AV881">
        <f ca="1"/>
      </c>
      <c r="AW881">
        <f ca="1"/>
      </c>
      <c r="AX881">
        <f ca="1"/>
      </c>
      <c r="AY881">
        <f ca="1"/>
      </c>
      <c r="BA881" s="7"/>
    </row>
    <row r="882" spans="31:53" x14ac:dyDescent="0.55000000000000004">
      <c r="AE882" s="7">
        <f ca="1"/>
      </c>
      <c r="AF882">
        <f ca="1"/>
      </c>
      <c r="AG882">
        <f ca="1"/>
      </c>
      <c r="AH882">
        <f ca="1"/>
      </c>
      <c r="AI882">
        <f ca="1"/>
      </c>
      <c r="AJ882">
        <f ca="1"/>
      </c>
      <c r="AK882">
        <f ca="1"/>
      </c>
      <c r="AL882">
        <f ca="1"/>
      </c>
      <c r="AM882">
        <f ca="1"/>
      </c>
      <c r="AN882">
        <f ca="1"/>
      </c>
      <c r="AO882">
        <f ca="1"/>
      </c>
      <c r="AP882">
        <f ca="1"/>
      </c>
      <c r="AQ882">
        <f ca="1"/>
      </c>
      <c r="AR882">
        <f ca="1"/>
      </c>
      <c r="AT882" s="7">
        <f ca="1"/>
      </c>
      <c r="AU882">
        <f ca="1"/>
      </c>
      <c r="AV882">
        <f ca="1"/>
      </c>
      <c r="AW882">
        <f ca="1"/>
      </c>
      <c r="AX882">
        <f ca="1"/>
      </c>
      <c r="AY882">
        <f ca="1"/>
      </c>
      <c r="BA882" s="7"/>
    </row>
    <row r="883" spans="31:53" x14ac:dyDescent="0.55000000000000004">
      <c r="AE883" s="7">
        <f ca="1"/>
      </c>
      <c r="AF883">
        <f ca="1"/>
      </c>
      <c r="AG883">
        <f ca="1"/>
      </c>
      <c r="AH883">
        <f ca="1"/>
      </c>
      <c r="AI883">
        <f ca="1"/>
      </c>
      <c r="AJ883">
        <f ca="1"/>
      </c>
      <c r="AK883">
        <f ca="1"/>
      </c>
      <c r="AL883">
        <f ca="1"/>
      </c>
      <c r="AM883">
        <f ca="1"/>
      </c>
      <c r="AN883">
        <f ca="1"/>
      </c>
      <c r="AO883">
        <f ca="1"/>
      </c>
      <c r="AP883">
        <f ca="1"/>
      </c>
      <c r="AQ883">
        <f ca="1"/>
      </c>
      <c r="AR883">
        <f ca="1"/>
      </c>
      <c r="AT883" s="7">
        <f ca="1"/>
      </c>
      <c r="AU883">
        <f ca="1"/>
      </c>
      <c r="AV883">
        <f ca="1"/>
      </c>
      <c r="AW883">
        <f ca="1"/>
      </c>
      <c r="AX883">
        <f ca="1"/>
      </c>
      <c r="AY883">
        <f ca="1"/>
      </c>
      <c r="BA883" s="7"/>
    </row>
    <row r="884" spans="31:53" x14ac:dyDescent="0.55000000000000004">
      <c r="AE884" s="7">
        <f ca="1"/>
      </c>
      <c r="AF884">
        <f ca="1"/>
      </c>
      <c r="AG884">
        <f ca="1"/>
      </c>
      <c r="AH884">
        <f ca="1"/>
      </c>
      <c r="AI884">
        <f ca="1"/>
      </c>
      <c r="AJ884">
        <f ca="1"/>
      </c>
      <c r="AK884">
        <f ca="1"/>
      </c>
      <c r="AL884">
        <f ca="1"/>
      </c>
      <c r="AM884">
        <f ca="1"/>
      </c>
      <c r="AN884">
        <f ca="1"/>
      </c>
      <c r="AO884">
        <f ca="1"/>
      </c>
      <c r="AP884">
        <f ca="1"/>
      </c>
      <c r="AQ884">
        <f ca="1"/>
      </c>
      <c r="AR884">
        <f ca="1"/>
      </c>
      <c r="AT884" s="7">
        <f ca="1"/>
      </c>
      <c r="AU884">
        <f ca="1"/>
      </c>
      <c r="AV884">
        <f ca="1"/>
      </c>
      <c r="AW884">
        <f ca="1"/>
      </c>
      <c r="AX884">
        <f ca="1"/>
      </c>
      <c r="AY884">
        <f ca="1"/>
      </c>
      <c r="BA884" s="7"/>
    </row>
    <row r="885" spans="31:53" x14ac:dyDescent="0.55000000000000004">
      <c r="AE885" s="7">
        <f ca="1"/>
      </c>
      <c r="AF885">
        <f ca="1"/>
      </c>
      <c r="AG885">
        <f ca="1"/>
      </c>
      <c r="AH885">
        <f ca="1"/>
      </c>
      <c r="AI885">
        <f ca="1"/>
      </c>
      <c r="AJ885">
        <f ca="1"/>
      </c>
      <c r="AK885">
        <f ca="1"/>
      </c>
      <c r="AL885">
        <f ca="1"/>
      </c>
      <c r="AM885">
        <f ca="1"/>
      </c>
      <c r="AN885">
        <f ca="1"/>
      </c>
      <c r="AO885">
        <f ca="1"/>
      </c>
      <c r="AP885">
        <f ca="1"/>
      </c>
      <c r="AQ885">
        <f ca="1"/>
      </c>
      <c r="AR885">
        <f ca="1"/>
      </c>
      <c r="AT885" s="7">
        <f ca="1"/>
      </c>
      <c r="AU885">
        <f ca="1"/>
      </c>
      <c r="AV885">
        <f ca="1"/>
      </c>
      <c r="AW885">
        <f ca="1"/>
      </c>
      <c r="AX885">
        <f ca="1"/>
      </c>
      <c r="AY885">
        <f ca="1"/>
      </c>
      <c r="BA885" s="7"/>
    </row>
    <row r="886" spans="31:53" x14ac:dyDescent="0.55000000000000004">
      <c r="AE886" s="7">
        <f ca="1"/>
      </c>
      <c r="AF886">
        <f ca="1"/>
      </c>
      <c r="AG886">
        <f ca="1"/>
      </c>
      <c r="AH886">
        <f ca="1"/>
      </c>
      <c r="AI886">
        <f ca="1"/>
      </c>
      <c r="AJ886">
        <f ca="1"/>
      </c>
      <c r="AK886">
        <f ca="1"/>
      </c>
      <c r="AL886">
        <f ca="1"/>
      </c>
      <c r="AM886">
        <f ca="1"/>
      </c>
      <c r="AN886">
        <f ca="1"/>
      </c>
      <c r="AO886">
        <f ca="1"/>
      </c>
      <c r="AP886">
        <f ca="1"/>
      </c>
      <c r="AQ886">
        <f ca="1"/>
      </c>
      <c r="AR886">
        <f ca="1"/>
      </c>
      <c r="AT886" s="7">
        <f ca="1"/>
      </c>
      <c r="AU886">
        <f ca="1"/>
      </c>
      <c r="AV886">
        <f ca="1"/>
      </c>
      <c r="AW886">
        <f ca="1"/>
      </c>
      <c r="AX886">
        <f ca="1"/>
      </c>
      <c r="AY886">
        <f ca="1"/>
      </c>
      <c r="BA886" s="7"/>
    </row>
    <row r="887" spans="31:53" x14ac:dyDescent="0.55000000000000004">
      <c r="AE887" s="7">
        <f ca="1"/>
      </c>
      <c r="AF887">
        <f ca="1"/>
      </c>
      <c r="AG887">
        <f ca="1"/>
      </c>
      <c r="AH887">
        <f ca="1"/>
      </c>
      <c r="AI887">
        <f ca="1"/>
      </c>
      <c r="AJ887">
        <f ca="1"/>
      </c>
      <c r="AK887">
        <f ca="1"/>
      </c>
      <c r="AL887">
        <f ca="1"/>
      </c>
      <c r="AM887">
        <f ca="1"/>
      </c>
      <c r="AN887">
        <f ca="1"/>
      </c>
      <c r="AO887">
        <f ca="1"/>
      </c>
      <c r="AP887">
        <f ca="1"/>
      </c>
      <c r="AQ887">
        <f ca="1"/>
      </c>
      <c r="AR887">
        <f ca="1"/>
      </c>
      <c r="AT887" s="7">
        <f ca="1"/>
      </c>
      <c r="AU887">
        <f ca="1"/>
      </c>
      <c r="AV887">
        <f ca="1"/>
      </c>
      <c r="AW887">
        <f ca="1"/>
      </c>
      <c r="AX887">
        <f ca="1"/>
      </c>
      <c r="AY887">
        <f ca="1"/>
      </c>
      <c r="BA887" s="7"/>
    </row>
    <row r="888" spans="31:53" x14ac:dyDescent="0.55000000000000004">
      <c r="AE888" s="7">
        <f ca="1"/>
      </c>
      <c r="AF888">
        <f ca="1"/>
      </c>
      <c r="AG888">
        <f ca="1"/>
      </c>
      <c r="AH888">
        <f ca="1"/>
      </c>
      <c r="AI888">
        <f ca="1"/>
      </c>
      <c r="AJ888">
        <f ca="1"/>
      </c>
      <c r="AK888">
        <f ca="1"/>
      </c>
      <c r="AL888">
        <f ca="1"/>
      </c>
      <c r="AM888">
        <f ca="1"/>
      </c>
      <c r="AN888">
        <f ca="1"/>
      </c>
      <c r="AO888">
        <f ca="1"/>
      </c>
      <c r="AP888">
        <f ca="1"/>
      </c>
      <c r="AQ888">
        <f ca="1"/>
      </c>
      <c r="AR888">
        <f ca="1"/>
      </c>
      <c r="AT888" s="7">
        <f ca="1"/>
      </c>
      <c r="AU888">
        <f ca="1"/>
      </c>
      <c r="AV888">
        <f ca="1"/>
      </c>
      <c r="AW888">
        <f ca="1"/>
      </c>
      <c r="AX888">
        <f ca="1"/>
      </c>
      <c r="AY888">
        <f ca="1"/>
      </c>
      <c r="BA888" s="7"/>
    </row>
    <row r="889" spans="31:53" x14ac:dyDescent="0.55000000000000004">
      <c r="AE889" s="7">
        <f ca="1"/>
      </c>
      <c r="AF889">
        <f ca="1"/>
      </c>
      <c r="AG889">
        <f ca="1"/>
      </c>
      <c r="AH889">
        <f ca="1"/>
      </c>
      <c r="AI889">
        <f ca="1"/>
      </c>
      <c r="AJ889">
        <f ca="1"/>
      </c>
      <c r="AK889">
        <f ca="1"/>
      </c>
      <c r="AL889">
        <f ca="1"/>
      </c>
      <c r="AM889">
        <f ca="1"/>
      </c>
      <c r="AN889">
        <f ca="1"/>
      </c>
      <c r="AO889">
        <f ca="1"/>
      </c>
      <c r="AP889">
        <f ca="1"/>
      </c>
      <c r="AQ889">
        <f ca="1"/>
      </c>
      <c r="AR889">
        <f ca="1"/>
      </c>
      <c r="AT889" s="7">
        <f ca="1"/>
      </c>
      <c r="AU889">
        <f ca="1"/>
      </c>
      <c r="AV889">
        <f ca="1"/>
      </c>
      <c r="AW889">
        <f ca="1"/>
      </c>
      <c r="AX889">
        <f ca="1"/>
      </c>
      <c r="AY889">
        <f ca="1"/>
      </c>
      <c r="BA889" s="7"/>
    </row>
    <row r="890" spans="31:53" x14ac:dyDescent="0.55000000000000004">
      <c r="AE890" s="7">
        <f ca="1"/>
      </c>
      <c r="AF890">
        <f ca="1"/>
      </c>
      <c r="AG890">
        <f ca="1"/>
      </c>
      <c r="AH890">
        <f ca="1"/>
      </c>
      <c r="AI890">
        <f ca="1"/>
      </c>
      <c r="AJ890">
        <f ca="1"/>
      </c>
      <c r="AK890">
        <f ca="1"/>
      </c>
      <c r="AL890">
        <f ca="1"/>
      </c>
      <c r="AM890">
        <f ca="1"/>
      </c>
      <c r="AN890">
        <f ca="1"/>
      </c>
      <c r="AO890">
        <f ca="1"/>
      </c>
      <c r="AP890">
        <f ca="1"/>
      </c>
      <c r="AQ890">
        <f ca="1"/>
      </c>
      <c r="AR890">
        <f ca="1"/>
      </c>
      <c r="AT890" s="7">
        <f ca="1"/>
      </c>
      <c r="AU890">
        <f ca="1"/>
      </c>
      <c r="AV890">
        <f ca="1"/>
      </c>
      <c r="AW890">
        <f ca="1"/>
      </c>
      <c r="AX890">
        <f ca="1"/>
      </c>
      <c r="AY890">
        <f ca="1"/>
      </c>
      <c r="BA890" s="7"/>
    </row>
    <row r="891" spans="31:53" x14ac:dyDescent="0.55000000000000004">
      <c r="AE891" s="7">
        <f ca="1"/>
      </c>
      <c r="AF891">
        <f ca="1"/>
      </c>
      <c r="AG891">
        <f ca="1"/>
      </c>
      <c r="AH891">
        <f ca="1"/>
      </c>
      <c r="AI891">
        <f ca="1"/>
      </c>
      <c r="AJ891">
        <f ca="1"/>
      </c>
      <c r="AK891">
        <f ca="1"/>
      </c>
      <c r="AL891">
        <f ca="1"/>
      </c>
      <c r="AM891">
        <f ca="1"/>
      </c>
      <c r="AN891">
        <f ca="1"/>
      </c>
      <c r="AO891">
        <f ca="1"/>
      </c>
      <c r="AP891">
        <f ca="1"/>
      </c>
      <c r="AQ891">
        <f ca="1"/>
      </c>
      <c r="AR891">
        <f ca="1"/>
      </c>
      <c r="AT891" s="7">
        <f ca="1"/>
      </c>
      <c r="AU891">
        <f ca="1"/>
      </c>
      <c r="AV891">
        <f ca="1"/>
      </c>
      <c r="AW891">
        <f ca="1"/>
      </c>
      <c r="AX891">
        <f ca="1"/>
      </c>
      <c r="AY891">
        <f ca="1"/>
      </c>
      <c r="BA891" s="7"/>
    </row>
    <row r="892" spans="31:53" x14ac:dyDescent="0.55000000000000004">
      <c r="AE892" s="7">
        <f ca="1"/>
      </c>
      <c r="AF892">
        <f ca="1"/>
      </c>
      <c r="AG892">
        <f ca="1"/>
      </c>
      <c r="AH892">
        <f ca="1"/>
      </c>
      <c r="AI892">
        <f ca="1"/>
      </c>
      <c r="AJ892">
        <f ca="1"/>
      </c>
      <c r="AK892">
        <f ca="1"/>
      </c>
      <c r="AL892">
        <f ca="1"/>
      </c>
      <c r="AM892">
        <f ca="1"/>
      </c>
      <c r="AN892">
        <f ca="1"/>
      </c>
      <c r="AO892">
        <f ca="1"/>
      </c>
      <c r="AP892">
        <f ca="1"/>
      </c>
      <c r="AQ892">
        <f ca="1"/>
      </c>
      <c r="AR892">
        <f ca="1"/>
      </c>
      <c r="AT892" s="7">
        <f ca="1"/>
      </c>
      <c r="AU892">
        <f ca="1"/>
      </c>
      <c r="AV892">
        <f ca="1"/>
      </c>
      <c r="AW892">
        <f ca="1"/>
      </c>
      <c r="AX892">
        <f ca="1"/>
      </c>
      <c r="AY892">
        <f ca="1"/>
      </c>
      <c r="BA892" s="7"/>
    </row>
    <row r="893" spans="31:53" x14ac:dyDescent="0.55000000000000004">
      <c r="AE893" s="7">
        <f ca="1"/>
      </c>
      <c r="AF893">
        <f ca="1"/>
      </c>
      <c r="AG893">
        <f ca="1"/>
      </c>
      <c r="AH893">
        <f ca="1"/>
      </c>
      <c r="AI893">
        <f ca="1"/>
      </c>
      <c r="AJ893">
        <f ca="1"/>
      </c>
      <c r="AK893">
        <f ca="1"/>
      </c>
      <c r="AL893">
        <f ca="1"/>
      </c>
      <c r="AM893">
        <f ca="1"/>
      </c>
      <c r="AN893">
        <f ca="1"/>
      </c>
      <c r="AO893">
        <f ca="1"/>
      </c>
      <c r="AP893">
        <f ca="1"/>
      </c>
      <c r="AQ893">
        <f ca="1"/>
      </c>
      <c r="AR893">
        <f ca="1"/>
      </c>
      <c r="AT893" s="7">
        <f ca="1"/>
      </c>
      <c r="AU893">
        <f ca="1"/>
      </c>
      <c r="AV893">
        <f ca="1"/>
      </c>
      <c r="AW893">
        <f ca="1"/>
      </c>
      <c r="AX893">
        <f ca="1"/>
      </c>
      <c r="AY893">
        <f ca="1"/>
      </c>
      <c r="BA893" s="7"/>
    </row>
    <row r="894" spans="31:53" x14ac:dyDescent="0.55000000000000004">
      <c r="AE894" s="7">
        <f ca="1"/>
      </c>
      <c r="AF894">
        <f ca="1"/>
      </c>
      <c r="AG894">
        <f ca="1"/>
      </c>
      <c r="AH894">
        <f ca="1"/>
      </c>
      <c r="AI894">
        <f ca="1"/>
      </c>
      <c r="AJ894">
        <f ca="1"/>
      </c>
      <c r="AK894">
        <f ca="1"/>
      </c>
      <c r="AL894">
        <f ca="1"/>
      </c>
      <c r="AM894">
        <f ca="1"/>
      </c>
      <c r="AN894">
        <f ca="1"/>
      </c>
      <c r="AO894">
        <f ca="1"/>
      </c>
      <c r="AP894">
        <f ca="1"/>
      </c>
      <c r="AQ894">
        <f ca="1"/>
      </c>
      <c r="AR894">
        <f ca="1"/>
      </c>
      <c r="AT894" s="7">
        <f ca="1"/>
      </c>
      <c r="AU894">
        <f ca="1"/>
      </c>
      <c r="AV894">
        <f ca="1"/>
      </c>
      <c r="AW894">
        <f ca="1"/>
      </c>
      <c r="AX894">
        <f ca="1"/>
      </c>
      <c r="AY894">
        <f ca="1"/>
      </c>
      <c r="BA894" s="7"/>
    </row>
    <row r="895" spans="31:53" x14ac:dyDescent="0.55000000000000004">
      <c r="AE895" s="7">
        <f ca="1"/>
      </c>
      <c r="AF895">
        <f ca="1"/>
      </c>
      <c r="AG895">
        <f ca="1"/>
      </c>
      <c r="AH895">
        <f ca="1"/>
      </c>
      <c r="AI895">
        <f ca="1"/>
      </c>
      <c r="AJ895">
        <f ca="1"/>
      </c>
      <c r="AK895">
        <f ca="1"/>
      </c>
      <c r="AL895">
        <f ca="1"/>
      </c>
      <c r="AM895">
        <f ca="1"/>
      </c>
      <c r="AN895">
        <f ca="1"/>
      </c>
      <c r="AO895">
        <f ca="1"/>
      </c>
      <c r="AP895">
        <f ca="1"/>
      </c>
      <c r="AQ895">
        <f ca="1"/>
      </c>
      <c r="AR895">
        <f ca="1"/>
      </c>
      <c r="AT895" s="7">
        <f ca="1"/>
      </c>
      <c r="AU895">
        <f ca="1"/>
      </c>
      <c r="AV895">
        <f ca="1"/>
      </c>
      <c r="AW895">
        <f ca="1"/>
      </c>
      <c r="AX895">
        <f ca="1"/>
      </c>
      <c r="AY895">
        <f ca="1"/>
      </c>
      <c r="BA895" s="7"/>
    </row>
    <row r="896" spans="31:53" x14ac:dyDescent="0.55000000000000004">
      <c r="AE896" s="7">
        <f ca="1"/>
      </c>
      <c r="AF896">
        <f ca="1"/>
      </c>
      <c r="AG896">
        <f ca="1"/>
      </c>
      <c r="AH896">
        <f ca="1"/>
      </c>
      <c r="AI896">
        <f ca="1"/>
      </c>
      <c r="AJ896">
        <f ca="1"/>
      </c>
      <c r="AK896">
        <f ca="1"/>
      </c>
      <c r="AL896">
        <f ca="1"/>
      </c>
      <c r="AM896">
        <f ca="1"/>
      </c>
      <c r="AN896">
        <f ca="1"/>
      </c>
      <c r="AO896">
        <f ca="1"/>
      </c>
      <c r="AP896">
        <f ca="1"/>
      </c>
      <c r="AQ896">
        <f ca="1"/>
      </c>
      <c r="AR896">
        <f ca="1"/>
      </c>
      <c r="AT896" s="7">
        <f ca="1"/>
      </c>
      <c r="AU896">
        <f ca="1"/>
      </c>
      <c r="AV896">
        <f ca="1"/>
      </c>
      <c r="AW896">
        <f ca="1"/>
      </c>
      <c r="AX896">
        <f ca="1"/>
      </c>
      <c r="AY896">
        <f ca="1"/>
      </c>
      <c r="BA896" s="7"/>
    </row>
    <row r="897" spans="31:53" x14ac:dyDescent="0.55000000000000004">
      <c r="AE897" s="7">
        <f ca="1"/>
      </c>
      <c r="AF897">
        <f ca="1"/>
      </c>
      <c r="AG897">
        <f ca="1"/>
      </c>
      <c r="AH897">
        <f ca="1"/>
      </c>
      <c r="AI897">
        <f ca="1"/>
      </c>
      <c r="AJ897">
        <f ca="1"/>
      </c>
      <c r="AK897">
        <f ca="1"/>
      </c>
      <c r="AL897">
        <f ca="1"/>
      </c>
      <c r="AM897">
        <f ca="1"/>
      </c>
      <c r="AN897">
        <f ca="1"/>
      </c>
      <c r="AO897">
        <f ca="1"/>
      </c>
      <c r="AP897">
        <f ca="1"/>
      </c>
      <c r="AQ897">
        <f ca="1"/>
      </c>
      <c r="AR897">
        <f ca="1"/>
      </c>
      <c r="AT897" s="7">
        <f ca="1"/>
      </c>
      <c r="AU897">
        <f ca="1"/>
      </c>
      <c r="AV897">
        <f ca="1"/>
      </c>
      <c r="AW897">
        <f ca="1"/>
      </c>
      <c r="AX897">
        <f ca="1"/>
      </c>
      <c r="AY897">
        <f ca="1"/>
      </c>
      <c r="BA897" s="7"/>
    </row>
    <row r="898" spans="31:53" x14ac:dyDescent="0.55000000000000004">
      <c r="AE898" s="7">
        <f ca="1"/>
      </c>
      <c r="AF898">
        <f ca="1"/>
      </c>
      <c r="AG898">
        <f ca="1"/>
      </c>
      <c r="AH898">
        <f ca="1"/>
      </c>
      <c r="AI898">
        <f ca="1"/>
      </c>
      <c r="AJ898">
        <f ca="1"/>
      </c>
      <c r="AK898">
        <f ca="1"/>
      </c>
      <c r="AL898">
        <f ca="1"/>
      </c>
      <c r="AM898">
        <f ca="1"/>
      </c>
      <c r="AN898">
        <f ca="1"/>
      </c>
      <c r="AO898">
        <f ca="1"/>
      </c>
      <c r="AP898">
        <f ca="1"/>
      </c>
      <c r="AQ898">
        <f ca="1"/>
      </c>
      <c r="AR898">
        <f ca="1"/>
      </c>
      <c r="AT898" s="7">
        <f ca="1"/>
      </c>
      <c r="AU898">
        <f ca="1"/>
      </c>
      <c r="AV898">
        <f ca="1"/>
      </c>
      <c r="AW898">
        <f ca="1"/>
      </c>
      <c r="AX898">
        <f ca="1"/>
      </c>
      <c r="AY898">
        <f ca="1"/>
      </c>
      <c r="BA898" s="7"/>
    </row>
    <row r="899" spans="31:53" x14ac:dyDescent="0.55000000000000004">
      <c r="AE899" s="7">
        <f ca="1"/>
      </c>
      <c r="AF899">
        <f ca="1"/>
      </c>
      <c r="AG899">
        <f ca="1"/>
      </c>
      <c r="AH899">
        <f ca="1"/>
      </c>
      <c r="AI899">
        <f ca="1"/>
      </c>
      <c r="AJ899">
        <f ca="1"/>
      </c>
      <c r="AK899">
        <f ca="1"/>
      </c>
      <c r="AL899">
        <f ca="1"/>
      </c>
      <c r="AM899">
        <f ca="1"/>
      </c>
      <c r="AN899">
        <f ca="1"/>
      </c>
      <c r="AO899">
        <f ca="1"/>
      </c>
      <c r="AP899">
        <f ca="1"/>
      </c>
      <c r="AQ899">
        <f ca="1"/>
      </c>
      <c r="AR899">
        <f ca="1"/>
      </c>
      <c r="AT899" s="7">
        <f ca="1"/>
      </c>
      <c r="AU899">
        <f ca="1"/>
      </c>
      <c r="AV899">
        <f ca="1"/>
      </c>
      <c r="AW899">
        <f ca="1"/>
      </c>
      <c r="AX899">
        <f ca="1"/>
      </c>
      <c r="AY899">
        <f ca="1"/>
      </c>
      <c r="BA899" s="7"/>
    </row>
    <row r="900" spans="31:53" x14ac:dyDescent="0.55000000000000004">
      <c r="AE900" s="7">
        <f ca="1"/>
      </c>
      <c r="AF900">
        <f ca="1"/>
      </c>
      <c r="AG900">
        <f ca="1"/>
      </c>
      <c r="AH900">
        <f ca="1"/>
      </c>
      <c r="AI900">
        <f ca="1"/>
      </c>
      <c r="AJ900">
        <f ca="1"/>
      </c>
      <c r="AK900">
        <f ca="1"/>
      </c>
      <c r="AL900">
        <f ca="1"/>
      </c>
      <c r="AM900">
        <f ca="1"/>
      </c>
      <c r="AN900">
        <f ca="1"/>
      </c>
      <c r="AO900">
        <f ca="1"/>
      </c>
      <c r="AP900">
        <f ca="1"/>
      </c>
      <c r="AQ900">
        <f ca="1"/>
      </c>
      <c r="AR900">
        <f ca="1"/>
      </c>
      <c r="AT900" s="7">
        <f ca="1"/>
      </c>
      <c r="AU900">
        <f ca="1"/>
      </c>
      <c r="AV900">
        <f ca="1"/>
      </c>
      <c r="AW900">
        <f ca="1"/>
      </c>
      <c r="AX900">
        <f ca="1"/>
      </c>
      <c r="AY900">
        <f ca="1"/>
      </c>
      <c r="BA900" s="7"/>
    </row>
    <row r="901" spans="31:53" x14ac:dyDescent="0.55000000000000004">
      <c r="AE901" s="7">
        <f ca="1"/>
      </c>
      <c r="AF901">
        <f ca="1"/>
      </c>
      <c r="AG901">
        <f ca="1"/>
      </c>
      <c r="AH901">
        <f ca="1"/>
      </c>
      <c r="AI901">
        <f ca="1"/>
      </c>
      <c r="AJ901">
        <f ca="1"/>
      </c>
      <c r="AK901">
        <f ca="1"/>
      </c>
      <c r="AL901">
        <f ca="1"/>
      </c>
      <c r="AM901">
        <f ca="1"/>
      </c>
      <c r="AN901">
        <f ca="1"/>
      </c>
      <c r="AO901">
        <f ca="1"/>
      </c>
      <c r="AP901">
        <f ca="1"/>
      </c>
      <c r="AQ901">
        <f ca="1"/>
      </c>
      <c r="AR901">
        <f ca="1"/>
      </c>
      <c r="AT901" s="7">
        <f ca="1"/>
      </c>
      <c r="AU901">
        <f ca="1"/>
      </c>
      <c r="AV901">
        <f ca="1"/>
      </c>
      <c r="AW901">
        <f ca="1"/>
      </c>
      <c r="AX901">
        <f ca="1"/>
      </c>
      <c r="AY901">
        <f ca="1"/>
      </c>
      <c r="BA901" s="7"/>
    </row>
    <row r="902" spans="31:53" x14ac:dyDescent="0.55000000000000004">
      <c r="AE902" s="7">
        <f ca="1"/>
      </c>
      <c r="AF902">
        <f ca="1"/>
      </c>
      <c r="AG902">
        <f ca="1"/>
      </c>
      <c r="AH902">
        <f ca="1"/>
      </c>
      <c r="AI902">
        <f ca="1"/>
      </c>
      <c r="AJ902">
        <f ca="1"/>
      </c>
      <c r="AK902">
        <f ca="1"/>
      </c>
      <c r="AL902">
        <f ca="1"/>
      </c>
      <c r="AM902">
        <f ca="1"/>
      </c>
      <c r="AN902">
        <f ca="1"/>
      </c>
      <c r="AO902">
        <f ca="1"/>
      </c>
      <c r="AP902">
        <f ca="1"/>
      </c>
      <c r="AQ902">
        <f ca="1"/>
      </c>
      <c r="AR902">
        <f ca="1"/>
      </c>
      <c r="AT902" s="7">
        <f ca="1"/>
      </c>
      <c r="AU902">
        <f ca="1"/>
      </c>
      <c r="AV902">
        <f ca="1"/>
      </c>
      <c r="AW902">
        <f ca="1"/>
      </c>
      <c r="AX902">
        <f ca="1"/>
      </c>
      <c r="AY902">
        <f ca="1"/>
      </c>
      <c r="BA902" s="7"/>
    </row>
    <row r="903" spans="31:53" x14ac:dyDescent="0.55000000000000004">
      <c r="AE903" s="7">
        <f ca="1"/>
      </c>
      <c r="AF903">
        <f ca="1"/>
      </c>
      <c r="AG903">
        <f ca="1"/>
      </c>
      <c r="AH903">
        <f ca="1"/>
      </c>
      <c r="AI903">
        <f ca="1"/>
      </c>
      <c r="AJ903">
        <f ca="1"/>
      </c>
      <c r="AK903">
        <f ca="1"/>
      </c>
      <c r="AL903">
        <f ca="1"/>
      </c>
      <c r="AM903">
        <f ca="1"/>
      </c>
      <c r="AN903">
        <f ca="1"/>
      </c>
      <c r="AO903">
        <f ca="1"/>
      </c>
      <c r="AP903">
        <f ca="1"/>
      </c>
      <c r="AQ903">
        <f ca="1"/>
      </c>
      <c r="AR903">
        <f ca="1"/>
      </c>
      <c r="AT903" s="7">
        <f ca="1"/>
      </c>
      <c r="AU903">
        <f ca="1"/>
      </c>
      <c r="AV903">
        <f ca="1"/>
      </c>
      <c r="AW903">
        <f ca="1"/>
      </c>
      <c r="AX903">
        <f ca="1"/>
      </c>
      <c r="AY903">
        <f ca="1"/>
      </c>
      <c r="BA903" s="7"/>
    </row>
    <row r="904" spans="31:53" x14ac:dyDescent="0.55000000000000004">
      <c r="AE904" s="7">
        <f ca="1"/>
      </c>
      <c r="AF904">
        <f ca="1"/>
      </c>
      <c r="AG904">
        <f ca="1"/>
      </c>
      <c r="AH904">
        <f ca="1"/>
      </c>
      <c r="AI904">
        <f ca="1"/>
      </c>
      <c r="AJ904">
        <f ca="1"/>
      </c>
      <c r="AK904">
        <f ca="1"/>
      </c>
      <c r="AL904">
        <f ca="1"/>
      </c>
      <c r="AM904">
        <f ca="1"/>
      </c>
      <c r="AN904">
        <f ca="1"/>
      </c>
      <c r="AO904">
        <f ca="1"/>
      </c>
      <c r="AP904">
        <f ca="1"/>
      </c>
      <c r="AQ904">
        <f ca="1"/>
      </c>
      <c r="AR904">
        <f ca="1"/>
      </c>
      <c r="AT904" s="7">
        <f ca="1"/>
      </c>
      <c r="AU904">
        <f ca="1"/>
      </c>
      <c r="AV904">
        <f ca="1"/>
      </c>
      <c r="AW904">
        <f ca="1"/>
      </c>
      <c r="AX904">
        <f ca="1"/>
      </c>
      <c r="AY904">
        <f ca="1"/>
      </c>
      <c r="BA904" s="7"/>
    </row>
    <row r="905" spans="31:53" x14ac:dyDescent="0.55000000000000004">
      <c r="AE905" s="7">
        <f ca="1"/>
      </c>
      <c r="AF905">
        <f ca="1"/>
      </c>
      <c r="AG905">
        <f ca="1"/>
      </c>
      <c r="AH905">
        <f ca="1"/>
      </c>
      <c r="AI905">
        <f ca="1"/>
      </c>
      <c r="AJ905">
        <f ca="1"/>
      </c>
      <c r="AK905">
        <f ca="1"/>
      </c>
      <c r="AL905">
        <f ca="1"/>
      </c>
      <c r="AM905">
        <f ca="1"/>
      </c>
      <c r="AN905">
        <f ca="1"/>
      </c>
      <c r="AO905">
        <f ca="1"/>
      </c>
      <c r="AP905">
        <f ca="1"/>
      </c>
      <c r="AQ905">
        <f ca="1"/>
      </c>
      <c r="AR905">
        <f ca="1"/>
      </c>
      <c r="AT905" s="7">
        <f ca="1"/>
      </c>
      <c r="AU905">
        <f ca="1"/>
      </c>
      <c r="AV905">
        <f ca="1"/>
      </c>
      <c r="AW905">
        <f ca="1"/>
      </c>
      <c r="AX905">
        <f ca="1"/>
      </c>
      <c r="AY905">
        <f ca="1"/>
      </c>
      <c r="BA905" s="7"/>
    </row>
    <row r="906" spans="31:53" x14ac:dyDescent="0.55000000000000004">
      <c r="AE906" s="7">
        <f ca="1"/>
      </c>
      <c r="AF906">
        <f ca="1"/>
      </c>
      <c r="AG906">
        <f ca="1"/>
      </c>
      <c r="AH906">
        <f ca="1"/>
      </c>
      <c r="AI906">
        <f ca="1"/>
      </c>
      <c r="AJ906">
        <f ca="1"/>
      </c>
      <c r="AK906">
        <f ca="1"/>
      </c>
      <c r="AL906">
        <f ca="1"/>
      </c>
      <c r="AM906">
        <f ca="1"/>
      </c>
      <c r="AN906">
        <f ca="1"/>
      </c>
      <c r="AO906">
        <f ca="1"/>
      </c>
      <c r="AP906">
        <f ca="1"/>
      </c>
      <c r="AQ906">
        <f ca="1"/>
      </c>
      <c r="AR906">
        <f ca="1"/>
      </c>
      <c r="AT906" s="7">
        <f ca="1"/>
      </c>
      <c r="AU906">
        <f ca="1"/>
      </c>
      <c r="AV906">
        <f ca="1"/>
      </c>
      <c r="AW906">
        <f ca="1"/>
      </c>
      <c r="AX906">
        <f ca="1"/>
      </c>
      <c r="AY906">
        <f ca="1"/>
      </c>
      <c r="BA906" s="7"/>
    </row>
    <row r="907" spans="31:53" x14ac:dyDescent="0.55000000000000004">
      <c r="AE907" s="7">
        <f ca="1"/>
      </c>
      <c r="AF907">
        <f ca="1"/>
      </c>
      <c r="AG907">
        <f ca="1"/>
      </c>
      <c r="AH907">
        <f ca="1"/>
      </c>
      <c r="AI907">
        <f ca="1"/>
      </c>
      <c r="AJ907">
        <f ca="1"/>
      </c>
      <c r="AK907">
        <f ca="1"/>
      </c>
      <c r="AL907">
        <f ca="1"/>
      </c>
      <c r="AM907">
        <f ca="1"/>
      </c>
      <c r="AN907">
        <f ca="1"/>
      </c>
      <c r="AO907">
        <f ca="1"/>
      </c>
      <c r="AP907">
        <f ca="1"/>
      </c>
      <c r="AQ907">
        <f ca="1"/>
      </c>
      <c r="AR907">
        <f ca="1"/>
      </c>
      <c r="AT907" s="7">
        <f ca="1"/>
      </c>
      <c r="AU907">
        <f ca="1"/>
      </c>
      <c r="AV907">
        <f ca="1"/>
      </c>
      <c r="AW907">
        <f ca="1"/>
      </c>
      <c r="AX907">
        <f ca="1"/>
      </c>
      <c r="AY907">
        <f ca="1"/>
      </c>
      <c r="BA907" s="7"/>
    </row>
    <row r="908" spans="31:53" x14ac:dyDescent="0.55000000000000004">
      <c r="AE908" s="7">
        <f ca="1"/>
      </c>
      <c r="AF908">
        <f ca="1"/>
      </c>
      <c r="AG908">
        <f ca="1"/>
      </c>
      <c r="AH908">
        <f ca="1"/>
      </c>
      <c r="AI908">
        <f ca="1"/>
      </c>
      <c r="AJ908">
        <f ca="1"/>
      </c>
      <c r="AK908">
        <f ca="1"/>
      </c>
      <c r="AL908">
        <f ca="1"/>
      </c>
      <c r="AM908">
        <f ca="1"/>
      </c>
      <c r="AN908">
        <f ca="1"/>
      </c>
      <c r="AO908">
        <f ca="1"/>
      </c>
      <c r="AP908">
        <f ca="1"/>
      </c>
      <c r="AQ908">
        <f ca="1"/>
      </c>
      <c r="AR908">
        <f ca="1"/>
      </c>
      <c r="AT908" s="7">
        <f ca="1"/>
      </c>
      <c r="AU908">
        <f ca="1"/>
      </c>
      <c r="AV908">
        <f ca="1"/>
      </c>
      <c r="AW908">
        <f ca="1"/>
      </c>
      <c r="AX908">
        <f ca="1"/>
      </c>
      <c r="AY908">
        <f ca="1"/>
      </c>
      <c r="BA908" s="7"/>
    </row>
    <row r="909" spans="31:53" x14ac:dyDescent="0.55000000000000004">
      <c r="AE909" s="7">
        <f ca="1"/>
      </c>
      <c r="AF909">
        <f ca="1"/>
      </c>
      <c r="AG909">
        <f ca="1"/>
      </c>
      <c r="AH909">
        <f ca="1"/>
      </c>
      <c r="AI909">
        <f ca="1"/>
      </c>
      <c r="AJ909">
        <f ca="1"/>
      </c>
      <c r="AK909">
        <f ca="1"/>
      </c>
      <c r="AL909">
        <f ca="1"/>
      </c>
      <c r="AM909">
        <f ca="1"/>
      </c>
      <c r="AN909">
        <f ca="1"/>
      </c>
      <c r="AO909">
        <f ca="1"/>
      </c>
      <c r="AP909">
        <f ca="1"/>
      </c>
      <c r="AQ909">
        <f ca="1"/>
      </c>
      <c r="AR909">
        <f ca="1"/>
      </c>
      <c r="AT909" s="7">
        <f ca="1"/>
      </c>
      <c r="AU909">
        <f ca="1"/>
      </c>
      <c r="AV909">
        <f ca="1"/>
      </c>
      <c r="AW909">
        <f ca="1"/>
      </c>
      <c r="AX909">
        <f ca="1"/>
      </c>
      <c r="AY909">
        <f ca="1"/>
      </c>
      <c r="BA909" s="7"/>
    </row>
    <row r="910" spans="31:53" x14ac:dyDescent="0.55000000000000004">
      <c r="AE910" s="7">
        <f ca="1"/>
      </c>
      <c r="AF910">
        <f ca="1"/>
      </c>
      <c r="AG910">
        <f ca="1"/>
      </c>
      <c r="AH910">
        <f ca="1"/>
      </c>
      <c r="AI910">
        <f ca="1"/>
      </c>
      <c r="AJ910">
        <f ca="1"/>
      </c>
      <c r="AK910">
        <f ca="1"/>
      </c>
      <c r="AL910">
        <f ca="1"/>
      </c>
      <c r="AM910">
        <f ca="1"/>
      </c>
      <c r="AN910">
        <f ca="1"/>
      </c>
      <c r="AO910">
        <f ca="1"/>
      </c>
      <c r="AP910">
        <f ca="1"/>
      </c>
      <c r="AQ910">
        <f ca="1"/>
      </c>
      <c r="AR910">
        <f ca="1"/>
      </c>
      <c r="AT910" s="7">
        <f ca="1"/>
      </c>
      <c r="AU910">
        <f ca="1"/>
      </c>
      <c r="AV910">
        <f ca="1"/>
      </c>
      <c r="AW910">
        <f ca="1"/>
      </c>
      <c r="AX910">
        <f ca="1"/>
      </c>
      <c r="AY910">
        <f ca="1"/>
      </c>
      <c r="BA910" s="7"/>
    </row>
    <row r="911" spans="31:53" x14ac:dyDescent="0.55000000000000004">
      <c r="AE911" s="7">
        <f ca="1"/>
      </c>
      <c r="AF911">
        <f ca="1"/>
      </c>
      <c r="AG911">
        <f ca="1"/>
      </c>
      <c r="AH911">
        <f ca="1"/>
      </c>
      <c r="AI911">
        <f ca="1"/>
      </c>
      <c r="AJ911">
        <f ca="1"/>
      </c>
      <c r="AK911">
        <f ca="1"/>
      </c>
      <c r="AL911">
        <f ca="1"/>
      </c>
      <c r="AM911">
        <f ca="1"/>
      </c>
      <c r="AN911">
        <f ca="1"/>
      </c>
      <c r="AO911">
        <f ca="1"/>
      </c>
      <c r="AP911">
        <f ca="1"/>
      </c>
      <c r="AQ911">
        <f ca="1"/>
      </c>
      <c r="AR911">
        <f ca="1"/>
      </c>
      <c r="AT911" s="7">
        <f ca="1"/>
      </c>
      <c r="AU911">
        <f ca="1"/>
      </c>
      <c r="AV911">
        <f ca="1"/>
      </c>
      <c r="AW911">
        <f ca="1"/>
      </c>
      <c r="AX911">
        <f ca="1"/>
      </c>
      <c r="AY911">
        <f ca="1"/>
      </c>
      <c r="BA911" s="7"/>
    </row>
    <row r="912" spans="31:53" x14ac:dyDescent="0.55000000000000004">
      <c r="AE912" s="7">
        <f ca="1"/>
      </c>
      <c r="AF912">
        <f ca="1"/>
      </c>
      <c r="AG912">
        <f ca="1"/>
      </c>
      <c r="AH912">
        <f ca="1"/>
      </c>
      <c r="AI912">
        <f ca="1"/>
      </c>
      <c r="AJ912">
        <f ca="1"/>
      </c>
      <c r="AK912">
        <f ca="1"/>
      </c>
      <c r="AL912">
        <f ca="1"/>
      </c>
      <c r="AM912">
        <f ca="1"/>
      </c>
      <c r="AN912">
        <f ca="1"/>
      </c>
      <c r="AO912">
        <f ca="1"/>
      </c>
      <c r="AP912">
        <f ca="1"/>
      </c>
      <c r="AQ912">
        <f ca="1"/>
      </c>
      <c r="AR912">
        <f ca="1"/>
      </c>
      <c r="AT912" s="7">
        <f ca="1"/>
      </c>
      <c r="AU912">
        <f ca="1"/>
      </c>
      <c r="AV912">
        <f ca="1"/>
      </c>
      <c r="AW912">
        <f ca="1"/>
      </c>
      <c r="AX912">
        <f ca="1"/>
      </c>
      <c r="AY912">
        <f ca="1"/>
      </c>
      <c r="BA912" s="7"/>
    </row>
    <row r="913" spans="31:53" x14ac:dyDescent="0.55000000000000004">
      <c r="AE913" s="7">
        <f ca="1"/>
      </c>
      <c r="AF913">
        <f ca="1"/>
      </c>
      <c r="AG913">
        <f ca="1"/>
      </c>
      <c r="AH913">
        <f ca="1"/>
      </c>
      <c r="AI913">
        <f ca="1"/>
      </c>
      <c r="AJ913">
        <f ca="1"/>
      </c>
      <c r="AK913">
        <f ca="1"/>
      </c>
      <c r="AL913">
        <f ca="1"/>
      </c>
      <c r="AM913">
        <f ca="1"/>
      </c>
      <c r="AN913">
        <f ca="1"/>
      </c>
      <c r="AO913">
        <f ca="1"/>
      </c>
      <c r="AP913">
        <f ca="1"/>
      </c>
      <c r="AQ913">
        <f ca="1"/>
      </c>
      <c r="AR913">
        <f ca="1"/>
      </c>
      <c r="AT913" s="7">
        <f ca="1"/>
      </c>
      <c r="AU913">
        <f ca="1"/>
      </c>
      <c r="AV913">
        <f ca="1"/>
      </c>
      <c r="AW913">
        <f ca="1"/>
      </c>
      <c r="AX913">
        <f ca="1"/>
      </c>
      <c r="AY913">
        <f ca="1"/>
      </c>
      <c r="BA913" s="7"/>
    </row>
    <row r="914" spans="31:53" x14ac:dyDescent="0.55000000000000004">
      <c r="AE914" s="7">
        <f ca="1"/>
      </c>
      <c r="AF914">
        <f ca="1"/>
      </c>
      <c r="AG914">
        <f ca="1"/>
      </c>
      <c r="AH914">
        <f ca="1"/>
      </c>
      <c r="AI914">
        <f ca="1"/>
      </c>
      <c r="AJ914">
        <f ca="1"/>
      </c>
      <c r="AK914">
        <f ca="1"/>
      </c>
      <c r="AL914">
        <f ca="1"/>
      </c>
      <c r="AM914">
        <f ca="1"/>
      </c>
      <c r="AN914">
        <f ca="1"/>
      </c>
      <c r="AO914">
        <f ca="1"/>
      </c>
      <c r="AP914">
        <f ca="1"/>
      </c>
      <c r="AQ914">
        <f ca="1"/>
      </c>
      <c r="AR914">
        <f ca="1"/>
      </c>
      <c r="AT914" s="7">
        <f ca="1"/>
      </c>
      <c r="AU914">
        <f ca="1"/>
      </c>
      <c r="AV914">
        <f ca="1"/>
      </c>
      <c r="AW914">
        <f ca="1"/>
      </c>
      <c r="AX914">
        <f ca="1"/>
      </c>
      <c r="AY914">
        <f ca="1"/>
      </c>
      <c r="BA914" s="7"/>
    </row>
    <row r="915" spans="31:53" x14ac:dyDescent="0.55000000000000004">
      <c r="AE915" s="7">
        <f ca="1"/>
      </c>
      <c r="AF915">
        <f ca="1"/>
      </c>
      <c r="AG915">
        <f ca="1"/>
      </c>
      <c r="AH915">
        <f ca="1"/>
      </c>
      <c r="AI915">
        <f ca="1"/>
      </c>
      <c r="AJ915">
        <f ca="1"/>
      </c>
      <c r="AK915">
        <f ca="1"/>
      </c>
      <c r="AL915">
        <f ca="1"/>
      </c>
      <c r="AM915">
        <f ca="1"/>
      </c>
      <c r="AN915">
        <f ca="1"/>
      </c>
      <c r="AO915">
        <f ca="1"/>
      </c>
      <c r="AP915">
        <f ca="1"/>
      </c>
      <c r="AQ915">
        <f ca="1"/>
      </c>
      <c r="AR915">
        <f ca="1"/>
      </c>
      <c r="AT915" s="7">
        <f ca="1"/>
      </c>
      <c r="AU915">
        <f ca="1"/>
      </c>
      <c r="AV915">
        <f ca="1"/>
      </c>
      <c r="AW915">
        <f ca="1"/>
      </c>
      <c r="AX915">
        <f ca="1"/>
      </c>
      <c r="AY915">
        <f ca="1"/>
      </c>
      <c r="BA915" s="7"/>
    </row>
    <row r="916" spans="31:53" x14ac:dyDescent="0.55000000000000004">
      <c r="AE916" s="7">
        <f ca="1"/>
      </c>
      <c r="AF916">
        <f ca="1"/>
      </c>
      <c r="AG916">
        <f ca="1"/>
      </c>
      <c r="AH916">
        <f ca="1"/>
      </c>
      <c r="AI916">
        <f ca="1"/>
      </c>
      <c r="AJ916">
        <f ca="1"/>
      </c>
      <c r="AK916">
        <f ca="1"/>
      </c>
      <c r="AL916">
        <f ca="1"/>
      </c>
      <c r="AM916">
        <f ca="1"/>
      </c>
      <c r="AN916">
        <f ca="1"/>
      </c>
      <c r="AO916">
        <f ca="1"/>
      </c>
      <c r="AP916">
        <f ca="1"/>
      </c>
      <c r="AQ916">
        <f ca="1"/>
      </c>
      <c r="AR916">
        <f ca="1"/>
      </c>
      <c r="AT916" s="7">
        <f ca="1"/>
      </c>
      <c r="AU916">
        <f ca="1"/>
      </c>
      <c r="AV916">
        <f ca="1"/>
      </c>
      <c r="AW916">
        <f ca="1"/>
      </c>
      <c r="AX916">
        <f ca="1"/>
      </c>
      <c r="AY916">
        <f ca="1"/>
      </c>
      <c r="BA916" s="7"/>
    </row>
    <row r="917" spans="31:53" x14ac:dyDescent="0.55000000000000004">
      <c r="AE917" s="7">
        <f ca="1"/>
      </c>
      <c r="AF917">
        <f ca="1"/>
      </c>
      <c r="AG917">
        <f ca="1"/>
      </c>
      <c r="AH917">
        <f ca="1"/>
      </c>
      <c r="AI917">
        <f ca="1"/>
      </c>
      <c r="AJ917">
        <f ca="1"/>
      </c>
      <c r="AK917">
        <f ca="1"/>
      </c>
      <c r="AL917">
        <f ca="1"/>
      </c>
      <c r="AM917">
        <f ca="1"/>
      </c>
      <c r="AN917">
        <f ca="1"/>
      </c>
      <c r="AO917">
        <f ca="1"/>
      </c>
      <c r="AP917">
        <f ca="1"/>
      </c>
      <c r="AQ917">
        <f ca="1"/>
      </c>
      <c r="AR917">
        <f ca="1"/>
      </c>
      <c r="AT917" s="7">
        <f ca="1"/>
      </c>
      <c r="AU917">
        <f ca="1"/>
      </c>
      <c r="AV917">
        <f ca="1"/>
      </c>
      <c r="AW917">
        <f ca="1"/>
      </c>
      <c r="AX917">
        <f ca="1"/>
      </c>
      <c r="AY917">
        <f ca="1"/>
      </c>
      <c r="BA917" s="7"/>
    </row>
    <row r="918" spans="31:53" x14ac:dyDescent="0.55000000000000004">
      <c r="AE918" s="7">
        <f ca="1"/>
      </c>
      <c r="AF918">
        <f ca="1"/>
      </c>
      <c r="AG918">
        <f ca="1"/>
      </c>
      <c r="AH918">
        <f ca="1"/>
      </c>
      <c r="AI918">
        <f ca="1"/>
      </c>
      <c r="AJ918">
        <f ca="1"/>
      </c>
      <c r="AK918">
        <f ca="1"/>
      </c>
      <c r="AL918">
        <f ca="1"/>
      </c>
      <c r="AM918">
        <f ca="1"/>
      </c>
      <c r="AN918">
        <f ca="1"/>
      </c>
      <c r="AO918">
        <f ca="1"/>
      </c>
      <c r="AP918">
        <f ca="1"/>
      </c>
      <c r="AQ918">
        <f ca="1"/>
      </c>
      <c r="AR918">
        <f ca="1"/>
      </c>
      <c r="AT918" s="7">
        <f ca="1"/>
      </c>
      <c r="AU918">
        <f ca="1"/>
      </c>
      <c r="AV918">
        <f ca="1"/>
      </c>
      <c r="AW918">
        <f ca="1"/>
      </c>
      <c r="AX918">
        <f ca="1"/>
      </c>
      <c r="AY918">
        <f ca="1"/>
      </c>
      <c r="BA918" s="7"/>
    </row>
    <row r="919" spans="31:53" x14ac:dyDescent="0.55000000000000004">
      <c r="AE919" s="7">
        <f ca="1"/>
      </c>
      <c r="AF919">
        <f ca="1"/>
      </c>
      <c r="AG919">
        <f ca="1"/>
      </c>
      <c r="AH919">
        <f ca="1"/>
      </c>
      <c r="AI919">
        <f ca="1"/>
      </c>
      <c r="AJ919">
        <f ca="1"/>
      </c>
      <c r="AK919">
        <f ca="1"/>
      </c>
      <c r="AL919">
        <f ca="1"/>
      </c>
      <c r="AM919">
        <f ca="1"/>
      </c>
      <c r="AN919">
        <f ca="1"/>
      </c>
      <c r="AO919">
        <f ca="1"/>
      </c>
      <c r="AP919">
        <f ca="1"/>
      </c>
      <c r="AQ919">
        <f ca="1"/>
      </c>
      <c r="AR919">
        <f ca="1"/>
      </c>
      <c r="AT919" s="7">
        <f ca="1"/>
      </c>
      <c r="AU919">
        <f ca="1"/>
      </c>
      <c r="AV919">
        <f ca="1"/>
      </c>
      <c r="AW919">
        <f ca="1"/>
      </c>
      <c r="AX919">
        <f ca="1"/>
      </c>
      <c r="AY919">
        <f ca="1"/>
      </c>
      <c r="BA919" s="7"/>
    </row>
    <row r="920" spans="31:53" x14ac:dyDescent="0.55000000000000004">
      <c r="AE920" s="7">
        <f ca="1"/>
      </c>
      <c r="AF920">
        <f ca="1"/>
      </c>
      <c r="AG920">
        <f ca="1"/>
      </c>
      <c r="AH920">
        <f ca="1"/>
      </c>
      <c r="AI920">
        <f ca="1"/>
      </c>
      <c r="AJ920">
        <f ca="1"/>
      </c>
      <c r="AK920">
        <f ca="1"/>
      </c>
      <c r="AL920">
        <f ca="1"/>
      </c>
      <c r="AM920">
        <f ca="1"/>
      </c>
      <c r="AN920">
        <f ca="1"/>
      </c>
      <c r="AO920">
        <f ca="1"/>
      </c>
      <c r="AP920">
        <f ca="1"/>
      </c>
      <c r="AQ920">
        <f ca="1"/>
      </c>
      <c r="AR920">
        <f ca="1"/>
      </c>
      <c r="AT920" s="7">
        <f ca="1"/>
      </c>
      <c r="AU920">
        <f ca="1"/>
      </c>
      <c r="AV920">
        <f ca="1"/>
      </c>
      <c r="AW920">
        <f ca="1"/>
      </c>
      <c r="AX920">
        <f ca="1"/>
      </c>
      <c r="AY920">
        <f ca="1"/>
      </c>
      <c r="BA920" s="7"/>
    </row>
    <row r="921" spans="31:53" x14ac:dyDescent="0.55000000000000004">
      <c r="AE921" s="7">
        <f ca="1"/>
      </c>
      <c r="AF921">
        <f ca="1"/>
      </c>
      <c r="AG921">
        <f ca="1"/>
      </c>
      <c r="AH921">
        <f ca="1"/>
      </c>
      <c r="AI921">
        <f ca="1"/>
      </c>
      <c r="AJ921">
        <f ca="1"/>
      </c>
      <c r="AK921">
        <f ca="1"/>
      </c>
      <c r="AL921">
        <f ca="1"/>
      </c>
      <c r="AM921">
        <f ca="1"/>
      </c>
      <c r="AN921">
        <f ca="1"/>
      </c>
      <c r="AO921">
        <f ca="1"/>
      </c>
      <c r="AP921">
        <f ca="1"/>
      </c>
      <c r="AQ921">
        <f ca="1"/>
      </c>
      <c r="AR921">
        <f ca="1"/>
      </c>
      <c r="AT921" s="7">
        <f ca="1"/>
      </c>
      <c r="AU921">
        <f ca="1"/>
      </c>
      <c r="AV921">
        <f ca="1"/>
      </c>
      <c r="AW921">
        <f ca="1"/>
      </c>
      <c r="AX921">
        <f ca="1"/>
      </c>
      <c r="AY921">
        <f ca="1"/>
      </c>
      <c r="BA921" s="7"/>
    </row>
    <row r="922" spans="31:53" x14ac:dyDescent="0.55000000000000004">
      <c r="AE922" s="7">
        <f ca="1"/>
      </c>
      <c r="AF922">
        <f ca="1"/>
      </c>
      <c r="AG922">
        <f ca="1"/>
      </c>
      <c r="AH922">
        <f ca="1"/>
      </c>
      <c r="AI922">
        <f ca="1"/>
      </c>
      <c r="AJ922">
        <f ca="1"/>
      </c>
      <c r="AK922">
        <f ca="1"/>
      </c>
      <c r="AL922">
        <f ca="1"/>
      </c>
      <c r="AM922">
        <f ca="1"/>
      </c>
      <c r="AN922">
        <f ca="1"/>
      </c>
      <c r="AO922">
        <f ca="1"/>
      </c>
      <c r="AP922">
        <f ca="1"/>
      </c>
      <c r="AQ922">
        <f ca="1"/>
      </c>
      <c r="AR922">
        <f ca="1"/>
      </c>
      <c r="AT922" s="7">
        <f ca="1"/>
      </c>
      <c r="AU922">
        <f ca="1"/>
      </c>
      <c r="AV922">
        <f ca="1"/>
      </c>
      <c r="AW922">
        <f ca="1"/>
      </c>
      <c r="AX922">
        <f ca="1"/>
      </c>
      <c r="AY922">
        <f ca="1"/>
      </c>
      <c r="BA922" s="7"/>
    </row>
    <row r="923" spans="31:53" x14ac:dyDescent="0.55000000000000004">
      <c r="AE923" s="7">
        <f ca="1"/>
      </c>
      <c r="AF923">
        <f ca="1"/>
      </c>
      <c r="AG923">
        <f ca="1"/>
      </c>
      <c r="AH923">
        <f ca="1"/>
      </c>
      <c r="AI923">
        <f ca="1"/>
      </c>
      <c r="AJ923">
        <f ca="1"/>
      </c>
      <c r="AK923">
        <f ca="1"/>
      </c>
      <c r="AL923">
        <f ca="1"/>
      </c>
      <c r="AM923">
        <f ca="1"/>
      </c>
      <c r="AN923">
        <f ca="1"/>
      </c>
      <c r="AO923">
        <f ca="1"/>
      </c>
      <c r="AP923">
        <f ca="1"/>
      </c>
      <c r="AQ923">
        <f ca="1"/>
      </c>
      <c r="AR923">
        <f ca="1"/>
      </c>
      <c r="AT923" s="7">
        <f ca="1"/>
      </c>
      <c r="AU923">
        <f ca="1"/>
      </c>
      <c r="AV923">
        <f ca="1"/>
      </c>
      <c r="AW923">
        <f ca="1"/>
      </c>
      <c r="AX923">
        <f ca="1"/>
      </c>
      <c r="AY923">
        <f ca="1"/>
      </c>
      <c r="BA923" s="7"/>
    </row>
    <row r="924" spans="31:53" x14ac:dyDescent="0.55000000000000004">
      <c r="AE924" s="7">
        <f ca="1"/>
      </c>
      <c r="AF924">
        <f ca="1"/>
      </c>
      <c r="AG924">
        <f ca="1"/>
      </c>
      <c r="AH924">
        <f ca="1"/>
      </c>
      <c r="AI924">
        <f ca="1"/>
      </c>
      <c r="AJ924">
        <f ca="1"/>
      </c>
      <c r="AK924">
        <f ca="1"/>
      </c>
      <c r="AL924">
        <f ca="1"/>
      </c>
      <c r="AM924">
        <f ca="1"/>
      </c>
      <c r="AN924">
        <f ca="1"/>
      </c>
      <c r="AO924">
        <f ca="1"/>
      </c>
      <c r="AP924">
        <f ca="1"/>
      </c>
      <c r="AQ924">
        <f ca="1"/>
      </c>
      <c r="AR924">
        <f ca="1"/>
      </c>
      <c r="AT924" s="7">
        <f ca="1"/>
      </c>
      <c r="AU924">
        <f ca="1"/>
      </c>
      <c r="AV924">
        <f ca="1"/>
      </c>
      <c r="AW924">
        <f ca="1"/>
      </c>
      <c r="AX924">
        <f ca="1"/>
      </c>
      <c r="AY924">
        <f ca="1"/>
      </c>
      <c r="BA924" s="7"/>
    </row>
    <row r="925" spans="31:53" x14ac:dyDescent="0.55000000000000004">
      <c r="AE925" s="7">
        <f ca="1"/>
      </c>
      <c r="AF925">
        <f ca="1"/>
      </c>
      <c r="AG925">
        <f ca="1"/>
      </c>
      <c r="AH925">
        <f ca="1"/>
      </c>
      <c r="AI925">
        <f ca="1"/>
      </c>
      <c r="AJ925">
        <f ca="1"/>
      </c>
      <c r="AK925">
        <f ca="1"/>
      </c>
      <c r="AL925">
        <f ca="1"/>
      </c>
      <c r="AM925">
        <f ca="1"/>
      </c>
      <c r="AN925">
        <f ca="1"/>
      </c>
      <c r="AO925">
        <f ca="1"/>
      </c>
      <c r="AP925">
        <f ca="1"/>
      </c>
      <c r="AQ925">
        <f ca="1"/>
      </c>
      <c r="AR925">
        <f ca="1"/>
      </c>
      <c r="AT925" s="7">
        <f ca="1"/>
      </c>
      <c r="AU925">
        <f ca="1"/>
      </c>
      <c r="AV925">
        <f ca="1"/>
      </c>
      <c r="AW925">
        <f ca="1"/>
      </c>
      <c r="AX925">
        <f ca="1"/>
      </c>
      <c r="AY925">
        <f ca="1"/>
      </c>
      <c r="BA925" s="7"/>
    </row>
    <row r="926" spans="31:53" x14ac:dyDescent="0.55000000000000004">
      <c r="AE926" s="7">
        <f ca="1"/>
      </c>
      <c r="AF926">
        <f ca="1"/>
      </c>
      <c r="AG926">
        <f ca="1"/>
      </c>
      <c r="AH926">
        <f ca="1"/>
      </c>
      <c r="AI926">
        <f ca="1"/>
      </c>
      <c r="AJ926">
        <f ca="1"/>
      </c>
      <c r="AK926">
        <f ca="1"/>
      </c>
      <c r="AL926">
        <f ca="1"/>
      </c>
      <c r="AM926">
        <f ca="1"/>
      </c>
      <c r="AN926">
        <f ca="1"/>
      </c>
      <c r="AO926">
        <f ca="1"/>
      </c>
      <c r="AP926">
        <f ca="1"/>
      </c>
      <c r="AQ926">
        <f ca="1"/>
      </c>
      <c r="AR926">
        <f ca="1"/>
      </c>
      <c r="AT926" s="7">
        <f ca="1"/>
      </c>
      <c r="AU926">
        <f ca="1"/>
      </c>
      <c r="AV926">
        <f ca="1"/>
      </c>
      <c r="AW926">
        <f ca="1"/>
      </c>
      <c r="AX926">
        <f ca="1"/>
      </c>
      <c r="AY926">
        <f ca="1"/>
      </c>
      <c r="BA926" s="7"/>
    </row>
    <row r="927" spans="31:53" x14ac:dyDescent="0.55000000000000004">
      <c r="AE927" s="7">
        <f ca="1"/>
      </c>
      <c r="AF927">
        <f ca="1"/>
      </c>
      <c r="AG927">
        <f ca="1"/>
      </c>
      <c r="AH927">
        <f ca="1"/>
      </c>
      <c r="AI927">
        <f ca="1"/>
      </c>
      <c r="AJ927">
        <f ca="1"/>
      </c>
      <c r="AK927">
        <f ca="1"/>
      </c>
      <c r="AL927">
        <f ca="1"/>
      </c>
      <c r="AM927">
        <f ca="1"/>
      </c>
      <c r="AN927">
        <f ca="1"/>
      </c>
      <c r="AO927">
        <f ca="1"/>
      </c>
      <c r="AP927">
        <f ca="1"/>
      </c>
      <c r="AQ927">
        <f ca="1"/>
      </c>
      <c r="AR927">
        <f ca="1"/>
      </c>
      <c r="AT927" s="7">
        <f ca="1"/>
      </c>
      <c r="AU927">
        <f ca="1"/>
      </c>
      <c r="AV927">
        <f ca="1"/>
      </c>
      <c r="AW927">
        <f ca="1"/>
      </c>
      <c r="AX927">
        <f ca="1"/>
      </c>
      <c r="AY927">
        <f ca="1"/>
      </c>
      <c r="BA927" s="7"/>
    </row>
    <row r="928" spans="31:53" x14ac:dyDescent="0.55000000000000004">
      <c r="AE928" s="7">
        <f ca="1"/>
      </c>
      <c r="AF928">
        <f ca="1"/>
      </c>
      <c r="AG928">
        <f ca="1"/>
      </c>
      <c r="AH928">
        <f ca="1"/>
      </c>
      <c r="AI928">
        <f ca="1"/>
      </c>
      <c r="AJ928">
        <f ca="1"/>
      </c>
      <c r="AK928">
        <f ca="1"/>
      </c>
      <c r="AL928">
        <f ca="1"/>
      </c>
      <c r="AM928">
        <f ca="1"/>
      </c>
      <c r="AN928">
        <f ca="1"/>
      </c>
      <c r="AO928">
        <f ca="1"/>
      </c>
      <c r="AP928">
        <f ca="1"/>
      </c>
      <c r="AQ928">
        <f ca="1"/>
      </c>
      <c r="AR928">
        <f ca="1"/>
      </c>
      <c r="AT928" s="7">
        <f ca="1"/>
      </c>
      <c r="AU928">
        <f ca="1"/>
      </c>
      <c r="AV928">
        <f ca="1"/>
      </c>
      <c r="AW928">
        <f ca="1"/>
      </c>
      <c r="AX928">
        <f ca="1"/>
      </c>
      <c r="AY928">
        <f ca="1"/>
      </c>
      <c r="BA928" s="7"/>
    </row>
    <row r="929" spans="31:53" x14ac:dyDescent="0.55000000000000004">
      <c r="AE929" s="7">
        <f ca="1"/>
      </c>
      <c r="AF929">
        <f ca="1"/>
      </c>
      <c r="AG929">
        <f ca="1"/>
      </c>
      <c r="AH929">
        <f ca="1"/>
      </c>
      <c r="AI929">
        <f ca="1"/>
      </c>
      <c r="AJ929">
        <f ca="1"/>
      </c>
      <c r="AK929">
        <f ca="1"/>
      </c>
      <c r="AL929">
        <f ca="1"/>
      </c>
      <c r="AM929">
        <f ca="1"/>
      </c>
      <c r="AN929">
        <f ca="1"/>
      </c>
      <c r="AO929">
        <f ca="1"/>
      </c>
      <c r="AP929">
        <f ca="1"/>
      </c>
      <c r="AQ929">
        <f ca="1"/>
      </c>
      <c r="AR929">
        <f ca="1"/>
      </c>
      <c r="AT929" s="7">
        <f ca="1"/>
      </c>
      <c r="AU929">
        <f ca="1"/>
      </c>
      <c r="AV929">
        <f ca="1"/>
      </c>
      <c r="AW929">
        <f ca="1"/>
      </c>
      <c r="AX929">
        <f ca="1"/>
      </c>
      <c r="AY929">
        <f ca="1"/>
      </c>
      <c r="BA929" s="7"/>
    </row>
    <row r="930" spans="31:53" x14ac:dyDescent="0.55000000000000004">
      <c r="AE930" s="7">
        <f ca="1"/>
      </c>
      <c r="AF930">
        <f ca="1"/>
      </c>
      <c r="AG930">
        <f ca="1"/>
      </c>
      <c r="AH930">
        <f ca="1"/>
      </c>
      <c r="AI930">
        <f ca="1"/>
      </c>
      <c r="AJ930">
        <f ca="1"/>
      </c>
      <c r="AK930">
        <f ca="1"/>
      </c>
      <c r="AL930">
        <f ca="1"/>
      </c>
      <c r="AM930">
        <f ca="1"/>
      </c>
      <c r="AN930">
        <f ca="1"/>
      </c>
      <c r="AO930">
        <f ca="1"/>
      </c>
      <c r="AP930">
        <f ca="1"/>
      </c>
      <c r="AQ930">
        <f ca="1"/>
      </c>
      <c r="AR930">
        <f ca="1"/>
      </c>
      <c r="AT930" s="7">
        <f ca="1"/>
      </c>
      <c r="AU930">
        <f ca="1"/>
      </c>
      <c r="AV930">
        <f ca="1"/>
      </c>
      <c r="AW930">
        <f ca="1"/>
      </c>
      <c r="AX930">
        <f ca="1"/>
      </c>
      <c r="AY930">
        <f ca="1"/>
      </c>
      <c r="BA930" s="7"/>
    </row>
    <row r="931" spans="31:53" x14ac:dyDescent="0.55000000000000004">
      <c r="AE931" s="7">
        <f ca="1"/>
      </c>
      <c r="AF931">
        <f ca="1"/>
      </c>
      <c r="AG931">
        <f ca="1"/>
      </c>
      <c r="AH931">
        <f ca="1"/>
      </c>
      <c r="AI931">
        <f ca="1"/>
      </c>
      <c r="AJ931">
        <f ca="1"/>
      </c>
      <c r="AK931">
        <f ca="1"/>
      </c>
      <c r="AL931">
        <f ca="1"/>
      </c>
      <c r="AM931">
        <f ca="1"/>
      </c>
      <c r="AN931">
        <f ca="1"/>
      </c>
      <c r="AO931">
        <f ca="1"/>
      </c>
      <c r="AP931">
        <f ca="1"/>
      </c>
      <c r="AQ931">
        <f ca="1"/>
      </c>
      <c r="AR931">
        <f ca="1"/>
      </c>
      <c r="AT931" s="7">
        <f ca="1"/>
      </c>
      <c r="AU931">
        <f ca="1"/>
      </c>
      <c r="AV931">
        <f ca="1"/>
      </c>
      <c r="AW931">
        <f ca="1"/>
      </c>
      <c r="AX931">
        <f ca="1"/>
      </c>
      <c r="AY931">
        <f ca="1"/>
      </c>
      <c r="BA931" s="7"/>
    </row>
    <row r="932" spans="31:53" x14ac:dyDescent="0.55000000000000004">
      <c r="AE932" s="7">
        <f ca="1"/>
      </c>
      <c r="AF932">
        <f ca="1"/>
      </c>
      <c r="AG932">
        <f ca="1"/>
      </c>
      <c r="AH932">
        <f ca="1"/>
      </c>
      <c r="AI932">
        <f ca="1"/>
      </c>
      <c r="AJ932">
        <f ca="1"/>
      </c>
      <c r="AK932">
        <f ca="1"/>
      </c>
      <c r="AL932">
        <f ca="1"/>
      </c>
      <c r="AM932">
        <f ca="1"/>
      </c>
      <c r="AN932">
        <f ca="1"/>
      </c>
      <c r="AO932">
        <f ca="1"/>
      </c>
      <c r="AP932">
        <f ca="1"/>
      </c>
      <c r="AQ932">
        <f ca="1"/>
      </c>
      <c r="AR932">
        <f ca="1"/>
      </c>
      <c r="AT932" s="7">
        <f ca="1"/>
      </c>
      <c r="AU932">
        <f ca="1"/>
      </c>
      <c r="AV932">
        <f ca="1"/>
      </c>
      <c r="AW932">
        <f ca="1"/>
      </c>
      <c r="AX932">
        <f ca="1"/>
      </c>
      <c r="AY932">
        <f ca="1"/>
      </c>
      <c r="BA932" s="7"/>
    </row>
    <row r="933" spans="31:53" x14ac:dyDescent="0.55000000000000004">
      <c r="AE933" s="7">
        <f ca="1"/>
      </c>
      <c r="AF933">
        <f ca="1"/>
      </c>
      <c r="AG933">
        <f ca="1"/>
      </c>
      <c r="AH933">
        <f ca="1"/>
      </c>
      <c r="AI933">
        <f ca="1"/>
      </c>
      <c r="AJ933">
        <f ca="1"/>
      </c>
      <c r="AK933">
        <f ca="1"/>
      </c>
      <c r="AL933">
        <f ca="1"/>
      </c>
      <c r="AM933">
        <f ca="1"/>
      </c>
      <c r="AN933">
        <f ca="1"/>
      </c>
      <c r="AO933">
        <f ca="1"/>
      </c>
      <c r="AP933">
        <f ca="1"/>
      </c>
      <c r="AQ933">
        <f ca="1"/>
      </c>
      <c r="AR933">
        <f ca="1"/>
      </c>
      <c r="AT933" s="7">
        <f ca="1"/>
      </c>
      <c r="AU933">
        <f ca="1"/>
      </c>
      <c r="AV933">
        <f ca="1"/>
      </c>
      <c r="AW933">
        <f ca="1"/>
      </c>
      <c r="AX933">
        <f ca="1"/>
      </c>
      <c r="AY933">
        <f ca="1"/>
      </c>
      <c r="BA933" s="7"/>
    </row>
    <row r="934" spans="31:53" x14ac:dyDescent="0.55000000000000004">
      <c r="AE934" s="7">
        <f ca="1"/>
      </c>
      <c r="AF934">
        <f ca="1"/>
      </c>
      <c r="AG934">
        <f ca="1"/>
      </c>
      <c r="AH934">
        <f ca="1"/>
      </c>
      <c r="AI934">
        <f ca="1"/>
      </c>
      <c r="AJ934">
        <f ca="1"/>
      </c>
      <c r="AK934">
        <f ca="1"/>
      </c>
      <c r="AL934">
        <f ca="1"/>
      </c>
      <c r="AM934">
        <f ca="1"/>
      </c>
      <c r="AN934">
        <f ca="1"/>
      </c>
      <c r="AO934">
        <f ca="1"/>
      </c>
      <c r="AP934">
        <f ca="1"/>
      </c>
      <c r="AQ934">
        <f ca="1"/>
      </c>
      <c r="AR934">
        <f ca="1"/>
      </c>
      <c r="AT934" s="7">
        <f ca="1"/>
      </c>
      <c r="AU934">
        <f ca="1"/>
      </c>
      <c r="AV934">
        <f ca="1"/>
      </c>
      <c r="AW934">
        <f ca="1"/>
      </c>
      <c r="AX934">
        <f ca="1"/>
      </c>
      <c r="AY934">
        <f ca="1"/>
      </c>
      <c r="BA934" s="7"/>
    </row>
    <row r="935" spans="31:53" x14ac:dyDescent="0.55000000000000004">
      <c r="AE935" s="7">
        <f ca="1"/>
      </c>
      <c r="AF935">
        <f ca="1"/>
      </c>
      <c r="AG935">
        <f ca="1"/>
      </c>
      <c r="AH935">
        <f ca="1"/>
      </c>
      <c r="AI935">
        <f ca="1"/>
      </c>
      <c r="AJ935">
        <f ca="1"/>
      </c>
      <c r="AK935">
        <f ca="1"/>
      </c>
      <c r="AL935">
        <f ca="1"/>
      </c>
      <c r="AM935">
        <f ca="1"/>
      </c>
      <c r="AN935">
        <f ca="1"/>
      </c>
      <c r="AO935">
        <f ca="1"/>
      </c>
      <c r="AP935">
        <f ca="1"/>
      </c>
      <c r="AQ935">
        <f ca="1"/>
      </c>
      <c r="AR935">
        <f ca="1"/>
      </c>
      <c r="AT935" s="7">
        <f ca="1"/>
      </c>
      <c r="AU935">
        <f ca="1"/>
      </c>
      <c r="AV935">
        <f ca="1"/>
      </c>
      <c r="AW935">
        <f ca="1"/>
      </c>
      <c r="AX935">
        <f ca="1"/>
      </c>
      <c r="AY935">
        <f ca="1"/>
      </c>
      <c r="BA935" s="7"/>
    </row>
    <row r="936" spans="31:53" x14ac:dyDescent="0.55000000000000004">
      <c r="AE936" s="7">
        <f ca="1"/>
      </c>
      <c r="AF936">
        <f ca="1"/>
      </c>
      <c r="AG936">
        <f ca="1"/>
      </c>
      <c r="AH936">
        <f ca="1"/>
      </c>
      <c r="AI936">
        <f ca="1"/>
      </c>
      <c r="AJ936">
        <f ca="1"/>
      </c>
      <c r="AK936">
        <f ca="1"/>
      </c>
      <c r="AL936">
        <f ca="1"/>
      </c>
      <c r="AM936">
        <f ca="1"/>
      </c>
      <c r="AN936">
        <f ca="1"/>
      </c>
      <c r="AO936">
        <f ca="1"/>
      </c>
      <c r="AP936">
        <f ca="1"/>
      </c>
      <c r="AQ936">
        <f ca="1"/>
      </c>
      <c r="AR936">
        <f ca="1"/>
      </c>
      <c r="AT936" s="7">
        <f ca="1"/>
      </c>
      <c r="AU936">
        <f ca="1"/>
      </c>
      <c r="AV936">
        <f ca="1"/>
      </c>
      <c r="AW936">
        <f ca="1"/>
      </c>
      <c r="AX936">
        <f ca="1"/>
      </c>
      <c r="AY936">
        <f ca="1"/>
      </c>
      <c r="BA936" s="7"/>
    </row>
    <row r="937" spans="31:53" x14ac:dyDescent="0.55000000000000004">
      <c r="AE937" s="7">
        <f ca="1"/>
      </c>
      <c r="AF937">
        <f ca="1"/>
      </c>
      <c r="AG937">
        <f ca="1"/>
      </c>
      <c r="AH937">
        <f ca="1"/>
      </c>
      <c r="AI937">
        <f ca="1"/>
      </c>
      <c r="AJ937">
        <f ca="1"/>
      </c>
      <c r="AK937">
        <f ca="1"/>
      </c>
      <c r="AL937">
        <f ca="1"/>
      </c>
      <c r="AM937">
        <f ca="1"/>
      </c>
      <c r="AN937">
        <f ca="1"/>
      </c>
      <c r="AO937">
        <f ca="1"/>
      </c>
      <c r="AP937">
        <f ca="1"/>
      </c>
      <c r="AQ937">
        <f ca="1"/>
      </c>
      <c r="AR937">
        <f ca="1"/>
      </c>
      <c r="AT937" s="7">
        <f ca="1"/>
      </c>
      <c r="AU937">
        <f ca="1"/>
      </c>
      <c r="AV937">
        <f ca="1"/>
      </c>
      <c r="AW937">
        <f ca="1"/>
      </c>
      <c r="AX937">
        <f ca="1"/>
      </c>
      <c r="AY937">
        <f ca="1"/>
      </c>
      <c r="BA937" s="7"/>
    </row>
    <row r="938" spans="31:53" x14ac:dyDescent="0.55000000000000004">
      <c r="AE938" s="7">
        <f ca="1"/>
      </c>
      <c r="AF938">
        <f ca="1"/>
      </c>
      <c r="AG938">
        <f ca="1"/>
      </c>
      <c r="AH938">
        <f ca="1"/>
      </c>
      <c r="AI938">
        <f ca="1"/>
      </c>
      <c r="AJ938">
        <f ca="1"/>
      </c>
      <c r="AK938">
        <f ca="1"/>
      </c>
      <c r="AL938">
        <f ca="1"/>
      </c>
      <c r="AM938">
        <f ca="1"/>
      </c>
      <c r="AN938">
        <f ca="1"/>
      </c>
      <c r="AO938">
        <f ca="1"/>
      </c>
      <c r="AP938">
        <f ca="1"/>
      </c>
      <c r="AQ938">
        <f ca="1"/>
      </c>
      <c r="AR938">
        <f ca="1"/>
      </c>
      <c r="AT938" s="7">
        <f ca="1"/>
      </c>
      <c r="AU938">
        <f ca="1"/>
      </c>
      <c r="AV938">
        <f ca="1"/>
      </c>
      <c r="AW938">
        <f ca="1"/>
      </c>
      <c r="AX938">
        <f ca="1"/>
      </c>
      <c r="AY938">
        <f ca="1"/>
      </c>
      <c r="BA938" s="7"/>
    </row>
    <row r="939" spans="31:53" x14ac:dyDescent="0.55000000000000004">
      <c r="AE939" s="7">
        <f ca="1"/>
      </c>
      <c r="AF939">
        <f ca="1"/>
      </c>
      <c r="AG939">
        <f ca="1"/>
      </c>
      <c r="AH939">
        <f ca="1"/>
      </c>
      <c r="AI939">
        <f ca="1"/>
      </c>
      <c r="AJ939">
        <f ca="1"/>
      </c>
      <c r="AK939">
        <f ca="1"/>
      </c>
      <c r="AL939">
        <f ca="1"/>
      </c>
      <c r="AM939">
        <f ca="1"/>
      </c>
      <c r="AN939">
        <f ca="1"/>
      </c>
      <c r="AO939">
        <f ca="1"/>
      </c>
      <c r="AP939">
        <f ca="1"/>
      </c>
      <c r="AQ939">
        <f ca="1"/>
      </c>
      <c r="AR939">
        <f ca="1"/>
      </c>
      <c r="AT939" s="7">
        <f ca="1"/>
      </c>
      <c r="AU939">
        <f ca="1"/>
      </c>
      <c r="AV939">
        <f ca="1"/>
      </c>
      <c r="AW939">
        <f ca="1"/>
      </c>
      <c r="AX939">
        <f ca="1"/>
      </c>
      <c r="AY939">
        <f ca="1"/>
      </c>
      <c r="BA939" s="7"/>
    </row>
    <row r="940" spans="31:53" x14ac:dyDescent="0.55000000000000004">
      <c r="AE940" s="7">
        <f ca="1"/>
      </c>
      <c r="AF940">
        <f ca="1"/>
      </c>
      <c r="AG940">
        <f ca="1"/>
      </c>
      <c r="AH940">
        <f ca="1"/>
      </c>
      <c r="AI940">
        <f ca="1"/>
      </c>
      <c r="AJ940">
        <f ca="1"/>
      </c>
      <c r="AK940">
        <f ca="1"/>
      </c>
      <c r="AL940">
        <f ca="1"/>
      </c>
      <c r="AM940">
        <f ca="1"/>
      </c>
      <c r="AN940">
        <f ca="1"/>
      </c>
      <c r="AO940">
        <f ca="1"/>
      </c>
      <c r="AP940">
        <f ca="1"/>
      </c>
      <c r="AQ940">
        <f ca="1"/>
      </c>
      <c r="AR940">
        <f ca="1"/>
      </c>
      <c r="AT940" s="7">
        <f ca="1"/>
      </c>
      <c r="AU940">
        <f ca="1"/>
      </c>
      <c r="AV940">
        <f ca="1"/>
      </c>
      <c r="AW940">
        <f ca="1"/>
      </c>
      <c r="AX940">
        <f ca="1"/>
      </c>
      <c r="AY940">
        <f ca="1"/>
      </c>
      <c r="BA940" s="7"/>
    </row>
    <row r="941" spans="31:53" x14ac:dyDescent="0.55000000000000004">
      <c r="AE941" s="7">
        <f ca="1"/>
      </c>
      <c r="AF941">
        <f ca="1"/>
      </c>
      <c r="AG941">
        <f ca="1"/>
      </c>
      <c r="AH941">
        <f ca="1"/>
      </c>
      <c r="AI941">
        <f ca="1"/>
      </c>
      <c r="AJ941">
        <f ca="1"/>
      </c>
      <c r="AK941">
        <f ca="1"/>
      </c>
      <c r="AL941">
        <f ca="1"/>
      </c>
      <c r="AM941">
        <f ca="1"/>
      </c>
      <c r="AN941">
        <f ca="1"/>
      </c>
      <c r="AO941">
        <f ca="1"/>
      </c>
      <c r="AP941">
        <f ca="1"/>
      </c>
      <c r="AQ941">
        <f ca="1"/>
      </c>
      <c r="AR941">
        <f ca="1"/>
      </c>
      <c r="AT941" s="7">
        <f ca="1"/>
      </c>
      <c r="AU941">
        <f ca="1"/>
      </c>
      <c r="AV941">
        <f ca="1"/>
      </c>
      <c r="AW941">
        <f ca="1"/>
      </c>
      <c r="AX941">
        <f ca="1"/>
      </c>
      <c r="AY941">
        <f ca="1"/>
      </c>
      <c r="BA941" s="7"/>
    </row>
    <row r="942" spans="31:53" x14ac:dyDescent="0.55000000000000004">
      <c r="AE942" s="7">
        <f ca="1"/>
      </c>
      <c r="AF942">
        <f ca="1"/>
      </c>
      <c r="AG942">
        <f ca="1"/>
      </c>
      <c r="AH942">
        <f ca="1"/>
      </c>
      <c r="AI942">
        <f ca="1"/>
      </c>
      <c r="AJ942">
        <f ca="1"/>
      </c>
      <c r="AK942">
        <f ca="1"/>
      </c>
      <c r="AL942">
        <f ca="1"/>
      </c>
      <c r="AM942">
        <f ca="1"/>
      </c>
      <c r="AN942">
        <f ca="1"/>
      </c>
      <c r="AO942">
        <f ca="1"/>
      </c>
      <c r="AP942">
        <f ca="1"/>
      </c>
      <c r="AQ942">
        <f ca="1"/>
      </c>
      <c r="AR942">
        <f ca="1"/>
      </c>
      <c r="AT942" s="7">
        <f ca="1"/>
      </c>
      <c r="AU942">
        <f ca="1"/>
      </c>
      <c r="AV942">
        <f ca="1"/>
      </c>
      <c r="AW942">
        <f ca="1"/>
      </c>
      <c r="AX942">
        <f ca="1"/>
      </c>
      <c r="AY942">
        <f ca="1"/>
      </c>
      <c r="BA942" s="7"/>
    </row>
    <row r="943" spans="31:53" x14ac:dyDescent="0.55000000000000004">
      <c r="AE943" s="7">
        <f ca="1"/>
      </c>
      <c r="AF943">
        <f ca="1"/>
      </c>
      <c r="AG943">
        <f ca="1"/>
      </c>
      <c r="AH943">
        <f ca="1"/>
      </c>
      <c r="AI943">
        <f ca="1"/>
      </c>
      <c r="AJ943">
        <f ca="1"/>
      </c>
      <c r="AK943">
        <f ca="1"/>
      </c>
      <c r="AL943">
        <f ca="1"/>
      </c>
      <c r="AM943">
        <f ca="1"/>
      </c>
      <c r="AN943">
        <f ca="1"/>
      </c>
      <c r="AO943">
        <f ca="1"/>
      </c>
      <c r="AP943">
        <f ca="1"/>
      </c>
      <c r="AQ943">
        <f ca="1"/>
      </c>
      <c r="AR943">
        <f ca="1"/>
      </c>
      <c r="AT943" s="7">
        <f ca="1"/>
      </c>
      <c r="AU943">
        <f ca="1"/>
      </c>
      <c r="AV943">
        <f ca="1"/>
      </c>
      <c r="AW943">
        <f ca="1"/>
      </c>
      <c r="AX943">
        <f ca="1"/>
      </c>
      <c r="AY943">
        <f ca="1"/>
      </c>
      <c r="BA943" s="7"/>
    </row>
    <row r="944" spans="31:53" x14ac:dyDescent="0.55000000000000004">
      <c r="AE944" s="7">
        <f ca="1"/>
      </c>
      <c r="AF944">
        <f ca="1"/>
      </c>
      <c r="AG944">
        <f ca="1"/>
      </c>
      <c r="AH944">
        <f ca="1"/>
      </c>
      <c r="AI944">
        <f ca="1"/>
      </c>
      <c r="AJ944">
        <f ca="1"/>
      </c>
      <c r="AK944">
        <f ca="1"/>
      </c>
      <c r="AL944">
        <f ca="1"/>
      </c>
      <c r="AM944">
        <f ca="1"/>
      </c>
      <c r="AN944">
        <f ca="1"/>
      </c>
      <c r="AO944">
        <f ca="1"/>
      </c>
      <c r="AP944">
        <f ca="1"/>
      </c>
      <c r="AQ944">
        <f ca="1"/>
      </c>
      <c r="AR944">
        <f ca="1"/>
      </c>
      <c r="AT944" s="7">
        <f ca="1"/>
      </c>
      <c r="AU944">
        <f ca="1"/>
      </c>
      <c r="AV944">
        <f ca="1"/>
      </c>
      <c r="AW944">
        <f ca="1"/>
      </c>
      <c r="AX944">
        <f ca="1"/>
      </c>
      <c r="AY944">
        <f ca="1"/>
      </c>
      <c r="BA944" s="7"/>
    </row>
    <row r="945" spans="31:53" x14ac:dyDescent="0.55000000000000004">
      <c r="AE945" s="7">
        <f ca="1"/>
      </c>
      <c r="AF945">
        <f ca="1"/>
      </c>
      <c r="AG945">
        <f ca="1"/>
      </c>
      <c r="AH945">
        <f ca="1"/>
      </c>
      <c r="AI945">
        <f ca="1"/>
      </c>
      <c r="AJ945">
        <f ca="1"/>
      </c>
      <c r="AK945">
        <f ca="1"/>
      </c>
      <c r="AL945">
        <f ca="1"/>
      </c>
      <c r="AM945">
        <f ca="1"/>
      </c>
      <c r="AN945">
        <f ca="1"/>
      </c>
      <c r="AO945">
        <f ca="1"/>
      </c>
      <c r="AP945">
        <f ca="1"/>
      </c>
      <c r="AQ945">
        <f ca="1"/>
      </c>
      <c r="AR945">
        <f ca="1"/>
      </c>
      <c r="AT945" s="7">
        <f ca="1"/>
      </c>
      <c r="AU945">
        <f ca="1"/>
      </c>
      <c r="AV945">
        <f ca="1"/>
      </c>
      <c r="AW945">
        <f ca="1"/>
      </c>
      <c r="AX945">
        <f ca="1"/>
      </c>
      <c r="AY945">
        <f ca="1"/>
      </c>
      <c r="BA945" s="7"/>
    </row>
    <row r="946" spans="31:53" x14ac:dyDescent="0.55000000000000004">
      <c r="AE946" s="7">
        <f ca="1"/>
      </c>
      <c r="AF946">
        <f ca="1"/>
      </c>
      <c r="AG946">
        <f ca="1"/>
      </c>
      <c r="AH946">
        <f ca="1"/>
      </c>
      <c r="AI946">
        <f ca="1"/>
      </c>
      <c r="AJ946">
        <f ca="1"/>
      </c>
      <c r="AK946">
        <f ca="1"/>
      </c>
      <c r="AL946">
        <f ca="1"/>
      </c>
      <c r="AM946">
        <f ca="1"/>
      </c>
      <c r="AN946">
        <f ca="1"/>
      </c>
      <c r="AO946">
        <f ca="1"/>
      </c>
      <c r="AP946">
        <f ca="1"/>
      </c>
      <c r="AQ946">
        <f ca="1"/>
      </c>
      <c r="AR946">
        <f ca="1"/>
      </c>
      <c r="AT946" s="7">
        <f ca="1"/>
      </c>
      <c r="AU946">
        <f ca="1"/>
      </c>
      <c r="AV946">
        <f ca="1"/>
      </c>
      <c r="AW946">
        <f ca="1"/>
      </c>
      <c r="AX946">
        <f ca="1"/>
      </c>
      <c r="AY946">
        <f ca="1"/>
      </c>
      <c r="BA946" s="7"/>
    </row>
    <row r="947" spans="31:53" x14ac:dyDescent="0.55000000000000004">
      <c r="AE947" s="7">
        <f ca="1"/>
      </c>
      <c r="AF947">
        <f ca="1"/>
      </c>
      <c r="AG947">
        <f ca="1"/>
      </c>
      <c r="AH947">
        <f ca="1"/>
      </c>
      <c r="AI947">
        <f ca="1"/>
      </c>
      <c r="AJ947">
        <f ca="1"/>
      </c>
      <c r="AK947">
        <f ca="1"/>
      </c>
      <c r="AL947">
        <f ca="1"/>
      </c>
      <c r="AM947">
        <f ca="1"/>
      </c>
      <c r="AN947">
        <f ca="1"/>
      </c>
      <c r="AO947">
        <f ca="1"/>
      </c>
      <c r="AP947">
        <f ca="1"/>
      </c>
      <c r="AQ947">
        <f ca="1"/>
      </c>
      <c r="AR947">
        <f ca="1"/>
      </c>
      <c r="AT947" s="7">
        <f ca="1"/>
      </c>
      <c r="AU947">
        <f ca="1"/>
      </c>
      <c r="AV947">
        <f ca="1"/>
      </c>
      <c r="AW947">
        <f ca="1"/>
      </c>
      <c r="AX947">
        <f ca="1"/>
      </c>
      <c r="AY947">
        <f ca="1"/>
      </c>
      <c r="BA947" s="7"/>
    </row>
    <row r="948" spans="31:53" x14ac:dyDescent="0.55000000000000004">
      <c r="AE948" s="7">
        <f ca="1"/>
      </c>
      <c r="AF948">
        <f ca="1"/>
      </c>
      <c r="AG948">
        <f ca="1"/>
      </c>
      <c r="AH948">
        <f ca="1"/>
      </c>
      <c r="AI948">
        <f ca="1"/>
      </c>
      <c r="AJ948">
        <f ca="1"/>
      </c>
      <c r="AK948">
        <f ca="1"/>
      </c>
      <c r="AL948">
        <f ca="1"/>
      </c>
      <c r="AM948">
        <f ca="1"/>
      </c>
      <c r="AN948">
        <f ca="1"/>
      </c>
      <c r="AO948">
        <f ca="1"/>
      </c>
      <c r="AP948">
        <f ca="1"/>
      </c>
      <c r="AQ948">
        <f ca="1"/>
      </c>
      <c r="AR948">
        <f ca="1"/>
      </c>
      <c r="AT948" s="7">
        <f ca="1"/>
      </c>
      <c r="AU948">
        <f ca="1"/>
      </c>
      <c r="AV948">
        <f ca="1"/>
      </c>
      <c r="AW948">
        <f ca="1"/>
      </c>
      <c r="AX948">
        <f ca="1"/>
      </c>
      <c r="AY948">
        <f ca="1"/>
      </c>
      <c r="BA948" s="7"/>
    </row>
    <row r="949" spans="31:53" x14ac:dyDescent="0.55000000000000004">
      <c r="AE949" s="7">
        <f ca="1"/>
      </c>
      <c r="AF949">
        <f ca="1"/>
      </c>
      <c r="AG949">
        <f ca="1"/>
      </c>
      <c r="AH949">
        <f ca="1"/>
      </c>
      <c r="AI949">
        <f ca="1"/>
      </c>
      <c r="AJ949">
        <f ca="1"/>
      </c>
      <c r="AK949">
        <f ca="1"/>
      </c>
      <c r="AL949">
        <f ca="1"/>
      </c>
      <c r="AM949">
        <f ca="1"/>
      </c>
      <c r="AN949">
        <f ca="1"/>
      </c>
      <c r="AO949">
        <f ca="1"/>
      </c>
      <c r="AP949">
        <f ca="1"/>
      </c>
      <c r="AQ949">
        <f ca="1"/>
      </c>
      <c r="AR949">
        <f ca="1"/>
      </c>
      <c r="AT949" s="7">
        <f ca="1"/>
      </c>
      <c r="AU949">
        <f ca="1"/>
      </c>
      <c r="AV949">
        <f ca="1"/>
      </c>
      <c r="AW949">
        <f ca="1"/>
      </c>
      <c r="AX949">
        <f ca="1"/>
      </c>
      <c r="AY949">
        <f ca="1"/>
      </c>
      <c r="BA949" s="7"/>
    </row>
    <row r="950" spans="31:53" x14ac:dyDescent="0.55000000000000004">
      <c r="AE950" s="7">
        <f ca="1"/>
      </c>
      <c r="AF950">
        <f ca="1"/>
      </c>
      <c r="AG950">
        <f ca="1"/>
      </c>
      <c r="AH950">
        <f ca="1"/>
      </c>
      <c r="AI950">
        <f ca="1"/>
      </c>
      <c r="AJ950">
        <f ca="1"/>
      </c>
      <c r="AK950">
        <f ca="1"/>
      </c>
      <c r="AL950">
        <f ca="1"/>
      </c>
      <c r="AM950">
        <f ca="1"/>
      </c>
      <c r="AN950">
        <f ca="1"/>
      </c>
      <c r="AO950">
        <f ca="1"/>
      </c>
      <c r="AP950">
        <f ca="1"/>
      </c>
      <c r="AQ950">
        <f ca="1"/>
      </c>
      <c r="AR950">
        <f ca="1"/>
      </c>
      <c r="AT950" s="7">
        <f ca="1"/>
      </c>
      <c r="AU950">
        <f ca="1"/>
      </c>
      <c r="AV950">
        <f ca="1"/>
      </c>
      <c r="AW950">
        <f ca="1"/>
      </c>
      <c r="AX950">
        <f ca="1"/>
      </c>
      <c r="AY950">
        <f ca="1"/>
      </c>
      <c r="BA950" s="7"/>
    </row>
    <row r="951" spans="31:53" x14ac:dyDescent="0.55000000000000004">
      <c r="AE951" s="7">
        <f ca="1"/>
      </c>
      <c r="AF951">
        <f ca="1"/>
      </c>
      <c r="AG951">
        <f ca="1"/>
      </c>
      <c r="AH951">
        <f ca="1"/>
      </c>
      <c r="AI951">
        <f ca="1"/>
      </c>
      <c r="AJ951">
        <f ca="1"/>
      </c>
      <c r="AK951">
        <f ca="1"/>
      </c>
      <c r="AL951">
        <f ca="1"/>
      </c>
      <c r="AM951">
        <f ca="1"/>
      </c>
      <c r="AN951">
        <f ca="1"/>
      </c>
      <c r="AO951">
        <f ca="1"/>
      </c>
      <c r="AP951">
        <f ca="1"/>
      </c>
      <c r="AQ951">
        <f ca="1"/>
      </c>
      <c r="AR951">
        <f ca="1"/>
      </c>
      <c r="AT951" s="7">
        <f ca="1"/>
      </c>
      <c r="AU951">
        <f ca="1"/>
      </c>
      <c r="AV951">
        <f ca="1"/>
      </c>
      <c r="AW951">
        <f ca="1"/>
      </c>
      <c r="AX951">
        <f ca="1"/>
      </c>
      <c r="AY951">
        <f ca="1"/>
      </c>
      <c r="BA951" s="7"/>
    </row>
    <row r="952" spans="31:53" x14ac:dyDescent="0.55000000000000004">
      <c r="AE952" s="7">
        <f ca="1"/>
      </c>
      <c r="AF952">
        <f ca="1"/>
      </c>
      <c r="AG952">
        <f ca="1"/>
      </c>
      <c r="AH952">
        <f ca="1"/>
      </c>
      <c r="AI952">
        <f ca="1"/>
      </c>
      <c r="AJ952">
        <f ca="1"/>
      </c>
      <c r="AK952">
        <f ca="1"/>
      </c>
      <c r="AL952">
        <f ca="1"/>
      </c>
      <c r="AM952">
        <f ca="1"/>
      </c>
      <c r="AN952">
        <f ca="1"/>
      </c>
      <c r="AO952">
        <f ca="1"/>
      </c>
      <c r="AP952">
        <f ca="1"/>
      </c>
      <c r="AQ952">
        <f ca="1"/>
      </c>
      <c r="AR952">
        <f ca="1"/>
      </c>
      <c r="AT952" s="7">
        <f ca="1"/>
      </c>
      <c r="AU952">
        <f ca="1"/>
      </c>
      <c r="AV952">
        <f ca="1"/>
      </c>
      <c r="AW952">
        <f ca="1"/>
      </c>
      <c r="AX952">
        <f ca="1"/>
      </c>
      <c r="AY952">
        <f ca="1"/>
      </c>
      <c r="BA952" s="7"/>
    </row>
    <row r="953" spans="31:53" x14ac:dyDescent="0.55000000000000004">
      <c r="AE953" s="7">
        <f ca="1"/>
      </c>
      <c r="AF953">
        <f ca="1"/>
      </c>
      <c r="AG953">
        <f ca="1"/>
      </c>
      <c r="AH953">
        <f ca="1"/>
      </c>
      <c r="AI953">
        <f ca="1"/>
      </c>
      <c r="AJ953">
        <f ca="1"/>
      </c>
      <c r="AK953">
        <f ca="1"/>
      </c>
      <c r="AL953">
        <f ca="1"/>
      </c>
      <c r="AM953">
        <f ca="1"/>
      </c>
      <c r="AN953">
        <f ca="1"/>
      </c>
      <c r="AO953">
        <f ca="1"/>
      </c>
      <c r="AP953">
        <f ca="1"/>
      </c>
      <c r="AQ953">
        <f ca="1"/>
      </c>
      <c r="AR953">
        <f ca="1"/>
      </c>
      <c r="AT953" s="7">
        <f ca="1"/>
      </c>
      <c r="AU953">
        <f ca="1"/>
      </c>
      <c r="AV953">
        <f ca="1"/>
      </c>
      <c r="AW953">
        <f ca="1"/>
      </c>
      <c r="AX953">
        <f ca="1"/>
      </c>
      <c r="AY953">
        <f ca="1"/>
      </c>
      <c r="BA953" s="7"/>
    </row>
    <row r="954" spans="31:53" x14ac:dyDescent="0.55000000000000004">
      <c r="AE954" s="7">
        <f ca="1"/>
      </c>
      <c r="AF954">
        <f ca="1"/>
      </c>
      <c r="AG954">
        <f ca="1"/>
      </c>
      <c r="AH954">
        <f ca="1"/>
      </c>
      <c r="AI954">
        <f ca="1"/>
      </c>
      <c r="AJ954">
        <f ca="1"/>
      </c>
      <c r="AK954">
        <f ca="1"/>
      </c>
      <c r="AL954">
        <f ca="1"/>
      </c>
      <c r="AM954">
        <f ca="1"/>
      </c>
      <c r="AN954">
        <f ca="1"/>
      </c>
      <c r="AO954">
        <f ca="1"/>
      </c>
      <c r="AP954">
        <f ca="1"/>
      </c>
      <c r="AQ954">
        <f ca="1"/>
      </c>
      <c r="AR954">
        <f ca="1"/>
      </c>
      <c r="AT954" s="7">
        <f ca="1"/>
      </c>
      <c r="AU954">
        <f ca="1"/>
      </c>
      <c r="AV954">
        <f ca="1"/>
      </c>
      <c r="AW954">
        <f ca="1"/>
      </c>
      <c r="AX954">
        <f ca="1"/>
      </c>
      <c r="AY954">
        <f ca="1"/>
      </c>
      <c r="BA954" s="7"/>
    </row>
    <row r="955" spans="31:53" x14ac:dyDescent="0.55000000000000004">
      <c r="AE955" s="7">
        <f ca="1"/>
      </c>
      <c r="AF955">
        <f ca="1"/>
      </c>
      <c r="AG955">
        <f ca="1"/>
      </c>
      <c r="AH955">
        <f ca="1"/>
      </c>
      <c r="AI955">
        <f ca="1"/>
      </c>
      <c r="AJ955">
        <f ca="1"/>
      </c>
      <c r="AK955">
        <f ca="1"/>
      </c>
      <c r="AL955">
        <f ca="1"/>
      </c>
      <c r="AM955">
        <f ca="1"/>
      </c>
      <c r="AN955">
        <f ca="1"/>
      </c>
      <c r="AO955">
        <f ca="1"/>
      </c>
      <c r="AP955">
        <f ca="1"/>
      </c>
      <c r="AQ955">
        <f ca="1"/>
      </c>
      <c r="AR955">
        <f ca="1"/>
      </c>
      <c r="AT955" s="7">
        <f ca="1"/>
      </c>
      <c r="AU955">
        <f ca="1"/>
      </c>
      <c r="AV955">
        <f ca="1"/>
      </c>
      <c r="AW955">
        <f ca="1"/>
      </c>
      <c r="AX955">
        <f ca="1"/>
      </c>
      <c r="AY955">
        <f ca="1"/>
      </c>
      <c r="BA955" s="7"/>
    </row>
    <row r="956" spans="31:53" x14ac:dyDescent="0.55000000000000004">
      <c r="AE956" s="7">
        <f ca="1"/>
      </c>
      <c r="AF956">
        <f ca="1"/>
      </c>
      <c r="AG956">
        <f ca="1"/>
      </c>
      <c r="AH956">
        <f ca="1"/>
      </c>
      <c r="AI956">
        <f ca="1"/>
      </c>
      <c r="AJ956">
        <f ca="1"/>
      </c>
      <c r="AK956">
        <f ca="1"/>
      </c>
      <c r="AL956">
        <f ca="1"/>
      </c>
      <c r="AM956">
        <f ca="1"/>
      </c>
      <c r="AN956">
        <f ca="1"/>
      </c>
      <c r="AO956">
        <f ca="1"/>
      </c>
      <c r="AP956">
        <f ca="1"/>
      </c>
      <c r="AQ956">
        <f ca="1"/>
      </c>
      <c r="AR956">
        <f ca="1"/>
      </c>
      <c r="AT956" s="7">
        <f ca="1"/>
      </c>
      <c r="AU956">
        <f ca="1"/>
      </c>
      <c r="AV956">
        <f ca="1"/>
      </c>
      <c r="AW956">
        <f ca="1"/>
      </c>
      <c r="AX956">
        <f ca="1"/>
      </c>
      <c r="AY956">
        <f ca="1"/>
      </c>
      <c r="BA956" s="7"/>
    </row>
    <row r="957" spans="31:53" x14ac:dyDescent="0.55000000000000004">
      <c r="AE957" s="7">
        <f ca="1"/>
      </c>
      <c r="AF957">
        <f ca="1"/>
      </c>
      <c r="AG957">
        <f ca="1"/>
      </c>
      <c r="AH957">
        <f ca="1"/>
      </c>
      <c r="AI957">
        <f ca="1"/>
      </c>
      <c r="AJ957">
        <f ca="1"/>
      </c>
      <c r="AK957">
        <f ca="1"/>
      </c>
      <c r="AL957">
        <f ca="1"/>
      </c>
      <c r="AM957">
        <f ca="1"/>
      </c>
      <c r="AN957">
        <f ca="1"/>
      </c>
      <c r="AO957">
        <f ca="1"/>
      </c>
      <c r="AP957">
        <f ca="1"/>
      </c>
      <c r="AQ957">
        <f ca="1"/>
      </c>
      <c r="AR957">
        <f ca="1"/>
      </c>
      <c r="AT957" s="7">
        <f ca="1"/>
      </c>
      <c r="AU957">
        <f ca="1"/>
      </c>
      <c r="AV957">
        <f ca="1"/>
      </c>
      <c r="AW957">
        <f ca="1"/>
      </c>
      <c r="AX957">
        <f ca="1"/>
      </c>
      <c r="AY957">
        <f ca="1"/>
      </c>
      <c r="BA957" s="7"/>
    </row>
    <row r="958" spans="31:53" x14ac:dyDescent="0.55000000000000004">
      <c r="AE958" s="7">
        <f ca="1"/>
      </c>
      <c r="AF958">
        <f ca="1"/>
      </c>
      <c r="AG958">
        <f ca="1"/>
      </c>
      <c r="AH958">
        <f ca="1"/>
      </c>
      <c r="AI958">
        <f ca="1"/>
      </c>
      <c r="AJ958">
        <f ca="1"/>
      </c>
      <c r="AK958">
        <f ca="1"/>
      </c>
      <c r="AL958">
        <f ca="1"/>
      </c>
      <c r="AM958">
        <f ca="1"/>
      </c>
      <c r="AN958">
        <f ca="1"/>
      </c>
      <c r="AO958">
        <f ca="1"/>
      </c>
      <c r="AP958">
        <f ca="1"/>
      </c>
      <c r="AQ958">
        <f ca="1"/>
      </c>
      <c r="AR958">
        <f ca="1"/>
      </c>
      <c r="AT958" s="7">
        <f ca="1"/>
      </c>
      <c r="AU958">
        <f ca="1"/>
      </c>
      <c r="AV958">
        <f ca="1"/>
      </c>
      <c r="AW958">
        <f ca="1"/>
      </c>
      <c r="AX958">
        <f ca="1"/>
      </c>
      <c r="AY958">
        <f ca="1"/>
      </c>
      <c r="BA958" s="7"/>
    </row>
    <row r="959" spans="31:53" x14ac:dyDescent="0.55000000000000004">
      <c r="AE959" s="7">
        <f ca="1"/>
      </c>
      <c r="AF959">
        <f ca="1"/>
      </c>
      <c r="AG959">
        <f ca="1"/>
      </c>
      <c r="AH959">
        <f ca="1"/>
      </c>
      <c r="AI959">
        <f ca="1"/>
      </c>
      <c r="AJ959">
        <f ca="1"/>
      </c>
      <c r="AK959">
        <f ca="1"/>
      </c>
      <c r="AL959">
        <f ca="1"/>
      </c>
      <c r="AM959">
        <f ca="1"/>
      </c>
      <c r="AN959">
        <f ca="1"/>
      </c>
      <c r="AO959">
        <f ca="1"/>
      </c>
      <c r="AP959">
        <f ca="1"/>
      </c>
      <c r="AQ959">
        <f ca="1"/>
      </c>
      <c r="AR959">
        <f ca="1"/>
      </c>
      <c r="AT959" s="7">
        <f ca="1"/>
      </c>
      <c r="AU959">
        <f ca="1"/>
      </c>
      <c r="AV959">
        <f ca="1"/>
      </c>
      <c r="AW959">
        <f ca="1"/>
      </c>
      <c r="AX959">
        <f ca="1"/>
      </c>
      <c r="AY959">
        <f ca="1"/>
      </c>
      <c r="BA959" s="7"/>
    </row>
    <row r="960" spans="31:53" x14ac:dyDescent="0.55000000000000004">
      <c r="AE960" s="7">
        <f ca="1"/>
      </c>
      <c r="AF960">
        <f ca="1"/>
      </c>
      <c r="AG960">
        <f ca="1"/>
      </c>
      <c r="AH960">
        <f ca="1"/>
      </c>
      <c r="AI960">
        <f ca="1"/>
      </c>
      <c r="AJ960">
        <f ca="1"/>
      </c>
      <c r="AK960">
        <f ca="1"/>
      </c>
      <c r="AL960">
        <f ca="1"/>
      </c>
      <c r="AM960">
        <f ca="1"/>
      </c>
      <c r="AN960">
        <f ca="1"/>
      </c>
      <c r="AO960">
        <f ca="1"/>
      </c>
      <c r="AP960">
        <f ca="1"/>
      </c>
      <c r="AQ960">
        <f ca="1"/>
      </c>
      <c r="AR960">
        <f ca="1"/>
      </c>
      <c r="AT960" s="7">
        <f ca="1"/>
      </c>
      <c r="AU960">
        <f ca="1"/>
      </c>
      <c r="AV960">
        <f ca="1"/>
      </c>
      <c r="AW960">
        <f ca="1"/>
      </c>
      <c r="AX960">
        <f ca="1"/>
      </c>
      <c r="AY960">
        <f ca="1"/>
      </c>
      <c r="BA960" s="7"/>
    </row>
    <row r="961" spans="31:53" x14ac:dyDescent="0.55000000000000004">
      <c r="AE961" s="7">
        <f ca="1"/>
      </c>
      <c r="AF961">
        <f ca="1"/>
      </c>
      <c r="AG961">
        <f ca="1"/>
      </c>
      <c r="AH961">
        <f ca="1"/>
      </c>
      <c r="AI961">
        <f ca="1"/>
      </c>
      <c r="AJ961">
        <f ca="1"/>
      </c>
      <c r="AK961">
        <f ca="1"/>
      </c>
      <c r="AL961">
        <f ca="1"/>
      </c>
      <c r="AM961">
        <f ca="1"/>
      </c>
      <c r="AN961">
        <f ca="1"/>
      </c>
      <c r="AO961">
        <f ca="1"/>
      </c>
      <c r="AP961">
        <f ca="1"/>
      </c>
      <c r="AQ961">
        <f ca="1"/>
      </c>
      <c r="AR961">
        <f ca="1"/>
      </c>
      <c r="AT961" s="7">
        <f ca="1"/>
      </c>
      <c r="AU961">
        <f ca="1"/>
      </c>
      <c r="AV961">
        <f ca="1"/>
      </c>
      <c r="AW961">
        <f ca="1"/>
      </c>
      <c r="AX961">
        <f ca="1"/>
      </c>
      <c r="AY961">
        <f ca="1"/>
      </c>
      <c r="BA961" s="7"/>
    </row>
    <row r="962" spans="31:53" x14ac:dyDescent="0.55000000000000004">
      <c r="AE962" s="7">
        <f ca="1"/>
      </c>
      <c r="AF962">
        <f ca="1"/>
      </c>
      <c r="AG962">
        <f ca="1"/>
      </c>
      <c r="AH962">
        <f ca="1"/>
      </c>
      <c r="AI962">
        <f ca="1"/>
      </c>
      <c r="AJ962">
        <f ca="1"/>
      </c>
      <c r="AK962">
        <f ca="1"/>
      </c>
      <c r="AL962">
        <f ca="1"/>
      </c>
      <c r="AM962">
        <f ca="1"/>
      </c>
      <c r="AN962">
        <f ca="1"/>
      </c>
      <c r="AO962">
        <f ca="1"/>
      </c>
      <c r="AP962">
        <f ca="1"/>
      </c>
      <c r="AQ962">
        <f ca="1"/>
      </c>
      <c r="AR962">
        <f ca="1"/>
      </c>
      <c r="AT962" s="7">
        <f ca="1"/>
      </c>
      <c r="AU962">
        <f ca="1"/>
      </c>
      <c r="AV962">
        <f ca="1"/>
      </c>
      <c r="AW962">
        <f ca="1"/>
      </c>
      <c r="AX962">
        <f ca="1"/>
      </c>
      <c r="AY962">
        <f ca="1"/>
      </c>
      <c r="BA962" s="7"/>
    </row>
    <row r="963" spans="31:53" x14ac:dyDescent="0.55000000000000004">
      <c r="AE963" s="7">
        <f ca="1"/>
      </c>
      <c r="AF963">
        <f ca="1"/>
      </c>
      <c r="AG963">
        <f ca="1"/>
      </c>
      <c r="AH963">
        <f ca="1"/>
      </c>
      <c r="AI963">
        <f ca="1"/>
      </c>
      <c r="AJ963">
        <f ca="1"/>
      </c>
      <c r="AK963">
        <f ca="1"/>
      </c>
      <c r="AL963">
        <f ca="1"/>
      </c>
      <c r="AM963">
        <f ca="1"/>
      </c>
      <c r="AN963">
        <f ca="1"/>
      </c>
      <c r="AO963">
        <f ca="1"/>
      </c>
      <c r="AP963">
        <f ca="1"/>
      </c>
      <c r="AQ963">
        <f ca="1"/>
      </c>
      <c r="AR963">
        <f ca="1"/>
      </c>
      <c r="AT963" s="7">
        <f ca="1"/>
      </c>
      <c r="AU963">
        <f ca="1"/>
      </c>
      <c r="AV963">
        <f ca="1"/>
      </c>
      <c r="AW963">
        <f ca="1"/>
      </c>
      <c r="AX963">
        <f ca="1"/>
      </c>
      <c r="AY963">
        <f ca="1"/>
      </c>
      <c r="BA963" s="7"/>
    </row>
    <row r="964" spans="31:53" x14ac:dyDescent="0.55000000000000004">
      <c r="AE964" s="7">
        <f ca="1"/>
      </c>
      <c r="AF964">
        <f ca="1"/>
      </c>
      <c r="AG964">
        <f ca="1"/>
      </c>
      <c r="AH964">
        <f ca="1"/>
      </c>
      <c r="AI964">
        <f ca="1"/>
      </c>
      <c r="AJ964">
        <f ca="1"/>
      </c>
      <c r="AK964">
        <f ca="1"/>
      </c>
      <c r="AL964">
        <f ca="1"/>
      </c>
      <c r="AM964">
        <f ca="1"/>
      </c>
      <c r="AN964">
        <f ca="1"/>
      </c>
      <c r="AO964">
        <f ca="1"/>
      </c>
      <c r="AP964">
        <f ca="1"/>
      </c>
      <c r="AQ964">
        <f ca="1"/>
      </c>
      <c r="AR964">
        <f ca="1"/>
      </c>
      <c r="AT964" s="7">
        <f ca="1"/>
      </c>
      <c r="AU964">
        <f ca="1"/>
      </c>
      <c r="AV964">
        <f ca="1"/>
      </c>
      <c r="AW964">
        <f ca="1"/>
      </c>
      <c r="AX964">
        <f ca="1"/>
      </c>
      <c r="AY964">
        <f ca="1"/>
      </c>
      <c r="BA964" s="7"/>
    </row>
    <row r="965" spans="31:53" x14ac:dyDescent="0.55000000000000004">
      <c r="AE965" s="7">
        <f ca="1"/>
      </c>
      <c r="AF965">
        <f ca="1"/>
      </c>
      <c r="AG965">
        <f ca="1"/>
      </c>
      <c r="AH965">
        <f ca="1"/>
      </c>
      <c r="AI965">
        <f ca="1"/>
      </c>
      <c r="AJ965">
        <f ca="1"/>
      </c>
      <c r="AK965">
        <f ca="1"/>
      </c>
      <c r="AL965">
        <f ca="1"/>
      </c>
      <c r="AM965">
        <f ca="1"/>
      </c>
      <c r="AN965">
        <f ca="1"/>
      </c>
      <c r="AO965">
        <f ca="1"/>
      </c>
      <c r="AP965">
        <f ca="1"/>
      </c>
      <c r="AQ965">
        <f ca="1"/>
      </c>
      <c r="AR965">
        <f ca="1"/>
      </c>
      <c r="AT965" s="7">
        <f ca="1"/>
      </c>
      <c r="AU965">
        <f ca="1"/>
      </c>
      <c r="AV965">
        <f ca="1"/>
      </c>
      <c r="AW965">
        <f ca="1"/>
      </c>
      <c r="AX965">
        <f ca="1"/>
      </c>
      <c r="AY965">
        <f ca="1"/>
      </c>
      <c r="BA965" s="7"/>
    </row>
    <row r="966" spans="31:53" x14ac:dyDescent="0.55000000000000004">
      <c r="AE966" s="7">
        <f ca="1"/>
      </c>
      <c r="AF966">
        <f ca="1"/>
      </c>
      <c r="AG966">
        <f ca="1"/>
      </c>
      <c r="AH966">
        <f ca="1"/>
      </c>
      <c r="AI966">
        <f ca="1"/>
      </c>
      <c r="AJ966">
        <f ca="1"/>
      </c>
      <c r="AK966">
        <f ca="1"/>
      </c>
      <c r="AL966">
        <f ca="1"/>
      </c>
      <c r="AM966">
        <f ca="1"/>
      </c>
      <c r="AN966">
        <f ca="1"/>
      </c>
      <c r="AO966">
        <f ca="1"/>
      </c>
      <c r="AP966">
        <f ca="1"/>
      </c>
      <c r="AQ966">
        <f ca="1"/>
      </c>
      <c r="AR966">
        <f ca="1"/>
      </c>
      <c r="AT966" s="7">
        <f ca="1"/>
      </c>
      <c r="AU966">
        <f ca="1"/>
      </c>
      <c r="AV966">
        <f ca="1"/>
      </c>
      <c r="AW966">
        <f ca="1"/>
      </c>
      <c r="AX966">
        <f ca="1"/>
      </c>
      <c r="AY966">
        <f ca="1"/>
      </c>
      <c r="BA966" s="7"/>
    </row>
    <row r="967" spans="31:53" x14ac:dyDescent="0.55000000000000004">
      <c r="AE967" s="7">
        <f ca="1"/>
      </c>
      <c r="AF967">
        <f ca="1"/>
      </c>
      <c r="AG967">
        <f ca="1"/>
      </c>
      <c r="AH967">
        <f ca="1"/>
      </c>
      <c r="AI967">
        <f ca="1"/>
      </c>
      <c r="AJ967">
        <f ca="1"/>
      </c>
      <c r="AK967">
        <f ca="1"/>
      </c>
      <c r="AL967">
        <f ca="1"/>
      </c>
      <c r="AM967">
        <f ca="1"/>
      </c>
      <c r="AN967">
        <f ca="1"/>
      </c>
      <c r="AO967">
        <f ca="1"/>
      </c>
      <c r="AP967">
        <f ca="1"/>
      </c>
      <c r="AQ967">
        <f ca="1"/>
      </c>
      <c r="AR967">
        <f ca="1"/>
      </c>
      <c r="AT967" s="7">
        <f ca="1"/>
      </c>
      <c r="AU967">
        <f ca="1"/>
      </c>
      <c r="AV967">
        <f ca="1"/>
      </c>
      <c r="AW967">
        <f ca="1"/>
      </c>
      <c r="AX967">
        <f ca="1"/>
      </c>
      <c r="AY967">
        <f ca="1"/>
      </c>
      <c r="BA967" s="7"/>
    </row>
    <row r="968" spans="31:53" x14ac:dyDescent="0.55000000000000004">
      <c r="AE968" s="7">
        <f ca="1"/>
      </c>
      <c r="AF968">
        <f ca="1"/>
      </c>
      <c r="AG968">
        <f ca="1"/>
      </c>
      <c r="AH968">
        <f ca="1"/>
      </c>
      <c r="AI968">
        <f ca="1"/>
      </c>
      <c r="AJ968">
        <f ca="1"/>
      </c>
      <c r="AK968">
        <f ca="1"/>
      </c>
      <c r="AL968">
        <f ca="1"/>
      </c>
      <c r="AM968">
        <f ca="1"/>
      </c>
      <c r="AN968">
        <f ca="1"/>
      </c>
      <c r="AO968">
        <f ca="1"/>
      </c>
      <c r="AP968">
        <f ca="1"/>
      </c>
      <c r="AQ968">
        <f ca="1"/>
      </c>
      <c r="AR968">
        <f ca="1"/>
      </c>
      <c r="AT968" s="7">
        <f ca="1"/>
      </c>
      <c r="AU968">
        <f ca="1"/>
      </c>
      <c r="AV968">
        <f ca="1"/>
      </c>
      <c r="AW968">
        <f ca="1"/>
      </c>
      <c r="AX968">
        <f ca="1"/>
      </c>
      <c r="AY968">
        <f ca="1"/>
      </c>
      <c r="BA968" s="7"/>
    </row>
    <row r="969" spans="31:53" x14ac:dyDescent="0.55000000000000004">
      <c r="AE969" s="7">
        <f ca="1"/>
      </c>
      <c r="AF969">
        <f ca="1"/>
      </c>
      <c r="AG969">
        <f ca="1"/>
      </c>
      <c r="AH969">
        <f ca="1"/>
      </c>
      <c r="AI969">
        <f ca="1"/>
      </c>
      <c r="AJ969">
        <f ca="1"/>
      </c>
      <c r="AK969">
        <f ca="1"/>
      </c>
      <c r="AL969">
        <f ca="1"/>
      </c>
      <c r="AM969">
        <f ca="1"/>
      </c>
      <c r="AN969">
        <f ca="1"/>
      </c>
      <c r="AO969">
        <f ca="1"/>
      </c>
      <c r="AP969">
        <f ca="1"/>
      </c>
      <c r="AQ969">
        <f ca="1"/>
      </c>
      <c r="AR969">
        <f ca="1"/>
      </c>
      <c r="AT969" s="7">
        <f ca="1"/>
      </c>
      <c r="AU969">
        <f ca="1"/>
      </c>
      <c r="AV969">
        <f ca="1"/>
      </c>
      <c r="AW969">
        <f ca="1"/>
      </c>
      <c r="AX969">
        <f ca="1"/>
      </c>
      <c r="AY969">
        <f ca="1"/>
      </c>
      <c r="BA969" s="7"/>
    </row>
    <row r="970" spans="31:53" x14ac:dyDescent="0.55000000000000004">
      <c r="AE970" s="7">
        <f ca="1"/>
      </c>
      <c r="AF970">
        <f ca="1"/>
      </c>
      <c r="AG970">
        <f ca="1"/>
      </c>
      <c r="AH970">
        <f ca="1"/>
      </c>
      <c r="AI970">
        <f ca="1"/>
      </c>
      <c r="AJ970">
        <f ca="1"/>
      </c>
      <c r="AK970">
        <f ca="1"/>
      </c>
      <c r="AL970">
        <f ca="1"/>
      </c>
      <c r="AM970">
        <f ca="1"/>
      </c>
      <c r="AN970">
        <f ca="1"/>
      </c>
      <c r="AO970">
        <f ca="1"/>
      </c>
      <c r="AP970">
        <f ca="1"/>
      </c>
      <c r="AQ970">
        <f ca="1"/>
      </c>
      <c r="AR970">
        <f ca="1"/>
      </c>
      <c r="AT970" s="7">
        <f ca="1"/>
      </c>
      <c r="AU970">
        <f ca="1"/>
      </c>
      <c r="AV970">
        <f ca="1"/>
      </c>
      <c r="AW970">
        <f ca="1"/>
      </c>
      <c r="AX970">
        <f ca="1"/>
      </c>
      <c r="AY970">
        <f ca="1"/>
      </c>
      <c r="BA970" s="7"/>
    </row>
    <row r="971" spans="31:53" x14ac:dyDescent="0.55000000000000004">
      <c r="AE971" s="7">
        <f ca="1"/>
      </c>
      <c r="AF971">
        <f ca="1"/>
      </c>
      <c r="AG971">
        <f ca="1"/>
      </c>
      <c r="AH971">
        <f ca="1"/>
      </c>
      <c r="AI971">
        <f ca="1"/>
      </c>
      <c r="AJ971">
        <f ca="1"/>
      </c>
      <c r="AK971">
        <f ca="1"/>
      </c>
      <c r="AL971">
        <f ca="1"/>
      </c>
      <c r="AM971">
        <f ca="1"/>
      </c>
      <c r="AN971">
        <f ca="1"/>
      </c>
      <c r="AO971">
        <f ca="1"/>
      </c>
      <c r="AP971">
        <f ca="1"/>
      </c>
      <c r="AQ971">
        <f ca="1"/>
      </c>
      <c r="AR971">
        <f ca="1"/>
      </c>
      <c r="AT971" s="7">
        <f ca="1"/>
      </c>
      <c r="AU971">
        <f ca="1"/>
      </c>
      <c r="AV971">
        <f ca="1"/>
      </c>
      <c r="AW971">
        <f ca="1"/>
      </c>
      <c r="AX971">
        <f ca="1"/>
      </c>
      <c r="AY971">
        <f ca="1"/>
      </c>
      <c r="BA971" s="7"/>
    </row>
    <row r="972" spans="31:53" x14ac:dyDescent="0.55000000000000004">
      <c r="AE972" s="7">
        <f ca="1"/>
      </c>
      <c r="AF972">
        <f ca="1"/>
      </c>
      <c r="AG972">
        <f ca="1"/>
      </c>
      <c r="AH972">
        <f ca="1"/>
      </c>
      <c r="AI972">
        <f ca="1"/>
      </c>
      <c r="AJ972">
        <f ca="1"/>
      </c>
      <c r="AK972">
        <f ca="1"/>
      </c>
      <c r="AL972">
        <f ca="1"/>
      </c>
      <c r="AM972">
        <f ca="1"/>
      </c>
      <c r="AN972">
        <f ca="1"/>
      </c>
      <c r="AO972">
        <f ca="1"/>
      </c>
      <c r="AP972">
        <f ca="1"/>
      </c>
      <c r="AQ972">
        <f ca="1"/>
      </c>
      <c r="AR972">
        <f ca="1"/>
      </c>
      <c r="AT972" s="7">
        <f ca="1"/>
      </c>
      <c r="AU972">
        <f ca="1"/>
      </c>
      <c r="AV972">
        <f ca="1"/>
      </c>
      <c r="AW972">
        <f ca="1"/>
      </c>
      <c r="AX972">
        <f ca="1"/>
      </c>
      <c r="AY972">
        <f ca="1"/>
      </c>
      <c r="BA972" s="7"/>
    </row>
    <row r="973" spans="31:53" x14ac:dyDescent="0.55000000000000004">
      <c r="AE973" s="7">
        <f ca="1"/>
      </c>
      <c r="AF973">
        <f ca="1"/>
      </c>
      <c r="AG973">
        <f ca="1"/>
      </c>
      <c r="AH973">
        <f ca="1"/>
      </c>
      <c r="AI973">
        <f ca="1"/>
      </c>
      <c r="AJ973">
        <f ca="1"/>
      </c>
      <c r="AK973">
        <f ca="1"/>
      </c>
      <c r="AL973">
        <f ca="1"/>
      </c>
      <c r="AM973">
        <f ca="1"/>
      </c>
      <c r="AN973">
        <f ca="1"/>
      </c>
      <c r="AO973">
        <f ca="1"/>
      </c>
      <c r="AP973">
        <f ca="1"/>
      </c>
      <c r="AQ973">
        <f ca="1"/>
      </c>
      <c r="AR973">
        <f ca="1"/>
      </c>
      <c r="AT973" s="7">
        <f ca="1"/>
      </c>
      <c r="AU973">
        <f ca="1"/>
      </c>
      <c r="AV973">
        <f ca="1"/>
      </c>
      <c r="AW973">
        <f ca="1"/>
      </c>
      <c r="AX973">
        <f ca="1"/>
      </c>
      <c r="AY973">
        <f ca="1"/>
      </c>
      <c r="BA973" s="7"/>
    </row>
    <row r="974" spans="31:53" x14ac:dyDescent="0.55000000000000004">
      <c r="AE974" s="7">
        <f ca="1"/>
      </c>
      <c r="AF974">
        <f ca="1"/>
      </c>
      <c r="AG974">
        <f ca="1"/>
      </c>
      <c r="AH974">
        <f ca="1"/>
      </c>
      <c r="AI974">
        <f ca="1"/>
      </c>
      <c r="AJ974">
        <f ca="1"/>
      </c>
      <c r="AK974">
        <f ca="1"/>
      </c>
      <c r="AL974">
        <f ca="1"/>
      </c>
      <c r="AM974">
        <f ca="1"/>
      </c>
      <c r="AN974">
        <f ca="1"/>
      </c>
      <c r="AO974">
        <f ca="1"/>
      </c>
      <c r="AP974">
        <f ca="1"/>
      </c>
      <c r="AQ974">
        <f ca="1"/>
      </c>
      <c r="AR974">
        <f ca="1"/>
      </c>
      <c r="AT974" s="7">
        <f ca="1"/>
      </c>
      <c r="AU974">
        <f ca="1"/>
      </c>
      <c r="AV974">
        <f ca="1"/>
      </c>
      <c r="AW974">
        <f ca="1"/>
      </c>
      <c r="AX974">
        <f ca="1"/>
      </c>
      <c r="AY974">
        <f ca="1"/>
      </c>
      <c r="BA974" s="7"/>
    </row>
    <row r="975" spans="31:53" x14ac:dyDescent="0.55000000000000004">
      <c r="AE975" s="7">
        <f ca="1"/>
      </c>
      <c r="AF975">
        <f ca="1"/>
      </c>
      <c r="AG975">
        <f ca="1"/>
      </c>
      <c r="AH975">
        <f ca="1"/>
      </c>
      <c r="AI975">
        <f ca="1"/>
      </c>
      <c r="AJ975">
        <f ca="1"/>
      </c>
      <c r="AK975">
        <f ca="1"/>
      </c>
      <c r="AL975">
        <f ca="1"/>
      </c>
      <c r="AM975">
        <f ca="1"/>
      </c>
      <c r="AN975">
        <f ca="1"/>
      </c>
      <c r="AO975">
        <f ca="1"/>
      </c>
      <c r="AP975">
        <f ca="1"/>
      </c>
      <c r="AQ975">
        <f ca="1"/>
      </c>
      <c r="AR975">
        <f ca="1"/>
      </c>
      <c r="AT975" s="7">
        <f ca="1"/>
      </c>
      <c r="AU975">
        <f ca="1"/>
      </c>
      <c r="AV975">
        <f ca="1"/>
      </c>
      <c r="AW975">
        <f ca="1"/>
      </c>
      <c r="AX975">
        <f ca="1"/>
      </c>
      <c r="AY975">
        <f ca="1"/>
      </c>
      <c r="BA975" s="7"/>
    </row>
    <row r="976" spans="31:53" x14ac:dyDescent="0.55000000000000004">
      <c r="AE976" s="7">
        <f ca="1"/>
      </c>
      <c r="AF976">
        <f ca="1"/>
      </c>
      <c r="AG976">
        <f ca="1"/>
      </c>
      <c r="AH976">
        <f ca="1"/>
      </c>
      <c r="AI976">
        <f ca="1"/>
      </c>
      <c r="AJ976">
        <f ca="1"/>
      </c>
      <c r="AK976">
        <f ca="1"/>
      </c>
      <c r="AL976">
        <f ca="1"/>
      </c>
      <c r="AM976">
        <f ca="1"/>
      </c>
      <c r="AN976">
        <f ca="1"/>
      </c>
      <c r="AO976">
        <f ca="1"/>
      </c>
      <c r="AP976">
        <f ca="1"/>
      </c>
      <c r="AQ976">
        <f ca="1"/>
      </c>
      <c r="AR976">
        <f ca="1"/>
      </c>
      <c r="AT976" s="7">
        <f ca="1"/>
      </c>
      <c r="AU976">
        <f ca="1"/>
      </c>
      <c r="AV976">
        <f ca="1"/>
      </c>
      <c r="AW976">
        <f ca="1"/>
      </c>
      <c r="AX976">
        <f ca="1"/>
      </c>
      <c r="AY976">
        <f ca="1"/>
      </c>
      <c r="BA976" s="7"/>
    </row>
    <row r="977" spans="31:53" x14ac:dyDescent="0.55000000000000004">
      <c r="AE977" s="7">
        <f ca="1"/>
      </c>
      <c r="AF977">
        <f ca="1"/>
      </c>
      <c r="AG977">
        <f ca="1"/>
      </c>
      <c r="AH977">
        <f ca="1"/>
      </c>
      <c r="AI977">
        <f ca="1"/>
      </c>
      <c r="AJ977">
        <f ca="1"/>
      </c>
      <c r="AK977">
        <f ca="1"/>
      </c>
      <c r="AL977">
        <f ca="1"/>
      </c>
      <c r="AM977">
        <f ca="1"/>
      </c>
      <c r="AN977">
        <f ca="1"/>
      </c>
      <c r="AO977">
        <f ca="1"/>
      </c>
      <c r="AP977">
        <f ca="1"/>
      </c>
      <c r="AQ977">
        <f ca="1"/>
      </c>
      <c r="AR977">
        <f ca="1"/>
      </c>
      <c r="AT977" s="7">
        <f ca="1"/>
      </c>
      <c r="AU977">
        <f ca="1"/>
      </c>
      <c r="AV977">
        <f ca="1"/>
      </c>
      <c r="AW977">
        <f ca="1"/>
      </c>
      <c r="AX977">
        <f ca="1"/>
      </c>
      <c r="AY977">
        <f ca="1"/>
      </c>
      <c r="BA977" s="7"/>
    </row>
    <row r="978" spans="31:53" x14ac:dyDescent="0.55000000000000004">
      <c r="AE978" s="7">
        <f ca="1"/>
      </c>
      <c r="AF978">
        <f ca="1"/>
      </c>
      <c r="AG978">
        <f ca="1"/>
      </c>
      <c r="AH978">
        <f ca="1"/>
      </c>
      <c r="AI978">
        <f ca="1"/>
      </c>
      <c r="AJ978">
        <f ca="1"/>
      </c>
      <c r="AK978">
        <f ca="1"/>
      </c>
      <c r="AL978">
        <f ca="1"/>
      </c>
      <c r="AM978">
        <f ca="1"/>
      </c>
      <c r="AN978">
        <f ca="1"/>
      </c>
      <c r="AO978">
        <f ca="1"/>
      </c>
      <c r="AP978">
        <f ca="1"/>
      </c>
      <c r="AQ978">
        <f ca="1"/>
      </c>
      <c r="AR978">
        <f ca="1"/>
      </c>
      <c r="AT978" s="7">
        <f ca="1"/>
      </c>
      <c r="AU978">
        <f ca="1"/>
      </c>
      <c r="AV978">
        <f ca="1"/>
      </c>
      <c r="AW978">
        <f ca="1"/>
      </c>
      <c r="AX978">
        <f ca="1"/>
      </c>
      <c r="AY978">
        <f ca="1"/>
      </c>
      <c r="BA978" s="7"/>
    </row>
    <row r="979" spans="31:53" x14ac:dyDescent="0.55000000000000004">
      <c r="AE979" s="7">
        <f ca="1"/>
      </c>
      <c r="AF979">
        <f ca="1"/>
      </c>
      <c r="AG979">
        <f ca="1"/>
      </c>
      <c r="AH979">
        <f ca="1"/>
      </c>
      <c r="AI979">
        <f ca="1"/>
      </c>
      <c r="AJ979">
        <f ca="1"/>
      </c>
      <c r="AK979">
        <f ca="1"/>
      </c>
      <c r="AL979">
        <f ca="1"/>
      </c>
      <c r="AM979">
        <f ca="1"/>
      </c>
      <c r="AN979">
        <f ca="1"/>
      </c>
      <c r="AO979">
        <f ca="1"/>
      </c>
      <c r="AP979">
        <f ca="1"/>
      </c>
      <c r="AQ979">
        <f ca="1"/>
      </c>
      <c r="AR979">
        <f ca="1"/>
      </c>
      <c r="AT979" s="7">
        <f ca="1"/>
      </c>
      <c r="AU979">
        <f ca="1"/>
      </c>
      <c r="AV979">
        <f ca="1"/>
      </c>
      <c r="AW979">
        <f ca="1"/>
      </c>
      <c r="AX979">
        <f ca="1"/>
      </c>
      <c r="AY979">
        <f ca="1"/>
      </c>
      <c r="BA979" s="7"/>
    </row>
    <row r="980" spans="31:53" x14ac:dyDescent="0.55000000000000004">
      <c r="AE980" s="7">
        <f ca="1"/>
      </c>
      <c r="AF980">
        <f ca="1"/>
      </c>
      <c r="AG980">
        <f ca="1"/>
      </c>
      <c r="AH980">
        <f ca="1"/>
      </c>
      <c r="AI980">
        <f ca="1"/>
      </c>
      <c r="AJ980">
        <f ca="1"/>
      </c>
      <c r="AK980">
        <f ca="1"/>
      </c>
      <c r="AL980">
        <f ca="1"/>
      </c>
      <c r="AM980">
        <f ca="1"/>
      </c>
      <c r="AN980">
        <f ca="1"/>
      </c>
      <c r="AO980">
        <f ca="1"/>
      </c>
      <c r="AP980">
        <f ca="1"/>
      </c>
      <c r="AQ980">
        <f ca="1"/>
      </c>
      <c r="AR980">
        <f ca="1"/>
      </c>
      <c r="AT980" s="7">
        <f ca="1"/>
      </c>
      <c r="AU980">
        <f ca="1"/>
      </c>
      <c r="AV980">
        <f ca="1"/>
      </c>
      <c r="AW980">
        <f ca="1"/>
      </c>
      <c r="AX980">
        <f ca="1"/>
      </c>
      <c r="AY980">
        <f ca="1"/>
      </c>
      <c r="BA980" s="7"/>
    </row>
    <row r="981" spans="31:53" x14ac:dyDescent="0.55000000000000004">
      <c r="AE981" s="7">
        <f ca="1"/>
      </c>
      <c r="AF981">
        <f ca="1"/>
      </c>
      <c r="AG981">
        <f ca="1"/>
      </c>
      <c r="AH981">
        <f ca="1"/>
      </c>
      <c r="AI981">
        <f ca="1"/>
      </c>
      <c r="AJ981">
        <f ca="1"/>
      </c>
      <c r="AK981">
        <f ca="1"/>
      </c>
      <c r="AL981">
        <f ca="1"/>
      </c>
      <c r="AM981">
        <f ca="1"/>
      </c>
      <c r="AN981">
        <f ca="1"/>
      </c>
      <c r="AO981">
        <f ca="1"/>
      </c>
      <c r="AP981">
        <f ca="1"/>
      </c>
      <c r="AQ981">
        <f ca="1"/>
      </c>
      <c r="AR981">
        <f ca="1"/>
      </c>
      <c r="AT981" s="7">
        <f ca="1"/>
      </c>
      <c r="AU981">
        <f ca="1"/>
      </c>
      <c r="AV981">
        <f ca="1"/>
      </c>
      <c r="AW981">
        <f ca="1"/>
      </c>
      <c r="AX981">
        <f ca="1"/>
      </c>
      <c r="AY981">
        <f ca="1"/>
      </c>
      <c r="BA981" s="7"/>
    </row>
    <row r="982" spans="31:53" x14ac:dyDescent="0.55000000000000004">
      <c r="AE982" s="7">
        <f ca="1"/>
      </c>
      <c r="AF982">
        <f ca="1"/>
      </c>
      <c r="AG982">
        <f ca="1"/>
      </c>
      <c r="AH982">
        <f ca="1"/>
      </c>
      <c r="AI982">
        <f ca="1"/>
      </c>
      <c r="AJ982">
        <f ca="1"/>
      </c>
      <c r="AK982">
        <f ca="1"/>
      </c>
      <c r="AL982">
        <f ca="1"/>
      </c>
      <c r="AM982">
        <f ca="1"/>
      </c>
      <c r="AN982">
        <f ca="1"/>
      </c>
      <c r="AO982">
        <f ca="1"/>
      </c>
      <c r="AP982">
        <f ca="1"/>
      </c>
      <c r="AQ982">
        <f ca="1"/>
      </c>
      <c r="AR982">
        <f ca="1"/>
      </c>
      <c r="AT982" s="7">
        <f ca="1"/>
      </c>
      <c r="AU982">
        <f ca="1"/>
      </c>
      <c r="AV982">
        <f ca="1"/>
      </c>
      <c r="AW982">
        <f ca="1"/>
      </c>
      <c r="AX982">
        <f ca="1"/>
      </c>
      <c r="AY982">
        <f ca="1"/>
      </c>
      <c r="BA982" s="7"/>
    </row>
    <row r="983" spans="31:53" x14ac:dyDescent="0.55000000000000004">
      <c r="AE983" s="7">
        <f ca="1"/>
      </c>
      <c r="AF983">
        <f ca="1"/>
      </c>
      <c r="AG983">
        <f ca="1"/>
      </c>
      <c r="AH983">
        <f ca="1"/>
      </c>
      <c r="AI983">
        <f ca="1"/>
      </c>
      <c r="AJ983">
        <f ca="1"/>
      </c>
      <c r="AK983">
        <f ca="1"/>
      </c>
      <c r="AL983">
        <f ca="1"/>
      </c>
      <c r="AM983">
        <f ca="1"/>
      </c>
      <c r="AN983">
        <f ca="1"/>
      </c>
      <c r="AO983">
        <f ca="1"/>
      </c>
      <c r="AP983">
        <f ca="1"/>
      </c>
      <c r="AQ983">
        <f ca="1"/>
      </c>
      <c r="AR983">
        <f ca="1"/>
      </c>
      <c r="AT983" s="7">
        <f ca="1"/>
      </c>
      <c r="AU983">
        <f ca="1"/>
      </c>
      <c r="AV983">
        <f ca="1"/>
      </c>
      <c r="AW983">
        <f ca="1"/>
      </c>
      <c r="AX983">
        <f ca="1"/>
      </c>
      <c r="AY983">
        <f ca="1"/>
      </c>
      <c r="BA983" s="7"/>
    </row>
    <row r="984" spans="31:53" x14ac:dyDescent="0.55000000000000004">
      <c r="AE984" s="7">
        <f ca="1"/>
      </c>
      <c r="AF984">
        <f ca="1"/>
      </c>
      <c r="AG984">
        <f ca="1"/>
      </c>
      <c r="AH984">
        <f ca="1"/>
      </c>
      <c r="AI984">
        <f ca="1"/>
      </c>
      <c r="AJ984">
        <f ca="1"/>
      </c>
      <c r="AK984">
        <f ca="1"/>
      </c>
      <c r="AL984">
        <f ca="1"/>
      </c>
      <c r="AM984">
        <f ca="1"/>
      </c>
      <c r="AN984">
        <f ca="1"/>
      </c>
      <c r="AO984">
        <f ca="1"/>
      </c>
      <c r="AP984">
        <f ca="1"/>
      </c>
      <c r="AQ984">
        <f ca="1"/>
      </c>
      <c r="AR984">
        <f ca="1"/>
      </c>
      <c r="AT984" s="7">
        <f ca="1"/>
      </c>
      <c r="AU984">
        <f ca="1"/>
      </c>
      <c r="AV984">
        <f ca="1"/>
      </c>
      <c r="AW984">
        <f ca="1"/>
      </c>
      <c r="AX984">
        <f ca="1"/>
      </c>
      <c r="AY984">
        <f ca="1"/>
      </c>
      <c r="BA984" s="7"/>
    </row>
    <row r="985" spans="31:53" x14ac:dyDescent="0.55000000000000004">
      <c r="AE985" s="7">
        <f ca="1"/>
      </c>
      <c r="AF985">
        <f ca="1"/>
      </c>
      <c r="AG985">
        <f ca="1"/>
      </c>
      <c r="AH985">
        <f ca="1"/>
      </c>
      <c r="AI985">
        <f ca="1"/>
      </c>
      <c r="AJ985">
        <f ca="1"/>
      </c>
      <c r="AK985">
        <f ca="1"/>
      </c>
      <c r="AL985">
        <f ca="1"/>
      </c>
      <c r="AM985">
        <f ca="1"/>
      </c>
      <c r="AN985">
        <f ca="1"/>
      </c>
      <c r="AO985">
        <f ca="1"/>
      </c>
      <c r="AP985">
        <f ca="1"/>
      </c>
      <c r="AQ985">
        <f ca="1"/>
      </c>
      <c r="AR985">
        <f ca="1"/>
      </c>
      <c r="AT985" s="7">
        <f ca="1"/>
      </c>
      <c r="AU985">
        <f ca="1"/>
      </c>
      <c r="AV985">
        <f ca="1"/>
      </c>
      <c r="AW985">
        <f ca="1"/>
      </c>
      <c r="AX985">
        <f ca="1"/>
      </c>
      <c r="AY985">
        <f ca="1"/>
      </c>
      <c r="BA985" s="7"/>
    </row>
    <row r="986" spans="31:53" x14ac:dyDescent="0.55000000000000004">
      <c r="AE986" s="7">
        <f ca="1"/>
      </c>
      <c r="AF986">
        <f ca="1"/>
      </c>
      <c r="AG986">
        <f ca="1"/>
      </c>
      <c r="AH986">
        <f ca="1"/>
      </c>
      <c r="AI986">
        <f ca="1"/>
      </c>
      <c r="AJ986">
        <f ca="1"/>
      </c>
      <c r="AK986">
        <f ca="1"/>
      </c>
      <c r="AL986">
        <f ca="1"/>
      </c>
      <c r="AM986">
        <f ca="1"/>
      </c>
      <c r="AN986">
        <f ca="1"/>
      </c>
      <c r="AO986">
        <f ca="1"/>
      </c>
      <c r="AP986">
        <f ca="1"/>
      </c>
      <c r="AQ986">
        <f ca="1"/>
      </c>
      <c r="AR986">
        <f ca="1"/>
      </c>
      <c r="AT986" s="7">
        <f ca="1"/>
      </c>
      <c r="AU986">
        <f ca="1"/>
      </c>
      <c r="AV986">
        <f ca="1"/>
      </c>
      <c r="AW986">
        <f ca="1"/>
      </c>
      <c r="AX986">
        <f ca="1"/>
      </c>
      <c r="AY986">
        <f ca="1"/>
      </c>
      <c r="BA986" s="7"/>
    </row>
    <row r="987" spans="31:53" x14ac:dyDescent="0.55000000000000004">
      <c r="AE987" s="7">
        <f ca="1"/>
      </c>
      <c r="AF987">
        <f ca="1"/>
      </c>
      <c r="AG987">
        <f ca="1"/>
      </c>
      <c r="AH987">
        <f ca="1"/>
      </c>
      <c r="AI987">
        <f ca="1"/>
      </c>
      <c r="AJ987">
        <f ca="1"/>
      </c>
      <c r="AK987">
        <f ca="1"/>
      </c>
      <c r="AL987">
        <f ca="1"/>
      </c>
      <c r="AM987">
        <f ca="1"/>
      </c>
      <c r="AN987">
        <f ca="1"/>
      </c>
      <c r="AO987">
        <f ca="1"/>
      </c>
      <c r="AP987">
        <f ca="1"/>
      </c>
      <c r="AQ987">
        <f ca="1"/>
      </c>
      <c r="AR987">
        <f ca="1"/>
      </c>
      <c r="AT987" s="7">
        <f ca="1"/>
      </c>
      <c r="AU987">
        <f ca="1"/>
      </c>
      <c r="AV987">
        <f ca="1"/>
      </c>
      <c r="AW987">
        <f ca="1"/>
      </c>
      <c r="AX987">
        <f ca="1"/>
      </c>
      <c r="AY987">
        <f ca="1"/>
      </c>
      <c r="BA987" s="7"/>
    </row>
    <row r="988" spans="31:53" x14ac:dyDescent="0.55000000000000004">
      <c r="AE988" s="7">
        <f ca="1"/>
      </c>
      <c r="AF988">
        <f ca="1"/>
      </c>
      <c r="AG988">
        <f ca="1"/>
      </c>
      <c r="AH988">
        <f ca="1"/>
      </c>
      <c r="AI988">
        <f ca="1"/>
      </c>
      <c r="AJ988">
        <f ca="1"/>
      </c>
      <c r="AK988">
        <f ca="1"/>
      </c>
      <c r="AL988">
        <f ca="1"/>
      </c>
      <c r="AM988">
        <f ca="1"/>
      </c>
      <c r="AN988">
        <f ca="1"/>
      </c>
      <c r="AO988">
        <f ca="1"/>
      </c>
      <c r="AP988">
        <f ca="1"/>
      </c>
      <c r="AQ988">
        <f ca="1"/>
      </c>
      <c r="AR988">
        <f ca="1"/>
      </c>
      <c r="AT988" s="7">
        <f ca="1"/>
      </c>
      <c r="AU988">
        <f ca="1"/>
      </c>
      <c r="AV988">
        <f ca="1"/>
      </c>
      <c r="AW988">
        <f ca="1"/>
      </c>
      <c r="AX988">
        <f ca="1"/>
      </c>
      <c r="AY988">
        <f ca="1"/>
      </c>
      <c r="BA988" s="7"/>
    </row>
    <row r="989" spans="31:53" x14ac:dyDescent="0.55000000000000004">
      <c r="AE989" s="7">
        <f ca="1"/>
      </c>
      <c r="AF989">
        <f ca="1"/>
      </c>
      <c r="AG989">
        <f ca="1"/>
      </c>
      <c r="AH989">
        <f ca="1"/>
      </c>
      <c r="AI989">
        <f ca="1"/>
      </c>
      <c r="AJ989">
        <f ca="1"/>
      </c>
      <c r="AK989">
        <f ca="1"/>
      </c>
      <c r="AL989">
        <f ca="1"/>
      </c>
      <c r="AM989">
        <f ca="1"/>
      </c>
      <c r="AN989">
        <f ca="1"/>
      </c>
      <c r="AO989">
        <f ca="1"/>
      </c>
      <c r="AP989">
        <f ca="1"/>
      </c>
      <c r="AQ989">
        <f ca="1"/>
      </c>
      <c r="AR989">
        <f ca="1"/>
      </c>
      <c r="AT989" s="7">
        <f ca="1"/>
      </c>
      <c r="AU989">
        <f ca="1"/>
      </c>
      <c r="AV989">
        <f ca="1"/>
      </c>
      <c r="AW989">
        <f ca="1"/>
      </c>
      <c r="AX989">
        <f ca="1"/>
      </c>
      <c r="AY989">
        <f ca="1"/>
      </c>
      <c r="BA989" s="7"/>
    </row>
    <row r="990" spans="31:53" x14ac:dyDescent="0.55000000000000004">
      <c r="AE990" s="7">
        <f ca="1"/>
      </c>
      <c r="AF990">
        <f ca="1"/>
      </c>
      <c r="AG990">
        <f ca="1"/>
      </c>
      <c r="AH990">
        <f ca="1"/>
      </c>
      <c r="AI990">
        <f ca="1"/>
      </c>
      <c r="AJ990">
        <f ca="1"/>
      </c>
      <c r="AK990">
        <f ca="1"/>
      </c>
      <c r="AL990">
        <f ca="1"/>
      </c>
      <c r="AM990">
        <f ca="1"/>
      </c>
      <c r="AN990">
        <f ca="1"/>
      </c>
      <c r="AO990">
        <f ca="1"/>
      </c>
      <c r="AP990">
        <f ca="1"/>
      </c>
      <c r="AQ990">
        <f ca="1"/>
      </c>
      <c r="AR990">
        <f ca="1"/>
      </c>
      <c r="AT990" s="7">
        <f ca="1"/>
      </c>
      <c r="AU990">
        <f ca="1"/>
      </c>
      <c r="AV990">
        <f ca="1"/>
      </c>
      <c r="AW990">
        <f ca="1"/>
      </c>
      <c r="AX990">
        <f ca="1"/>
      </c>
      <c r="AY990">
        <f ca="1"/>
      </c>
      <c r="BA990" s="7"/>
    </row>
    <row r="991" spans="31:53" x14ac:dyDescent="0.55000000000000004">
      <c r="AE991" s="7">
        <f ca="1"/>
      </c>
      <c r="AF991">
        <f ca="1"/>
      </c>
      <c r="AG991">
        <f ca="1"/>
      </c>
      <c r="AH991">
        <f ca="1"/>
      </c>
      <c r="AI991">
        <f ca="1"/>
      </c>
      <c r="AJ991">
        <f ca="1"/>
      </c>
      <c r="AK991">
        <f ca="1"/>
      </c>
      <c r="AL991">
        <f ca="1"/>
      </c>
      <c r="AM991">
        <f ca="1"/>
      </c>
      <c r="AN991">
        <f ca="1"/>
      </c>
      <c r="AO991">
        <f ca="1"/>
      </c>
      <c r="AP991">
        <f ca="1"/>
      </c>
      <c r="AQ991">
        <f ca="1"/>
      </c>
      <c r="AR991">
        <f ca="1"/>
      </c>
      <c r="AT991" s="7">
        <f ca="1"/>
      </c>
      <c r="AU991">
        <f ca="1"/>
      </c>
      <c r="AV991">
        <f ca="1"/>
      </c>
      <c r="AW991">
        <f ca="1"/>
      </c>
      <c r="AX991">
        <f ca="1"/>
      </c>
      <c r="AY991">
        <f ca="1"/>
      </c>
      <c r="BA991" s="7"/>
    </row>
    <row r="992" spans="31:53" x14ac:dyDescent="0.55000000000000004">
      <c r="AE992" s="7">
        <f ca="1"/>
      </c>
      <c r="AF992">
        <f ca="1"/>
      </c>
      <c r="AG992">
        <f ca="1"/>
      </c>
      <c r="AH992">
        <f ca="1"/>
      </c>
      <c r="AI992">
        <f ca="1"/>
      </c>
      <c r="AJ992">
        <f ca="1"/>
      </c>
      <c r="AK992">
        <f ca="1"/>
      </c>
      <c r="AL992">
        <f ca="1"/>
      </c>
      <c r="AM992">
        <f ca="1"/>
      </c>
      <c r="AN992">
        <f ca="1"/>
      </c>
      <c r="AO992">
        <f ca="1"/>
      </c>
      <c r="AP992">
        <f ca="1"/>
      </c>
      <c r="AQ992">
        <f ca="1"/>
      </c>
      <c r="AR992">
        <f ca="1"/>
      </c>
      <c r="AT992" s="7">
        <f ca="1"/>
      </c>
      <c r="AU992">
        <f ca="1"/>
      </c>
      <c r="AV992">
        <f ca="1"/>
      </c>
      <c r="AW992">
        <f ca="1"/>
      </c>
      <c r="AX992">
        <f ca="1"/>
      </c>
      <c r="AY992">
        <f ca="1"/>
      </c>
      <c r="BA992" s="7"/>
    </row>
    <row r="993" spans="31:53" x14ac:dyDescent="0.55000000000000004">
      <c r="AE993" s="7">
        <f ca="1"/>
      </c>
      <c r="AF993">
        <f ca="1"/>
      </c>
      <c r="AG993">
        <f ca="1"/>
      </c>
      <c r="AH993">
        <f ca="1"/>
      </c>
      <c r="AI993">
        <f ca="1"/>
      </c>
      <c r="AJ993">
        <f ca="1"/>
      </c>
      <c r="AK993">
        <f ca="1"/>
      </c>
      <c r="AL993">
        <f ca="1"/>
      </c>
      <c r="AM993">
        <f ca="1"/>
      </c>
      <c r="AN993">
        <f ca="1"/>
      </c>
      <c r="AO993">
        <f ca="1"/>
      </c>
      <c r="AP993">
        <f ca="1"/>
      </c>
      <c r="AQ993">
        <f ca="1"/>
      </c>
      <c r="AR993">
        <f ca="1"/>
      </c>
      <c r="AT993" s="7">
        <f ca="1"/>
      </c>
      <c r="AU993">
        <f ca="1"/>
      </c>
      <c r="AV993">
        <f ca="1"/>
      </c>
      <c r="AW993">
        <f ca="1"/>
      </c>
      <c r="AX993">
        <f ca="1"/>
      </c>
      <c r="AY993">
        <f ca="1"/>
      </c>
      <c r="BA993" s="7"/>
    </row>
    <row r="994" spans="31:53" x14ac:dyDescent="0.55000000000000004">
      <c r="AE994" s="7">
        <f ca="1"/>
      </c>
      <c r="AF994">
        <f ca="1"/>
      </c>
      <c r="AG994">
        <f ca="1"/>
      </c>
      <c r="AH994">
        <f ca="1"/>
      </c>
      <c r="AI994">
        <f ca="1"/>
      </c>
      <c r="AJ994">
        <f ca="1"/>
      </c>
      <c r="AK994">
        <f ca="1"/>
      </c>
      <c r="AL994">
        <f ca="1"/>
      </c>
      <c r="AM994">
        <f ca="1"/>
      </c>
      <c r="AN994">
        <f ca="1"/>
      </c>
      <c r="AO994">
        <f ca="1"/>
      </c>
      <c r="AP994">
        <f ca="1"/>
      </c>
      <c r="AQ994">
        <f ca="1"/>
      </c>
      <c r="AR994">
        <f ca="1"/>
      </c>
      <c r="AT994" s="7">
        <f ca="1"/>
      </c>
      <c r="AU994">
        <f ca="1"/>
      </c>
      <c r="AV994">
        <f ca="1"/>
      </c>
      <c r="AW994">
        <f ca="1"/>
      </c>
      <c r="AX994">
        <f ca="1"/>
      </c>
      <c r="AY994">
        <f ca="1"/>
      </c>
      <c r="BA994" s="7"/>
    </row>
    <row r="995" spans="31:53" x14ac:dyDescent="0.55000000000000004">
      <c r="AE995" s="7">
        <f ca="1"/>
      </c>
      <c r="AF995">
        <f ca="1"/>
      </c>
      <c r="AG995">
        <f ca="1"/>
      </c>
      <c r="AH995">
        <f ca="1"/>
      </c>
      <c r="AI995">
        <f ca="1"/>
      </c>
      <c r="AJ995">
        <f ca="1"/>
      </c>
      <c r="AK995">
        <f ca="1"/>
      </c>
      <c r="AL995">
        <f ca="1"/>
      </c>
      <c r="AM995">
        <f ca="1"/>
      </c>
      <c r="AN995">
        <f ca="1"/>
      </c>
      <c r="AO995">
        <f ca="1"/>
      </c>
      <c r="AP995">
        <f ca="1"/>
      </c>
      <c r="AQ995">
        <f ca="1"/>
      </c>
      <c r="AR995">
        <f ca="1"/>
      </c>
      <c r="AT995" s="7">
        <f ca="1"/>
      </c>
      <c r="AU995">
        <f ca="1"/>
      </c>
      <c r="AV995">
        <f ca="1"/>
      </c>
      <c r="AW995">
        <f ca="1"/>
      </c>
      <c r="AX995">
        <f ca="1"/>
      </c>
      <c r="AY995">
        <f ca="1"/>
      </c>
      <c r="BA995" s="7"/>
    </row>
    <row r="996" spans="31:53" x14ac:dyDescent="0.55000000000000004">
      <c r="AE996" s="7">
        <f ca="1"/>
      </c>
      <c r="AF996">
        <f ca="1"/>
      </c>
      <c r="AG996">
        <f ca="1"/>
      </c>
      <c r="AH996">
        <f ca="1"/>
      </c>
      <c r="AI996">
        <f ca="1"/>
      </c>
      <c r="AJ996">
        <f ca="1"/>
      </c>
      <c r="AK996">
        <f ca="1"/>
      </c>
      <c r="AL996">
        <f ca="1"/>
      </c>
      <c r="AM996">
        <f ca="1"/>
      </c>
      <c r="AN996">
        <f ca="1"/>
      </c>
      <c r="AO996">
        <f ca="1"/>
      </c>
      <c r="AP996">
        <f ca="1"/>
      </c>
      <c r="AQ996">
        <f ca="1"/>
      </c>
      <c r="AR996">
        <f ca="1"/>
      </c>
      <c r="AT996" s="7">
        <f ca="1"/>
      </c>
      <c r="AU996">
        <f ca="1"/>
      </c>
      <c r="AV996">
        <f ca="1"/>
      </c>
      <c r="AW996">
        <f ca="1"/>
      </c>
      <c r="AX996">
        <f ca="1"/>
      </c>
      <c r="AY996">
        <f ca="1"/>
      </c>
      <c r="BA996" s="7"/>
    </row>
    <row r="997" spans="31:53" x14ac:dyDescent="0.55000000000000004">
      <c r="AE997" s="7">
        <f ca="1"/>
      </c>
      <c r="AF997">
        <f ca="1"/>
      </c>
      <c r="AG997">
        <f ca="1"/>
      </c>
      <c r="AH997">
        <f ca="1"/>
      </c>
      <c r="AI997">
        <f ca="1"/>
      </c>
      <c r="AJ997">
        <f ca="1"/>
      </c>
      <c r="AK997">
        <f ca="1"/>
      </c>
      <c r="AL997">
        <f ca="1"/>
      </c>
      <c r="AM997">
        <f ca="1"/>
      </c>
      <c r="AN997">
        <f ca="1"/>
      </c>
      <c r="AO997">
        <f ca="1"/>
      </c>
      <c r="AP997">
        <f ca="1"/>
      </c>
      <c r="AQ997">
        <f ca="1"/>
      </c>
      <c r="AR997">
        <f ca="1"/>
      </c>
      <c r="AT997" s="7">
        <f ca="1"/>
      </c>
      <c r="AU997">
        <f ca="1"/>
      </c>
      <c r="AV997">
        <f ca="1"/>
      </c>
      <c r="AW997">
        <f ca="1"/>
      </c>
      <c r="AX997">
        <f ca="1"/>
      </c>
      <c r="AY997">
        <f ca="1"/>
      </c>
      <c r="BA997" s="7"/>
    </row>
    <row r="998" spans="31:53" x14ac:dyDescent="0.55000000000000004">
      <c r="AE998" s="7">
        <f ca="1"/>
      </c>
      <c r="AF998">
        <f ca="1"/>
      </c>
      <c r="AG998">
        <f ca="1"/>
      </c>
      <c r="AH998">
        <f ca="1"/>
      </c>
      <c r="AI998">
        <f ca="1"/>
      </c>
      <c r="AJ998">
        <f ca="1"/>
      </c>
      <c r="AK998">
        <f ca="1"/>
      </c>
      <c r="AL998">
        <f ca="1"/>
      </c>
      <c r="AM998">
        <f ca="1"/>
      </c>
      <c r="AN998">
        <f ca="1"/>
      </c>
      <c r="AO998">
        <f ca="1"/>
      </c>
      <c r="AP998">
        <f ca="1"/>
      </c>
      <c r="AQ998">
        <f ca="1"/>
      </c>
      <c r="AR998">
        <f ca="1"/>
      </c>
      <c r="AT998" s="7">
        <f ca="1"/>
      </c>
      <c r="AU998">
        <f ca="1"/>
      </c>
      <c r="AV998">
        <f ca="1"/>
      </c>
      <c r="AW998">
        <f ca="1"/>
      </c>
      <c r="AX998">
        <f ca="1"/>
      </c>
      <c r="AY998">
        <f ca="1"/>
      </c>
      <c r="BA998" s="7"/>
    </row>
    <row r="999" spans="31:53" x14ac:dyDescent="0.55000000000000004">
      <c r="AE999" s="7">
        <f ca="1"/>
      </c>
      <c r="AF999">
        <f ca="1"/>
      </c>
      <c r="AG999">
        <f ca="1"/>
      </c>
      <c r="AH999">
        <f ca="1"/>
      </c>
      <c r="AI999">
        <f ca="1"/>
      </c>
      <c r="AJ999">
        <f ca="1"/>
      </c>
      <c r="AK999">
        <f ca="1"/>
      </c>
      <c r="AL999">
        <f ca="1"/>
      </c>
      <c r="AM999">
        <f ca="1"/>
      </c>
      <c r="AN999">
        <f ca="1"/>
      </c>
      <c r="AO999">
        <f ca="1"/>
      </c>
      <c r="AP999">
        <f ca="1"/>
      </c>
      <c r="AQ999">
        <f ca="1"/>
      </c>
      <c r="AR999">
        <f ca="1"/>
      </c>
      <c r="AT999" s="7">
        <f ca="1"/>
      </c>
      <c r="AU999">
        <f ca="1"/>
      </c>
      <c r="AV999">
        <f ca="1"/>
      </c>
      <c r="AW999">
        <f ca="1"/>
      </c>
      <c r="AX999">
        <f ca="1"/>
      </c>
      <c r="AY999">
        <f ca="1"/>
      </c>
      <c r="BA999" s="7"/>
    </row>
    <row r="1000" spans="31:53" x14ac:dyDescent="0.55000000000000004">
      <c r="AE1000" s="7">
        <f ca="1"/>
      </c>
      <c r="AF1000">
        <f ca="1"/>
      </c>
      <c r="AG1000">
        <f ca="1"/>
      </c>
      <c r="AH1000">
        <f ca="1"/>
      </c>
      <c r="AI1000">
        <f ca="1"/>
      </c>
      <c r="AJ1000">
        <f ca="1"/>
      </c>
      <c r="AK1000">
        <f ca="1"/>
      </c>
      <c r="AL1000">
        <f ca="1"/>
      </c>
      <c r="AM1000">
        <f ca="1"/>
      </c>
      <c r="AN1000">
        <f ca="1"/>
      </c>
      <c r="AO1000">
        <f ca="1"/>
      </c>
      <c r="AP1000">
        <f ca="1"/>
      </c>
      <c r="AQ1000">
        <f ca="1"/>
      </c>
      <c r="AR1000">
        <f ca="1"/>
      </c>
      <c r="AT1000" s="7">
        <f ca="1"/>
      </c>
      <c r="AU1000">
        <f ca="1"/>
      </c>
      <c r="AV1000">
        <f ca="1"/>
      </c>
      <c r="AW1000">
        <f ca="1"/>
      </c>
      <c r="AX1000">
        <f ca="1"/>
      </c>
      <c r="AY1000">
        <f ca="1"/>
      </c>
      <c r="BA1000" s="7"/>
    </row>
    <row r="1001" spans="31:53" x14ac:dyDescent="0.55000000000000004">
      <c r="AE1001" s="7">
        <f ca="1"/>
      </c>
      <c r="AF1001">
        <f ca="1"/>
      </c>
      <c r="AG1001">
        <f ca="1"/>
      </c>
      <c r="AH1001">
        <f ca="1"/>
      </c>
      <c r="AI1001">
        <f ca="1"/>
      </c>
      <c r="AJ1001">
        <f ca="1"/>
      </c>
      <c r="AK1001">
        <f ca="1"/>
      </c>
      <c r="AL1001">
        <f ca="1"/>
      </c>
      <c r="AM1001">
        <f ca="1"/>
      </c>
      <c r="AN1001">
        <f ca="1"/>
      </c>
      <c r="AO1001">
        <f ca="1"/>
      </c>
      <c r="AP1001">
        <f ca="1"/>
      </c>
      <c r="AQ1001">
        <f ca="1"/>
      </c>
      <c r="AR1001">
        <f ca="1"/>
      </c>
      <c r="AT1001" s="7">
        <f ca="1"/>
      </c>
      <c r="AU1001">
        <f ca="1"/>
      </c>
      <c r="AV1001">
        <f ca="1"/>
      </c>
      <c r="AW1001">
        <f ca="1"/>
      </c>
      <c r="AX1001">
        <f ca="1"/>
      </c>
      <c r="AY1001">
        <f ca="1"/>
      </c>
      <c r="BA1001" s="7"/>
    </row>
    <row r="1002" spans="31:53" x14ac:dyDescent="0.55000000000000004">
      <c r="AE1002" s="7">
        <f ca="1"/>
      </c>
      <c r="AF1002">
        <f ca="1"/>
      </c>
      <c r="AG1002">
        <f ca="1"/>
      </c>
      <c r="AH1002">
        <f ca="1"/>
      </c>
      <c r="AI1002">
        <f ca="1"/>
      </c>
      <c r="AJ1002">
        <f ca="1"/>
      </c>
      <c r="AK1002">
        <f ca="1"/>
      </c>
      <c r="AL1002">
        <f ca="1"/>
      </c>
      <c r="AM1002">
        <f ca="1"/>
      </c>
      <c r="AN1002">
        <f ca="1"/>
      </c>
      <c r="AO1002">
        <f ca="1"/>
      </c>
      <c r="AP1002">
        <f ca="1"/>
      </c>
      <c r="AQ1002">
        <f ca="1"/>
      </c>
      <c r="AR1002">
        <f ca="1"/>
      </c>
      <c r="AT1002" s="7">
        <f ca="1"/>
      </c>
      <c r="AU1002">
        <f ca="1"/>
      </c>
      <c r="AV1002">
        <f ca="1"/>
      </c>
      <c r="AW1002">
        <f ca="1"/>
      </c>
      <c r="AX1002">
        <f ca="1"/>
      </c>
      <c r="AY1002">
        <f ca="1"/>
      </c>
      <c r="BA1002" s="7"/>
    </row>
    <row r="1003" spans="31:53" x14ac:dyDescent="0.55000000000000004">
      <c r="AE1003" s="7">
        <f ca="1"/>
      </c>
      <c r="AF1003">
        <f ca="1"/>
      </c>
      <c r="AG1003">
        <f ca="1"/>
      </c>
      <c r="AH1003">
        <f ca="1"/>
      </c>
      <c r="AI1003">
        <f ca="1"/>
      </c>
      <c r="AJ1003">
        <f ca="1"/>
      </c>
      <c r="AK1003">
        <f ca="1"/>
      </c>
      <c r="AL1003">
        <f ca="1"/>
      </c>
      <c r="AM1003">
        <f ca="1"/>
      </c>
      <c r="AN1003">
        <f ca="1"/>
      </c>
      <c r="AO1003">
        <f ca="1"/>
      </c>
      <c r="AP1003">
        <f ca="1"/>
      </c>
      <c r="AQ1003">
        <f ca="1"/>
      </c>
      <c r="AR1003">
        <f ca="1"/>
      </c>
      <c r="AT1003" s="7">
        <f ca="1"/>
      </c>
      <c r="AU1003">
        <f ca="1"/>
      </c>
      <c r="AV1003">
        <f ca="1"/>
      </c>
      <c r="AW1003">
        <f ca="1"/>
      </c>
      <c r="AX1003">
        <f ca="1"/>
      </c>
      <c r="AY1003">
        <f ca="1"/>
      </c>
      <c r="BA1003" s="7"/>
    </row>
    <row r="1004" spans="31:53" x14ac:dyDescent="0.55000000000000004">
      <c r="AE1004" s="7">
        <f ca="1"/>
      </c>
      <c r="AF1004">
        <f ca="1"/>
      </c>
      <c r="AG1004">
        <f ca="1"/>
      </c>
      <c r="AH1004">
        <f ca="1"/>
      </c>
      <c r="AI1004">
        <f ca="1"/>
      </c>
      <c r="AJ1004">
        <f ca="1"/>
      </c>
      <c r="AK1004">
        <f ca="1"/>
      </c>
      <c r="AL1004">
        <f ca="1"/>
      </c>
      <c r="AM1004">
        <f ca="1"/>
      </c>
      <c r="AN1004">
        <f ca="1"/>
      </c>
      <c r="AO1004">
        <f ca="1"/>
      </c>
      <c r="AP1004">
        <f ca="1"/>
      </c>
      <c r="AQ1004">
        <f ca="1"/>
      </c>
      <c r="AR1004">
        <f ca="1"/>
      </c>
      <c r="AT1004" s="7">
        <f ca="1"/>
      </c>
      <c r="AU1004">
        <f ca="1"/>
      </c>
      <c r="AV1004">
        <f ca="1"/>
      </c>
      <c r="AW1004">
        <f ca="1"/>
      </c>
      <c r="AX1004">
        <f ca="1"/>
      </c>
      <c r="AY1004">
        <f ca="1"/>
      </c>
      <c r="BA1004" s="7"/>
    </row>
    <row r="1005" spans="31:53" x14ac:dyDescent="0.55000000000000004">
      <c r="AE1005" s="7">
        <f ca="1"/>
      </c>
      <c r="AF1005">
        <f ca="1"/>
      </c>
      <c r="AG1005">
        <f ca="1"/>
      </c>
      <c r="AH1005">
        <f ca="1"/>
      </c>
      <c r="AI1005">
        <f ca="1"/>
      </c>
      <c r="AJ1005">
        <f ca="1"/>
      </c>
      <c r="AK1005">
        <f ca="1"/>
      </c>
      <c r="AL1005">
        <f ca="1"/>
      </c>
      <c r="AM1005">
        <f ca="1"/>
      </c>
      <c r="AN1005">
        <f ca="1"/>
      </c>
      <c r="AO1005">
        <f ca="1"/>
      </c>
      <c r="AP1005">
        <f ca="1"/>
      </c>
      <c r="AQ1005">
        <f ca="1"/>
      </c>
      <c r="AR1005">
        <f ca="1"/>
      </c>
      <c r="AT1005" s="7">
        <f ca="1"/>
      </c>
      <c r="AU1005">
        <f ca="1"/>
      </c>
      <c r="AV1005">
        <f ca="1"/>
      </c>
      <c r="AW1005">
        <f ca="1"/>
      </c>
      <c r="AX1005">
        <f ca="1"/>
      </c>
      <c r="AY1005">
        <f ca="1"/>
      </c>
      <c r="BA1005" s="7"/>
    </row>
    <row r="1006" spans="31:53" x14ac:dyDescent="0.55000000000000004">
      <c r="AE1006" s="7">
        <f ca="1"/>
      </c>
      <c r="AF1006">
        <f ca="1"/>
      </c>
      <c r="AG1006">
        <f ca="1"/>
      </c>
      <c r="AH1006">
        <f ca="1"/>
      </c>
      <c r="AI1006">
        <f ca="1"/>
      </c>
      <c r="AJ1006">
        <f ca="1"/>
      </c>
      <c r="AK1006">
        <f ca="1"/>
      </c>
      <c r="AL1006">
        <f ca="1"/>
      </c>
      <c r="AM1006">
        <f ca="1"/>
      </c>
      <c r="AN1006">
        <f ca="1"/>
      </c>
      <c r="AO1006">
        <f ca="1"/>
      </c>
      <c r="AP1006">
        <f ca="1"/>
      </c>
      <c r="AQ1006">
        <f ca="1"/>
      </c>
      <c r="AR1006">
        <f ca="1"/>
      </c>
      <c r="AT1006" s="7">
        <f ca="1"/>
      </c>
      <c r="AU1006">
        <f ca="1"/>
      </c>
      <c r="AV1006">
        <f ca="1"/>
      </c>
      <c r="AW1006">
        <f ca="1"/>
      </c>
      <c r="AX1006">
        <f ca="1"/>
      </c>
      <c r="AY1006">
        <f ca="1"/>
      </c>
      <c r="BA1006" s="7"/>
    </row>
    <row r="1007" spans="31:53" x14ac:dyDescent="0.55000000000000004">
      <c r="AE1007" s="7">
        <f ca="1"/>
      </c>
      <c r="AF1007">
        <f ca="1"/>
      </c>
      <c r="AG1007">
        <f ca="1"/>
      </c>
      <c r="AH1007">
        <f ca="1"/>
      </c>
      <c r="AI1007">
        <f ca="1"/>
      </c>
      <c r="AJ1007">
        <f ca="1"/>
      </c>
      <c r="AK1007">
        <f ca="1"/>
      </c>
      <c r="AL1007">
        <f ca="1"/>
      </c>
      <c r="AM1007">
        <f ca="1"/>
      </c>
      <c r="AN1007">
        <f ca="1"/>
      </c>
      <c r="AO1007">
        <f ca="1"/>
      </c>
      <c r="AP1007">
        <f ca="1"/>
      </c>
      <c r="AQ1007">
        <f ca="1"/>
      </c>
      <c r="AR1007">
        <f ca="1"/>
      </c>
      <c r="AT1007" s="7">
        <f ca="1"/>
      </c>
      <c r="AU1007">
        <f ca="1"/>
      </c>
      <c r="AV1007">
        <f ca="1"/>
      </c>
      <c r="AW1007">
        <f ca="1"/>
      </c>
      <c r="AX1007">
        <f ca="1"/>
      </c>
      <c r="AY1007">
        <f ca="1"/>
      </c>
      <c r="BA1007" s="7"/>
    </row>
    <row r="1008" spans="31:53" x14ac:dyDescent="0.55000000000000004">
      <c r="AE1008" s="7">
        <f ca="1"/>
      </c>
      <c r="AF1008">
        <f ca="1"/>
      </c>
      <c r="AG1008">
        <f ca="1"/>
      </c>
      <c r="AH1008">
        <f ca="1"/>
      </c>
      <c r="AI1008">
        <f ca="1"/>
      </c>
      <c r="AJ1008">
        <f ca="1"/>
      </c>
      <c r="AK1008">
        <f ca="1"/>
      </c>
      <c r="AL1008">
        <f ca="1"/>
      </c>
      <c r="AM1008">
        <f ca="1"/>
      </c>
      <c r="AN1008">
        <f ca="1"/>
      </c>
      <c r="AO1008">
        <f ca="1"/>
      </c>
      <c r="AP1008">
        <f ca="1"/>
      </c>
      <c r="AQ1008">
        <f ca="1"/>
      </c>
      <c r="AR1008">
        <f ca="1"/>
      </c>
      <c r="AT1008" s="7">
        <f ca="1"/>
      </c>
      <c r="AU1008">
        <f ca="1"/>
      </c>
      <c r="AV1008">
        <f ca="1"/>
      </c>
      <c r="AW1008">
        <f ca="1"/>
      </c>
      <c r="AX1008">
        <f ca="1"/>
      </c>
      <c r="AY1008">
        <f ca="1"/>
      </c>
      <c r="BA1008" s="7"/>
    </row>
    <row r="1009" spans="31:53" x14ac:dyDescent="0.55000000000000004">
      <c r="AE1009" s="7">
        <f ca="1"/>
      </c>
      <c r="AF1009">
        <f ca="1"/>
      </c>
      <c r="AG1009">
        <f ca="1"/>
      </c>
      <c r="AH1009">
        <f ca="1"/>
      </c>
      <c r="AI1009">
        <f ca="1"/>
      </c>
      <c r="AJ1009">
        <f ca="1"/>
      </c>
      <c r="AK1009">
        <f ca="1"/>
      </c>
      <c r="AL1009">
        <f ca="1"/>
      </c>
      <c r="AM1009">
        <f ca="1"/>
      </c>
      <c r="AN1009">
        <f ca="1"/>
      </c>
      <c r="AO1009">
        <f ca="1"/>
      </c>
      <c r="AP1009">
        <f ca="1"/>
      </c>
      <c r="AQ1009">
        <f ca="1"/>
      </c>
      <c r="AR1009">
        <f ca="1"/>
      </c>
      <c r="AT1009" s="7">
        <f ca="1"/>
      </c>
      <c r="AU1009">
        <f ca="1"/>
      </c>
      <c r="AV1009">
        <f ca="1"/>
      </c>
      <c r="AW1009">
        <f ca="1"/>
      </c>
      <c r="AX1009">
        <f ca="1"/>
      </c>
      <c r="AY1009">
        <f ca="1"/>
      </c>
      <c r="BA1009" s="7"/>
    </row>
    <row r="1010" spans="31:53" x14ac:dyDescent="0.55000000000000004">
      <c r="AE1010" s="7">
        <f ca="1"/>
      </c>
      <c r="AF1010">
        <f ca="1"/>
      </c>
      <c r="AG1010">
        <f ca="1"/>
      </c>
      <c r="AH1010">
        <f ca="1"/>
      </c>
      <c r="AI1010">
        <f ca="1"/>
      </c>
      <c r="AJ1010">
        <f ca="1"/>
      </c>
      <c r="AK1010">
        <f ca="1"/>
      </c>
      <c r="AL1010">
        <f ca="1"/>
      </c>
      <c r="AM1010">
        <f ca="1"/>
      </c>
      <c r="AN1010">
        <f ca="1"/>
      </c>
      <c r="AO1010">
        <f ca="1"/>
      </c>
      <c r="AP1010">
        <f ca="1"/>
      </c>
      <c r="AQ1010">
        <f ca="1"/>
      </c>
      <c r="AR1010">
        <f ca="1"/>
      </c>
      <c r="AT1010" s="7">
        <f ca="1"/>
      </c>
      <c r="AU1010">
        <f ca="1"/>
      </c>
      <c r="AV1010">
        <f ca="1"/>
      </c>
      <c r="AW1010">
        <f ca="1"/>
      </c>
      <c r="AX1010">
        <f ca="1"/>
      </c>
      <c r="AY1010">
        <f ca="1"/>
      </c>
      <c r="BA1010" s="7"/>
    </row>
    <row r="1011" spans="31:53" x14ac:dyDescent="0.55000000000000004">
      <c r="AE1011" s="7">
        <f ca="1"/>
      </c>
      <c r="AF1011">
        <f ca="1"/>
      </c>
      <c r="AG1011">
        <f ca="1"/>
      </c>
      <c r="AH1011">
        <f ca="1"/>
      </c>
      <c r="AI1011">
        <f ca="1"/>
      </c>
      <c r="AJ1011">
        <f ca="1"/>
      </c>
      <c r="AK1011">
        <f ca="1"/>
      </c>
      <c r="AL1011">
        <f ca="1"/>
      </c>
      <c r="AM1011">
        <f ca="1"/>
      </c>
      <c r="AN1011">
        <f ca="1"/>
      </c>
      <c r="AO1011">
        <f ca="1"/>
      </c>
      <c r="AP1011">
        <f ca="1"/>
      </c>
      <c r="AQ1011">
        <f ca="1"/>
      </c>
      <c r="AR1011">
        <f ca="1"/>
      </c>
      <c r="AT1011" s="7">
        <f ca="1"/>
      </c>
      <c r="AU1011">
        <f ca="1"/>
      </c>
      <c r="AV1011">
        <f ca="1"/>
      </c>
      <c r="AW1011">
        <f ca="1"/>
      </c>
      <c r="AX1011">
        <f ca="1"/>
      </c>
      <c r="AY1011">
        <f ca="1"/>
      </c>
      <c r="BA1011" s="7"/>
    </row>
    <row r="1012" spans="31:53" x14ac:dyDescent="0.55000000000000004">
      <c r="AE1012" s="7">
        <f ca="1"/>
      </c>
      <c r="AF1012">
        <f ca="1"/>
      </c>
      <c r="AG1012">
        <f ca="1"/>
      </c>
      <c r="AH1012">
        <f ca="1"/>
      </c>
      <c r="AI1012">
        <f ca="1"/>
      </c>
      <c r="AJ1012">
        <f ca="1"/>
      </c>
      <c r="AK1012">
        <f ca="1"/>
      </c>
      <c r="AL1012">
        <f ca="1"/>
      </c>
      <c r="AM1012">
        <f ca="1"/>
      </c>
      <c r="AN1012">
        <f ca="1"/>
      </c>
      <c r="AO1012">
        <f ca="1"/>
      </c>
      <c r="AP1012">
        <f ca="1"/>
      </c>
      <c r="AQ1012">
        <f ca="1"/>
      </c>
      <c r="AR1012">
        <f ca="1"/>
      </c>
      <c r="AT1012" s="7">
        <f ca="1"/>
      </c>
      <c r="AU1012">
        <f ca="1"/>
      </c>
      <c r="AV1012">
        <f ca="1"/>
      </c>
      <c r="AW1012">
        <f ca="1"/>
      </c>
      <c r="AX1012">
        <f ca="1"/>
      </c>
      <c r="AY1012">
        <f ca="1"/>
      </c>
      <c r="BA1012" s="7"/>
    </row>
    <row r="1013" spans="31:53" x14ac:dyDescent="0.55000000000000004">
      <c r="AE1013" s="7">
        <f ca="1"/>
      </c>
      <c r="AF1013">
        <f ca="1"/>
      </c>
      <c r="AG1013">
        <f ca="1"/>
      </c>
      <c r="AH1013">
        <f ca="1"/>
      </c>
      <c r="AI1013">
        <f ca="1"/>
      </c>
      <c r="AJ1013">
        <f ca="1"/>
      </c>
      <c r="AK1013">
        <f ca="1"/>
      </c>
      <c r="AL1013">
        <f ca="1"/>
      </c>
      <c r="AM1013">
        <f ca="1"/>
      </c>
      <c r="AN1013">
        <f ca="1"/>
      </c>
      <c r="AO1013">
        <f ca="1"/>
      </c>
      <c r="AP1013">
        <f ca="1"/>
      </c>
      <c r="AQ1013">
        <f ca="1"/>
      </c>
      <c r="AR1013">
        <f ca="1"/>
      </c>
      <c r="AT1013" s="7">
        <f ca="1"/>
      </c>
      <c r="AU1013">
        <f ca="1"/>
      </c>
      <c r="AV1013">
        <f ca="1"/>
      </c>
      <c r="AW1013">
        <f ca="1"/>
      </c>
      <c r="AX1013">
        <f ca="1"/>
      </c>
      <c r="AY1013">
        <f ca="1"/>
      </c>
      <c r="BA1013" s="7"/>
    </row>
    <row r="1014" spans="31:53" x14ac:dyDescent="0.55000000000000004">
      <c r="AE1014" s="7">
        <f ca="1"/>
      </c>
      <c r="AF1014">
        <f ca="1"/>
      </c>
      <c r="AG1014">
        <f ca="1"/>
      </c>
      <c r="AH1014">
        <f ca="1"/>
      </c>
      <c r="AI1014">
        <f ca="1"/>
      </c>
      <c r="AJ1014">
        <f ca="1"/>
      </c>
      <c r="AK1014">
        <f ca="1"/>
      </c>
      <c r="AL1014">
        <f ca="1"/>
      </c>
      <c r="AM1014">
        <f ca="1"/>
      </c>
      <c r="AN1014">
        <f ca="1"/>
      </c>
      <c r="AO1014">
        <f ca="1"/>
      </c>
      <c r="AP1014">
        <f ca="1"/>
      </c>
      <c r="AQ1014">
        <f ca="1"/>
      </c>
      <c r="AR1014">
        <f ca="1"/>
      </c>
      <c r="AT1014" s="7">
        <f ca="1"/>
      </c>
      <c r="AU1014">
        <f ca="1"/>
      </c>
      <c r="AV1014">
        <f ca="1"/>
      </c>
      <c r="AW1014">
        <f ca="1"/>
      </c>
      <c r="AX1014">
        <f ca="1"/>
      </c>
      <c r="AY1014">
        <f ca="1"/>
      </c>
      <c r="BA1014" s="7"/>
    </row>
    <row r="1015" spans="31:53" x14ac:dyDescent="0.55000000000000004">
      <c r="AE1015" s="7">
        <f ca="1"/>
      </c>
      <c r="AF1015">
        <f ca="1"/>
      </c>
      <c r="AG1015">
        <f ca="1"/>
      </c>
      <c r="AH1015">
        <f ca="1"/>
      </c>
      <c r="AI1015">
        <f ca="1"/>
      </c>
      <c r="AJ1015">
        <f ca="1"/>
      </c>
      <c r="AK1015">
        <f ca="1"/>
      </c>
      <c r="AL1015">
        <f ca="1"/>
      </c>
      <c r="AM1015">
        <f ca="1"/>
      </c>
      <c r="AN1015">
        <f ca="1"/>
      </c>
      <c r="AO1015">
        <f ca="1"/>
      </c>
      <c r="AP1015">
        <f ca="1"/>
      </c>
      <c r="AQ1015">
        <f ca="1"/>
      </c>
      <c r="AR1015">
        <f ca="1"/>
      </c>
      <c r="AT1015" s="7">
        <f ca="1"/>
      </c>
      <c r="AU1015">
        <f ca="1"/>
      </c>
      <c r="AV1015">
        <f ca="1"/>
      </c>
      <c r="AW1015">
        <f ca="1"/>
      </c>
      <c r="AX1015">
        <f ca="1"/>
      </c>
      <c r="AY1015">
        <f ca="1"/>
      </c>
      <c r="BA1015" s="7"/>
    </row>
    <row r="1016" spans="31:53" x14ac:dyDescent="0.55000000000000004">
      <c r="AE1016" s="7">
        <f ca="1"/>
      </c>
      <c r="AF1016">
        <f ca="1"/>
      </c>
      <c r="AG1016">
        <f ca="1"/>
      </c>
      <c r="AH1016">
        <f ca="1"/>
      </c>
      <c r="AI1016">
        <f ca="1"/>
      </c>
      <c r="AJ1016">
        <f ca="1"/>
      </c>
      <c r="AK1016">
        <f ca="1"/>
      </c>
      <c r="AL1016">
        <f ca="1"/>
      </c>
      <c r="AM1016">
        <f ca="1"/>
      </c>
      <c r="AN1016">
        <f ca="1"/>
      </c>
      <c r="AO1016">
        <f ca="1"/>
      </c>
      <c r="AP1016">
        <f ca="1"/>
      </c>
      <c r="AQ1016">
        <f ca="1"/>
      </c>
      <c r="AR1016">
        <f ca="1"/>
      </c>
      <c r="AT1016" s="7">
        <f ca="1"/>
      </c>
      <c r="AU1016">
        <f ca="1"/>
      </c>
      <c r="AV1016">
        <f ca="1"/>
      </c>
      <c r="AW1016">
        <f ca="1"/>
      </c>
      <c r="AX1016">
        <f ca="1"/>
      </c>
      <c r="AY1016">
        <f ca="1"/>
      </c>
      <c r="BA1016" s="7"/>
    </row>
    <row r="1017" spans="31:53" x14ac:dyDescent="0.55000000000000004">
      <c r="AE1017" s="7">
        <f ca="1"/>
      </c>
      <c r="AF1017">
        <f ca="1"/>
      </c>
      <c r="AG1017">
        <f ca="1"/>
      </c>
      <c r="AH1017">
        <f ca="1"/>
      </c>
      <c r="AI1017">
        <f ca="1"/>
      </c>
      <c r="AJ1017">
        <f ca="1"/>
      </c>
      <c r="AK1017">
        <f ca="1"/>
      </c>
      <c r="AL1017">
        <f ca="1"/>
      </c>
      <c r="AM1017">
        <f ca="1"/>
      </c>
      <c r="AN1017">
        <f ca="1"/>
      </c>
      <c r="AO1017">
        <f ca="1"/>
      </c>
      <c r="AP1017">
        <f ca="1"/>
      </c>
      <c r="AQ1017">
        <f ca="1"/>
      </c>
      <c r="AR1017">
        <f ca="1"/>
      </c>
      <c r="AT1017" s="7">
        <f ca="1"/>
      </c>
      <c r="AU1017">
        <f ca="1"/>
      </c>
      <c r="AV1017">
        <f ca="1"/>
      </c>
      <c r="AW1017">
        <f ca="1"/>
      </c>
      <c r="AX1017">
        <f ca="1"/>
      </c>
      <c r="AY1017">
        <f ca="1"/>
      </c>
      <c r="BA1017" s="7"/>
    </row>
    <row r="1018" spans="31:53" x14ac:dyDescent="0.55000000000000004">
      <c r="AE1018" s="7">
        <f ca="1"/>
      </c>
      <c r="AF1018">
        <f ca="1"/>
      </c>
      <c r="AG1018">
        <f ca="1"/>
      </c>
      <c r="AH1018">
        <f ca="1"/>
      </c>
      <c r="AI1018">
        <f ca="1"/>
      </c>
      <c r="AJ1018">
        <f ca="1"/>
      </c>
      <c r="AK1018">
        <f ca="1"/>
      </c>
      <c r="AL1018">
        <f ca="1"/>
      </c>
      <c r="AM1018">
        <f ca="1"/>
      </c>
      <c r="AN1018">
        <f ca="1"/>
      </c>
      <c r="AO1018">
        <f ca="1"/>
      </c>
      <c r="AP1018">
        <f ca="1"/>
      </c>
      <c r="AQ1018">
        <f ca="1"/>
      </c>
      <c r="AR1018">
        <f ca="1"/>
      </c>
      <c r="AT1018" s="7">
        <f ca="1"/>
      </c>
      <c r="AU1018">
        <f ca="1"/>
      </c>
      <c r="AV1018">
        <f ca="1"/>
      </c>
      <c r="AW1018">
        <f ca="1"/>
      </c>
      <c r="AX1018">
        <f ca="1"/>
      </c>
      <c r="AY1018">
        <f ca="1"/>
      </c>
      <c r="BA1018" s="7"/>
    </row>
    <row r="1019" spans="31:53" x14ac:dyDescent="0.55000000000000004">
      <c r="AE1019" s="7">
        <f ca="1"/>
      </c>
      <c r="AF1019">
        <f ca="1"/>
      </c>
      <c r="AG1019">
        <f ca="1"/>
      </c>
      <c r="AH1019">
        <f ca="1"/>
      </c>
      <c r="AI1019">
        <f ca="1"/>
      </c>
      <c r="AJ1019">
        <f ca="1"/>
      </c>
      <c r="AK1019">
        <f ca="1"/>
      </c>
      <c r="AL1019">
        <f ca="1"/>
      </c>
      <c r="AM1019">
        <f ca="1"/>
      </c>
      <c r="AN1019">
        <f ca="1"/>
      </c>
      <c r="AO1019">
        <f ca="1"/>
      </c>
      <c r="AP1019">
        <f ca="1"/>
      </c>
      <c r="AQ1019">
        <f ca="1"/>
      </c>
      <c r="AR1019">
        <f ca="1"/>
      </c>
      <c r="AT1019" s="7">
        <f ca="1"/>
      </c>
      <c r="AU1019">
        <f ca="1"/>
      </c>
      <c r="AV1019">
        <f ca="1"/>
      </c>
      <c r="AW1019">
        <f ca="1"/>
      </c>
      <c r="AX1019">
        <f ca="1"/>
      </c>
      <c r="AY1019">
        <f ca="1"/>
      </c>
      <c r="BA1019" s="7"/>
    </row>
    <row r="1020" spans="31:53" x14ac:dyDescent="0.55000000000000004">
      <c r="AE1020" s="7">
        <f ca="1"/>
      </c>
      <c r="AF1020">
        <f ca="1"/>
      </c>
      <c r="AG1020">
        <f ca="1"/>
      </c>
      <c r="AH1020">
        <f ca="1"/>
      </c>
      <c r="AI1020">
        <f ca="1"/>
      </c>
      <c r="AJ1020">
        <f ca="1"/>
      </c>
      <c r="AK1020">
        <f ca="1"/>
      </c>
      <c r="AL1020">
        <f ca="1"/>
      </c>
      <c r="AM1020">
        <f ca="1"/>
      </c>
      <c r="AN1020">
        <f ca="1"/>
      </c>
      <c r="AO1020">
        <f ca="1"/>
      </c>
      <c r="AP1020">
        <f ca="1"/>
      </c>
      <c r="AQ1020">
        <f ca="1"/>
      </c>
      <c r="AR1020">
        <f ca="1"/>
      </c>
      <c r="AT1020" s="7">
        <f ca="1"/>
      </c>
      <c r="AU1020">
        <f ca="1"/>
      </c>
      <c r="AV1020">
        <f ca="1"/>
      </c>
      <c r="AW1020">
        <f ca="1"/>
      </c>
      <c r="AX1020">
        <f ca="1"/>
      </c>
      <c r="AY1020">
        <f ca="1"/>
      </c>
      <c r="BA1020" s="7"/>
    </row>
    <row r="1021" spans="31:53" x14ac:dyDescent="0.55000000000000004">
      <c r="AE1021" s="7">
        <f ca="1"/>
      </c>
      <c r="AF1021">
        <f ca="1"/>
      </c>
      <c r="AG1021">
        <f ca="1"/>
      </c>
      <c r="AH1021">
        <f ca="1"/>
      </c>
      <c r="AI1021">
        <f ca="1"/>
      </c>
      <c r="AJ1021">
        <f ca="1"/>
      </c>
      <c r="AK1021">
        <f ca="1"/>
      </c>
      <c r="AL1021">
        <f ca="1"/>
      </c>
      <c r="AM1021">
        <f ca="1"/>
      </c>
      <c r="AN1021">
        <f ca="1"/>
      </c>
      <c r="AO1021">
        <f ca="1"/>
      </c>
      <c r="AP1021">
        <f ca="1"/>
      </c>
      <c r="AQ1021">
        <f ca="1"/>
      </c>
      <c r="AR1021">
        <f ca="1"/>
      </c>
      <c r="AT1021" s="7">
        <f ca="1"/>
      </c>
      <c r="AU1021">
        <f ca="1"/>
      </c>
      <c r="AV1021">
        <f ca="1"/>
      </c>
      <c r="AW1021">
        <f ca="1"/>
      </c>
      <c r="AX1021">
        <f ca="1"/>
      </c>
      <c r="AY1021">
        <f ca="1"/>
      </c>
      <c r="BA1021" s="7"/>
    </row>
    <row r="1022" spans="31:53" x14ac:dyDescent="0.55000000000000004">
      <c r="AE1022" s="7">
        <f ca="1"/>
      </c>
      <c r="AF1022">
        <f ca="1"/>
      </c>
      <c r="AG1022">
        <f ca="1"/>
      </c>
      <c r="AH1022">
        <f ca="1"/>
      </c>
      <c r="AI1022">
        <f ca="1"/>
      </c>
      <c r="AJ1022">
        <f ca="1"/>
      </c>
      <c r="AK1022">
        <f ca="1"/>
      </c>
      <c r="AL1022">
        <f ca="1"/>
      </c>
      <c r="AM1022">
        <f ca="1"/>
      </c>
      <c r="AN1022">
        <f ca="1"/>
      </c>
      <c r="AO1022">
        <f ca="1"/>
      </c>
      <c r="AP1022">
        <f ca="1"/>
      </c>
      <c r="AQ1022">
        <f ca="1"/>
      </c>
      <c r="AR1022">
        <f ca="1"/>
      </c>
      <c r="AT1022" s="7">
        <f ca="1"/>
      </c>
      <c r="AU1022">
        <f ca="1"/>
      </c>
      <c r="AV1022">
        <f ca="1"/>
      </c>
      <c r="AW1022">
        <f ca="1"/>
      </c>
      <c r="AX1022">
        <f ca="1"/>
      </c>
      <c r="AY1022">
        <f ca="1"/>
      </c>
      <c r="BA1022" s="7"/>
    </row>
    <row r="1023" spans="31:53" x14ac:dyDescent="0.55000000000000004">
      <c r="AE1023" s="7">
        <f ca="1"/>
      </c>
      <c r="AF1023">
        <f ca="1"/>
      </c>
      <c r="AG1023">
        <f ca="1"/>
      </c>
      <c r="AH1023">
        <f ca="1"/>
      </c>
      <c r="AI1023">
        <f ca="1"/>
      </c>
      <c r="AJ1023">
        <f ca="1"/>
      </c>
      <c r="AK1023">
        <f ca="1"/>
      </c>
      <c r="AL1023">
        <f ca="1"/>
      </c>
      <c r="AM1023">
        <f ca="1"/>
      </c>
      <c r="AN1023">
        <f ca="1"/>
      </c>
      <c r="AO1023">
        <f ca="1"/>
      </c>
      <c r="AP1023">
        <f ca="1"/>
      </c>
      <c r="AQ1023">
        <f ca="1"/>
      </c>
      <c r="AR1023">
        <f ca="1"/>
      </c>
      <c r="AT1023" s="7">
        <f ca="1"/>
      </c>
      <c r="AU1023">
        <f ca="1"/>
      </c>
      <c r="AV1023">
        <f ca="1"/>
      </c>
      <c r="AW1023">
        <f ca="1"/>
      </c>
      <c r="AX1023">
        <f ca="1"/>
      </c>
      <c r="AY1023">
        <f ca="1"/>
      </c>
      <c r="BA1023" s="7"/>
    </row>
    <row r="1024" spans="31:53" x14ac:dyDescent="0.55000000000000004">
      <c r="AE1024" s="7">
        <f ca="1"/>
      </c>
      <c r="AF1024">
        <f ca="1"/>
      </c>
      <c r="AG1024">
        <f ca="1"/>
      </c>
      <c r="AH1024">
        <f ca="1"/>
      </c>
      <c r="AI1024">
        <f ca="1"/>
      </c>
      <c r="AJ1024">
        <f ca="1"/>
      </c>
      <c r="AK1024">
        <f ca="1"/>
      </c>
      <c r="AL1024">
        <f ca="1"/>
      </c>
      <c r="AM1024">
        <f ca="1"/>
      </c>
      <c r="AN1024">
        <f ca="1"/>
      </c>
      <c r="AO1024">
        <f ca="1"/>
      </c>
      <c r="AP1024">
        <f ca="1"/>
      </c>
      <c r="AQ1024">
        <f ca="1"/>
      </c>
      <c r="AR1024">
        <f ca="1"/>
      </c>
      <c r="AT1024" s="7">
        <f ca="1"/>
      </c>
      <c r="AU1024">
        <f ca="1"/>
      </c>
      <c r="AV1024">
        <f ca="1"/>
      </c>
      <c r="AW1024">
        <f ca="1"/>
      </c>
      <c r="AX1024">
        <f ca="1"/>
      </c>
      <c r="AY1024">
        <f ca="1"/>
      </c>
      <c r="BA1024" s="7"/>
    </row>
    <row r="1025" spans="31:53" x14ac:dyDescent="0.55000000000000004">
      <c r="AE1025" s="7">
        <f ca="1"/>
      </c>
      <c r="AF1025">
        <f ca="1"/>
      </c>
      <c r="AG1025">
        <f ca="1"/>
      </c>
      <c r="AH1025">
        <f ca="1"/>
      </c>
      <c r="AI1025">
        <f ca="1"/>
      </c>
      <c r="AJ1025">
        <f ca="1"/>
      </c>
      <c r="AK1025">
        <f ca="1"/>
      </c>
      <c r="AL1025">
        <f ca="1"/>
      </c>
      <c r="AM1025">
        <f ca="1"/>
      </c>
      <c r="AN1025">
        <f ca="1"/>
      </c>
      <c r="AO1025">
        <f ca="1"/>
      </c>
      <c r="AP1025">
        <f ca="1"/>
      </c>
      <c r="AQ1025">
        <f ca="1"/>
      </c>
      <c r="AR1025">
        <f ca="1"/>
      </c>
      <c r="AT1025" s="7">
        <f ca="1"/>
      </c>
      <c r="AU1025">
        <f ca="1"/>
      </c>
      <c r="AV1025">
        <f ca="1"/>
      </c>
      <c r="AW1025">
        <f ca="1"/>
      </c>
      <c r="AX1025">
        <f ca="1"/>
      </c>
      <c r="AY1025">
        <f ca="1"/>
      </c>
      <c r="BA1025" s="7"/>
    </row>
    <row r="1026" spans="31:53" x14ac:dyDescent="0.55000000000000004">
      <c r="AE1026" s="7">
        <f ca="1"/>
      </c>
      <c r="AF1026">
        <f ca="1"/>
      </c>
      <c r="AG1026">
        <f ca="1"/>
      </c>
      <c r="AH1026">
        <f ca="1"/>
      </c>
      <c r="AI1026">
        <f ca="1"/>
      </c>
      <c r="AJ1026">
        <f ca="1"/>
      </c>
      <c r="AK1026">
        <f ca="1"/>
      </c>
      <c r="AL1026">
        <f ca="1"/>
      </c>
      <c r="AM1026">
        <f ca="1"/>
      </c>
      <c r="AN1026">
        <f ca="1"/>
      </c>
      <c r="AO1026">
        <f ca="1"/>
      </c>
      <c r="AP1026">
        <f ca="1"/>
      </c>
      <c r="AQ1026">
        <f ca="1"/>
      </c>
      <c r="AR1026">
        <f ca="1"/>
      </c>
      <c r="AT1026" s="7">
        <f ca="1"/>
      </c>
      <c r="AU1026">
        <f ca="1"/>
      </c>
      <c r="AV1026">
        <f ca="1"/>
      </c>
      <c r="AW1026">
        <f ca="1"/>
      </c>
      <c r="AX1026">
        <f ca="1"/>
      </c>
      <c r="AY1026">
        <f ca="1"/>
      </c>
      <c r="BA1026" s="7"/>
    </row>
    <row r="1027" spans="31:53" x14ac:dyDescent="0.55000000000000004">
      <c r="AE1027" s="7">
        <f ca="1"/>
      </c>
      <c r="AF1027">
        <f ca="1"/>
      </c>
      <c r="AG1027">
        <f ca="1"/>
      </c>
      <c r="AH1027">
        <f ca="1"/>
      </c>
      <c r="AI1027">
        <f ca="1"/>
      </c>
      <c r="AJ1027">
        <f ca="1"/>
      </c>
      <c r="AK1027">
        <f ca="1"/>
      </c>
      <c r="AL1027">
        <f ca="1"/>
      </c>
      <c r="AM1027">
        <f ca="1"/>
      </c>
      <c r="AN1027">
        <f ca="1"/>
      </c>
      <c r="AO1027">
        <f ca="1"/>
      </c>
      <c r="AP1027">
        <f ca="1"/>
      </c>
      <c r="AQ1027">
        <f ca="1"/>
      </c>
      <c r="AR1027">
        <f ca="1"/>
      </c>
      <c r="AT1027" s="7">
        <f ca="1"/>
      </c>
      <c r="AU1027">
        <f ca="1"/>
      </c>
      <c r="AV1027">
        <f ca="1"/>
      </c>
      <c r="AW1027">
        <f ca="1"/>
      </c>
      <c r="AX1027">
        <f ca="1"/>
      </c>
      <c r="AY1027">
        <f ca="1"/>
      </c>
      <c r="BA1027" s="7"/>
    </row>
    <row r="1028" spans="31:53" x14ac:dyDescent="0.55000000000000004">
      <c r="AE1028" s="7">
        <f ca="1"/>
      </c>
      <c r="AF1028">
        <f ca="1"/>
      </c>
      <c r="AG1028">
        <f ca="1"/>
      </c>
      <c r="AH1028">
        <f ca="1"/>
      </c>
      <c r="AI1028">
        <f ca="1"/>
      </c>
      <c r="AJ1028">
        <f ca="1"/>
      </c>
      <c r="AK1028">
        <f ca="1"/>
      </c>
      <c r="AL1028">
        <f ca="1"/>
      </c>
      <c r="AM1028">
        <f ca="1"/>
      </c>
      <c r="AN1028">
        <f ca="1"/>
      </c>
      <c r="AO1028">
        <f ca="1"/>
      </c>
      <c r="AP1028">
        <f ca="1"/>
      </c>
      <c r="AQ1028">
        <f ca="1"/>
      </c>
      <c r="AR1028">
        <f ca="1"/>
      </c>
      <c r="AT1028" s="7">
        <f ca="1"/>
      </c>
      <c r="AU1028">
        <f ca="1"/>
      </c>
      <c r="AV1028">
        <f ca="1"/>
      </c>
      <c r="AW1028">
        <f ca="1"/>
      </c>
      <c r="AX1028">
        <f ca="1"/>
      </c>
      <c r="AY1028">
        <f ca="1"/>
      </c>
      <c r="BA1028" s="7"/>
    </row>
    <row r="1029" spans="31:53" x14ac:dyDescent="0.55000000000000004">
      <c r="AE1029" s="7">
        <f ca="1"/>
      </c>
      <c r="AF1029">
        <f ca="1"/>
      </c>
      <c r="AG1029">
        <f ca="1"/>
      </c>
      <c r="AH1029">
        <f ca="1"/>
      </c>
      <c r="AI1029">
        <f ca="1"/>
      </c>
      <c r="AJ1029">
        <f ca="1"/>
      </c>
      <c r="AK1029">
        <f ca="1"/>
      </c>
      <c r="AL1029">
        <f ca="1"/>
      </c>
      <c r="AM1029">
        <f ca="1"/>
      </c>
      <c r="AN1029">
        <f ca="1"/>
      </c>
      <c r="AO1029">
        <f ca="1"/>
      </c>
      <c r="AP1029">
        <f ca="1"/>
      </c>
      <c r="AQ1029">
        <f ca="1"/>
      </c>
      <c r="AR1029">
        <f ca="1"/>
      </c>
      <c r="AT1029" s="7">
        <f ca="1"/>
      </c>
      <c r="AU1029">
        <f ca="1"/>
      </c>
      <c r="AV1029">
        <f ca="1"/>
      </c>
      <c r="AW1029">
        <f ca="1"/>
      </c>
      <c r="AX1029">
        <f ca="1"/>
      </c>
      <c r="AY1029">
        <f ca="1"/>
      </c>
      <c r="BA1029" s="7"/>
    </row>
    <row r="1030" spans="31:53" x14ac:dyDescent="0.55000000000000004">
      <c r="AE1030" s="7">
        <f ca="1"/>
      </c>
      <c r="AF1030">
        <f ca="1"/>
      </c>
      <c r="AG1030">
        <f ca="1"/>
      </c>
      <c r="AH1030">
        <f ca="1"/>
      </c>
      <c r="AI1030">
        <f ca="1"/>
      </c>
      <c r="AJ1030">
        <f ca="1"/>
      </c>
      <c r="AK1030">
        <f ca="1"/>
      </c>
      <c r="AL1030">
        <f ca="1"/>
      </c>
      <c r="AM1030">
        <f ca="1"/>
      </c>
      <c r="AN1030">
        <f ca="1"/>
      </c>
      <c r="AO1030">
        <f ca="1"/>
      </c>
      <c r="AP1030">
        <f ca="1"/>
      </c>
      <c r="AQ1030">
        <f ca="1"/>
      </c>
      <c r="AR1030">
        <f ca="1"/>
      </c>
      <c r="AT1030" s="7">
        <f ca="1"/>
      </c>
      <c r="AU1030">
        <f ca="1"/>
      </c>
      <c r="AV1030">
        <f ca="1"/>
      </c>
      <c r="AW1030">
        <f ca="1"/>
      </c>
      <c r="AX1030">
        <f ca="1"/>
      </c>
      <c r="AY1030">
        <f ca="1"/>
      </c>
      <c r="BA1030" s="7"/>
    </row>
    <row r="1031" spans="31:53" x14ac:dyDescent="0.55000000000000004">
      <c r="AE1031" s="7">
        <f ca="1"/>
      </c>
      <c r="AF1031">
        <f ca="1"/>
      </c>
      <c r="AG1031">
        <f ca="1"/>
      </c>
      <c r="AH1031">
        <f ca="1"/>
      </c>
      <c r="AI1031">
        <f ca="1"/>
      </c>
      <c r="AJ1031">
        <f ca="1"/>
      </c>
      <c r="AK1031">
        <f ca="1"/>
      </c>
      <c r="AL1031">
        <f ca="1"/>
      </c>
      <c r="AM1031">
        <f ca="1"/>
      </c>
      <c r="AN1031">
        <f ca="1"/>
      </c>
      <c r="AO1031">
        <f ca="1"/>
      </c>
      <c r="AP1031">
        <f ca="1"/>
      </c>
      <c r="AQ1031">
        <f ca="1"/>
      </c>
      <c r="AR1031">
        <f ca="1"/>
      </c>
      <c r="AT1031" s="7">
        <f ca="1"/>
      </c>
      <c r="AU1031">
        <f ca="1"/>
      </c>
      <c r="AV1031">
        <f ca="1"/>
      </c>
      <c r="AW1031">
        <f ca="1"/>
      </c>
      <c r="AX1031">
        <f ca="1"/>
      </c>
      <c r="AY1031">
        <f ca="1"/>
      </c>
      <c r="BA1031" s="7"/>
    </row>
    <row r="1032" spans="31:53" x14ac:dyDescent="0.55000000000000004">
      <c r="AE1032" s="7">
        <f ca="1"/>
      </c>
      <c r="AF1032">
        <f ca="1"/>
      </c>
      <c r="AG1032">
        <f ca="1"/>
      </c>
      <c r="AH1032">
        <f ca="1"/>
      </c>
      <c r="AI1032">
        <f ca="1"/>
      </c>
      <c r="AJ1032">
        <f ca="1"/>
      </c>
      <c r="AK1032">
        <f ca="1"/>
      </c>
      <c r="AL1032">
        <f ca="1"/>
      </c>
      <c r="AM1032">
        <f ca="1"/>
      </c>
      <c r="AN1032">
        <f ca="1"/>
      </c>
      <c r="AO1032">
        <f ca="1"/>
      </c>
      <c r="AP1032">
        <f ca="1"/>
      </c>
      <c r="AQ1032">
        <f ca="1"/>
      </c>
      <c r="AR1032">
        <f ca="1"/>
      </c>
      <c r="AT1032" s="7">
        <f ca="1"/>
      </c>
      <c r="AU1032">
        <f ca="1"/>
      </c>
      <c r="AV1032">
        <f ca="1"/>
      </c>
      <c r="AW1032">
        <f ca="1"/>
      </c>
      <c r="AX1032">
        <f ca="1"/>
      </c>
      <c r="AY1032">
        <f ca="1"/>
      </c>
      <c r="BA1032" s="7"/>
    </row>
    <row r="1033" spans="31:53" x14ac:dyDescent="0.55000000000000004">
      <c r="AE1033" s="7">
        <f ca="1"/>
      </c>
      <c r="AF1033">
        <f ca="1"/>
      </c>
      <c r="AG1033">
        <f ca="1"/>
      </c>
      <c r="AH1033">
        <f ca="1"/>
      </c>
      <c r="AI1033">
        <f ca="1"/>
      </c>
      <c r="AJ1033">
        <f ca="1"/>
      </c>
      <c r="AK1033">
        <f ca="1"/>
      </c>
      <c r="AL1033">
        <f ca="1"/>
      </c>
      <c r="AM1033">
        <f ca="1"/>
      </c>
      <c r="AN1033">
        <f ca="1"/>
      </c>
      <c r="AO1033">
        <f ca="1"/>
      </c>
      <c r="AP1033">
        <f ca="1"/>
      </c>
      <c r="AQ1033">
        <f ca="1"/>
      </c>
      <c r="AR1033">
        <f ca="1"/>
      </c>
      <c r="AT1033" s="7">
        <f ca="1"/>
      </c>
      <c r="AU1033">
        <f ca="1"/>
      </c>
      <c r="AV1033">
        <f ca="1"/>
      </c>
      <c r="AW1033">
        <f ca="1"/>
      </c>
      <c r="AX1033">
        <f ca="1"/>
      </c>
      <c r="AY1033">
        <f ca="1"/>
      </c>
      <c r="BA1033" s="7"/>
    </row>
    <row r="1034" spans="31:53" x14ac:dyDescent="0.55000000000000004">
      <c r="AE1034" s="7">
        <f ca="1"/>
      </c>
      <c r="AF1034">
        <f ca="1"/>
      </c>
      <c r="AG1034">
        <f ca="1"/>
      </c>
      <c r="AH1034">
        <f ca="1"/>
      </c>
      <c r="AI1034">
        <f ca="1"/>
      </c>
      <c r="AJ1034">
        <f ca="1"/>
      </c>
      <c r="AK1034">
        <f ca="1"/>
      </c>
      <c r="AL1034">
        <f ca="1"/>
      </c>
      <c r="AM1034">
        <f ca="1"/>
      </c>
      <c r="AN1034">
        <f ca="1"/>
      </c>
      <c r="AO1034">
        <f ca="1"/>
      </c>
      <c r="AP1034">
        <f ca="1"/>
      </c>
      <c r="AQ1034">
        <f ca="1"/>
      </c>
      <c r="AR1034">
        <f ca="1"/>
      </c>
      <c r="AT1034" s="7">
        <f ca="1"/>
      </c>
      <c r="AU1034">
        <f ca="1"/>
      </c>
      <c r="AV1034">
        <f ca="1"/>
      </c>
      <c r="AW1034">
        <f ca="1"/>
      </c>
      <c r="AX1034">
        <f ca="1"/>
      </c>
      <c r="AY1034">
        <f ca="1"/>
      </c>
      <c r="BA1034" s="7"/>
    </row>
    <row r="1035" spans="31:53" x14ac:dyDescent="0.55000000000000004">
      <c r="AE1035" s="7">
        <f ca="1"/>
      </c>
      <c r="AF1035">
        <f ca="1"/>
      </c>
      <c r="AG1035">
        <f ca="1"/>
      </c>
      <c r="AH1035">
        <f ca="1"/>
      </c>
      <c r="AI1035">
        <f ca="1"/>
      </c>
      <c r="AJ1035">
        <f ca="1"/>
      </c>
      <c r="AK1035">
        <f ca="1"/>
      </c>
      <c r="AL1035">
        <f ca="1"/>
      </c>
      <c r="AM1035">
        <f ca="1"/>
      </c>
      <c r="AN1035">
        <f ca="1"/>
      </c>
      <c r="AO1035">
        <f ca="1"/>
      </c>
      <c r="AP1035">
        <f ca="1"/>
      </c>
      <c r="AQ1035">
        <f ca="1"/>
      </c>
      <c r="AR1035">
        <f ca="1"/>
      </c>
      <c r="AT1035" s="7">
        <f ca="1"/>
      </c>
      <c r="AU1035">
        <f ca="1"/>
      </c>
      <c r="AV1035">
        <f ca="1"/>
      </c>
      <c r="AW1035">
        <f ca="1"/>
      </c>
      <c r="AX1035">
        <f ca="1"/>
      </c>
      <c r="AY1035">
        <f ca="1"/>
      </c>
      <c r="BA1035" s="7"/>
    </row>
    <row r="1036" spans="31:53" x14ac:dyDescent="0.55000000000000004">
      <c r="AE1036" s="7">
        <f ca="1"/>
      </c>
      <c r="AF1036">
        <f ca="1"/>
      </c>
      <c r="AG1036">
        <f ca="1"/>
      </c>
      <c r="AH1036">
        <f ca="1"/>
      </c>
      <c r="AI1036">
        <f ca="1"/>
      </c>
      <c r="AJ1036">
        <f ca="1"/>
      </c>
      <c r="AK1036">
        <f ca="1"/>
      </c>
      <c r="AL1036">
        <f ca="1"/>
      </c>
      <c r="AM1036">
        <f ca="1"/>
      </c>
      <c r="AN1036">
        <f ca="1"/>
      </c>
      <c r="AO1036">
        <f ca="1"/>
      </c>
      <c r="AP1036">
        <f ca="1"/>
      </c>
      <c r="AQ1036">
        <f ca="1"/>
      </c>
      <c r="AR1036">
        <f ca="1"/>
      </c>
      <c r="AT1036" s="7">
        <f ca="1"/>
      </c>
      <c r="AU1036">
        <f ca="1"/>
      </c>
      <c r="AV1036">
        <f ca="1"/>
      </c>
      <c r="AW1036">
        <f ca="1"/>
      </c>
      <c r="AX1036">
        <f ca="1"/>
      </c>
      <c r="AY1036">
        <f ca="1"/>
      </c>
      <c r="BA1036" s="7"/>
    </row>
    <row r="1037" spans="31:53" x14ac:dyDescent="0.55000000000000004">
      <c r="AE1037" s="7">
        <f ca="1"/>
      </c>
      <c r="AF1037">
        <f ca="1"/>
      </c>
      <c r="AG1037">
        <f ca="1"/>
      </c>
      <c r="AH1037">
        <f ca="1"/>
      </c>
      <c r="AI1037">
        <f ca="1"/>
      </c>
      <c r="AJ1037">
        <f ca="1"/>
      </c>
      <c r="AK1037">
        <f ca="1"/>
      </c>
      <c r="AL1037">
        <f ca="1"/>
      </c>
      <c r="AM1037">
        <f ca="1"/>
      </c>
      <c r="AN1037">
        <f ca="1"/>
      </c>
      <c r="AO1037">
        <f ca="1"/>
      </c>
      <c r="AP1037">
        <f ca="1"/>
      </c>
      <c r="AQ1037">
        <f ca="1"/>
      </c>
      <c r="AR1037">
        <f ca="1"/>
      </c>
      <c r="AT1037" s="7">
        <f ca="1"/>
      </c>
      <c r="AU1037">
        <f ca="1"/>
      </c>
      <c r="AV1037">
        <f ca="1"/>
      </c>
      <c r="AW1037">
        <f ca="1"/>
      </c>
      <c r="AX1037">
        <f ca="1"/>
      </c>
      <c r="AY1037">
        <f ca="1"/>
      </c>
      <c r="BA1037" s="7"/>
    </row>
    <row r="1038" spans="31:53" x14ac:dyDescent="0.55000000000000004">
      <c r="AE1038" s="7">
        <f ca="1"/>
      </c>
      <c r="AF1038">
        <f ca="1"/>
      </c>
      <c r="AG1038">
        <f ca="1"/>
      </c>
      <c r="AH1038">
        <f ca="1"/>
      </c>
      <c r="AI1038">
        <f ca="1"/>
      </c>
      <c r="AJ1038">
        <f ca="1"/>
      </c>
      <c r="AK1038">
        <f ca="1"/>
      </c>
      <c r="AL1038">
        <f ca="1"/>
      </c>
      <c r="AM1038">
        <f ca="1"/>
      </c>
      <c r="AN1038">
        <f ca="1"/>
      </c>
      <c r="AO1038">
        <f ca="1"/>
      </c>
      <c r="AP1038">
        <f ca="1"/>
      </c>
      <c r="AQ1038">
        <f ca="1"/>
      </c>
      <c r="AR1038">
        <f ca="1"/>
      </c>
      <c r="AT1038" s="7">
        <f ca="1"/>
      </c>
      <c r="AU1038">
        <f ca="1"/>
      </c>
      <c r="AV1038">
        <f ca="1"/>
      </c>
      <c r="AW1038">
        <f ca="1"/>
      </c>
      <c r="AX1038">
        <f ca="1"/>
      </c>
      <c r="AY1038">
        <f ca="1"/>
      </c>
      <c r="BA1038" s="7"/>
    </row>
    <row r="1039" spans="31:53" x14ac:dyDescent="0.55000000000000004">
      <c r="AE1039" s="7">
        <f ca="1"/>
      </c>
      <c r="AF1039">
        <f ca="1"/>
      </c>
      <c r="AG1039">
        <f ca="1"/>
      </c>
      <c r="AH1039">
        <f ca="1"/>
      </c>
      <c r="AI1039">
        <f ca="1"/>
      </c>
      <c r="AJ1039">
        <f ca="1"/>
      </c>
      <c r="AK1039">
        <f ca="1"/>
      </c>
      <c r="AL1039">
        <f ca="1"/>
      </c>
      <c r="AM1039">
        <f ca="1"/>
      </c>
      <c r="AN1039">
        <f ca="1"/>
      </c>
      <c r="AO1039">
        <f ca="1"/>
      </c>
      <c r="AP1039">
        <f ca="1"/>
      </c>
      <c r="AQ1039">
        <f ca="1"/>
      </c>
      <c r="AR1039">
        <f ca="1"/>
      </c>
      <c r="AT1039" s="7">
        <f ca="1"/>
      </c>
      <c r="AU1039">
        <f ca="1"/>
      </c>
      <c r="AV1039">
        <f ca="1"/>
      </c>
      <c r="AW1039">
        <f ca="1"/>
      </c>
      <c r="AX1039">
        <f ca="1"/>
      </c>
      <c r="AY1039">
        <f ca="1"/>
      </c>
      <c r="BA1039" s="7"/>
    </row>
    <row r="1040" spans="31:53" x14ac:dyDescent="0.55000000000000004">
      <c r="AE1040" s="7">
        <f ca="1"/>
      </c>
      <c r="AF1040">
        <f ca="1"/>
      </c>
      <c r="AG1040">
        <f ca="1"/>
      </c>
      <c r="AH1040">
        <f ca="1"/>
      </c>
      <c r="AI1040">
        <f ca="1"/>
      </c>
      <c r="AJ1040">
        <f ca="1"/>
      </c>
      <c r="AK1040">
        <f ca="1"/>
      </c>
      <c r="AL1040">
        <f ca="1"/>
      </c>
      <c r="AM1040">
        <f ca="1"/>
      </c>
      <c r="AN1040">
        <f ca="1"/>
      </c>
      <c r="AO1040">
        <f ca="1"/>
      </c>
      <c r="AP1040">
        <f ca="1"/>
      </c>
      <c r="AQ1040">
        <f ca="1"/>
      </c>
      <c r="AR1040">
        <f ca="1"/>
      </c>
      <c r="AT1040" s="7">
        <f ca="1"/>
      </c>
      <c r="AU1040">
        <f ca="1"/>
      </c>
      <c r="AV1040">
        <f ca="1"/>
      </c>
      <c r="AW1040">
        <f ca="1"/>
      </c>
      <c r="AX1040">
        <f ca="1"/>
      </c>
      <c r="AY1040">
        <f ca="1"/>
      </c>
      <c r="BA1040" s="7"/>
    </row>
    <row r="1041" spans="31:53" x14ac:dyDescent="0.55000000000000004">
      <c r="AE1041" s="7">
        <f ca="1"/>
      </c>
      <c r="AF1041">
        <f ca="1"/>
      </c>
      <c r="AG1041">
        <f ca="1"/>
      </c>
      <c r="AH1041">
        <f ca="1"/>
      </c>
      <c r="AI1041">
        <f ca="1"/>
      </c>
      <c r="AJ1041">
        <f ca="1"/>
      </c>
      <c r="AK1041">
        <f ca="1"/>
      </c>
      <c r="AL1041">
        <f ca="1"/>
      </c>
      <c r="AM1041">
        <f ca="1"/>
      </c>
      <c r="AN1041">
        <f ca="1"/>
      </c>
      <c r="AO1041">
        <f ca="1"/>
      </c>
      <c r="AP1041">
        <f ca="1"/>
      </c>
      <c r="AQ1041">
        <f ca="1"/>
      </c>
      <c r="AR1041">
        <f ca="1"/>
      </c>
      <c r="AT1041" s="7">
        <f ca="1"/>
      </c>
      <c r="AU1041">
        <f ca="1"/>
      </c>
      <c r="AV1041">
        <f ca="1"/>
      </c>
      <c r="AW1041">
        <f ca="1"/>
      </c>
      <c r="AX1041">
        <f ca="1"/>
      </c>
      <c r="AY1041">
        <f ca="1"/>
      </c>
      <c r="BA1041" s="7"/>
    </row>
    <row r="1042" spans="31:53" x14ac:dyDescent="0.55000000000000004">
      <c r="AE1042" s="7">
        <f ca="1"/>
      </c>
      <c r="AF1042">
        <f ca="1"/>
      </c>
      <c r="AG1042">
        <f ca="1"/>
      </c>
      <c r="AH1042">
        <f ca="1"/>
      </c>
      <c r="AI1042">
        <f ca="1"/>
      </c>
      <c r="AJ1042">
        <f ca="1"/>
      </c>
      <c r="AK1042">
        <f ca="1"/>
      </c>
      <c r="AL1042">
        <f ca="1"/>
      </c>
      <c r="AM1042">
        <f ca="1"/>
      </c>
      <c r="AN1042">
        <f ca="1"/>
      </c>
      <c r="AO1042">
        <f ca="1"/>
      </c>
      <c r="AP1042">
        <f ca="1"/>
      </c>
      <c r="AQ1042">
        <f ca="1"/>
      </c>
      <c r="AR1042">
        <f ca="1"/>
      </c>
      <c r="AT1042" s="7">
        <f ca="1"/>
      </c>
      <c r="AU1042">
        <f ca="1"/>
      </c>
      <c r="AV1042">
        <f ca="1"/>
      </c>
      <c r="AW1042">
        <f ca="1"/>
      </c>
      <c r="AX1042">
        <f ca="1"/>
      </c>
      <c r="AY1042">
        <f ca="1"/>
      </c>
      <c r="BA1042" s="7"/>
    </row>
    <row r="1043" spans="31:53" x14ac:dyDescent="0.55000000000000004">
      <c r="AE1043" s="7">
        <f ca="1"/>
      </c>
      <c r="AF1043">
        <f ca="1"/>
      </c>
      <c r="AG1043">
        <f ca="1"/>
      </c>
      <c r="AH1043">
        <f ca="1"/>
      </c>
      <c r="AI1043">
        <f ca="1"/>
      </c>
      <c r="AJ1043">
        <f ca="1"/>
      </c>
      <c r="AK1043">
        <f ca="1"/>
      </c>
      <c r="AL1043">
        <f ca="1"/>
      </c>
      <c r="AM1043">
        <f ca="1"/>
      </c>
      <c r="AN1043">
        <f ca="1"/>
      </c>
      <c r="AO1043">
        <f ca="1"/>
      </c>
      <c r="AP1043">
        <f ca="1"/>
      </c>
      <c r="AQ1043">
        <f ca="1"/>
      </c>
      <c r="AR1043">
        <f ca="1"/>
      </c>
      <c r="AT1043" s="7">
        <f ca="1"/>
      </c>
      <c r="AU1043">
        <f ca="1"/>
      </c>
      <c r="AV1043">
        <f ca="1"/>
      </c>
      <c r="AW1043">
        <f ca="1"/>
      </c>
      <c r="AX1043">
        <f ca="1"/>
      </c>
      <c r="AY1043">
        <f ca="1"/>
      </c>
      <c r="BA1043" s="7"/>
    </row>
    <row r="1044" spans="31:53" x14ac:dyDescent="0.55000000000000004">
      <c r="AE1044" s="7">
        <f ca="1"/>
      </c>
      <c r="AF1044">
        <f ca="1"/>
      </c>
      <c r="AG1044">
        <f ca="1"/>
      </c>
      <c r="AH1044">
        <f ca="1"/>
      </c>
      <c r="AI1044">
        <f ca="1"/>
      </c>
      <c r="AJ1044">
        <f ca="1"/>
      </c>
      <c r="AK1044">
        <f ca="1"/>
      </c>
      <c r="AL1044">
        <f ca="1"/>
      </c>
      <c r="AM1044">
        <f ca="1"/>
      </c>
      <c r="AN1044">
        <f ca="1"/>
      </c>
      <c r="AO1044">
        <f ca="1"/>
      </c>
      <c r="AP1044">
        <f ca="1"/>
      </c>
      <c r="AQ1044">
        <f ca="1"/>
      </c>
      <c r="AR1044">
        <f ca="1"/>
      </c>
      <c r="AT1044" s="7">
        <f ca="1"/>
      </c>
      <c r="AU1044">
        <f ca="1"/>
      </c>
      <c r="AV1044">
        <f ca="1"/>
      </c>
      <c r="AW1044">
        <f ca="1"/>
      </c>
      <c r="AX1044">
        <f ca="1"/>
      </c>
      <c r="AY1044">
        <f ca="1"/>
      </c>
      <c r="BA1044" s="7"/>
    </row>
    <row r="1045" spans="31:53" x14ac:dyDescent="0.55000000000000004">
      <c r="AE1045" s="7">
        <f ca="1"/>
      </c>
      <c r="AF1045">
        <f ca="1"/>
      </c>
      <c r="AG1045">
        <f ca="1"/>
      </c>
      <c r="AH1045">
        <f ca="1"/>
      </c>
      <c r="AI1045">
        <f ca="1"/>
      </c>
      <c r="AJ1045">
        <f ca="1"/>
      </c>
      <c r="AK1045">
        <f ca="1"/>
      </c>
      <c r="AL1045">
        <f ca="1"/>
      </c>
      <c r="AM1045">
        <f ca="1"/>
      </c>
      <c r="AN1045">
        <f ca="1"/>
      </c>
      <c r="AO1045">
        <f ca="1"/>
      </c>
      <c r="AP1045">
        <f ca="1"/>
      </c>
      <c r="AQ1045">
        <f ca="1"/>
      </c>
      <c r="AR1045">
        <f ca="1"/>
      </c>
      <c r="AT1045" s="7">
        <f ca="1"/>
      </c>
      <c r="AU1045">
        <f ca="1"/>
      </c>
      <c r="AV1045">
        <f ca="1"/>
      </c>
      <c r="AW1045">
        <f ca="1"/>
      </c>
      <c r="AX1045">
        <f ca="1"/>
      </c>
      <c r="AY1045">
        <f ca="1"/>
      </c>
      <c r="BA1045" s="7"/>
    </row>
    <row r="1046" spans="31:53" x14ac:dyDescent="0.55000000000000004">
      <c r="AE1046" s="7">
        <f ca="1"/>
      </c>
      <c r="AF1046">
        <f ca="1"/>
      </c>
      <c r="AG1046">
        <f ca="1"/>
      </c>
      <c r="AH1046">
        <f ca="1"/>
      </c>
      <c r="AI1046">
        <f ca="1"/>
      </c>
      <c r="AJ1046">
        <f ca="1"/>
      </c>
      <c r="AK1046">
        <f ca="1"/>
      </c>
      <c r="AL1046">
        <f ca="1"/>
      </c>
      <c r="AM1046">
        <f ca="1"/>
      </c>
      <c r="AN1046">
        <f ca="1"/>
      </c>
      <c r="AO1046">
        <f ca="1"/>
      </c>
      <c r="AP1046">
        <f ca="1"/>
      </c>
      <c r="AQ1046">
        <f ca="1"/>
      </c>
      <c r="AR1046">
        <f ca="1"/>
      </c>
      <c r="AT1046" s="7">
        <f ca="1"/>
      </c>
      <c r="AU1046">
        <f ca="1"/>
      </c>
      <c r="AV1046">
        <f ca="1"/>
      </c>
      <c r="AW1046">
        <f ca="1"/>
      </c>
      <c r="AX1046">
        <f ca="1"/>
      </c>
      <c r="AY1046">
        <f ca="1"/>
      </c>
      <c r="BA1046" s="7"/>
    </row>
    <row r="1047" spans="31:53" x14ac:dyDescent="0.55000000000000004">
      <c r="AE1047" s="7">
        <f ca="1"/>
      </c>
      <c r="AF1047">
        <f ca="1"/>
      </c>
      <c r="AG1047">
        <f ca="1"/>
      </c>
      <c r="AH1047">
        <f ca="1"/>
      </c>
      <c r="AI1047">
        <f ca="1"/>
      </c>
      <c r="AJ1047">
        <f ca="1"/>
      </c>
      <c r="AK1047">
        <f ca="1"/>
      </c>
      <c r="AL1047">
        <f ca="1"/>
      </c>
      <c r="AM1047">
        <f ca="1"/>
      </c>
      <c r="AN1047">
        <f ca="1"/>
      </c>
      <c r="AO1047">
        <f ca="1"/>
      </c>
      <c r="AP1047">
        <f ca="1"/>
      </c>
      <c r="AQ1047">
        <f ca="1"/>
      </c>
      <c r="AR1047">
        <f ca="1"/>
      </c>
      <c r="AT1047" s="7">
        <f ca="1"/>
      </c>
      <c r="AU1047">
        <f ca="1"/>
      </c>
      <c r="AV1047">
        <f ca="1"/>
      </c>
      <c r="AW1047">
        <f ca="1"/>
      </c>
      <c r="AX1047">
        <f ca="1"/>
      </c>
      <c r="AY1047">
        <f ca="1"/>
      </c>
      <c r="BA1047" s="7"/>
    </row>
    <row r="1048" spans="31:53" x14ac:dyDescent="0.55000000000000004">
      <c r="AE1048" s="7">
        <f ca="1"/>
      </c>
      <c r="AF1048">
        <f ca="1"/>
      </c>
      <c r="AG1048">
        <f ca="1"/>
      </c>
      <c r="AH1048">
        <f ca="1"/>
      </c>
      <c r="AI1048">
        <f ca="1"/>
      </c>
      <c r="AJ1048">
        <f ca="1"/>
      </c>
      <c r="AK1048">
        <f ca="1"/>
      </c>
      <c r="AL1048">
        <f ca="1"/>
      </c>
      <c r="AM1048">
        <f ca="1"/>
      </c>
      <c r="AN1048">
        <f ca="1"/>
      </c>
      <c r="AO1048">
        <f ca="1"/>
      </c>
      <c r="AP1048">
        <f ca="1"/>
      </c>
      <c r="AQ1048">
        <f ca="1"/>
      </c>
      <c r="AR1048">
        <f ca="1"/>
      </c>
      <c r="AT1048" s="7">
        <f ca="1"/>
      </c>
      <c r="AU1048">
        <f ca="1"/>
      </c>
      <c r="AV1048">
        <f ca="1"/>
      </c>
      <c r="AW1048">
        <f ca="1"/>
      </c>
      <c r="AX1048">
        <f ca="1"/>
      </c>
      <c r="AY1048">
        <f ca="1"/>
      </c>
      <c r="BA1048" s="7"/>
    </row>
    <row r="1049" spans="31:53" x14ac:dyDescent="0.55000000000000004">
      <c r="AE1049" s="7">
        <f ca="1"/>
      </c>
      <c r="AF1049">
        <f ca="1"/>
      </c>
      <c r="AG1049">
        <f ca="1"/>
      </c>
      <c r="AH1049">
        <f ca="1"/>
      </c>
      <c r="AI1049">
        <f ca="1"/>
      </c>
      <c r="AJ1049">
        <f ca="1"/>
      </c>
      <c r="AK1049">
        <f ca="1"/>
      </c>
      <c r="AL1049">
        <f ca="1"/>
      </c>
      <c r="AM1049">
        <f ca="1"/>
      </c>
      <c r="AN1049">
        <f ca="1"/>
      </c>
      <c r="AO1049">
        <f ca="1"/>
      </c>
      <c r="AP1049">
        <f ca="1"/>
      </c>
      <c r="AQ1049">
        <f ca="1"/>
      </c>
      <c r="AR1049">
        <f ca="1"/>
      </c>
      <c r="AT1049" s="7">
        <f ca="1"/>
      </c>
      <c r="AU1049">
        <f ca="1"/>
      </c>
      <c r="AV1049">
        <f ca="1"/>
      </c>
      <c r="AW1049">
        <f ca="1"/>
      </c>
      <c r="AX1049">
        <f ca="1"/>
      </c>
      <c r="AY1049">
        <f ca="1"/>
      </c>
      <c r="BA1049" s="7"/>
    </row>
    <row r="1050" spans="31:53" x14ac:dyDescent="0.55000000000000004">
      <c r="AE1050" s="7">
        <f ca="1"/>
      </c>
      <c r="AF1050">
        <f ca="1"/>
      </c>
      <c r="AG1050">
        <f ca="1"/>
      </c>
      <c r="AH1050">
        <f ca="1"/>
      </c>
      <c r="AI1050">
        <f ca="1"/>
      </c>
      <c r="AJ1050">
        <f ca="1"/>
      </c>
      <c r="AK1050">
        <f ca="1"/>
      </c>
      <c r="AL1050">
        <f ca="1"/>
      </c>
      <c r="AM1050">
        <f ca="1"/>
      </c>
      <c r="AN1050">
        <f ca="1"/>
      </c>
      <c r="AO1050">
        <f ca="1"/>
      </c>
      <c r="AP1050">
        <f ca="1"/>
      </c>
      <c r="AQ1050">
        <f ca="1"/>
      </c>
      <c r="AR1050">
        <f ca="1"/>
      </c>
      <c r="AT1050" s="7">
        <f ca="1"/>
      </c>
      <c r="AU1050">
        <f ca="1"/>
      </c>
      <c r="AV1050">
        <f ca="1"/>
      </c>
      <c r="AW1050">
        <f ca="1"/>
      </c>
      <c r="AX1050">
        <f ca="1"/>
      </c>
      <c r="AY1050">
        <f ca="1"/>
      </c>
      <c r="BA1050" s="7"/>
    </row>
    <row r="1051" spans="31:53" x14ac:dyDescent="0.55000000000000004">
      <c r="AE1051" s="7">
        <f ca="1"/>
      </c>
      <c r="AF1051">
        <f ca="1"/>
      </c>
      <c r="AG1051">
        <f ca="1"/>
      </c>
      <c r="AH1051">
        <f ca="1"/>
      </c>
      <c r="AI1051">
        <f ca="1"/>
      </c>
      <c r="AJ1051">
        <f ca="1"/>
      </c>
      <c r="AK1051">
        <f ca="1"/>
      </c>
      <c r="AL1051">
        <f ca="1"/>
      </c>
      <c r="AM1051">
        <f ca="1"/>
      </c>
      <c r="AN1051">
        <f ca="1"/>
      </c>
      <c r="AO1051">
        <f ca="1"/>
      </c>
      <c r="AP1051">
        <f ca="1"/>
      </c>
      <c r="AQ1051">
        <f ca="1"/>
      </c>
      <c r="AR1051">
        <f ca="1"/>
      </c>
      <c r="AT1051" s="7">
        <f ca="1"/>
      </c>
      <c r="AU1051">
        <f ca="1"/>
      </c>
      <c r="AV1051">
        <f ca="1"/>
      </c>
      <c r="AW1051">
        <f ca="1"/>
      </c>
      <c r="AX1051">
        <f ca="1"/>
      </c>
      <c r="AY1051">
        <f ca="1"/>
      </c>
      <c r="BA1051" s="7"/>
    </row>
    <row r="1052" spans="31:53" x14ac:dyDescent="0.55000000000000004">
      <c r="AE1052" s="7">
        <f ca="1"/>
      </c>
      <c r="AF1052">
        <f ca="1"/>
      </c>
      <c r="AG1052">
        <f ca="1"/>
      </c>
      <c r="AH1052">
        <f ca="1"/>
      </c>
      <c r="AI1052">
        <f ca="1"/>
      </c>
      <c r="AJ1052">
        <f ca="1"/>
      </c>
      <c r="AK1052">
        <f ca="1"/>
      </c>
      <c r="AL1052">
        <f ca="1"/>
      </c>
      <c r="AM1052">
        <f ca="1"/>
      </c>
      <c r="AN1052">
        <f ca="1"/>
      </c>
      <c r="AO1052">
        <f ca="1"/>
      </c>
      <c r="AP1052">
        <f ca="1"/>
      </c>
      <c r="AQ1052">
        <f ca="1"/>
      </c>
      <c r="AR1052">
        <f ca="1"/>
      </c>
      <c r="AT1052" s="7">
        <f ca="1"/>
      </c>
      <c r="AU1052">
        <f ca="1"/>
      </c>
      <c r="AV1052">
        <f ca="1"/>
      </c>
      <c r="AW1052">
        <f ca="1"/>
      </c>
      <c r="AX1052">
        <f ca="1"/>
      </c>
      <c r="AY1052">
        <f ca="1"/>
      </c>
      <c r="BA1052" s="7"/>
    </row>
    <row r="1053" spans="31:53" x14ac:dyDescent="0.55000000000000004">
      <c r="AE1053" s="7">
        <f ca="1"/>
      </c>
      <c r="AF1053">
        <f ca="1"/>
      </c>
      <c r="AG1053">
        <f ca="1"/>
      </c>
      <c r="AH1053">
        <f ca="1"/>
      </c>
      <c r="AI1053">
        <f ca="1"/>
      </c>
      <c r="AJ1053">
        <f ca="1"/>
      </c>
      <c r="AK1053">
        <f ca="1"/>
      </c>
      <c r="AL1053">
        <f ca="1"/>
      </c>
      <c r="AM1053">
        <f ca="1"/>
      </c>
      <c r="AN1053">
        <f ca="1"/>
      </c>
      <c r="AO1053">
        <f ca="1"/>
      </c>
      <c r="AP1053">
        <f ca="1"/>
      </c>
      <c r="AQ1053">
        <f ca="1"/>
      </c>
      <c r="AR1053">
        <f ca="1"/>
      </c>
      <c r="AT1053" s="7">
        <f ca="1"/>
      </c>
      <c r="AU1053">
        <f ca="1"/>
      </c>
      <c r="AV1053">
        <f ca="1"/>
      </c>
      <c r="AW1053">
        <f ca="1"/>
      </c>
      <c r="AX1053">
        <f ca="1"/>
      </c>
      <c r="AY1053">
        <f ca="1"/>
      </c>
      <c r="BA1053" s="7"/>
    </row>
    <row r="1054" spans="31:53" x14ac:dyDescent="0.55000000000000004">
      <c r="AE1054" s="7">
        <f ca="1"/>
      </c>
      <c r="AF1054">
        <f ca="1"/>
      </c>
      <c r="AG1054">
        <f ca="1"/>
      </c>
      <c r="AH1054">
        <f ca="1"/>
      </c>
      <c r="AI1054">
        <f ca="1"/>
      </c>
      <c r="AJ1054">
        <f ca="1"/>
      </c>
      <c r="AK1054">
        <f ca="1"/>
      </c>
      <c r="AL1054">
        <f ca="1"/>
      </c>
      <c r="AM1054">
        <f ca="1"/>
      </c>
      <c r="AN1054">
        <f ca="1"/>
      </c>
      <c r="AO1054">
        <f ca="1"/>
      </c>
      <c r="AP1054">
        <f ca="1"/>
      </c>
      <c r="AQ1054">
        <f ca="1"/>
      </c>
      <c r="AR1054">
        <f ca="1"/>
      </c>
      <c r="AT1054" s="7">
        <f ca="1"/>
      </c>
      <c r="AU1054">
        <f ca="1"/>
      </c>
      <c r="AV1054">
        <f ca="1"/>
      </c>
      <c r="AW1054">
        <f ca="1"/>
      </c>
      <c r="AX1054">
        <f ca="1"/>
      </c>
      <c r="AY1054">
        <f ca="1"/>
      </c>
      <c r="BA1054" s="7"/>
    </row>
    <row r="1055" spans="31:53" x14ac:dyDescent="0.55000000000000004">
      <c r="AE1055" s="7">
        <f ca="1"/>
      </c>
      <c r="AF1055">
        <f ca="1"/>
      </c>
      <c r="AG1055">
        <f ca="1"/>
      </c>
      <c r="AH1055">
        <f ca="1"/>
      </c>
      <c r="AI1055">
        <f ca="1"/>
      </c>
      <c r="AJ1055">
        <f ca="1"/>
      </c>
      <c r="AK1055">
        <f ca="1"/>
      </c>
      <c r="AL1055">
        <f ca="1"/>
      </c>
      <c r="AM1055">
        <f ca="1"/>
      </c>
      <c r="AN1055">
        <f ca="1"/>
      </c>
      <c r="AO1055">
        <f ca="1"/>
      </c>
      <c r="AP1055">
        <f ca="1"/>
      </c>
      <c r="AQ1055">
        <f ca="1"/>
      </c>
      <c r="AR1055">
        <f ca="1"/>
      </c>
      <c r="AT1055" s="7">
        <f ca="1"/>
      </c>
      <c r="AU1055">
        <f ca="1"/>
      </c>
      <c r="AV1055">
        <f ca="1"/>
      </c>
      <c r="AW1055">
        <f ca="1"/>
      </c>
      <c r="AX1055">
        <f ca="1"/>
      </c>
      <c r="AY1055">
        <f ca="1"/>
      </c>
      <c r="BA1055" s="7"/>
    </row>
    <row r="1056" spans="31:53" x14ac:dyDescent="0.55000000000000004">
      <c r="AE1056" s="7">
        <f ca="1"/>
      </c>
      <c r="AF1056">
        <f ca="1"/>
      </c>
      <c r="AG1056">
        <f ca="1"/>
      </c>
      <c r="AH1056">
        <f ca="1"/>
      </c>
      <c r="AI1056">
        <f ca="1"/>
      </c>
      <c r="AJ1056">
        <f ca="1"/>
      </c>
      <c r="AK1056">
        <f ca="1"/>
      </c>
      <c r="AL1056">
        <f ca="1"/>
      </c>
      <c r="AM1056">
        <f ca="1"/>
      </c>
      <c r="AN1056">
        <f ca="1"/>
      </c>
      <c r="AO1056">
        <f ca="1"/>
      </c>
      <c r="AP1056">
        <f ca="1"/>
      </c>
      <c r="AQ1056">
        <f ca="1"/>
      </c>
      <c r="AR1056">
        <f ca="1"/>
      </c>
      <c r="AT1056" s="7">
        <f ca="1"/>
      </c>
      <c r="AU1056">
        <f ca="1"/>
      </c>
      <c r="AV1056">
        <f ca="1"/>
      </c>
      <c r="AW1056">
        <f ca="1"/>
      </c>
      <c r="AX1056">
        <f ca="1"/>
      </c>
      <c r="AY1056">
        <f ca="1"/>
      </c>
      <c r="BA1056" s="7"/>
    </row>
    <row r="1057" spans="31:53" x14ac:dyDescent="0.55000000000000004">
      <c r="AE1057" s="7">
        <f ca="1"/>
      </c>
      <c r="AF1057">
        <f ca="1"/>
      </c>
      <c r="AG1057">
        <f ca="1"/>
      </c>
      <c r="AH1057">
        <f ca="1"/>
      </c>
      <c r="AI1057">
        <f ca="1"/>
      </c>
      <c r="AJ1057">
        <f ca="1"/>
      </c>
      <c r="AK1057">
        <f ca="1"/>
      </c>
      <c r="AL1057">
        <f ca="1"/>
      </c>
      <c r="AM1057">
        <f ca="1"/>
      </c>
      <c r="AN1057">
        <f ca="1"/>
      </c>
      <c r="AO1057">
        <f ca="1"/>
      </c>
      <c r="AP1057">
        <f ca="1"/>
      </c>
      <c r="AQ1057">
        <f ca="1"/>
      </c>
      <c r="AR1057">
        <f ca="1"/>
      </c>
      <c r="AT1057" s="7">
        <f ca="1"/>
      </c>
      <c r="AU1057">
        <f ca="1"/>
      </c>
      <c r="AV1057">
        <f ca="1"/>
      </c>
      <c r="AW1057">
        <f ca="1"/>
      </c>
      <c r="AX1057">
        <f ca="1"/>
      </c>
      <c r="AY1057">
        <f ca="1"/>
      </c>
      <c r="BA1057" s="7"/>
    </row>
    <row r="1058" spans="31:53" x14ac:dyDescent="0.55000000000000004">
      <c r="AE1058" s="7">
        <f ca="1"/>
      </c>
      <c r="AF1058">
        <f ca="1"/>
      </c>
      <c r="AG1058">
        <f ca="1"/>
      </c>
      <c r="AH1058">
        <f ca="1"/>
      </c>
      <c r="AI1058">
        <f ca="1"/>
      </c>
      <c r="AJ1058">
        <f ca="1"/>
      </c>
      <c r="AK1058">
        <f ca="1"/>
      </c>
      <c r="AL1058">
        <f ca="1"/>
      </c>
      <c r="AM1058">
        <f ca="1"/>
      </c>
      <c r="AN1058">
        <f ca="1"/>
      </c>
      <c r="AO1058">
        <f ca="1"/>
      </c>
      <c r="AP1058">
        <f ca="1"/>
      </c>
      <c r="AQ1058">
        <f ca="1"/>
      </c>
      <c r="AR1058">
        <f ca="1"/>
      </c>
      <c r="AT1058" s="7">
        <f ca="1"/>
      </c>
      <c r="AU1058">
        <f ca="1"/>
      </c>
      <c r="AV1058">
        <f ca="1"/>
      </c>
      <c r="AW1058">
        <f ca="1"/>
      </c>
      <c r="AX1058">
        <f ca="1"/>
      </c>
      <c r="AY1058">
        <f ca="1"/>
      </c>
      <c r="BA1058" s="7"/>
    </row>
    <row r="1059" spans="31:53" x14ac:dyDescent="0.55000000000000004">
      <c r="AE1059" s="7">
        <f ca="1"/>
      </c>
      <c r="AF1059">
        <f ca="1"/>
      </c>
      <c r="AG1059">
        <f ca="1"/>
      </c>
      <c r="AH1059">
        <f ca="1"/>
      </c>
      <c r="AI1059">
        <f ca="1"/>
      </c>
      <c r="AJ1059">
        <f ca="1"/>
      </c>
      <c r="AK1059">
        <f ca="1"/>
      </c>
      <c r="AL1059">
        <f ca="1"/>
      </c>
      <c r="AM1059">
        <f ca="1"/>
      </c>
      <c r="AN1059">
        <f ca="1"/>
      </c>
      <c r="AO1059">
        <f ca="1"/>
      </c>
      <c r="AP1059">
        <f ca="1"/>
      </c>
      <c r="AQ1059">
        <f ca="1"/>
      </c>
      <c r="AR1059">
        <f ca="1"/>
      </c>
      <c r="AT1059" s="7">
        <f ca="1"/>
      </c>
      <c r="AU1059">
        <f ca="1"/>
      </c>
      <c r="AV1059">
        <f ca="1"/>
      </c>
      <c r="AW1059">
        <f ca="1"/>
      </c>
      <c r="AX1059">
        <f ca="1"/>
      </c>
      <c r="AY1059">
        <f ca="1"/>
      </c>
      <c r="BA1059" s="7"/>
    </row>
    <row r="1060" spans="31:53" x14ac:dyDescent="0.55000000000000004">
      <c r="AE1060" s="7">
        <f ca="1"/>
      </c>
      <c r="AF1060">
        <f ca="1"/>
      </c>
      <c r="AG1060">
        <f ca="1"/>
      </c>
      <c r="AH1060">
        <f ca="1"/>
      </c>
      <c r="AI1060">
        <f ca="1"/>
      </c>
      <c r="AJ1060">
        <f ca="1"/>
      </c>
      <c r="AK1060">
        <f ca="1"/>
      </c>
      <c r="AL1060">
        <f ca="1"/>
      </c>
      <c r="AM1060">
        <f ca="1"/>
      </c>
      <c r="AN1060">
        <f ca="1"/>
      </c>
      <c r="AO1060">
        <f ca="1"/>
      </c>
      <c r="AP1060">
        <f ca="1"/>
      </c>
      <c r="AQ1060">
        <f ca="1"/>
      </c>
      <c r="AR1060">
        <f ca="1"/>
      </c>
      <c r="AT1060" s="7">
        <f ca="1"/>
      </c>
      <c r="AU1060">
        <f ca="1"/>
      </c>
      <c r="AV1060">
        <f ca="1"/>
      </c>
      <c r="AW1060">
        <f ca="1"/>
      </c>
      <c r="AX1060">
        <f ca="1"/>
      </c>
      <c r="AY1060">
        <f ca="1"/>
      </c>
      <c r="BA1060" s="7"/>
    </row>
    <row r="1061" spans="31:53" x14ac:dyDescent="0.55000000000000004">
      <c r="AE1061" s="7">
        <f ca="1"/>
      </c>
      <c r="AF1061">
        <f ca="1"/>
      </c>
      <c r="AG1061">
        <f ca="1"/>
      </c>
      <c r="AH1061">
        <f ca="1"/>
      </c>
      <c r="AI1061">
        <f ca="1"/>
      </c>
      <c r="AJ1061">
        <f ca="1"/>
      </c>
      <c r="AK1061">
        <f ca="1"/>
      </c>
      <c r="AL1061">
        <f ca="1"/>
      </c>
      <c r="AM1061">
        <f ca="1"/>
      </c>
      <c r="AN1061">
        <f ca="1"/>
      </c>
      <c r="AO1061">
        <f ca="1"/>
      </c>
      <c r="AP1061">
        <f ca="1"/>
      </c>
      <c r="AQ1061">
        <f ca="1"/>
      </c>
      <c r="AR1061">
        <f ca="1"/>
      </c>
      <c r="AT1061" s="7">
        <f ca="1"/>
      </c>
      <c r="AU1061">
        <f ca="1"/>
      </c>
      <c r="AV1061">
        <f ca="1"/>
      </c>
      <c r="AW1061">
        <f ca="1"/>
      </c>
      <c r="AX1061">
        <f ca="1"/>
      </c>
      <c r="AY1061">
        <f ca="1"/>
      </c>
      <c r="BA1061" s="7"/>
    </row>
    <row r="1062" spans="31:53" x14ac:dyDescent="0.55000000000000004">
      <c r="AE1062" s="7">
        <f ca="1"/>
      </c>
      <c r="AF1062">
        <f ca="1"/>
      </c>
      <c r="AG1062">
        <f ca="1"/>
      </c>
      <c r="AH1062">
        <f ca="1"/>
      </c>
      <c r="AI1062">
        <f ca="1"/>
      </c>
      <c r="AJ1062">
        <f ca="1"/>
      </c>
      <c r="AK1062">
        <f ca="1"/>
      </c>
      <c r="AL1062">
        <f ca="1"/>
      </c>
      <c r="AM1062">
        <f ca="1"/>
      </c>
      <c r="AN1062">
        <f ca="1"/>
      </c>
      <c r="AO1062">
        <f ca="1"/>
      </c>
      <c r="AP1062">
        <f ca="1"/>
      </c>
      <c r="AQ1062">
        <f ca="1"/>
      </c>
      <c r="AR1062">
        <f ca="1"/>
      </c>
      <c r="AT1062" s="7">
        <f ca="1"/>
      </c>
      <c r="AU1062">
        <f ca="1"/>
      </c>
      <c r="AV1062">
        <f ca="1"/>
      </c>
      <c r="AW1062">
        <f ca="1"/>
      </c>
      <c r="AX1062">
        <f ca="1"/>
      </c>
      <c r="AY1062">
        <f ca="1"/>
      </c>
      <c r="BA1062" s="7"/>
    </row>
    <row r="1063" spans="31:53" x14ac:dyDescent="0.55000000000000004">
      <c r="AE1063" s="7">
        <f ca="1"/>
      </c>
      <c r="AF1063">
        <f ca="1"/>
      </c>
      <c r="AG1063">
        <f ca="1"/>
      </c>
      <c r="AH1063">
        <f ca="1"/>
      </c>
      <c r="AI1063">
        <f ca="1"/>
      </c>
      <c r="AJ1063">
        <f ca="1"/>
      </c>
      <c r="AK1063">
        <f ca="1"/>
      </c>
      <c r="AL1063">
        <f ca="1"/>
      </c>
      <c r="AM1063">
        <f ca="1"/>
      </c>
      <c r="AN1063">
        <f ca="1"/>
      </c>
      <c r="AO1063">
        <f ca="1"/>
      </c>
      <c r="AP1063">
        <f ca="1"/>
      </c>
      <c r="AQ1063">
        <f ca="1"/>
      </c>
      <c r="AR1063">
        <f ca="1"/>
      </c>
      <c r="AT1063" s="7">
        <f ca="1"/>
      </c>
      <c r="AU1063">
        <f ca="1"/>
      </c>
      <c r="AV1063">
        <f ca="1"/>
      </c>
      <c r="AW1063">
        <f ca="1"/>
      </c>
      <c r="AX1063">
        <f ca="1"/>
      </c>
      <c r="AY1063">
        <f ca="1"/>
      </c>
      <c r="BA1063" s="7"/>
    </row>
    <row r="1064" spans="31:53" x14ac:dyDescent="0.55000000000000004">
      <c r="AE1064" s="7">
        <f ca="1"/>
      </c>
      <c r="AF1064">
        <f ca="1"/>
      </c>
      <c r="AG1064">
        <f ca="1"/>
      </c>
      <c r="AH1064">
        <f ca="1"/>
      </c>
      <c r="AI1064">
        <f ca="1"/>
      </c>
      <c r="AJ1064">
        <f ca="1"/>
      </c>
      <c r="AK1064">
        <f ca="1"/>
      </c>
      <c r="AL1064">
        <f ca="1"/>
      </c>
      <c r="AM1064">
        <f ca="1"/>
      </c>
      <c r="AN1064">
        <f ca="1"/>
      </c>
      <c r="AO1064">
        <f ca="1"/>
      </c>
      <c r="AP1064">
        <f ca="1"/>
      </c>
      <c r="AQ1064">
        <f ca="1"/>
      </c>
      <c r="AR1064">
        <f ca="1"/>
      </c>
      <c r="AT1064" s="7">
        <f ca="1"/>
      </c>
      <c r="AU1064">
        <f ca="1"/>
      </c>
      <c r="AV1064">
        <f ca="1"/>
      </c>
      <c r="AW1064">
        <f ca="1"/>
      </c>
      <c r="AX1064">
        <f ca="1"/>
      </c>
      <c r="AY1064">
        <f ca="1"/>
      </c>
      <c r="BA1064" s="7"/>
    </row>
    <row r="1065" spans="31:53" x14ac:dyDescent="0.55000000000000004">
      <c r="AE1065" s="7">
        <f ca="1"/>
      </c>
      <c r="AF1065">
        <f ca="1"/>
      </c>
      <c r="AG1065">
        <f ca="1"/>
      </c>
      <c r="AH1065">
        <f ca="1"/>
      </c>
      <c r="AI1065">
        <f ca="1"/>
      </c>
      <c r="AJ1065">
        <f ca="1"/>
      </c>
      <c r="AK1065">
        <f ca="1"/>
      </c>
      <c r="AL1065">
        <f ca="1"/>
      </c>
      <c r="AM1065">
        <f ca="1"/>
      </c>
      <c r="AN1065">
        <f ca="1"/>
      </c>
      <c r="AO1065">
        <f ca="1"/>
      </c>
      <c r="AP1065">
        <f ca="1"/>
      </c>
      <c r="AQ1065">
        <f ca="1"/>
      </c>
      <c r="AR1065">
        <f ca="1"/>
      </c>
      <c r="AT1065" s="7">
        <f ca="1"/>
      </c>
      <c r="AU1065">
        <f ca="1"/>
      </c>
      <c r="AV1065">
        <f ca="1"/>
      </c>
      <c r="AW1065">
        <f ca="1"/>
      </c>
      <c r="AX1065">
        <f ca="1"/>
      </c>
      <c r="AY1065">
        <f ca="1"/>
      </c>
      <c r="BA1065" s="7"/>
    </row>
    <row r="1066" spans="31:53" x14ac:dyDescent="0.55000000000000004">
      <c r="AE1066" s="7">
        <f ca="1"/>
      </c>
      <c r="AF1066">
        <f ca="1"/>
      </c>
      <c r="AG1066">
        <f ca="1"/>
      </c>
      <c r="AH1066">
        <f ca="1"/>
      </c>
      <c r="AI1066">
        <f ca="1"/>
      </c>
      <c r="AJ1066">
        <f ca="1"/>
      </c>
      <c r="AK1066">
        <f ca="1"/>
      </c>
      <c r="AL1066">
        <f ca="1"/>
      </c>
      <c r="AM1066">
        <f ca="1"/>
      </c>
      <c r="AN1066">
        <f ca="1"/>
      </c>
      <c r="AO1066">
        <f ca="1"/>
      </c>
      <c r="AP1066">
        <f ca="1"/>
      </c>
      <c r="AQ1066">
        <f ca="1"/>
      </c>
      <c r="AR1066">
        <f ca="1"/>
      </c>
      <c r="AT1066" s="7">
        <f ca="1"/>
      </c>
      <c r="AU1066">
        <f ca="1"/>
      </c>
      <c r="AV1066">
        <f ca="1"/>
      </c>
      <c r="AW1066">
        <f ca="1"/>
      </c>
      <c r="AX1066">
        <f ca="1"/>
      </c>
      <c r="AY1066">
        <f ca="1"/>
      </c>
      <c r="BA1066" s="7"/>
    </row>
    <row r="1067" spans="31:53" x14ac:dyDescent="0.55000000000000004">
      <c r="AE1067" s="7">
        <f ca="1"/>
      </c>
      <c r="AF1067">
        <f ca="1"/>
      </c>
      <c r="AG1067">
        <f ca="1"/>
      </c>
      <c r="AH1067">
        <f ca="1"/>
      </c>
      <c r="AI1067">
        <f ca="1"/>
      </c>
      <c r="AJ1067">
        <f ca="1"/>
      </c>
      <c r="AK1067">
        <f ca="1"/>
      </c>
      <c r="AL1067">
        <f ca="1"/>
      </c>
      <c r="AM1067">
        <f ca="1"/>
      </c>
      <c r="AN1067">
        <f ca="1"/>
      </c>
      <c r="AO1067">
        <f ca="1"/>
      </c>
      <c r="AP1067">
        <f ca="1"/>
      </c>
      <c r="AQ1067">
        <f ca="1"/>
      </c>
      <c r="AR1067">
        <f ca="1"/>
      </c>
      <c r="AT1067" s="7">
        <f ca="1"/>
      </c>
      <c r="AU1067">
        <f ca="1"/>
      </c>
      <c r="AV1067">
        <f ca="1"/>
      </c>
      <c r="AW1067">
        <f ca="1"/>
      </c>
      <c r="AX1067">
        <f ca="1"/>
      </c>
      <c r="AY1067">
        <f ca="1"/>
      </c>
      <c r="BA1067" s="7"/>
    </row>
    <row r="1068" spans="31:53" x14ac:dyDescent="0.55000000000000004">
      <c r="AE1068" s="7">
        <f ca="1"/>
      </c>
      <c r="AF1068">
        <f ca="1"/>
      </c>
      <c r="AG1068">
        <f ca="1"/>
      </c>
      <c r="AH1068">
        <f ca="1"/>
      </c>
      <c r="AI1068">
        <f ca="1"/>
      </c>
      <c r="AJ1068">
        <f ca="1"/>
      </c>
      <c r="AK1068">
        <f ca="1"/>
      </c>
      <c r="AL1068">
        <f ca="1"/>
      </c>
      <c r="AM1068">
        <f ca="1"/>
      </c>
      <c r="AN1068">
        <f ca="1"/>
      </c>
      <c r="AO1068">
        <f ca="1"/>
      </c>
      <c r="AP1068">
        <f ca="1"/>
      </c>
      <c r="AQ1068">
        <f ca="1"/>
      </c>
      <c r="AR1068">
        <f ca="1"/>
      </c>
      <c r="AT1068" s="7">
        <f ca="1"/>
      </c>
      <c r="AU1068">
        <f ca="1"/>
      </c>
      <c r="AV1068">
        <f ca="1"/>
      </c>
      <c r="AW1068">
        <f ca="1"/>
      </c>
      <c r="AX1068">
        <f ca="1"/>
      </c>
      <c r="AY1068">
        <f ca="1"/>
      </c>
      <c r="BA1068" s="7"/>
    </row>
    <row r="1069" spans="31:53" x14ac:dyDescent="0.55000000000000004">
      <c r="AE1069" s="7">
        <f ca="1"/>
      </c>
      <c r="AF1069">
        <f ca="1"/>
      </c>
      <c r="AG1069">
        <f ca="1"/>
      </c>
      <c r="AH1069">
        <f ca="1"/>
      </c>
      <c r="AI1069">
        <f ca="1"/>
      </c>
      <c r="AJ1069">
        <f ca="1"/>
      </c>
      <c r="AK1069">
        <f ca="1"/>
      </c>
      <c r="AL1069">
        <f ca="1"/>
      </c>
      <c r="AM1069">
        <f ca="1"/>
      </c>
      <c r="AN1069">
        <f ca="1"/>
      </c>
      <c r="AO1069">
        <f ca="1"/>
      </c>
      <c r="AP1069">
        <f ca="1"/>
      </c>
      <c r="AQ1069">
        <f ca="1"/>
      </c>
      <c r="AR1069">
        <f ca="1"/>
      </c>
      <c r="AT1069" s="7">
        <f ca="1"/>
      </c>
      <c r="AU1069">
        <f ca="1"/>
      </c>
      <c r="AV1069">
        <f ca="1"/>
      </c>
      <c r="AW1069">
        <f ca="1"/>
      </c>
      <c r="AX1069">
        <f ca="1"/>
      </c>
      <c r="AY1069">
        <f ca="1"/>
      </c>
      <c r="BA1069" s="7"/>
    </row>
    <row r="1070" spans="31:53" x14ac:dyDescent="0.55000000000000004">
      <c r="AE1070" s="7">
        <f ca="1"/>
      </c>
      <c r="AF1070">
        <f ca="1"/>
      </c>
      <c r="AG1070">
        <f ca="1"/>
      </c>
      <c r="AH1070">
        <f ca="1"/>
      </c>
      <c r="AI1070">
        <f ca="1"/>
      </c>
      <c r="AJ1070">
        <f ca="1"/>
      </c>
      <c r="AK1070">
        <f ca="1"/>
      </c>
      <c r="AL1070">
        <f ca="1"/>
      </c>
      <c r="AM1070">
        <f ca="1"/>
      </c>
      <c r="AN1070">
        <f ca="1"/>
      </c>
      <c r="AO1070">
        <f ca="1"/>
      </c>
      <c r="AP1070">
        <f ca="1"/>
      </c>
      <c r="AQ1070">
        <f ca="1"/>
      </c>
      <c r="AR1070">
        <f ca="1"/>
      </c>
      <c r="AT1070" s="7">
        <f ca="1"/>
      </c>
      <c r="AU1070">
        <f ca="1"/>
      </c>
      <c r="AV1070">
        <f ca="1"/>
      </c>
      <c r="AW1070">
        <f ca="1"/>
      </c>
      <c r="AX1070">
        <f ca="1"/>
      </c>
      <c r="AY1070">
        <f ca="1"/>
      </c>
      <c r="BA1070" s="7"/>
    </row>
    <row r="1071" spans="31:53" x14ac:dyDescent="0.55000000000000004">
      <c r="AE1071" s="7">
        <f ca="1"/>
      </c>
      <c r="AF1071">
        <f ca="1"/>
      </c>
      <c r="AG1071">
        <f ca="1"/>
      </c>
      <c r="AH1071">
        <f ca="1"/>
      </c>
      <c r="AI1071">
        <f ca="1"/>
      </c>
      <c r="AJ1071">
        <f ca="1"/>
      </c>
      <c r="AK1071">
        <f ca="1"/>
      </c>
      <c r="AL1071">
        <f ca="1"/>
      </c>
      <c r="AM1071">
        <f ca="1"/>
      </c>
      <c r="AN1071">
        <f ca="1"/>
      </c>
      <c r="AO1071">
        <f ca="1"/>
      </c>
      <c r="AP1071">
        <f ca="1"/>
      </c>
      <c r="AQ1071">
        <f ca="1"/>
      </c>
      <c r="AR1071">
        <f ca="1"/>
      </c>
      <c r="AT1071" s="7">
        <f ca="1"/>
      </c>
      <c r="AU1071">
        <f ca="1"/>
      </c>
      <c r="AV1071">
        <f ca="1"/>
      </c>
      <c r="AW1071">
        <f ca="1"/>
      </c>
      <c r="AX1071">
        <f ca="1"/>
      </c>
      <c r="AY1071">
        <f ca="1"/>
      </c>
      <c r="BA1071" s="7"/>
    </row>
    <row r="1072" spans="31:53" x14ac:dyDescent="0.55000000000000004">
      <c r="AE1072" s="7">
        <f ca="1"/>
      </c>
      <c r="AF1072">
        <f ca="1"/>
      </c>
      <c r="AG1072">
        <f ca="1"/>
      </c>
      <c r="AH1072">
        <f ca="1"/>
      </c>
      <c r="AI1072">
        <f ca="1"/>
      </c>
      <c r="AJ1072">
        <f ca="1"/>
      </c>
      <c r="AK1072">
        <f ca="1"/>
      </c>
      <c r="AL1072">
        <f ca="1"/>
      </c>
      <c r="AM1072">
        <f ca="1"/>
      </c>
      <c r="AN1072">
        <f ca="1"/>
      </c>
      <c r="AO1072">
        <f ca="1"/>
      </c>
      <c r="AP1072">
        <f ca="1"/>
      </c>
      <c r="AQ1072">
        <f ca="1"/>
      </c>
      <c r="AR1072">
        <f ca="1"/>
      </c>
      <c r="AT1072" s="7">
        <f ca="1"/>
      </c>
      <c r="AU1072">
        <f ca="1"/>
      </c>
      <c r="AV1072">
        <f ca="1"/>
      </c>
      <c r="AW1072">
        <f ca="1"/>
      </c>
      <c r="AX1072">
        <f ca="1"/>
      </c>
      <c r="AY1072">
        <f ca="1"/>
      </c>
      <c r="BA1072" s="7"/>
    </row>
    <row r="1073" spans="31:53" x14ac:dyDescent="0.55000000000000004">
      <c r="AE1073" s="7">
        <f ca="1"/>
      </c>
      <c r="AF1073">
        <f ca="1"/>
      </c>
      <c r="AG1073">
        <f ca="1"/>
      </c>
      <c r="AH1073">
        <f ca="1"/>
      </c>
      <c r="AI1073">
        <f ca="1"/>
      </c>
      <c r="AJ1073">
        <f ca="1"/>
      </c>
      <c r="AK1073">
        <f ca="1"/>
      </c>
      <c r="AL1073">
        <f ca="1"/>
      </c>
      <c r="AM1073">
        <f ca="1"/>
      </c>
      <c r="AN1073">
        <f ca="1"/>
      </c>
      <c r="AO1073">
        <f ca="1"/>
      </c>
      <c r="AP1073">
        <f ca="1"/>
      </c>
      <c r="AQ1073">
        <f ca="1"/>
      </c>
      <c r="AR1073">
        <f ca="1"/>
      </c>
      <c r="AT1073" s="7">
        <f ca="1"/>
      </c>
      <c r="AU1073">
        <f ca="1"/>
      </c>
      <c r="AV1073">
        <f ca="1"/>
      </c>
      <c r="AW1073">
        <f ca="1"/>
      </c>
      <c r="AX1073">
        <f ca="1"/>
      </c>
      <c r="AY1073">
        <f ca="1"/>
      </c>
      <c r="BA1073" s="7"/>
    </row>
    <row r="1074" spans="31:53" x14ac:dyDescent="0.55000000000000004">
      <c r="AE1074" s="7">
        <f ca="1"/>
      </c>
      <c r="AF1074">
        <f ca="1"/>
      </c>
      <c r="AG1074">
        <f ca="1"/>
      </c>
      <c r="AH1074">
        <f ca="1"/>
      </c>
      <c r="AI1074">
        <f ca="1"/>
      </c>
      <c r="AJ1074">
        <f ca="1"/>
      </c>
      <c r="AK1074">
        <f ca="1"/>
      </c>
      <c r="AL1074">
        <f ca="1"/>
      </c>
      <c r="AM1074">
        <f ca="1"/>
      </c>
      <c r="AN1074">
        <f ca="1"/>
      </c>
      <c r="AO1074">
        <f ca="1"/>
      </c>
      <c r="AP1074">
        <f ca="1"/>
      </c>
      <c r="AQ1074">
        <f ca="1"/>
      </c>
      <c r="AR1074">
        <f ca="1"/>
      </c>
      <c r="AT1074" s="7">
        <f ca="1"/>
      </c>
      <c r="AU1074">
        <f ca="1"/>
      </c>
      <c r="AV1074">
        <f ca="1"/>
      </c>
      <c r="AW1074">
        <f ca="1"/>
      </c>
      <c r="AX1074">
        <f ca="1"/>
      </c>
      <c r="AY1074">
        <f ca="1"/>
      </c>
      <c r="BA1074" s="7"/>
    </row>
    <row r="1075" spans="31:53" x14ac:dyDescent="0.55000000000000004">
      <c r="AE1075" s="7">
        <f ca="1"/>
      </c>
      <c r="AF1075">
        <f ca="1"/>
      </c>
      <c r="AG1075">
        <f ca="1"/>
      </c>
      <c r="AH1075">
        <f ca="1"/>
      </c>
      <c r="AI1075">
        <f ca="1"/>
      </c>
      <c r="AJ1075">
        <f ca="1"/>
      </c>
      <c r="AK1075">
        <f ca="1"/>
      </c>
      <c r="AL1075">
        <f ca="1"/>
      </c>
      <c r="AM1075">
        <f ca="1"/>
      </c>
      <c r="AN1075">
        <f ca="1"/>
      </c>
      <c r="AO1075">
        <f ca="1"/>
      </c>
      <c r="AP1075">
        <f ca="1"/>
      </c>
      <c r="AQ1075">
        <f ca="1"/>
      </c>
      <c r="AR1075">
        <f ca="1"/>
      </c>
      <c r="AT1075" s="7">
        <f ca="1"/>
      </c>
      <c r="AU1075">
        <f ca="1"/>
      </c>
      <c r="AV1075">
        <f ca="1"/>
      </c>
      <c r="AW1075">
        <f ca="1"/>
      </c>
      <c r="AX1075">
        <f ca="1"/>
      </c>
      <c r="AY1075">
        <f ca="1"/>
      </c>
      <c r="BA1075" s="7"/>
    </row>
    <row r="1076" spans="31:53" x14ac:dyDescent="0.55000000000000004">
      <c r="AE1076" s="7">
        <f ca="1"/>
      </c>
      <c r="AF1076">
        <f ca="1"/>
      </c>
      <c r="AG1076">
        <f ca="1"/>
      </c>
      <c r="AH1076">
        <f ca="1"/>
      </c>
      <c r="AI1076">
        <f ca="1"/>
      </c>
      <c r="AJ1076">
        <f ca="1"/>
      </c>
      <c r="AK1076">
        <f ca="1"/>
      </c>
      <c r="AL1076">
        <f ca="1"/>
      </c>
      <c r="AM1076">
        <f ca="1"/>
      </c>
      <c r="AN1076">
        <f ca="1"/>
      </c>
      <c r="AO1076">
        <f ca="1"/>
      </c>
      <c r="AP1076">
        <f ca="1"/>
      </c>
      <c r="AQ1076">
        <f ca="1"/>
      </c>
      <c r="AR1076">
        <f ca="1"/>
      </c>
      <c r="AT1076" s="7">
        <f ca="1"/>
      </c>
      <c r="AU1076">
        <f ca="1"/>
      </c>
      <c r="AV1076">
        <f ca="1"/>
      </c>
      <c r="AW1076">
        <f ca="1"/>
      </c>
      <c r="AX1076">
        <f ca="1"/>
      </c>
      <c r="AY1076">
        <f ca="1"/>
      </c>
      <c r="BA1076" s="7"/>
    </row>
    <row r="1077" spans="31:53" x14ac:dyDescent="0.55000000000000004">
      <c r="AE1077" s="7">
        <f ca="1"/>
      </c>
      <c r="AF1077">
        <f ca="1"/>
      </c>
      <c r="AG1077">
        <f ca="1"/>
      </c>
      <c r="AH1077">
        <f ca="1"/>
      </c>
      <c r="AI1077">
        <f ca="1"/>
      </c>
      <c r="AJ1077">
        <f ca="1"/>
      </c>
      <c r="AK1077">
        <f ca="1"/>
      </c>
      <c r="AL1077">
        <f ca="1"/>
      </c>
      <c r="AM1077">
        <f ca="1"/>
      </c>
      <c r="AN1077">
        <f ca="1"/>
      </c>
      <c r="AO1077">
        <f ca="1"/>
      </c>
      <c r="AP1077">
        <f ca="1"/>
      </c>
      <c r="AQ1077">
        <f ca="1"/>
      </c>
      <c r="AR1077">
        <f ca="1"/>
      </c>
      <c r="AT1077" s="7">
        <f ca="1"/>
      </c>
      <c r="AU1077">
        <f ca="1"/>
      </c>
      <c r="AV1077">
        <f ca="1"/>
      </c>
      <c r="AW1077">
        <f ca="1"/>
      </c>
      <c r="AX1077">
        <f ca="1"/>
      </c>
      <c r="AY1077">
        <f ca="1"/>
      </c>
      <c r="BA1077" s="7"/>
    </row>
    <row r="1078" spans="31:53" x14ac:dyDescent="0.55000000000000004">
      <c r="AE1078" s="7">
        <f ca="1"/>
      </c>
      <c r="AF1078">
        <f ca="1"/>
      </c>
      <c r="AG1078">
        <f ca="1"/>
      </c>
      <c r="AH1078">
        <f ca="1"/>
      </c>
      <c r="AI1078">
        <f ca="1"/>
      </c>
      <c r="AJ1078">
        <f ca="1"/>
      </c>
      <c r="AK1078">
        <f ca="1"/>
      </c>
      <c r="AL1078">
        <f ca="1"/>
      </c>
      <c r="AM1078">
        <f ca="1"/>
      </c>
      <c r="AN1078">
        <f ca="1"/>
      </c>
      <c r="AO1078">
        <f ca="1"/>
      </c>
      <c r="AP1078">
        <f ca="1"/>
      </c>
      <c r="AQ1078">
        <f ca="1"/>
      </c>
      <c r="AR1078">
        <f ca="1"/>
      </c>
      <c r="AT1078" s="7">
        <f ca="1"/>
      </c>
      <c r="AU1078">
        <f ca="1"/>
      </c>
      <c r="AV1078">
        <f ca="1"/>
      </c>
      <c r="AW1078">
        <f ca="1"/>
      </c>
      <c r="AX1078">
        <f ca="1"/>
      </c>
      <c r="AY1078">
        <f ca="1"/>
      </c>
      <c r="BA1078" s="7"/>
    </row>
    <row r="1079" spans="31:53" x14ac:dyDescent="0.55000000000000004">
      <c r="AE1079" s="7">
        <f ca="1"/>
      </c>
      <c r="AF1079">
        <f ca="1"/>
      </c>
      <c r="AG1079">
        <f ca="1"/>
      </c>
      <c r="AH1079">
        <f ca="1"/>
      </c>
      <c r="AI1079">
        <f ca="1"/>
      </c>
      <c r="AJ1079">
        <f ca="1"/>
      </c>
      <c r="AK1079">
        <f ca="1"/>
      </c>
      <c r="AL1079">
        <f ca="1"/>
      </c>
      <c r="AM1079">
        <f ca="1"/>
      </c>
      <c r="AN1079">
        <f ca="1"/>
      </c>
      <c r="AO1079">
        <f ca="1"/>
      </c>
      <c r="AP1079">
        <f ca="1"/>
      </c>
      <c r="AQ1079">
        <f ca="1"/>
      </c>
      <c r="AR1079">
        <f ca="1"/>
      </c>
      <c r="AT1079" s="7">
        <f ca="1"/>
      </c>
      <c r="AU1079">
        <f ca="1"/>
      </c>
      <c r="AV1079">
        <f ca="1"/>
      </c>
      <c r="AW1079">
        <f ca="1"/>
      </c>
      <c r="AX1079">
        <f ca="1"/>
      </c>
      <c r="AY1079">
        <f ca="1"/>
      </c>
      <c r="BA1079" s="7"/>
    </row>
    <row r="1080" spans="31:53" x14ac:dyDescent="0.55000000000000004">
      <c r="AE1080" s="7">
        <f ca="1"/>
      </c>
      <c r="AF1080">
        <f ca="1"/>
      </c>
      <c r="AG1080">
        <f ca="1"/>
      </c>
      <c r="AH1080">
        <f ca="1"/>
      </c>
      <c r="AI1080">
        <f ca="1"/>
      </c>
      <c r="AJ1080">
        <f ca="1"/>
      </c>
      <c r="AK1080">
        <f ca="1"/>
      </c>
      <c r="AL1080">
        <f ca="1"/>
      </c>
      <c r="AM1080">
        <f ca="1"/>
      </c>
      <c r="AN1080">
        <f ca="1"/>
      </c>
      <c r="AO1080">
        <f ca="1"/>
      </c>
      <c r="AP1080">
        <f ca="1"/>
      </c>
      <c r="AQ1080">
        <f ca="1"/>
      </c>
      <c r="AR1080">
        <f ca="1"/>
      </c>
      <c r="AT1080" s="7">
        <f ca="1"/>
      </c>
      <c r="AU1080">
        <f ca="1"/>
      </c>
      <c r="AV1080">
        <f ca="1"/>
      </c>
      <c r="AW1080">
        <f ca="1"/>
      </c>
      <c r="AX1080">
        <f ca="1"/>
      </c>
      <c r="AY1080">
        <f ca="1"/>
      </c>
      <c r="BA1080" s="7"/>
    </row>
    <row r="1081" spans="31:53" x14ac:dyDescent="0.55000000000000004">
      <c r="AE1081" s="7">
        <f ca="1"/>
      </c>
      <c r="AF1081">
        <f ca="1"/>
      </c>
      <c r="AG1081">
        <f ca="1"/>
      </c>
      <c r="AH1081">
        <f ca="1"/>
      </c>
      <c r="AI1081">
        <f ca="1"/>
      </c>
      <c r="AJ1081">
        <f ca="1"/>
      </c>
      <c r="AK1081">
        <f ca="1"/>
      </c>
      <c r="AL1081">
        <f ca="1"/>
      </c>
      <c r="AM1081">
        <f ca="1"/>
      </c>
      <c r="AN1081">
        <f ca="1"/>
      </c>
      <c r="AO1081">
        <f ca="1"/>
      </c>
      <c r="AP1081">
        <f ca="1"/>
      </c>
      <c r="AQ1081">
        <f ca="1"/>
      </c>
      <c r="AR1081">
        <f ca="1"/>
      </c>
      <c r="AT1081" s="7">
        <f ca="1"/>
      </c>
      <c r="AU1081">
        <f ca="1"/>
      </c>
      <c r="AV1081">
        <f ca="1"/>
      </c>
      <c r="AW1081">
        <f ca="1"/>
      </c>
      <c r="AX1081">
        <f ca="1"/>
      </c>
      <c r="AY1081">
        <f ca="1"/>
      </c>
      <c r="BA1081" s="7"/>
    </row>
    <row r="1082" spans="31:53" x14ac:dyDescent="0.55000000000000004">
      <c r="AE1082" s="7">
        <f ca="1"/>
      </c>
      <c r="AF1082">
        <f ca="1"/>
      </c>
      <c r="AG1082">
        <f ca="1"/>
      </c>
      <c r="AH1082">
        <f ca="1"/>
      </c>
      <c r="AI1082">
        <f ca="1"/>
      </c>
      <c r="AJ1082">
        <f ca="1"/>
      </c>
      <c r="AK1082">
        <f ca="1"/>
      </c>
      <c r="AL1082">
        <f ca="1"/>
      </c>
      <c r="AM1082">
        <f ca="1"/>
      </c>
      <c r="AN1082">
        <f ca="1"/>
      </c>
      <c r="AO1082">
        <f ca="1"/>
      </c>
      <c r="AP1082">
        <f ca="1"/>
      </c>
      <c r="AQ1082">
        <f ca="1"/>
      </c>
      <c r="AR1082">
        <f ca="1"/>
      </c>
      <c r="AT1082" s="7">
        <f ca="1"/>
      </c>
      <c r="AU1082">
        <f ca="1"/>
      </c>
      <c r="AV1082">
        <f ca="1"/>
      </c>
      <c r="AW1082">
        <f ca="1"/>
      </c>
      <c r="AX1082">
        <f ca="1"/>
      </c>
      <c r="AY1082">
        <f ca="1"/>
      </c>
      <c r="BA1082" s="7"/>
    </row>
    <row r="1083" spans="31:53" x14ac:dyDescent="0.55000000000000004">
      <c r="AE1083" s="7">
        <f ca="1"/>
      </c>
      <c r="AF1083">
        <f ca="1"/>
      </c>
      <c r="AG1083">
        <f ca="1"/>
      </c>
      <c r="AH1083">
        <f ca="1"/>
      </c>
      <c r="AI1083">
        <f ca="1"/>
      </c>
      <c r="AJ1083">
        <f ca="1"/>
      </c>
      <c r="AK1083">
        <f ca="1"/>
      </c>
      <c r="AL1083">
        <f ca="1"/>
      </c>
      <c r="AM1083">
        <f ca="1"/>
      </c>
      <c r="AN1083">
        <f ca="1"/>
      </c>
      <c r="AO1083">
        <f ca="1"/>
      </c>
      <c r="AP1083">
        <f ca="1"/>
      </c>
      <c r="AQ1083">
        <f ca="1"/>
      </c>
      <c r="AR1083">
        <f ca="1"/>
      </c>
      <c r="AT1083" s="7">
        <f ca="1"/>
      </c>
      <c r="AU1083">
        <f ca="1"/>
      </c>
      <c r="AV1083">
        <f ca="1"/>
      </c>
      <c r="AW1083">
        <f ca="1"/>
      </c>
      <c r="AX1083">
        <f ca="1"/>
      </c>
      <c r="AY1083">
        <f ca="1"/>
      </c>
      <c r="BA1083" s="7"/>
    </row>
    <row r="1084" spans="31:53" x14ac:dyDescent="0.55000000000000004">
      <c r="AE1084" s="7">
        <f ca="1"/>
      </c>
      <c r="AF1084">
        <f ca="1"/>
      </c>
      <c r="AG1084">
        <f ca="1"/>
      </c>
      <c r="AH1084">
        <f ca="1"/>
      </c>
      <c r="AI1084">
        <f ca="1"/>
      </c>
      <c r="AJ1084">
        <f ca="1"/>
      </c>
      <c r="AK1084">
        <f ca="1"/>
      </c>
      <c r="AL1084">
        <f ca="1"/>
      </c>
      <c r="AM1084">
        <f ca="1"/>
      </c>
      <c r="AN1084">
        <f ca="1"/>
      </c>
      <c r="AO1084">
        <f ca="1"/>
      </c>
      <c r="AP1084">
        <f ca="1"/>
      </c>
      <c r="AQ1084">
        <f ca="1"/>
      </c>
      <c r="AR1084">
        <f ca="1"/>
      </c>
      <c r="AT1084" s="7">
        <f ca="1"/>
      </c>
      <c r="AU1084">
        <f ca="1"/>
      </c>
      <c r="AV1084">
        <f ca="1"/>
      </c>
      <c r="AW1084">
        <f ca="1"/>
      </c>
      <c r="AX1084">
        <f ca="1"/>
      </c>
      <c r="AY1084">
        <f ca="1"/>
      </c>
      <c r="BA1084" s="7"/>
    </row>
    <row r="1085" spans="31:53" x14ac:dyDescent="0.55000000000000004">
      <c r="AE1085" s="7">
        <f ca="1"/>
      </c>
      <c r="AF1085">
        <f ca="1"/>
      </c>
      <c r="AG1085">
        <f ca="1"/>
      </c>
      <c r="AH1085">
        <f ca="1"/>
      </c>
      <c r="AI1085">
        <f ca="1"/>
      </c>
      <c r="AJ1085">
        <f ca="1"/>
      </c>
      <c r="AK1085">
        <f ca="1"/>
      </c>
      <c r="AL1085">
        <f ca="1"/>
      </c>
      <c r="AM1085">
        <f ca="1"/>
      </c>
      <c r="AN1085">
        <f ca="1"/>
      </c>
      <c r="AO1085">
        <f ca="1"/>
      </c>
      <c r="AP1085">
        <f ca="1"/>
      </c>
      <c r="AQ1085">
        <f ca="1"/>
      </c>
      <c r="AR1085">
        <f ca="1"/>
      </c>
      <c r="AT1085" s="7">
        <f ca="1"/>
      </c>
      <c r="AU1085">
        <f ca="1"/>
      </c>
      <c r="AV1085">
        <f ca="1"/>
      </c>
      <c r="AW1085">
        <f ca="1"/>
      </c>
      <c r="AX1085">
        <f ca="1"/>
      </c>
      <c r="AY1085">
        <f ca="1"/>
      </c>
      <c r="BA1085" s="7"/>
    </row>
    <row r="1086" spans="31:53" x14ac:dyDescent="0.55000000000000004">
      <c r="AE1086" s="7">
        <f ca="1"/>
      </c>
      <c r="AF1086">
        <f ca="1"/>
      </c>
      <c r="AG1086">
        <f ca="1"/>
      </c>
      <c r="AH1086">
        <f ca="1"/>
      </c>
      <c r="AI1086">
        <f ca="1"/>
      </c>
      <c r="AJ1086">
        <f ca="1"/>
      </c>
      <c r="AK1086">
        <f ca="1"/>
      </c>
      <c r="AL1086">
        <f ca="1"/>
      </c>
      <c r="AM1086">
        <f ca="1"/>
      </c>
      <c r="AN1086">
        <f ca="1"/>
      </c>
      <c r="AO1086">
        <f ca="1"/>
      </c>
      <c r="AP1086">
        <f ca="1"/>
      </c>
      <c r="AQ1086">
        <f ca="1"/>
      </c>
      <c r="AR1086">
        <f ca="1"/>
      </c>
      <c r="AT1086" s="7">
        <f ca="1"/>
      </c>
      <c r="AU1086">
        <f ca="1"/>
      </c>
      <c r="AV1086">
        <f ca="1"/>
      </c>
      <c r="AW1086">
        <f ca="1"/>
      </c>
      <c r="AX1086">
        <f ca="1"/>
      </c>
      <c r="AY1086">
        <f ca="1"/>
      </c>
      <c r="BA1086" s="7"/>
    </row>
    <row r="1087" spans="31:53" x14ac:dyDescent="0.55000000000000004">
      <c r="AE1087" s="7">
        <f ca="1"/>
      </c>
      <c r="AF1087">
        <f ca="1"/>
      </c>
      <c r="AG1087">
        <f ca="1"/>
      </c>
      <c r="AH1087">
        <f ca="1"/>
      </c>
      <c r="AI1087">
        <f ca="1"/>
      </c>
      <c r="AJ1087">
        <f ca="1"/>
      </c>
      <c r="AK1087">
        <f ca="1"/>
      </c>
      <c r="AL1087">
        <f ca="1"/>
      </c>
      <c r="AM1087">
        <f ca="1"/>
      </c>
      <c r="AN1087">
        <f ca="1"/>
      </c>
      <c r="AO1087">
        <f ca="1"/>
      </c>
      <c r="AP1087">
        <f ca="1"/>
      </c>
      <c r="AQ1087">
        <f ca="1"/>
      </c>
      <c r="AR1087">
        <f ca="1"/>
      </c>
      <c r="AT1087" s="7">
        <f ca="1"/>
      </c>
      <c r="AU1087">
        <f ca="1"/>
      </c>
      <c r="AV1087">
        <f ca="1"/>
      </c>
      <c r="AW1087">
        <f ca="1"/>
      </c>
      <c r="AX1087">
        <f ca="1"/>
      </c>
      <c r="AY1087">
        <f ca="1"/>
      </c>
      <c r="BA1087" s="7"/>
    </row>
    <row r="1088" spans="31:53" x14ac:dyDescent="0.55000000000000004">
      <c r="AE1088" s="7">
        <f ca="1"/>
      </c>
      <c r="AF1088">
        <f ca="1"/>
      </c>
      <c r="AG1088">
        <f ca="1"/>
      </c>
      <c r="AH1088">
        <f ca="1"/>
      </c>
      <c r="AI1088">
        <f ca="1"/>
      </c>
      <c r="AJ1088">
        <f ca="1"/>
      </c>
      <c r="AK1088">
        <f ca="1"/>
      </c>
      <c r="AL1088">
        <f ca="1"/>
      </c>
      <c r="AM1088">
        <f ca="1"/>
      </c>
      <c r="AN1088">
        <f ca="1"/>
      </c>
      <c r="AO1088">
        <f ca="1"/>
      </c>
      <c r="AP1088">
        <f ca="1"/>
      </c>
      <c r="AQ1088">
        <f ca="1"/>
      </c>
      <c r="AR1088">
        <f ca="1"/>
      </c>
      <c r="AT1088" s="7">
        <f ca="1"/>
      </c>
      <c r="AU1088">
        <f ca="1"/>
      </c>
      <c r="AV1088">
        <f ca="1"/>
      </c>
      <c r="AW1088">
        <f ca="1"/>
      </c>
      <c r="AX1088">
        <f ca="1"/>
      </c>
      <c r="AY1088">
        <f ca="1"/>
      </c>
      <c r="BA1088" s="7"/>
    </row>
    <row r="1089" spans="31:53" x14ac:dyDescent="0.55000000000000004">
      <c r="AE1089" s="7">
        <f ca="1"/>
      </c>
      <c r="AF1089">
        <f ca="1"/>
      </c>
      <c r="AG1089">
        <f ca="1"/>
      </c>
      <c r="AH1089">
        <f ca="1"/>
      </c>
      <c r="AI1089">
        <f ca="1"/>
      </c>
      <c r="AJ1089">
        <f ca="1"/>
      </c>
      <c r="AK1089">
        <f ca="1"/>
      </c>
      <c r="AL1089">
        <f ca="1"/>
      </c>
      <c r="AM1089">
        <f ca="1"/>
      </c>
      <c r="AN1089">
        <f ca="1"/>
      </c>
      <c r="AO1089">
        <f ca="1"/>
      </c>
      <c r="AP1089">
        <f ca="1"/>
      </c>
      <c r="AQ1089">
        <f ca="1"/>
      </c>
      <c r="AR1089">
        <f ca="1"/>
      </c>
      <c r="AT1089" s="7">
        <f ca="1"/>
      </c>
      <c r="AU1089">
        <f ca="1"/>
      </c>
      <c r="AV1089">
        <f ca="1"/>
      </c>
      <c r="AW1089">
        <f ca="1"/>
      </c>
      <c r="AX1089">
        <f ca="1"/>
      </c>
      <c r="AY1089">
        <f ca="1"/>
      </c>
      <c r="BA1089" s="7"/>
    </row>
    <row r="1090" spans="31:53" x14ac:dyDescent="0.55000000000000004">
      <c r="AE1090" s="7">
        <f ca="1"/>
      </c>
      <c r="AF1090">
        <f ca="1"/>
      </c>
      <c r="AG1090">
        <f ca="1"/>
      </c>
      <c r="AH1090">
        <f ca="1"/>
      </c>
      <c r="AI1090">
        <f ca="1"/>
      </c>
      <c r="AJ1090">
        <f ca="1"/>
      </c>
      <c r="AK1090">
        <f ca="1"/>
      </c>
      <c r="AL1090">
        <f ca="1"/>
      </c>
      <c r="AM1090">
        <f ca="1"/>
      </c>
      <c r="AN1090">
        <f ca="1"/>
      </c>
      <c r="AO1090">
        <f ca="1"/>
      </c>
      <c r="AP1090">
        <f ca="1"/>
      </c>
      <c r="AQ1090">
        <f ca="1"/>
      </c>
      <c r="AR1090">
        <f ca="1"/>
      </c>
      <c r="AT1090" s="7">
        <f ca="1"/>
      </c>
      <c r="AU1090">
        <f ca="1"/>
      </c>
      <c r="AV1090">
        <f ca="1"/>
      </c>
      <c r="AW1090">
        <f ca="1"/>
      </c>
      <c r="AX1090">
        <f ca="1"/>
      </c>
      <c r="AY1090">
        <f ca="1"/>
      </c>
      <c r="BA1090" s="7"/>
    </row>
    <row r="1091" spans="31:53" x14ac:dyDescent="0.55000000000000004">
      <c r="AE1091" s="7">
        <f ca="1"/>
      </c>
      <c r="AF1091">
        <f ca="1"/>
      </c>
      <c r="AG1091">
        <f ca="1"/>
      </c>
      <c r="AH1091">
        <f ca="1"/>
      </c>
      <c r="AI1091">
        <f ca="1"/>
      </c>
      <c r="AJ1091">
        <f ca="1"/>
      </c>
      <c r="AK1091">
        <f ca="1"/>
      </c>
      <c r="AL1091">
        <f ca="1"/>
      </c>
      <c r="AM1091">
        <f ca="1"/>
      </c>
      <c r="AN1091">
        <f ca="1"/>
      </c>
      <c r="AO1091">
        <f ca="1"/>
      </c>
      <c r="AP1091">
        <f ca="1"/>
      </c>
      <c r="AQ1091">
        <f ca="1"/>
      </c>
      <c r="AR1091">
        <f ca="1"/>
      </c>
      <c r="AT1091" s="7">
        <f ca="1"/>
      </c>
      <c r="AU1091">
        <f ca="1"/>
      </c>
      <c r="AV1091">
        <f ca="1"/>
      </c>
      <c r="AW1091">
        <f ca="1"/>
      </c>
      <c r="AX1091">
        <f ca="1"/>
      </c>
      <c r="AY1091">
        <f ca="1"/>
      </c>
      <c r="BA1091" s="7"/>
    </row>
    <row r="1092" spans="31:53" x14ac:dyDescent="0.55000000000000004">
      <c r="AE1092" s="7">
        <f ca="1"/>
      </c>
      <c r="AF1092">
        <f ca="1"/>
      </c>
      <c r="AG1092">
        <f ca="1"/>
      </c>
      <c r="AH1092">
        <f ca="1"/>
      </c>
      <c r="AI1092">
        <f ca="1"/>
      </c>
      <c r="AJ1092">
        <f ca="1"/>
      </c>
      <c r="AK1092">
        <f ca="1"/>
      </c>
      <c r="AL1092">
        <f ca="1"/>
      </c>
      <c r="AM1092">
        <f ca="1"/>
      </c>
      <c r="AN1092">
        <f ca="1"/>
      </c>
      <c r="AO1092">
        <f ca="1"/>
      </c>
      <c r="AP1092">
        <f ca="1"/>
      </c>
      <c r="AQ1092">
        <f ca="1"/>
      </c>
      <c r="AR1092">
        <f ca="1"/>
      </c>
      <c r="AT1092" s="7">
        <f ca="1"/>
      </c>
      <c r="AU1092">
        <f ca="1"/>
      </c>
      <c r="AV1092">
        <f ca="1"/>
      </c>
      <c r="AW1092">
        <f ca="1"/>
      </c>
      <c r="AX1092">
        <f ca="1"/>
      </c>
      <c r="AY1092">
        <f ca="1"/>
      </c>
      <c r="BA1092" s="7"/>
    </row>
    <row r="1093" spans="31:53" x14ac:dyDescent="0.55000000000000004">
      <c r="AE1093" s="7">
        <f ca="1"/>
      </c>
      <c r="AF1093">
        <f ca="1"/>
      </c>
      <c r="AG1093">
        <f ca="1"/>
      </c>
      <c r="AH1093">
        <f ca="1"/>
      </c>
      <c r="AI1093">
        <f ca="1"/>
      </c>
      <c r="AJ1093">
        <f ca="1"/>
      </c>
      <c r="AK1093">
        <f ca="1"/>
      </c>
      <c r="AL1093">
        <f ca="1"/>
      </c>
      <c r="AM1093">
        <f ca="1"/>
      </c>
      <c r="AN1093">
        <f ca="1"/>
      </c>
      <c r="AO1093">
        <f ca="1"/>
      </c>
      <c r="AP1093">
        <f ca="1"/>
      </c>
      <c r="AQ1093">
        <f ca="1"/>
      </c>
      <c r="AR1093">
        <f ca="1"/>
      </c>
      <c r="AT1093" s="7">
        <f ca="1"/>
      </c>
      <c r="AU1093">
        <f ca="1"/>
      </c>
      <c r="AV1093">
        <f ca="1"/>
      </c>
      <c r="AW1093">
        <f ca="1"/>
      </c>
      <c r="AX1093">
        <f ca="1"/>
      </c>
      <c r="AY1093">
        <f ca="1"/>
      </c>
      <c r="BA1093" s="7"/>
    </row>
    <row r="1094" spans="31:53" x14ac:dyDescent="0.55000000000000004">
      <c r="AE1094" s="7">
        <f ca="1"/>
      </c>
      <c r="AF1094">
        <f ca="1"/>
      </c>
      <c r="AG1094">
        <f ca="1"/>
      </c>
      <c r="AH1094">
        <f ca="1"/>
      </c>
      <c r="AI1094">
        <f ca="1"/>
      </c>
      <c r="AJ1094">
        <f ca="1"/>
      </c>
      <c r="AK1094">
        <f ca="1"/>
      </c>
      <c r="AL1094">
        <f ca="1"/>
      </c>
      <c r="AM1094">
        <f ca="1"/>
      </c>
      <c r="AN1094">
        <f ca="1"/>
      </c>
      <c r="AO1094">
        <f ca="1"/>
      </c>
      <c r="AP1094">
        <f ca="1"/>
      </c>
      <c r="AQ1094">
        <f ca="1"/>
      </c>
      <c r="AR1094">
        <f ca="1"/>
      </c>
      <c r="AT1094" s="7">
        <f ca="1"/>
      </c>
      <c r="AU1094">
        <f ca="1"/>
      </c>
      <c r="AV1094">
        <f ca="1"/>
      </c>
      <c r="AW1094">
        <f ca="1"/>
      </c>
      <c r="AX1094">
        <f ca="1"/>
      </c>
      <c r="AY1094">
        <f ca="1"/>
      </c>
      <c r="BA1094" s="7"/>
    </row>
    <row r="1095" spans="31:53" x14ac:dyDescent="0.55000000000000004">
      <c r="AE1095" s="7">
        <f ca="1"/>
      </c>
      <c r="AF1095">
        <f ca="1"/>
      </c>
      <c r="AG1095">
        <f ca="1"/>
      </c>
      <c r="AH1095">
        <f ca="1"/>
      </c>
      <c r="AI1095">
        <f ca="1"/>
      </c>
      <c r="AJ1095">
        <f ca="1"/>
      </c>
      <c r="AK1095">
        <f ca="1"/>
      </c>
      <c r="AL1095">
        <f ca="1"/>
      </c>
      <c r="AM1095">
        <f ca="1"/>
      </c>
      <c r="AN1095">
        <f ca="1"/>
      </c>
      <c r="AO1095">
        <f ca="1"/>
      </c>
      <c r="AP1095">
        <f ca="1"/>
      </c>
      <c r="AQ1095">
        <f ca="1"/>
      </c>
      <c r="AR1095">
        <f ca="1"/>
      </c>
      <c r="AT1095" s="7">
        <f ca="1"/>
      </c>
      <c r="AU1095">
        <f ca="1"/>
      </c>
      <c r="AV1095">
        <f ca="1"/>
      </c>
      <c r="AW1095">
        <f ca="1"/>
      </c>
      <c r="AX1095">
        <f ca="1"/>
      </c>
      <c r="AY1095">
        <f ca="1"/>
      </c>
      <c r="BA1095" s="7"/>
    </row>
    <row r="1096" spans="31:53" x14ac:dyDescent="0.55000000000000004">
      <c r="AE1096" s="7">
        <f ca="1"/>
      </c>
      <c r="AF1096">
        <f ca="1"/>
      </c>
      <c r="AG1096">
        <f ca="1"/>
      </c>
      <c r="AH1096">
        <f ca="1"/>
      </c>
      <c r="AI1096">
        <f ca="1"/>
      </c>
      <c r="AJ1096">
        <f ca="1"/>
      </c>
      <c r="AK1096">
        <f ca="1"/>
      </c>
      <c r="AL1096">
        <f ca="1"/>
      </c>
      <c r="AM1096">
        <f ca="1"/>
      </c>
      <c r="AN1096">
        <f ca="1"/>
      </c>
      <c r="AO1096">
        <f ca="1"/>
      </c>
      <c r="AP1096">
        <f ca="1"/>
      </c>
      <c r="AQ1096">
        <f ca="1"/>
      </c>
      <c r="AR1096">
        <f ca="1"/>
      </c>
      <c r="AT1096" s="7">
        <f ca="1"/>
      </c>
      <c r="AU1096">
        <f ca="1"/>
      </c>
      <c r="AV1096">
        <f ca="1"/>
      </c>
      <c r="AW1096">
        <f ca="1"/>
      </c>
      <c r="AX1096">
        <f ca="1"/>
      </c>
      <c r="AY1096">
        <f ca="1"/>
      </c>
      <c r="BA1096" s="7"/>
    </row>
    <row r="1097" spans="31:53" x14ac:dyDescent="0.55000000000000004">
      <c r="AE1097" s="7">
        <f ca="1"/>
      </c>
      <c r="AF1097">
        <f ca="1"/>
      </c>
      <c r="AG1097">
        <f ca="1"/>
      </c>
      <c r="AH1097">
        <f ca="1"/>
      </c>
      <c r="AI1097">
        <f ca="1"/>
      </c>
      <c r="AJ1097">
        <f ca="1"/>
      </c>
      <c r="AK1097">
        <f ca="1"/>
      </c>
      <c r="AL1097">
        <f ca="1"/>
      </c>
      <c r="AM1097">
        <f ca="1"/>
      </c>
      <c r="AN1097">
        <f ca="1"/>
      </c>
      <c r="AO1097">
        <f ca="1"/>
      </c>
      <c r="AP1097">
        <f ca="1"/>
      </c>
      <c r="AQ1097">
        <f ca="1"/>
      </c>
      <c r="AR1097">
        <f ca="1"/>
      </c>
      <c r="AT1097" s="7">
        <f ca="1"/>
      </c>
      <c r="AU1097">
        <f ca="1"/>
      </c>
      <c r="AV1097">
        <f ca="1"/>
      </c>
      <c r="AW1097">
        <f ca="1"/>
      </c>
      <c r="AX1097">
        <f ca="1"/>
      </c>
      <c r="AY1097">
        <f ca="1"/>
      </c>
      <c r="BA1097" s="7"/>
    </row>
    <row r="1098" spans="31:53" x14ac:dyDescent="0.55000000000000004">
      <c r="AE1098" s="7">
        <f ca="1"/>
      </c>
      <c r="AF1098">
        <f ca="1"/>
      </c>
      <c r="AG1098">
        <f ca="1"/>
      </c>
      <c r="AH1098">
        <f ca="1"/>
      </c>
      <c r="AI1098">
        <f ca="1"/>
      </c>
      <c r="AJ1098">
        <f ca="1"/>
      </c>
      <c r="AK1098">
        <f ca="1"/>
      </c>
      <c r="AL1098">
        <f ca="1"/>
      </c>
      <c r="AM1098">
        <f ca="1"/>
      </c>
      <c r="AN1098">
        <f ca="1"/>
      </c>
      <c r="AO1098">
        <f ca="1"/>
      </c>
      <c r="AP1098">
        <f ca="1"/>
      </c>
      <c r="AQ1098">
        <f ca="1"/>
      </c>
      <c r="AR1098">
        <f ca="1"/>
      </c>
      <c r="AT1098" s="7">
        <f ca="1"/>
      </c>
      <c r="AU1098">
        <f ca="1"/>
      </c>
      <c r="AV1098">
        <f ca="1"/>
      </c>
      <c r="AW1098">
        <f ca="1"/>
      </c>
      <c r="AX1098">
        <f ca="1"/>
      </c>
      <c r="AY1098">
        <f ca="1"/>
      </c>
      <c r="BA1098" s="7"/>
    </row>
    <row r="1099" spans="31:53" x14ac:dyDescent="0.55000000000000004">
      <c r="AE1099" s="7">
        <f ca="1"/>
      </c>
      <c r="AF1099">
        <f ca="1"/>
      </c>
      <c r="AG1099">
        <f ca="1"/>
      </c>
      <c r="AH1099">
        <f ca="1"/>
      </c>
      <c r="AI1099">
        <f ca="1"/>
      </c>
      <c r="AJ1099">
        <f ca="1"/>
      </c>
      <c r="AK1099">
        <f ca="1"/>
      </c>
      <c r="AL1099">
        <f ca="1"/>
      </c>
      <c r="AM1099">
        <f ca="1"/>
      </c>
      <c r="AN1099">
        <f ca="1"/>
      </c>
      <c r="AO1099">
        <f ca="1"/>
      </c>
      <c r="AP1099">
        <f ca="1"/>
      </c>
      <c r="AQ1099">
        <f ca="1"/>
      </c>
      <c r="AR1099">
        <f ca="1"/>
      </c>
      <c r="AT1099" s="7">
        <f ca="1"/>
      </c>
      <c r="AU1099">
        <f ca="1"/>
      </c>
      <c r="AV1099">
        <f ca="1"/>
      </c>
      <c r="AW1099">
        <f ca="1"/>
      </c>
      <c r="AX1099">
        <f ca="1"/>
      </c>
      <c r="AY1099">
        <f ca="1"/>
      </c>
      <c r="BA1099" s="7"/>
    </row>
    <row r="1100" spans="31:53" x14ac:dyDescent="0.55000000000000004">
      <c r="AE1100" s="7">
        <f ca="1"/>
      </c>
      <c r="AF1100">
        <f ca="1"/>
      </c>
      <c r="AG1100">
        <f ca="1"/>
      </c>
      <c r="AH1100">
        <f ca="1"/>
      </c>
      <c r="AI1100">
        <f ca="1"/>
      </c>
      <c r="AJ1100">
        <f ca="1"/>
      </c>
      <c r="AK1100">
        <f ca="1"/>
      </c>
      <c r="AL1100">
        <f ca="1"/>
      </c>
      <c r="AM1100">
        <f ca="1"/>
      </c>
      <c r="AN1100">
        <f ca="1"/>
      </c>
      <c r="AO1100">
        <f ca="1"/>
      </c>
      <c r="AP1100">
        <f ca="1"/>
      </c>
      <c r="AQ1100">
        <f ca="1"/>
      </c>
      <c r="AR1100">
        <f ca="1"/>
      </c>
      <c r="AT1100" s="7">
        <f ca="1"/>
      </c>
      <c r="AU1100">
        <f ca="1"/>
      </c>
      <c r="AV1100">
        <f ca="1"/>
      </c>
      <c r="AW1100">
        <f ca="1"/>
      </c>
      <c r="AX1100">
        <f ca="1"/>
      </c>
      <c r="AY1100">
        <f ca="1"/>
      </c>
      <c r="BA1100" s="7"/>
    </row>
    <row r="1101" spans="31:53" x14ac:dyDescent="0.55000000000000004">
      <c r="AE1101" s="7">
        <f ca="1"/>
      </c>
      <c r="AF1101">
        <f ca="1"/>
      </c>
      <c r="AG1101">
        <f ca="1"/>
      </c>
      <c r="AH1101">
        <f ca="1"/>
      </c>
      <c r="AI1101">
        <f ca="1"/>
      </c>
      <c r="AJ1101">
        <f ca="1"/>
      </c>
      <c r="AK1101">
        <f ca="1"/>
      </c>
      <c r="AL1101">
        <f ca="1"/>
      </c>
      <c r="AM1101">
        <f ca="1"/>
      </c>
      <c r="AN1101">
        <f ca="1"/>
      </c>
      <c r="AO1101">
        <f ca="1"/>
      </c>
      <c r="AP1101">
        <f ca="1"/>
      </c>
      <c r="AQ1101">
        <f ca="1"/>
      </c>
      <c r="AR1101">
        <f ca="1"/>
      </c>
      <c r="AT1101" s="7">
        <f ca="1"/>
      </c>
      <c r="AU1101">
        <f ca="1"/>
      </c>
      <c r="AV1101">
        <f ca="1"/>
      </c>
      <c r="AW1101">
        <f ca="1"/>
      </c>
      <c r="AX1101">
        <f ca="1"/>
      </c>
      <c r="AY1101">
        <f ca="1"/>
      </c>
      <c r="BA1101" s="7"/>
    </row>
    <row r="1102" spans="31:53" x14ac:dyDescent="0.55000000000000004">
      <c r="AE1102" s="7">
        <f ca="1"/>
      </c>
      <c r="AF1102">
        <f ca="1"/>
      </c>
      <c r="AG1102">
        <f ca="1"/>
      </c>
      <c r="AH1102">
        <f ca="1"/>
      </c>
      <c r="AI1102">
        <f ca="1"/>
      </c>
      <c r="AJ1102">
        <f ca="1"/>
      </c>
      <c r="AK1102">
        <f ca="1"/>
      </c>
      <c r="AL1102">
        <f ca="1"/>
      </c>
      <c r="AM1102">
        <f ca="1"/>
      </c>
      <c r="AN1102">
        <f ca="1"/>
      </c>
      <c r="AO1102">
        <f ca="1"/>
      </c>
      <c r="AP1102">
        <f ca="1"/>
      </c>
      <c r="AQ1102">
        <f ca="1"/>
      </c>
      <c r="AR1102">
        <f ca="1"/>
      </c>
      <c r="AT1102" s="7">
        <f ca="1"/>
      </c>
      <c r="AU1102">
        <f ca="1"/>
      </c>
      <c r="AV1102">
        <f ca="1"/>
      </c>
      <c r="AW1102">
        <f ca="1"/>
      </c>
      <c r="AX1102">
        <f ca="1"/>
      </c>
      <c r="AY1102">
        <f ca="1"/>
      </c>
      <c r="BA1102" s="7"/>
    </row>
    <row r="1103" spans="31:53" x14ac:dyDescent="0.55000000000000004">
      <c r="AE1103" s="7">
        <f ca="1"/>
      </c>
      <c r="AF1103">
        <f ca="1"/>
      </c>
      <c r="AG1103">
        <f ca="1"/>
      </c>
      <c r="AH1103">
        <f ca="1"/>
      </c>
      <c r="AI1103">
        <f ca="1"/>
      </c>
      <c r="AJ1103">
        <f ca="1"/>
      </c>
      <c r="AK1103">
        <f ca="1"/>
      </c>
      <c r="AL1103">
        <f ca="1"/>
      </c>
      <c r="AM1103">
        <f ca="1"/>
      </c>
      <c r="AN1103">
        <f ca="1"/>
      </c>
      <c r="AO1103">
        <f ca="1"/>
      </c>
      <c r="AP1103">
        <f ca="1"/>
      </c>
      <c r="AQ1103">
        <f ca="1"/>
      </c>
      <c r="AR1103">
        <f ca="1"/>
      </c>
      <c r="AT1103" s="7">
        <f ca="1"/>
      </c>
      <c r="AU1103">
        <f ca="1"/>
      </c>
      <c r="AV1103">
        <f ca="1"/>
      </c>
      <c r="AW1103">
        <f ca="1"/>
      </c>
      <c r="AX1103">
        <f ca="1"/>
      </c>
      <c r="AY1103">
        <f ca="1"/>
      </c>
      <c r="BA1103" s="7"/>
    </row>
    <row r="1104" spans="31:53" x14ac:dyDescent="0.55000000000000004">
      <c r="AE1104" s="7">
        <f ca="1"/>
      </c>
      <c r="AF1104">
        <f ca="1"/>
      </c>
      <c r="AG1104">
        <f ca="1"/>
      </c>
      <c r="AH1104">
        <f ca="1"/>
      </c>
      <c r="AI1104">
        <f ca="1"/>
      </c>
      <c r="AJ1104">
        <f ca="1"/>
      </c>
      <c r="AK1104">
        <f ca="1"/>
      </c>
      <c r="AL1104">
        <f ca="1"/>
      </c>
      <c r="AM1104">
        <f ca="1"/>
      </c>
      <c r="AN1104">
        <f ca="1"/>
      </c>
      <c r="AO1104">
        <f ca="1"/>
      </c>
      <c r="AP1104">
        <f ca="1"/>
      </c>
      <c r="AQ1104">
        <f ca="1"/>
      </c>
      <c r="AR1104">
        <f ca="1"/>
      </c>
      <c r="AT1104" s="7">
        <f ca="1"/>
      </c>
      <c r="AU1104">
        <f ca="1"/>
      </c>
      <c r="AV1104">
        <f ca="1"/>
      </c>
      <c r="AW1104">
        <f ca="1"/>
      </c>
      <c r="AX1104">
        <f ca="1"/>
      </c>
      <c r="AY1104">
        <f ca="1"/>
      </c>
      <c r="BA1104" s="7"/>
    </row>
    <row r="1105" spans="31:53" x14ac:dyDescent="0.55000000000000004">
      <c r="AE1105" s="7">
        <f ca="1"/>
      </c>
      <c r="AF1105">
        <f ca="1"/>
      </c>
      <c r="AG1105">
        <f ca="1"/>
      </c>
      <c r="AH1105">
        <f ca="1"/>
      </c>
      <c r="AI1105">
        <f ca="1"/>
      </c>
      <c r="AJ1105">
        <f ca="1"/>
      </c>
      <c r="AK1105">
        <f ca="1"/>
      </c>
      <c r="AL1105">
        <f ca="1"/>
      </c>
      <c r="AM1105">
        <f ca="1"/>
      </c>
      <c r="AN1105">
        <f ca="1"/>
      </c>
      <c r="AO1105">
        <f ca="1"/>
      </c>
      <c r="AP1105">
        <f ca="1"/>
      </c>
      <c r="AQ1105">
        <f ca="1"/>
      </c>
      <c r="AR1105">
        <f ca="1"/>
      </c>
      <c r="AT1105" s="7">
        <f ca="1"/>
      </c>
      <c r="AU1105">
        <f ca="1"/>
      </c>
      <c r="AV1105">
        <f ca="1"/>
      </c>
      <c r="AW1105">
        <f ca="1"/>
      </c>
      <c r="AX1105">
        <f ca="1"/>
      </c>
      <c r="AY1105">
        <f ca="1"/>
      </c>
      <c r="BA1105" s="7"/>
    </row>
    <row r="1106" spans="31:53" x14ac:dyDescent="0.55000000000000004">
      <c r="AE1106" s="7">
        <f ca="1"/>
      </c>
      <c r="AF1106">
        <f ca="1"/>
      </c>
      <c r="AG1106">
        <f ca="1"/>
      </c>
      <c r="AH1106">
        <f ca="1"/>
      </c>
      <c r="AI1106">
        <f ca="1"/>
      </c>
      <c r="AJ1106">
        <f ca="1"/>
      </c>
      <c r="AK1106">
        <f ca="1"/>
      </c>
      <c r="AL1106">
        <f ca="1"/>
      </c>
      <c r="AM1106">
        <f ca="1"/>
      </c>
      <c r="AN1106">
        <f ca="1"/>
      </c>
      <c r="AO1106">
        <f ca="1"/>
      </c>
      <c r="AP1106">
        <f ca="1"/>
      </c>
      <c r="AQ1106">
        <f ca="1"/>
      </c>
      <c r="AR1106">
        <f ca="1"/>
      </c>
      <c r="AT1106" s="7">
        <f ca="1"/>
      </c>
      <c r="AU1106">
        <f ca="1"/>
      </c>
      <c r="AV1106">
        <f ca="1"/>
      </c>
      <c r="AW1106">
        <f ca="1"/>
      </c>
      <c r="AX1106">
        <f ca="1"/>
      </c>
      <c r="AY1106">
        <f ca="1"/>
      </c>
      <c r="BA1106" s="7"/>
    </row>
    <row r="1107" spans="31:53" x14ac:dyDescent="0.55000000000000004">
      <c r="AE1107" s="7">
        <f ca="1"/>
      </c>
      <c r="AF1107">
        <f ca="1"/>
      </c>
      <c r="AG1107">
        <f ca="1"/>
      </c>
      <c r="AH1107">
        <f ca="1"/>
      </c>
      <c r="AI1107">
        <f ca="1"/>
      </c>
      <c r="AJ1107">
        <f ca="1"/>
      </c>
      <c r="AK1107">
        <f ca="1"/>
      </c>
      <c r="AL1107">
        <f ca="1"/>
      </c>
      <c r="AM1107">
        <f ca="1"/>
      </c>
      <c r="AN1107">
        <f ca="1"/>
      </c>
      <c r="AO1107">
        <f ca="1"/>
      </c>
      <c r="AP1107">
        <f ca="1"/>
      </c>
      <c r="AQ1107">
        <f ca="1"/>
      </c>
      <c r="AR1107">
        <f ca="1"/>
      </c>
      <c r="AT1107" s="7">
        <f ca="1"/>
      </c>
      <c r="AU1107">
        <f ca="1"/>
      </c>
      <c r="AV1107">
        <f ca="1"/>
      </c>
      <c r="AW1107">
        <f ca="1"/>
      </c>
      <c r="AX1107">
        <f ca="1"/>
      </c>
      <c r="AY1107">
        <f ca="1"/>
      </c>
      <c r="BA1107" s="7"/>
    </row>
    <row r="1108" spans="31:53" x14ac:dyDescent="0.55000000000000004">
      <c r="AE1108" s="7">
        <f ca="1"/>
      </c>
      <c r="AF1108">
        <f ca="1"/>
      </c>
      <c r="AG1108">
        <f ca="1"/>
      </c>
      <c r="AH1108">
        <f ca="1"/>
      </c>
      <c r="AI1108">
        <f ca="1"/>
      </c>
      <c r="AJ1108">
        <f ca="1"/>
      </c>
      <c r="AK1108">
        <f ca="1"/>
      </c>
      <c r="AL1108">
        <f ca="1"/>
      </c>
      <c r="AM1108">
        <f ca="1"/>
      </c>
      <c r="AN1108">
        <f ca="1"/>
      </c>
      <c r="AO1108">
        <f ca="1"/>
      </c>
      <c r="AP1108">
        <f ca="1"/>
      </c>
      <c r="AQ1108">
        <f ca="1"/>
      </c>
      <c r="AR1108">
        <f ca="1"/>
      </c>
      <c r="AT1108" s="7">
        <f ca="1"/>
      </c>
      <c r="AU1108">
        <f ca="1"/>
      </c>
      <c r="AV1108">
        <f ca="1"/>
      </c>
      <c r="AW1108">
        <f ca="1"/>
      </c>
      <c r="AX1108">
        <f ca="1"/>
      </c>
      <c r="AY1108">
        <f ca="1"/>
      </c>
      <c r="BA1108" s="7"/>
    </row>
    <row r="1109" spans="31:53" x14ac:dyDescent="0.55000000000000004">
      <c r="AE1109" s="7">
        <f ca="1"/>
      </c>
      <c r="AF1109">
        <f ca="1"/>
      </c>
      <c r="AG1109">
        <f ca="1"/>
      </c>
      <c r="AH1109">
        <f ca="1"/>
      </c>
      <c r="AI1109">
        <f ca="1"/>
      </c>
      <c r="AJ1109">
        <f ca="1"/>
      </c>
      <c r="AK1109">
        <f ca="1"/>
      </c>
      <c r="AL1109">
        <f ca="1"/>
      </c>
      <c r="AM1109">
        <f ca="1"/>
      </c>
      <c r="AN1109">
        <f ca="1"/>
      </c>
      <c r="AO1109">
        <f ca="1"/>
      </c>
      <c r="AP1109">
        <f ca="1"/>
      </c>
      <c r="AQ1109">
        <f ca="1"/>
      </c>
      <c r="AR1109">
        <f ca="1"/>
      </c>
      <c r="AT1109" s="7">
        <f ca="1"/>
      </c>
      <c r="AU1109">
        <f ca="1"/>
      </c>
      <c r="AV1109">
        <f ca="1"/>
      </c>
      <c r="AW1109">
        <f ca="1"/>
      </c>
      <c r="AX1109">
        <f ca="1"/>
      </c>
      <c r="AY1109">
        <f ca="1"/>
      </c>
      <c r="BA1109" s="7"/>
    </row>
    <row r="1110" spans="31:53" x14ac:dyDescent="0.55000000000000004">
      <c r="AE1110" s="7">
        <f ca="1"/>
      </c>
      <c r="AF1110">
        <f ca="1"/>
      </c>
      <c r="AG1110">
        <f ca="1"/>
      </c>
      <c r="AH1110">
        <f ca="1"/>
      </c>
      <c r="AI1110">
        <f ca="1"/>
      </c>
      <c r="AJ1110">
        <f ca="1"/>
      </c>
      <c r="AK1110">
        <f ca="1"/>
      </c>
      <c r="AL1110">
        <f ca="1"/>
      </c>
      <c r="AM1110">
        <f ca="1"/>
      </c>
      <c r="AN1110">
        <f ca="1"/>
      </c>
      <c r="AO1110">
        <f ca="1"/>
      </c>
      <c r="AP1110">
        <f ca="1"/>
      </c>
      <c r="AQ1110">
        <f ca="1"/>
      </c>
      <c r="AR1110">
        <f ca="1"/>
      </c>
      <c r="AT1110" s="7">
        <f ca="1"/>
      </c>
      <c r="AU1110">
        <f ca="1"/>
      </c>
      <c r="AV1110">
        <f ca="1"/>
      </c>
      <c r="AW1110">
        <f ca="1"/>
      </c>
      <c r="AX1110">
        <f ca="1"/>
      </c>
      <c r="AY1110">
        <f ca="1"/>
      </c>
      <c r="BA1110" s="7"/>
    </row>
    <row r="1111" spans="31:53" x14ac:dyDescent="0.55000000000000004">
      <c r="AE1111" s="7">
        <f ca="1"/>
      </c>
      <c r="AF1111">
        <f ca="1"/>
      </c>
      <c r="AG1111">
        <f ca="1"/>
      </c>
      <c r="AH1111">
        <f ca="1"/>
      </c>
      <c r="AI1111">
        <f ca="1"/>
      </c>
      <c r="AJ1111">
        <f ca="1"/>
      </c>
      <c r="AK1111">
        <f ca="1"/>
      </c>
      <c r="AL1111">
        <f ca="1"/>
      </c>
      <c r="AM1111">
        <f ca="1"/>
      </c>
      <c r="AN1111">
        <f ca="1"/>
      </c>
      <c r="AO1111">
        <f ca="1"/>
      </c>
      <c r="AP1111">
        <f ca="1"/>
      </c>
      <c r="AQ1111">
        <f ca="1"/>
      </c>
      <c r="AR1111">
        <f ca="1"/>
      </c>
      <c r="AT1111" s="7">
        <f ca="1"/>
      </c>
      <c r="AU1111">
        <f ca="1"/>
      </c>
      <c r="AV1111">
        <f ca="1"/>
      </c>
      <c r="AW1111">
        <f ca="1"/>
      </c>
      <c r="AX1111">
        <f ca="1"/>
      </c>
      <c r="AY1111">
        <f ca="1"/>
      </c>
      <c r="BA1111" s="7"/>
    </row>
    <row r="1112" spans="31:53" x14ac:dyDescent="0.55000000000000004">
      <c r="AE1112" s="7">
        <f ca="1"/>
      </c>
      <c r="AF1112">
        <f ca="1"/>
      </c>
      <c r="AG1112">
        <f ca="1"/>
      </c>
      <c r="AH1112">
        <f ca="1"/>
      </c>
      <c r="AI1112">
        <f ca="1"/>
      </c>
      <c r="AJ1112">
        <f ca="1"/>
      </c>
      <c r="AK1112">
        <f ca="1"/>
      </c>
      <c r="AL1112">
        <f ca="1"/>
      </c>
      <c r="AM1112">
        <f ca="1"/>
      </c>
      <c r="AN1112">
        <f ca="1"/>
      </c>
      <c r="AO1112">
        <f ca="1"/>
      </c>
      <c r="AP1112">
        <f ca="1"/>
      </c>
      <c r="AQ1112">
        <f ca="1"/>
      </c>
      <c r="AR1112">
        <f ca="1"/>
      </c>
      <c r="AT1112" s="7">
        <f ca="1"/>
      </c>
      <c r="AU1112">
        <f ca="1"/>
      </c>
      <c r="AV1112">
        <f ca="1"/>
      </c>
      <c r="AW1112">
        <f ca="1"/>
      </c>
      <c r="AX1112">
        <f ca="1"/>
      </c>
      <c r="AY1112">
        <f ca="1"/>
      </c>
      <c r="BA1112" s="7"/>
    </row>
    <row r="1113" spans="31:53" x14ac:dyDescent="0.55000000000000004">
      <c r="AE1113" s="7">
        <f ca="1"/>
      </c>
      <c r="AF1113">
        <f ca="1"/>
      </c>
      <c r="AG1113">
        <f ca="1"/>
      </c>
      <c r="AH1113">
        <f ca="1"/>
      </c>
      <c r="AI1113">
        <f ca="1"/>
      </c>
      <c r="AJ1113">
        <f ca="1"/>
      </c>
      <c r="AK1113">
        <f ca="1"/>
      </c>
      <c r="AL1113">
        <f ca="1"/>
      </c>
      <c r="AM1113">
        <f ca="1"/>
      </c>
      <c r="AN1113">
        <f ca="1"/>
      </c>
      <c r="AO1113">
        <f ca="1"/>
      </c>
      <c r="AP1113">
        <f ca="1"/>
      </c>
      <c r="AQ1113">
        <f ca="1"/>
      </c>
      <c r="AR1113">
        <f ca="1"/>
      </c>
      <c r="AT1113" s="7">
        <f ca="1"/>
      </c>
      <c r="AU1113">
        <f ca="1"/>
      </c>
      <c r="AV1113">
        <f ca="1"/>
      </c>
      <c r="AW1113">
        <f ca="1"/>
      </c>
      <c r="AX1113">
        <f ca="1"/>
      </c>
      <c r="AY1113">
        <f ca="1"/>
      </c>
      <c r="BA1113" s="7"/>
    </row>
    <row r="1114" spans="31:53" x14ac:dyDescent="0.55000000000000004">
      <c r="AE1114" s="7">
        <f ca="1"/>
      </c>
      <c r="AF1114">
        <f ca="1"/>
      </c>
      <c r="AG1114">
        <f ca="1"/>
      </c>
      <c r="AH1114">
        <f ca="1"/>
      </c>
      <c r="AI1114">
        <f ca="1"/>
      </c>
      <c r="AJ1114">
        <f ca="1"/>
      </c>
      <c r="AK1114">
        <f ca="1"/>
      </c>
      <c r="AL1114">
        <f ca="1"/>
      </c>
      <c r="AM1114">
        <f ca="1"/>
      </c>
      <c r="AN1114">
        <f ca="1"/>
      </c>
      <c r="AO1114">
        <f ca="1"/>
      </c>
      <c r="AP1114">
        <f ca="1"/>
      </c>
      <c r="AQ1114">
        <f ca="1"/>
      </c>
      <c r="AR1114">
        <f ca="1"/>
      </c>
      <c r="AT1114" s="7">
        <f ca="1"/>
      </c>
      <c r="AU1114">
        <f ca="1"/>
      </c>
      <c r="AV1114">
        <f ca="1"/>
      </c>
      <c r="AW1114">
        <f ca="1"/>
      </c>
      <c r="AX1114">
        <f ca="1"/>
      </c>
      <c r="AY1114">
        <f ca="1"/>
      </c>
      <c r="BA1114" s="7"/>
    </row>
    <row r="1115" spans="31:53" x14ac:dyDescent="0.55000000000000004">
      <c r="AE1115" s="7">
        <f ca="1"/>
      </c>
      <c r="AF1115">
        <f ca="1"/>
      </c>
      <c r="AG1115">
        <f ca="1"/>
      </c>
      <c r="AH1115">
        <f ca="1"/>
      </c>
      <c r="AI1115">
        <f ca="1"/>
      </c>
      <c r="AJ1115">
        <f ca="1"/>
      </c>
      <c r="AK1115">
        <f ca="1"/>
      </c>
      <c r="AL1115">
        <f ca="1"/>
      </c>
      <c r="AM1115">
        <f ca="1"/>
      </c>
      <c r="AN1115">
        <f ca="1"/>
      </c>
      <c r="AO1115">
        <f ca="1"/>
      </c>
      <c r="AP1115">
        <f ca="1"/>
      </c>
      <c r="AQ1115">
        <f ca="1"/>
      </c>
      <c r="AR1115">
        <f ca="1"/>
      </c>
      <c r="AT1115" s="7">
        <f ca="1"/>
      </c>
      <c r="AU1115">
        <f ca="1"/>
      </c>
      <c r="AV1115">
        <f ca="1"/>
      </c>
      <c r="AW1115">
        <f ca="1"/>
      </c>
      <c r="AX1115">
        <f ca="1"/>
      </c>
      <c r="AY1115">
        <f ca="1"/>
      </c>
      <c r="BA1115" s="7"/>
    </row>
    <row r="1116" spans="31:53" x14ac:dyDescent="0.55000000000000004">
      <c r="AE1116" s="7">
        <f ca="1"/>
      </c>
      <c r="AF1116">
        <f ca="1"/>
      </c>
      <c r="AG1116">
        <f ca="1"/>
      </c>
      <c r="AH1116">
        <f ca="1"/>
      </c>
      <c r="AI1116">
        <f ca="1"/>
      </c>
      <c r="AJ1116">
        <f ca="1"/>
      </c>
      <c r="AK1116">
        <f ca="1"/>
      </c>
      <c r="AL1116">
        <f ca="1"/>
      </c>
      <c r="AM1116">
        <f ca="1"/>
      </c>
      <c r="AN1116">
        <f ca="1"/>
      </c>
      <c r="AO1116">
        <f ca="1"/>
      </c>
      <c r="AP1116">
        <f ca="1"/>
      </c>
      <c r="AQ1116">
        <f ca="1"/>
      </c>
      <c r="AR1116">
        <f ca="1"/>
      </c>
      <c r="AT1116" s="7">
        <f ca="1"/>
      </c>
      <c r="AU1116">
        <f ca="1"/>
      </c>
      <c r="AV1116">
        <f ca="1"/>
      </c>
      <c r="AW1116">
        <f ca="1"/>
      </c>
      <c r="AX1116">
        <f ca="1"/>
      </c>
      <c r="AY1116">
        <f ca="1"/>
      </c>
      <c r="BA1116" s="7"/>
    </row>
    <row r="1117" spans="31:53" x14ac:dyDescent="0.55000000000000004">
      <c r="AE1117" s="7">
        <f ca="1"/>
      </c>
      <c r="AF1117">
        <f ca="1"/>
      </c>
      <c r="AG1117">
        <f ca="1"/>
      </c>
      <c r="AH1117">
        <f ca="1"/>
      </c>
      <c r="AI1117">
        <f ca="1"/>
      </c>
      <c r="AJ1117">
        <f ca="1"/>
      </c>
      <c r="AK1117">
        <f ca="1"/>
      </c>
      <c r="AL1117">
        <f ca="1"/>
      </c>
      <c r="AM1117">
        <f ca="1"/>
      </c>
      <c r="AN1117">
        <f ca="1"/>
      </c>
      <c r="AO1117">
        <f ca="1"/>
      </c>
      <c r="AP1117">
        <f ca="1"/>
      </c>
      <c r="AQ1117">
        <f ca="1"/>
      </c>
      <c r="AR1117">
        <f ca="1"/>
      </c>
      <c r="AT1117" s="7">
        <f ca="1"/>
      </c>
      <c r="AU1117">
        <f ca="1"/>
      </c>
      <c r="AV1117">
        <f ca="1"/>
      </c>
      <c r="AW1117">
        <f ca="1"/>
      </c>
      <c r="AX1117">
        <f ca="1"/>
      </c>
      <c r="AY1117">
        <f ca="1"/>
      </c>
      <c r="BA1117" s="7"/>
    </row>
    <row r="1118" spans="31:53" x14ac:dyDescent="0.55000000000000004">
      <c r="AE1118" s="7">
        <f ca="1"/>
      </c>
      <c r="AF1118">
        <f ca="1"/>
      </c>
      <c r="AG1118">
        <f ca="1"/>
      </c>
      <c r="AH1118">
        <f ca="1"/>
      </c>
      <c r="AI1118">
        <f ca="1"/>
      </c>
      <c r="AJ1118">
        <f ca="1"/>
      </c>
      <c r="AK1118">
        <f ca="1"/>
      </c>
      <c r="AL1118">
        <f ca="1"/>
      </c>
      <c r="AM1118">
        <f ca="1"/>
      </c>
      <c r="AN1118">
        <f ca="1"/>
      </c>
      <c r="AO1118">
        <f ca="1"/>
      </c>
      <c r="AP1118">
        <f ca="1"/>
      </c>
      <c r="AQ1118">
        <f ca="1"/>
      </c>
      <c r="AR1118">
        <f ca="1"/>
      </c>
      <c r="AT1118" s="7">
        <f ca="1"/>
      </c>
      <c r="AU1118">
        <f ca="1"/>
      </c>
      <c r="AV1118">
        <f ca="1"/>
      </c>
      <c r="AW1118">
        <f ca="1"/>
      </c>
      <c r="AX1118">
        <f ca="1"/>
      </c>
      <c r="AY1118">
        <f ca="1"/>
      </c>
      <c r="BA1118" s="7"/>
    </row>
    <row r="1119" spans="31:53" x14ac:dyDescent="0.55000000000000004">
      <c r="AE1119" s="7">
        <f ca="1"/>
      </c>
      <c r="AF1119">
        <f ca="1"/>
      </c>
      <c r="AG1119">
        <f ca="1"/>
      </c>
      <c r="AH1119">
        <f ca="1"/>
      </c>
      <c r="AI1119">
        <f ca="1"/>
      </c>
      <c r="AJ1119">
        <f ca="1"/>
      </c>
      <c r="AK1119">
        <f ca="1"/>
      </c>
      <c r="AL1119">
        <f ca="1"/>
      </c>
      <c r="AM1119">
        <f ca="1"/>
      </c>
      <c r="AN1119">
        <f ca="1"/>
      </c>
      <c r="AO1119">
        <f ca="1"/>
      </c>
      <c r="AP1119">
        <f ca="1"/>
      </c>
      <c r="AQ1119">
        <f ca="1"/>
      </c>
      <c r="AR1119">
        <f ca="1"/>
      </c>
      <c r="AT1119" s="7">
        <f ca="1"/>
      </c>
      <c r="AU1119">
        <f ca="1"/>
      </c>
      <c r="AV1119">
        <f ca="1"/>
      </c>
      <c r="AW1119">
        <f ca="1"/>
      </c>
      <c r="AX1119">
        <f ca="1"/>
      </c>
      <c r="AY1119">
        <f ca="1"/>
      </c>
      <c r="BA1119" s="7"/>
    </row>
    <row r="1120" spans="31:53" x14ac:dyDescent="0.55000000000000004">
      <c r="AE1120" s="7">
        <f ca="1"/>
      </c>
      <c r="AF1120">
        <f ca="1"/>
      </c>
      <c r="AG1120">
        <f ca="1"/>
      </c>
      <c r="AH1120">
        <f ca="1"/>
      </c>
      <c r="AI1120">
        <f ca="1"/>
      </c>
      <c r="AJ1120">
        <f ca="1"/>
      </c>
      <c r="AK1120">
        <f ca="1"/>
      </c>
      <c r="AL1120">
        <f ca="1"/>
      </c>
      <c r="AM1120">
        <f ca="1"/>
      </c>
      <c r="AN1120">
        <f ca="1"/>
      </c>
      <c r="AO1120">
        <f ca="1"/>
      </c>
      <c r="AP1120">
        <f ca="1"/>
      </c>
      <c r="AQ1120">
        <f ca="1"/>
      </c>
      <c r="AR1120">
        <f ca="1"/>
      </c>
      <c r="AT1120" s="7">
        <f ca="1"/>
      </c>
      <c r="AU1120">
        <f ca="1"/>
      </c>
      <c r="AV1120">
        <f ca="1"/>
      </c>
      <c r="AW1120">
        <f ca="1"/>
      </c>
      <c r="AX1120">
        <f ca="1"/>
      </c>
      <c r="AY1120">
        <f ca="1"/>
      </c>
      <c r="BA1120" s="7"/>
    </row>
    <row r="1121" spans="31:53" x14ac:dyDescent="0.55000000000000004">
      <c r="AE1121" s="7">
        <f ca="1"/>
      </c>
      <c r="AF1121">
        <f ca="1"/>
      </c>
      <c r="AG1121">
        <f ca="1"/>
      </c>
      <c r="AH1121">
        <f ca="1"/>
      </c>
      <c r="AI1121">
        <f ca="1"/>
      </c>
      <c r="AJ1121">
        <f ca="1"/>
      </c>
      <c r="AK1121">
        <f ca="1"/>
      </c>
      <c r="AL1121">
        <f ca="1"/>
      </c>
      <c r="AM1121">
        <f ca="1"/>
      </c>
      <c r="AN1121">
        <f ca="1"/>
      </c>
      <c r="AO1121">
        <f ca="1"/>
      </c>
      <c r="AP1121">
        <f ca="1"/>
      </c>
      <c r="AQ1121">
        <f ca="1"/>
      </c>
      <c r="AR1121">
        <f ca="1"/>
      </c>
      <c r="AT1121" s="7">
        <f ca="1"/>
      </c>
      <c r="AU1121">
        <f ca="1"/>
      </c>
      <c r="AV1121">
        <f ca="1"/>
      </c>
      <c r="AW1121">
        <f ca="1"/>
      </c>
      <c r="AX1121">
        <f ca="1"/>
      </c>
      <c r="AY1121">
        <f ca="1"/>
      </c>
      <c r="BA1121" s="7"/>
    </row>
    <row r="1122" spans="31:53" x14ac:dyDescent="0.55000000000000004">
      <c r="AE1122" s="7">
        <f ca="1"/>
      </c>
      <c r="AF1122">
        <f ca="1"/>
      </c>
      <c r="AG1122">
        <f ca="1"/>
      </c>
      <c r="AH1122">
        <f ca="1"/>
      </c>
      <c r="AI1122">
        <f ca="1"/>
      </c>
      <c r="AJ1122">
        <f ca="1"/>
      </c>
      <c r="AK1122">
        <f ca="1"/>
      </c>
      <c r="AL1122">
        <f ca="1"/>
      </c>
      <c r="AM1122">
        <f ca="1"/>
      </c>
      <c r="AN1122">
        <f ca="1"/>
      </c>
      <c r="AO1122">
        <f ca="1"/>
      </c>
      <c r="AP1122">
        <f ca="1"/>
      </c>
      <c r="AQ1122">
        <f ca="1"/>
      </c>
      <c r="AR1122">
        <f ca="1"/>
      </c>
      <c r="AT1122" s="7">
        <f ca="1"/>
      </c>
      <c r="AU1122">
        <f ca="1"/>
      </c>
      <c r="AV1122">
        <f ca="1"/>
      </c>
      <c r="AW1122">
        <f ca="1"/>
      </c>
      <c r="AX1122">
        <f ca="1"/>
      </c>
      <c r="AY1122">
        <f ca="1"/>
      </c>
      <c r="BA1122" s="7"/>
    </row>
    <row r="1123" spans="31:53" x14ac:dyDescent="0.55000000000000004">
      <c r="AE1123" s="7">
        <f ca="1"/>
      </c>
      <c r="AF1123">
        <f ca="1"/>
      </c>
      <c r="AG1123">
        <f ca="1"/>
      </c>
      <c r="AH1123">
        <f ca="1"/>
      </c>
      <c r="AI1123">
        <f ca="1"/>
      </c>
      <c r="AJ1123">
        <f ca="1"/>
      </c>
      <c r="AK1123">
        <f ca="1"/>
      </c>
      <c r="AL1123">
        <f ca="1"/>
      </c>
      <c r="AM1123">
        <f ca="1"/>
      </c>
      <c r="AN1123">
        <f ca="1"/>
      </c>
      <c r="AO1123">
        <f ca="1"/>
      </c>
      <c r="AP1123">
        <f ca="1"/>
      </c>
      <c r="AQ1123">
        <f ca="1"/>
      </c>
      <c r="AR1123">
        <f ca="1"/>
      </c>
      <c r="AT1123" s="7">
        <f ca="1"/>
      </c>
      <c r="AU1123">
        <f ca="1"/>
      </c>
      <c r="AV1123">
        <f ca="1"/>
      </c>
      <c r="AW1123">
        <f ca="1"/>
      </c>
      <c r="AX1123">
        <f ca="1"/>
      </c>
      <c r="AY1123">
        <f ca="1"/>
      </c>
      <c r="BA1123" s="7"/>
    </row>
    <row r="1124" spans="31:53" x14ac:dyDescent="0.55000000000000004">
      <c r="AE1124" s="7">
        <f ca="1"/>
      </c>
      <c r="AF1124">
        <f ca="1"/>
      </c>
      <c r="AG1124">
        <f ca="1"/>
      </c>
      <c r="AH1124">
        <f ca="1"/>
      </c>
      <c r="AI1124">
        <f ca="1"/>
      </c>
      <c r="AJ1124">
        <f ca="1"/>
      </c>
      <c r="AK1124">
        <f ca="1"/>
      </c>
      <c r="AL1124">
        <f ca="1"/>
      </c>
      <c r="AM1124">
        <f ca="1"/>
      </c>
      <c r="AN1124">
        <f ca="1"/>
      </c>
      <c r="AO1124">
        <f ca="1"/>
      </c>
      <c r="AP1124">
        <f ca="1"/>
      </c>
      <c r="AQ1124">
        <f ca="1"/>
      </c>
      <c r="AR1124">
        <f ca="1"/>
      </c>
      <c r="AT1124" s="7">
        <f ca="1"/>
      </c>
      <c r="AU1124">
        <f ca="1"/>
      </c>
      <c r="AV1124">
        <f ca="1"/>
      </c>
      <c r="AW1124">
        <f ca="1"/>
      </c>
      <c r="AX1124">
        <f ca="1"/>
      </c>
      <c r="AY1124">
        <f ca="1"/>
      </c>
      <c r="BA1124" s="7"/>
    </row>
    <row r="1125" spans="31:53" x14ac:dyDescent="0.55000000000000004">
      <c r="AE1125" s="7">
        <f ca="1"/>
      </c>
      <c r="AF1125">
        <f ca="1"/>
      </c>
      <c r="AG1125">
        <f ca="1"/>
      </c>
      <c r="AH1125">
        <f ca="1"/>
      </c>
      <c r="AI1125">
        <f ca="1"/>
      </c>
      <c r="AJ1125">
        <f ca="1"/>
      </c>
      <c r="AK1125">
        <f ca="1"/>
      </c>
      <c r="AL1125">
        <f ca="1"/>
      </c>
      <c r="AM1125">
        <f ca="1"/>
      </c>
      <c r="AN1125">
        <f ca="1"/>
      </c>
      <c r="AO1125">
        <f ca="1"/>
      </c>
      <c r="AP1125">
        <f ca="1"/>
      </c>
      <c r="AQ1125">
        <f ca="1"/>
      </c>
      <c r="AR1125">
        <f ca="1"/>
      </c>
      <c r="AT1125" s="7">
        <f ca="1"/>
      </c>
      <c r="AU1125">
        <f ca="1"/>
      </c>
      <c r="AV1125">
        <f ca="1"/>
      </c>
      <c r="AW1125">
        <f ca="1"/>
      </c>
      <c r="AX1125">
        <f ca="1"/>
      </c>
      <c r="AY1125">
        <f ca="1"/>
      </c>
      <c r="BA1125" s="7"/>
    </row>
    <row r="1126" spans="31:53" x14ac:dyDescent="0.55000000000000004">
      <c r="AE1126" s="7">
        <f ca="1"/>
      </c>
      <c r="AF1126">
        <f ca="1"/>
      </c>
      <c r="AG1126">
        <f ca="1"/>
      </c>
      <c r="AH1126">
        <f ca="1"/>
      </c>
      <c r="AI1126">
        <f ca="1"/>
      </c>
      <c r="AJ1126">
        <f ca="1"/>
      </c>
      <c r="AK1126">
        <f ca="1"/>
      </c>
      <c r="AL1126">
        <f ca="1"/>
      </c>
      <c r="AM1126">
        <f ca="1"/>
      </c>
      <c r="AN1126">
        <f ca="1"/>
      </c>
      <c r="AO1126">
        <f ca="1"/>
      </c>
      <c r="AP1126">
        <f ca="1"/>
      </c>
      <c r="AQ1126">
        <f ca="1"/>
      </c>
      <c r="AR1126">
        <f ca="1"/>
      </c>
      <c r="AT1126" s="7">
        <f ca="1"/>
      </c>
      <c r="AU1126">
        <f ca="1"/>
      </c>
      <c r="AV1126">
        <f ca="1"/>
      </c>
      <c r="AW1126">
        <f ca="1"/>
      </c>
      <c r="AX1126">
        <f ca="1"/>
      </c>
      <c r="AY1126">
        <f ca="1"/>
      </c>
      <c r="BA1126" s="7"/>
    </row>
    <row r="1127" spans="31:53" x14ac:dyDescent="0.55000000000000004">
      <c r="AE1127" s="7">
        <f ca="1"/>
      </c>
      <c r="AF1127">
        <f ca="1"/>
      </c>
      <c r="AG1127">
        <f ca="1"/>
      </c>
      <c r="AH1127">
        <f ca="1"/>
      </c>
      <c r="AI1127">
        <f ca="1"/>
      </c>
      <c r="AJ1127">
        <f ca="1"/>
      </c>
      <c r="AK1127">
        <f ca="1"/>
      </c>
      <c r="AL1127">
        <f ca="1"/>
      </c>
      <c r="AM1127">
        <f ca="1"/>
      </c>
      <c r="AN1127">
        <f ca="1"/>
      </c>
      <c r="AO1127">
        <f ca="1"/>
      </c>
      <c r="AP1127">
        <f ca="1"/>
      </c>
      <c r="AQ1127">
        <f ca="1"/>
      </c>
      <c r="AR1127">
        <f ca="1"/>
      </c>
      <c r="AT1127" s="7">
        <f ca="1"/>
      </c>
      <c r="AU1127">
        <f ca="1"/>
      </c>
      <c r="AV1127">
        <f ca="1"/>
      </c>
      <c r="AW1127">
        <f ca="1"/>
      </c>
      <c r="AX1127">
        <f ca="1"/>
      </c>
      <c r="AY1127">
        <f ca="1"/>
      </c>
      <c r="BA1127" s="7"/>
    </row>
    <row r="1128" spans="31:53" x14ac:dyDescent="0.55000000000000004">
      <c r="AE1128" s="7">
        <f ca="1"/>
      </c>
      <c r="AF1128">
        <f ca="1"/>
      </c>
      <c r="AG1128">
        <f ca="1"/>
      </c>
      <c r="AH1128">
        <f ca="1"/>
      </c>
      <c r="AI1128">
        <f ca="1"/>
      </c>
      <c r="AJ1128">
        <f ca="1"/>
      </c>
      <c r="AK1128">
        <f ca="1"/>
      </c>
      <c r="AL1128">
        <f ca="1"/>
      </c>
      <c r="AM1128">
        <f ca="1"/>
      </c>
      <c r="AN1128">
        <f ca="1"/>
      </c>
      <c r="AO1128">
        <f ca="1"/>
      </c>
      <c r="AP1128">
        <f ca="1"/>
      </c>
      <c r="AQ1128">
        <f ca="1"/>
      </c>
      <c r="AR1128">
        <f ca="1"/>
      </c>
      <c r="AT1128" s="7">
        <f ca="1"/>
      </c>
      <c r="AU1128">
        <f ca="1"/>
      </c>
      <c r="AV1128">
        <f ca="1"/>
      </c>
      <c r="AW1128">
        <f ca="1"/>
      </c>
      <c r="AX1128">
        <f ca="1"/>
      </c>
      <c r="AY1128">
        <f ca="1"/>
      </c>
      <c r="BA1128" s="7"/>
    </row>
    <row r="1129" spans="31:53" x14ac:dyDescent="0.55000000000000004">
      <c r="AE1129" s="7">
        <f ca="1"/>
      </c>
      <c r="AF1129">
        <f ca="1"/>
      </c>
      <c r="AG1129">
        <f ca="1"/>
      </c>
      <c r="AH1129">
        <f ca="1"/>
      </c>
      <c r="AI1129">
        <f ca="1"/>
      </c>
      <c r="AJ1129">
        <f ca="1"/>
      </c>
      <c r="AK1129">
        <f ca="1"/>
      </c>
      <c r="AL1129">
        <f ca="1"/>
      </c>
      <c r="AM1129">
        <f ca="1"/>
      </c>
      <c r="AN1129">
        <f ca="1"/>
      </c>
      <c r="AO1129">
        <f ca="1"/>
      </c>
      <c r="AP1129">
        <f ca="1"/>
      </c>
      <c r="AQ1129">
        <f ca="1"/>
      </c>
      <c r="AR1129">
        <f ca="1"/>
      </c>
      <c r="AT1129" s="7">
        <f ca="1"/>
      </c>
      <c r="AU1129">
        <f ca="1"/>
      </c>
      <c r="AV1129">
        <f ca="1"/>
      </c>
      <c r="AW1129">
        <f ca="1"/>
      </c>
      <c r="AX1129">
        <f ca="1"/>
      </c>
      <c r="AY1129">
        <f ca="1"/>
      </c>
      <c r="BA1129" s="7"/>
    </row>
    <row r="1130" spans="31:53" x14ac:dyDescent="0.55000000000000004">
      <c r="AE1130" s="7">
        <f ca="1"/>
      </c>
      <c r="AF1130">
        <f ca="1"/>
      </c>
      <c r="AG1130">
        <f ca="1"/>
      </c>
      <c r="AH1130">
        <f ca="1"/>
      </c>
      <c r="AI1130">
        <f ca="1"/>
      </c>
      <c r="AJ1130">
        <f ca="1"/>
      </c>
      <c r="AK1130">
        <f ca="1"/>
      </c>
      <c r="AL1130">
        <f ca="1"/>
      </c>
      <c r="AM1130">
        <f ca="1"/>
      </c>
      <c r="AN1130">
        <f ca="1"/>
      </c>
      <c r="AO1130">
        <f ca="1"/>
      </c>
      <c r="AP1130">
        <f ca="1"/>
      </c>
      <c r="AQ1130">
        <f ca="1"/>
      </c>
      <c r="AR1130">
        <f ca="1"/>
      </c>
      <c r="AT1130" s="7">
        <f ca="1"/>
      </c>
      <c r="AU1130">
        <f ca="1"/>
      </c>
      <c r="AV1130">
        <f ca="1"/>
      </c>
      <c r="AW1130">
        <f ca="1"/>
      </c>
      <c r="AX1130">
        <f ca="1"/>
      </c>
      <c r="AY1130">
        <f ca="1"/>
      </c>
      <c r="BA1130" s="7"/>
    </row>
    <row r="1131" spans="31:53" x14ac:dyDescent="0.55000000000000004">
      <c r="AE1131" s="7">
        <f ca="1"/>
      </c>
      <c r="AF1131">
        <f ca="1"/>
      </c>
      <c r="AG1131">
        <f ca="1"/>
      </c>
      <c r="AH1131">
        <f ca="1"/>
      </c>
      <c r="AI1131">
        <f ca="1"/>
      </c>
      <c r="AJ1131">
        <f ca="1"/>
      </c>
      <c r="AK1131">
        <f ca="1"/>
      </c>
      <c r="AL1131">
        <f ca="1"/>
      </c>
      <c r="AM1131">
        <f ca="1"/>
      </c>
      <c r="AN1131">
        <f ca="1"/>
      </c>
      <c r="AO1131">
        <f ca="1"/>
      </c>
      <c r="AP1131">
        <f ca="1"/>
      </c>
      <c r="AQ1131">
        <f ca="1"/>
      </c>
      <c r="AR1131">
        <f ca="1"/>
      </c>
      <c r="AT1131" s="7">
        <f ca="1"/>
      </c>
      <c r="AU1131">
        <f ca="1"/>
      </c>
      <c r="AV1131">
        <f ca="1"/>
      </c>
      <c r="AW1131">
        <f ca="1"/>
      </c>
      <c r="AX1131">
        <f ca="1"/>
      </c>
      <c r="AY1131">
        <f ca="1"/>
      </c>
      <c r="BA1131" s="7"/>
    </row>
    <row r="1132" spans="31:53" x14ac:dyDescent="0.55000000000000004">
      <c r="AE1132" s="7">
        <f ca="1"/>
      </c>
      <c r="AF1132">
        <f ca="1"/>
      </c>
      <c r="AG1132">
        <f ca="1"/>
      </c>
      <c r="AH1132">
        <f ca="1"/>
      </c>
      <c r="AI1132">
        <f ca="1"/>
      </c>
      <c r="AJ1132">
        <f ca="1"/>
      </c>
      <c r="AK1132">
        <f ca="1"/>
      </c>
      <c r="AL1132">
        <f ca="1"/>
      </c>
      <c r="AM1132">
        <f ca="1"/>
      </c>
      <c r="AN1132">
        <f ca="1"/>
      </c>
      <c r="AO1132">
        <f ca="1"/>
      </c>
      <c r="AP1132">
        <f ca="1"/>
      </c>
      <c r="AQ1132">
        <f ca="1"/>
      </c>
      <c r="AR1132">
        <f ca="1"/>
      </c>
      <c r="AT1132" s="7">
        <f ca="1"/>
      </c>
      <c r="AU1132">
        <f ca="1"/>
      </c>
      <c r="AV1132">
        <f ca="1"/>
      </c>
      <c r="AW1132">
        <f ca="1"/>
      </c>
      <c r="AX1132">
        <f ca="1"/>
      </c>
      <c r="AY1132">
        <f ca="1"/>
      </c>
      <c r="BA1132" s="7"/>
    </row>
    <row r="1133" spans="31:53" x14ac:dyDescent="0.55000000000000004">
      <c r="AE1133" s="7">
        <f ca="1"/>
      </c>
      <c r="AF1133">
        <f ca="1"/>
      </c>
      <c r="AG1133">
        <f ca="1"/>
      </c>
      <c r="AH1133">
        <f ca="1"/>
      </c>
      <c r="AI1133">
        <f ca="1"/>
      </c>
      <c r="AJ1133">
        <f ca="1"/>
      </c>
      <c r="AK1133">
        <f ca="1"/>
      </c>
      <c r="AL1133">
        <f ca="1"/>
      </c>
      <c r="AM1133">
        <f ca="1"/>
      </c>
      <c r="AN1133">
        <f ca="1"/>
      </c>
      <c r="AO1133">
        <f ca="1"/>
      </c>
      <c r="AP1133">
        <f ca="1"/>
      </c>
      <c r="AQ1133">
        <f ca="1"/>
      </c>
      <c r="AR1133">
        <f ca="1"/>
      </c>
      <c r="AT1133" s="7">
        <f ca="1"/>
      </c>
      <c r="AU1133">
        <f ca="1"/>
      </c>
      <c r="AV1133">
        <f ca="1"/>
      </c>
      <c r="AW1133">
        <f ca="1"/>
      </c>
      <c r="AX1133">
        <f ca="1"/>
      </c>
      <c r="AY1133">
        <f ca="1"/>
      </c>
      <c r="BA1133" s="7"/>
    </row>
    <row r="1134" spans="31:53" x14ac:dyDescent="0.55000000000000004">
      <c r="AE1134" s="7">
        <f ca="1"/>
      </c>
      <c r="AF1134">
        <f ca="1"/>
      </c>
      <c r="AG1134">
        <f ca="1"/>
      </c>
      <c r="AH1134">
        <f ca="1"/>
      </c>
      <c r="AI1134">
        <f ca="1"/>
      </c>
      <c r="AJ1134">
        <f ca="1"/>
      </c>
      <c r="AK1134">
        <f ca="1"/>
      </c>
      <c r="AL1134">
        <f ca="1"/>
      </c>
      <c r="AM1134">
        <f ca="1"/>
      </c>
      <c r="AN1134">
        <f ca="1"/>
      </c>
      <c r="AO1134">
        <f ca="1"/>
      </c>
      <c r="AP1134">
        <f ca="1"/>
      </c>
      <c r="AQ1134">
        <f ca="1"/>
      </c>
      <c r="AR1134">
        <f ca="1"/>
      </c>
      <c r="AT1134" s="7">
        <f ca="1"/>
      </c>
      <c r="AU1134">
        <f ca="1"/>
      </c>
      <c r="AV1134">
        <f ca="1"/>
      </c>
      <c r="AW1134">
        <f ca="1"/>
      </c>
      <c r="AX1134">
        <f ca="1"/>
      </c>
      <c r="AY1134">
        <f ca="1"/>
      </c>
      <c r="BA1134" s="7"/>
    </row>
    <row r="1135" spans="31:53" x14ac:dyDescent="0.55000000000000004">
      <c r="AE1135" s="7">
        <f ca="1"/>
      </c>
      <c r="AF1135">
        <f ca="1"/>
      </c>
      <c r="AG1135">
        <f ca="1"/>
      </c>
      <c r="AH1135">
        <f ca="1"/>
      </c>
      <c r="AI1135">
        <f ca="1"/>
      </c>
      <c r="AJ1135">
        <f ca="1"/>
      </c>
      <c r="AK1135">
        <f ca="1"/>
      </c>
      <c r="AL1135">
        <f ca="1"/>
      </c>
      <c r="AM1135">
        <f ca="1"/>
      </c>
      <c r="AN1135">
        <f ca="1"/>
      </c>
      <c r="AO1135">
        <f ca="1"/>
      </c>
      <c r="AP1135">
        <f ca="1"/>
      </c>
      <c r="AQ1135">
        <f ca="1"/>
      </c>
      <c r="AR1135">
        <f ca="1"/>
      </c>
      <c r="AT1135" s="7">
        <f ca="1"/>
      </c>
      <c r="AU1135">
        <f ca="1"/>
      </c>
      <c r="AV1135">
        <f ca="1"/>
      </c>
      <c r="AW1135">
        <f ca="1"/>
      </c>
      <c r="AX1135">
        <f ca="1"/>
      </c>
      <c r="AY1135">
        <f ca="1"/>
      </c>
      <c r="BA1135" s="7"/>
    </row>
    <row r="1136" spans="31:53" x14ac:dyDescent="0.55000000000000004">
      <c r="AE1136" s="7">
        <f ca="1"/>
      </c>
      <c r="AF1136">
        <f ca="1"/>
      </c>
      <c r="AG1136">
        <f ca="1"/>
      </c>
      <c r="AH1136">
        <f ca="1"/>
      </c>
      <c r="AI1136">
        <f ca="1"/>
      </c>
      <c r="AJ1136">
        <f ca="1"/>
      </c>
      <c r="AK1136">
        <f ca="1"/>
      </c>
      <c r="AL1136">
        <f ca="1"/>
      </c>
      <c r="AM1136">
        <f ca="1"/>
      </c>
      <c r="AN1136">
        <f ca="1"/>
      </c>
      <c r="AO1136">
        <f ca="1"/>
      </c>
      <c r="AP1136">
        <f ca="1"/>
      </c>
      <c r="AQ1136">
        <f ca="1"/>
      </c>
      <c r="AR1136">
        <f ca="1"/>
      </c>
      <c r="AT1136" s="7">
        <f ca="1"/>
      </c>
      <c r="AU1136">
        <f ca="1"/>
      </c>
      <c r="AV1136">
        <f ca="1"/>
      </c>
      <c r="AW1136">
        <f ca="1"/>
      </c>
      <c r="AX1136">
        <f ca="1"/>
      </c>
      <c r="AY1136">
        <f ca="1"/>
      </c>
      <c r="BA1136" s="7"/>
    </row>
    <row r="1137" spans="31:53" x14ac:dyDescent="0.55000000000000004">
      <c r="AE1137" s="7">
        <f ca="1"/>
      </c>
      <c r="AF1137">
        <f ca="1"/>
      </c>
      <c r="AG1137">
        <f ca="1"/>
      </c>
      <c r="AH1137">
        <f ca="1"/>
      </c>
      <c r="AI1137">
        <f ca="1"/>
      </c>
      <c r="AJ1137">
        <f ca="1"/>
      </c>
      <c r="AK1137">
        <f ca="1"/>
      </c>
      <c r="AL1137">
        <f ca="1"/>
      </c>
      <c r="AM1137">
        <f ca="1"/>
      </c>
      <c r="AN1137">
        <f ca="1"/>
      </c>
      <c r="AO1137">
        <f ca="1"/>
      </c>
      <c r="AP1137">
        <f ca="1"/>
      </c>
      <c r="AQ1137">
        <f ca="1"/>
      </c>
      <c r="AR1137">
        <f ca="1"/>
      </c>
      <c r="AT1137" s="7">
        <f ca="1"/>
      </c>
      <c r="AU1137">
        <f ca="1"/>
      </c>
      <c r="AV1137">
        <f ca="1"/>
      </c>
      <c r="AW1137">
        <f ca="1"/>
      </c>
      <c r="AX1137">
        <f ca="1"/>
      </c>
      <c r="AY1137">
        <f ca="1"/>
      </c>
      <c r="BA1137" s="7"/>
    </row>
    <row r="1138" spans="31:53" x14ac:dyDescent="0.55000000000000004">
      <c r="AE1138" s="7">
        <f ca="1"/>
      </c>
      <c r="AF1138">
        <f ca="1"/>
      </c>
      <c r="AG1138">
        <f ca="1"/>
      </c>
      <c r="AH1138">
        <f ca="1"/>
      </c>
      <c r="AI1138">
        <f ca="1"/>
      </c>
      <c r="AJ1138">
        <f ca="1"/>
      </c>
      <c r="AK1138">
        <f ca="1"/>
      </c>
      <c r="AL1138">
        <f ca="1"/>
      </c>
      <c r="AM1138">
        <f ca="1"/>
      </c>
      <c r="AN1138">
        <f ca="1"/>
      </c>
      <c r="AO1138">
        <f ca="1"/>
      </c>
      <c r="AP1138">
        <f ca="1"/>
      </c>
      <c r="AQ1138">
        <f ca="1"/>
      </c>
      <c r="AR1138">
        <f ca="1"/>
      </c>
      <c r="AT1138" s="7">
        <f ca="1"/>
      </c>
      <c r="AU1138">
        <f ca="1"/>
      </c>
      <c r="AV1138">
        <f ca="1"/>
      </c>
      <c r="AW1138">
        <f ca="1"/>
      </c>
      <c r="AX1138">
        <f ca="1"/>
      </c>
      <c r="AY1138">
        <f ca="1"/>
      </c>
      <c r="BA1138" s="7"/>
    </row>
    <row r="1139" spans="31:53" x14ac:dyDescent="0.55000000000000004">
      <c r="AE1139" s="7">
        <f ca="1"/>
      </c>
      <c r="AF1139">
        <f ca="1"/>
      </c>
      <c r="AG1139">
        <f ca="1"/>
      </c>
      <c r="AH1139">
        <f ca="1"/>
      </c>
      <c r="AI1139">
        <f ca="1"/>
      </c>
      <c r="AJ1139">
        <f ca="1"/>
      </c>
      <c r="AK1139">
        <f ca="1"/>
      </c>
      <c r="AL1139">
        <f ca="1"/>
      </c>
      <c r="AM1139">
        <f ca="1"/>
      </c>
      <c r="AN1139">
        <f ca="1"/>
      </c>
      <c r="AO1139">
        <f ca="1"/>
      </c>
      <c r="AP1139">
        <f ca="1"/>
      </c>
      <c r="AQ1139">
        <f ca="1"/>
      </c>
      <c r="AR1139">
        <f ca="1"/>
      </c>
      <c r="AT1139" s="7">
        <f ca="1"/>
      </c>
      <c r="AU1139">
        <f ca="1"/>
      </c>
      <c r="AV1139">
        <f ca="1"/>
      </c>
      <c r="AW1139">
        <f ca="1"/>
      </c>
      <c r="AX1139">
        <f ca="1"/>
      </c>
      <c r="AY1139">
        <f ca="1"/>
      </c>
      <c r="BA1139" s="7"/>
    </row>
    <row r="1140" spans="31:53" x14ac:dyDescent="0.55000000000000004">
      <c r="AE1140" s="7">
        <f ca="1"/>
      </c>
      <c r="AF1140">
        <f ca="1"/>
      </c>
      <c r="AG1140">
        <f ca="1"/>
      </c>
      <c r="AH1140">
        <f ca="1"/>
      </c>
      <c r="AI1140">
        <f ca="1"/>
      </c>
      <c r="AJ1140">
        <f ca="1"/>
      </c>
      <c r="AK1140">
        <f ca="1"/>
      </c>
      <c r="AL1140">
        <f ca="1"/>
      </c>
      <c r="AM1140">
        <f ca="1"/>
      </c>
      <c r="AN1140">
        <f ca="1"/>
      </c>
      <c r="AO1140">
        <f ca="1"/>
      </c>
      <c r="AP1140">
        <f ca="1"/>
      </c>
      <c r="AQ1140">
        <f ca="1"/>
      </c>
      <c r="AR1140">
        <f ca="1"/>
      </c>
      <c r="AT1140" s="7">
        <f ca="1"/>
      </c>
      <c r="AU1140">
        <f ca="1"/>
      </c>
      <c r="AV1140">
        <f ca="1"/>
      </c>
      <c r="AW1140">
        <f ca="1"/>
      </c>
      <c r="AX1140">
        <f ca="1"/>
      </c>
      <c r="AY1140">
        <f ca="1"/>
      </c>
      <c r="BA1140" s="7"/>
    </row>
    <row r="1141" spans="31:53" x14ac:dyDescent="0.55000000000000004">
      <c r="AE1141" s="7">
        <f ca="1"/>
      </c>
      <c r="AF1141">
        <f ca="1"/>
      </c>
      <c r="AG1141">
        <f ca="1"/>
      </c>
      <c r="AH1141">
        <f ca="1"/>
      </c>
      <c r="AI1141">
        <f ca="1"/>
      </c>
      <c r="AJ1141">
        <f ca="1"/>
      </c>
      <c r="AK1141">
        <f ca="1"/>
      </c>
      <c r="AL1141">
        <f ca="1"/>
      </c>
      <c r="AM1141">
        <f ca="1"/>
      </c>
      <c r="AN1141">
        <f ca="1"/>
      </c>
      <c r="AO1141">
        <f ca="1"/>
      </c>
      <c r="AP1141">
        <f ca="1"/>
      </c>
      <c r="AQ1141">
        <f ca="1"/>
      </c>
      <c r="AR1141">
        <f ca="1"/>
      </c>
      <c r="AT1141" s="7">
        <f ca="1"/>
      </c>
      <c r="AU1141">
        <f ca="1"/>
      </c>
      <c r="AV1141">
        <f ca="1"/>
      </c>
      <c r="AW1141">
        <f ca="1"/>
      </c>
      <c r="AX1141">
        <f ca="1"/>
      </c>
      <c r="AY1141">
        <f ca="1"/>
      </c>
      <c r="BA1141" s="7"/>
    </row>
    <row r="1142" spans="31:53" x14ac:dyDescent="0.55000000000000004">
      <c r="AE1142" s="7">
        <f ca="1"/>
      </c>
      <c r="AF1142">
        <f ca="1"/>
      </c>
      <c r="AG1142">
        <f ca="1"/>
      </c>
      <c r="AH1142">
        <f ca="1"/>
      </c>
      <c r="AI1142">
        <f ca="1"/>
      </c>
      <c r="AJ1142">
        <f ca="1"/>
      </c>
      <c r="AK1142">
        <f ca="1"/>
      </c>
      <c r="AL1142">
        <f ca="1"/>
      </c>
      <c r="AM1142">
        <f ca="1"/>
      </c>
      <c r="AN1142">
        <f ca="1"/>
      </c>
      <c r="AO1142">
        <f ca="1"/>
      </c>
      <c r="AP1142">
        <f ca="1"/>
      </c>
      <c r="AQ1142">
        <f ca="1"/>
      </c>
      <c r="AR1142">
        <f ca="1"/>
      </c>
      <c r="AT1142" s="7">
        <f ca="1"/>
      </c>
      <c r="AU1142">
        <f ca="1"/>
      </c>
      <c r="AV1142">
        <f ca="1"/>
      </c>
      <c r="AW1142">
        <f ca="1"/>
      </c>
      <c r="AX1142">
        <f ca="1"/>
      </c>
      <c r="AY1142">
        <f ca="1"/>
      </c>
      <c r="BA1142" s="7"/>
    </row>
    <row r="1143" spans="31:53" x14ac:dyDescent="0.55000000000000004">
      <c r="AE1143" s="7">
        <f ca="1"/>
      </c>
      <c r="AF1143">
        <f ca="1"/>
      </c>
      <c r="AG1143">
        <f ca="1"/>
      </c>
      <c r="AH1143">
        <f ca="1"/>
      </c>
      <c r="AI1143">
        <f ca="1"/>
      </c>
      <c r="AJ1143">
        <f ca="1"/>
      </c>
      <c r="AK1143">
        <f ca="1"/>
      </c>
      <c r="AL1143">
        <f ca="1"/>
      </c>
      <c r="AM1143">
        <f ca="1"/>
      </c>
      <c r="AN1143">
        <f ca="1"/>
      </c>
      <c r="AO1143">
        <f ca="1"/>
      </c>
      <c r="AP1143">
        <f ca="1"/>
      </c>
      <c r="AQ1143">
        <f ca="1"/>
      </c>
      <c r="AR1143">
        <f ca="1"/>
      </c>
      <c r="AT1143" s="7">
        <f ca="1"/>
      </c>
      <c r="AU1143">
        <f ca="1"/>
      </c>
      <c r="AV1143">
        <f ca="1"/>
      </c>
      <c r="AW1143">
        <f ca="1"/>
      </c>
      <c r="AX1143">
        <f ca="1"/>
      </c>
      <c r="AY1143">
        <f ca="1"/>
      </c>
      <c r="BA1143" s="7"/>
    </row>
    <row r="1144" spans="31:53" x14ac:dyDescent="0.55000000000000004">
      <c r="AE1144" s="7">
        <f ca="1"/>
      </c>
      <c r="AF1144">
        <f ca="1"/>
      </c>
      <c r="AG1144">
        <f ca="1"/>
      </c>
      <c r="AH1144">
        <f ca="1"/>
      </c>
      <c r="AI1144">
        <f ca="1"/>
      </c>
      <c r="AJ1144">
        <f ca="1"/>
      </c>
      <c r="AK1144">
        <f ca="1"/>
      </c>
      <c r="AL1144">
        <f ca="1"/>
      </c>
      <c r="AM1144">
        <f ca="1"/>
      </c>
      <c r="AN1144">
        <f ca="1"/>
      </c>
      <c r="AO1144">
        <f ca="1"/>
      </c>
      <c r="AP1144">
        <f ca="1"/>
      </c>
      <c r="AQ1144">
        <f ca="1"/>
      </c>
      <c r="AR1144">
        <f ca="1"/>
      </c>
      <c r="AT1144" s="7">
        <f ca="1"/>
      </c>
      <c r="AU1144">
        <f ca="1"/>
      </c>
      <c r="AV1144">
        <f ca="1"/>
      </c>
      <c r="AW1144">
        <f ca="1"/>
      </c>
      <c r="AX1144">
        <f ca="1"/>
      </c>
      <c r="AY1144">
        <f ca="1"/>
      </c>
      <c r="BA1144" s="7"/>
    </row>
    <row r="1145" spans="31:53" x14ac:dyDescent="0.55000000000000004">
      <c r="AE1145" s="7">
        <f ca="1"/>
      </c>
      <c r="AF1145">
        <f ca="1"/>
      </c>
      <c r="AG1145">
        <f ca="1"/>
      </c>
      <c r="AH1145">
        <f ca="1"/>
      </c>
      <c r="AI1145">
        <f ca="1"/>
      </c>
      <c r="AJ1145">
        <f ca="1"/>
      </c>
      <c r="AK1145">
        <f ca="1"/>
      </c>
      <c r="AL1145">
        <f ca="1"/>
      </c>
      <c r="AM1145">
        <f ca="1"/>
      </c>
      <c r="AN1145">
        <f ca="1"/>
      </c>
      <c r="AO1145">
        <f ca="1"/>
      </c>
      <c r="AP1145">
        <f ca="1"/>
      </c>
      <c r="AQ1145">
        <f ca="1"/>
      </c>
      <c r="AR1145">
        <f ca="1"/>
      </c>
      <c r="AT1145" s="7">
        <f ca="1"/>
      </c>
      <c r="AU1145">
        <f ca="1"/>
      </c>
      <c r="AV1145">
        <f ca="1"/>
      </c>
      <c r="AW1145">
        <f ca="1"/>
      </c>
      <c r="AX1145">
        <f ca="1"/>
      </c>
      <c r="AY1145">
        <f ca="1"/>
      </c>
      <c r="BA1145" s="7"/>
    </row>
    <row r="1146" spans="31:53" x14ac:dyDescent="0.55000000000000004">
      <c r="AE1146" s="7">
        <f ca="1"/>
      </c>
      <c r="AF1146">
        <f ca="1"/>
      </c>
      <c r="AG1146">
        <f ca="1"/>
      </c>
      <c r="AH1146">
        <f ca="1"/>
      </c>
      <c r="AI1146">
        <f ca="1"/>
      </c>
      <c r="AJ1146">
        <f ca="1"/>
      </c>
      <c r="AK1146">
        <f ca="1"/>
      </c>
      <c r="AL1146">
        <f ca="1"/>
      </c>
      <c r="AM1146">
        <f ca="1"/>
      </c>
      <c r="AN1146">
        <f ca="1"/>
      </c>
      <c r="AO1146">
        <f ca="1"/>
      </c>
      <c r="AP1146">
        <f ca="1"/>
      </c>
      <c r="AQ1146">
        <f ca="1"/>
      </c>
      <c r="AR1146">
        <f ca="1"/>
      </c>
      <c r="AT1146" s="7">
        <f ca="1"/>
      </c>
      <c r="AU1146">
        <f ca="1"/>
      </c>
      <c r="AV1146">
        <f ca="1"/>
      </c>
      <c r="AW1146">
        <f ca="1"/>
      </c>
      <c r="AX1146">
        <f ca="1"/>
      </c>
      <c r="AY1146">
        <f ca="1"/>
      </c>
      <c r="BA1146" s="7"/>
    </row>
    <row r="1147" spans="31:53" x14ac:dyDescent="0.55000000000000004">
      <c r="AE1147" s="7">
        <f ca="1"/>
      </c>
      <c r="AF1147">
        <f ca="1"/>
      </c>
      <c r="AG1147">
        <f ca="1"/>
      </c>
      <c r="AH1147">
        <f ca="1"/>
      </c>
      <c r="AI1147">
        <f ca="1"/>
      </c>
      <c r="AJ1147">
        <f ca="1"/>
      </c>
      <c r="AK1147">
        <f ca="1"/>
      </c>
      <c r="AL1147">
        <f ca="1"/>
      </c>
      <c r="AM1147">
        <f ca="1"/>
      </c>
      <c r="AN1147">
        <f ca="1"/>
      </c>
      <c r="AO1147">
        <f ca="1"/>
      </c>
      <c r="AP1147">
        <f ca="1"/>
      </c>
      <c r="AQ1147">
        <f ca="1"/>
      </c>
      <c r="AR1147">
        <f ca="1"/>
      </c>
      <c r="AT1147" s="7">
        <f ca="1"/>
      </c>
      <c r="AU1147">
        <f ca="1"/>
      </c>
      <c r="AV1147">
        <f ca="1"/>
      </c>
      <c r="AW1147">
        <f ca="1"/>
      </c>
      <c r="AX1147">
        <f ca="1"/>
      </c>
      <c r="AY1147">
        <f ca="1"/>
      </c>
      <c r="BA1147" s="7"/>
    </row>
    <row r="1148" spans="31:53" x14ac:dyDescent="0.55000000000000004">
      <c r="AE1148" s="7">
        <f ca="1"/>
      </c>
      <c r="AF1148">
        <f ca="1"/>
      </c>
      <c r="AG1148">
        <f ca="1"/>
      </c>
      <c r="AH1148">
        <f ca="1"/>
      </c>
      <c r="AI1148">
        <f ca="1"/>
      </c>
      <c r="AJ1148">
        <f ca="1"/>
      </c>
      <c r="AK1148">
        <f ca="1"/>
      </c>
      <c r="AL1148">
        <f ca="1"/>
      </c>
      <c r="AM1148">
        <f ca="1"/>
      </c>
      <c r="AN1148">
        <f ca="1"/>
      </c>
      <c r="AO1148">
        <f ca="1"/>
      </c>
      <c r="AP1148">
        <f ca="1"/>
      </c>
      <c r="AQ1148">
        <f ca="1"/>
      </c>
      <c r="AR1148">
        <f ca="1"/>
      </c>
      <c r="AT1148" s="7">
        <f ca="1"/>
      </c>
      <c r="AU1148">
        <f ca="1"/>
      </c>
      <c r="AV1148">
        <f ca="1"/>
      </c>
      <c r="AW1148">
        <f ca="1"/>
      </c>
      <c r="AX1148">
        <f ca="1"/>
      </c>
      <c r="AY1148">
        <f ca="1"/>
      </c>
      <c r="BA1148" s="7"/>
    </row>
    <row r="1149" spans="31:53" x14ac:dyDescent="0.55000000000000004">
      <c r="AE1149" s="7">
        <f ca="1"/>
      </c>
      <c r="AF1149">
        <f ca="1"/>
      </c>
      <c r="AG1149">
        <f ca="1"/>
      </c>
      <c r="AH1149">
        <f ca="1"/>
      </c>
      <c r="AI1149">
        <f ca="1"/>
      </c>
      <c r="AJ1149">
        <f ca="1"/>
      </c>
      <c r="AK1149">
        <f ca="1"/>
      </c>
      <c r="AL1149">
        <f ca="1"/>
      </c>
      <c r="AM1149">
        <f ca="1"/>
      </c>
      <c r="AN1149">
        <f ca="1"/>
      </c>
      <c r="AO1149">
        <f ca="1"/>
      </c>
      <c r="AP1149">
        <f ca="1"/>
      </c>
      <c r="AQ1149">
        <f ca="1"/>
      </c>
      <c r="AR1149">
        <f ca="1"/>
      </c>
      <c r="AT1149" s="7">
        <f ca="1"/>
      </c>
      <c r="AU1149">
        <f ca="1"/>
      </c>
      <c r="AV1149">
        <f ca="1"/>
      </c>
      <c r="AW1149">
        <f ca="1"/>
      </c>
      <c r="AX1149">
        <f ca="1"/>
      </c>
      <c r="AY1149">
        <f ca="1"/>
      </c>
      <c r="BA1149" s="7"/>
    </row>
    <row r="1150" spans="31:53" x14ac:dyDescent="0.55000000000000004">
      <c r="AE1150" s="7">
        <f ca="1"/>
      </c>
      <c r="AF1150">
        <f ca="1"/>
      </c>
      <c r="AG1150">
        <f ca="1"/>
      </c>
      <c r="AH1150">
        <f ca="1"/>
      </c>
      <c r="AI1150">
        <f ca="1"/>
      </c>
      <c r="AJ1150">
        <f ca="1"/>
      </c>
      <c r="AK1150">
        <f ca="1"/>
      </c>
      <c r="AL1150">
        <f ca="1"/>
      </c>
      <c r="AM1150">
        <f ca="1"/>
      </c>
      <c r="AN1150">
        <f ca="1"/>
      </c>
      <c r="AO1150">
        <f ca="1"/>
      </c>
      <c r="AP1150">
        <f ca="1"/>
      </c>
      <c r="AQ1150">
        <f ca="1"/>
      </c>
      <c r="AR1150">
        <f ca="1"/>
      </c>
      <c r="AT1150" s="7">
        <f ca="1"/>
      </c>
      <c r="AU1150">
        <f ca="1"/>
      </c>
      <c r="AV1150">
        <f ca="1"/>
      </c>
      <c r="AW1150">
        <f ca="1"/>
      </c>
      <c r="AX1150">
        <f ca="1"/>
      </c>
      <c r="AY1150">
        <f ca="1"/>
      </c>
      <c r="BA1150" s="7"/>
    </row>
    <row r="1151" spans="31:53" x14ac:dyDescent="0.55000000000000004">
      <c r="AE1151" s="7">
        <f ca="1"/>
      </c>
      <c r="AF1151">
        <f ca="1"/>
      </c>
      <c r="AG1151">
        <f ca="1"/>
      </c>
      <c r="AH1151">
        <f ca="1"/>
      </c>
      <c r="AI1151">
        <f ca="1"/>
      </c>
      <c r="AJ1151">
        <f ca="1"/>
      </c>
      <c r="AK1151">
        <f ca="1"/>
      </c>
      <c r="AL1151">
        <f ca="1"/>
      </c>
      <c r="AM1151">
        <f ca="1"/>
      </c>
      <c r="AN1151">
        <f ca="1"/>
      </c>
      <c r="AO1151">
        <f ca="1"/>
      </c>
      <c r="AP1151">
        <f ca="1"/>
      </c>
      <c r="AQ1151">
        <f ca="1"/>
      </c>
      <c r="AR1151">
        <f ca="1"/>
      </c>
      <c r="AT1151" s="7">
        <f ca="1"/>
      </c>
      <c r="AU1151">
        <f ca="1"/>
      </c>
      <c r="AV1151">
        <f ca="1"/>
      </c>
      <c r="AW1151">
        <f ca="1"/>
      </c>
      <c r="AX1151">
        <f ca="1"/>
      </c>
      <c r="AY1151">
        <f ca="1"/>
      </c>
      <c r="BA1151" s="7"/>
    </row>
    <row r="1152" spans="31:53" x14ac:dyDescent="0.55000000000000004">
      <c r="AE1152" s="7">
        <f ca="1"/>
      </c>
      <c r="AF1152">
        <f ca="1"/>
      </c>
      <c r="AG1152">
        <f ca="1"/>
      </c>
      <c r="AH1152">
        <f ca="1"/>
      </c>
      <c r="AI1152">
        <f ca="1"/>
      </c>
      <c r="AJ1152">
        <f ca="1"/>
      </c>
      <c r="AK1152">
        <f ca="1"/>
      </c>
      <c r="AL1152">
        <f ca="1"/>
      </c>
      <c r="AM1152">
        <f ca="1"/>
      </c>
      <c r="AN1152">
        <f ca="1"/>
      </c>
      <c r="AO1152">
        <f ca="1"/>
      </c>
      <c r="AP1152">
        <f ca="1"/>
      </c>
      <c r="AQ1152">
        <f ca="1"/>
      </c>
      <c r="AR1152">
        <f ca="1"/>
      </c>
      <c r="AT1152" s="7">
        <f ca="1"/>
      </c>
      <c r="AU1152">
        <f ca="1"/>
      </c>
      <c r="AV1152">
        <f ca="1"/>
      </c>
      <c r="AW1152">
        <f ca="1"/>
      </c>
      <c r="AX1152">
        <f ca="1"/>
      </c>
      <c r="AY1152">
        <f ca="1"/>
      </c>
      <c r="BA1152" s="7"/>
    </row>
    <row r="1153" spans="31:53" x14ac:dyDescent="0.55000000000000004">
      <c r="AE1153" s="7">
        <f ca="1"/>
      </c>
      <c r="AF1153">
        <f ca="1"/>
      </c>
      <c r="AG1153">
        <f ca="1"/>
      </c>
      <c r="AH1153">
        <f ca="1"/>
      </c>
      <c r="AI1153">
        <f ca="1"/>
      </c>
      <c r="AJ1153">
        <f ca="1"/>
      </c>
      <c r="AK1153">
        <f ca="1"/>
      </c>
      <c r="AL1153">
        <f ca="1"/>
      </c>
      <c r="AM1153">
        <f ca="1"/>
      </c>
      <c r="AN1153">
        <f ca="1"/>
      </c>
      <c r="AO1153">
        <f ca="1"/>
      </c>
      <c r="AP1153">
        <f ca="1"/>
      </c>
      <c r="AQ1153">
        <f ca="1"/>
      </c>
      <c r="AR1153">
        <f ca="1"/>
      </c>
      <c r="AT1153" s="7">
        <f ca="1"/>
      </c>
      <c r="AU1153">
        <f ca="1"/>
      </c>
      <c r="AV1153">
        <f ca="1"/>
      </c>
      <c r="AW1153">
        <f ca="1"/>
      </c>
      <c r="AX1153">
        <f ca="1"/>
      </c>
      <c r="AY1153">
        <f ca="1"/>
      </c>
      <c r="BA1153" s="7"/>
    </row>
    <row r="1154" spans="31:53" x14ac:dyDescent="0.55000000000000004">
      <c r="AE1154" s="7">
        <f ca="1"/>
      </c>
      <c r="AF1154">
        <f ca="1"/>
      </c>
      <c r="AG1154">
        <f ca="1"/>
      </c>
      <c r="AH1154">
        <f ca="1"/>
      </c>
      <c r="AI1154">
        <f ca="1"/>
      </c>
      <c r="AJ1154">
        <f ca="1"/>
      </c>
      <c r="AK1154">
        <f ca="1"/>
      </c>
      <c r="AL1154">
        <f ca="1"/>
      </c>
      <c r="AM1154">
        <f ca="1"/>
      </c>
      <c r="AN1154">
        <f ca="1"/>
      </c>
      <c r="AO1154">
        <f ca="1"/>
      </c>
      <c r="AP1154">
        <f ca="1"/>
      </c>
      <c r="AQ1154">
        <f ca="1"/>
      </c>
      <c r="AR1154">
        <f ca="1"/>
      </c>
      <c r="AT1154" s="7">
        <f ca="1"/>
      </c>
      <c r="AU1154">
        <f ca="1"/>
      </c>
      <c r="AV1154">
        <f ca="1"/>
      </c>
      <c r="AW1154">
        <f ca="1"/>
      </c>
      <c r="AX1154">
        <f ca="1"/>
      </c>
      <c r="AY1154">
        <f ca="1"/>
      </c>
      <c r="BA1154" s="7"/>
    </row>
    <row r="1155" spans="31:53" x14ac:dyDescent="0.55000000000000004">
      <c r="AE1155" s="7">
        <f ca="1"/>
      </c>
      <c r="AF1155">
        <f ca="1"/>
      </c>
      <c r="AG1155">
        <f ca="1"/>
      </c>
      <c r="AH1155">
        <f ca="1"/>
      </c>
      <c r="AI1155">
        <f ca="1"/>
      </c>
      <c r="AJ1155">
        <f ca="1"/>
      </c>
      <c r="AK1155">
        <f ca="1"/>
      </c>
      <c r="AL1155">
        <f ca="1"/>
      </c>
      <c r="AM1155">
        <f ca="1"/>
      </c>
      <c r="AN1155">
        <f ca="1"/>
      </c>
      <c r="AO1155">
        <f ca="1"/>
      </c>
      <c r="AP1155">
        <f ca="1"/>
      </c>
      <c r="AQ1155">
        <f ca="1"/>
      </c>
      <c r="AR1155">
        <f ca="1"/>
      </c>
      <c r="AT1155" s="7">
        <f ca="1"/>
      </c>
      <c r="AU1155">
        <f ca="1"/>
      </c>
      <c r="AV1155">
        <f ca="1"/>
      </c>
      <c r="AW1155">
        <f ca="1"/>
      </c>
      <c r="AX1155">
        <f ca="1"/>
      </c>
      <c r="AY1155">
        <f ca="1"/>
      </c>
      <c r="BA1155" s="7"/>
    </row>
    <row r="1156" spans="31:53" x14ac:dyDescent="0.55000000000000004">
      <c r="AE1156" s="7">
        <f ca="1"/>
      </c>
      <c r="AF1156">
        <f ca="1"/>
      </c>
      <c r="AG1156">
        <f ca="1"/>
      </c>
      <c r="AH1156">
        <f ca="1"/>
      </c>
      <c r="AI1156">
        <f ca="1"/>
      </c>
      <c r="AJ1156">
        <f ca="1"/>
      </c>
      <c r="AK1156">
        <f ca="1"/>
      </c>
      <c r="AL1156">
        <f ca="1"/>
      </c>
      <c r="AM1156">
        <f ca="1"/>
      </c>
      <c r="AN1156">
        <f ca="1"/>
      </c>
      <c r="AO1156">
        <f ca="1"/>
      </c>
      <c r="AP1156">
        <f ca="1"/>
      </c>
      <c r="AQ1156">
        <f ca="1"/>
      </c>
      <c r="AR1156">
        <f ca="1"/>
      </c>
      <c r="AT1156" s="7">
        <f ca="1"/>
      </c>
      <c r="AU1156">
        <f ca="1"/>
      </c>
      <c r="AV1156">
        <f ca="1"/>
      </c>
      <c r="AW1156">
        <f ca="1"/>
      </c>
      <c r="AX1156">
        <f ca="1"/>
      </c>
      <c r="AY1156">
        <f ca="1"/>
      </c>
      <c r="BA1156" s="7"/>
    </row>
    <row r="1157" spans="31:53" x14ac:dyDescent="0.55000000000000004">
      <c r="AE1157" s="7">
        <f ca="1"/>
      </c>
      <c r="AF1157">
        <f ca="1"/>
      </c>
      <c r="AG1157">
        <f ca="1"/>
      </c>
      <c r="AH1157">
        <f ca="1"/>
      </c>
      <c r="AI1157">
        <f ca="1"/>
      </c>
      <c r="AJ1157">
        <f ca="1"/>
      </c>
      <c r="AK1157">
        <f ca="1"/>
      </c>
      <c r="AL1157">
        <f ca="1"/>
      </c>
      <c r="AM1157">
        <f ca="1"/>
      </c>
      <c r="AN1157">
        <f ca="1"/>
      </c>
      <c r="AO1157">
        <f ca="1"/>
      </c>
      <c r="AP1157">
        <f ca="1"/>
      </c>
      <c r="AQ1157">
        <f ca="1"/>
      </c>
      <c r="AR1157">
        <f ca="1"/>
      </c>
      <c r="AT1157" s="7">
        <f ca="1"/>
      </c>
      <c r="AU1157">
        <f ca="1"/>
      </c>
      <c r="AV1157">
        <f ca="1"/>
      </c>
      <c r="AW1157">
        <f ca="1"/>
      </c>
      <c r="AX1157">
        <f ca="1"/>
      </c>
      <c r="AY1157">
        <f ca="1"/>
      </c>
      <c r="BA1157" s="7"/>
    </row>
    <row r="1158" spans="31:53" x14ac:dyDescent="0.55000000000000004">
      <c r="AE1158" s="7">
        <f ca="1"/>
      </c>
      <c r="AF1158">
        <f ca="1"/>
      </c>
      <c r="AG1158">
        <f ca="1"/>
      </c>
      <c r="AH1158">
        <f ca="1"/>
      </c>
      <c r="AI1158">
        <f ca="1"/>
      </c>
      <c r="AJ1158">
        <f ca="1"/>
      </c>
      <c r="AK1158">
        <f ca="1"/>
      </c>
      <c r="AL1158">
        <f ca="1"/>
      </c>
      <c r="AM1158">
        <f ca="1"/>
      </c>
      <c r="AN1158">
        <f ca="1"/>
      </c>
      <c r="AO1158">
        <f ca="1"/>
      </c>
      <c r="AP1158">
        <f ca="1"/>
      </c>
      <c r="AQ1158">
        <f ca="1"/>
      </c>
      <c r="AR1158">
        <f ca="1"/>
      </c>
      <c r="AT1158" s="7">
        <f ca="1"/>
      </c>
      <c r="AU1158">
        <f ca="1"/>
      </c>
      <c r="AV1158">
        <f ca="1"/>
      </c>
      <c r="AW1158">
        <f ca="1"/>
      </c>
      <c r="AX1158">
        <f ca="1"/>
      </c>
      <c r="AY1158">
        <f ca="1"/>
      </c>
      <c r="BA1158" s="7"/>
    </row>
    <row r="1159" spans="31:53" x14ac:dyDescent="0.55000000000000004">
      <c r="AE1159" s="7">
        <f ca="1"/>
      </c>
      <c r="AF1159">
        <f ca="1"/>
      </c>
      <c r="AG1159">
        <f ca="1"/>
      </c>
      <c r="AH1159">
        <f ca="1"/>
      </c>
      <c r="AI1159">
        <f ca="1"/>
      </c>
      <c r="AJ1159">
        <f ca="1"/>
      </c>
      <c r="AK1159">
        <f ca="1"/>
      </c>
      <c r="AL1159">
        <f ca="1"/>
      </c>
      <c r="AM1159">
        <f ca="1"/>
      </c>
      <c r="AN1159">
        <f ca="1"/>
      </c>
      <c r="AO1159">
        <f ca="1"/>
      </c>
      <c r="AP1159">
        <f ca="1"/>
      </c>
      <c r="AQ1159">
        <f ca="1"/>
      </c>
      <c r="AR1159">
        <f ca="1"/>
      </c>
      <c r="AT1159" s="7">
        <f ca="1"/>
      </c>
      <c r="AU1159">
        <f ca="1"/>
      </c>
      <c r="AV1159">
        <f ca="1"/>
      </c>
      <c r="AW1159">
        <f ca="1"/>
      </c>
      <c r="AX1159">
        <f ca="1"/>
      </c>
      <c r="AY1159">
        <f ca="1"/>
      </c>
      <c r="BA1159" s="7"/>
    </row>
    <row r="1160" spans="31:53" x14ac:dyDescent="0.55000000000000004">
      <c r="AE1160" s="7">
        <f ca="1"/>
      </c>
      <c r="AF1160">
        <f ca="1"/>
      </c>
      <c r="AG1160">
        <f ca="1"/>
      </c>
      <c r="AH1160">
        <f ca="1"/>
      </c>
      <c r="AI1160">
        <f ca="1"/>
      </c>
      <c r="AJ1160">
        <f ca="1"/>
      </c>
      <c r="AK1160">
        <f ca="1"/>
      </c>
      <c r="AL1160">
        <f ca="1"/>
      </c>
      <c r="AM1160">
        <f ca="1"/>
      </c>
      <c r="AN1160">
        <f ca="1"/>
      </c>
      <c r="AO1160">
        <f ca="1"/>
      </c>
      <c r="AP1160">
        <f ca="1"/>
      </c>
      <c r="AQ1160">
        <f ca="1"/>
      </c>
      <c r="AR1160">
        <f ca="1"/>
      </c>
      <c r="AT1160" s="7">
        <f ca="1"/>
      </c>
      <c r="AU1160">
        <f ca="1"/>
      </c>
      <c r="AV1160">
        <f ca="1"/>
      </c>
      <c r="AW1160">
        <f ca="1"/>
      </c>
      <c r="AX1160">
        <f ca="1"/>
      </c>
      <c r="AY1160">
        <f ca="1"/>
      </c>
      <c r="BA1160" s="7"/>
    </row>
    <row r="1161" spans="31:53" x14ac:dyDescent="0.55000000000000004">
      <c r="AE1161" s="7">
        <f ca="1"/>
      </c>
      <c r="AF1161">
        <f ca="1"/>
      </c>
      <c r="AG1161">
        <f ca="1"/>
      </c>
      <c r="AH1161">
        <f ca="1"/>
      </c>
      <c r="AI1161">
        <f ca="1"/>
      </c>
      <c r="AJ1161">
        <f ca="1"/>
      </c>
      <c r="AK1161">
        <f ca="1"/>
      </c>
      <c r="AL1161">
        <f ca="1"/>
      </c>
      <c r="AM1161">
        <f ca="1"/>
      </c>
      <c r="AN1161">
        <f ca="1"/>
      </c>
      <c r="AO1161">
        <f ca="1"/>
      </c>
      <c r="AP1161">
        <f ca="1"/>
      </c>
      <c r="AQ1161">
        <f ca="1"/>
      </c>
      <c r="AR1161">
        <f ca="1"/>
      </c>
      <c r="AT1161" s="7">
        <f ca="1"/>
      </c>
      <c r="AU1161">
        <f ca="1"/>
      </c>
      <c r="AV1161">
        <f ca="1"/>
      </c>
      <c r="AW1161">
        <f ca="1"/>
      </c>
      <c r="AX1161">
        <f ca="1"/>
      </c>
      <c r="AY1161">
        <f ca="1"/>
      </c>
      <c r="BA1161" s="7"/>
    </row>
    <row r="1162" spans="31:53" x14ac:dyDescent="0.55000000000000004">
      <c r="AE1162" s="7">
        <f ca="1"/>
      </c>
      <c r="AF1162">
        <f ca="1"/>
      </c>
      <c r="AG1162">
        <f ca="1"/>
      </c>
      <c r="AH1162">
        <f ca="1"/>
      </c>
      <c r="AI1162">
        <f ca="1"/>
      </c>
      <c r="AJ1162">
        <f ca="1"/>
      </c>
      <c r="AK1162">
        <f ca="1"/>
      </c>
      <c r="AL1162">
        <f ca="1"/>
      </c>
      <c r="AM1162">
        <f ca="1"/>
      </c>
      <c r="AN1162">
        <f ca="1"/>
      </c>
      <c r="AO1162">
        <f ca="1"/>
      </c>
      <c r="AP1162">
        <f ca="1"/>
      </c>
      <c r="AQ1162">
        <f ca="1"/>
      </c>
      <c r="AR1162">
        <f ca="1"/>
      </c>
      <c r="AT1162" s="7">
        <f ca="1"/>
      </c>
      <c r="AU1162">
        <f ca="1"/>
      </c>
      <c r="AV1162">
        <f ca="1"/>
      </c>
      <c r="AW1162">
        <f ca="1"/>
      </c>
      <c r="AX1162">
        <f ca="1"/>
      </c>
      <c r="AY1162">
        <f ca="1"/>
      </c>
      <c r="BA1162" s="7"/>
    </row>
    <row r="1163" spans="31:53" x14ac:dyDescent="0.55000000000000004">
      <c r="AE1163" s="7">
        <f ca="1"/>
      </c>
      <c r="AF1163">
        <f ca="1"/>
      </c>
      <c r="AG1163">
        <f ca="1"/>
      </c>
      <c r="AH1163">
        <f ca="1"/>
      </c>
      <c r="AI1163">
        <f ca="1"/>
      </c>
      <c r="AJ1163">
        <f ca="1"/>
      </c>
      <c r="AK1163">
        <f ca="1"/>
      </c>
      <c r="AL1163">
        <f ca="1"/>
      </c>
      <c r="AM1163">
        <f ca="1"/>
      </c>
      <c r="AN1163">
        <f ca="1"/>
      </c>
      <c r="AO1163">
        <f ca="1"/>
      </c>
      <c r="AP1163">
        <f ca="1"/>
      </c>
      <c r="AQ1163">
        <f ca="1"/>
      </c>
      <c r="AR1163">
        <f ca="1"/>
      </c>
      <c r="AT1163" s="7">
        <f ca="1"/>
      </c>
      <c r="AU1163">
        <f ca="1"/>
      </c>
      <c r="AV1163">
        <f ca="1"/>
      </c>
      <c r="AW1163">
        <f ca="1"/>
      </c>
      <c r="AX1163">
        <f ca="1"/>
      </c>
      <c r="AY1163">
        <f ca="1"/>
      </c>
      <c r="BA1163" s="7"/>
    </row>
    <row r="1164" spans="31:53" x14ac:dyDescent="0.55000000000000004">
      <c r="AE1164" s="7">
        <f ca="1"/>
      </c>
      <c r="AF1164">
        <f ca="1"/>
      </c>
      <c r="AG1164">
        <f ca="1"/>
      </c>
      <c r="AH1164">
        <f ca="1"/>
      </c>
      <c r="AI1164">
        <f ca="1"/>
      </c>
      <c r="AJ1164">
        <f ca="1"/>
      </c>
      <c r="AK1164">
        <f ca="1"/>
      </c>
      <c r="AL1164">
        <f ca="1"/>
      </c>
      <c r="AM1164">
        <f ca="1"/>
      </c>
      <c r="AN1164">
        <f ca="1"/>
      </c>
      <c r="AO1164">
        <f ca="1"/>
      </c>
      <c r="AP1164">
        <f ca="1"/>
      </c>
      <c r="AQ1164">
        <f ca="1"/>
      </c>
      <c r="AR1164">
        <f ca="1"/>
      </c>
      <c r="AT1164" s="7">
        <f ca="1"/>
      </c>
      <c r="AU1164">
        <f ca="1"/>
      </c>
      <c r="AV1164">
        <f ca="1"/>
      </c>
      <c r="AW1164">
        <f ca="1"/>
      </c>
      <c r="AX1164">
        <f ca="1"/>
      </c>
      <c r="AY1164">
        <f ca="1"/>
      </c>
      <c r="BA1164" s="7"/>
    </row>
    <row r="1165" spans="31:53" x14ac:dyDescent="0.55000000000000004">
      <c r="AE1165" s="7">
        <f ca="1"/>
      </c>
      <c r="AF1165">
        <f ca="1"/>
      </c>
      <c r="AG1165">
        <f ca="1"/>
      </c>
      <c r="AH1165">
        <f ca="1"/>
      </c>
      <c r="AI1165">
        <f ca="1"/>
      </c>
      <c r="AJ1165">
        <f ca="1"/>
      </c>
      <c r="AK1165">
        <f ca="1"/>
      </c>
      <c r="AL1165">
        <f ca="1"/>
      </c>
      <c r="AM1165">
        <f ca="1"/>
      </c>
      <c r="AN1165">
        <f ca="1"/>
      </c>
      <c r="AO1165">
        <f ca="1"/>
      </c>
      <c r="AP1165">
        <f ca="1"/>
      </c>
      <c r="AQ1165">
        <f ca="1"/>
      </c>
      <c r="AR1165">
        <f ca="1"/>
      </c>
      <c r="AT1165" s="7">
        <f ca="1"/>
      </c>
      <c r="AU1165">
        <f ca="1"/>
      </c>
      <c r="AV1165">
        <f ca="1"/>
      </c>
      <c r="AW1165">
        <f ca="1"/>
      </c>
      <c r="AX1165">
        <f ca="1"/>
      </c>
      <c r="AY1165">
        <f ca="1"/>
      </c>
      <c r="BA1165" s="7"/>
    </row>
    <row r="1166" spans="31:53" x14ac:dyDescent="0.55000000000000004">
      <c r="AE1166" s="7">
        <f ca="1"/>
      </c>
      <c r="AF1166">
        <f ca="1"/>
      </c>
      <c r="AG1166">
        <f ca="1"/>
      </c>
      <c r="AH1166">
        <f ca="1"/>
      </c>
      <c r="AI1166">
        <f ca="1"/>
      </c>
      <c r="AJ1166">
        <f ca="1"/>
      </c>
      <c r="AK1166">
        <f ca="1"/>
      </c>
      <c r="AL1166">
        <f ca="1"/>
      </c>
      <c r="AM1166">
        <f ca="1"/>
      </c>
      <c r="AN1166">
        <f ca="1"/>
      </c>
      <c r="AO1166">
        <f ca="1"/>
      </c>
      <c r="AP1166">
        <f ca="1"/>
      </c>
      <c r="AQ1166">
        <f ca="1"/>
      </c>
      <c r="AR1166">
        <f ca="1"/>
      </c>
      <c r="AT1166" s="7">
        <f ca="1"/>
      </c>
      <c r="AU1166">
        <f ca="1"/>
      </c>
      <c r="AV1166">
        <f ca="1"/>
      </c>
      <c r="AW1166">
        <f ca="1"/>
      </c>
      <c r="AX1166">
        <f ca="1"/>
      </c>
      <c r="AY1166">
        <f ca="1"/>
      </c>
      <c r="BA1166" s="7"/>
    </row>
    <row r="1167" spans="31:53" x14ac:dyDescent="0.55000000000000004">
      <c r="AE1167" s="7">
        <f ca="1"/>
      </c>
      <c r="AF1167">
        <f ca="1"/>
      </c>
      <c r="AG1167">
        <f ca="1"/>
      </c>
      <c r="AH1167">
        <f ca="1"/>
      </c>
      <c r="AI1167">
        <f ca="1"/>
      </c>
      <c r="AJ1167">
        <f ca="1"/>
      </c>
      <c r="AK1167">
        <f ca="1"/>
      </c>
      <c r="AL1167">
        <f ca="1"/>
      </c>
      <c r="AM1167">
        <f ca="1"/>
      </c>
      <c r="AN1167">
        <f ca="1"/>
      </c>
      <c r="AO1167">
        <f ca="1"/>
      </c>
      <c r="AP1167">
        <f ca="1"/>
      </c>
      <c r="AQ1167">
        <f ca="1"/>
      </c>
      <c r="AR1167">
        <f ca="1"/>
      </c>
      <c r="AT1167" s="7">
        <f ca="1"/>
      </c>
      <c r="AU1167">
        <f ca="1"/>
      </c>
      <c r="AV1167">
        <f ca="1"/>
      </c>
      <c r="AW1167">
        <f ca="1"/>
      </c>
      <c r="AX1167">
        <f ca="1"/>
      </c>
      <c r="AY1167">
        <f ca="1"/>
      </c>
      <c r="BA1167" s="7"/>
    </row>
    <row r="1168" spans="31:53" x14ac:dyDescent="0.55000000000000004">
      <c r="AE1168" s="7">
        <f ca="1"/>
      </c>
      <c r="AF1168">
        <f ca="1"/>
      </c>
      <c r="AG1168">
        <f ca="1"/>
      </c>
      <c r="AH1168">
        <f ca="1"/>
      </c>
      <c r="AI1168">
        <f ca="1"/>
      </c>
      <c r="AJ1168">
        <f ca="1"/>
      </c>
      <c r="AK1168">
        <f ca="1"/>
      </c>
      <c r="AL1168">
        <f ca="1"/>
      </c>
      <c r="AM1168">
        <f ca="1"/>
      </c>
      <c r="AN1168">
        <f ca="1"/>
      </c>
      <c r="AO1168">
        <f ca="1"/>
      </c>
      <c r="AP1168">
        <f ca="1"/>
      </c>
      <c r="AQ1168">
        <f ca="1"/>
      </c>
      <c r="AR1168">
        <f ca="1"/>
      </c>
      <c r="AT1168" s="7">
        <f ca="1"/>
      </c>
      <c r="AU1168">
        <f ca="1"/>
      </c>
      <c r="AV1168">
        <f ca="1"/>
      </c>
      <c r="AW1168">
        <f ca="1"/>
      </c>
      <c r="AX1168">
        <f ca="1"/>
      </c>
      <c r="AY1168">
        <f ca="1"/>
      </c>
      <c r="BA1168" s="7"/>
    </row>
    <row r="1169" spans="31:53" x14ac:dyDescent="0.55000000000000004">
      <c r="AE1169" s="7">
        <f ca="1"/>
      </c>
      <c r="AF1169">
        <f ca="1"/>
      </c>
      <c r="AG1169">
        <f ca="1"/>
      </c>
      <c r="AH1169">
        <f ca="1"/>
      </c>
      <c r="AI1169">
        <f ca="1"/>
      </c>
      <c r="AJ1169">
        <f ca="1"/>
      </c>
      <c r="AK1169">
        <f ca="1"/>
      </c>
      <c r="AL1169">
        <f ca="1"/>
      </c>
      <c r="AM1169">
        <f ca="1"/>
      </c>
      <c r="AN1169">
        <f ca="1"/>
      </c>
      <c r="AO1169">
        <f ca="1"/>
      </c>
      <c r="AP1169">
        <f ca="1"/>
      </c>
      <c r="AQ1169">
        <f ca="1"/>
      </c>
      <c r="AR1169">
        <f ca="1"/>
      </c>
      <c r="AT1169" s="7">
        <f ca="1"/>
      </c>
      <c r="AU1169">
        <f ca="1"/>
      </c>
      <c r="AV1169">
        <f ca="1"/>
      </c>
      <c r="AW1169">
        <f ca="1"/>
      </c>
      <c r="AX1169">
        <f ca="1"/>
      </c>
      <c r="AY1169">
        <f ca="1"/>
      </c>
      <c r="BA1169" s="7"/>
    </row>
    <row r="1170" spans="31:53" x14ac:dyDescent="0.55000000000000004">
      <c r="AE1170" s="7">
        <f ca="1"/>
      </c>
      <c r="AF1170">
        <f ca="1"/>
      </c>
      <c r="AG1170">
        <f ca="1"/>
      </c>
      <c r="AH1170">
        <f ca="1"/>
      </c>
      <c r="AI1170">
        <f ca="1"/>
      </c>
      <c r="AJ1170">
        <f ca="1"/>
      </c>
      <c r="AK1170">
        <f ca="1"/>
      </c>
      <c r="AL1170">
        <f ca="1"/>
      </c>
      <c r="AM1170">
        <f ca="1"/>
      </c>
      <c r="AN1170">
        <f ca="1"/>
      </c>
      <c r="AO1170">
        <f ca="1"/>
      </c>
      <c r="AP1170">
        <f ca="1"/>
      </c>
      <c r="AQ1170">
        <f ca="1"/>
      </c>
      <c r="AR1170">
        <f ca="1"/>
      </c>
      <c r="AT1170" s="7">
        <f ca="1"/>
      </c>
      <c r="AU1170">
        <f ca="1"/>
      </c>
      <c r="AV1170">
        <f ca="1"/>
      </c>
      <c r="AW1170">
        <f ca="1"/>
      </c>
      <c r="AX1170">
        <f ca="1"/>
      </c>
      <c r="AY1170">
        <f ca="1"/>
      </c>
      <c r="BA1170" s="7"/>
    </row>
    <row r="1171" spans="31:53" x14ac:dyDescent="0.55000000000000004">
      <c r="AE1171" s="7">
        <f ca="1"/>
      </c>
      <c r="AF1171">
        <f ca="1"/>
      </c>
      <c r="AG1171">
        <f ca="1"/>
      </c>
      <c r="AH1171">
        <f ca="1"/>
      </c>
      <c r="AI1171">
        <f ca="1"/>
      </c>
      <c r="AJ1171">
        <f ca="1"/>
      </c>
      <c r="AK1171">
        <f ca="1"/>
      </c>
      <c r="AL1171">
        <f ca="1"/>
      </c>
      <c r="AM1171">
        <f ca="1"/>
      </c>
      <c r="AN1171">
        <f ca="1"/>
      </c>
      <c r="AO1171">
        <f ca="1"/>
      </c>
      <c r="AP1171">
        <f ca="1"/>
      </c>
      <c r="AQ1171">
        <f ca="1"/>
      </c>
      <c r="AR1171">
        <f ca="1"/>
      </c>
      <c r="AT1171" s="7">
        <f ca="1"/>
      </c>
      <c r="AU1171">
        <f ca="1"/>
      </c>
      <c r="AV1171">
        <f ca="1"/>
      </c>
      <c r="AW1171">
        <f ca="1"/>
      </c>
      <c r="AX1171">
        <f ca="1"/>
      </c>
      <c r="AY1171">
        <f ca="1"/>
      </c>
      <c r="BA1171" s="7"/>
    </row>
    <row r="1172" spans="31:53" x14ac:dyDescent="0.55000000000000004">
      <c r="AE1172" s="7">
        <f ca="1"/>
      </c>
      <c r="AF1172">
        <f ca="1"/>
      </c>
      <c r="AG1172">
        <f ca="1"/>
      </c>
      <c r="AH1172">
        <f ca="1"/>
      </c>
      <c r="AI1172">
        <f ca="1"/>
      </c>
      <c r="AJ1172">
        <f ca="1"/>
      </c>
      <c r="AK1172">
        <f ca="1"/>
      </c>
      <c r="AL1172">
        <f ca="1"/>
      </c>
      <c r="AM1172">
        <f ca="1"/>
      </c>
      <c r="AN1172">
        <f ca="1"/>
      </c>
      <c r="AO1172">
        <f ca="1"/>
      </c>
      <c r="AP1172">
        <f ca="1"/>
      </c>
      <c r="AQ1172">
        <f ca="1"/>
      </c>
      <c r="AR1172">
        <f ca="1"/>
      </c>
      <c r="AT1172" s="7">
        <f ca="1"/>
      </c>
      <c r="AU1172">
        <f ca="1"/>
      </c>
      <c r="AV1172">
        <f ca="1"/>
      </c>
      <c r="AW1172">
        <f ca="1"/>
      </c>
      <c r="AX1172">
        <f ca="1"/>
      </c>
      <c r="AY1172">
        <f ca="1"/>
      </c>
      <c r="BA1172" s="7"/>
    </row>
    <row r="1173" spans="31:53" x14ac:dyDescent="0.55000000000000004">
      <c r="AE1173" s="7">
        <f ca="1"/>
      </c>
      <c r="AF1173">
        <f ca="1"/>
      </c>
      <c r="AG1173">
        <f ca="1"/>
      </c>
      <c r="AH1173">
        <f ca="1"/>
      </c>
      <c r="AI1173">
        <f ca="1"/>
      </c>
      <c r="AJ1173">
        <f ca="1"/>
      </c>
      <c r="AK1173">
        <f ca="1"/>
      </c>
      <c r="AL1173">
        <f ca="1"/>
      </c>
      <c r="AM1173">
        <f ca="1"/>
      </c>
      <c r="AN1173">
        <f ca="1"/>
      </c>
      <c r="AO1173">
        <f ca="1"/>
      </c>
      <c r="AP1173">
        <f ca="1"/>
      </c>
      <c r="AQ1173">
        <f ca="1"/>
      </c>
      <c r="AR1173">
        <f ca="1"/>
      </c>
      <c r="AT1173" s="7">
        <f ca="1"/>
      </c>
      <c r="AU1173">
        <f ca="1"/>
      </c>
      <c r="AV1173">
        <f ca="1"/>
      </c>
      <c r="AW1173">
        <f ca="1"/>
      </c>
      <c r="AX1173">
        <f ca="1"/>
      </c>
      <c r="AY1173">
        <f ca="1"/>
      </c>
      <c r="BA1173" s="7"/>
    </row>
    <row r="1174" spans="31:53" x14ac:dyDescent="0.55000000000000004">
      <c r="AE1174" s="7">
        <f ca="1"/>
      </c>
      <c r="AF1174">
        <f ca="1"/>
      </c>
      <c r="AG1174">
        <f ca="1"/>
      </c>
      <c r="AH1174">
        <f ca="1"/>
      </c>
      <c r="AI1174">
        <f ca="1"/>
      </c>
      <c r="AJ1174">
        <f ca="1"/>
      </c>
      <c r="AK1174">
        <f ca="1"/>
      </c>
      <c r="AL1174">
        <f ca="1"/>
      </c>
      <c r="AM1174">
        <f ca="1"/>
      </c>
      <c r="AN1174">
        <f ca="1"/>
      </c>
      <c r="AO1174">
        <f ca="1"/>
      </c>
      <c r="AP1174">
        <f ca="1"/>
      </c>
      <c r="AQ1174">
        <f ca="1"/>
      </c>
      <c r="AR1174">
        <f ca="1"/>
      </c>
      <c r="AT1174" s="7">
        <f ca="1"/>
      </c>
      <c r="AU1174">
        <f ca="1"/>
      </c>
      <c r="AV1174">
        <f ca="1"/>
      </c>
      <c r="AW1174">
        <f ca="1"/>
      </c>
      <c r="AX1174">
        <f ca="1"/>
      </c>
      <c r="AY1174">
        <f ca="1"/>
      </c>
      <c r="BA1174" s="7"/>
    </row>
    <row r="1175" spans="31:53" x14ac:dyDescent="0.55000000000000004">
      <c r="AE1175" s="7">
        <f ca="1"/>
      </c>
      <c r="AF1175">
        <f ca="1"/>
      </c>
      <c r="AG1175">
        <f ca="1"/>
      </c>
      <c r="AH1175">
        <f ca="1"/>
      </c>
      <c r="AI1175">
        <f ca="1"/>
      </c>
      <c r="AJ1175">
        <f ca="1"/>
      </c>
      <c r="AK1175">
        <f ca="1"/>
      </c>
      <c r="AL1175">
        <f ca="1"/>
      </c>
      <c r="AM1175">
        <f ca="1"/>
      </c>
      <c r="AN1175">
        <f ca="1"/>
      </c>
      <c r="AO1175">
        <f ca="1"/>
      </c>
      <c r="AP1175">
        <f ca="1"/>
      </c>
      <c r="AQ1175">
        <f ca="1"/>
      </c>
      <c r="AR1175">
        <f ca="1"/>
      </c>
      <c r="AT1175" s="7">
        <f ca="1"/>
      </c>
      <c r="AU1175">
        <f ca="1"/>
      </c>
      <c r="AV1175">
        <f ca="1"/>
      </c>
      <c r="AW1175">
        <f ca="1"/>
      </c>
      <c r="AX1175">
        <f ca="1"/>
      </c>
      <c r="AY1175">
        <f ca="1"/>
      </c>
      <c r="BA1175" s="7"/>
    </row>
    <row r="1176" spans="31:53" x14ac:dyDescent="0.55000000000000004">
      <c r="AE1176" s="7">
        <f ca="1"/>
      </c>
      <c r="AF1176">
        <f ca="1"/>
      </c>
      <c r="AG1176">
        <f ca="1"/>
      </c>
      <c r="AH1176">
        <f ca="1"/>
      </c>
      <c r="AI1176">
        <f ca="1"/>
      </c>
      <c r="AJ1176">
        <f ca="1"/>
      </c>
      <c r="AK1176">
        <f ca="1"/>
      </c>
      <c r="AL1176">
        <f ca="1"/>
      </c>
      <c r="AM1176">
        <f ca="1"/>
      </c>
      <c r="AN1176">
        <f ca="1"/>
      </c>
      <c r="AO1176">
        <f ca="1"/>
      </c>
      <c r="AP1176">
        <f ca="1"/>
      </c>
      <c r="AQ1176">
        <f ca="1"/>
      </c>
      <c r="AR1176">
        <f ca="1"/>
      </c>
      <c r="AT1176" s="7">
        <f ca="1"/>
      </c>
      <c r="AU1176">
        <f ca="1"/>
      </c>
      <c r="AV1176">
        <f ca="1"/>
      </c>
      <c r="AW1176">
        <f ca="1"/>
      </c>
      <c r="AX1176">
        <f ca="1"/>
      </c>
      <c r="AY1176">
        <f ca="1"/>
      </c>
      <c r="BA1176" s="7"/>
    </row>
    <row r="1177" spans="31:53" x14ac:dyDescent="0.55000000000000004">
      <c r="AE1177" s="7">
        <f ca="1"/>
      </c>
      <c r="AF1177">
        <f ca="1"/>
      </c>
      <c r="AG1177">
        <f ca="1"/>
      </c>
      <c r="AH1177">
        <f ca="1"/>
      </c>
      <c r="AI1177">
        <f ca="1"/>
      </c>
      <c r="AJ1177">
        <f ca="1"/>
      </c>
      <c r="AK1177">
        <f ca="1"/>
      </c>
      <c r="AL1177">
        <f ca="1"/>
      </c>
      <c r="AM1177">
        <f ca="1"/>
      </c>
      <c r="AN1177">
        <f ca="1"/>
      </c>
      <c r="AO1177">
        <f ca="1"/>
      </c>
      <c r="AP1177">
        <f ca="1"/>
      </c>
      <c r="AQ1177">
        <f ca="1"/>
      </c>
      <c r="AR1177">
        <f ca="1"/>
      </c>
      <c r="AT1177" s="7">
        <f ca="1"/>
      </c>
      <c r="AU1177">
        <f ca="1"/>
      </c>
      <c r="AV1177">
        <f ca="1"/>
      </c>
      <c r="AW1177">
        <f ca="1"/>
      </c>
      <c r="AX1177">
        <f ca="1"/>
      </c>
      <c r="AY1177">
        <f ca="1"/>
      </c>
      <c r="BA1177" s="7"/>
    </row>
    <row r="1178" spans="31:53" x14ac:dyDescent="0.55000000000000004">
      <c r="AE1178" s="7">
        <f ca="1"/>
      </c>
      <c r="AF1178">
        <f ca="1"/>
      </c>
      <c r="AG1178">
        <f ca="1"/>
      </c>
      <c r="AH1178">
        <f ca="1"/>
      </c>
      <c r="AI1178">
        <f ca="1"/>
      </c>
      <c r="AJ1178">
        <f ca="1"/>
      </c>
      <c r="AK1178">
        <f ca="1"/>
      </c>
      <c r="AL1178">
        <f ca="1"/>
      </c>
      <c r="AM1178">
        <f ca="1"/>
      </c>
      <c r="AN1178">
        <f ca="1"/>
      </c>
      <c r="AO1178">
        <f ca="1"/>
      </c>
      <c r="AP1178">
        <f ca="1"/>
      </c>
      <c r="AQ1178">
        <f ca="1"/>
      </c>
      <c r="AR1178">
        <f ca="1"/>
      </c>
      <c r="AT1178" s="7">
        <f ca="1"/>
      </c>
      <c r="AU1178">
        <f ca="1"/>
      </c>
      <c r="AV1178">
        <f ca="1"/>
      </c>
      <c r="AW1178">
        <f ca="1"/>
      </c>
      <c r="AX1178">
        <f ca="1"/>
      </c>
      <c r="AY1178">
        <f ca="1"/>
      </c>
      <c r="BA1178" s="7"/>
    </row>
    <row r="1179" spans="31:53" x14ac:dyDescent="0.55000000000000004">
      <c r="AE1179" s="7">
        <f ca="1"/>
      </c>
      <c r="AF1179">
        <f ca="1"/>
      </c>
      <c r="AG1179">
        <f ca="1"/>
      </c>
      <c r="AH1179">
        <f ca="1"/>
      </c>
      <c r="AI1179">
        <f ca="1"/>
      </c>
      <c r="AJ1179">
        <f ca="1"/>
      </c>
      <c r="AK1179">
        <f ca="1"/>
      </c>
      <c r="AL1179">
        <f ca="1"/>
      </c>
      <c r="AM1179">
        <f ca="1"/>
      </c>
      <c r="AN1179">
        <f ca="1"/>
      </c>
      <c r="AO1179">
        <f ca="1"/>
      </c>
      <c r="AP1179">
        <f ca="1"/>
      </c>
      <c r="AQ1179">
        <f ca="1"/>
      </c>
      <c r="AR1179">
        <f ca="1"/>
      </c>
      <c r="AT1179" s="7">
        <f ca="1"/>
      </c>
      <c r="AU1179">
        <f ca="1"/>
      </c>
      <c r="AV1179">
        <f ca="1"/>
      </c>
      <c r="AW1179">
        <f ca="1"/>
      </c>
      <c r="AX1179">
        <f ca="1"/>
      </c>
      <c r="AY1179">
        <f ca="1"/>
      </c>
      <c r="BA1179" s="7"/>
    </row>
    <row r="1180" spans="31:53" x14ac:dyDescent="0.55000000000000004">
      <c r="AE1180" s="7">
        <f ca="1"/>
      </c>
      <c r="AF1180">
        <f ca="1"/>
      </c>
      <c r="AG1180">
        <f ca="1"/>
      </c>
      <c r="AH1180">
        <f ca="1"/>
      </c>
      <c r="AI1180">
        <f ca="1"/>
      </c>
      <c r="AJ1180">
        <f ca="1"/>
      </c>
      <c r="AK1180">
        <f ca="1"/>
      </c>
      <c r="AL1180">
        <f ca="1"/>
      </c>
      <c r="AM1180">
        <f ca="1"/>
      </c>
      <c r="AN1180">
        <f ca="1"/>
      </c>
      <c r="AO1180">
        <f ca="1"/>
      </c>
      <c r="AP1180">
        <f ca="1"/>
      </c>
      <c r="AQ1180">
        <f ca="1"/>
      </c>
      <c r="AR1180">
        <f ca="1"/>
      </c>
      <c r="AT1180" s="7">
        <f ca="1"/>
      </c>
      <c r="AU1180">
        <f ca="1"/>
      </c>
      <c r="AV1180">
        <f ca="1"/>
      </c>
      <c r="AW1180">
        <f ca="1"/>
      </c>
      <c r="AX1180">
        <f ca="1"/>
      </c>
      <c r="AY1180">
        <f ca="1"/>
      </c>
      <c r="BA1180" s="7"/>
    </row>
    <row r="1181" spans="31:53" x14ac:dyDescent="0.55000000000000004">
      <c r="AE1181" s="7">
        <f ca="1"/>
      </c>
      <c r="AF1181">
        <f ca="1"/>
      </c>
      <c r="AG1181">
        <f ca="1"/>
      </c>
      <c r="AH1181">
        <f ca="1"/>
      </c>
      <c r="AI1181">
        <f ca="1"/>
      </c>
      <c r="AJ1181">
        <f ca="1"/>
      </c>
      <c r="AK1181">
        <f ca="1"/>
      </c>
      <c r="AL1181">
        <f ca="1"/>
      </c>
      <c r="AM1181">
        <f ca="1"/>
      </c>
      <c r="AN1181">
        <f ca="1"/>
      </c>
      <c r="AO1181">
        <f ca="1"/>
      </c>
      <c r="AP1181">
        <f ca="1"/>
      </c>
      <c r="AQ1181">
        <f ca="1"/>
      </c>
      <c r="AR1181">
        <f ca="1"/>
      </c>
      <c r="AT1181" s="7">
        <f ca="1"/>
      </c>
      <c r="AU1181">
        <f ca="1"/>
      </c>
      <c r="AV1181">
        <f ca="1"/>
      </c>
      <c r="AW1181">
        <f ca="1"/>
      </c>
      <c r="AX1181">
        <f ca="1"/>
      </c>
      <c r="AY1181">
        <f ca="1"/>
      </c>
      <c r="BA1181" s="7"/>
    </row>
    <row r="1182" spans="31:53" x14ac:dyDescent="0.55000000000000004">
      <c r="AE1182" s="7">
        <f ca="1"/>
      </c>
      <c r="AF1182">
        <f ca="1"/>
      </c>
      <c r="AG1182">
        <f ca="1"/>
      </c>
      <c r="AH1182">
        <f ca="1"/>
      </c>
      <c r="AI1182">
        <f ca="1"/>
      </c>
      <c r="AJ1182">
        <f ca="1"/>
      </c>
      <c r="AK1182">
        <f ca="1"/>
      </c>
      <c r="AL1182">
        <f ca="1"/>
      </c>
      <c r="AM1182">
        <f ca="1"/>
      </c>
      <c r="AN1182">
        <f ca="1"/>
      </c>
      <c r="AO1182">
        <f ca="1"/>
      </c>
      <c r="AP1182">
        <f ca="1"/>
      </c>
      <c r="AQ1182">
        <f ca="1"/>
      </c>
      <c r="AR1182">
        <f ca="1"/>
      </c>
      <c r="AT1182" s="7">
        <f ca="1"/>
      </c>
      <c r="AU1182">
        <f ca="1"/>
      </c>
      <c r="AV1182">
        <f ca="1"/>
      </c>
      <c r="AW1182">
        <f ca="1"/>
      </c>
      <c r="AX1182">
        <f ca="1"/>
      </c>
      <c r="AY1182">
        <f ca="1"/>
      </c>
      <c r="BA1182" s="7"/>
    </row>
    <row r="1183" spans="31:53" x14ac:dyDescent="0.55000000000000004">
      <c r="AE1183" s="7">
        <f ca="1"/>
      </c>
      <c r="AF1183">
        <f ca="1"/>
      </c>
      <c r="AG1183">
        <f ca="1"/>
      </c>
      <c r="AH1183">
        <f ca="1"/>
      </c>
      <c r="AI1183">
        <f ca="1"/>
      </c>
      <c r="AJ1183">
        <f ca="1"/>
      </c>
      <c r="AK1183">
        <f ca="1"/>
      </c>
      <c r="AL1183">
        <f ca="1"/>
      </c>
      <c r="AM1183">
        <f ca="1"/>
      </c>
      <c r="AN1183">
        <f ca="1"/>
      </c>
      <c r="AO1183">
        <f ca="1"/>
      </c>
      <c r="AP1183">
        <f ca="1"/>
      </c>
      <c r="AQ1183">
        <f ca="1"/>
      </c>
      <c r="AR1183">
        <f ca="1"/>
      </c>
      <c r="AT1183" s="7">
        <f ca="1"/>
      </c>
      <c r="AU1183">
        <f ca="1"/>
      </c>
      <c r="AV1183">
        <f ca="1"/>
      </c>
      <c r="AW1183">
        <f ca="1"/>
      </c>
      <c r="AX1183">
        <f ca="1"/>
      </c>
      <c r="AY1183">
        <f ca="1"/>
      </c>
      <c r="BA1183" s="7"/>
    </row>
    <row r="1184" spans="31:53" x14ac:dyDescent="0.55000000000000004">
      <c r="AE1184" s="7">
        <f ca="1"/>
      </c>
      <c r="AF1184">
        <f ca="1"/>
      </c>
      <c r="AG1184">
        <f ca="1"/>
      </c>
      <c r="AH1184">
        <f ca="1"/>
      </c>
      <c r="AI1184">
        <f ca="1"/>
      </c>
      <c r="AJ1184">
        <f ca="1"/>
      </c>
      <c r="AK1184">
        <f ca="1"/>
      </c>
      <c r="AL1184">
        <f ca="1"/>
      </c>
      <c r="AM1184">
        <f ca="1"/>
      </c>
      <c r="AN1184">
        <f ca="1"/>
      </c>
      <c r="AO1184">
        <f ca="1"/>
      </c>
      <c r="AP1184">
        <f ca="1"/>
      </c>
      <c r="AQ1184">
        <f ca="1"/>
      </c>
      <c r="AR1184">
        <f ca="1"/>
      </c>
      <c r="AT1184" s="7">
        <f ca="1"/>
      </c>
      <c r="AU1184">
        <f ca="1"/>
      </c>
      <c r="AV1184">
        <f ca="1"/>
      </c>
      <c r="AW1184">
        <f ca="1"/>
      </c>
      <c r="AX1184">
        <f ca="1"/>
      </c>
      <c r="AY1184">
        <f ca="1"/>
      </c>
      <c r="BA1184" s="7"/>
    </row>
    <row r="1185" spans="31:53" x14ac:dyDescent="0.55000000000000004">
      <c r="AE1185" s="7">
        <f ca="1"/>
      </c>
      <c r="AF1185">
        <f ca="1"/>
      </c>
      <c r="AG1185">
        <f ca="1"/>
      </c>
      <c r="AH1185">
        <f ca="1"/>
      </c>
      <c r="AI1185">
        <f ca="1"/>
      </c>
      <c r="AJ1185">
        <f ca="1"/>
      </c>
      <c r="AK1185">
        <f ca="1"/>
      </c>
      <c r="AL1185">
        <f ca="1"/>
      </c>
      <c r="AM1185">
        <f ca="1"/>
      </c>
      <c r="AN1185">
        <f ca="1"/>
      </c>
      <c r="AO1185">
        <f ca="1"/>
      </c>
      <c r="AP1185">
        <f ca="1"/>
      </c>
      <c r="AQ1185">
        <f ca="1"/>
      </c>
      <c r="AR1185">
        <f ca="1"/>
      </c>
      <c r="AT1185" s="7">
        <f ca="1"/>
      </c>
      <c r="AU1185">
        <f ca="1"/>
      </c>
      <c r="AV1185">
        <f ca="1"/>
      </c>
      <c r="AW1185">
        <f ca="1"/>
      </c>
      <c r="AX1185">
        <f ca="1"/>
      </c>
      <c r="AY1185">
        <f ca="1"/>
      </c>
      <c r="BA1185" s="7"/>
    </row>
    <row r="1186" spans="31:53" x14ac:dyDescent="0.55000000000000004">
      <c r="AE1186" s="7">
        <f ca="1"/>
      </c>
      <c r="AF1186">
        <f ca="1"/>
      </c>
      <c r="AG1186">
        <f ca="1"/>
      </c>
      <c r="AH1186">
        <f ca="1"/>
      </c>
      <c r="AI1186">
        <f ca="1"/>
      </c>
      <c r="AJ1186">
        <f ca="1"/>
      </c>
      <c r="AK1186">
        <f ca="1"/>
      </c>
      <c r="AL1186">
        <f ca="1"/>
      </c>
      <c r="AM1186">
        <f ca="1"/>
      </c>
      <c r="AN1186">
        <f ca="1"/>
      </c>
      <c r="AO1186">
        <f ca="1"/>
      </c>
      <c r="AP1186">
        <f ca="1"/>
      </c>
      <c r="AQ1186">
        <f ca="1"/>
      </c>
      <c r="AR1186">
        <f ca="1"/>
      </c>
      <c r="AT1186" s="7">
        <f ca="1"/>
      </c>
      <c r="AU1186">
        <f ca="1"/>
      </c>
      <c r="AV1186">
        <f ca="1"/>
      </c>
      <c r="AW1186">
        <f ca="1"/>
      </c>
      <c r="AX1186">
        <f ca="1"/>
      </c>
      <c r="AY1186">
        <f ca="1"/>
      </c>
      <c r="BA1186" s="7"/>
    </row>
    <row r="1187" spans="31:53" x14ac:dyDescent="0.55000000000000004">
      <c r="AE1187" s="7">
        <f ca="1"/>
      </c>
      <c r="AF1187">
        <f ca="1"/>
      </c>
      <c r="AG1187">
        <f ca="1"/>
      </c>
      <c r="AH1187">
        <f ca="1"/>
      </c>
      <c r="AI1187">
        <f ca="1"/>
      </c>
      <c r="AJ1187">
        <f ca="1"/>
      </c>
      <c r="AK1187">
        <f ca="1"/>
      </c>
      <c r="AL1187">
        <f ca="1"/>
      </c>
      <c r="AM1187">
        <f ca="1"/>
      </c>
      <c r="AN1187">
        <f ca="1"/>
      </c>
      <c r="AO1187">
        <f ca="1"/>
      </c>
      <c r="AP1187">
        <f ca="1"/>
      </c>
      <c r="AQ1187">
        <f ca="1"/>
      </c>
      <c r="AR1187">
        <f ca="1"/>
      </c>
      <c r="AT1187" s="7">
        <f ca="1"/>
      </c>
      <c r="AU1187">
        <f ca="1"/>
      </c>
      <c r="AV1187">
        <f ca="1"/>
      </c>
      <c r="AW1187">
        <f ca="1"/>
      </c>
      <c r="AX1187">
        <f ca="1"/>
      </c>
      <c r="AY1187">
        <f ca="1"/>
      </c>
      <c r="BA1187" s="7"/>
    </row>
    <row r="1188" spans="31:53" x14ac:dyDescent="0.55000000000000004">
      <c r="AE1188" s="7">
        <f ca="1"/>
      </c>
      <c r="AF1188">
        <f ca="1"/>
      </c>
      <c r="AG1188">
        <f ca="1"/>
      </c>
      <c r="AH1188">
        <f ca="1"/>
      </c>
      <c r="AI1188">
        <f ca="1"/>
      </c>
      <c r="AJ1188">
        <f ca="1"/>
      </c>
      <c r="AK1188">
        <f ca="1"/>
      </c>
      <c r="AL1188">
        <f ca="1"/>
      </c>
      <c r="AM1188">
        <f ca="1"/>
      </c>
      <c r="AN1188">
        <f ca="1"/>
      </c>
      <c r="AO1188">
        <f ca="1"/>
      </c>
      <c r="AP1188">
        <f ca="1"/>
      </c>
      <c r="AQ1188">
        <f ca="1"/>
      </c>
      <c r="AR1188">
        <f ca="1"/>
      </c>
      <c r="AT1188" s="7">
        <f ca="1"/>
      </c>
      <c r="AU1188">
        <f ca="1"/>
      </c>
      <c r="AV1188">
        <f ca="1"/>
      </c>
      <c r="AW1188">
        <f ca="1"/>
      </c>
      <c r="AX1188">
        <f ca="1"/>
      </c>
      <c r="AY1188">
        <f ca="1"/>
      </c>
      <c r="BA1188" s="7"/>
    </row>
    <row r="1189" spans="31:53" x14ac:dyDescent="0.55000000000000004">
      <c r="AE1189" s="7">
        <f ca="1"/>
      </c>
      <c r="AF1189">
        <f ca="1"/>
      </c>
      <c r="AG1189">
        <f ca="1"/>
      </c>
      <c r="AH1189">
        <f ca="1"/>
      </c>
      <c r="AI1189">
        <f ca="1"/>
      </c>
      <c r="AJ1189">
        <f ca="1"/>
      </c>
      <c r="AK1189">
        <f ca="1"/>
      </c>
      <c r="AL1189">
        <f ca="1"/>
      </c>
      <c r="AM1189">
        <f ca="1"/>
      </c>
      <c r="AN1189">
        <f ca="1"/>
      </c>
      <c r="AO1189">
        <f ca="1"/>
      </c>
      <c r="AP1189">
        <f ca="1"/>
      </c>
      <c r="AQ1189">
        <f ca="1"/>
      </c>
      <c r="AR1189">
        <f ca="1"/>
      </c>
      <c r="AT1189" s="7">
        <f ca="1"/>
      </c>
      <c r="AU1189">
        <f ca="1"/>
      </c>
      <c r="AV1189">
        <f ca="1"/>
      </c>
      <c r="AW1189">
        <f ca="1"/>
      </c>
      <c r="AX1189">
        <f ca="1"/>
      </c>
      <c r="AY1189">
        <f ca="1"/>
      </c>
      <c r="BA1189" s="7"/>
    </row>
    <row r="1190" spans="31:53" x14ac:dyDescent="0.55000000000000004">
      <c r="AE1190" s="7">
        <f ca="1"/>
      </c>
      <c r="AF1190">
        <f ca="1"/>
      </c>
      <c r="AG1190">
        <f ca="1"/>
      </c>
      <c r="AH1190">
        <f ca="1"/>
      </c>
      <c r="AI1190">
        <f ca="1"/>
      </c>
      <c r="AJ1190">
        <f ca="1"/>
      </c>
      <c r="AK1190">
        <f ca="1"/>
      </c>
      <c r="AL1190">
        <f ca="1"/>
      </c>
      <c r="AM1190">
        <f ca="1"/>
      </c>
      <c r="AN1190">
        <f ca="1"/>
      </c>
      <c r="AO1190">
        <f ca="1"/>
      </c>
      <c r="AP1190">
        <f ca="1"/>
      </c>
      <c r="AQ1190">
        <f ca="1"/>
      </c>
      <c r="AR1190">
        <f ca="1"/>
      </c>
      <c r="AT1190" s="7">
        <f ca="1"/>
      </c>
      <c r="AU1190">
        <f ca="1"/>
      </c>
      <c r="AV1190">
        <f ca="1"/>
      </c>
      <c r="AW1190">
        <f ca="1"/>
      </c>
      <c r="AX1190">
        <f ca="1"/>
      </c>
      <c r="AY1190">
        <f ca="1"/>
      </c>
      <c r="BA1190" s="7"/>
    </row>
    <row r="1191" spans="31:53" x14ac:dyDescent="0.55000000000000004">
      <c r="AE1191" s="7">
        <f ca="1"/>
      </c>
      <c r="AF1191">
        <f ca="1"/>
      </c>
      <c r="AG1191">
        <f ca="1"/>
      </c>
      <c r="AH1191">
        <f ca="1"/>
      </c>
      <c r="AI1191">
        <f ca="1"/>
      </c>
      <c r="AJ1191">
        <f ca="1"/>
      </c>
      <c r="AK1191">
        <f ca="1"/>
      </c>
      <c r="AL1191">
        <f ca="1"/>
      </c>
      <c r="AM1191">
        <f ca="1"/>
      </c>
      <c r="AN1191">
        <f ca="1"/>
      </c>
      <c r="AO1191">
        <f ca="1"/>
      </c>
      <c r="AP1191">
        <f ca="1"/>
      </c>
      <c r="AQ1191">
        <f ca="1"/>
      </c>
      <c r="AR1191">
        <f ca="1"/>
      </c>
      <c r="AT1191" s="7">
        <f ca="1"/>
      </c>
      <c r="AU1191">
        <f ca="1"/>
      </c>
      <c r="AV1191">
        <f ca="1"/>
      </c>
      <c r="AW1191">
        <f ca="1"/>
      </c>
      <c r="AX1191">
        <f ca="1"/>
      </c>
      <c r="AY1191">
        <f ca="1"/>
      </c>
      <c r="BA1191" s="7"/>
    </row>
    <row r="1192" spans="31:53" x14ac:dyDescent="0.55000000000000004">
      <c r="AE1192" s="7">
        <f ca="1"/>
      </c>
      <c r="AF1192">
        <f ca="1"/>
      </c>
      <c r="AG1192">
        <f ca="1"/>
      </c>
      <c r="AH1192">
        <f ca="1"/>
      </c>
      <c r="AI1192">
        <f ca="1"/>
      </c>
      <c r="AJ1192">
        <f ca="1"/>
      </c>
      <c r="AK1192">
        <f ca="1"/>
      </c>
      <c r="AL1192">
        <f ca="1"/>
      </c>
      <c r="AM1192">
        <f ca="1"/>
      </c>
      <c r="AN1192">
        <f ca="1"/>
      </c>
      <c r="AO1192">
        <f ca="1"/>
      </c>
      <c r="AP1192">
        <f ca="1"/>
      </c>
      <c r="AQ1192">
        <f ca="1"/>
      </c>
      <c r="AR1192">
        <f ca="1"/>
      </c>
      <c r="AT1192" s="7">
        <f ca="1"/>
      </c>
      <c r="AU1192">
        <f ca="1"/>
      </c>
      <c r="AV1192">
        <f ca="1"/>
      </c>
      <c r="AW1192">
        <f ca="1"/>
      </c>
      <c r="AX1192">
        <f ca="1"/>
      </c>
      <c r="AY1192">
        <f ca="1"/>
      </c>
      <c r="BA1192" s="7"/>
    </row>
    <row r="1193" spans="31:53" x14ac:dyDescent="0.55000000000000004">
      <c r="AE1193" s="7">
        <f ca="1"/>
      </c>
      <c r="AF1193">
        <f ca="1"/>
      </c>
      <c r="AG1193">
        <f ca="1"/>
      </c>
      <c r="AH1193">
        <f ca="1"/>
      </c>
      <c r="AI1193">
        <f ca="1"/>
      </c>
      <c r="AJ1193">
        <f ca="1"/>
      </c>
      <c r="AK1193">
        <f ca="1"/>
      </c>
      <c r="AL1193">
        <f ca="1"/>
      </c>
      <c r="AM1193">
        <f ca="1"/>
      </c>
      <c r="AN1193">
        <f ca="1"/>
      </c>
      <c r="AO1193">
        <f ca="1"/>
      </c>
      <c r="AP1193">
        <f ca="1"/>
      </c>
      <c r="AQ1193">
        <f ca="1"/>
      </c>
      <c r="AR1193">
        <f ca="1"/>
      </c>
      <c r="AT1193" s="7">
        <f ca="1"/>
      </c>
      <c r="AU1193">
        <f ca="1"/>
      </c>
      <c r="AV1193">
        <f ca="1"/>
      </c>
      <c r="AW1193">
        <f ca="1"/>
      </c>
      <c r="AX1193">
        <f ca="1"/>
      </c>
      <c r="AY1193">
        <f ca="1"/>
      </c>
      <c r="BA1193" s="7"/>
    </row>
    <row r="1194" spans="31:53" x14ac:dyDescent="0.55000000000000004">
      <c r="AE1194" s="7">
        <f ca="1"/>
      </c>
      <c r="AF1194">
        <f ca="1"/>
      </c>
      <c r="AG1194">
        <f ca="1"/>
      </c>
      <c r="AH1194">
        <f ca="1"/>
      </c>
      <c r="AI1194">
        <f ca="1"/>
      </c>
      <c r="AJ1194">
        <f ca="1"/>
      </c>
      <c r="AK1194">
        <f ca="1"/>
      </c>
      <c r="AL1194">
        <f ca="1"/>
      </c>
      <c r="AM1194">
        <f ca="1"/>
      </c>
      <c r="AN1194">
        <f ca="1"/>
      </c>
      <c r="AO1194">
        <f ca="1"/>
      </c>
      <c r="AP1194">
        <f ca="1"/>
      </c>
      <c r="AQ1194">
        <f ca="1"/>
      </c>
      <c r="AR1194">
        <f ca="1"/>
      </c>
      <c r="AT1194" s="7">
        <f ca="1"/>
      </c>
      <c r="AU1194">
        <f ca="1"/>
      </c>
      <c r="AV1194">
        <f ca="1"/>
      </c>
      <c r="AW1194">
        <f ca="1"/>
      </c>
      <c r="AX1194">
        <f ca="1"/>
      </c>
      <c r="AY1194">
        <f ca="1"/>
      </c>
      <c r="BA1194" s="7"/>
    </row>
    <row r="1195" spans="31:53" x14ac:dyDescent="0.55000000000000004">
      <c r="AE1195" s="7">
        <f ca="1"/>
      </c>
      <c r="AF1195">
        <f ca="1"/>
      </c>
      <c r="AG1195">
        <f ca="1"/>
      </c>
      <c r="AH1195">
        <f ca="1"/>
      </c>
      <c r="AI1195">
        <f ca="1"/>
      </c>
      <c r="AJ1195">
        <f ca="1"/>
      </c>
      <c r="AK1195">
        <f ca="1"/>
      </c>
      <c r="AL1195">
        <f ca="1"/>
      </c>
      <c r="AM1195">
        <f ca="1"/>
      </c>
      <c r="AN1195">
        <f ca="1"/>
      </c>
      <c r="AO1195">
        <f ca="1"/>
      </c>
      <c r="AP1195">
        <f ca="1"/>
      </c>
      <c r="AQ1195">
        <f ca="1"/>
      </c>
      <c r="AR1195">
        <f ca="1"/>
      </c>
      <c r="AT1195" s="7">
        <f ca="1"/>
      </c>
      <c r="AU1195">
        <f ca="1"/>
      </c>
      <c r="AV1195">
        <f ca="1"/>
      </c>
      <c r="AW1195">
        <f ca="1"/>
      </c>
      <c r="AX1195">
        <f ca="1"/>
      </c>
      <c r="AY1195">
        <f ca="1"/>
      </c>
      <c r="BA1195" s="7"/>
    </row>
    <row r="1196" spans="31:53" x14ac:dyDescent="0.55000000000000004">
      <c r="AE1196" s="7">
        <f ca="1"/>
      </c>
      <c r="AF1196">
        <f ca="1"/>
      </c>
      <c r="AG1196">
        <f ca="1"/>
      </c>
      <c r="AH1196">
        <f ca="1"/>
      </c>
      <c r="AI1196">
        <f ca="1"/>
      </c>
      <c r="AJ1196">
        <f ca="1"/>
      </c>
      <c r="AK1196">
        <f ca="1"/>
      </c>
      <c r="AL1196">
        <f ca="1"/>
      </c>
      <c r="AM1196">
        <f ca="1"/>
      </c>
      <c r="AN1196">
        <f ca="1"/>
      </c>
      <c r="AO1196">
        <f ca="1"/>
      </c>
      <c r="AP1196">
        <f ca="1"/>
      </c>
      <c r="AQ1196">
        <f ca="1"/>
      </c>
      <c r="AR1196">
        <f ca="1"/>
      </c>
      <c r="AT1196" s="7">
        <f ca="1"/>
      </c>
      <c r="AU1196">
        <f ca="1"/>
      </c>
      <c r="AV1196">
        <f ca="1"/>
      </c>
      <c r="AW1196">
        <f ca="1"/>
      </c>
      <c r="AX1196">
        <f ca="1"/>
      </c>
      <c r="AY1196">
        <f ca="1"/>
      </c>
      <c r="BA1196" s="7"/>
    </row>
    <row r="1197" spans="31:53" x14ac:dyDescent="0.55000000000000004">
      <c r="AE1197" s="7">
        <f ca="1"/>
      </c>
      <c r="AF1197">
        <f ca="1"/>
      </c>
      <c r="AG1197">
        <f ca="1"/>
      </c>
      <c r="AH1197">
        <f ca="1"/>
      </c>
      <c r="AI1197">
        <f ca="1"/>
      </c>
      <c r="AJ1197">
        <f ca="1"/>
      </c>
      <c r="AK1197">
        <f ca="1"/>
      </c>
      <c r="AL1197">
        <f ca="1"/>
      </c>
      <c r="AM1197">
        <f ca="1"/>
      </c>
      <c r="AN1197">
        <f ca="1"/>
      </c>
      <c r="AO1197">
        <f ca="1"/>
      </c>
      <c r="AP1197">
        <f ca="1"/>
      </c>
      <c r="AQ1197">
        <f ca="1"/>
      </c>
      <c r="AR1197">
        <f ca="1"/>
      </c>
      <c r="AT1197" s="7">
        <f ca="1"/>
      </c>
      <c r="AU1197">
        <f ca="1"/>
      </c>
      <c r="AV1197">
        <f ca="1"/>
      </c>
      <c r="AW1197">
        <f ca="1"/>
      </c>
      <c r="AX1197">
        <f ca="1"/>
      </c>
      <c r="AY1197">
        <f ca="1"/>
      </c>
      <c r="BA1197" s="7"/>
    </row>
    <row r="1198" spans="31:53" x14ac:dyDescent="0.55000000000000004">
      <c r="AE1198" s="7">
        <f ca="1"/>
      </c>
      <c r="AF1198">
        <f ca="1"/>
      </c>
      <c r="AG1198">
        <f ca="1"/>
      </c>
      <c r="AH1198">
        <f ca="1"/>
      </c>
      <c r="AI1198">
        <f ca="1"/>
      </c>
      <c r="AJ1198">
        <f ca="1"/>
      </c>
      <c r="AK1198">
        <f ca="1"/>
      </c>
      <c r="AL1198">
        <f ca="1"/>
      </c>
      <c r="AM1198">
        <f ca="1"/>
      </c>
      <c r="AN1198">
        <f ca="1"/>
      </c>
      <c r="AO1198">
        <f ca="1"/>
      </c>
      <c r="AP1198">
        <f ca="1"/>
      </c>
      <c r="AQ1198">
        <f ca="1"/>
      </c>
      <c r="AR1198">
        <f ca="1"/>
      </c>
      <c r="AT1198" s="7">
        <f ca="1"/>
      </c>
      <c r="AU1198">
        <f ca="1"/>
      </c>
      <c r="AV1198">
        <f ca="1"/>
      </c>
      <c r="AW1198">
        <f ca="1"/>
      </c>
      <c r="AX1198">
        <f ca="1"/>
      </c>
      <c r="AY1198">
        <f ca="1"/>
      </c>
      <c r="BA1198" s="7"/>
    </row>
    <row r="1199" spans="31:53" x14ac:dyDescent="0.55000000000000004">
      <c r="AE1199" s="7">
        <f ca="1"/>
      </c>
      <c r="AF1199">
        <f ca="1"/>
      </c>
      <c r="AG1199">
        <f ca="1"/>
      </c>
      <c r="AH1199">
        <f ca="1"/>
      </c>
      <c r="AI1199">
        <f ca="1"/>
      </c>
      <c r="AJ1199">
        <f ca="1"/>
      </c>
      <c r="AK1199">
        <f ca="1"/>
      </c>
      <c r="AL1199">
        <f ca="1"/>
      </c>
      <c r="AM1199">
        <f ca="1"/>
      </c>
      <c r="AN1199">
        <f ca="1"/>
      </c>
      <c r="AO1199">
        <f ca="1"/>
      </c>
      <c r="AP1199">
        <f ca="1"/>
      </c>
      <c r="AQ1199">
        <f ca="1"/>
      </c>
      <c r="AR1199">
        <f ca="1"/>
      </c>
      <c r="AT1199" s="7">
        <f ca="1"/>
      </c>
      <c r="AU1199">
        <f ca="1"/>
      </c>
      <c r="AV1199">
        <f ca="1"/>
      </c>
      <c r="AW1199">
        <f ca="1"/>
      </c>
      <c r="AX1199">
        <f ca="1"/>
      </c>
      <c r="AY1199">
        <f ca="1"/>
      </c>
      <c r="BA1199" s="7"/>
    </row>
    <row r="1200" spans="31:53" x14ac:dyDescent="0.55000000000000004">
      <c r="AE1200" s="7">
        <f ca="1"/>
      </c>
      <c r="AF1200">
        <f ca="1"/>
      </c>
      <c r="AG1200">
        <f ca="1"/>
      </c>
      <c r="AH1200">
        <f ca="1"/>
      </c>
      <c r="AI1200">
        <f ca="1"/>
      </c>
      <c r="AJ1200">
        <f ca="1"/>
      </c>
      <c r="AK1200">
        <f ca="1"/>
      </c>
      <c r="AL1200">
        <f ca="1"/>
      </c>
      <c r="AM1200">
        <f ca="1"/>
      </c>
      <c r="AN1200">
        <f ca="1"/>
      </c>
      <c r="AO1200">
        <f ca="1"/>
      </c>
      <c r="AP1200">
        <f ca="1"/>
      </c>
      <c r="AQ1200">
        <f ca="1"/>
      </c>
      <c r="AR1200">
        <f ca="1"/>
      </c>
      <c r="AT1200" s="7">
        <f ca="1"/>
      </c>
      <c r="AU1200">
        <f ca="1"/>
      </c>
      <c r="AV1200">
        <f ca="1"/>
      </c>
      <c r="AW1200">
        <f ca="1"/>
      </c>
      <c r="AX1200">
        <f ca="1"/>
      </c>
      <c r="AY1200">
        <f ca="1"/>
      </c>
      <c r="BA1200" s="7"/>
    </row>
    <row r="1201" spans="31:53" x14ac:dyDescent="0.55000000000000004">
      <c r="AE1201" s="7">
        <f ca="1"/>
      </c>
      <c r="AF1201">
        <f ca="1"/>
      </c>
      <c r="AG1201">
        <f ca="1"/>
      </c>
      <c r="AH1201">
        <f ca="1"/>
      </c>
      <c r="AI1201">
        <f ca="1"/>
      </c>
      <c r="AJ1201">
        <f ca="1"/>
      </c>
      <c r="AK1201">
        <f ca="1"/>
      </c>
      <c r="AL1201">
        <f ca="1"/>
      </c>
      <c r="AM1201">
        <f ca="1"/>
      </c>
      <c r="AN1201">
        <f ca="1"/>
      </c>
      <c r="AO1201">
        <f ca="1"/>
      </c>
      <c r="AP1201">
        <f ca="1"/>
      </c>
      <c r="AQ1201">
        <f ca="1"/>
      </c>
      <c r="AR1201">
        <f ca="1"/>
      </c>
      <c r="AT1201" s="7">
        <f ca="1"/>
      </c>
      <c r="AU1201">
        <f ca="1"/>
      </c>
      <c r="AV1201">
        <f ca="1"/>
      </c>
      <c r="AW1201">
        <f ca="1"/>
      </c>
      <c r="AX1201">
        <f ca="1"/>
      </c>
      <c r="AY1201">
        <f ca="1"/>
      </c>
      <c r="BA1201" s="7"/>
    </row>
    <row r="1202" spans="31:53" x14ac:dyDescent="0.55000000000000004">
      <c r="AE1202" s="7">
        <f ca="1"/>
      </c>
      <c r="AF1202">
        <f ca="1"/>
      </c>
      <c r="AG1202">
        <f ca="1"/>
      </c>
      <c r="AH1202">
        <f ca="1"/>
      </c>
      <c r="AI1202">
        <f ca="1"/>
      </c>
      <c r="AJ1202">
        <f ca="1"/>
      </c>
      <c r="AK1202">
        <f ca="1"/>
      </c>
      <c r="AL1202">
        <f ca="1"/>
      </c>
      <c r="AM1202">
        <f ca="1"/>
      </c>
      <c r="AN1202">
        <f ca="1"/>
      </c>
      <c r="AO1202">
        <f ca="1"/>
      </c>
      <c r="AP1202">
        <f ca="1"/>
      </c>
      <c r="AQ1202">
        <f ca="1"/>
      </c>
      <c r="AR1202">
        <f ca="1"/>
      </c>
      <c r="AT1202" s="7">
        <f ca="1"/>
      </c>
      <c r="AU1202">
        <f ca="1"/>
      </c>
      <c r="AV1202">
        <f ca="1"/>
      </c>
      <c r="AW1202">
        <f ca="1"/>
      </c>
      <c r="AX1202">
        <f ca="1"/>
      </c>
      <c r="AY1202">
        <f ca="1"/>
      </c>
      <c r="BA1202" s="7"/>
    </row>
    <row r="1203" spans="31:53" x14ac:dyDescent="0.55000000000000004">
      <c r="AE1203" s="7">
        <f ca="1"/>
      </c>
      <c r="AF1203">
        <f ca="1"/>
      </c>
      <c r="AG1203">
        <f ca="1"/>
      </c>
      <c r="AH1203">
        <f ca="1"/>
      </c>
      <c r="AI1203">
        <f ca="1"/>
      </c>
      <c r="AJ1203">
        <f ca="1"/>
      </c>
      <c r="AK1203">
        <f ca="1"/>
      </c>
      <c r="AL1203">
        <f ca="1"/>
      </c>
      <c r="AM1203">
        <f ca="1"/>
      </c>
      <c r="AN1203">
        <f ca="1"/>
      </c>
      <c r="AO1203">
        <f ca="1"/>
      </c>
      <c r="AP1203">
        <f ca="1"/>
      </c>
      <c r="AQ1203">
        <f ca="1"/>
      </c>
      <c r="AR1203">
        <f ca="1"/>
      </c>
      <c r="AT1203" s="7">
        <f ca="1"/>
      </c>
      <c r="AU1203">
        <f ca="1"/>
      </c>
      <c r="AV1203">
        <f ca="1"/>
      </c>
      <c r="AW1203">
        <f ca="1"/>
      </c>
      <c r="AX1203">
        <f ca="1"/>
      </c>
      <c r="AY1203">
        <f ca="1"/>
      </c>
      <c r="BA1203" s="7"/>
    </row>
    <row r="1204" spans="31:53" x14ac:dyDescent="0.55000000000000004">
      <c r="AE1204" s="7">
        <f ca="1"/>
      </c>
      <c r="AF1204">
        <f ca="1"/>
      </c>
      <c r="AG1204">
        <f ca="1"/>
      </c>
      <c r="AH1204">
        <f ca="1"/>
      </c>
      <c r="AI1204">
        <f ca="1"/>
      </c>
      <c r="AJ1204">
        <f ca="1"/>
      </c>
      <c r="AK1204">
        <f ca="1"/>
      </c>
      <c r="AL1204">
        <f ca="1"/>
      </c>
      <c r="AM1204">
        <f ca="1"/>
      </c>
      <c r="AN1204">
        <f ca="1"/>
      </c>
      <c r="AO1204">
        <f ca="1"/>
      </c>
      <c r="AP1204">
        <f ca="1"/>
      </c>
      <c r="AQ1204">
        <f ca="1"/>
      </c>
      <c r="AR1204">
        <f ca="1"/>
      </c>
      <c r="AT1204" s="7">
        <f ca="1"/>
      </c>
      <c r="AU1204">
        <f ca="1"/>
      </c>
      <c r="AV1204">
        <f ca="1"/>
      </c>
      <c r="AW1204">
        <f ca="1"/>
      </c>
      <c r="AX1204">
        <f ca="1"/>
      </c>
      <c r="AY1204">
        <f ca="1"/>
      </c>
      <c r="BA1204" s="7"/>
    </row>
    <row r="1205" spans="31:53" x14ac:dyDescent="0.55000000000000004">
      <c r="AE1205" s="7">
        <f ca="1"/>
      </c>
      <c r="AF1205">
        <f ca="1"/>
      </c>
      <c r="AG1205">
        <f ca="1"/>
      </c>
      <c r="AH1205">
        <f ca="1"/>
      </c>
      <c r="AI1205">
        <f ca="1"/>
      </c>
      <c r="AJ1205">
        <f ca="1"/>
      </c>
      <c r="AK1205">
        <f ca="1"/>
      </c>
      <c r="AL1205">
        <f ca="1"/>
      </c>
      <c r="AM1205">
        <f ca="1"/>
      </c>
      <c r="AN1205">
        <f ca="1"/>
      </c>
      <c r="AO1205">
        <f ca="1"/>
      </c>
      <c r="AP1205">
        <f ca="1"/>
      </c>
      <c r="AQ1205">
        <f ca="1"/>
      </c>
      <c r="AR1205">
        <f ca="1"/>
      </c>
      <c r="AT1205" s="7">
        <f ca="1"/>
      </c>
      <c r="AU1205">
        <f ca="1"/>
      </c>
      <c r="AV1205">
        <f ca="1"/>
      </c>
      <c r="AW1205">
        <f ca="1"/>
      </c>
      <c r="AX1205">
        <f ca="1"/>
      </c>
      <c r="AY1205">
        <f ca="1"/>
      </c>
      <c r="BA1205" s="7"/>
    </row>
    <row r="1206" spans="31:53" x14ac:dyDescent="0.55000000000000004">
      <c r="AE1206" s="7">
        <f ca="1"/>
      </c>
      <c r="AF1206">
        <f ca="1"/>
      </c>
      <c r="AG1206">
        <f ca="1"/>
      </c>
      <c r="AH1206">
        <f ca="1"/>
      </c>
      <c r="AI1206">
        <f ca="1"/>
      </c>
      <c r="AJ1206">
        <f ca="1"/>
      </c>
      <c r="AK1206">
        <f ca="1"/>
      </c>
      <c r="AL1206">
        <f ca="1"/>
      </c>
      <c r="AM1206">
        <f ca="1"/>
      </c>
      <c r="AN1206">
        <f ca="1"/>
      </c>
      <c r="AO1206">
        <f ca="1"/>
      </c>
      <c r="AP1206">
        <f ca="1"/>
      </c>
      <c r="AQ1206">
        <f ca="1"/>
      </c>
      <c r="AR1206">
        <f ca="1"/>
      </c>
      <c r="AT1206" s="7">
        <f ca="1"/>
      </c>
      <c r="AU1206">
        <f ca="1"/>
      </c>
      <c r="AV1206">
        <f ca="1"/>
      </c>
      <c r="AW1206">
        <f ca="1"/>
      </c>
      <c r="AX1206">
        <f ca="1"/>
      </c>
      <c r="AY1206">
        <f ca="1"/>
      </c>
      <c r="BA1206" s="7"/>
    </row>
    <row r="1207" spans="31:53" x14ac:dyDescent="0.55000000000000004">
      <c r="AE1207" s="7">
        <f ca="1"/>
      </c>
      <c r="AF1207">
        <f ca="1"/>
      </c>
      <c r="AG1207">
        <f ca="1"/>
      </c>
      <c r="AH1207">
        <f ca="1"/>
      </c>
      <c r="AI1207">
        <f ca="1"/>
      </c>
      <c r="AJ1207">
        <f ca="1"/>
      </c>
      <c r="AK1207">
        <f ca="1"/>
      </c>
      <c r="AL1207">
        <f ca="1"/>
      </c>
      <c r="AM1207">
        <f ca="1"/>
      </c>
      <c r="AN1207">
        <f ca="1"/>
      </c>
      <c r="AO1207">
        <f ca="1"/>
      </c>
      <c r="AP1207">
        <f ca="1"/>
      </c>
      <c r="AQ1207">
        <f ca="1"/>
      </c>
      <c r="AR1207">
        <f ca="1"/>
      </c>
      <c r="AT1207" s="7">
        <f ca="1"/>
      </c>
      <c r="AU1207">
        <f ca="1"/>
      </c>
      <c r="AV1207">
        <f ca="1"/>
      </c>
      <c r="AW1207">
        <f ca="1"/>
      </c>
      <c r="AX1207">
        <f ca="1"/>
      </c>
      <c r="AY1207">
        <f ca="1"/>
      </c>
      <c r="BA1207" s="7"/>
    </row>
    <row r="1208" spans="31:53" x14ac:dyDescent="0.55000000000000004">
      <c r="AE1208" s="7">
        <f ca="1"/>
      </c>
      <c r="AF1208">
        <f ca="1"/>
      </c>
      <c r="AG1208">
        <f ca="1"/>
      </c>
      <c r="AH1208">
        <f ca="1"/>
      </c>
      <c r="AI1208">
        <f ca="1"/>
      </c>
      <c r="AJ1208">
        <f ca="1"/>
      </c>
      <c r="AK1208">
        <f ca="1"/>
      </c>
      <c r="AL1208">
        <f ca="1"/>
      </c>
      <c r="AM1208">
        <f ca="1"/>
      </c>
      <c r="AN1208">
        <f ca="1"/>
      </c>
      <c r="AO1208">
        <f ca="1"/>
      </c>
      <c r="AP1208">
        <f ca="1"/>
      </c>
      <c r="AQ1208">
        <f ca="1"/>
      </c>
      <c r="AR1208">
        <f ca="1"/>
      </c>
      <c r="AT1208" s="7">
        <f ca="1"/>
      </c>
      <c r="AU1208">
        <f ca="1"/>
      </c>
      <c r="AV1208">
        <f ca="1"/>
      </c>
      <c r="AW1208">
        <f ca="1"/>
      </c>
      <c r="AX1208">
        <f ca="1"/>
      </c>
      <c r="AY1208">
        <f ca="1"/>
      </c>
      <c r="BA1208" s="7"/>
    </row>
    <row r="1209" spans="31:53" x14ac:dyDescent="0.55000000000000004">
      <c r="AE1209" s="7">
        <f ca="1"/>
      </c>
      <c r="AF1209">
        <f ca="1"/>
      </c>
      <c r="AG1209">
        <f ca="1"/>
      </c>
      <c r="AH1209">
        <f ca="1"/>
      </c>
      <c r="AI1209">
        <f ca="1"/>
      </c>
      <c r="AJ1209">
        <f ca="1"/>
      </c>
      <c r="AK1209">
        <f ca="1"/>
      </c>
      <c r="AL1209">
        <f ca="1"/>
      </c>
      <c r="AM1209">
        <f ca="1"/>
      </c>
      <c r="AN1209">
        <f ca="1"/>
      </c>
      <c r="AO1209">
        <f ca="1"/>
      </c>
      <c r="AP1209">
        <f ca="1"/>
      </c>
      <c r="AQ1209">
        <f ca="1"/>
      </c>
      <c r="AR1209">
        <f ca="1"/>
      </c>
      <c r="AT1209" s="7">
        <f ca="1"/>
      </c>
      <c r="AU1209">
        <f ca="1"/>
      </c>
      <c r="AV1209">
        <f ca="1"/>
      </c>
      <c r="AW1209">
        <f ca="1"/>
      </c>
      <c r="AX1209">
        <f ca="1"/>
      </c>
      <c r="AY1209">
        <f ca="1"/>
      </c>
      <c r="BA1209" s="7"/>
    </row>
    <row r="1210" spans="31:53" x14ac:dyDescent="0.55000000000000004">
      <c r="AE1210" s="7">
        <f ca="1"/>
      </c>
      <c r="AF1210">
        <f ca="1"/>
      </c>
      <c r="AG1210">
        <f ca="1"/>
      </c>
      <c r="AH1210">
        <f ca="1"/>
      </c>
      <c r="AI1210">
        <f ca="1"/>
      </c>
      <c r="AJ1210">
        <f ca="1"/>
      </c>
      <c r="AK1210">
        <f ca="1"/>
      </c>
      <c r="AL1210">
        <f ca="1"/>
      </c>
      <c r="AM1210">
        <f ca="1"/>
      </c>
      <c r="AN1210">
        <f ca="1"/>
      </c>
      <c r="AO1210">
        <f ca="1"/>
      </c>
      <c r="AP1210">
        <f ca="1"/>
      </c>
      <c r="AQ1210">
        <f ca="1"/>
      </c>
      <c r="AR1210">
        <f ca="1"/>
      </c>
      <c r="AT1210" s="7">
        <f ca="1"/>
      </c>
      <c r="AU1210">
        <f ca="1"/>
      </c>
      <c r="AV1210">
        <f ca="1"/>
      </c>
      <c r="AW1210">
        <f ca="1"/>
      </c>
      <c r="AX1210">
        <f ca="1"/>
      </c>
      <c r="AY1210">
        <f ca="1"/>
      </c>
      <c r="BA1210" s="7"/>
    </row>
    <row r="1211" spans="31:53" x14ac:dyDescent="0.55000000000000004">
      <c r="AE1211" s="7">
        <f ca="1"/>
      </c>
      <c r="AF1211">
        <f ca="1"/>
      </c>
      <c r="AG1211">
        <f ca="1"/>
      </c>
      <c r="AH1211">
        <f ca="1"/>
      </c>
      <c r="AI1211">
        <f ca="1"/>
      </c>
      <c r="AJ1211">
        <f ca="1"/>
      </c>
      <c r="AK1211">
        <f ca="1"/>
      </c>
      <c r="AL1211">
        <f ca="1"/>
      </c>
      <c r="AM1211">
        <f ca="1"/>
      </c>
      <c r="AN1211">
        <f ca="1"/>
      </c>
      <c r="AO1211">
        <f ca="1"/>
      </c>
      <c r="AP1211">
        <f ca="1"/>
      </c>
      <c r="AQ1211">
        <f ca="1"/>
      </c>
      <c r="AR1211">
        <f ca="1"/>
      </c>
      <c r="AT1211" s="7">
        <f ca="1"/>
      </c>
      <c r="AU1211">
        <f ca="1"/>
      </c>
      <c r="AV1211">
        <f ca="1"/>
      </c>
      <c r="AW1211">
        <f ca="1"/>
      </c>
      <c r="AX1211">
        <f ca="1"/>
      </c>
      <c r="AY1211">
        <f ca="1"/>
      </c>
      <c r="BA1211" s="7"/>
    </row>
    <row r="1212" spans="31:53" x14ac:dyDescent="0.55000000000000004">
      <c r="AE1212" s="7">
        <f ca="1"/>
      </c>
      <c r="AF1212">
        <f ca="1"/>
      </c>
      <c r="AG1212">
        <f ca="1"/>
      </c>
      <c r="AH1212">
        <f ca="1"/>
      </c>
      <c r="AI1212">
        <f ca="1"/>
      </c>
      <c r="AJ1212">
        <f ca="1"/>
      </c>
      <c r="AK1212">
        <f ca="1"/>
      </c>
      <c r="AL1212">
        <f ca="1"/>
      </c>
      <c r="AM1212">
        <f ca="1"/>
      </c>
      <c r="AN1212">
        <f ca="1"/>
      </c>
      <c r="AO1212">
        <f ca="1"/>
      </c>
      <c r="AP1212">
        <f ca="1"/>
      </c>
      <c r="AQ1212">
        <f ca="1"/>
      </c>
      <c r="AR1212">
        <f ca="1"/>
      </c>
      <c r="AT1212" s="7">
        <f ca="1"/>
      </c>
      <c r="AU1212">
        <f ca="1"/>
      </c>
      <c r="AV1212">
        <f ca="1"/>
      </c>
      <c r="AW1212">
        <f ca="1"/>
      </c>
      <c r="AX1212">
        <f ca="1"/>
      </c>
      <c r="AY1212">
        <f ca="1"/>
      </c>
      <c r="BA1212" s="7"/>
    </row>
    <row r="1213" spans="31:53" x14ac:dyDescent="0.55000000000000004">
      <c r="AE1213" s="7">
        <f ca="1"/>
      </c>
      <c r="AF1213">
        <f ca="1"/>
      </c>
      <c r="AG1213">
        <f ca="1"/>
      </c>
      <c r="AH1213">
        <f ca="1"/>
      </c>
      <c r="AI1213">
        <f ca="1"/>
      </c>
      <c r="AJ1213">
        <f ca="1"/>
      </c>
      <c r="AK1213">
        <f ca="1"/>
      </c>
      <c r="AL1213">
        <f ca="1"/>
      </c>
      <c r="AM1213">
        <f ca="1"/>
      </c>
      <c r="AN1213">
        <f ca="1"/>
      </c>
      <c r="AO1213">
        <f ca="1"/>
      </c>
      <c r="AP1213">
        <f ca="1"/>
      </c>
      <c r="AQ1213">
        <f ca="1"/>
      </c>
      <c r="AR1213">
        <f ca="1"/>
      </c>
      <c r="AT1213" s="7">
        <f ca="1"/>
      </c>
      <c r="AU1213">
        <f ca="1"/>
      </c>
      <c r="AV1213">
        <f ca="1"/>
      </c>
      <c r="AW1213">
        <f ca="1"/>
      </c>
      <c r="AX1213">
        <f ca="1"/>
      </c>
      <c r="AY1213">
        <f ca="1"/>
      </c>
      <c r="BA1213" s="7"/>
    </row>
    <row r="1214" spans="31:53" x14ac:dyDescent="0.55000000000000004">
      <c r="AE1214" s="7">
        <f ca="1"/>
      </c>
      <c r="AF1214">
        <f ca="1"/>
      </c>
      <c r="AG1214">
        <f ca="1"/>
      </c>
      <c r="AH1214">
        <f ca="1"/>
      </c>
      <c r="AI1214">
        <f ca="1"/>
      </c>
      <c r="AJ1214">
        <f ca="1"/>
      </c>
      <c r="AK1214">
        <f ca="1"/>
      </c>
      <c r="AL1214">
        <f ca="1"/>
      </c>
      <c r="AM1214">
        <f ca="1"/>
      </c>
      <c r="AN1214">
        <f ca="1"/>
      </c>
      <c r="AO1214">
        <f ca="1"/>
      </c>
      <c r="AP1214">
        <f ca="1"/>
      </c>
      <c r="AQ1214">
        <f ca="1"/>
      </c>
      <c r="AR1214">
        <f ca="1"/>
      </c>
      <c r="AT1214" s="7">
        <f ca="1"/>
      </c>
      <c r="AU1214">
        <f ca="1"/>
      </c>
      <c r="AV1214">
        <f ca="1"/>
      </c>
      <c r="AW1214">
        <f ca="1"/>
      </c>
      <c r="AX1214">
        <f ca="1"/>
      </c>
      <c r="AY1214">
        <f ca="1"/>
      </c>
      <c r="BA1214" s="7"/>
    </row>
    <row r="1215" spans="31:53" x14ac:dyDescent="0.55000000000000004">
      <c r="AE1215" s="7">
        <f ca="1"/>
      </c>
      <c r="AF1215">
        <f ca="1"/>
      </c>
      <c r="AG1215">
        <f ca="1"/>
      </c>
      <c r="AH1215">
        <f ca="1"/>
      </c>
      <c r="AI1215">
        <f ca="1"/>
      </c>
      <c r="AJ1215">
        <f ca="1"/>
      </c>
      <c r="AK1215">
        <f ca="1"/>
      </c>
      <c r="AL1215">
        <f ca="1"/>
      </c>
      <c r="AM1215">
        <f ca="1"/>
      </c>
      <c r="AN1215">
        <f ca="1"/>
      </c>
      <c r="AO1215">
        <f ca="1"/>
      </c>
      <c r="AP1215">
        <f ca="1"/>
      </c>
      <c r="AQ1215">
        <f ca="1"/>
      </c>
      <c r="AR1215">
        <f ca="1"/>
      </c>
      <c r="AT1215" s="7">
        <f ca="1"/>
      </c>
      <c r="AU1215">
        <f ca="1"/>
      </c>
      <c r="AV1215">
        <f ca="1"/>
      </c>
      <c r="AW1215">
        <f ca="1"/>
      </c>
      <c r="AX1215">
        <f ca="1"/>
      </c>
      <c r="AY1215">
        <f ca="1"/>
      </c>
      <c r="BA1215" s="7"/>
    </row>
    <row r="1216" spans="31:53" x14ac:dyDescent="0.55000000000000004">
      <c r="AE1216" s="7">
        <f ca="1"/>
      </c>
      <c r="AF1216">
        <f ca="1"/>
      </c>
      <c r="AG1216">
        <f ca="1"/>
      </c>
      <c r="AH1216">
        <f ca="1"/>
      </c>
      <c r="AI1216">
        <f ca="1"/>
      </c>
      <c r="AJ1216">
        <f ca="1"/>
      </c>
      <c r="AK1216">
        <f ca="1"/>
      </c>
      <c r="AL1216">
        <f ca="1"/>
      </c>
      <c r="AM1216">
        <f ca="1"/>
      </c>
      <c r="AN1216">
        <f ca="1"/>
      </c>
      <c r="AO1216">
        <f ca="1"/>
      </c>
      <c r="AP1216">
        <f ca="1"/>
      </c>
      <c r="AQ1216">
        <f ca="1"/>
      </c>
      <c r="AR1216">
        <f ca="1"/>
      </c>
      <c r="AT1216" s="7">
        <f ca="1"/>
      </c>
      <c r="AU1216">
        <f ca="1"/>
      </c>
      <c r="AV1216">
        <f ca="1"/>
      </c>
      <c r="AW1216">
        <f ca="1"/>
      </c>
      <c r="AX1216">
        <f ca="1"/>
      </c>
      <c r="AY1216">
        <f ca="1"/>
      </c>
      <c r="BA1216" s="7"/>
    </row>
    <row r="1217" spans="31:53" x14ac:dyDescent="0.55000000000000004">
      <c r="AE1217" s="7">
        <f ca="1"/>
      </c>
      <c r="AF1217">
        <f ca="1"/>
      </c>
      <c r="AG1217">
        <f ca="1"/>
      </c>
      <c r="AH1217">
        <f ca="1"/>
      </c>
      <c r="AI1217">
        <f ca="1"/>
      </c>
      <c r="AJ1217">
        <f ca="1"/>
      </c>
      <c r="AK1217">
        <f ca="1"/>
      </c>
      <c r="AL1217">
        <f ca="1"/>
      </c>
      <c r="AM1217">
        <f ca="1"/>
      </c>
      <c r="AN1217">
        <f ca="1"/>
      </c>
      <c r="AO1217">
        <f ca="1"/>
      </c>
      <c r="AP1217">
        <f ca="1"/>
      </c>
      <c r="AQ1217">
        <f ca="1"/>
      </c>
      <c r="AR1217">
        <f ca="1"/>
      </c>
      <c r="AT1217" s="7">
        <f ca="1"/>
      </c>
      <c r="AU1217">
        <f ca="1"/>
      </c>
      <c r="AV1217">
        <f ca="1"/>
      </c>
      <c r="AW1217">
        <f ca="1"/>
      </c>
      <c r="AX1217">
        <f ca="1"/>
      </c>
      <c r="AY1217">
        <f ca="1"/>
      </c>
      <c r="BA1217" s="7"/>
    </row>
    <row r="1218" spans="31:53" x14ac:dyDescent="0.55000000000000004">
      <c r="AE1218" s="7">
        <f ca="1"/>
      </c>
      <c r="AF1218">
        <f ca="1"/>
      </c>
      <c r="AG1218">
        <f ca="1"/>
      </c>
      <c r="AH1218">
        <f ca="1"/>
      </c>
      <c r="AI1218">
        <f ca="1"/>
      </c>
      <c r="AJ1218">
        <f ca="1"/>
      </c>
      <c r="AK1218">
        <f ca="1"/>
      </c>
      <c r="AL1218">
        <f ca="1"/>
      </c>
      <c r="AM1218">
        <f ca="1"/>
      </c>
      <c r="AN1218">
        <f ca="1"/>
      </c>
      <c r="AO1218">
        <f ca="1"/>
      </c>
      <c r="AP1218">
        <f ca="1"/>
      </c>
      <c r="AQ1218">
        <f ca="1"/>
      </c>
      <c r="AR1218">
        <f ca="1"/>
      </c>
      <c r="AT1218" s="7">
        <f ca="1"/>
      </c>
      <c r="AU1218">
        <f ca="1"/>
      </c>
      <c r="AV1218">
        <f ca="1"/>
      </c>
      <c r="AW1218">
        <f ca="1"/>
      </c>
      <c r="AX1218">
        <f ca="1"/>
      </c>
      <c r="AY1218">
        <f ca="1"/>
      </c>
      <c r="BA1218" s="7"/>
    </row>
    <row r="1219" spans="31:53" x14ac:dyDescent="0.55000000000000004">
      <c r="AE1219" s="7">
        <f ca="1"/>
      </c>
      <c r="AF1219">
        <f ca="1"/>
      </c>
      <c r="AG1219">
        <f ca="1"/>
      </c>
      <c r="AH1219">
        <f ca="1"/>
      </c>
      <c r="AI1219">
        <f ca="1"/>
      </c>
      <c r="AJ1219">
        <f ca="1"/>
      </c>
      <c r="AK1219">
        <f ca="1"/>
      </c>
      <c r="AL1219">
        <f ca="1"/>
      </c>
      <c r="AM1219">
        <f ca="1"/>
      </c>
      <c r="AN1219">
        <f ca="1"/>
      </c>
      <c r="AO1219">
        <f ca="1"/>
      </c>
      <c r="AP1219">
        <f ca="1"/>
      </c>
      <c r="AQ1219">
        <f ca="1"/>
      </c>
      <c r="AR1219">
        <f ca="1"/>
      </c>
      <c r="AT1219" s="7">
        <f ca="1"/>
      </c>
      <c r="AU1219">
        <f ca="1"/>
      </c>
      <c r="AV1219">
        <f ca="1"/>
      </c>
      <c r="AW1219">
        <f ca="1"/>
      </c>
      <c r="AX1219">
        <f ca="1"/>
      </c>
      <c r="AY1219">
        <f ca="1"/>
      </c>
      <c r="BA1219" s="7"/>
    </row>
    <row r="1220" spans="31:53" x14ac:dyDescent="0.55000000000000004">
      <c r="AE1220" s="7">
        <f ca="1"/>
      </c>
      <c r="AF1220">
        <f ca="1"/>
      </c>
      <c r="AG1220">
        <f ca="1"/>
      </c>
      <c r="AH1220">
        <f ca="1"/>
      </c>
      <c r="AI1220">
        <f ca="1"/>
      </c>
      <c r="AJ1220">
        <f ca="1"/>
      </c>
      <c r="AK1220">
        <f ca="1"/>
      </c>
      <c r="AL1220">
        <f ca="1"/>
      </c>
      <c r="AM1220">
        <f ca="1"/>
      </c>
      <c r="AN1220">
        <f ca="1"/>
      </c>
      <c r="AO1220">
        <f ca="1"/>
      </c>
      <c r="AP1220">
        <f ca="1"/>
      </c>
      <c r="AQ1220">
        <f ca="1"/>
      </c>
      <c r="AR1220">
        <f ca="1"/>
      </c>
      <c r="AT1220" s="7">
        <f ca="1"/>
      </c>
      <c r="AU1220">
        <f ca="1"/>
      </c>
      <c r="AV1220">
        <f ca="1"/>
      </c>
      <c r="AW1220">
        <f ca="1"/>
      </c>
      <c r="AX1220">
        <f ca="1"/>
      </c>
      <c r="AY1220">
        <f ca="1"/>
      </c>
      <c r="BA1220" s="7"/>
    </row>
    <row r="1221" spans="31:53" x14ac:dyDescent="0.55000000000000004">
      <c r="AE1221" s="7">
        <f ca="1"/>
      </c>
      <c r="AF1221">
        <f ca="1"/>
      </c>
      <c r="AG1221">
        <f ca="1"/>
      </c>
      <c r="AH1221">
        <f ca="1"/>
      </c>
      <c r="AI1221">
        <f ca="1"/>
      </c>
      <c r="AJ1221">
        <f ca="1"/>
      </c>
      <c r="AK1221">
        <f ca="1"/>
      </c>
      <c r="AL1221">
        <f ca="1"/>
      </c>
      <c r="AM1221">
        <f ca="1"/>
      </c>
      <c r="AN1221">
        <f ca="1"/>
      </c>
      <c r="AO1221">
        <f ca="1"/>
      </c>
      <c r="AP1221">
        <f ca="1"/>
      </c>
      <c r="AQ1221">
        <f ca="1"/>
      </c>
      <c r="AR1221">
        <f ca="1"/>
      </c>
      <c r="AT1221" s="7">
        <f ca="1"/>
      </c>
      <c r="AU1221">
        <f ca="1"/>
      </c>
      <c r="AV1221">
        <f ca="1"/>
      </c>
      <c r="AW1221">
        <f ca="1"/>
      </c>
      <c r="AX1221">
        <f ca="1"/>
      </c>
      <c r="AY1221">
        <f ca="1"/>
      </c>
      <c r="BA1221" s="7"/>
    </row>
    <row r="1222" spans="31:53" x14ac:dyDescent="0.55000000000000004">
      <c r="AE1222" s="7">
        <f ca="1"/>
      </c>
      <c r="AF1222">
        <f ca="1"/>
      </c>
      <c r="AG1222">
        <f ca="1"/>
      </c>
      <c r="AH1222">
        <f ca="1"/>
      </c>
      <c r="AI1222">
        <f ca="1"/>
      </c>
      <c r="AJ1222">
        <f ca="1"/>
      </c>
      <c r="AK1222">
        <f ca="1"/>
      </c>
      <c r="AL1222">
        <f ca="1"/>
      </c>
      <c r="AM1222">
        <f ca="1"/>
      </c>
      <c r="AN1222">
        <f ca="1"/>
      </c>
      <c r="AO1222">
        <f ca="1"/>
      </c>
      <c r="AP1222">
        <f ca="1"/>
      </c>
      <c r="AQ1222">
        <f ca="1"/>
      </c>
      <c r="AR1222">
        <f ca="1"/>
      </c>
      <c r="AT1222" s="7">
        <f ca="1"/>
      </c>
      <c r="AU1222">
        <f ca="1"/>
      </c>
      <c r="AV1222">
        <f ca="1"/>
      </c>
      <c r="AW1222">
        <f ca="1"/>
      </c>
      <c r="AX1222">
        <f ca="1"/>
      </c>
      <c r="AY1222">
        <f ca="1"/>
      </c>
      <c r="BA1222" s="7"/>
    </row>
    <row r="1223" spans="31:53" x14ac:dyDescent="0.55000000000000004">
      <c r="AE1223" s="7">
        <f ca="1"/>
      </c>
      <c r="AF1223">
        <f ca="1"/>
      </c>
      <c r="AG1223">
        <f ca="1"/>
      </c>
      <c r="AH1223">
        <f ca="1"/>
      </c>
      <c r="AI1223">
        <f ca="1"/>
      </c>
      <c r="AJ1223">
        <f ca="1"/>
      </c>
      <c r="AK1223">
        <f ca="1"/>
      </c>
      <c r="AL1223">
        <f ca="1"/>
      </c>
      <c r="AM1223">
        <f ca="1"/>
      </c>
      <c r="AN1223">
        <f ca="1"/>
      </c>
      <c r="AO1223">
        <f ca="1"/>
      </c>
      <c r="AP1223">
        <f ca="1"/>
      </c>
      <c r="AQ1223">
        <f ca="1"/>
      </c>
      <c r="AR1223">
        <f ca="1"/>
      </c>
      <c r="AT1223" s="7">
        <f ca="1"/>
      </c>
      <c r="AU1223">
        <f ca="1"/>
      </c>
      <c r="AV1223">
        <f ca="1"/>
      </c>
      <c r="AW1223">
        <f ca="1"/>
      </c>
      <c r="AX1223">
        <f ca="1"/>
      </c>
      <c r="AY1223">
        <f ca="1"/>
      </c>
      <c r="BA1223" s="7"/>
    </row>
    <row r="1224" spans="31:53" x14ac:dyDescent="0.55000000000000004">
      <c r="AE1224" s="7">
        <f ca="1"/>
      </c>
      <c r="AF1224">
        <f ca="1"/>
      </c>
      <c r="AG1224">
        <f ca="1"/>
      </c>
      <c r="AH1224">
        <f ca="1"/>
      </c>
      <c r="AI1224">
        <f ca="1"/>
      </c>
      <c r="AJ1224">
        <f ca="1"/>
      </c>
      <c r="AK1224">
        <f ca="1"/>
      </c>
      <c r="AL1224">
        <f ca="1"/>
      </c>
      <c r="AM1224">
        <f ca="1"/>
      </c>
      <c r="AN1224">
        <f ca="1"/>
      </c>
      <c r="AO1224">
        <f ca="1"/>
      </c>
      <c r="AP1224">
        <f ca="1"/>
      </c>
      <c r="AQ1224">
        <f ca="1"/>
      </c>
      <c r="AR1224">
        <f ca="1"/>
      </c>
      <c r="AT1224" s="7">
        <f ca="1"/>
      </c>
      <c r="AU1224">
        <f ca="1"/>
      </c>
      <c r="AV1224">
        <f ca="1"/>
      </c>
      <c r="AW1224">
        <f ca="1"/>
      </c>
      <c r="AX1224">
        <f ca="1"/>
      </c>
      <c r="AY1224">
        <f ca="1"/>
      </c>
      <c r="BA1224" s="7"/>
    </row>
    <row r="1225" spans="31:53" x14ac:dyDescent="0.55000000000000004">
      <c r="AE1225" s="7">
        <f ca="1"/>
      </c>
      <c r="AF1225">
        <f ca="1"/>
      </c>
      <c r="AG1225">
        <f ca="1"/>
      </c>
      <c r="AH1225">
        <f ca="1"/>
      </c>
      <c r="AI1225">
        <f ca="1"/>
      </c>
      <c r="AJ1225">
        <f ca="1"/>
      </c>
      <c r="AK1225">
        <f ca="1"/>
      </c>
      <c r="AL1225">
        <f ca="1"/>
      </c>
      <c r="AM1225">
        <f ca="1"/>
      </c>
      <c r="AN1225">
        <f ca="1"/>
      </c>
      <c r="AO1225">
        <f ca="1"/>
      </c>
      <c r="AP1225">
        <f ca="1"/>
      </c>
      <c r="AQ1225">
        <f ca="1"/>
      </c>
      <c r="AR1225">
        <f ca="1"/>
      </c>
      <c r="AT1225" s="7">
        <f ca="1"/>
      </c>
      <c r="AU1225">
        <f ca="1"/>
      </c>
      <c r="AV1225">
        <f ca="1"/>
      </c>
      <c r="AW1225">
        <f ca="1"/>
      </c>
      <c r="AX1225">
        <f ca="1"/>
      </c>
      <c r="AY1225">
        <f ca="1"/>
      </c>
      <c r="BA1225" s="7"/>
    </row>
    <row r="1226" spans="31:53" x14ac:dyDescent="0.55000000000000004">
      <c r="AE1226" s="7">
        <f ca="1"/>
      </c>
      <c r="AF1226">
        <f ca="1"/>
      </c>
      <c r="AG1226">
        <f ca="1"/>
      </c>
      <c r="AH1226">
        <f ca="1"/>
      </c>
      <c r="AI1226">
        <f ca="1"/>
      </c>
      <c r="AJ1226">
        <f ca="1"/>
      </c>
      <c r="AK1226">
        <f ca="1"/>
      </c>
      <c r="AL1226">
        <f ca="1"/>
      </c>
      <c r="AM1226">
        <f ca="1"/>
      </c>
      <c r="AN1226">
        <f ca="1"/>
      </c>
      <c r="AO1226">
        <f ca="1"/>
      </c>
      <c r="AP1226">
        <f ca="1"/>
      </c>
      <c r="AQ1226">
        <f ca="1"/>
      </c>
      <c r="AR1226">
        <f ca="1"/>
      </c>
      <c r="AT1226" s="7">
        <f ca="1"/>
      </c>
      <c r="AU1226">
        <f ca="1"/>
      </c>
      <c r="AV1226">
        <f ca="1"/>
      </c>
      <c r="AW1226">
        <f ca="1"/>
      </c>
      <c r="AX1226">
        <f ca="1"/>
      </c>
      <c r="AY1226">
        <f ca="1"/>
      </c>
      <c r="BA1226" s="7"/>
    </row>
    <row r="1227" spans="31:53" x14ac:dyDescent="0.55000000000000004">
      <c r="AE1227" s="7">
        <f ca="1"/>
      </c>
      <c r="AF1227">
        <f ca="1"/>
      </c>
      <c r="AG1227">
        <f ca="1"/>
      </c>
      <c r="AH1227">
        <f ca="1"/>
      </c>
      <c r="AI1227">
        <f ca="1"/>
      </c>
      <c r="AJ1227">
        <f ca="1"/>
      </c>
      <c r="AK1227">
        <f ca="1"/>
      </c>
      <c r="AL1227">
        <f ca="1"/>
      </c>
      <c r="AM1227">
        <f ca="1"/>
      </c>
      <c r="AN1227">
        <f ca="1"/>
      </c>
      <c r="AO1227">
        <f ca="1"/>
      </c>
      <c r="AP1227">
        <f ca="1"/>
      </c>
      <c r="AQ1227">
        <f ca="1"/>
      </c>
      <c r="AR1227">
        <f ca="1"/>
      </c>
      <c r="AT1227" s="7">
        <f ca="1"/>
      </c>
      <c r="AU1227">
        <f ca="1"/>
      </c>
      <c r="AV1227">
        <f ca="1"/>
      </c>
      <c r="AW1227">
        <f ca="1"/>
      </c>
      <c r="AX1227">
        <f ca="1"/>
      </c>
      <c r="AY1227">
        <f ca="1"/>
      </c>
      <c r="BA1227" s="7"/>
    </row>
    <row r="1228" spans="31:53" x14ac:dyDescent="0.55000000000000004">
      <c r="AE1228" s="7">
        <f ca="1"/>
      </c>
      <c r="AF1228">
        <f ca="1"/>
      </c>
      <c r="AG1228">
        <f ca="1"/>
      </c>
      <c r="AH1228">
        <f ca="1"/>
      </c>
      <c r="AI1228">
        <f ca="1"/>
      </c>
      <c r="AJ1228">
        <f ca="1"/>
      </c>
      <c r="AK1228">
        <f ca="1"/>
      </c>
      <c r="AL1228">
        <f ca="1"/>
      </c>
      <c r="AM1228">
        <f ca="1"/>
      </c>
      <c r="AN1228">
        <f ca="1"/>
      </c>
      <c r="AO1228">
        <f ca="1"/>
      </c>
      <c r="AP1228">
        <f ca="1"/>
      </c>
      <c r="AQ1228">
        <f ca="1"/>
      </c>
      <c r="AR1228">
        <f ca="1"/>
      </c>
      <c r="AT1228" s="7">
        <f ca="1"/>
      </c>
      <c r="AU1228">
        <f ca="1"/>
      </c>
      <c r="AV1228">
        <f ca="1"/>
      </c>
      <c r="AW1228">
        <f ca="1"/>
      </c>
      <c r="AX1228">
        <f ca="1"/>
      </c>
      <c r="AY1228">
        <f ca="1"/>
      </c>
      <c r="BA1228" s="7"/>
    </row>
    <row r="1229" spans="31:53" x14ac:dyDescent="0.55000000000000004">
      <c r="AE1229" s="7">
        <f ca="1"/>
      </c>
      <c r="AF1229">
        <f ca="1"/>
      </c>
      <c r="AG1229">
        <f ca="1"/>
      </c>
      <c r="AH1229">
        <f ca="1"/>
      </c>
      <c r="AI1229">
        <f ca="1"/>
      </c>
      <c r="AJ1229">
        <f ca="1"/>
      </c>
      <c r="AK1229">
        <f ca="1"/>
      </c>
      <c r="AL1229">
        <f ca="1"/>
      </c>
      <c r="AM1229">
        <f ca="1"/>
      </c>
      <c r="AN1229">
        <f ca="1"/>
      </c>
      <c r="AO1229">
        <f ca="1"/>
      </c>
      <c r="AP1229">
        <f ca="1"/>
      </c>
      <c r="AQ1229">
        <f ca="1"/>
      </c>
      <c r="AR1229">
        <f ca="1"/>
      </c>
      <c r="AT1229" s="7">
        <f ca="1"/>
      </c>
      <c r="AU1229">
        <f ca="1"/>
      </c>
      <c r="AV1229">
        <f ca="1"/>
      </c>
      <c r="AW1229">
        <f ca="1"/>
      </c>
      <c r="AX1229">
        <f ca="1"/>
      </c>
      <c r="AY1229">
        <f ca="1"/>
      </c>
      <c r="BA1229" s="7"/>
    </row>
    <row r="1230" spans="31:53" x14ac:dyDescent="0.55000000000000004">
      <c r="AE1230" s="7">
        <f ca="1"/>
      </c>
      <c r="AF1230">
        <f ca="1"/>
      </c>
      <c r="AG1230">
        <f ca="1"/>
      </c>
      <c r="AH1230">
        <f ca="1"/>
      </c>
      <c r="AI1230">
        <f ca="1"/>
      </c>
      <c r="AJ1230">
        <f ca="1"/>
      </c>
      <c r="AK1230">
        <f ca="1"/>
      </c>
      <c r="AL1230">
        <f ca="1"/>
      </c>
      <c r="AM1230">
        <f ca="1"/>
      </c>
      <c r="AN1230">
        <f ca="1"/>
      </c>
      <c r="AO1230">
        <f ca="1"/>
      </c>
      <c r="AP1230">
        <f ca="1"/>
      </c>
      <c r="AQ1230">
        <f ca="1"/>
      </c>
      <c r="AR1230">
        <f ca="1"/>
      </c>
      <c r="AT1230" s="7">
        <f ca="1"/>
      </c>
      <c r="AU1230">
        <f ca="1"/>
      </c>
      <c r="AV1230">
        <f ca="1"/>
      </c>
      <c r="AW1230">
        <f ca="1"/>
      </c>
      <c r="AX1230">
        <f ca="1"/>
      </c>
      <c r="AY1230">
        <f ca="1"/>
      </c>
      <c r="BA1230" s="7"/>
    </row>
    <row r="1231" spans="31:53" x14ac:dyDescent="0.55000000000000004">
      <c r="AE1231" s="7">
        <f ca="1"/>
      </c>
      <c r="AF1231">
        <f ca="1"/>
      </c>
      <c r="AG1231">
        <f ca="1"/>
      </c>
      <c r="AH1231">
        <f ca="1"/>
      </c>
      <c r="AI1231">
        <f ca="1"/>
      </c>
      <c r="AJ1231">
        <f ca="1"/>
      </c>
      <c r="AK1231">
        <f ca="1"/>
      </c>
      <c r="AL1231">
        <f ca="1"/>
      </c>
      <c r="AM1231">
        <f ca="1"/>
      </c>
      <c r="AN1231">
        <f ca="1"/>
      </c>
      <c r="AO1231">
        <f ca="1"/>
      </c>
      <c r="AP1231">
        <f ca="1"/>
      </c>
      <c r="AQ1231">
        <f ca="1"/>
      </c>
      <c r="AR1231">
        <f ca="1"/>
      </c>
      <c r="AT1231" s="7">
        <f ca="1"/>
      </c>
      <c r="AU1231">
        <f ca="1"/>
      </c>
      <c r="AV1231">
        <f ca="1"/>
      </c>
      <c r="AW1231">
        <f ca="1"/>
      </c>
      <c r="AX1231">
        <f ca="1"/>
      </c>
      <c r="AY1231">
        <f ca="1"/>
      </c>
      <c r="BA1231" s="7"/>
    </row>
    <row r="1232" spans="31:53" x14ac:dyDescent="0.55000000000000004">
      <c r="AE1232" s="7">
        <f ca="1"/>
      </c>
      <c r="AF1232">
        <f ca="1"/>
      </c>
      <c r="AG1232">
        <f ca="1"/>
      </c>
      <c r="AH1232">
        <f ca="1"/>
      </c>
      <c r="AI1232">
        <f ca="1"/>
      </c>
      <c r="AJ1232">
        <f ca="1"/>
      </c>
      <c r="AK1232">
        <f ca="1"/>
      </c>
      <c r="AL1232">
        <f ca="1"/>
      </c>
      <c r="AM1232">
        <f ca="1"/>
      </c>
      <c r="AN1232">
        <f ca="1"/>
      </c>
      <c r="AO1232">
        <f ca="1"/>
      </c>
      <c r="AP1232">
        <f ca="1"/>
      </c>
      <c r="AQ1232">
        <f ca="1"/>
      </c>
      <c r="AR1232">
        <f ca="1"/>
      </c>
      <c r="AT1232" s="7">
        <f ca="1"/>
      </c>
      <c r="AU1232">
        <f ca="1"/>
      </c>
      <c r="AV1232">
        <f ca="1"/>
      </c>
      <c r="AW1232">
        <f ca="1"/>
      </c>
      <c r="AX1232">
        <f ca="1"/>
      </c>
      <c r="AY1232">
        <f ca="1"/>
      </c>
      <c r="BA1232" s="7"/>
    </row>
    <row r="1233" spans="31:53" x14ac:dyDescent="0.55000000000000004">
      <c r="AE1233" s="7">
        <f ca="1"/>
      </c>
      <c r="AF1233">
        <f ca="1"/>
      </c>
      <c r="AG1233">
        <f ca="1"/>
      </c>
      <c r="AH1233">
        <f ca="1"/>
      </c>
      <c r="AI1233">
        <f ca="1"/>
      </c>
      <c r="AJ1233">
        <f ca="1"/>
      </c>
      <c r="AK1233">
        <f ca="1"/>
      </c>
      <c r="AL1233">
        <f ca="1"/>
      </c>
      <c r="AM1233">
        <f ca="1"/>
      </c>
      <c r="AN1233">
        <f ca="1"/>
      </c>
      <c r="AO1233">
        <f ca="1"/>
      </c>
      <c r="AP1233">
        <f ca="1"/>
      </c>
      <c r="AQ1233">
        <f ca="1"/>
      </c>
      <c r="AR1233">
        <f ca="1"/>
      </c>
      <c r="AT1233" s="7">
        <f ca="1"/>
      </c>
      <c r="AU1233">
        <f ca="1"/>
      </c>
      <c r="AV1233">
        <f ca="1"/>
      </c>
      <c r="AW1233">
        <f ca="1"/>
      </c>
      <c r="AX1233">
        <f ca="1"/>
      </c>
      <c r="AY1233">
        <f ca="1"/>
      </c>
      <c r="BA1233" s="7"/>
    </row>
    <row r="1234" spans="31:53" x14ac:dyDescent="0.55000000000000004">
      <c r="AE1234" s="7">
        <f ca="1"/>
      </c>
      <c r="AF1234">
        <f ca="1"/>
      </c>
      <c r="AG1234">
        <f ca="1"/>
      </c>
      <c r="AH1234">
        <f ca="1"/>
      </c>
      <c r="AI1234">
        <f ca="1"/>
      </c>
      <c r="AJ1234">
        <f ca="1"/>
      </c>
      <c r="AK1234">
        <f ca="1"/>
      </c>
      <c r="AL1234">
        <f ca="1"/>
      </c>
      <c r="AM1234">
        <f ca="1"/>
      </c>
      <c r="AN1234">
        <f ca="1"/>
      </c>
      <c r="AO1234">
        <f ca="1"/>
      </c>
      <c r="AP1234">
        <f ca="1"/>
      </c>
      <c r="AQ1234">
        <f ca="1"/>
      </c>
      <c r="AR1234">
        <f ca="1"/>
      </c>
      <c r="AT1234" s="7">
        <f ca="1"/>
      </c>
      <c r="AU1234">
        <f ca="1"/>
      </c>
      <c r="AV1234">
        <f ca="1"/>
      </c>
      <c r="AW1234">
        <f ca="1"/>
      </c>
      <c r="AX1234">
        <f ca="1"/>
      </c>
      <c r="AY1234">
        <f ca="1"/>
      </c>
      <c r="BA1234" s="7"/>
    </row>
    <row r="1235" spans="31:53" x14ac:dyDescent="0.55000000000000004">
      <c r="AE1235" s="7">
        <f ca="1"/>
      </c>
      <c r="AF1235">
        <f ca="1"/>
      </c>
      <c r="AG1235">
        <f ca="1"/>
      </c>
      <c r="AH1235">
        <f ca="1"/>
      </c>
      <c r="AI1235">
        <f ca="1"/>
      </c>
      <c r="AJ1235">
        <f ca="1"/>
      </c>
      <c r="AK1235">
        <f ca="1"/>
      </c>
      <c r="AL1235">
        <f ca="1"/>
      </c>
      <c r="AM1235">
        <f ca="1"/>
      </c>
      <c r="AN1235">
        <f ca="1"/>
      </c>
      <c r="AO1235">
        <f ca="1"/>
      </c>
      <c r="AP1235">
        <f ca="1"/>
      </c>
      <c r="AQ1235">
        <f ca="1"/>
      </c>
      <c r="AR1235">
        <f ca="1"/>
      </c>
      <c r="AT1235" s="7">
        <f ca="1"/>
      </c>
      <c r="AU1235">
        <f ca="1"/>
      </c>
      <c r="AV1235">
        <f ca="1"/>
      </c>
      <c r="AW1235">
        <f ca="1"/>
      </c>
      <c r="AX1235">
        <f ca="1"/>
      </c>
      <c r="AY1235">
        <f ca="1"/>
      </c>
      <c r="BA1235" s="7"/>
    </row>
    <row r="1236" spans="31:53" x14ac:dyDescent="0.55000000000000004">
      <c r="AE1236" s="7">
        <f ca="1"/>
      </c>
      <c r="AF1236">
        <f ca="1"/>
      </c>
      <c r="AG1236">
        <f ca="1"/>
      </c>
      <c r="AH1236">
        <f ca="1"/>
      </c>
      <c r="AI1236">
        <f ca="1"/>
      </c>
      <c r="AJ1236">
        <f ca="1"/>
      </c>
      <c r="AK1236">
        <f ca="1"/>
      </c>
      <c r="AL1236">
        <f ca="1"/>
      </c>
      <c r="AM1236">
        <f ca="1"/>
      </c>
      <c r="AN1236">
        <f ca="1"/>
      </c>
      <c r="AO1236">
        <f ca="1"/>
      </c>
      <c r="AP1236">
        <f ca="1"/>
      </c>
      <c r="AQ1236">
        <f ca="1"/>
      </c>
      <c r="AR1236">
        <f ca="1"/>
      </c>
      <c r="AT1236" s="7">
        <f ca="1"/>
      </c>
      <c r="AU1236">
        <f ca="1"/>
      </c>
      <c r="AV1236">
        <f ca="1"/>
      </c>
      <c r="AW1236">
        <f ca="1"/>
      </c>
      <c r="AX1236">
        <f ca="1"/>
      </c>
      <c r="AY1236">
        <f ca="1"/>
      </c>
      <c r="BA1236" s="7"/>
    </row>
    <row r="1237" spans="31:53" x14ac:dyDescent="0.55000000000000004">
      <c r="AE1237" s="7">
        <f ca="1"/>
      </c>
      <c r="AF1237">
        <f ca="1"/>
      </c>
      <c r="AG1237">
        <f ca="1"/>
      </c>
      <c r="AH1237">
        <f ca="1"/>
      </c>
      <c r="AI1237">
        <f ca="1"/>
      </c>
      <c r="AJ1237">
        <f ca="1"/>
      </c>
      <c r="AK1237">
        <f ca="1"/>
      </c>
      <c r="AL1237">
        <f ca="1"/>
      </c>
      <c r="AM1237">
        <f ca="1"/>
      </c>
      <c r="AN1237">
        <f ca="1"/>
      </c>
      <c r="AO1237">
        <f ca="1"/>
      </c>
      <c r="AP1237">
        <f ca="1"/>
      </c>
      <c r="AQ1237">
        <f ca="1"/>
      </c>
      <c r="AR1237">
        <f ca="1"/>
      </c>
      <c r="AT1237" s="7">
        <f ca="1"/>
      </c>
      <c r="AU1237">
        <f ca="1"/>
      </c>
      <c r="AV1237">
        <f ca="1"/>
      </c>
      <c r="AW1237">
        <f ca="1"/>
      </c>
      <c r="AX1237">
        <f ca="1"/>
      </c>
      <c r="AY1237">
        <f ca="1"/>
      </c>
      <c r="BA1237" s="7"/>
    </row>
    <row r="1238" spans="31:53" x14ac:dyDescent="0.55000000000000004">
      <c r="AE1238" s="7">
        <f ca="1"/>
      </c>
      <c r="AF1238">
        <f ca="1"/>
      </c>
      <c r="AG1238">
        <f ca="1"/>
      </c>
      <c r="AH1238">
        <f ca="1"/>
      </c>
      <c r="AI1238">
        <f ca="1"/>
      </c>
      <c r="AJ1238">
        <f ca="1"/>
      </c>
      <c r="AK1238">
        <f ca="1"/>
      </c>
      <c r="AL1238">
        <f ca="1"/>
      </c>
      <c r="AM1238">
        <f ca="1"/>
      </c>
      <c r="AN1238">
        <f ca="1"/>
      </c>
      <c r="AO1238">
        <f ca="1"/>
      </c>
      <c r="AP1238">
        <f ca="1"/>
      </c>
      <c r="AQ1238">
        <f ca="1"/>
      </c>
      <c r="AR1238">
        <f ca="1"/>
      </c>
      <c r="AT1238" s="7">
        <f ca="1"/>
      </c>
      <c r="AU1238">
        <f ca="1"/>
      </c>
      <c r="AV1238">
        <f ca="1"/>
      </c>
      <c r="AW1238">
        <f ca="1"/>
      </c>
      <c r="AX1238">
        <f ca="1"/>
      </c>
      <c r="AY1238">
        <f ca="1"/>
      </c>
      <c r="BA1238" s="7"/>
    </row>
    <row r="1239" spans="31:53" x14ac:dyDescent="0.55000000000000004">
      <c r="AE1239" s="7">
        <f ca="1"/>
      </c>
      <c r="AF1239">
        <f ca="1"/>
      </c>
      <c r="AG1239">
        <f ca="1"/>
      </c>
      <c r="AH1239">
        <f ca="1"/>
      </c>
      <c r="AI1239">
        <f ca="1"/>
      </c>
      <c r="AJ1239">
        <f ca="1"/>
      </c>
      <c r="AK1239">
        <f ca="1"/>
      </c>
      <c r="AL1239">
        <f ca="1"/>
      </c>
      <c r="AM1239">
        <f ca="1"/>
      </c>
      <c r="AN1239">
        <f ca="1"/>
      </c>
      <c r="AO1239">
        <f ca="1"/>
      </c>
      <c r="AP1239">
        <f ca="1"/>
      </c>
      <c r="AQ1239">
        <f ca="1"/>
      </c>
      <c r="AR1239">
        <f ca="1"/>
      </c>
      <c r="AT1239" s="7">
        <f ca="1"/>
      </c>
      <c r="AU1239">
        <f ca="1"/>
      </c>
      <c r="AV1239">
        <f ca="1"/>
      </c>
      <c r="AW1239">
        <f ca="1"/>
      </c>
      <c r="AX1239">
        <f ca="1"/>
      </c>
      <c r="AY1239">
        <f ca="1"/>
      </c>
      <c r="BA1239" s="7"/>
    </row>
    <row r="1240" spans="31:53" x14ac:dyDescent="0.55000000000000004">
      <c r="AE1240" s="7">
        <f ca="1"/>
      </c>
      <c r="AF1240">
        <f ca="1"/>
      </c>
      <c r="AG1240">
        <f ca="1"/>
      </c>
      <c r="AH1240">
        <f ca="1"/>
      </c>
      <c r="AI1240">
        <f ca="1"/>
      </c>
      <c r="AJ1240">
        <f ca="1"/>
      </c>
      <c r="AK1240">
        <f ca="1"/>
      </c>
      <c r="AL1240">
        <f ca="1"/>
      </c>
      <c r="AM1240">
        <f ca="1"/>
      </c>
      <c r="AN1240">
        <f ca="1"/>
      </c>
      <c r="AO1240">
        <f ca="1"/>
      </c>
      <c r="AP1240">
        <f ca="1"/>
      </c>
      <c r="AQ1240">
        <f ca="1"/>
      </c>
      <c r="AR1240">
        <f ca="1"/>
      </c>
      <c r="AT1240" s="7">
        <f ca="1"/>
      </c>
      <c r="AU1240">
        <f ca="1"/>
      </c>
      <c r="AV1240">
        <f ca="1"/>
      </c>
      <c r="AW1240">
        <f ca="1"/>
      </c>
      <c r="AX1240">
        <f ca="1"/>
      </c>
      <c r="AY1240">
        <f ca="1"/>
      </c>
      <c r="BA1240" s="7"/>
    </row>
    <row r="1241" spans="31:53" x14ac:dyDescent="0.55000000000000004">
      <c r="AE1241" s="7">
        <f ca="1"/>
      </c>
      <c r="AF1241">
        <f ca="1"/>
      </c>
      <c r="AG1241">
        <f ca="1"/>
      </c>
      <c r="AH1241">
        <f ca="1"/>
      </c>
      <c r="AI1241">
        <f ca="1"/>
      </c>
      <c r="AJ1241">
        <f ca="1"/>
      </c>
      <c r="AK1241">
        <f ca="1"/>
      </c>
      <c r="AL1241">
        <f ca="1"/>
      </c>
      <c r="AM1241">
        <f ca="1"/>
      </c>
      <c r="AN1241">
        <f ca="1"/>
      </c>
      <c r="AO1241">
        <f ca="1"/>
      </c>
      <c r="AP1241">
        <f ca="1"/>
      </c>
      <c r="AQ1241">
        <f ca="1"/>
      </c>
      <c r="AR1241">
        <f ca="1"/>
      </c>
      <c r="AT1241" s="7">
        <f ca="1"/>
      </c>
      <c r="AU1241">
        <f ca="1"/>
      </c>
      <c r="AV1241">
        <f ca="1"/>
      </c>
      <c r="AW1241">
        <f ca="1"/>
      </c>
      <c r="AX1241">
        <f ca="1"/>
      </c>
      <c r="AY1241">
        <f ca="1"/>
      </c>
      <c r="BA1241" s="7"/>
    </row>
    <row r="1242" spans="31:53" x14ac:dyDescent="0.55000000000000004">
      <c r="AE1242" s="7">
        <f ca="1"/>
      </c>
      <c r="AF1242">
        <f ca="1"/>
      </c>
      <c r="AG1242">
        <f ca="1"/>
      </c>
      <c r="AH1242">
        <f ca="1"/>
      </c>
      <c r="AI1242">
        <f ca="1"/>
      </c>
      <c r="AJ1242">
        <f ca="1"/>
      </c>
      <c r="AK1242">
        <f ca="1"/>
      </c>
      <c r="AL1242">
        <f ca="1"/>
      </c>
      <c r="AM1242">
        <f ca="1"/>
      </c>
      <c r="AN1242">
        <f ca="1"/>
      </c>
      <c r="AO1242">
        <f ca="1"/>
      </c>
      <c r="AP1242">
        <f ca="1"/>
      </c>
      <c r="AQ1242">
        <f ca="1"/>
      </c>
      <c r="AR1242">
        <f ca="1"/>
      </c>
      <c r="AT1242" s="7">
        <f ca="1"/>
      </c>
      <c r="AU1242">
        <f ca="1"/>
      </c>
      <c r="AV1242">
        <f ca="1"/>
      </c>
      <c r="AW1242">
        <f ca="1"/>
      </c>
      <c r="AX1242">
        <f ca="1"/>
      </c>
      <c r="AY1242">
        <f ca="1"/>
      </c>
      <c r="BA1242" s="7"/>
    </row>
    <row r="1243" spans="31:53" x14ac:dyDescent="0.55000000000000004">
      <c r="AE1243" s="7">
        <f ca="1"/>
      </c>
      <c r="AF1243">
        <f ca="1"/>
      </c>
      <c r="AG1243">
        <f ca="1"/>
      </c>
      <c r="AH1243">
        <f ca="1"/>
      </c>
      <c r="AI1243">
        <f ca="1"/>
      </c>
      <c r="AJ1243">
        <f ca="1"/>
      </c>
      <c r="AK1243">
        <f ca="1"/>
      </c>
      <c r="AL1243">
        <f ca="1"/>
      </c>
      <c r="AM1243">
        <f ca="1"/>
      </c>
      <c r="AN1243">
        <f ca="1"/>
      </c>
      <c r="AO1243">
        <f ca="1"/>
      </c>
      <c r="AP1243">
        <f ca="1"/>
      </c>
      <c r="AQ1243">
        <f ca="1"/>
      </c>
      <c r="AR1243">
        <f ca="1"/>
      </c>
      <c r="AT1243" s="7">
        <f ca="1"/>
      </c>
      <c r="AU1243">
        <f ca="1"/>
      </c>
      <c r="AV1243">
        <f ca="1"/>
      </c>
      <c r="AW1243">
        <f ca="1"/>
      </c>
      <c r="AX1243">
        <f ca="1"/>
      </c>
      <c r="AY1243">
        <f ca="1"/>
      </c>
      <c r="BA1243" s="7"/>
    </row>
    <row r="1244" spans="31:53" x14ac:dyDescent="0.55000000000000004">
      <c r="AE1244" s="7">
        <f ca="1"/>
      </c>
      <c r="AF1244">
        <f ca="1"/>
      </c>
      <c r="AG1244">
        <f ca="1"/>
      </c>
      <c r="AH1244">
        <f ca="1"/>
      </c>
      <c r="AI1244">
        <f ca="1"/>
      </c>
      <c r="AJ1244">
        <f ca="1"/>
      </c>
      <c r="AK1244">
        <f ca="1"/>
      </c>
      <c r="AL1244">
        <f ca="1"/>
      </c>
      <c r="AM1244">
        <f ca="1"/>
      </c>
      <c r="AN1244">
        <f ca="1"/>
      </c>
      <c r="AO1244">
        <f ca="1"/>
      </c>
      <c r="AP1244">
        <f ca="1"/>
      </c>
      <c r="AQ1244">
        <f ca="1"/>
      </c>
      <c r="AR1244">
        <f ca="1"/>
      </c>
      <c r="AT1244" s="7">
        <f ca="1"/>
      </c>
      <c r="AU1244">
        <f ca="1"/>
      </c>
      <c r="AV1244">
        <f ca="1"/>
      </c>
      <c r="AW1244">
        <f ca="1"/>
      </c>
      <c r="AX1244">
        <f ca="1"/>
      </c>
      <c r="AY1244">
        <f ca="1"/>
      </c>
      <c r="BA1244" s="7"/>
    </row>
    <row r="1245" spans="31:53" x14ac:dyDescent="0.55000000000000004">
      <c r="AE1245" s="7">
        <f ca="1"/>
      </c>
      <c r="AF1245">
        <f ca="1"/>
      </c>
      <c r="AG1245">
        <f ca="1"/>
      </c>
      <c r="AH1245">
        <f ca="1"/>
      </c>
      <c r="AI1245">
        <f ca="1"/>
      </c>
      <c r="AJ1245">
        <f ca="1"/>
      </c>
      <c r="AK1245">
        <f ca="1"/>
      </c>
      <c r="AL1245">
        <f ca="1"/>
      </c>
      <c r="AM1245">
        <f ca="1"/>
      </c>
      <c r="AN1245">
        <f ca="1"/>
      </c>
      <c r="AO1245">
        <f ca="1"/>
      </c>
      <c r="AP1245">
        <f ca="1"/>
      </c>
      <c r="AQ1245">
        <f ca="1"/>
      </c>
      <c r="AR1245">
        <f ca="1"/>
      </c>
      <c r="AT1245" s="7">
        <f ca="1"/>
      </c>
      <c r="AU1245">
        <f ca="1"/>
      </c>
      <c r="AV1245">
        <f ca="1"/>
      </c>
      <c r="AW1245">
        <f ca="1"/>
      </c>
      <c r="AX1245">
        <f ca="1"/>
      </c>
      <c r="AY1245">
        <f ca="1"/>
      </c>
      <c r="BA1245" s="7"/>
    </row>
    <row r="1246" spans="31:53" x14ac:dyDescent="0.55000000000000004">
      <c r="AE1246" s="7">
        <f ca="1"/>
      </c>
      <c r="AF1246">
        <f ca="1"/>
      </c>
      <c r="AG1246">
        <f ca="1"/>
      </c>
      <c r="AH1246">
        <f ca="1"/>
      </c>
      <c r="AI1246">
        <f ca="1"/>
      </c>
      <c r="AJ1246">
        <f ca="1"/>
      </c>
      <c r="AK1246">
        <f ca="1"/>
      </c>
      <c r="AL1246">
        <f ca="1"/>
      </c>
      <c r="AM1246">
        <f ca="1"/>
      </c>
      <c r="AN1246">
        <f ca="1"/>
      </c>
      <c r="AO1246">
        <f ca="1"/>
      </c>
      <c r="AP1246">
        <f ca="1"/>
      </c>
      <c r="AQ1246">
        <f ca="1"/>
      </c>
      <c r="AR1246">
        <f ca="1"/>
      </c>
      <c r="AT1246" s="7">
        <f ca="1"/>
      </c>
      <c r="AU1246">
        <f ca="1"/>
      </c>
      <c r="AV1246">
        <f ca="1"/>
      </c>
      <c r="AW1246">
        <f ca="1"/>
      </c>
      <c r="AX1246">
        <f ca="1"/>
      </c>
      <c r="AY1246">
        <f ca="1"/>
      </c>
      <c r="BA1246" s="7"/>
    </row>
    <row r="1247" spans="31:53" x14ac:dyDescent="0.55000000000000004">
      <c r="AE1247" s="7">
        <f ca="1"/>
      </c>
      <c r="AF1247">
        <f ca="1"/>
      </c>
      <c r="AG1247">
        <f ca="1"/>
      </c>
      <c r="AH1247">
        <f ca="1"/>
      </c>
      <c r="AI1247">
        <f ca="1"/>
      </c>
      <c r="AJ1247">
        <f ca="1"/>
      </c>
      <c r="AK1247">
        <f ca="1"/>
      </c>
      <c r="AL1247">
        <f ca="1"/>
      </c>
      <c r="AM1247">
        <f ca="1"/>
      </c>
      <c r="AN1247">
        <f ca="1"/>
      </c>
      <c r="AO1247">
        <f ca="1"/>
      </c>
      <c r="AP1247">
        <f ca="1"/>
      </c>
      <c r="AQ1247">
        <f ca="1"/>
      </c>
      <c r="AR1247">
        <f ca="1"/>
      </c>
      <c r="AT1247" s="7">
        <f ca="1"/>
      </c>
      <c r="AU1247">
        <f ca="1"/>
      </c>
      <c r="AV1247">
        <f ca="1"/>
      </c>
      <c r="AW1247">
        <f ca="1"/>
      </c>
      <c r="AX1247">
        <f ca="1"/>
      </c>
      <c r="AY1247">
        <f ca="1"/>
      </c>
      <c r="BA1247" s="7"/>
    </row>
    <row r="1248" spans="31:53" x14ac:dyDescent="0.55000000000000004">
      <c r="AE1248" s="7">
        <f ca="1"/>
      </c>
      <c r="AF1248">
        <f ca="1"/>
      </c>
      <c r="AG1248">
        <f ca="1"/>
      </c>
      <c r="AH1248">
        <f ca="1"/>
      </c>
      <c r="AI1248">
        <f ca="1"/>
      </c>
      <c r="AJ1248">
        <f ca="1"/>
      </c>
      <c r="AK1248">
        <f ca="1"/>
      </c>
      <c r="AL1248">
        <f ca="1"/>
      </c>
      <c r="AM1248">
        <f ca="1"/>
      </c>
      <c r="AN1248">
        <f ca="1"/>
      </c>
      <c r="AO1248">
        <f ca="1"/>
      </c>
      <c r="AP1248">
        <f ca="1"/>
      </c>
      <c r="AQ1248">
        <f ca="1"/>
      </c>
      <c r="AR1248">
        <f ca="1"/>
      </c>
      <c r="AT1248" s="7">
        <f ca="1"/>
      </c>
      <c r="AU1248">
        <f ca="1"/>
      </c>
      <c r="AV1248">
        <f ca="1"/>
      </c>
      <c r="AW1248">
        <f ca="1"/>
      </c>
      <c r="AX1248">
        <f ca="1"/>
      </c>
      <c r="AY1248">
        <f ca="1"/>
      </c>
      <c r="BA1248" s="7"/>
    </row>
    <row r="1249" spans="31:53" x14ac:dyDescent="0.55000000000000004">
      <c r="AE1249" s="7">
        <f ca="1"/>
      </c>
      <c r="AF1249">
        <f ca="1"/>
      </c>
      <c r="AG1249">
        <f ca="1"/>
      </c>
      <c r="AH1249">
        <f ca="1"/>
      </c>
      <c r="AI1249">
        <f ca="1"/>
      </c>
      <c r="AJ1249">
        <f ca="1"/>
      </c>
      <c r="AK1249">
        <f ca="1"/>
      </c>
      <c r="AL1249">
        <f ca="1"/>
      </c>
      <c r="AM1249">
        <f ca="1"/>
      </c>
      <c r="AN1249">
        <f ca="1"/>
      </c>
      <c r="AO1249">
        <f ca="1"/>
      </c>
      <c r="AP1249">
        <f ca="1"/>
      </c>
      <c r="AQ1249">
        <f ca="1"/>
      </c>
      <c r="AR1249">
        <f ca="1"/>
      </c>
      <c r="AT1249" s="7">
        <f ca="1"/>
      </c>
      <c r="AU1249">
        <f ca="1"/>
      </c>
      <c r="AV1249">
        <f ca="1"/>
      </c>
      <c r="AW1249">
        <f ca="1"/>
      </c>
      <c r="AX1249">
        <f ca="1"/>
      </c>
      <c r="AY1249">
        <f ca="1"/>
      </c>
      <c r="BA1249" s="7"/>
    </row>
    <row r="1250" spans="31:53" x14ac:dyDescent="0.55000000000000004">
      <c r="AE1250" s="7">
        <f ca="1"/>
      </c>
      <c r="AF1250">
        <f ca="1"/>
      </c>
      <c r="AG1250">
        <f ca="1"/>
      </c>
      <c r="AH1250">
        <f ca="1"/>
      </c>
      <c r="AI1250">
        <f ca="1"/>
      </c>
      <c r="AJ1250">
        <f ca="1"/>
      </c>
      <c r="AK1250">
        <f ca="1"/>
      </c>
      <c r="AL1250">
        <f ca="1"/>
      </c>
      <c r="AM1250">
        <f ca="1"/>
      </c>
      <c r="AN1250">
        <f ca="1"/>
      </c>
      <c r="AO1250">
        <f ca="1"/>
      </c>
      <c r="AP1250">
        <f ca="1"/>
      </c>
      <c r="AQ1250">
        <f ca="1"/>
      </c>
      <c r="AR1250">
        <f ca="1"/>
      </c>
      <c r="AT1250" s="7">
        <f ca="1"/>
      </c>
      <c r="AU1250">
        <f ca="1"/>
      </c>
      <c r="AV1250">
        <f ca="1"/>
      </c>
      <c r="AW1250">
        <f ca="1"/>
      </c>
      <c r="AX1250">
        <f ca="1"/>
      </c>
      <c r="AY1250">
        <f ca="1"/>
      </c>
      <c r="BA1250" s="7"/>
    </row>
    <row r="1251" spans="31:53" x14ac:dyDescent="0.55000000000000004">
      <c r="AE1251" s="7">
        <f ca="1"/>
      </c>
      <c r="AF1251">
        <f ca="1"/>
      </c>
      <c r="AG1251">
        <f ca="1"/>
      </c>
      <c r="AH1251">
        <f ca="1"/>
      </c>
      <c r="AI1251">
        <f ca="1"/>
      </c>
      <c r="AJ1251">
        <f ca="1"/>
      </c>
      <c r="AK1251">
        <f ca="1"/>
      </c>
      <c r="AL1251">
        <f ca="1"/>
      </c>
      <c r="AM1251">
        <f ca="1"/>
      </c>
      <c r="AN1251">
        <f ca="1"/>
      </c>
      <c r="AO1251">
        <f ca="1"/>
      </c>
      <c r="AP1251">
        <f ca="1"/>
      </c>
      <c r="AQ1251">
        <f ca="1"/>
      </c>
      <c r="AR1251">
        <f ca="1"/>
      </c>
      <c r="AT1251" s="7">
        <f ca="1"/>
      </c>
      <c r="AU1251">
        <f ca="1"/>
      </c>
      <c r="AV1251">
        <f ca="1"/>
      </c>
      <c r="AW1251">
        <f ca="1"/>
      </c>
      <c r="AX1251">
        <f ca="1"/>
      </c>
      <c r="AY1251">
        <f ca="1"/>
      </c>
      <c r="BA1251" s="7"/>
    </row>
    <row r="1252" spans="31:53" x14ac:dyDescent="0.55000000000000004">
      <c r="AE1252" s="7">
        <f ca="1"/>
      </c>
      <c r="AF1252">
        <f ca="1"/>
      </c>
      <c r="AG1252">
        <f ca="1"/>
      </c>
      <c r="AH1252">
        <f ca="1"/>
      </c>
      <c r="AI1252">
        <f ca="1"/>
      </c>
      <c r="AJ1252">
        <f ca="1"/>
      </c>
      <c r="AK1252">
        <f ca="1"/>
      </c>
      <c r="AL1252">
        <f ca="1"/>
      </c>
      <c r="AM1252">
        <f ca="1"/>
      </c>
      <c r="AN1252">
        <f ca="1"/>
      </c>
      <c r="AO1252">
        <f ca="1"/>
      </c>
      <c r="AP1252">
        <f ca="1"/>
      </c>
      <c r="AQ1252">
        <f ca="1"/>
      </c>
      <c r="AR1252">
        <f ca="1"/>
      </c>
      <c r="AT1252" s="7">
        <f ca="1"/>
      </c>
      <c r="AU1252">
        <f ca="1"/>
      </c>
      <c r="AV1252">
        <f ca="1"/>
      </c>
      <c r="AW1252">
        <f ca="1"/>
      </c>
      <c r="AX1252">
        <f ca="1"/>
      </c>
      <c r="AY1252">
        <f ca="1"/>
      </c>
      <c r="BA1252" s="7"/>
    </row>
    <row r="1253" spans="31:53" x14ac:dyDescent="0.55000000000000004">
      <c r="AE1253" s="7">
        <f ca="1"/>
      </c>
      <c r="AF1253">
        <f ca="1"/>
      </c>
      <c r="AG1253">
        <f ca="1"/>
      </c>
      <c r="AH1253">
        <f ca="1"/>
      </c>
      <c r="AI1253">
        <f ca="1"/>
      </c>
      <c r="AJ1253">
        <f ca="1"/>
      </c>
      <c r="AK1253">
        <f ca="1"/>
      </c>
      <c r="AL1253">
        <f ca="1"/>
      </c>
      <c r="AM1253">
        <f ca="1"/>
      </c>
      <c r="AN1253">
        <f ca="1"/>
      </c>
      <c r="AO1253">
        <f ca="1"/>
      </c>
      <c r="AP1253">
        <f ca="1"/>
      </c>
      <c r="AQ1253">
        <f ca="1"/>
      </c>
      <c r="AR1253">
        <f ca="1"/>
      </c>
      <c r="AT1253" s="7">
        <f ca="1"/>
      </c>
      <c r="AU1253">
        <f ca="1"/>
      </c>
      <c r="AV1253">
        <f ca="1"/>
      </c>
      <c r="AW1253">
        <f ca="1"/>
      </c>
      <c r="AX1253">
        <f ca="1"/>
      </c>
      <c r="AY1253">
        <f ca="1"/>
      </c>
      <c r="BA1253" s="7"/>
    </row>
    <row r="1254" spans="31:53" x14ac:dyDescent="0.55000000000000004">
      <c r="AE1254" s="7">
        <f ca="1"/>
      </c>
      <c r="AF1254">
        <f ca="1"/>
      </c>
      <c r="AG1254">
        <f ca="1"/>
      </c>
      <c r="AH1254">
        <f ca="1"/>
      </c>
      <c r="AI1254">
        <f ca="1"/>
      </c>
      <c r="AJ1254">
        <f ca="1"/>
      </c>
      <c r="AK1254">
        <f ca="1"/>
      </c>
      <c r="AL1254">
        <f ca="1"/>
      </c>
      <c r="AM1254">
        <f ca="1"/>
      </c>
      <c r="AN1254">
        <f ca="1"/>
      </c>
      <c r="AO1254">
        <f ca="1"/>
      </c>
      <c r="AP1254">
        <f ca="1"/>
      </c>
      <c r="AQ1254">
        <f ca="1"/>
      </c>
      <c r="AR1254">
        <f ca="1"/>
      </c>
      <c r="AT1254" s="7">
        <f ca="1"/>
      </c>
      <c r="AU1254">
        <f ca="1"/>
      </c>
      <c r="AV1254">
        <f ca="1"/>
      </c>
      <c r="AW1254">
        <f ca="1"/>
      </c>
      <c r="AX1254">
        <f ca="1"/>
      </c>
      <c r="AY1254">
        <f ca="1"/>
      </c>
      <c r="BA1254" s="7"/>
    </row>
    <row r="1255" spans="31:53" x14ac:dyDescent="0.55000000000000004">
      <c r="AE1255" s="7">
        <f ca="1"/>
      </c>
      <c r="AF1255">
        <f ca="1"/>
      </c>
      <c r="AG1255">
        <f ca="1"/>
      </c>
      <c r="AH1255">
        <f ca="1"/>
      </c>
      <c r="AI1255">
        <f ca="1"/>
      </c>
      <c r="AJ1255">
        <f ca="1"/>
      </c>
      <c r="AK1255">
        <f ca="1"/>
      </c>
      <c r="AL1255">
        <f ca="1"/>
      </c>
      <c r="AM1255">
        <f ca="1"/>
      </c>
      <c r="AN1255">
        <f ca="1"/>
      </c>
      <c r="AO1255">
        <f ca="1"/>
      </c>
      <c r="AP1255">
        <f ca="1"/>
      </c>
      <c r="AQ1255">
        <f ca="1"/>
      </c>
      <c r="AR1255">
        <f ca="1"/>
      </c>
      <c r="AT1255" s="7">
        <f ca="1"/>
      </c>
      <c r="AU1255">
        <f ca="1"/>
      </c>
      <c r="AV1255">
        <f ca="1"/>
      </c>
      <c r="AW1255">
        <f ca="1"/>
      </c>
      <c r="AX1255">
        <f ca="1"/>
      </c>
      <c r="AY1255">
        <f ca="1"/>
      </c>
      <c r="BA1255" s="7"/>
    </row>
    <row r="1256" spans="31:53" x14ac:dyDescent="0.55000000000000004">
      <c r="AE1256" s="7">
        <f ca="1"/>
      </c>
      <c r="AF1256">
        <f ca="1"/>
      </c>
      <c r="AG1256">
        <f ca="1"/>
      </c>
      <c r="AH1256">
        <f ca="1"/>
      </c>
      <c r="AI1256">
        <f ca="1"/>
      </c>
      <c r="AJ1256">
        <f ca="1"/>
      </c>
      <c r="AK1256">
        <f ca="1"/>
      </c>
      <c r="AL1256">
        <f ca="1"/>
      </c>
      <c r="AM1256">
        <f ca="1"/>
      </c>
      <c r="AN1256">
        <f ca="1"/>
      </c>
      <c r="AO1256">
        <f ca="1"/>
      </c>
      <c r="AP1256">
        <f ca="1"/>
      </c>
      <c r="AQ1256">
        <f ca="1"/>
      </c>
      <c r="AR1256">
        <f ca="1"/>
      </c>
      <c r="AT1256" s="7">
        <f ca="1"/>
      </c>
      <c r="AU1256">
        <f ca="1"/>
      </c>
      <c r="AV1256">
        <f ca="1"/>
      </c>
      <c r="AW1256">
        <f ca="1"/>
      </c>
      <c r="AX1256">
        <f ca="1"/>
      </c>
      <c r="AY1256">
        <f ca="1"/>
      </c>
      <c r="BA1256" s="7"/>
    </row>
    <row r="1257" spans="31:53" x14ac:dyDescent="0.55000000000000004">
      <c r="AE1257" s="7">
        <f ca="1"/>
      </c>
      <c r="AF1257">
        <f ca="1"/>
      </c>
      <c r="AG1257">
        <f ca="1"/>
      </c>
      <c r="AH1257">
        <f ca="1"/>
      </c>
      <c r="AI1257">
        <f ca="1"/>
      </c>
      <c r="AJ1257">
        <f ca="1"/>
      </c>
      <c r="AK1257">
        <f ca="1"/>
      </c>
      <c r="AL1257">
        <f ca="1"/>
      </c>
      <c r="AM1257">
        <f ca="1"/>
      </c>
      <c r="AN1257">
        <f ca="1"/>
      </c>
      <c r="AO1257">
        <f ca="1"/>
      </c>
      <c r="AP1257">
        <f ca="1"/>
      </c>
      <c r="AQ1257">
        <f ca="1"/>
      </c>
      <c r="AR1257">
        <f ca="1"/>
      </c>
      <c r="AT1257" s="7">
        <f ca="1"/>
      </c>
      <c r="AU1257">
        <f ca="1"/>
      </c>
      <c r="AV1257">
        <f ca="1"/>
      </c>
      <c r="AW1257">
        <f ca="1"/>
      </c>
      <c r="AX1257">
        <f ca="1"/>
      </c>
      <c r="AY1257">
        <f ca="1"/>
      </c>
      <c r="BA1257" s="7"/>
    </row>
    <row r="1258" spans="31:53" x14ac:dyDescent="0.55000000000000004">
      <c r="AE1258" s="7">
        <f ca="1"/>
      </c>
      <c r="AF1258">
        <f ca="1"/>
      </c>
      <c r="AG1258">
        <f ca="1"/>
      </c>
      <c r="AH1258">
        <f ca="1"/>
      </c>
      <c r="AI1258">
        <f ca="1"/>
      </c>
      <c r="AJ1258">
        <f ca="1"/>
      </c>
      <c r="AK1258">
        <f ca="1"/>
      </c>
      <c r="AL1258">
        <f ca="1"/>
      </c>
      <c r="AM1258">
        <f ca="1"/>
      </c>
      <c r="AN1258">
        <f ca="1"/>
      </c>
      <c r="AO1258">
        <f ca="1"/>
      </c>
      <c r="AP1258">
        <f ca="1"/>
      </c>
      <c r="AQ1258">
        <f ca="1"/>
      </c>
      <c r="AR1258">
        <f ca="1"/>
      </c>
      <c r="AT1258" s="7">
        <f ca="1"/>
      </c>
      <c r="AU1258">
        <f ca="1"/>
      </c>
      <c r="AV1258">
        <f ca="1"/>
      </c>
      <c r="AW1258">
        <f ca="1"/>
      </c>
      <c r="AX1258">
        <f ca="1"/>
      </c>
      <c r="AY1258">
        <f ca="1"/>
      </c>
      <c r="BA1258" s="7"/>
    </row>
    <row r="1259" spans="31:53" x14ac:dyDescent="0.55000000000000004">
      <c r="AE1259" s="7">
        <f ca="1"/>
      </c>
      <c r="AF1259">
        <f ca="1"/>
      </c>
      <c r="AG1259">
        <f ca="1"/>
      </c>
      <c r="AH1259">
        <f ca="1"/>
      </c>
      <c r="AI1259">
        <f ca="1"/>
      </c>
      <c r="AJ1259">
        <f ca="1"/>
      </c>
      <c r="AK1259">
        <f ca="1"/>
      </c>
      <c r="AL1259">
        <f ca="1"/>
      </c>
      <c r="AM1259">
        <f ca="1"/>
      </c>
      <c r="AN1259">
        <f ca="1"/>
      </c>
      <c r="AO1259">
        <f ca="1"/>
      </c>
      <c r="AP1259">
        <f ca="1"/>
      </c>
      <c r="AQ1259">
        <f ca="1"/>
      </c>
      <c r="AR1259">
        <f ca="1"/>
      </c>
      <c r="AT1259" s="7">
        <f ca="1"/>
      </c>
      <c r="AU1259">
        <f ca="1"/>
      </c>
      <c r="AV1259">
        <f ca="1"/>
      </c>
      <c r="AW1259">
        <f ca="1"/>
      </c>
      <c r="AX1259">
        <f ca="1"/>
      </c>
      <c r="AY1259">
        <f ca="1"/>
      </c>
      <c r="BA1259" s="7"/>
    </row>
    <row r="1260" spans="31:53" x14ac:dyDescent="0.55000000000000004">
      <c r="AE1260" s="7">
        <f ca="1"/>
      </c>
      <c r="AF1260">
        <f ca="1"/>
      </c>
      <c r="AG1260">
        <f ca="1"/>
      </c>
      <c r="AH1260">
        <f ca="1"/>
      </c>
      <c r="AI1260">
        <f ca="1"/>
      </c>
      <c r="AJ1260">
        <f ca="1"/>
      </c>
      <c r="AK1260">
        <f ca="1"/>
      </c>
      <c r="AL1260">
        <f ca="1"/>
      </c>
      <c r="AM1260">
        <f ca="1"/>
      </c>
      <c r="AN1260">
        <f ca="1"/>
      </c>
      <c r="AO1260">
        <f ca="1"/>
      </c>
      <c r="AP1260">
        <f ca="1"/>
      </c>
      <c r="AQ1260">
        <f ca="1"/>
      </c>
      <c r="AR1260">
        <f ca="1"/>
      </c>
      <c r="AT1260" s="7">
        <f ca="1"/>
      </c>
      <c r="AU1260">
        <f ca="1"/>
      </c>
      <c r="AV1260">
        <f ca="1"/>
      </c>
      <c r="AW1260">
        <f ca="1"/>
      </c>
      <c r="AX1260">
        <f ca="1"/>
      </c>
      <c r="AY1260">
        <f ca="1"/>
      </c>
      <c r="BA1260" s="7"/>
    </row>
    <row r="1261" spans="31:53" x14ac:dyDescent="0.55000000000000004">
      <c r="AE1261" s="7">
        <f ca="1"/>
      </c>
      <c r="AF1261">
        <f ca="1"/>
      </c>
      <c r="AG1261">
        <f ca="1"/>
      </c>
      <c r="AH1261">
        <f ca="1"/>
      </c>
      <c r="AI1261">
        <f ca="1"/>
      </c>
      <c r="AJ1261">
        <f ca="1"/>
      </c>
      <c r="AK1261">
        <f ca="1"/>
      </c>
      <c r="AL1261">
        <f ca="1"/>
      </c>
      <c r="AM1261">
        <f ca="1"/>
      </c>
      <c r="AN1261">
        <f ca="1"/>
      </c>
      <c r="AO1261">
        <f ca="1"/>
      </c>
      <c r="AP1261">
        <f ca="1"/>
      </c>
      <c r="AQ1261">
        <f ca="1"/>
      </c>
      <c r="AR1261">
        <f ca="1"/>
      </c>
      <c r="AT1261" s="7">
        <f ca="1"/>
      </c>
      <c r="AU1261">
        <f ca="1"/>
      </c>
      <c r="AV1261">
        <f ca="1"/>
      </c>
      <c r="AW1261">
        <f ca="1"/>
      </c>
      <c r="AX1261">
        <f ca="1"/>
      </c>
      <c r="AY1261">
        <f ca="1"/>
      </c>
      <c r="BA1261" s="7"/>
    </row>
    <row r="1262" spans="31:53" x14ac:dyDescent="0.55000000000000004">
      <c r="AE1262" s="7">
        <f ca="1"/>
      </c>
      <c r="AF1262">
        <f ca="1"/>
      </c>
      <c r="AG1262">
        <f ca="1"/>
      </c>
      <c r="AH1262">
        <f ca="1"/>
      </c>
      <c r="AI1262">
        <f ca="1"/>
      </c>
      <c r="AJ1262">
        <f ca="1"/>
      </c>
      <c r="AK1262">
        <f ca="1"/>
      </c>
      <c r="AL1262">
        <f ca="1"/>
      </c>
      <c r="AM1262">
        <f ca="1"/>
      </c>
      <c r="AN1262">
        <f ca="1"/>
      </c>
      <c r="AO1262">
        <f ca="1"/>
      </c>
      <c r="AP1262">
        <f ca="1"/>
      </c>
      <c r="AQ1262">
        <f ca="1"/>
      </c>
      <c r="AR1262">
        <f ca="1"/>
      </c>
      <c r="AT1262" s="7">
        <f ca="1"/>
      </c>
      <c r="AU1262">
        <f ca="1"/>
      </c>
      <c r="AV1262">
        <f ca="1"/>
      </c>
      <c r="AW1262">
        <f ca="1"/>
      </c>
      <c r="AX1262">
        <f ca="1"/>
      </c>
      <c r="AY1262">
        <f ca="1"/>
      </c>
      <c r="BA1262" s="7"/>
    </row>
    <row r="1263" spans="31:53" x14ac:dyDescent="0.55000000000000004">
      <c r="AE1263" s="7">
        <f ca="1"/>
      </c>
      <c r="AF1263">
        <f ca="1"/>
      </c>
      <c r="AG1263">
        <f ca="1"/>
      </c>
      <c r="AH1263">
        <f ca="1"/>
      </c>
      <c r="AI1263">
        <f ca="1"/>
      </c>
      <c r="AJ1263">
        <f ca="1"/>
      </c>
      <c r="AK1263">
        <f ca="1"/>
      </c>
      <c r="AL1263">
        <f ca="1"/>
      </c>
      <c r="AM1263">
        <f ca="1"/>
      </c>
      <c r="AN1263">
        <f ca="1"/>
      </c>
      <c r="AO1263">
        <f ca="1"/>
      </c>
      <c r="AP1263">
        <f ca="1"/>
      </c>
      <c r="AQ1263">
        <f ca="1"/>
      </c>
      <c r="AR1263">
        <f ca="1"/>
      </c>
      <c r="AT1263" s="7">
        <f ca="1"/>
      </c>
      <c r="AU1263">
        <f ca="1"/>
      </c>
      <c r="AV1263">
        <f ca="1"/>
      </c>
      <c r="AW1263">
        <f ca="1"/>
      </c>
      <c r="AX1263">
        <f ca="1"/>
      </c>
      <c r="AY1263">
        <f ca="1"/>
      </c>
      <c r="BA1263" s="7"/>
    </row>
    <row r="1264" spans="31:53" x14ac:dyDescent="0.55000000000000004">
      <c r="AE1264" s="7">
        <f ca="1"/>
      </c>
      <c r="AF1264">
        <f ca="1"/>
      </c>
      <c r="AG1264">
        <f ca="1"/>
      </c>
      <c r="AH1264">
        <f ca="1"/>
      </c>
      <c r="AI1264">
        <f ca="1"/>
      </c>
      <c r="AJ1264">
        <f ca="1"/>
      </c>
      <c r="AK1264">
        <f ca="1"/>
      </c>
      <c r="AL1264">
        <f ca="1"/>
      </c>
      <c r="AM1264">
        <f ca="1"/>
      </c>
      <c r="AN1264">
        <f ca="1"/>
      </c>
      <c r="AO1264">
        <f ca="1"/>
      </c>
      <c r="AP1264">
        <f ca="1"/>
      </c>
      <c r="AQ1264">
        <f ca="1"/>
      </c>
      <c r="AR1264">
        <f ca="1"/>
      </c>
      <c r="AT1264" s="7">
        <f ca="1"/>
      </c>
      <c r="AU1264">
        <f ca="1"/>
      </c>
      <c r="AV1264">
        <f ca="1"/>
      </c>
      <c r="AW1264">
        <f ca="1"/>
      </c>
      <c r="AX1264">
        <f ca="1"/>
      </c>
      <c r="AY1264">
        <f ca="1"/>
      </c>
      <c r="BA1264" s="7"/>
    </row>
    <row r="1265" spans="31:53" x14ac:dyDescent="0.55000000000000004">
      <c r="AE1265" s="7">
        <f ca="1"/>
      </c>
      <c r="AF1265">
        <f ca="1"/>
      </c>
      <c r="AG1265">
        <f ca="1"/>
      </c>
      <c r="AH1265">
        <f ca="1"/>
      </c>
      <c r="AI1265">
        <f ca="1"/>
      </c>
      <c r="AJ1265">
        <f ca="1"/>
      </c>
      <c r="AK1265">
        <f ca="1"/>
      </c>
      <c r="AL1265">
        <f ca="1"/>
      </c>
      <c r="AM1265">
        <f ca="1"/>
      </c>
      <c r="AN1265">
        <f ca="1"/>
      </c>
      <c r="AO1265">
        <f ca="1"/>
      </c>
      <c r="AP1265">
        <f ca="1"/>
      </c>
      <c r="AQ1265">
        <f ca="1"/>
      </c>
      <c r="AR1265">
        <f ca="1"/>
      </c>
      <c r="AT1265" s="7">
        <f ca="1"/>
      </c>
      <c r="AU1265">
        <f ca="1"/>
      </c>
      <c r="AV1265">
        <f ca="1"/>
      </c>
      <c r="AW1265">
        <f ca="1"/>
      </c>
      <c r="AX1265">
        <f ca="1"/>
      </c>
      <c r="AY1265">
        <f ca="1"/>
      </c>
      <c r="BA1265" s="7"/>
    </row>
    <row r="1266" spans="31:53" x14ac:dyDescent="0.55000000000000004">
      <c r="AE1266" s="7">
        <f ca="1"/>
      </c>
      <c r="AF1266">
        <f ca="1"/>
      </c>
      <c r="AG1266">
        <f ca="1"/>
      </c>
      <c r="AH1266">
        <f ca="1"/>
      </c>
      <c r="AI1266">
        <f ca="1"/>
      </c>
      <c r="AJ1266">
        <f ca="1"/>
      </c>
      <c r="AK1266">
        <f ca="1"/>
      </c>
      <c r="AL1266">
        <f ca="1"/>
      </c>
      <c r="AM1266">
        <f ca="1"/>
      </c>
      <c r="AN1266">
        <f ca="1"/>
      </c>
      <c r="AO1266">
        <f ca="1"/>
      </c>
      <c r="AP1266">
        <f ca="1"/>
      </c>
      <c r="AQ1266">
        <f ca="1"/>
      </c>
      <c r="AR1266">
        <f ca="1"/>
      </c>
      <c r="AT1266" s="7">
        <f ca="1"/>
      </c>
      <c r="AU1266">
        <f ca="1"/>
      </c>
      <c r="AV1266">
        <f ca="1"/>
      </c>
      <c r="AW1266">
        <f ca="1"/>
      </c>
      <c r="AX1266">
        <f ca="1"/>
      </c>
      <c r="AY1266">
        <f ca="1"/>
      </c>
      <c r="BA1266" s="7"/>
    </row>
    <row r="1267" spans="31:53" x14ac:dyDescent="0.55000000000000004">
      <c r="AE1267" s="7">
        <f ca="1"/>
      </c>
      <c r="AF1267">
        <f ca="1"/>
      </c>
      <c r="AG1267">
        <f ca="1"/>
      </c>
      <c r="AH1267">
        <f ca="1"/>
      </c>
      <c r="AI1267">
        <f ca="1"/>
      </c>
      <c r="AJ1267">
        <f ca="1"/>
      </c>
      <c r="AK1267">
        <f ca="1"/>
      </c>
      <c r="AL1267">
        <f ca="1"/>
      </c>
      <c r="AM1267">
        <f ca="1"/>
      </c>
      <c r="AN1267">
        <f ca="1"/>
      </c>
      <c r="AO1267">
        <f ca="1"/>
      </c>
      <c r="AP1267">
        <f ca="1"/>
      </c>
      <c r="AQ1267">
        <f ca="1"/>
      </c>
      <c r="AR1267">
        <f ca="1"/>
      </c>
      <c r="AT1267" s="7">
        <f ca="1"/>
      </c>
      <c r="AU1267">
        <f ca="1"/>
      </c>
      <c r="AV1267">
        <f ca="1"/>
      </c>
      <c r="AW1267">
        <f ca="1"/>
      </c>
      <c r="AX1267">
        <f ca="1"/>
      </c>
      <c r="AY1267">
        <f ca="1"/>
      </c>
      <c r="BA1267" s="7"/>
    </row>
    <row r="1268" spans="31:53" x14ac:dyDescent="0.55000000000000004">
      <c r="AE1268" s="7">
        <f ca="1"/>
      </c>
      <c r="AF1268">
        <f ca="1"/>
      </c>
      <c r="AG1268">
        <f ca="1"/>
      </c>
      <c r="AH1268">
        <f ca="1"/>
      </c>
      <c r="AI1268">
        <f ca="1"/>
      </c>
      <c r="AJ1268">
        <f ca="1"/>
      </c>
      <c r="AK1268">
        <f ca="1"/>
      </c>
      <c r="AL1268">
        <f ca="1"/>
      </c>
      <c r="AM1268">
        <f ca="1"/>
      </c>
      <c r="AN1268">
        <f ca="1"/>
      </c>
      <c r="AO1268">
        <f ca="1"/>
      </c>
      <c r="AP1268">
        <f ca="1"/>
      </c>
      <c r="AQ1268">
        <f ca="1"/>
      </c>
      <c r="AR1268">
        <f ca="1"/>
      </c>
      <c r="AT1268" s="7">
        <f ca="1"/>
      </c>
      <c r="AU1268">
        <f ca="1"/>
      </c>
      <c r="AV1268">
        <f ca="1"/>
      </c>
      <c r="AW1268">
        <f ca="1"/>
      </c>
      <c r="AX1268">
        <f ca="1"/>
      </c>
      <c r="AY1268">
        <f ca="1"/>
      </c>
      <c r="BA1268" s="7"/>
    </row>
    <row r="1269" spans="31:53" x14ac:dyDescent="0.55000000000000004">
      <c r="AE1269" s="7">
        <f ca="1"/>
      </c>
      <c r="AF1269">
        <f ca="1"/>
      </c>
      <c r="AG1269">
        <f ca="1"/>
      </c>
      <c r="AH1269">
        <f ca="1"/>
      </c>
      <c r="AI1269">
        <f ca="1"/>
      </c>
      <c r="AJ1269">
        <f ca="1"/>
      </c>
      <c r="AK1269">
        <f ca="1"/>
      </c>
      <c r="AL1269">
        <f ca="1"/>
      </c>
      <c r="AM1269">
        <f ca="1"/>
      </c>
      <c r="AN1269">
        <f ca="1"/>
      </c>
      <c r="AO1269">
        <f ca="1"/>
      </c>
      <c r="AP1269">
        <f ca="1"/>
      </c>
      <c r="AQ1269">
        <f ca="1"/>
      </c>
      <c r="AR1269">
        <f ca="1"/>
      </c>
      <c r="AT1269" s="7">
        <f ca="1"/>
      </c>
      <c r="AU1269">
        <f ca="1"/>
      </c>
      <c r="AV1269">
        <f ca="1"/>
      </c>
      <c r="AW1269">
        <f ca="1"/>
      </c>
      <c r="AX1269">
        <f ca="1"/>
      </c>
      <c r="AY1269">
        <f ca="1"/>
      </c>
      <c r="BA1269" s="7"/>
    </row>
    <row r="1270" spans="31:53" x14ac:dyDescent="0.55000000000000004">
      <c r="AE1270" s="7">
        <f ca="1"/>
      </c>
      <c r="AF1270">
        <f ca="1"/>
      </c>
      <c r="AG1270">
        <f ca="1"/>
      </c>
      <c r="AH1270">
        <f ca="1"/>
      </c>
      <c r="AI1270">
        <f ca="1"/>
      </c>
      <c r="AJ1270">
        <f ca="1"/>
      </c>
      <c r="AK1270">
        <f ca="1"/>
      </c>
      <c r="AL1270">
        <f ca="1"/>
      </c>
      <c r="AM1270">
        <f ca="1"/>
      </c>
      <c r="AN1270">
        <f ca="1"/>
      </c>
      <c r="AO1270">
        <f ca="1"/>
      </c>
      <c r="AP1270">
        <f ca="1"/>
      </c>
      <c r="AQ1270">
        <f ca="1"/>
      </c>
      <c r="AR1270">
        <f ca="1"/>
      </c>
      <c r="AT1270" s="7">
        <f ca="1"/>
      </c>
      <c r="AU1270">
        <f ca="1"/>
      </c>
      <c r="AV1270">
        <f ca="1"/>
      </c>
      <c r="AW1270">
        <f ca="1"/>
      </c>
      <c r="AX1270">
        <f ca="1"/>
      </c>
      <c r="AY1270">
        <f ca="1"/>
      </c>
      <c r="BA1270" s="7"/>
    </row>
    <row r="1271" spans="31:53" x14ac:dyDescent="0.55000000000000004">
      <c r="AE1271" s="7">
        <f ca="1"/>
      </c>
      <c r="AF1271">
        <f ca="1"/>
      </c>
      <c r="AG1271">
        <f ca="1"/>
      </c>
      <c r="AH1271">
        <f ca="1"/>
      </c>
      <c r="AI1271">
        <f ca="1"/>
      </c>
      <c r="AJ1271">
        <f ca="1"/>
      </c>
      <c r="AK1271">
        <f ca="1"/>
      </c>
      <c r="AL1271">
        <f ca="1"/>
      </c>
      <c r="AM1271">
        <f ca="1"/>
      </c>
      <c r="AN1271">
        <f ca="1"/>
      </c>
      <c r="AO1271">
        <f ca="1"/>
      </c>
      <c r="AP1271">
        <f ca="1"/>
      </c>
      <c r="AQ1271">
        <f ca="1"/>
      </c>
      <c r="AR1271">
        <f ca="1"/>
      </c>
      <c r="AT1271" s="7">
        <f ca="1"/>
      </c>
      <c r="AU1271">
        <f ca="1"/>
      </c>
      <c r="AV1271">
        <f ca="1"/>
      </c>
      <c r="AW1271">
        <f ca="1"/>
      </c>
      <c r="AX1271">
        <f ca="1"/>
      </c>
      <c r="AY1271">
        <f ca="1"/>
      </c>
      <c r="BA1271" s="7"/>
    </row>
    <row r="1272" spans="31:53" x14ac:dyDescent="0.55000000000000004">
      <c r="AE1272" s="7">
        <f ca="1"/>
      </c>
      <c r="AF1272">
        <f ca="1"/>
      </c>
      <c r="AG1272">
        <f ca="1"/>
      </c>
      <c r="AH1272">
        <f ca="1"/>
      </c>
      <c r="AI1272">
        <f ca="1"/>
      </c>
      <c r="AJ1272">
        <f ca="1"/>
      </c>
      <c r="AK1272">
        <f ca="1"/>
      </c>
      <c r="AL1272">
        <f ca="1"/>
      </c>
      <c r="AM1272">
        <f ca="1"/>
      </c>
      <c r="AN1272">
        <f ca="1"/>
      </c>
      <c r="AO1272">
        <f ca="1"/>
      </c>
      <c r="AP1272">
        <f ca="1"/>
      </c>
      <c r="AQ1272">
        <f ca="1"/>
      </c>
      <c r="AR1272">
        <f ca="1"/>
      </c>
      <c r="AT1272" s="7">
        <f ca="1"/>
      </c>
      <c r="AU1272">
        <f ca="1"/>
      </c>
      <c r="AV1272">
        <f ca="1"/>
      </c>
      <c r="AW1272">
        <f ca="1"/>
      </c>
      <c r="AX1272">
        <f ca="1"/>
      </c>
      <c r="AY1272">
        <f ca="1"/>
      </c>
      <c r="BA1272" s="7"/>
    </row>
    <row r="1273" spans="31:53" x14ac:dyDescent="0.55000000000000004">
      <c r="AE1273" s="7">
        <f ca="1"/>
      </c>
      <c r="AF1273">
        <f ca="1"/>
      </c>
      <c r="AG1273">
        <f ca="1"/>
      </c>
      <c r="AH1273">
        <f ca="1"/>
      </c>
      <c r="AI1273">
        <f ca="1"/>
      </c>
      <c r="AJ1273">
        <f ca="1"/>
      </c>
      <c r="AK1273">
        <f ca="1"/>
      </c>
      <c r="AL1273">
        <f ca="1"/>
      </c>
      <c r="AM1273">
        <f ca="1"/>
      </c>
      <c r="AN1273">
        <f ca="1"/>
      </c>
      <c r="AO1273">
        <f ca="1"/>
      </c>
      <c r="AP1273">
        <f ca="1"/>
      </c>
      <c r="AQ1273">
        <f ca="1"/>
      </c>
      <c r="AR1273">
        <f ca="1"/>
      </c>
      <c r="AT1273" s="7">
        <f ca="1"/>
      </c>
      <c r="AU1273">
        <f ca="1"/>
      </c>
      <c r="AV1273">
        <f ca="1"/>
      </c>
      <c r="AW1273">
        <f ca="1"/>
      </c>
      <c r="AX1273">
        <f ca="1"/>
      </c>
      <c r="AY1273">
        <f ca="1"/>
      </c>
      <c r="BA1273" s="7"/>
    </row>
    <row r="1274" spans="31:53" x14ac:dyDescent="0.55000000000000004">
      <c r="AE1274" s="7">
        <f ca="1"/>
      </c>
      <c r="AF1274">
        <f ca="1"/>
      </c>
      <c r="AG1274">
        <f ca="1"/>
      </c>
      <c r="AH1274">
        <f ca="1"/>
      </c>
      <c r="AI1274">
        <f ca="1"/>
      </c>
      <c r="AJ1274">
        <f ca="1"/>
      </c>
      <c r="AK1274">
        <f ca="1"/>
      </c>
      <c r="AL1274">
        <f ca="1"/>
      </c>
      <c r="AM1274">
        <f ca="1"/>
      </c>
      <c r="AN1274">
        <f ca="1"/>
      </c>
      <c r="AO1274">
        <f ca="1"/>
      </c>
      <c r="AP1274">
        <f ca="1"/>
      </c>
      <c r="AQ1274">
        <f ca="1"/>
      </c>
      <c r="AR1274">
        <f ca="1"/>
      </c>
      <c r="AT1274" s="7">
        <f ca="1"/>
      </c>
      <c r="AU1274">
        <f ca="1"/>
      </c>
      <c r="AV1274">
        <f ca="1"/>
      </c>
      <c r="AW1274">
        <f ca="1"/>
      </c>
      <c r="AX1274">
        <f ca="1"/>
      </c>
      <c r="AY1274">
        <f ca="1"/>
      </c>
      <c r="BA1274" s="7"/>
    </row>
    <row r="1275" spans="31:53" x14ac:dyDescent="0.55000000000000004">
      <c r="AE1275" s="7">
        <f ca="1"/>
      </c>
      <c r="AF1275">
        <f ca="1"/>
      </c>
      <c r="AG1275">
        <f ca="1"/>
      </c>
      <c r="AH1275">
        <f ca="1"/>
      </c>
      <c r="AI1275">
        <f ca="1"/>
      </c>
      <c r="AJ1275">
        <f ca="1"/>
      </c>
      <c r="AK1275">
        <f ca="1"/>
      </c>
      <c r="AL1275">
        <f ca="1"/>
      </c>
      <c r="AM1275">
        <f ca="1"/>
      </c>
      <c r="AN1275">
        <f ca="1"/>
      </c>
      <c r="AO1275">
        <f ca="1"/>
      </c>
      <c r="AP1275">
        <f ca="1"/>
      </c>
      <c r="AQ1275">
        <f ca="1"/>
      </c>
      <c r="AR1275">
        <f ca="1"/>
      </c>
      <c r="AT1275" s="7">
        <f ca="1"/>
      </c>
      <c r="AU1275">
        <f ca="1"/>
      </c>
      <c r="AV1275">
        <f ca="1"/>
      </c>
      <c r="AW1275">
        <f ca="1"/>
      </c>
      <c r="AX1275">
        <f ca="1"/>
      </c>
      <c r="AY1275">
        <f ca="1"/>
      </c>
      <c r="BA1275" s="7"/>
    </row>
    <row r="1276" spans="31:53" x14ac:dyDescent="0.55000000000000004">
      <c r="AE1276" s="7">
        <f ca="1"/>
      </c>
      <c r="AF1276">
        <f ca="1"/>
      </c>
      <c r="AG1276">
        <f ca="1"/>
      </c>
      <c r="AH1276">
        <f ca="1"/>
      </c>
      <c r="AI1276">
        <f ca="1"/>
      </c>
      <c r="AJ1276">
        <f ca="1"/>
      </c>
      <c r="AK1276">
        <f ca="1"/>
      </c>
      <c r="AL1276">
        <f ca="1"/>
      </c>
      <c r="AM1276">
        <f ca="1"/>
      </c>
      <c r="AN1276">
        <f ca="1"/>
      </c>
      <c r="AO1276">
        <f ca="1"/>
      </c>
      <c r="AP1276">
        <f ca="1"/>
      </c>
      <c r="AQ1276">
        <f ca="1"/>
      </c>
      <c r="AR1276">
        <f ca="1"/>
      </c>
      <c r="AT1276" s="7">
        <f ca="1"/>
      </c>
      <c r="AU1276">
        <f ca="1"/>
      </c>
      <c r="AV1276">
        <f ca="1"/>
      </c>
      <c r="AW1276">
        <f ca="1"/>
      </c>
      <c r="AX1276">
        <f ca="1"/>
      </c>
      <c r="AY1276">
        <f ca="1"/>
      </c>
      <c r="BA1276" s="7"/>
    </row>
    <row r="1277" spans="31:53" x14ac:dyDescent="0.55000000000000004">
      <c r="AE1277" s="7">
        <f ca="1"/>
      </c>
      <c r="AF1277">
        <f ca="1"/>
      </c>
      <c r="AG1277">
        <f ca="1"/>
      </c>
      <c r="AH1277">
        <f ca="1"/>
      </c>
      <c r="AI1277">
        <f ca="1"/>
      </c>
      <c r="AJ1277">
        <f ca="1"/>
      </c>
      <c r="AK1277">
        <f ca="1"/>
      </c>
      <c r="AL1277">
        <f ca="1"/>
      </c>
      <c r="AM1277">
        <f ca="1"/>
      </c>
      <c r="AN1277">
        <f ca="1"/>
      </c>
      <c r="AO1277">
        <f ca="1"/>
      </c>
      <c r="AP1277">
        <f ca="1"/>
      </c>
      <c r="AQ1277">
        <f ca="1"/>
      </c>
      <c r="AR1277">
        <f ca="1"/>
      </c>
      <c r="AT1277" s="7">
        <f ca="1"/>
      </c>
      <c r="AU1277">
        <f ca="1"/>
      </c>
      <c r="AV1277">
        <f ca="1"/>
      </c>
      <c r="AW1277">
        <f ca="1"/>
      </c>
      <c r="AX1277">
        <f ca="1"/>
      </c>
      <c r="AY1277">
        <f ca="1"/>
      </c>
      <c r="BA1277" s="7"/>
    </row>
    <row r="1278" spans="31:53" x14ac:dyDescent="0.55000000000000004">
      <c r="AE1278" s="7">
        <f ca="1"/>
      </c>
      <c r="AF1278">
        <f ca="1"/>
      </c>
      <c r="AG1278">
        <f ca="1"/>
      </c>
      <c r="AH1278">
        <f ca="1"/>
      </c>
      <c r="AI1278">
        <f ca="1"/>
      </c>
      <c r="AJ1278">
        <f ca="1"/>
      </c>
      <c r="AK1278">
        <f ca="1"/>
      </c>
      <c r="AL1278">
        <f ca="1"/>
      </c>
      <c r="AM1278">
        <f ca="1"/>
      </c>
      <c r="AN1278">
        <f ca="1"/>
      </c>
      <c r="AO1278">
        <f ca="1"/>
      </c>
      <c r="AP1278">
        <f ca="1"/>
      </c>
      <c r="AQ1278">
        <f ca="1"/>
      </c>
      <c r="AR1278">
        <f ca="1"/>
      </c>
      <c r="AT1278" s="7">
        <f ca="1"/>
      </c>
      <c r="AU1278">
        <f ca="1"/>
      </c>
      <c r="AV1278">
        <f ca="1"/>
      </c>
      <c r="AW1278">
        <f ca="1"/>
      </c>
      <c r="AX1278">
        <f ca="1"/>
      </c>
      <c r="AY1278">
        <f ca="1"/>
      </c>
      <c r="BA1278" s="7"/>
    </row>
    <row r="1279" spans="31:53" x14ac:dyDescent="0.55000000000000004">
      <c r="AE1279" s="7">
        <f ca="1"/>
      </c>
      <c r="AF1279">
        <f ca="1"/>
      </c>
      <c r="AG1279">
        <f ca="1"/>
      </c>
      <c r="AH1279">
        <f ca="1"/>
      </c>
      <c r="AI1279">
        <f ca="1"/>
      </c>
      <c r="AJ1279">
        <f ca="1"/>
      </c>
      <c r="AK1279">
        <f ca="1"/>
      </c>
      <c r="AL1279">
        <f ca="1"/>
      </c>
      <c r="AM1279">
        <f ca="1"/>
      </c>
      <c r="AN1279">
        <f ca="1"/>
      </c>
      <c r="AO1279">
        <f ca="1"/>
      </c>
      <c r="AP1279">
        <f ca="1"/>
      </c>
      <c r="AQ1279">
        <f ca="1"/>
      </c>
      <c r="AR1279">
        <f ca="1"/>
      </c>
      <c r="AT1279" s="7">
        <f ca="1"/>
      </c>
      <c r="AU1279">
        <f ca="1"/>
      </c>
      <c r="AV1279">
        <f ca="1"/>
      </c>
      <c r="AW1279">
        <f ca="1"/>
      </c>
      <c r="AX1279">
        <f ca="1"/>
      </c>
      <c r="AY1279">
        <f ca="1"/>
      </c>
      <c r="BA1279" s="7"/>
    </row>
    <row r="1280" spans="31:53" x14ac:dyDescent="0.55000000000000004">
      <c r="AE1280" s="7">
        <f ca="1"/>
      </c>
      <c r="AF1280">
        <f ca="1"/>
      </c>
      <c r="AG1280">
        <f ca="1"/>
      </c>
      <c r="AH1280">
        <f ca="1"/>
      </c>
      <c r="AI1280">
        <f ca="1"/>
      </c>
      <c r="AJ1280">
        <f ca="1"/>
      </c>
      <c r="AK1280">
        <f ca="1"/>
      </c>
      <c r="AL1280">
        <f ca="1"/>
      </c>
      <c r="AM1280">
        <f ca="1"/>
      </c>
      <c r="AN1280">
        <f ca="1"/>
      </c>
      <c r="AO1280">
        <f ca="1"/>
      </c>
      <c r="AP1280">
        <f ca="1"/>
      </c>
      <c r="AQ1280">
        <f ca="1"/>
      </c>
      <c r="AR1280">
        <f ca="1"/>
      </c>
      <c r="AT1280" s="7">
        <f ca="1"/>
      </c>
      <c r="AU1280">
        <f ca="1"/>
      </c>
      <c r="AV1280">
        <f ca="1"/>
      </c>
      <c r="AW1280">
        <f ca="1"/>
      </c>
      <c r="AX1280">
        <f ca="1"/>
      </c>
      <c r="AY1280">
        <f ca="1"/>
      </c>
      <c r="BA1280" s="7"/>
    </row>
    <row r="1281" spans="31:53" x14ac:dyDescent="0.55000000000000004">
      <c r="AE1281" s="7">
        <f ca="1"/>
      </c>
      <c r="AF1281">
        <f ca="1"/>
      </c>
      <c r="AG1281">
        <f ca="1"/>
      </c>
      <c r="AH1281">
        <f ca="1"/>
      </c>
      <c r="AI1281">
        <f ca="1"/>
      </c>
      <c r="AJ1281">
        <f ca="1"/>
      </c>
      <c r="AK1281">
        <f ca="1"/>
      </c>
      <c r="AL1281">
        <f ca="1"/>
      </c>
      <c r="AM1281">
        <f ca="1"/>
      </c>
      <c r="AN1281">
        <f ca="1"/>
      </c>
      <c r="AO1281">
        <f ca="1"/>
      </c>
      <c r="AP1281">
        <f ca="1"/>
      </c>
      <c r="AQ1281">
        <f ca="1"/>
      </c>
      <c r="AR1281">
        <f ca="1"/>
      </c>
      <c r="AT1281" s="7">
        <f ca="1"/>
      </c>
      <c r="AU1281">
        <f ca="1"/>
      </c>
      <c r="AV1281">
        <f ca="1"/>
      </c>
      <c r="AW1281">
        <f ca="1"/>
      </c>
      <c r="AX1281">
        <f ca="1"/>
      </c>
      <c r="AY1281">
        <f ca="1"/>
      </c>
      <c r="BA1281" s="7"/>
    </row>
    <row r="1282" spans="31:53" x14ac:dyDescent="0.55000000000000004">
      <c r="AE1282" s="7">
        <f ca="1"/>
      </c>
      <c r="AF1282">
        <f ca="1"/>
      </c>
      <c r="AG1282">
        <f ca="1"/>
      </c>
      <c r="AH1282">
        <f ca="1"/>
      </c>
      <c r="AI1282">
        <f ca="1"/>
      </c>
      <c r="AJ1282">
        <f ca="1"/>
      </c>
      <c r="AK1282">
        <f ca="1"/>
      </c>
      <c r="AL1282">
        <f ca="1"/>
      </c>
      <c r="AM1282">
        <f ca="1"/>
      </c>
      <c r="AN1282">
        <f ca="1"/>
      </c>
      <c r="AO1282">
        <f ca="1"/>
      </c>
      <c r="AP1282">
        <f ca="1"/>
      </c>
      <c r="AQ1282">
        <f ca="1"/>
      </c>
      <c r="AR1282">
        <f ca="1"/>
      </c>
      <c r="AT1282" s="7">
        <f ca="1"/>
      </c>
      <c r="AU1282">
        <f ca="1"/>
      </c>
      <c r="AV1282">
        <f ca="1"/>
      </c>
      <c r="AW1282">
        <f ca="1"/>
      </c>
      <c r="AX1282">
        <f ca="1"/>
      </c>
      <c r="AY1282">
        <f ca="1"/>
      </c>
      <c r="BA1282" s="7"/>
    </row>
    <row r="1283" spans="31:53" x14ac:dyDescent="0.55000000000000004">
      <c r="AE1283" s="7">
        <f ca="1"/>
      </c>
      <c r="AF1283">
        <f ca="1"/>
      </c>
      <c r="AG1283">
        <f ca="1"/>
      </c>
      <c r="AH1283">
        <f ca="1"/>
      </c>
      <c r="AI1283">
        <f ca="1"/>
      </c>
      <c r="AJ1283">
        <f ca="1"/>
      </c>
      <c r="AK1283">
        <f ca="1"/>
      </c>
      <c r="AL1283">
        <f ca="1"/>
      </c>
      <c r="AM1283">
        <f ca="1"/>
      </c>
      <c r="AN1283">
        <f ca="1"/>
      </c>
      <c r="AO1283">
        <f ca="1"/>
      </c>
      <c r="AP1283">
        <f ca="1"/>
      </c>
      <c r="AQ1283">
        <f ca="1"/>
      </c>
      <c r="AR1283">
        <f ca="1"/>
      </c>
      <c r="AT1283" s="7">
        <f ca="1"/>
      </c>
      <c r="AU1283">
        <f ca="1"/>
      </c>
      <c r="AV1283">
        <f ca="1"/>
      </c>
      <c r="AW1283">
        <f ca="1"/>
      </c>
      <c r="AX1283">
        <f ca="1"/>
      </c>
      <c r="AY1283">
        <f ca="1"/>
      </c>
      <c r="BA1283" s="7"/>
    </row>
    <row r="1284" spans="31:53" x14ac:dyDescent="0.55000000000000004">
      <c r="AE1284" s="7">
        <f ca="1"/>
      </c>
      <c r="AF1284">
        <f ca="1"/>
      </c>
      <c r="AG1284">
        <f ca="1"/>
      </c>
      <c r="AH1284">
        <f ca="1"/>
      </c>
      <c r="AI1284">
        <f ca="1"/>
      </c>
      <c r="AJ1284">
        <f ca="1"/>
      </c>
      <c r="AK1284">
        <f ca="1"/>
      </c>
      <c r="AL1284">
        <f ca="1"/>
      </c>
      <c r="AM1284">
        <f ca="1"/>
      </c>
      <c r="AN1284">
        <f ca="1"/>
      </c>
      <c r="AO1284">
        <f ca="1"/>
      </c>
      <c r="AP1284">
        <f ca="1"/>
      </c>
      <c r="AQ1284">
        <f ca="1"/>
      </c>
      <c r="AR1284">
        <f ca="1"/>
      </c>
      <c r="AT1284" s="7">
        <f ca="1"/>
      </c>
      <c r="AU1284">
        <f ca="1"/>
      </c>
      <c r="AV1284">
        <f ca="1"/>
      </c>
      <c r="AW1284">
        <f ca="1"/>
      </c>
      <c r="AX1284">
        <f ca="1"/>
      </c>
      <c r="AY1284">
        <f ca="1"/>
      </c>
      <c r="BA1284" s="7"/>
    </row>
    <row r="1285" spans="31:53" x14ac:dyDescent="0.55000000000000004">
      <c r="AE1285" s="7">
        <f ca="1"/>
      </c>
      <c r="AF1285">
        <f ca="1"/>
      </c>
      <c r="AG1285">
        <f ca="1"/>
      </c>
      <c r="AH1285">
        <f ca="1"/>
      </c>
      <c r="AI1285">
        <f ca="1"/>
      </c>
      <c r="AJ1285">
        <f ca="1"/>
      </c>
      <c r="AK1285">
        <f ca="1"/>
      </c>
      <c r="AL1285">
        <f ca="1"/>
      </c>
      <c r="AM1285">
        <f ca="1"/>
      </c>
      <c r="AN1285">
        <f ca="1"/>
      </c>
      <c r="AO1285">
        <f ca="1"/>
      </c>
      <c r="AP1285">
        <f ca="1"/>
      </c>
      <c r="AQ1285">
        <f ca="1"/>
      </c>
      <c r="AR1285">
        <f ca="1"/>
      </c>
      <c r="AT1285" s="7">
        <f ca="1"/>
      </c>
      <c r="AU1285">
        <f ca="1"/>
      </c>
      <c r="AV1285">
        <f ca="1"/>
      </c>
      <c r="AW1285">
        <f ca="1"/>
      </c>
      <c r="AX1285">
        <f ca="1"/>
      </c>
      <c r="AY1285">
        <f ca="1"/>
      </c>
      <c r="BA1285" s="7"/>
    </row>
    <row r="1286" spans="31:53" x14ac:dyDescent="0.55000000000000004">
      <c r="AE1286" s="7">
        <f ca="1"/>
      </c>
      <c r="AF1286">
        <f ca="1"/>
      </c>
      <c r="AG1286">
        <f ca="1"/>
      </c>
      <c r="AH1286">
        <f ca="1"/>
      </c>
      <c r="AI1286">
        <f ca="1"/>
      </c>
      <c r="AJ1286">
        <f ca="1"/>
      </c>
      <c r="AK1286">
        <f ca="1"/>
      </c>
      <c r="AL1286">
        <f ca="1"/>
      </c>
      <c r="AM1286">
        <f ca="1"/>
      </c>
      <c r="AN1286">
        <f ca="1"/>
      </c>
      <c r="AO1286">
        <f ca="1"/>
      </c>
      <c r="AP1286">
        <f ca="1"/>
      </c>
      <c r="AQ1286">
        <f ca="1"/>
      </c>
      <c r="AR1286">
        <f ca="1"/>
      </c>
      <c r="AT1286" s="7">
        <f ca="1"/>
      </c>
      <c r="AU1286">
        <f ca="1"/>
      </c>
      <c r="AV1286">
        <f ca="1"/>
      </c>
      <c r="AW1286">
        <f ca="1"/>
      </c>
      <c r="AX1286">
        <f ca="1"/>
      </c>
      <c r="AY1286">
        <f ca="1"/>
      </c>
      <c r="BA1286" s="7"/>
    </row>
    <row r="1287" spans="31:53" x14ac:dyDescent="0.55000000000000004">
      <c r="AE1287" s="7">
        <f ca="1"/>
      </c>
      <c r="AF1287">
        <f ca="1"/>
      </c>
      <c r="AG1287">
        <f ca="1"/>
      </c>
      <c r="AH1287">
        <f ca="1"/>
      </c>
      <c r="AI1287">
        <f ca="1"/>
      </c>
      <c r="AJ1287">
        <f ca="1"/>
      </c>
      <c r="AK1287">
        <f ca="1"/>
      </c>
      <c r="AL1287">
        <f ca="1"/>
      </c>
      <c r="AM1287">
        <f ca="1"/>
      </c>
      <c r="AN1287">
        <f ca="1"/>
      </c>
      <c r="AO1287">
        <f ca="1"/>
      </c>
      <c r="AP1287">
        <f ca="1"/>
      </c>
      <c r="AQ1287">
        <f ca="1"/>
      </c>
      <c r="AR1287">
        <f ca="1"/>
      </c>
      <c r="AT1287" s="7">
        <f ca="1"/>
      </c>
      <c r="AU1287">
        <f ca="1"/>
      </c>
      <c r="AV1287">
        <f ca="1"/>
      </c>
      <c r="AW1287">
        <f ca="1"/>
      </c>
      <c r="AX1287">
        <f ca="1"/>
      </c>
      <c r="AY1287">
        <f ca="1"/>
      </c>
      <c r="BA1287" s="7"/>
    </row>
    <row r="1288" spans="31:53" x14ac:dyDescent="0.55000000000000004">
      <c r="AE1288" s="7">
        <f ca="1"/>
      </c>
      <c r="AF1288">
        <f ca="1"/>
      </c>
      <c r="AG1288">
        <f ca="1"/>
      </c>
      <c r="AH1288">
        <f ca="1"/>
      </c>
      <c r="AI1288">
        <f ca="1"/>
      </c>
      <c r="AJ1288">
        <f ca="1"/>
      </c>
      <c r="AK1288">
        <f ca="1"/>
      </c>
      <c r="AL1288">
        <f ca="1"/>
      </c>
      <c r="AM1288">
        <f ca="1"/>
      </c>
      <c r="AN1288">
        <f ca="1"/>
      </c>
      <c r="AO1288">
        <f ca="1"/>
      </c>
      <c r="AP1288">
        <f ca="1"/>
      </c>
      <c r="AQ1288">
        <f ca="1"/>
      </c>
      <c r="AR1288">
        <f ca="1"/>
      </c>
      <c r="AT1288" s="7">
        <f ca="1"/>
      </c>
      <c r="AU1288">
        <f ca="1"/>
      </c>
      <c r="AV1288">
        <f ca="1"/>
      </c>
      <c r="AW1288">
        <f ca="1"/>
      </c>
      <c r="AX1288">
        <f ca="1"/>
      </c>
      <c r="AY1288">
        <f ca="1"/>
      </c>
      <c r="BA1288" s="7"/>
    </row>
    <row r="1289" spans="31:53" x14ac:dyDescent="0.55000000000000004">
      <c r="AE1289" s="7">
        <f ca="1"/>
      </c>
      <c r="AF1289">
        <f ca="1"/>
      </c>
      <c r="AG1289">
        <f ca="1"/>
      </c>
      <c r="AH1289">
        <f ca="1"/>
      </c>
      <c r="AI1289">
        <f ca="1"/>
      </c>
      <c r="AJ1289">
        <f ca="1"/>
      </c>
      <c r="AK1289">
        <f ca="1"/>
      </c>
      <c r="AL1289">
        <f ca="1"/>
      </c>
      <c r="AM1289">
        <f ca="1"/>
      </c>
      <c r="AN1289">
        <f ca="1"/>
      </c>
      <c r="AO1289">
        <f ca="1"/>
      </c>
      <c r="AP1289">
        <f ca="1"/>
      </c>
      <c r="AQ1289">
        <f ca="1"/>
      </c>
      <c r="AR1289">
        <f ca="1"/>
      </c>
      <c r="AT1289" s="7">
        <f ca="1"/>
      </c>
      <c r="AU1289">
        <f ca="1"/>
      </c>
      <c r="AV1289">
        <f ca="1"/>
      </c>
      <c r="AW1289">
        <f ca="1"/>
      </c>
      <c r="AX1289">
        <f ca="1"/>
      </c>
      <c r="AY1289">
        <f ca="1"/>
      </c>
      <c r="BA1289" s="7"/>
    </row>
    <row r="1290" spans="31:53" x14ac:dyDescent="0.55000000000000004">
      <c r="AE1290" s="7">
        <f ca="1"/>
      </c>
      <c r="AF1290">
        <f ca="1"/>
      </c>
      <c r="AG1290">
        <f ca="1"/>
      </c>
      <c r="AH1290">
        <f ca="1"/>
      </c>
      <c r="AI1290">
        <f ca="1"/>
      </c>
      <c r="AJ1290">
        <f ca="1"/>
      </c>
      <c r="AK1290">
        <f ca="1"/>
      </c>
      <c r="AL1290">
        <f ca="1"/>
      </c>
      <c r="AM1290">
        <f ca="1"/>
      </c>
      <c r="AN1290">
        <f ca="1"/>
      </c>
      <c r="AO1290">
        <f ca="1"/>
      </c>
      <c r="AP1290">
        <f ca="1"/>
      </c>
      <c r="AQ1290">
        <f ca="1"/>
      </c>
      <c r="AR1290">
        <f ca="1"/>
      </c>
      <c r="AT1290" s="7">
        <f ca="1"/>
      </c>
      <c r="AU1290">
        <f ca="1"/>
      </c>
      <c r="AV1290">
        <f ca="1"/>
      </c>
      <c r="AW1290">
        <f ca="1"/>
      </c>
      <c r="AX1290">
        <f ca="1"/>
      </c>
      <c r="AY1290">
        <f ca="1"/>
      </c>
      <c r="BA1290" s="7"/>
    </row>
    <row r="1291" spans="31:53" x14ac:dyDescent="0.55000000000000004">
      <c r="AE1291" s="7">
        <f ca="1"/>
      </c>
      <c r="AF1291">
        <f ca="1"/>
      </c>
      <c r="AG1291">
        <f ca="1"/>
      </c>
      <c r="AH1291">
        <f ca="1"/>
      </c>
      <c r="AI1291">
        <f ca="1"/>
      </c>
      <c r="AJ1291">
        <f ca="1"/>
      </c>
      <c r="AK1291">
        <f ca="1"/>
      </c>
      <c r="AL1291">
        <f ca="1"/>
      </c>
      <c r="AM1291">
        <f ca="1"/>
      </c>
      <c r="AN1291">
        <f ca="1"/>
      </c>
      <c r="AO1291">
        <f ca="1"/>
      </c>
      <c r="AP1291">
        <f ca="1"/>
      </c>
      <c r="AQ1291">
        <f ca="1"/>
      </c>
      <c r="AR1291">
        <f ca="1"/>
      </c>
      <c r="AT1291" s="7">
        <f ca="1"/>
      </c>
      <c r="AU1291">
        <f ca="1"/>
      </c>
      <c r="AV1291">
        <f ca="1"/>
      </c>
      <c r="AW1291">
        <f ca="1"/>
      </c>
      <c r="AX1291">
        <f ca="1"/>
      </c>
      <c r="AY1291">
        <f ca="1"/>
      </c>
      <c r="BA1291" s="7"/>
    </row>
    <row r="1292" spans="31:53" x14ac:dyDescent="0.55000000000000004">
      <c r="AE1292" s="7">
        <f ca="1"/>
      </c>
      <c r="AF1292">
        <f ca="1"/>
      </c>
      <c r="AG1292">
        <f ca="1"/>
      </c>
      <c r="AH1292">
        <f ca="1"/>
      </c>
      <c r="AI1292">
        <f ca="1"/>
      </c>
      <c r="AJ1292">
        <f ca="1"/>
      </c>
      <c r="AK1292">
        <f ca="1"/>
      </c>
      <c r="AL1292">
        <f ca="1"/>
      </c>
      <c r="AM1292">
        <f ca="1"/>
      </c>
      <c r="AN1292">
        <f ca="1"/>
      </c>
      <c r="AO1292">
        <f ca="1"/>
      </c>
      <c r="AP1292">
        <f ca="1"/>
      </c>
      <c r="AQ1292">
        <f ca="1"/>
      </c>
      <c r="AR1292">
        <f ca="1"/>
      </c>
      <c r="AT1292" s="7">
        <f ca="1"/>
      </c>
      <c r="AU1292">
        <f ca="1"/>
      </c>
      <c r="AV1292">
        <f ca="1"/>
      </c>
      <c r="AW1292">
        <f ca="1"/>
      </c>
      <c r="AX1292">
        <f ca="1"/>
      </c>
      <c r="AY1292">
        <f ca="1"/>
      </c>
      <c r="BA1292" s="7"/>
    </row>
    <row r="1293" spans="31:53" x14ac:dyDescent="0.55000000000000004">
      <c r="AE1293" s="7">
        <f ca="1"/>
      </c>
      <c r="AF1293">
        <f ca="1"/>
      </c>
      <c r="AG1293">
        <f ca="1"/>
      </c>
      <c r="AH1293">
        <f ca="1"/>
      </c>
      <c r="AI1293">
        <f ca="1"/>
      </c>
      <c r="AJ1293">
        <f ca="1"/>
      </c>
      <c r="AK1293">
        <f ca="1"/>
      </c>
      <c r="AL1293">
        <f ca="1"/>
      </c>
      <c r="AM1293">
        <f ca="1"/>
      </c>
      <c r="AN1293">
        <f ca="1"/>
      </c>
      <c r="AO1293">
        <f ca="1"/>
      </c>
      <c r="AP1293">
        <f ca="1"/>
      </c>
      <c r="AQ1293">
        <f ca="1"/>
      </c>
      <c r="AR1293">
        <f ca="1"/>
      </c>
      <c r="AT1293" s="7">
        <f ca="1"/>
      </c>
      <c r="AU1293">
        <f ca="1"/>
      </c>
      <c r="AV1293">
        <f ca="1"/>
      </c>
      <c r="AW1293">
        <f ca="1"/>
      </c>
      <c r="AX1293">
        <f ca="1"/>
      </c>
      <c r="AY1293">
        <f ca="1"/>
      </c>
      <c r="BA1293" s="7"/>
    </row>
    <row r="1294" spans="31:53" x14ac:dyDescent="0.55000000000000004">
      <c r="AE1294" s="7">
        <f ca="1"/>
      </c>
      <c r="AF1294">
        <f ca="1"/>
      </c>
      <c r="AG1294">
        <f ca="1"/>
      </c>
      <c r="AH1294">
        <f ca="1"/>
      </c>
      <c r="AI1294">
        <f ca="1"/>
      </c>
      <c r="AJ1294">
        <f ca="1"/>
      </c>
      <c r="AK1294">
        <f ca="1"/>
      </c>
      <c r="AL1294">
        <f ca="1"/>
      </c>
      <c r="AM1294">
        <f ca="1"/>
      </c>
      <c r="AN1294">
        <f ca="1"/>
      </c>
      <c r="AO1294">
        <f ca="1"/>
      </c>
      <c r="AP1294">
        <f ca="1"/>
      </c>
      <c r="AQ1294">
        <f ca="1"/>
      </c>
      <c r="AR1294">
        <f ca="1"/>
      </c>
      <c r="AT1294" s="7">
        <f ca="1"/>
      </c>
      <c r="AU1294">
        <f ca="1"/>
      </c>
      <c r="AV1294">
        <f ca="1"/>
      </c>
      <c r="AW1294">
        <f ca="1"/>
      </c>
      <c r="AX1294">
        <f ca="1"/>
      </c>
      <c r="AY1294">
        <f ca="1"/>
      </c>
      <c r="BA1294" s="7"/>
    </row>
    <row r="1295" spans="31:53" x14ac:dyDescent="0.55000000000000004">
      <c r="AE1295" s="7">
        <f ca="1"/>
      </c>
      <c r="AF1295">
        <f ca="1"/>
      </c>
      <c r="AG1295">
        <f ca="1"/>
      </c>
      <c r="AH1295">
        <f ca="1"/>
      </c>
      <c r="AI1295">
        <f ca="1"/>
      </c>
      <c r="AJ1295">
        <f ca="1"/>
      </c>
      <c r="AK1295">
        <f ca="1"/>
      </c>
      <c r="AL1295">
        <f ca="1"/>
      </c>
      <c r="AM1295">
        <f ca="1"/>
      </c>
      <c r="AN1295">
        <f ca="1"/>
      </c>
      <c r="AO1295">
        <f ca="1"/>
      </c>
      <c r="AP1295">
        <f ca="1"/>
      </c>
      <c r="AQ1295">
        <f ca="1"/>
      </c>
      <c r="AR1295">
        <f ca="1"/>
      </c>
      <c r="AT1295" s="7">
        <f ca="1"/>
      </c>
      <c r="AU1295">
        <f ca="1"/>
      </c>
      <c r="AV1295">
        <f ca="1"/>
      </c>
      <c r="AW1295">
        <f ca="1"/>
      </c>
      <c r="AX1295">
        <f ca="1"/>
      </c>
      <c r="AY1295">
        <f ca="1"/>
      </c>
      <c r="BA1295" s="7"/>
    </row>
    <row r="1296" spans="31:53" x14ac:dyDescent="0.55000000000000004">
      <c r="AE1296" s="7">
        <f ca="1"/>
      </c>
      <c r="AF1296">
        <f ca="1"/>
      </c>
      <c r="AG1296">
        <f ca="1"/>
      </c>
      <c r="AH1296">
        <f ca="1"/>
      </c>
      <c r="AI1296">
        <f ca="1"/>
      </c>
      <c r="AJ1296">
        <f ca="1"/>
      </c>
      <c r="AK1296">
        <f ca="1"/>
      </c>
      <c r="AL1296">
        <f ca="1"/>
      </c>
      <c r="AM1296">
        <f ca="1"/>
      </c>
      <c r="AN1296">
        <f ca="1"/>
      </c>
      <c r="AO1296">
        <f ca="1"/>
      </c>
      <c r="AP1296">
        <f ca="1"/>
      </c>
      <c r="AQ1296">
        <f ca="1"/>
      </c>
      <c r="AR1296">
        <f ca="1"/>
      </c>
      <c r="AT1296" s="7">
        <f ca="1"/>
      </c>
      <c r="AU1296">
        <f ca="1"/>
      </c>
      <c r="AV1296">
        <f ca="1"/>
      </c>
      <c r="AW1296">
        <f ca="1"/>
      </c>
      <c r="AX1296">
        <f ca="1"/>
      </c>
      <c r="AY1296">
        <f ca="1"/>
      </c>
      <c r="BA1296" s="7"/>
    </row>
    <row r="1297" spans="31:53" x14ac:dyDescent="0.55000000000000004">
      <c r="AE1297" s="7">
        <f ca="1"/>
      </c>
      <c r="AF1297">
        <f ca="1"/>
      </c>
      <c r="AG1297">
        <f ca="1"/>
      </c>
      <c r="AH1297">
        <f ca="1"/>
      </c>
      <c r="AI1297">
        <f ca="1"/>
      </c>
      <c r="AJ1297">
        <f ca="1"/>
      </c>
      <c r="AK1297">
        <f ca="1"/>
      </c>
      <c r="AL1297">
        <f ca="1"/>
      </c>
      <c r="AM1297">
        <f ca="1"/>
      </c>
      <c r="AN1297">
        <f ca="1"/>
      </c>
      <c r="AO1297">
        <f ca="1"/>
      </c>
      <c r="AP1297">
        <f ca="1"/>
      </c>
      <c r="AQ1297">
        <f ca="1"/>
      </c>
      <c r="AR1297">
        <f ca="1"/>
      </c>
      <c r="AT1297" s="7">
        <f ca="1"/>
      </c>
      <c r="AU1297">
        <f ca="1"/>
      </c>
      <c r="AV1297">
        <f ca="1"/>
      </c>
      <c r="AW1297">
        <f ca="1"/>
      </c>
      <c r="AX1297">
        <f ca="1"/>
      </c>
      <c r="AY1297">
        <f ca="1"/>
      </c>
      <c r="BA1297" s="7"/>
    </row>
    <row r="1298" spans="31:53" x14ac:dyDescent="0.55000000000000004">
      <c r="AE1298" s="7">
        <f ca="1"/>
      </c>
      <c r="AF1298">
        <f ca="1"/>
      </c>
      <c r="AG1298">
        <f ca="1"/>
      </c>
      <c r="AH1298">
        <f ca="1"/>
      </c>
      <c r="AI1298">
        <f ca="1"/>
      </c>
      <c r="AJ1298">
        <f ca="1"/>
      </c>
      <c r="AK1298">
        <f ca="1"/>
      </c>
      <c r="AL1298">
        <f ca="1"/>
      </c>
      <c r="AM1298">
        <f ca="1"/>
      </c>
      <c r="AN1298">
        <f ca="1"/>
      </c>
      <c r="AO1298">
        <f ca="1"/>
      </c>
      <c r="AP1298">
        <f ca="1"/>
      </c>
      <c r="AQ1298">
        <f ca="1"/>
      </c>
      <c r="AR1298">
        <f ca="1"/>
      </c>
      <c r="AT1298" s="7">
        <f ca="1"/>
      </c>
      <c r="AU1298">
        <f ca="1"/>
      </c>
      <c r="AV1298">
        <f ca="1"/>
      </c>
      <c r="AW1298">
        <f ca="1"/>
      </c>
      <c r="AX1298">
        <f ca="1"/>
      </c>
      <c r="AY1298">
        <f ca="1"/>
      </c>
      <c r="BA1298" s="7"/>
    </row>
    <row r="1299" spans="31:53" x14ac:dyDescent="0.55000000000000004">
      <c r="AE1299" s="7">
        <f ca="1"/>
      </c>
      <c r="AF1299">
        <f ca="1"/>
      </c>
      <c r="AG1299">
        <f ca="1"/>
      </c>
      <c r="AH1299">
        <f ca="1"/>
      </c>
      <c r="AI1299">
        <f ca="1"/>
      </c>
      <c r="AJ1299">
        <f ca="1"/>
      </c>
      <c r="AK1299">
        <f ca="1"/>
      </c>
      <c r="AL1299">
        <f ca="1"/>
      </c>
      <c r="AM1299">
        <f ca="1"/>
      </c>
      <c r="AN1299">
        <f ca="1"/>
      </c>
      <c r="AO1299">
        <f ca="1"/>
      </c>
      <c r="AP1299">
        <f ca="1"/>
      </c>
      <c r="AQ1299">
        <f ca="1"/>
      </c>
      <c r="AR1299">
        <f ca="1"/>
      </c>
      <c r="AT1299" s="7">
        <f ca="1"/>
      </c>
      <c r="AU1299">
        <f ca="1"/>
      </c>
      <c r="AV1299">
        <f ca="1"/>
      </c>
      <c r="AW1299">
        <f ca="1"/>
      </c>
      <c r="AX1299">
        <f ca="1"/>
      </c>
      <c r="AY1299">
        <f ca="1"/>
      </c>
      <c r="BA1299" s="7"/>
    </row>
    <row r="1300" spans="31:53" x14ac:dyDescent="0.55000000000000004">
      <c r="AE1300" s="7">
        <f ca="1"/>
      </c>
      <c r="AF1300">
        <f ca="1"/>
      </c>
      <c r="AG1300">
        <f ca="1"/>
      </c>
      <c r="AH1300">
        <f ca="1"/>
      </c>
      <c r="AI1300">
        <f ca="1"/>
      </c>
      <c r="AJ1300">
        <f ca="1"/>
      </c>
      <c r="AK1300">
        <f ca="1"/>
      </c>
      <c r="AL1300">
        <f ca="1"/>
      </c>
      <c r="AM1300">
        <f ca="1"/>
      </c>
      <c r="AN1300">
        <f ca="1"/>
      </c>
      <c r="AO1300">
        <f ca="1"/>
      </c>
      <c r="AP1300">
        <f ca="1"/>
      </c>
      <c r="AQ1300">
        <f ca="1"/>
      </c>
      <c r="AR1300">
        <f ca="1"/>
      </c>
      <c r="AT1300" s="7">
        <f ca="1"/>
      </c>
      <c r="AU1300">
        <f ca="1"/>
      </c>
      <c r="AV1300">
        <f ca="1"/>
      </c>
      <c r="AW1300">
        <f ca="1"/>
      </c>
      <c r="AX1300">
        <f ca="1"/>
      </c>
      <c r="AY1300">
        <f ca="1"/>
      </c>
      <c r="BA1300" s="7"/>
    </row>
    <row r="1301" spans="31:53" x14ac:dyDescent="0.55000000000000004">
      <c r="AE1301" s="7">
        <f ca="1"/>
      </c>
      <c r="AF1301">
        <f ca="1"/>
      </c>
      <c r="AG1301">
        <f ca="1"/>
      </c>
      <c r="AH1301">
        <f ca="1"/>
      </c>
      <c r="AI1301">
        <f ca="1"/>
      </c>
      <c r="AJ1301">
        <f ca="1"/>
      </c>
      <c r="AK1301">
        <f ca="1"/>
      </c>
      <c r="AL1301">
        <f ca="1"/>
      </c>
      <c r="AM1301">
        <f ca="1"/>
      </c>
      <c r="AN1301">
        <f ca="1"/>
      </c>
      <c r="AO1301">
        <f ca="1"/>
      </c>
      <c r="AP1301">
        <f ca="1"/>
      </c>
      <c r="AQ1301">
        <f ca="1"/>
      </c>
      <c r="AR1301">
        <f ca="1"/>
      </c>
      <c r="AT1301" s="7">
        <f ca="1"/>
      </c>
      <c r="AU1301">
        <f ca="1"/>
      </c>
      <c r="AV1301">
        <f ca="1"/>
      </c>
      <c r="AW1301">
        <f ca="1"/>
      </c>
      <c r="AX1301">
        <f ca="1"/>
      </c>
      <c r="AY1301">
        <f ca="1"/>
      </c>
      <c r="BA1301" s="7"/>
    </row>
    <row r="1302" spans="31:53" x14ac:dyDescent="0.55000000000000004">
      <c r="AE1302" s="7">
        <f ca="1"/>
      </c>
      <c r="AF1302">
        <f ca="1"/>
      </c>
      <c r="AG1302">
        <f ca="1"/>
      </c>
      <c r="AH1302">
        <f ca="1"/>
      </c>
      <c r="AI1302">
        <f ca="1"/>
      </c>
      <c r="AJ1302">
        <f ca="1"/>
      </c>
      <c r="AK1302">
        <f ca="1"/>
      </c>
      <c r="AL1302">
        <f ca="1"/>
      </c>
      <c r="AM1302">
        <f ca="1"/>
      </c>
      <c r="AN1302">
        <f ca="1"/>
      </c>
      <c r="AO1302">
        <f ca="1"/>
      </c>
      <c r="AP1302">
        <f ca="1"/>
      </c>
      <c r="AQ1302">
        <f ca="1"/>
      </c>
      <c r="AR1302">
        <f ca="1"/>
      </c>
      <c r="AT1302" s="7">
        <f ca="1"/>
      </c>
      <c r="AU1302">
        <f ca="1"/>
      </c>
      <c r="AV1302">
        <f ca="1"/>
      </c>
      <c r="AW1302">
        <f ca="1"/>
      </c>
      <c r="AX1302">
        <f ca="1"/>
      </c>
      <c r="AY1302">
        <f ca="1"/>
      </c>
      <c r="BA1302" s="7"/>
    </row>
    <row r="1303" spans="31:53" x14ac:dyDescent="0.55000000000000004">
      <c r="AE1303" s="7">
        <f ca="1"/>
      </c>
      <c r="AF1303">
        <f ca="1"/>
      </c>
      <c r="AG1303">
        <f ca="1"/>
      </c>
      <c r="AH1303">
        <f ca="1"/>
      </c>
      <c r="AI1303">
        <f ca="1"/>
      </c>
      <c r="AJ1303">
        <f ca="1"/>
      </c>
      <c r="AK1303">
        <f ca="1"/>
      </c>
      <c r="AL1303">
        <f ca="1"/>
      </c>
      <c r="AM1303">
        <f ca="1"/>
      </c>
      <c r="AN1303">
        <f ca="1"/>
      </c>
      <c r="AO1303">
        <f ca="1"/>
      </c>
      <c r="AP1303">
        <f ca="1"/>
      </c>
      <c r="AQ1303">
        <f ca="1"/>
      </c>
      <c r="AR1303">
        <f ca="1"/>
      </c>
      <c r="AT1303" s="7">
        <f ca="1"/>
      </c>
      <c r="AU1303">
        <f ca="1"/>
      </c>
      <c r="AV1303">
        <f ca="1"/>
      </c>
      <c r="AW1303">
        <f ca="1"/>
      </c>
      <c r="AX1303">
        <f ca="1"/>
      </c>
      <c r="AY1303">
        <f ca="1"/>
      </c>
      <c r="BA1303" s="7"/>
    </row>
    <row r="1304" spans="31:53" x14ac:dyDescent="0.55000000000000004">
      <c r="AE1304" s="7">
        <f ca="1"/>
      </c>
      <c r="AF1304">
        <f ca="1"/>
      </c>
      <c r="AG1304">
        <f ca="1"/>
      </c>
      <c r="AH1304">
        <f ca="1"/>
      </c>
      <c r="AI1304">
        <f ca="1"/>
      </c>
      <c r="AJ1304">
        <f ca="1"/>
      </c>
      <c r="AK1304">
        <f ca="1"/>
      </c>
      <c r="AL1304">
        <f ca="1"/>
      </c>
      <c r="AM1304">
        <f ca="1"/>
      </c>
      <c r="AN1304">
        <f ca="1"/>
      </c>
      <c r="AO1304">
        <f ca="1"/>
      </c>
      <c r="AP1304">
        <f ca="1"/>
      </c>
      <c r="AQ1304">
        <f ca="1"/>
      </c>
      <c r="AR1304">
        <f ca="1"/>
      </c>
      <c r="AT1304" s="7">
        <f ca="1"/>
      </c>
      <c r="AU1304">
        <f ca="1"/>
      </c>
      <c r="AV1304">
        <f ca="1"/>
      </c>
      <c r="AW1304">
        <f ca="1"/>
      </c>
      <c r="AX1304">
        <f ca="1"/>
      </c>
      <c r="AY1304">
        <f ca="1"/>
      </c>
      <c r="BA1304" s="7"/>
    </row>
    <row r="1305" spans="31:53" x14ac:dyDescent="0.55000000000000004">
      <c r="AE1305" s="7">
        <f ca="1"/>
      </c>
      <c r="AF1305">
        <f ca="1"/>
      </c>
      <c r="AG1305">
        <f ca="1"/>
      </c>
      <c r="AH1305">
        <f ca="1"/>
      </c>
      <c r="AI1305">
        <f ca="1"/>
      </c>
      <c r="AJ1305">
        <f ca="1"/>
      </c>
      <c r="AK1305">
        <f ca="1"/>
      </c>
      <c r="AL1305">
        <f ca="1"/>
      </c>
      <c r="AM1305">
        <f ca="1"/>
      </c>
      <c r="AN1305">
        <f ca="1"/>
      </c>
      <c r="AO1305">
        <f ca="1"/>
      </c>
      <c r="AP1305">
        <f ca="1"/>
      </c>
      <c r="AQ1305">
        <f ca="1"/>
      </c>
      <c r="AR1305">
        <f ca="1"/>
      </c>
      <c r="AT1305" s="7">
        <f ca="1"/>
      </c>
      <c r="AU1305">
        <f ca="1"/>
      </c>
      <c r="AV1305">
        <f ca="1"/>
      </c>
      <c r="AW1305">
        <f ca="1"/>
      </c>
      <c r="AX1305">
        <f ca="1"/>
      </c>
      <c r="AY1305">
        <f ca="1"/>
      </c>
      <c r="BA1305" s="7"/>
    </row>
    <row r="1306" spans="31:53" x14ac:dyDescent="0.55000000000000004">
      <c r="AE1306" s="7">
        <f ca="1"/>
      </c>
      <c r="AF1306">
        <f ca="1"/>
      </c>
      <c r="AG1306">
        <f ca="1"/>
      </c>
      <c r="AH1306">
        <f ca="1"/>
      </c>
      <c r="AI1306">
        <f ca="1"/>
      </c>
      <c r="AJ1306">
        <f ca="1"/>
      </c>
      <c r="AK1306">
        <f ca="1"/>
      </c>
      <c r="AL1306">
        <f ca="1"/>
      </c>
      <c r="AM1306">
        <f ca="1"/>
      </c>
      <c r="AN1306">
        <f ca="1"/>
      </c>
      <c r="AO1306">
        <f ca="1"/>
      </c>
      <c r="AP1306">
        <f ca="1"/>
      </c>
      <c r="AQ1306">
        <f ca="1"/>
      </c>
      <c r="AR1306">
        <f ca="1"/>
      </c>
      <c r="AT1306" s="7">
        <f ca="1"/>
      </c>
      <c r="AU1306">
        <f ca="1"/>
      </c>
      <c r="AV1306">
        <f ca="1"/>
      </c>
      <c r="AW1306">
        <f ca="1"/>
      </c>
      <c r="AX1306">
        <f ca="1"/>
      </c>
      <c r="AY1306">
        <f ca="1"/>
      </c>
      <c r="BA1306" s="7"/>
    </row>
    <row r="1307" spans="31:53" x14ac:dyDescent="0.55000000000000004">
      <c r="AE1307" s="7">
        <f ca="1"/>
      </c>
      <c r="AF1307">
        <f ca="1"/>
      </c>
      <c r="AG1307">
        <f ca="1"/>
      </c>
      <c r="AH1307">
        <f ca="1"/>
      </c>
      <c r="AI1307">
        <f ca="1"/>
      </c>
      <c r="AJ1307">
        <f ca="1"/>
      </c>
      <c r="AK1307">
        <f ca="1"/>
      </c>
      <c r="AL1307">
        <f ca="1"/>
      </c>
      <c r="AM1307">
        <f ca="1"/>
      </c>
      <c r="AN1307">
        <f ca="1"/>
      </c>
      <c r="AO1307">
        <f ca="1"/>
      </c>
      <c r="AP1307">
        <f ca="1"/>
      </c>
      <c r="AQ1307">
        <f ca="1"/>
      </c>
      <c r="AR1307">
        <f ca="1"/>
      </c>
      <c r="AT1307" s="7">
        <f ca="1"/>
      </c>
      <c r="AU1307">
        <f ca="1"/>
      </c>
      <c r="AV1307">
        <f ca="1"/>
      </c>
      <c r="AW1307">
        <f ca="1"/>
      </c>
      <c r="AX1307">
        <f ca="1"/>
      </c>
      <c r="AY1307">
        <f ca="1"/>
      </c>
      <c r="BA1307" s="7"/>
    </row>
    <row r="1308" spans="31:53" x14ac:dyDescent="0.55000000000000004">
      <c r="AE1308" s="7">
        <f ca="1"/>
      </c>
      <c r="AF1308">
        <f ca="1"/>
      </c>
      <c r="AG1308">
        <f ca="1"/>
      </c>
      <c r="AH1308">
        <f ca="1"/>
      </c>
      <c r="AI1308">
        <f ca="1"/>
      </c>
      <c r="AJ1308">
        <f ca="1"/>
      </c>
      <c r="AK1308">
        <f ca="1"/>
      </c>
      <c r="AL1308">
        <f ca="1"/>
      </c>
      <c r="AM1308">
        <f ca="1"/>
      </c>
      <c r="AN1308">
        <f ca="1"/>
      </c>
      <c r="AO1308">
        <f ca="1"/>
      </c>
      <c r="AP1308">
        <f ca="1"/>
      </c>
      <c r="AQ1308">
        <f ca="1"/>
      </c>
      <c r="AR1308">
        <f ca="1"/>
      </c>
      <c r="AT1308" s="7">
        <f ca="1"/>
      </c>
      <c r="AU1308">
        <f ca="1"/>
      </c>
      <c r="AV1308">
        <f ca="1"/>
      </c>
      <c r="AW1308">
        <f ca="1"/>
      </c>
      <c r="AX1308">
        <f ca="1"/>
      </c>
      <c r="AY1308">
        <f ca="1"/>
      </c>
      <c r="BA1308" s="7"/>
    </row>
    <row r="1309" spans="31:53" x14ac:dyDescent="0.55000000000000004">
      <c r="AE1309" s="7">
        <f ca="1"/>
      </c>
      <c r="AF1309">
        <f ca="1"/>
      </c>
      <c r="AG1309">
        <f ca="1"/>
      </c>
      <c r="AH1309">
        <f ca="1"/>
      </c>
      <c r="AI1309">
        <f ca="1"/>
      </c>
      <c r="AJ1309">
        <f ca="1"/>
      </c>
      <c r="AK1309">
        <f ca="1"/>
      </c>
      <c r="AL1309">
        <f ca="1"/>
      </c>
      <c r="AM1309">
        <f ca="1"/>
      </c>
      <c r="AN1309">
        <f ca="1"/>
      </c>
      <c r="AO1309">
        <f ca="1"/>
      </c>
      <c r="AP1309">
        <f ca="1"/>
      </c>
      <c r="AQ1309">
        <f ca="1"/>
      </c>
      <c r="AR1309">
        <f ca="1"/>
      </c>
      <c r="AT1309" s="7">
        <f ca="1"/>
      </c>
      <c r="AU1309">
        <f ca="1"/>
      </c>
      <c r="AV1309">
        <f ca="1"/>
      </c>
      <c r="AW1309">
        <f ca="1"/>
      </c>
      <c r="AX1309">
        <f ca="1"/>
      </c>
      <c r="AY1309">
        <f ca="1"/>
      </c>
      <c r="BA1309" s="7"/>
    </row>
    <row r="1310" spans="31:53" x14ac:dyDescent="0.55000000000000004">
      <c r="AE1310" s="7">
        <f ca="1"/>
      </c>
      <c r="AF1310">
        <f ca="1"/>
      </c>
      <c r="AG1310">
        <f ca="1"/>
      </c>
      <c r="AH1310">
        <f ca="1"/>
      </c>
      <c r="AI1310">
        <f ca="1"/>
      </c>
      <c r="AJ1310">
        <f ca="1"/>
      </c>
      <c r="AK1310">
        <f ca="1"/>
      </c>
      <c r="AL1310">
        <f ca="1"/>
      </c>
      <c r="AM1310">
        <f ca="1"/>
      </c>
      <c r="AN1310">
        <f ca="1"/>
      </c>
      <c r="AO1310">
        <f ca="1"/>
      </c>
      <c r="AP1310">
        <f ca="1"/>
      </c>
      <c r="AQ1310">
        <f ca="1"/>
      </c>
      <c r="AR1310">
        <f ca="1"/>
      </c>
      <c r="AT1310" s="7">
        <f ca="1"/>
      </c>
      <c r="AU1310">
        <f ca="1"/>
      </c>
      <c r="AV1310">
        <f ca="1"/>
      </c>
      <c r="AW1310">
        <f ca="1"/>
      </c>
      <c r="AX1310">
        <f ca="1"/>
      </c>
      <c r="AY1310">
        <f ca="1"/>
      </c>
      <c r="BA1310" s="7"/>
    </row>
    <row r="1311" spans="31:53" x14ac:dyDescent="0.55000000000000004">
      <c r="AE1311" s="7">
        <f ca="1"/>
      </c>
      <c r="AF1311">
        <f ca="1"/>
      </c>
      <c r="AG1311">
        <f ca="1"/>
      </c>
      <c r="AH1311">
        <f ca="1"/>
      </c>
      <c r="AI1311">
        <f ca="1"/>
      </c>
      <c r="AJ1311">
        <f ca="1"/>
      </c>
      <c r="AK1311">
        <f ca="1"/>
      </c>
      <c r="AL1311">
        <f ca="1"/>
      </c>
      <c r="AM1311">
        <f ca="1"/>
      </c>
      <c r="AN1311">
        <f ca="1"/>
      </c>
      <c r="AO1311">
        <f ca="1"/>
      </c>
      <c r="AP1311">
        <f ca="1"/>
      </c>
      <c r="AQ1311">
        <f ca="1"/>
      </c>
      <c r="AR1311">
        <f ca="1"/>
      </c>
      <c r="AT1311" s="7">
        <f ca="1"/>
      </c>
      <c r="AU1311">
        <f ca="1"/>
      </c>
      <c r="AV1311">
        <f ca="1"/>
      </c>
      <c r="AW1311">
        <f ca="1"/>
      </c>
      <c r="AX1311">
        <f ca="1"/>
      </c>
      <c r="AY1311">
        <f ca="1"/>
      </c>
      <c r="BA1311" s="7"/>
    </row>
    <row r="1312" spans="31:53" x14ac:dyDescent="0.55000000000000004">
      <c r="AE1312" s="7">
        <f ca="1"/>
      </c>
      <c r="AF1312">
        <f ca="1"/>
      </c>
      <c r="AG1312">
        <f ca="1"/>
      </c>
      <c r="AH1312">
        <f ca="1"/>
      </c>
      <c r="AI1312">
        <f ca="1"/>
      </c>
      <c r="AJ1312">
        <f ca="1"/>
      </c>
      <c r="AK1312">
        <f ca="1"/>
      </c>
      <c r="AL1312">
        <f ca="1"/>
      </c>
      <c r="AM1312">
        <f ca="1"/>
      </c>
      <c r="AN1312">
        <f ca="1"/>
      </c>
      <c r="AO1312">
        <f ca="1"/>
      </c>
      <c r="AP1312">
        <f ca="1"/>
      </c>
      <c r="AQ1312">
        <f ca="1"/>
      </c>
      <c r="AR1312">
        <f ca="1"/>
      </c>
      <c r="AT1312" s="7">
        <f ca="1"/>
      </c>
      <c r="AU1312">
        <f ca="1"/>
      </c>
      <c r="AV1312">
        <f ca="1"/>
      </c>
      <c r="AW1312">
        <f ca="1"/>
      </c>
      <c r="AX1312">
        <f ca="1"/>
      </c>
      <c r="AY1312">
        <f ca="1"/>
      </c>
      <c r="BA1312" s="7"/>
    </row>
    <row r="1313" spans="31:53" x14ac:dyDescent="0.55000000000000004">
      <c r="AE1313" s="7">
        <f ca="1"/>
      </c>
      <c r="AF1313">
        <f ca="1"/>
      </c>
      <c r="AG1313">
        <f ca="1"/>
      </c>
      <c r="AH1313">
        <f ca="1"/>
      </c>
      <c r="AI1313">
        <f ca="1"/>
      </c>
      <c r="AJ1313">
        <f ca="1"/>
      </c>
      <c r="AK1313">
        <f ca="1"/>
      </c>
      <c r="AL1313">
        <f ca="1"/>
      </c>
      <c r="AM1313">
        <f ca="1"/>
      </c>
      <c r="AN1313">
        <f ca="1"/>
      </c>
      <c r="AO1313">
        <f ca="1"/>
      </c>
      <c r="AP1313">
        <f ca="1"/>
      </c>
      <c r="AQ1313">
        <f ca="1"/>
      </c>
      <c r="AR1313">
        <f ca="1"/>
      </c>
      <c r="AT1313" s="7">
        <f ca="1"/>
      </c>
      <c r="AU1313">
        <f ca="1"/>
      </c>
      <c r="AV1313">
        <f ca="1"/>
      </c>
      <c r="AW1313">
        <f ca="1"/>
      </c>
      <c r="AX1313">
        <f ca="1"/>
      </c>
      <c r="AY1313">
        <f ca="1"/>
      </c>
      <c r="BA1313" s="7"/>
    </row>
    <row r="1314" spans="31:53" x14ac:dyDescent="0.55000000000000004">
      <c r="AE1314" s="7">
        <f ca="1"/>
      </c>
      <c r="AF1314">
        <f ca="1"/>
      </c>
      <c r="AG1314">
        <f ca="1"/>
      </c>
      <c r="AH1314">
        <f ca="1"/>
      </c>
      <c r="AI1314">
        <f ca="1"/>
      </c>
      <c r="AJ1314">
        <f ca="1"/>
      </c>
      <c r="AK1314">
        <f ca="1"/>
      </c>
      <c r="AL1314">
        <f ca="1"/>
      </c>
      <c r="AM1314">
        <f ca="1"/>
      </c>
      <c r="AN1314">
        <f ca="1"/>
      </c>
      <c r="AO1314">
        <f ca="1"/>
      </c>
      <c r="AP1314">
        <f ca="1"/>
      </c>
      <c r="AQ1314">
        <f ca="1"/>
      </c>
      <c r="AR1314">
        <f ca="1"/>
      </c>
      <c r="AT1314" s="7">
        <f ca="1"/>
      </c>
      <c r="AU1314">
        <f ca="1"/>
      </c>
      <c r="AV1314">
        <f ca="1"/>
      </c>
      <c r="AW1314">
        <f ca="1"/>
      </c>
      <c r="AX1314">
        <f ca="1"/>
      </c>
      <c r="AY1314">
        <f ca="1"/>
      </c>
      <c r="BA1314" s="7"/>
    </row>
    <row r="1315" spans="31:53" x14ac:dyDescent="0.55000000000000004">
      <c r="AE1315" s="7">
        <f ca="1"/>
      </c>
      <c r="AF1315">
        <f ca="1"/>
      </c>
      <c r="AG1315">
        <f ca="1"/>
      </c>
      <c r="AH1315">
        <f ca="1"/>
      </c>
      <c r="AI1315">
        <f ca="1"/>
      </c>
      <c r="AJ1315">
        <f ca="1"/>
      </c>
      <c r="AK1315">
        <f ca="1"/>
      </c>
      <c r="AL1315">
        <f ca="1"/>
      </c>
      <c r="AM1315">
        <f ca="1"/>
      </c>
      <c r="AN1315">
        <f ca="1"/>
      </c>
      <c r="AO1315">
        <f ca="1"/>
      </c>
      <c r="AP1315">
        <f ca="1"/>
      </c>
      <c r="AQ1315">
        <f ca="1"/>
      </c>
      <c r="AR1315">
        <f ca="1"/>
      </c>
      <c r="AT1315" s="7">
        <f ca="1"/>
      </c>
      <c r="AU1315">
        <f ca="1"/>
      </c>
      <c r="AV1315">
        <f ca="1"/>
      </c>
      <c r="AW1315">
        <f ca="1"/>
      </c>
      <c r="AX1315">
        <f ca="1"/>
      </c>
      <c r="AY1315">
        <f ca="1"/>
      </c>
      <c r="BA1315" s="7"/>
    </row>
    <row r="1316" spans="31:53" x14ac:dyDescent="0.55000000000000004">
      <c r="AE1316" s="7">
        <f ca="1"/>
      </c>
      <c r="AF1316">
        <f ca="1"/>
      </c>
      <c r="AG1316">
        <f ca="1"/>
      </c>
      <c r="AH1316">
        <f ca="1"/>
      </c>
      <c r="AI1316">
        <f ca="1"/>
      </c>
      <c r="AJ1316">
        <f ca="1"/>
      </c>
      <c r="AK1316">
        <f ca="1"/>
      </c>
      <c r="AL1316">
        <f ca="1"/>
      </c>
      <c r="AM1316">
        <f ca="1"/>
      </c>
      <c r="AN1316">
        <f ca="1"/>
      </c>
      <c r="AO1316">
        <f ca="1"/>
      </c>
      <c r="AP1316">
        <f ca="1"/>
      </c>
      <c r="AQ1316">
        <f ca="1"/>
      </c>
      <c r="AR1316">
        <f ca="1"/>
      </c>
      <c r="AT1316" s="7">
        <f ca="1"/>
      </c>
      <c r="AU1316">
        <f ca="1"/>
      </c>
      <c r="AV1316">
        <f ca="1"/>
      </c>
      <c r="AW1316">
        <f ca="1"/>
      </c>
      <c r="AX1316">
        <f ca="1"/>
      </c>
      <c r="AY1316">
        <f ca="1"/>
      </c>
      <c r="BA1316" s="7"/>
    </row>
    <row r="1317" spans="31:53" x14ac:dyDescent="0.55000000000000004">
      <c r="AE1317" s="7">
        <f ca="1"/>
      </c>
      <c r="AF1317">
        <f ca="1"/>
      </c>
      <c r="AG1317">
        <f ca="1"/>
      </c>
      <c r="AH1317">
        <f ca="1"/>
      </c>
      <c r="AI1317">
        <f ca="1"/>
      </c>
      <c r="AJ1317">
        <f ca="1"/>
      </c>
      <c r="AK1317">
        <f ca="1"/>
      </c>
      <c r="AL1317">
        <f ca="1"/>
      </c>
      <c r="AM1317">
        <f ca="1"/>
      </c>
      <c r="AN1317">
        <f ca="1"/>
      </c>
      <c r="AO1317">
        <f ca="1"/>
      </c>
      <c r="AP1317">
        <f ca="1"/>
      </c>
      <c r="AQ1317">
        <f ca="1"/>
      </c>
      <c r="AR1317">
        <f ca="1"/>
      </c>
      <c r="AT1317" s="7">
        <f ca="1"/>
      </c>
      <c r="AU1317">
        <f ca="1"/>
      </c>
      <c r="AV1317">
        <f ca="1"/>
      </c>
      <c r="AW1317">
        <f ca="1"/>
      </c>
      <c r="AX1317">
        <f ca="1"/>
      </c>
      <c r="AY1317">
        <f ca="1"/>
      </c>
      <c r="BA1317" s="7"/>
    </row>
    <row r="1318" spans="31:53" x14ac:dyDescent="0.55000000000000004">
      <c r="AE1318" s="7">
        <f ca="1"/>
      </c>
      <c r="AF1318">
        <f ca="1"/>
      </c>
      <c r="AG1318">
        <f ca="1"/>
      </c>
      <c r="AH1318">
        <f ca="1"/>
      </c>
      <c r="AI1318">
        <f ca="1"/>
      </c>
      <c r="AJ1318">
        <f ca="1"/>
      </c>
      <c r="AK1318">
        <f ca="1"/>
      </c>
      <c r="AL1318">
        <f ca="1"/>
      </c>
      <c r="AM1318">
        <f ca="1"/>
      </c>
      <c r="AN1318">
        <f ca="1"/>
      </c>
      <c r="AO1318">
        <f ca="1"/>
      </c>
      <c r="AP1318">
        <f ca="1"/>
      </c>
      <c r="AQ1318">
        <f ca="1"/>
      </c>
      <c r="AR1318">
        <f ca="1"/>
      </c>
      <c r="AT1318" s="7">
        <f ca="1"/>
      </c>
      <c r="AU1318">
        <f ca="1"/>
      </c>
      <c r="AV1318">
        <f ca="1"/>
      </c>
      <c r="AW1318">
        <f ca="1"/>
      </c>
      <c r="AX1318">
        <f ca="1"/>
      </c>
      <c r="AY1318">
        <f ca="1"/>
      </c>
      <c r="BA1318" s="7"/>
    </row>
    <row r="1319" spans="31:53" x14ac:dyDescent="0.55000000000000004">
      <c r="AE1319" s="7">
        <f ca="1"/>
      </c>
      <c r="AF1319">
        <f ca="1"/>
      </c>
      <c r="AG1319">
        <f ca="1"/>
      </c>
      <c r="AH1319">
        <f ca="1"/>
      </c>
      <c r="AI1319">
        <f ca="1"/>
      </c>
      <c r="AJ1319">
        <f ca="1"/>
      </c>
      <c r="AK1319">
        <f ca="1"/>
      </c>
      <c r="AL1319">
        <f ca="1"/>
      </c>
      <c r="AM1319">
        <f ca="1"/>
      </c>
      <c r="AN1319">
        <f ca="1"/>
      </c>
      <c r="AO1319">
        <f ca="1"/>
      </c>
      <c r="AP1319">
        <f ca="1"/>
      </c>
      <c r="AQ1319">
        <f ca="1"/>
      </c>
      <c r="AR1319">
        <f ca="1"/>
      </c>
      <c r="AT1319" s="7">
        <f ca="1"/>
      </c>
      <c r="AU1319">
        <f ca="1"/>
      </c>
      <c r="AV1319">
        <f ca="1"/>
      </c>
      <c r="AW1319">
        <f ca="1"/>
      </c>
      <c r="AX1319">
        <f ca="1"/>
      </c>
      <c r="AY1319">
        <f ca="1"/>
      </c>
      <c r="BA1319" s="7"/>
    </row>
    <row r="1320" spans="31:53" x14ac:dyDescent="0.55000000000000004">
      <c r="AE1320" s="7">
        <f ca="1"/>
      </c>
      <c r="AF1320">
        <f ca="1"/>
      </c>
      <c r="AG1320">
        <f ca="1"/>
      </c>
      <c r="AH1320">
        <f ca="1"/>
      </c>
      <c r="AI1320">
        <f ca="1"/>
      </c>
      <c r="AJ1320">
        <f ca="1"/>
      </c>
      <c r="AK1320">
        <f ca="1"/>
      </c>
      <c r="AL1320">
        <f ca="1"/>
      </c>
      <c r="AM1320">
        <f ca="1"/>
      </c>
      <c r="AN1320">
        <f ca="1"/>
      </c>
      <c r="AO1320">
        <f ca="1"/>
      </c>
      <c r="AP1320">
        <f ca="1"/>
      </c>
      <c r="AQ1320">
        <f ca="1"/>
      </c>
      <c r="AR1320">
        <f ca="1"/>
      </c>
      <c r="AT1320" s="7">
        <f ca="1"/>
      </c>
      <c r="AU1320">
        <f ca="1"/>
      </c>
      <c r="AV1320">
        <f ca="1"/>
      </c>
      <c r="AW1320">
        <f ca="1"/>
      </c>
      <c r="AX1320">
        <f ca="1"/>
      </c>
      <c r="AY1320">
        <f ca="1"/>
      </c>
      <c r="BA1320" s="7"/>
    </row>
    <row r="1321" spans="31:53" x14ac:dyDescent="0.55000000000000004">
      <c r="AE1321" s="7">
        <f ca="1"/>
      </c>
      <c r="AF1321">
        <f ca="1"/>
      </c>
      <c r="AG1321">
        <f ca="1"/>
      </c>
      <c r="AH1321">
        <f ca="1"/>
      </c>
      <c r="AI1321">
        <f ca="1"/>
      </c>
      <c r="AJ1321">
        <f ca="1"/>
      </c>
      <c r="AK1321">
        <f ca="1"/>
      </c>
      <c r="AL1321">
        <f ca="1"/>
      </c>
      <c r="AM1321">
        <f ca="1"/>
      </c>
      <c r="AN1321">
        <f ca="1"/>
      </c>
      <c r="AO1321">
        <f ca="1"/>
      </c>
      <c r="AP1321">
        <f ca="1"/>
      </c>
      <c r="AQ1321">
        <f ca="1"/>
      </c>
      <c r="AR1321">
        <f ca="1"/>
      </c>
      <c r="AT1321" s="7">
        <f ca="1"/>
      </c>
      <c r="AU1321">
        <f ca="1"/>
      </c>
      <c r="AV1321">
        <f ca="1"/>
      </c>
      <c r="AW1321">
        <f ca="1"/>
      </c>
      <c r="AX1321">
        <f ca="1"/>
      </c>
      <c r="AY1321">
        <f ca="1"/>
      </c>
      <c r="BA1321" s="7"/>
    </row>
    <row r="1322" spans="31:53" x14ac:dyDescent="0.55000000000000004">
      <c r="AE1322" s="7">
        <f ca="1"/>
      </c>
      <c r="AF1322">
        <f ca="1"/>
      </c>
      <c r="AG1322">
        <f ca="1"/>
      </c>
      <c r="AH1322">
        <f ca="1"/>
      </c>
      <c r="AI1322">
        <f ca="1"/>
      </c>
      <c r="AJ1322">
        <f ca="1"/>
      </c>
      <c r="AK1322">
        <f ca="1"/>
      </c>
      <c r="AL1322">
        <f ca="1"/>
      </c>
      <c r="AM1322">
        <f ca="1"/>
      </c>
      <c r="AN1322">
        <f ca="1"/>
      </c>
      <c r="AO1322">
        <f ca="1"/>
      </c>
      <c r="AP1322">
        <f ca="1"/>
      </c>
      <c r="AQ1322">
        <f ca="1"/>
      </c>
      <c r="AR1322">
        <f ca="1"/>
      </c>
      <c r="AT1322" s="7">
        <f ca="1"/>
      </c>
      <c r="AU1322">
        <f ca="1"/>
      </c>
      <c r="AV1322">
        <f ca="1"/>
      </c>
      <c r="AW1322">
        <f ca="1"/>
      </c>
      <c r="AX1322">
        <f ca="1"/>
      </c>
      <c r="AY1322">
        <f ca="1"/>
      </c>
      <c r="BA1322" s="7"/>
    </row>
    <row r="1323" spans="31:53" x14ac:dyDescent="0.55000000000000004">
      <c r="AE1323" s="7">
        <f ca="1"/>
      </c>
      <c r="AF1323">
        <f ca="1"/>
      </c>
      <c r="AG1323">
        <f ca="1"/>
      </c>
      <c r="AH1323">
        <f ca="1"/>
      </c>
      <c r="AI1323">
        <f ca="1"/>
      </c>
      <c r="AJ1323">
        <f ca="1"/>
      </c>
      <c r="AK1323">
        <f ca="1"/>
      </c>
      <c r="AL1323">
        <f ca="1"/>
      </c>
      <c r="AM1323">
        <f ca="1"/>
      </c>
      <c r="AN1323">
        <f ca="1"/>
      </c>
      <c r="AO1323">
        <f ca="1"/>
      </c>
      <c r="AP1323">
        <f ca="1"/>
      </c>
      <c r="AQ1323">
        <f ca="1"/>
      </c>
      <c r="AR1323">
        <f ca="1"/>
      </c>
      <c r="AT1323" s="7">
        <f ca="1"/>
      </c>
      <c r="AU1323">
        <f ca="1"/>
      </c>
      <c r="AV1323">
        <f ca="1"/>
      </c>
      <c r="AW1323">
        <f ca="1"/>
      </c>
      <c r="AX1323">
        <f ca="1"/>
      </c>
      <c r="AY1323">
        <f ca="1"/>
      </c>
      <c r="BA1323" s="7"/>
    </row>
    <row r="1324" spans="31:53" x14ac:dyDescent="0.55000000000000004">
      <c r="AE1324" s="7">
        <f ca="1"/>
      </c>
      <c r="AF1324">
        <f ca="1"/>
      </c>
      <c r="AG1324">
        <f ca="1"/>
      </c>
      <c r="AH1324">
        <f ca="1"/>
      </c>
      <c r="AI1324">
        <f ca="1"/>
      </c>
      <c r="AJ1324">
        <f ca="1"/>
      </c>
      <c r="AK1324">
        <f ca="1"/>
      </c>
      <c r="AL1324">
        <f ca="1"/>
      </c>
      <c r="AM1324">
        <f ca="1"/>
      </c>
      <c r="AN1324">
        <f ca="1"/>
      </c>
      <c r="AO1324">
        <f ca="1"/>
      </c>
      <c r="AP1324">
        <f ca="1"/>
      </c>
      <c r="AQ1324">
        <f ca="1"/>
      </c>
      <c r="AR1324">
        <f ca="1"/>
      </c>
      <c r="AT1324" s="7">
        <f ca="1"/>
      </c>
      <c r="AU1324">
        <f ca="1"/>
      </c>
      <c r="AV1324">
        <f ca="1"/>
      </c>
      <c r="AW1324">
        <f ca="1"/>
      </c>
      <c r="AX1324">
        <f ca="1"/>
      </c>
      <c r="AY1324">
        <f ca="1"/>
      </c>
      <c r="BA1324" s="7"/>
    </row>
    <row r="1325" spans="31:53" x14ac:dyDescent="0.55000000000000004">
      <c r="AE1325" s="7">
        <f ca="1"/>
      </c>
      <c r="AF1325">
        <f ca="1"/>
      </c>
      <c r="AG1325">
        <f ca="1"/>
      </c>
      <c r="AH1325">
        <f ca="1"/>
      </c>
      <c r="AI1325">
        <f ca="1"/>
      </c>
      <c r="AJ1325">
        <f ca="1"/>
      </c>
      <c r="AK1325">
        <f ca="1"/>
      </c>
      <c r="AL1325">
        <f ca="1"/>
      </c>
      <c r="AM1325">
        <f ca="1"/>
      </c>
      <c r="AN1325">
        <f ca="1"/>
      </c>
      <c r="AO1325">
        <f ca="1"/>
      </c>
      <c r="AP1325">
        <f ca="1"/>
      </c>
      <c r="AQ1325">
        <f ca="1"/>
      </c>
      <c r="AR1325">
        <f ca="1"/>
      </c>
      <c r="AT1325" s="7">
        <f ca="1"/>
      </c>
      <c r="AU1325">
        <f ca="1"/>
      </c>
      <c r="AV1325">
        <f ca="1"/>
      </c>
      <c r="AW1325">
        <f ca="1"/>
      </c>
      <c r="AX1325">
        <f ca="1"/>
      </c>
      <c r="AY1325">
        <f ca="1"/>
      </c>
      <c r="BA1325" s="7"/>
    </row>
    <row r="1326" spans="31:53" x14ac:dyDescent="0.55000000000000004">
      <c r="AE1326" s="7">
        <f ca="1"/>
      </c>
      <c r="AF1326">
        <f ca="1"/>
      </c>
      <c r="AG1326">
        <f ca="1"/>
      </c>
      <c r="AH1326">
        <f ca="1"/>
      </c>
      <c r="AI1326">
        <f ca="1"/>
      </c>
      <c r="AJ1326">
        <f ca="1"/>
      </c>
      <c r="AK1326">
        <f ca="1"/>
      </c>
      <c r="AL1326">
        <f ca="1"/>
      </c>
      <c r="AM1326">
        <f ca="1"/>
      </c>
      <c r="AN1326">
        <f ca="1"/>
      </c>
      <c r="AO1326">
        <f ca="1"/>
      </c>
      <c r="AP1326">
        <f ca="1"/>
      </c>
      <c r="AQ1326">
        <f ca="1"/>
      </c>
      <c r="AR1326">
        <f ca="1"/>
      </c>
      <c r="AT1326" s="7">
        <f ca="1"/>
      </c>
      <c r="AU1326">
        <f ca="1"/>
      </c>
      <c r="AV1326">
        <f ca="1"/>
      </c>
      <c r="AW1326">
        <f ca="1"/>
      </c>
      <c r="AX1326">
        <f ca="1"/>
      </c>
      <c r="AY1326">
        <f ca="1"/>
      </c>
      <c r="BA1326" s="7"/>
    </row>
    <row r="1327" spans="31:53" x14ac:dyDescent="0.55000000000000004">
      <c r="AE1327" s="7">
        <f ca="1"/>
      </c>
      <c r="AF1327">
        <f ca="1"/>
      </c>
      <c r="AG1327">
        <f ca="1"/>
      </c>
      <c r="AH1327">
        <f ca="1"/>
      </c>
      <c r="AI1327">
        <f ca="1"/>
      </c>
      <c r="AJ1327">
        <f ca="1"/>
      </c>
      <c r="AK1327">
        <f ca="1"/>
      </c>
      <c r="AL1327">
        <f ca="1"/>
      </c>
      <c r="AM1327">
        <f ca="1"/>
      </c>
      <c r="AN1327">
        <f ca="1"/>
      </c>
      <c r="AO1327">
        <f ca="1"/>
      </c>
      <c r="AP1327">
        <f ca="1"/>
      </c>
      <c r="AQ1327">
        <f ca="1"/>
      </c>
      <c r="AR1327">
        <f ca="1"/>
      </c>
      <c r="AT1327" s="7">
        <f ca="1"/>
      </c>
      <c r="AU1327">
        <f ca="1"/>
      </c>
      <c r="AV1327">
        <f ca="1"/>
      </c>
      <c r="AW1327">
        <f ca="1"/>
      </c>
      <c r="AX1327">
        <f ca="1"/>
      </c>
      <c r="AY1327">
        <f ca="1"/>
      </c>
      <c r="BA1327" s="7"/>
    </row>
    <row r="1328" spans="31:53" x14ac:dyDescent="0.55000000000000004">
      <c r="AE1328" s="7">
        <f ca="1"/>
      </c>
      <c r="AF1328">
        <f ca="1"/>
      </c>
      <c r="AG1328">
        <f ca="1"/>
      </c>
      <c r="AH1328">
        <f ca="1"/>
      </c>
      <c r="AI1328">
        <f ca="1"/>
      </c>
      <c r="AJ1328">
        <f ca="1"/>
      </c>
      <c r="AK1328">
        <f ca="1"/>
      </c>
      <c r="AL1328">
        <f ca="1"/>
      </c>
      <c r="AM1328">
        <f ca="1"/>
      </c>
      <c r="AN1328">
        <f ca="1"/>
      </c>
      <c r="AO1328">
        <f ca="1"/>
      </c>
      <c r="AP1328">
        <f ca="1"/>
      </c>
      <c r="AQ1328">
        <f ca="1"/>
      </c>
      <c r="AR1328">
        <f ca="1"/>
      </c>
      <c r="AT1328" s="7">
        <f ca="1"/>
      </c>
      <c r="AU1328">
        <f ca="1"/>
      </c>
      <c r="AV1328">
        <f ca="1"/>
      </c>
      <c r="AW1328">
        <f ca="1"/>
      </c>
      <c r="AX1328">
        <f ca="1"/>
      </c>
      <c r="AY1328">
        <f ca="1"/>
      </c>
      <c r="BA1328" s="7"/>
    </row>
    <row r="1329" spans="31:53" x14ac:dyDescent="0.55000000000000004">
      <c r="AE1329" s="7">
        <f ca="1"/>
      </c>
      <c r="AF1329">
        <f ca="1"/>
      </c>
      <c r="AG1329">
        <f ca="1"/>
      </c>
      <c r="AH1329">
        <f ca="1"/>
      </c>
      <c r="AI1329">
        <f ca="1"/>
      </c>
      <c r="AJ1329">
        <f ca="1"/>
      </c>
      <c r="AK1329">
        <f ca="1"/>
      </c>
      <c r="AL1329">
        <f ca="1"/>
      </c>
      <c r="AM1329">
        <f ca="1"/>
      </c>
      <c r="AN1329">
        <f ca="1"/>
      </c>
      <c r="AO1329">
        <f ca="1"/>
      </c>
      <c r="AP1329">
        <f ca="1"/>
      </c>
      <c r="AQ1329">
        <f ca="1"/>
      </c>
      <c r="AR1329">
        <f ca="1"/>
      </c>
      <c r="AT1329" s="7">
        <f ca="1"/>
      </c>
      <c r="AU1329">
        <f ca="1"/>
      </c>
      <c r="AV1329">
        <f ca="1"/>
      </c>
      <c r="AW1329">
        <f ca="1"/>
      </c>
      <c r="AX1329">
        <f ca="1"/>
      </c>
      <c r="AY1329">
        <f ca="1"/>
      </c>
      <c r="BA1329" s="7"/>
    </row>
    <row r="1330" spans="31:53" x14ac:dyDescent="0.55000000000000004">
      <c r="AE1330" s="7">
        <f ca="1"/>
      </c>
      <c r="AF1330">
        <f ca="1"/>
      </c>
      <c r="AG1330">
        <f ca="1"/>
      </c>
      <c r="AH1330">
        <f ca="1"/>
      </c>
      <c r="AI1330">
        <f ca="1"/>
      </c>
      <c r="AJ1330">
        <f ca="1"/>
      </c>
      <c r="AK1330">
        <f ca="1"/>
      </c>
      <c r="AL1330">
        <f ca="1"/>
      </c>
      <c r="AM1330">
        <f ca="1"/>
      </c>
      <c r="AN1330">
        <f ca="1"/>
      </c>
      <c r="AO1330">
        <f ca="1"/>
      </c>
      <c r="AP1330">
        <f ca="1"/>
      </c>
      <c r="AQ1330">
        <f ca="1"/>
      </c>
      <c r="AR1330">
        <f ca="1"/>
      </c>
      <c r="AT1330" s="7">
        <f ca="1"/>
      </c>
      <c r="AU1330">
        <f ca="1"/>
      </c>
      <c r="AV1330">
        <f ca="1"/>
      </c>
      <c r="AW1330">
        <f ca="1"/>
      </c>
      <c r="AX1330">
        <f ca="1"/>
      </c>
      <c r="AY1330">
        <f ca="1"/>
      </c>
      <c r="BA1330" s="7"/>
    </row>
    <row r="1331" spans="31:53" x14ac:dyDescent="0.55000000000000004">
      <c r="AE1331" s="7">
        <f ca="1"/>
      </c>
      <c r="AF1331">
        <f ca="1"/>
      </c>
      <c r="AG1331">
        <f ca="1"/>
      </c>
      <c r="AH1331">
        <f ca="1"/>
      </c>
      <c r="AI1331">
        <f ca="1"/>
      </c>
      <c r="AJ1331">
        <f ca="1"/>
      </c>
      <c r="AK1331">
        <f ca="1"/>
      </c>
      <c r="AL1331">
        <f ca="1"/>
      </c>
      <c r="AM1331">
        <f ca="1"/>
      </c>
      <c r="AN1331">
        <f ca="1"/>
      </c>
      <c r="AO1331">
        <f ca="1"/>
      </c>
      <c r="AP1331">
        <f ca="1"/>
      </c>
      <c r="AQ1331">
        <f ca="1"/>
      </c>
      <c r="AR1331">
        <f ca="1"/>
      </c>
      <c r="AT1331" s="7">
        <f ca="1"/>
      </c>
      <c r="AU1331">
        <f ca="1"/>
      </c>
      <c r="AV1331">
        <f ca="1"/>
      </c>
      <c r="AW1331">
        <f ca="1"/>
      </c>
      <c r="AX1331">
        <f ca="1"/>
      </c>
      <c r="AY1331">
        <f ca="1"/>
      </c>
      <c r="BA1331" s="7"/>
    </row>
    <row r="1332" spans="31:53" x14ac:dyDescent="0.55000000000000004">
      <c r="AE1332" s="7">
        <f ca="1"/>
      </c>
      <c r="AF1332">
        <f ca="1"/>
      </c>
      <c r="AG1332">
        <f ca="1"/>
      </c>
      <c r="AH1332">
        <f ca="1"/>
      </c>
      <c r="AI1332">
        <f ca="1"/>
      </c>
      <c r="AJ1332">
        <f ca="1"/>
      </c>
      <c r="AK1332">
        <f ca="1"/>
      </c>
      <c r="AL1332">
        <f ca="1"/>
      </c>
      <c r="AM1332">
        <f ca="1"/>
      </c>
      <c r="AN1332">
        <f ca="1"/>
      </c>
      <c r="AO1332">
        <f ca="1"/>
      </c>
      <c r="AP1332">
        <f ca="1"/>
      </c>
      <c r="AQ1332">
        <f ca="1"/>
      </c>
      <c r="AR1332">
        <f ca="1"/>
      </c>
      <c r="AT1332" s="7">
        <f ca="1"/>
      </c>
      <c r="AU1332">
        <f ca="1"/>
      </c>
      <c r="AV1332">
        <f ca="1"/>
      </c>
      <c r="AW1332">
        <f ca="1"/>
      </c>
      <c r="AX1332">
        <f ca="1"/>
      </c>
      <c r="AY1332">
        <f ca="1"/>
      </c>
      <c r="BA1332" s="7"/>
    </row>
    <row r="1333" spans="31:53" x14ac:dyDescent="0.55000000000000004">
      <c r="AE1333" s="7">
        <f ca="1"/>
      </c>
      <c r="AF1333">
        <f ca="1"/>
      </c>
      <c r="AG1333">
        <f ca="1"/>
      </c>
      <c r="AH1333">
        <f ca="1"/>
      </c>
      <c r="AI1333">
        <f ca="1"/>
      </c>
      <c r="AJ1333">
        <f ca="1"/>
      </c>
      <c r="AK1333">
        <f ca="1"/>
      </c>
      <c r="AL1333">
        <f ca="1"/>
      </c>
      <c r="AM1333">
        <f ca="1"/>
      </c>
      <c r="AN1333">
        <f ca="1"/>
      </c>
      <c r="AO1333">
        <f ca="1"/>
      </c>
      <c r="AP1333">
        <f ca="1"/>
      </c>
      <c r="AQ1333">
        <f ca="1"/>
      </c>
      <c r="AR1333">
        <f ca="1"/>
      </c>
      <c r="AT1333" s="7">
        <f ca="1"/>
      </c>
      <c r="AU1333">
        <f ca="1"/>
      </c>
      <c r="AV1333">
        <f ca="1"/>
      </c>
      <c r="AW1333">
        <f ca="1"/>
      </c>
      <c r="AX1333">
        <f ca="1"/>
      </c>
      <c r="AY1333">
        <f ca="1"/>
      </c>
      <c r="BA1333" s="7"/>
    </row>
    <row r="1334" spans="31:53" x14ac:dyDescent="0.55000000000000004">
      <c r="AE1334" s="7">
        <f ca="1"/>
      </c>
      <c r="AF1334">
        <f ca="1"/>
      </c>
      <c r="AG1334">
        <f ca="1"/>
      </c>
      <c r="AH1334">
        <f ca="1"/>
      </c>
      <c r="AI1334">
        <f ca="1"/>
      </c>
      <c r="AJ1334">
        <f ca="1"/>
      </c>
      <c r="AK1334">
        <f ca="1"/>
      </c>
      <c r="AL1334">
        <f ca="1"/>
      </c>
      <c r="AM1334">
        <f ca="1"/>
      </c>
      <c r="AN1334">
        <f ca="1"/>
      </c>
      <c r="AO1334">
        <f ca="1"/>
      </c>
      <c r="AP1334">
        <f ca="1"/>
      </c>
      <c r="AQ1334">
        <f ca="1"/>
      </c>
      <c r="AR1334">
        <f ca="1"/>
      </c>
      <c r="AT1334" s="7">
        <f ca="1"/>
      </c>
      <c r="AU1334">
        <f ca="1"/>
      </c>
      <c r="AV1334">
        <f ca="1"/>
      </c>
      <c r="AW1334">
        <f ca="1"/>
      </c>
      <c r="AX1334">
        <f ca="1"/>
      </c>
      <c r="AY1334">
        <f ca="1"/>
      </c>
      <c r="BA1334" s="7"/>
    </row>
    <row r="1335" spans="31:53" x14ac:dyDescent="0.55000000000000004">
      <c r="AE1335" s="7">
        <f ca="1"/>
      </c>
      <c r="AF1335">
        <f ca="1"/>
      </c>
      <c r="AG1335">
        <f ca="1"/>
      </c>
      <c r="AH1335">
        <f ca="1"/>
      </c>
      <c r="AI1335">
        <f ca="1"/>
      </c>
      <c r="AJ1335">
        <f ca="1"/>
      </c>
      <c r="AK1335">
        <f ca="1"/>
      </c>
      <c r="AL1335">
        <f ca="1"/>
      </c>
      <c r="AM1335">
        <f ca="1"/>
      </c>
      <c r="AN1335">
        <f ca="1"/>
      </c>
      <c r="AO1335">
        <f ca="1"/>
      </c>
      <c r="AP1335">
        <f ca="1"/>
      </c>
      <c r="AQ1335">
        <f ca="1"/>
      </c>
      <c r="AR1335">
        <f ca="1"/>
      </c>
      <c r="AT1335" s="7">
        <f ca="1"/>
      </c>
      <c r="AU1335">
        <f ca="1"/>
      </c>
      <c r="AV1335">
        <f ca="1"/>
      </c>
      <c r="AW1335">
        <f ca="1"/>
      </c>
      <c r="AX1335">
        <f ca="1"/>
      </c>
      <c r="AY1335">
        <f ca="1"/>
      </c>
      <c r="BA1335" s="7"/>
    </row>
    <row r="1336" spans="31:53" x14ac:dyDescent="0.55000000000000004">
      <c r="AE1336" s="7">
        <f ca="1"/>
      </c>
      <c r="AF1336">
        <f ca="1"/>
      </c>
      <c r="AG1336">
        <f ca="1"/>
      </c>
      <c r="AH1336">
        <f ca="1"/>
      </c>
      <c r="AI1336">
        <f ca="1"/>
      </c>
      <c r="AJ1336">
        <f ca="1"/>
      </c>
      <c r="AK1336">
        <f ca="1"/>
      </c>
      <c r="AL1336">
        <f ca="1"/>
      </c>
      <c r="AM1336">
        <f ca="1"/>
      </c>
      <c r="AN1336">
        <f ca="1"/>
      </c>
      <c r="AO1336">
        <f ca="1"/>
      </c>
      <c r="AP1336">
        <f ca="1"/>
      </c>
      <c r="AQ1336">
        <f ca="1"/>
      </c>
      <c r="AR1336">
        <f ca="1"/>
      </c>
      <c r="AT1336" s="7">
        <f ca="1"/>
      </c>
      <c r="AU1336">
        <f ca="1"/>
      </c>
      <c r="AV1336">
        <f ca="1"/>
      </c>
      <c r="AW1336">
        <f ca="1"/>
      </c>
      <c r="AX1336">
        <f ca="1"/>
      </c>
      <c r="AY1336">
        <f ca="1"/>
      </c>
      <c r="BA1336" s="7"/>
    </row>
    <row r="1337" spans="31:53" x14ac:dyDescent="0.55000000000000004">
      <c r="AE1337" s="7">
        <f ca="1"/>
      </c>
      <c r="AF1337">
        <f ca="1"/>
      </c>
      <c r="AG1337">
        <f ca="1"/>
      </c>
      <c r="AH1337">
        <f ca="1"/>
      </c>
      <c r="AI1337">
        <f ca="1"/>
      </c>
      <c r="AJ1337">
        <f ca="1"/>
      </c>
      <c r="AK1337">
        <f ca="1"/>
      </c>
      <c r="AL1337">
        <f ca="1"/>
      </c>
      <c r="AM1337">
        <f ca="1"/>
      </c>
      <c r="AN1337">
        <f ca="1"/>
      </c>
      <c r="AO1337">
        <f ca="1"/>
      </c>
      <c r="AP1337">
        <f ca="1"/>
      </c>
      <c r="AQ1337">
        <f ca="1"/>
      </c>
      <c r="AR1337">
        <f ca="1"/>
      </c>
      <c r="AT1337" s="7">
        <f ca="1"/>
      </c>
      <c r="AU1337">
        <f ca="1"/>
      </c>
      <c r="AV1337">
        <f ca="1"/>
      </c>
      <c r="AW1337">
        <f ca="1"/>
      </c>
      <c r="AX1337">
        <f ca="1"/>
      </c>
      <c r="AY1337">
        <f ca="1"/>
      </c>
      <c r="BA1337" s="7"/>
    </row>
    <row r="1338" spans="31:53" x14ac:dyDescent="0.55000000000000004">
      <c r="AE1338" s="7">
        <f ca="1"/>
      </c>
      <c r="AF1338">
        <f ca="1"/>
      </c>
      <c r="AG1338">
        <f ca="1"/>
      </c>
      <c r="AH1338">
        <f ca="1"/>
      </c>
      <c r="AI1338">
        <f ca="1"/>
      </c>
      <c r="AJ1338">
        <f ca="1"/>
      </c>
      <c r="AK1338">
        <f ca="1"/>
      </c>
      <c r="AL1338">
        <f ca="1"/>
      </c>
      <c r="AM1338">
        <f ca="1"/>
      </c>
      <c r="AN1338">
        <f ca="1"/>
      </c>
      <c r="AO1338">
        <f ca="1"/>
      </c>
      <c r="AP1338">
        <f ca="1"/>
      </c>
      <c r="AQ1338">
        <f ca="1"/>
      </c>
      <c r="AR1338">
        <f ca="1"/>
      </c>
      <c r="AT1338" s="7">
        <f ca="1"/>
      </c>
      <c r="AU1338">
        <f ca="1"/>
      </c>
      <c r="AV1338">
        <f ca="1"/>
      </c>
      <c r="AW1338">
        <f ca="1"/>
      </c>
      <c r="AX1338">
        <f ca="1"/>
      </c>
      <c r="AY1338">
        <f ca="1"/>
      </c>
      <c r="BA1338" s="7"/>
    </row>
    <row r="1339" spans="31:53" x14ac:dyDescent="0.55000000000000004">
      <c r="AE1339" s="7">
        <f ca="1"/>
      </c>
      <c r="AF1339">
        <f ca="1"/>
      </c>
      <c r="AG1339">
        <f ca="1"/>
      </c>
      <c r="AH1339">
        <f ca="1"/>
      </c>
      <c r="AI1339">
        <f ca="1"/>
      </c>
      <c r="AJ1339">
        <f ca="1"/>
      </c>
      <c r="AK1339">
        <f ca="1"/>
      </c>
      <c r="AL1339">
        <f ca="1"/>
      </c>
      <c r="AM1339">
        <f ca="1"/>
      </c>
      <c r="AN1339">
        <f ca="1"/>
      </c>
      <c r="AO1339">
        <f ca="1"/>
      </c>
      <c r="AP1339">
        <f ca="1"/>
      </c>
      <c r="AQ1339">
        <f ca="1"/>
      </c>
      <c r="AR1339">
        <f ca="1"/>
      </c>
      <c r="AT1339" s="7">
        <f ca="1"/>
      </c>
      <c r="AU1339">
        <f ca="1"/>
      </c>
      <c r="AV1339">
        <f ca="1"/>
      </c>
      <c r="AW1339">
        <f ca="1"/>
      </c>
      <c r="AX1339">
        <f ca="1"/>
      </c>
      <c r="AY1339">
        <f ca="1"/>
      </c>
      <c r="BA1339" s="7"/>
    </row>
    <row r="1340" spans="31:53" x14ac:dyDescent="0.55000000000000004">
      <c r="AE1340" s="7">
        <f ca="1"/>
      </c>
      <c r="AF1340">
        <f ca="1"/>
      </c>
      <c r="AG1340">
        <f ca="1"/>
      </c>
      <c r="AH1340">
        <f ca="1"/>
      </c>
      <c r="AI1340">
        <f ca="1"/>
      </c>
      <c r="AJ1340">
        <f ca="1"/>
      </c>
      <c r="AK1340">
        <f ca="1"/>
      </c>
      <c r="AL1340">
        <f ca="1"/>
      </c>
      <c r="AM1340">
        <f ca="1"/>
      </c>
      <c r="AN1340">
        <f ca="1"/>
      </c>
      <c r="AO1340">
        <f ca="1"/>
      </c>
      <c r="AP1340">
        <f ca="1"/>
      </c>
      <c r="AQ1340">
        <f ca="1"/>
      </c>
      <c r="AR1340">
        <f ca="1"/>
      </c>
      <c r="AT1340" s="7">
        <f ca="1"/>
      </c>
      <c r="AU1340">
        <f ca="1"/>
      </c>
      <c r="AV1340">
        <f ca="1"/>
      </c>
      <c r="AW1340">
        <f ca="1"/>
      </c>
      <c r="AX1340">
        <f ca="1"/>
      </c>
      <c r="AY1340">
        <f ca="1"/>
      </c>
      <c r="BA1340" s="7"/>
    </row>
    <row r="1341" spans="31:53" x14ac:dyDescent="0.55000000000000004">
      <c r="AE1341" s="7">
        <f ca="1"/>
      </c>
      <c r="AF1341">
        <f ca="1"/>
      </c>
      <c r="AG1341">
        <f ca="1"/>
      </c>
      <c r="AH1341">
        <f ca="1"/>
      </c>
      <c r="AI1341">
        <f ca="1"/>
      </c>
      <c r="AJ1341">
        <f ca="1"/>
      </c>
      <c r="AK1341">
        <f ca="1"/>
      </c>
      <c r="AL1341">
        <f ca="1"/>
      </c>
      <c r="AM1341">
        <f ca="1"/>
      </c>
      <c r="AN1341">
        <f ca="1"/>
      </c>
      <c r="AO1341">
        <f ca="1"/>
      </c>
      <c r="AP1341">
        <f ca="1"/>
      </c>
      <c r="AQ1341">
        <f ca="1"/>
      </c>
      <c r="AR1341">
        <f ca="1"/>
      </c>
      <c r="AT1341" s="7">
        <f ca="1"/>
      </c>
      <c r="AU1341">
        <f ca="1"/>
      </c>
      <c r="AV1341">
        <f ca="1"/>
      </c>
      <c r="AW1341">
        <f ca="1"/>
      </c>
      <c r="AX1341">
        <f ca="1"/>
      </c>
      <c r="AY1341">
        <f ca="1"/>
      </c>
      <c r="BA1341" s="7"/>
    </row>
    <row r="1342" spans="31:53" x14ac:dyDescent="0.55000000000000004">
      <c r="AE1342" s="7">
        <f ca="1"/>
      </c>
      <c r="AF1342">
        <f ca="1"/>
      </c>
      <c r="AG1342">
        <f ca="1"/>
      </c>
      <c r="AH1342">
        <f ca="1"/>
      </c>
      <c r="AI1342">
        <f ca="1"/>
      </c>
      <c r="AJ1342">
        <f ca="1"/>
      </c>
      <c r="AK1342">
        <f ca="1"/>
      </c>
      <c r="AL1342">
        <f ca="1"/>
      </c>
      <c r="AM1342">
        <f ca="1"/>
      </c>
      <c r="AN1342">
        <f ca="1"/>
      </c>
      <c r="AO1342">
        <f ca="1"/>
      </c>
      <c r="AP1342">
        <f ca="1"/>
      </c>
      <c r="AQ1342">
        <f ca="1"/>
      </c>
      <c r="AR1342">
        <f ca="1"/>
      </c>
      <c r="AT1342" s="7">
        <f ca="1"/>
      </c>
      <c r="AU1342">
        <f ca="1"/>
      </c>
      <c r="AV1342">
        <f ca="1"/>
      </c>
      <c r="AW1342">
        <f ca="1"/>
      </c>
      <c r="AX1342">
        <f ca="1"/>
      </c>
      <c r="AY1342">
        <f ca="1"/>
      </c>
      <c r="BA1342" s="7"/>
    </row>
    <row r="1343" spans="31:53" x14ac:dyDescent="0.55000000000000004">
      <c r="AE1343" s="7">
        <f ca="1"/>
      </c>
      <c r="AF1343">
        <f ca="1"/>
      </c>
      <c r="AG1343">
        <f ca="1"/>
      </c>
      <c r="AH1343">
        <f ca="1"/>
      </c>
      <c r="AI1343">
        <f ca="1"/>
      </c>
      <c r="AJ1343">
        <f ca="1"/>
      </c>
      <c r="AK1343">
        <f ca="1"/>
      </c>
      <c r="AL1343">
        <f ca="1"/>
      </c>
      <c r="AM1343">
        <f ca="1"/>
      </c>
      <c r="AN1343">
        <f ca="1"/>
      </c>
      <c r="AO1343">
        <f ca="1"/>
      </c>
      <c r="AP1343">
        <f ca="1"/>
      </c>
      <c r="AQ1343">
        <f ca="1"/>
      </c>
      <c r="AR1343">
        <f ca="1"/>
      </c>
      <c r="AT1343" s="7">
        <f ca="1"/>
      </c>
      <c r="AU1343">
        <f ca="1"/>
      </c>
      <c r="AV1343">
        <f ca="1"/>
      </c>
      <c r="AW1343">
        <f ca="1"/>
      </c>
      <c r="AX1343">
        <f ca="1"/>
      </c>
      <c r="AY1343">
        <f ca="1"/>
      </c>
      <c r="BA1343" s="7"/>
    </row>
    <row r="1344" spans="31:53" x14ac:dyDescent="0.55000000000000004">
      <c r="AE1344" s="7">
        <f ca="1"/>
      </c>
      <c r="AF1344">
        <f ca="1"/>
      </c>
      <c r="AG1344">
        <f ca="1"/>
      </c>
      <c r="AH1344">
        <f ca="1"/>
      </c>
      <c r="AI1344">
        <f ca="1"/>
      </c>
      <c r="AJ1344">
        <f ca="1"/>
      </c>
      <c r="AK1344">
        <f ca="1"/>
      </c>
      <c r="AL1344">
        <f ca="1"/>
      </c>
      <c r="AM1344">
        <f ca="1"/>
      </c>
      <c r="AN1344">
        <f ca="1"/>
      </c>
      <c r="AO1344">
        <f ca="1"/>
      </c>
      <c r="AP1344">
        <f ca="1"/>
      </c>
      <c r="AQ1344">
        <f ca="1"/>
      </c>
      <c r="AR1344">
        <f ca="1"/>
      </c>
      <c r="AT1344" s="7">
        <f ca="1"/>
      </c>
      <c r="AU1344">
        <f ca="1"/>
      </c>
      <c r="AV1344">
        <f ca="1"/>
      </c>
      <c r="AW1344">
        <f ca="1"/>
      </c>
      <c r="AX1344">
        <f ca="1"/>
      </c>
      <c r="AY1344">
        <f ca="1"/>
      </c>
      <c r="BA1344" s="7"/>
    </row>
    <row r="1345" spans="31:53" x14ac:dyDescent="0.55000000000000004">
      <c r="AE1345" s="7">
        <f ca="1"/>
      </c>
      <c r="AF1345">
        <f ca="1"/>
      </c>
      <c r="AG1345">
        <f ca="1"/>
      </c>
      <c r="AH1345">
        <f ca="1"/>
      </c>
      <c r="AI1345">
        <f ca="1"/>
      </c>
      <c r="AJ1345">
        <f ca="1"/>
      </c>
      <c r="AK1345">
        <f ca="1"/>
      </c>
      <c r="AL1345">
        <f ca="1"/>
      </c>
      <c r="AM1345">
        <f ca="1"/>
      </c>
      <c r="AN1345">
        <f ca="1"/>
      </c>
      <c r="AO1345">
        <f ca="1"/>
      </c>
      <c r="AP1345">
        <f ca="1"/>
      </c>
      <c r="AQ1345">
        <f ca="1"/>
      </c>
      <c r="AR1345">
        <f ca="1"/>
      </c>
      <c r="AT1345" s="7">
        <f ca="1"/>
      </c>
      <c r="AU1345">
        <f ca="1"/>
      </c>
      <c r="AV1345">
        <f ca="1"/>
      </c>
      <c r="AW1345">
        <f ca="1"/>
      </c>
      <c r="AX1345">
        <f ca="1"/>
      </c>
      <c r="AY1345">
        <f ca="1"/>
      </c>
      <c r="BA1345" s="7"/>
    </row>
    <row r="1346" spans="31:53" x14ac:dyDescent="0.55000000000000004">
      <c r="AE1346" s="7">
        <f ca="1"/>
      </c>
      <c r="AF1346">
        <f ca="1"/>
      </c>
      <c r="AG1346">
        <f ca="1"/>
      </c>
      <c r="AH1346">
        <f ca="1"/>
      </c>
      <c r="AI1346">
        <f ca="1"/>
      </c>
      <c r="AJ1346">
        <f ca="1"/>
      </c>
      <c r="AK1346">
        <f ca="1"/>
      </c>
      <c r="AL1346">
        <f ca="1"/>
      </c>
      <c r="AM1346">
        <f ca="1"/>
      </c>
      <c r="AN1346">
        <f ca="1"/>
      </c>
      <c r="AO1346">
        <f ca="1"/>
      </c>
      <c r="AP1346">
        <f ca="1"/>
      </c>
      <c r="AQ1346">
        <f ca="1"/>
      </c>
      <c r="AR1346">
        <f ca="1"/>
      </c>
      <c r="AT1346" s="7">
        <f ca="1"/>
      </c>
      <c r="AU1346">
        <f ca="1"/>
      </c>
      <c r="AV1346">
        <f ca="1"/>
      </c>
      <c r="AW1346">
        <f ca="1"/>
      </c>
      <c r="AX1346">
        <f ca="1"/>
      </c>
      <c r="AY1346">
        <f ca="1"/>
      </c>
      <c r="BA1346" s="7"/>
    </row>
    <row r="1347" spans="31:53" x14ac:dyDescent="0.55000000000000004">
      <c r="AE1347" s="7">
        <f ca="1"/>
      </c>
      <c r="AF1347">
        <f ca="1"/>
      </c>
      <c r="AG1347">
        <f ca="1"/>
      </c>
      <c r="AH1347">
        <f ca="1"/>
      </c>
      <c r="AI1347">
        <f ca="1"/>
      </c>
      <c r="AJ1347">
        <f ca="1"/>
      </c>
      <c r="AK1347">
        <f ca="1"/>
      </c>
      <c r="AL1347">
        <f ca="1"/>
      </c>
      <c r="AM1347">
        <f ca="1"/>
      </c>
      <c r="AN1347">
        <f ca="1"/>
      </c>
      <c r="AO1347">
        <f ca="1"/>
      </c>
      <c r="AP1347">
        <f ca="1"/>
      </c>
      <c r="AQ1347">
        <f ca="1"/>
      </c>
      <c r="AR1347">
        <f ca="1"/>
      </c>
      <c r="AT1347" s="7">
        <f ca="1"/>
      </c>
      <c r="AU1347">
        <f ca="1"/>
      </c>
      <c r="AV1347">
        <f ca="1"/>
      </c>
      <c r="AW1347">
        <f ca="1"/>
      </c>
      <c r="AX1347">
        <f ca="1"/>
      </c>
      <c r="AY1347">
        <f ca="1"/>
      </c>
      <c r="BA1347" s="7"/>
    </row>
    <row r="1348" spans="31:53" x14ac:dyDescent="0.55000000000000004">
      <c r="AE1348" s="7">
        <f ca="1"/>
      </c>
      <c r="AF1348">
        <f ca="1"/>
      </c>
      <c r="AG1348">
        <f ca="1"/>
      </c>
      <c r="AH1348">
        <f ca="1"/>
      </c>
      <c r="AI1348">
        <f ca="1"/>
      </c>
      <c r="AJ1348">
        <f ca="1"/>
      </c>
      <c r="AK1348">
        <f ca="1"/>
      </c>
      <c r="AL1348">
        <f ca="1"/>
      </c>
      <c r="AM1348">
        <f ca="1"/>
      </c>
      <c r="AN1348">
        <f ca="1"/>
      </c>
      <c r="AO1348">
        <f ca="1"/>
      </c>
      <c r="AP1348">
        <f ca="1"/>
      </c>
      <c r="AQ1348">
        <f ca="1"/>
      </c>
      <c r="AR1348">
        <f ca="1"/>
      </c>
      <c r="AT1348" s="7">
        <f ca="1"/>
      </c>
      <c r="AU1348">
        <f ca="1"/>
      </c>
      <c r="AV1348">
        <f ca="1"/>
      </c>
      <c r="AW1348">
        <f ca="1"/>
      </c>
      <c r="AX1348">
        <f ca="1"/>
      </c>
      <c r="AY1348">
        <f ca="1"/>
      </c>
      <c r="BA1348" s="7"/>
    </row>
    <row r="1349" spans="31:53" x14ac:dyDescent="0.55000000000000004">
      <c r="AE1349" s="7">
        <f ca="1"/>
      </c>
      <c r="AF1349">
        <f ca="1"/>
      </c>
      <c r="AG1349">
        <f ca="1"/>
      </c>
      <c r="AH1349">
        <f ca="1"/>
      </c>
      <c r="AI1349">
        <f ca="1"/>
      </c>
      <c r="AJ1349">
        <f ca="1"/>
      </c>
      <c r="AK1349">
        <f ca="1"/>
      </c>
      <c r="AL1349">
        <f ca="1"/>
      </c>
      <c r="AM1349">
        <f ca="1"/>
      </c>
      <c r="AN1349">
        <f ca="1"/>
      </c>
      <c r="AO1349">
        <f ca="1"/>
      </c>
      <c r="AP1349">
        <f ca="1"/>
      </c>
      <c r="AQ1349">
        <f ca="1"/>
      </c>
      <c r="AR1349">
        <f ca="1"/>
      </c>
      <c r="AT1349" s="7">
        <f ca="1"/>
      </c>
      <c r="AU1349">
        <f ca="1"/>
      </c>
      <c r="AV1349">
        <f ca="1"/>
      </c>
      <c r="AW1349">
        <f ca="1"/>
      </c>
      <c r="AX1349">
        <f ca="1"/>
      </c>
      <c r="AY1349">
        <f ca="1"/>
      </c>
      <c r="BA1349" s="7"/>
    </row>
    <row r="1350" spans="31:53" x14ac:dyDescent="0.55000000000000004">
      <c r="AE1350" s="7">
        <f ca="1"/>
      </c>
      <c r="AF1350">
        <f ca="1"/>
      </c>
      <c r="AG1350">
        <f ca="1"/>
      </c>
      <c r="AH1350">
        <f ca="1"/>
      </c>
      <c r="AI1350">
        <f ca="1"/>
      </c>
      <c r="AJ1350">
        <f ca="1"/>
      </c>
      <c r="AK1350">
        <f ca="1"/>
      </c>
      <c r="AL1350">
        <f ca="1"/>
      </c>
      <c r="AM1350">
        <f ca="1"/>
      </c>
      <c r="AN1350">
        <f ca="1"/>
      </c>
      <c r="AO1350">
        <f ca="1"/>
      </c>
      <c r="AP1350">
        <f ca="1"/>
      </c>
      <c r="AQ1350">
        <f ca="1"/>
      </c>
      <c r="AR1350">
        <f ca="1"/>
      </c>
      <c r="AT1350" s="7">
        <f ca="1"/>
      </c>
      <c r="AU1350">
        <f ca="1"/>
      </c>
      <c r="AV1350">
        <f ca="1"/>
      </c>
      <c r="AW1350">
        <f ca="1"/>
      </c>
      <c r="AX1350">
        <f ca="1"/>
      </c>
      <c r="AY1350">
        <f ca="1"/>
      </c>
      <c r="BA1350" s="7"/>
    </row>
    <row r="1351" spans="31:53" x14ac:dyDescent="0.55000000000000004">
      <c r="AE1351" s="7">
        <f ca="1"/>
      </c>
      <c r="AF1351">
        <f ca="1"/>
      </c>
      <c r="AG1351">
        <f ca="1"/>
      </c>
      <c r="AH1351">
        <f ca="1"/>
      </c>
      <c r="AI1351">
        <f ca="1"/>
      </c>
      <c r="AJ1351">
        <f ca="1"/>
      </c>
      <c r="AK1351">
        <f ca="1"/>
      </c>
      <c r="AL1351">
        <f ca="1"/>
      </c>
      <c r="AM1351">
        <f ca="1"/>
      </c>
      <c r="AN1351">
        <f ca="1"/>
      </c>
      <c r="AO1351">
        <f ca="1"/>
      </c>
      <c r="AP1351">
        <f ca="1"/>
      </c>
      <c r="AQ1351">
        <f ca="1"/>
      </c>
      <c r="AR1351">
        <f ca="1"/>
      </c>
      <c r="AT1351" s="7">
        <f ca="1"/>
      </c>
      <c r="AU1351">
        <f ca="1"/>
      </c>
      <c r="AV1351">
        <f ca="1"/>
      </c>
      <c r="AW1351">
        <f ca="1"/>
      </c>
      <c r="AX1351">
        <f ca="1"/>
      </c>
      <c r="AY1351">
        <f ca="1"/>
      </c>
      <c r="BA1351" s="7"/>
    </row>
    <row r="1352" spans="31:53" x14ac:dyDescent="0.55000000000000004">
      <c r="AE1352" s="7">
        <f ca="1"/>
      </c>
      <c r="AF1352">
        <f ca="1"/>
      </c>
      <c r="AG1352">
        <f ca="1"/>
      </c>
      <c r="AH1352">
        <f ca="1"/>
      </c>
      <c r="AI1352">
        <f ca="1"/>
      </c>
      <c r="AJ1352">
        <f ca="1"/>
      </c>
      <c r="AK1352">
        <f ca="1"/>
      </c>
      <c r="AL1352">
        <f ca="1"/>
      </c>
      <c r="AM1352">
        <f ca="1"/>
      </c>
      <c r="AN1352">
        <f ca="1"/>
      </c>
      <c r="AO1352">
        <f ca="1"/>
      </c>
      <c r="AP1352">
        <f ca="1"/>
      </c>
      <c r="AQ1352">
        <f ca="1"/>
      </c>
      <c r="AR1352">
        <f ca="1"/>
      </c>
      <c r="AT1352" s="7">
        <f ca="1"/>
      </c>
      <c r="AU1352">
        <f ca="1"/>
      </c>
      <c r="AV1352">
        <f ca="1"/>
      </c>
      <c r="AW1352">
        <f ca="1"/>
      </c>
      <c r="AX1352">
        <f ca="1"/>
      </c>
      <c r="AY1352">
        <f ca="1"/>
      </c>
      <c r="BA1352" s="7"/>
    </row>
    <row r="1353" spans="31:53" x14ac:dyDescent="0.55000000000000004">
      <c r="AE1353" s="7">
        <f ca="1"/>
      </c>
      <c r="AF1353">
        <f ca="1"/>
      </c>
      <c r="AG1353">
        <f ca="1"/>
      </c>
      <c r="AH1353">
        <f ca="1"/>
      </c>
      <c r="AI1353">
        <f ca="1"/>
      </c>
      <c r="AJ1353">
        <f ca="1"/>
      </c>
      <c r="AK1353">
        <f ca="1"/>
      </c>
      <c r="AL1353">
        <f ca="1"/>
      </c>
      <c r="AM1353">
        <f ca="1"/>
      </c>
      <c r="AN1353">
        <f ca="1"/>
      </c>
      <c r="AO1353">
        <f ca="1"/>
      </c>
      <c r="AP1353">
        <f ca="1"/>
      </c>
      <c r="AQ1353">
        <f ca="1"/>
      </c>
      <c r="AR1353">
        <f ca="1"/>
      </c>
      <c r="AT1353" s="7">
        <f ca="1"/>
      </c>
      <c r="AU1353">
        <f ca="1"/>
      </c>
      <c r="AV1353">
        <f ca="1"/>
      </c>
      <c r="AW1353">
        <f ca="1"/>
      </c>
      <c r="AX1353">
        <f ca="1"/>
      </c>
      <c r="AY1353">
        <f ca="1"/>
      </c>
      <c r="BA1353" s="7"/>
    </row>
    <row r="1354" spans="31:53" x14ac:dyDescent="0.55000000000000004">
      <c r="AE1354" s="7">
        <f ca="1"/>
      </c>
      <c r="AF1354">
        <f ca="1"/>
      </c>
      <c r="AG1354">
        <f ca="1"/>
      </c>
      <c r="AH1354">
        <f ca="1"/>
      </c>
      <c r="AI1354">
        <f ca="1"/>
      </c>
      <c r="AJ1354">
        <f ca="1"/>
      </c>
      <c r="AK1354">
        <f ca="1"/>
      </c>
      <c r="AL1354">
        <f ca="1"/>
      </c>
      <c r="AM1354">
        <f ca="1"/>
      </c>
      <c r="AN1354">
        <f ca="1"/>
      </c>
      <c r="AO1354">
        <f ca="1"/>
      </c>
      <c r="AP1354">
        <f ca="1"/>
      </c>
      <c r="AQ1354">
        <f ca="1"/>
      </c>
      <c r="AR1354">
        <f ca="1"/>
      </c>
      <c r="AT1354" s="7">
        <f ca="1"/>
      </c>
      <c r="AU1354">
        <f ca="1"/>
      </c>
      <c r="AV1354">
        <f ca="1"/>
      </c>
      <c r="AW1354">
        <f ca="1"/>
      </c>
      <c r="AX1354">
        <f ca="1"/>
      </c>
      <c r="AY1354">
        <f ca="1"/>
      </c>
      <c r="BA1354" s="7"/>
    </row>
    <row r="1355" spans="31:53" x14ac:dyDescent="0.55000000000000004">
      <c r="AE1355" s="7">
        <f ca="1"/>
      </c>
      <c r="AF1355">
        <f ca="1"/>
      </c>
      <c r="AG1355">
        <f ca="1"/>
      </c>
      <c r="AH1355">
        <f ca="1"/>
      </c>
      <c r="AI1355">
        <f ca="1"/>
      </c>
      <c r="AJ1355">
        <f ca="1"/>
      </c>
      <c r="AK1355">
        <f ca="1"/>
      </c>
      <c r="AL1355">
        <f ca="1"/>
      </c>
      <c r="AM1355">
        <f ca="1"/>
      </c>
      <c r="AN1355">
        <f ca="1"/>
      </c>
      <c r="AO1355">
        <f ca="1"/>
      </c>
      <c r="AP1355">
        <f ca="1"/>
      </c>
      <c r="AQ1355">
        <f ca="1"/>
      </c>
      <c r="AR1355">
        <f ca="1"/>
      </c>
      <c r="AT1355" s="7">
        <f ca="1"/>
      </c>
      <c r="AU1355">
        <f ca="1"/>
      </c>
      <c r="AV1355">
        <f ca="1"/>
      </c>
      <c r="AW1355">
        <f ca="1"/>
      </c>
      <c r="AX1355">
        <f ca="1"/>
      </c>
      <c r="AY1355">
        <f ca="1"/>
      </c>
      <c r="BA1355" s="7"/>
    </row>
    <row r="1356" spans="31:53" x14ac:dyDescent="0.55000000000000004">
      <c r="AE1356" s="7">
        <f ca="1"/>
      </c>
      <c r="AF1356">
        <f ca="1"/>
      </c>
      <c r="AG1356">
        <f ca="1"/>
      </c>
      <c r="AH1356">
        <f ca="1"/>
      </c>
      <c r="AI1356">
        <f ca="1"/>
      </c>
      <c r="AJ1356">
        <f ca="1"/>
      </c>
      <c r="AK1356">
        <f ca="1"/>
      </c>
      <c r="AL1356">
        <f ca="1"/>
      </c>
      <c r="AM1356">
        <f ca="1"/>
      </c>
      <c r="AN1356">
        <f ca="1"/>
      </c>
      <c r="AO1356">
        <f ca="1"/>
      </c>
      <c r="AP1356">
        <f ca="1"/>
      </c>
      <c r="AQ1356">
        <f ca="1"/>
      </c>
      <c r="AR1356">
        <f ca="1"/>
      </c>
      <c r="AT1356" s="7">
        <f ca="1"/>
      </c>
      <c r="AU1356">
        <f ca="1"/>
      </c>
      <c r="AV1356">
        <f ca="1"/>
      </c>
      <c r="AW1356">
        <f ca="1"/>
      </c>
      <c r="AX1356">
        <f ca="1"/>
      </c>
      <c r="AY1356">
        <f ca="1"/>
      </c>
      <c r="BA1356" s="7"/>
    </row>
    <row r="1357" spans="31:53" x14ac:dyDescent="0.55000000000000004">
      <c r="AE1357" s="7">
        <f ca="1"/>
      </c>
      <c r="AF1357">
        <f ca="1"/>
      </c>
      <c r="AG1357">
        <f ca="1"/>
      </c>
      <c r="AH1357">
        <f ca="1"/>
      </c>
      <c r="AI1357">
        <f ca="1"/>
      </c>
      <c r="AJ1357">
        <f ca="1"/>
      </c>
      <c r="AK1357">
        <f ca="1"/>
      </c>
      <c r="AL1357">
        <f ca="1"/>
      </c>
      <c r="AM1357">
        <f ca="1"/>
      </c>
      <c r="AN1357">
        <f ca="1"/>
      </c>
      <c r="AO1357">
        <f ca="1"/>
      </c>
      <c r="AP1357">
        <f ca="1"/>
      </c>
      <c r="AQ1357">
        <f ca="1"/>
      </c>
      <c r="AR1357">
        <f ca="1"/>
      </c>
      <c r="AT1357" s="7">
        <f ca="1"/>
      </c>
      <c r="AU1357">
        <f ca="1"/>
      </c>
      <c r="AV1357">
        <f ca="1"/>
      </c>
      <c r="AW1357">
        <f ca="1"/>
      </c>
      <c r="AX1357">
        <f ca="1"/>
      </c>
      <c r="AY1357">
        <f ca="1"/>
      </c>
      <c r="BA1357" s="7"/>
    </row>
    <row r="1358" spans="31:53" x14ac:dyDescent="0.55000000000000004">
      <c r="AE1358" s="7">
        <f ca="1"/>
      </c>
      <c r="AF1358">
        <f ca="1"/>
      </c>
      <c r="AG1358">
        <f ca="1"/>
      </c>
      <c r="AH1358">
        <f ca="1"/>
      </c>
      <c r="AI1358">
        <f ca="1"/>
      </c>
      <c r="AJ1358">
        <f ca="1"/>
      </c>
      <c r="AK1358">
        <f ca="1"/>
      </c>
      <c r="AL1358">
        <f ca="1"/>
      </c>
      <c r="AM1358">
        <f ca="1"/>
      </c>
      <c r="AN1358">
        <f ca="1"/>
      </c>
      <c r="AO1358">
        <f ca="1"/>
      </c>
      <c r="AP1358">
        <f ca="1"/>
      </c>
      <c r="AQ1358">
        <f ca="1"/>
      </c>
      <c r="AR1358">
        <f ca="1"/>
      </c>
      <c r="AT1358" s="7">
        <f ca="1"/>
      </c>
      <c r="AU1358">
        <f ca="1"/>
      </c>
      <c r="AV1358">
        <f ca="1"/>
      </c>
      <c r="AW1358">
        <f ca="1"/>
      </c>
      <c r="AX1358">
        <f ca="1"/>
      </c>
      <c r="AY1358">
        <f ca="1"/>
      </c>
      <c r="BA1358" s="7"/>
    </row>
    <row r="1359" spans="31:53" x14ac:dyDescent="0.55000000000000004">
      <c r="AE1359" s="7">
        <f ca="1"/>
      </c>
      <c r="AF1359">
        <f ca="1"/>
      </c>
      <c r="AG1359">
        <f ca="1"/>
      </c>
      <c r="AH1359">
        <f ca="1"/>
      </c>
      <c r="AI1359">
        <f ca="1"/>
      </c>
      <c r="AJ1359">
        <f ca="1"/>
      </c>
      <c r="AK1359">
        <f ca="1"/>
      </c>
      <c r="AL1359">
        <f ca="1"/>
      </c>
      <c r="AM1359">
        <f ca="1"/>
      </c>
      <c r="AN1359">
        <f ca="1"/>
      </c>
      <c r="AO1359">
        <f ca="1"/>
      </c>
      <c r="AP1359">
        <f ca="1"/>
      </c>
      <c r="AQ1359">
        <f ca="1"/>
      </c>
      <c r="AR1359">
        <f ca="1"/>
      </c>
      <c r="AT1359" s="7">
        <f ca="1"/>
      </c>
      <c r="AU1359">
        <f ca="1"/>
      </c>
      <c r="AV1359">
        <f ca="1"/>
      </c>
      <c r="AW1359">
        <f ca="1"/>
      </c>
      <c r="AX1359">
        <f ca="1"/>
      </c>
      <c r="AY1359">
        <f ca="1"/>
      </c>
      <c r="BA1359" s="7"/>
    </row>
    <row r="1360" spans="31:53" x14ac:dyDescent="0.55000000000000004">
      <c r="AE1360" s="7">
        <f ca="1"/>
      </c>
      <c r="AF1360">
        <f ca="1"/>
      </c>
      <c r="AG1360">
        <f ca="1"/>
      </c>
      <c r="AH1360">
        <f ca="1"/>
      </c>
      <c r="AI1360">
        <f ca="1"/>
      </c>
      <c r="AJ1360">
        <f ca="1"/>
      </c>
      <c r="AK1360">
        <f ca="1"/>
      </c>
      <c r="AL1360">
        <f ca="1"/>
      </c>
      <c r="AM1360">
        <f ca="1"/>
      </c>
      <c r="AN1360">
        <f ca="1"/>
      </c>
      <c r="AO1360">
        <f ca="1"/>
      </c>
      <c r="AP1360">
        <f ca="1"/>
      </c>
      <c r="AQ1360">
        <f ca="1"/>
      </c>
      <c r="AR1360">
        <f ca="1"/>
      </c>
      <c r="AT1360" s="7">
        <f ca="1"/>
      </c>
      <c r="AU1360">
        <f ca="1"/>
      </c>
      <c r="AV1360">
        <f ca="1"/>
      </c>
      <c r="AW1360">
        <f ca="1"/>
      </c>
      <c r="AX1360">
        <f ca="1"/>
      </c>
      <c r="AY1360">
        <f ca="1"/>
      </c>
      <c r="BA1360" s="7"/>
    </row>
    <row r="1361" spans="31:53" x14ac:dyDescent="0.55000000000000004">
      <c r="AE1361" s="7">
        <f ca="1"/>
      </c>
      <c r="AF1361">
        <f ca="1"/>
      </c>
      <c r="AG1361">
        <f ca="1"/>
      </c>
      <c r="AH1361">
        <f ca="1"/>
      </c>
      <c r="AI1361">
        <f ca="1"/>
      </c>
      <c r="AJ1361">
        <f ca="1"/>
      </c>
      <c r="AK1361">
        <f ca="1"/>
      </c>
      <c r="AL1361">
        <f ca="1"/>
      </c>
      <c r="AM1361">
        <f ca="1"/>
      </c>
      <c r="AN1361">
        <f ca="1"/>
      </c>
      <c r="AO1361">
        <f ca="1"/>
      </c>
      <c r="AP1361">
        <f ca="1"/>
      </c>
      <c r="AQ1361">
        <f ca="1"/>
      </c>
      <c r="AR1361">
        <f ca="1"/>
      </c>
      <c r="AT1361" s="7">
        <f ca="1"/>
      </c>
      <c r="AU1361">
        <f ca="1"/>
      </c>
      <c r="AV1361">
        <f ca="1"/>
      </c>
      <c r="AW1361">
        <f ca="1"/>
      </c>
      <c r="AX1361">
        <f ca="1"/>
      </c>
      <c r="AY1361">
        <f ca="1"/>
      </c>
      <c r="BA1361" s="7"/>
    </row>
    <row r="1362" spans="31:53" x14ac:dyDescent="0.55000000000000004">
      <c r="AE1362" s="7">
        <f ca="1"/>
      </c>
      <c r="AF1362">
        <f ca="1"/>
      </c>
      <c r="AG1362">
        <f ca="1"/>
      </c>
      <c r="AH1362">
        <f ca="1"/>
      </c>
      <c r="AI1362">
        <f ca="1"/>
      </c>
      <c r="AJ1362">
        <f ca="1"/>
      </c>
      <c r="AK1362">
        <f ca="1"/>
      </c>
      <c r="AL1362">
        <f ca="1"/>
      </c>
      <c r="AM1362">
        <f ca="1"/>
      </c>
      <c r="AN1362">
        <f ca="1"/>
      </c>
      <c r="AO1362">
        <f ca="1"/>
      </c>
      <c r="AP1362">
        <f ca="1"/>
      </c>
      <c r="AQ1362">
        <f ca="1"/>
      </c>
      <c r="AR1362">
        <f ca="1"/>
      </c>
      <c r="AT1362" s="7">
        <f ca="1"/>
      </c>
      <c r="AU1362">
        <f ca="1"/>
      </c>
      <c r="AV1362">
        <f ca="1"/>
      </c>
      <c r="AW1362">
        <f ca="1"/>
      </c>
      <c r="AX1362">
        <f ca="1"/>
      </c>
      <c r="AY1362">
        <f ca="1"/>
      </c>
      <c r="BA1362" s="7"/>
    </row>
    <row r="1363" spans="31:53" x14ac:dyDescent="0.55000000000000004">
      <c r="AE1363" s="7">
        <f ca="1"/>
      </c>
      <c r="AF1363">
        <f ca="1"/>
      </c>
      <c r="AG1363">
        <f ca="1"/>
      </c>
      <c r="AH1363">
        <f ca="1"/>
      </c>
      <c r="AI1363">
        <f ca="1"/>
      </c>
      <c r="AJ1363">
        <f ca="1"/>
      </c>
      <c r="AK1363">
        <f ca="1"/>
      </c>
      <c r="AL1363">
        <f ca="1"/>
      </c>
      <c r="AM1363">
        <f ca="1"/>
      </c>
      <c r="AN1363">
        <f ca="1"/>
      </c>
      <c r="AO1363">
        <f ca="1"/>
      </c>
      <c r="AP1363">
        <f ca="1"/>
      </c>
      <c r="AQ1363">
        <f ca="1"/>
      </c>
      <c r="AR1363">
        <f ca="1"/>
      </c>
      <c r="AT1363" s="7">
        <f ca="1"/>
      </c>
      <c r="AU1363">
        <f ca="1"/>
      </c>
      <c r="AV1363">
        <f ca="1"/>
      </c>
      <c r="AW1363">
        <f ca="1"/>
      </c>
      <c r="AX1363">
        <f ca="1"/>
      </c>
      <c r="AY1363">
        <f ca="1"/>
      </c>
      <c r="BA1363" s="7"/>
    </row>
    <row r="1364" spans="31:53" x14ac:dyDescent="0.55000000000000004">
      <c r="AE1364" s="7">
        <f ca="1"/>
      </c>
      <c r="AF1364">
        <f ca="1"/>
      </c>
      <c r="AG1364">
        <f ca="1"/>
      </c>
      <c r="AH1364">
        <f ca="1"/>
      </c>
      <c r="AI1364">
        <f ca="1"/>
      </c>
      <c r="AJ1364">
        <f ca="1"/>
      </c>
      <c r="AK1364">
        <f ca="1"/>
      </c>
      <c r="AL1364">
        <f ca="1"/>
      </c>
      <c r="AM1364">
        <f ca="1"/>
      </c>
      <c r="AN1364">
        <f ca="1"/>
      </c>
      <c r="AO1364">
        <f ca="1"/>
      </c>
      <c r="AP1364">
        <f ca="1"/>
      </c>
      <c r="AQ1364">
        <f ca="1"/>
      </c>
      <c r="AR1364">
        <f ca="1"/>
      </c>
      <c r="AT1364" s="7">
        <f ca="1"/>
      </c>
      <c r="AU1364">
        <f ca="1"/>
      </c>
      <c r="AV1364">
        <f ca="1"/>
      </c>
      <c r="AW1364">
        <f ca="1"/>
      </c>
      <c r="AX1364">
        <f ca="1"/>
      </c>
      <c r="AY1364">
        <f ca="1"/>
      </c>
      <c r="BA1364" s="7"/>
    </row>
    <row r="1365" spans="31:53" x14ac:dyDescent="0.55000000000000004">
      <c r="AE1365" s="7">
        <f ca="1"/>
      </c>
      <c r="AF1365">
        <f ca="1"/>
      </c>
      <c r="AG1365">
        <f ca="1"/>
      </c>
      <c r="AH1365">
        <f ca="1"/>
      </c>
      <c r="AI1365">
        <f ca="1"/>
      </c>
      <c r="AJ1365">
        <f ca="1"/>
      </c>
      <c r="AK1365">
        <f ca="1"/>
      </c>
      <c r="AL1365">
        <f ca="1"/>
      </c>
      <c r="AM1365">
        <f ca="1"/>
      </c>
      <c r="AN1365">
        <f ca="1"/>
      </c>
      <c r="AO1365">
        <f ca="1"/>
      </c>
      <c r="AP1365">
        <f ca="1"/>
      </c>
      <c r="AQ1365">
        <f ca="1"/>
      </c>
      <c r="AR1365">
        <f ca="1"/>
      </c>
      <c r="AT1365" s="7">
        <f ca="1"/>
      </c>
      <c r="AU1365">
        <f ca="1"/>
      </c>
      <c r="AV1365">
        <f ca="1"/>
      </c>
      <c r="AW1365">
        <f ca="1"/>
      </c>
      <c r="AX1365">
        <f ca="1"/>
      </c>
      <c r="AY1365">
        <f ca="1"/>
      </c>
      <c r="BA1365" s="7"/>
    </row>
    <row r="1366" spans="31:53" x14ac:dyDescent="0.55000000000000004">
      <c r="AE1366" s="7">
        <f ca="1"/>
      </c>
      <c r="AF1366">
        <f ca="1"/>
      </c>
      <c r="AG1366">
        <f ca="1"/>
      </c>
      <c r="AH1366">
        <f ca="1"/>
      </c>
      <c r="AI1366">
        <f ca="1"/>
      </c>
      <c r="AJ1366">
        <f ca="1"/>
      </c>
      <c r="AK1366">
        <f ca="1"/>
      </c>
      <c r="AL1366">
        <f ca="1"/>
      </c>
      <c r="AM1366">
        <f ca="1"/>
      </c>
      <c r="AN1366">
        <f ca="1"/>
      </c>
      <c r="AO1366">
        <f ca="1"/>
      </c>
      <c r="AP1366">
        <f ca="1"/>
      </c>
      <c r="AQ1366">
        <f ca="1"/>
      </c>
      <c r="AR1366">
        <f ca="1"/>
      </c>
      <c r="AT1366" s="7">
        <f ca="1"/>
      </c>
      <c r="AU1366">
        <f ca="1"/>
      </c>
      <c r="AV1366">
        <f ca="1"/>
      </c>
      <c r="AW1366">
        <f ca="1"/>
      </c>
      <c r="AX1366">
        <f ca="1"/>
      </c>
      <c r="AY1366">
        <f ca="1"/>
      </c>
      <c r="BA1366" s="7"/>
    </row>
    <row r="1367" spans="31:53" x14ac:dyDescent="0.55000000000000004">
      <c r="AE1367" s="7">
        <f ca="1"/>
      </c>
      <c r="AF1367">
        <f ca="1"/>
      </c>
      <c r="AG1367">
        <f ca="1"/>
      </c>
      <c r="AH1367">
        <f ca="1"/>
      </c>
      <c r="AI1367">
        <f ca="1"/>
      </c>
      <c r="AJ1367">
        <f ca="1"/>
      </c>
      <c r="AK1367">
        <f ca="1"/>
      </c>
      <c r="AL1367">
        <f ca="1"/>
      </c>
      <c r="AM1367">
        <f ca="1"/>
      </c>
      <c r="AN1367">
        <f ca="1"/>
      </c>
      <c r="AO1367">
        <f ca="1"/>
      </c>
      <c r="AP1367">
        <f ca="1"/>
      </c>
      <c r="AQ1367">
        <f ca="1"/>
      </c>
      <c r="AR1367">
        <f ca="1"/>
      </c>
      <c r="AT1367" s="7">
        <f ca="1"/>
      </c>
      <c r="AU1367">
        <f ca="1"/>
      </c>
      <c r="AV1367">
        <f ca="1"/>
      </c>
      <c r="AW1367">
        <f ca="1"/>
      </c>
      <c r="AX1367">
        <f ca="1"/>
      </c>
      <c r="AY1367">
        <f ca="1"/>
      </c>
      <c r="BA1367" s="7"/>
    </row>
    <row r="1368" spans="31:53" x14ac:dyDescent="0.55000000000000004">
      <c r="AE1368" s="7">
        <f ca="1"/>
      </c>
      <c r="AF1368">
        <f ca="1"/>
      </c>
      <c r="AG1368">
        <f ca="1"/>
      </c>
      <c r="AH1368">
        <f ca="1"/>
      </c>
      <c r="AI1368">
        <f ca="1"/>
      </c>
      <c r="AJ1368">
        <f ca="1"/>
      </c>
      <c r="AK1368">
        <f ca="1"/>
      </c>
      <c r="AL1368">
        <f ca="1"/>
      </c>
      <c r="AM1368">
        <f ca="1"/>
      </c>
      <c r="AN1368">
        <f ca="1"/>
      </c>
      <c r="AO1368">
        <f ca="1"/>
      </c>
      <c r="AP1368">
        <f ca="1"/>
      </c>
      <c r="AQ1368">
        <f ca="1"/>
      </c>
      <c r="AR1368">
        <f ca="1"/>
      </c>
      <c r="AT1368" s="7">
        <f ca="1"/>
      </c>
      <c r="AU1368">
        <f ca="1"/>
      </c>
      <c r="AV1368">
        <f ca="1"/>
      </c>
      <c r="AW1368">
        <f ca="1"/>
      </c>
      <c r="AX1368">
        <f ca="1"/>
      </c>
      <c r="AY1368">
        <f ca="1"/>
      </c>
      <c r="BA1368" s="7"/>
    </row>
    <row r="1369" spans="31:53" x14ac:dyDescent="0.55000000000000004">
      <c r="AE1369" s="7">
        <f ca="1"/>
      </c>
      <c r="AF1369">
        <f ca="1"/>
      </c>
      <c r="AG1369">
        <f ca="1"/>
      </c>
      <c r="AH1369">
        <f ca="1"/>
      </c>
      <c r="AI1369">
        <f ca="1"/>
      </c>
      <c r="AJ1369">
        <f ca="1"/>
      </c>
      <c r="AK1369">
        <f ca="1"/>
      </c>
      <c r="AL1369">
        <f ca="1"/>
      </c>
      <c r="AM1369">
        <f ca="1"/>
      </c>
      <c r="AN1369">
        <f ca="1"/>
      </c>
      <c r="AO1369">
        <f ca="1"/>
      </c>
      <c r="AP1369">
        <f ca="1"/>
      </c>
      <c r="AQ1369">
        <f ca="1"/>
      </c>
      <c r="AR1369">
        <f ca="1"/>
      </c>
      <c r="AT1369" s="7">
        <f ca="1"/>
      </c>
      <c r="AU1369">
        <f ca="1"/>
      </c>
      <c r="AV1369">
        <f ca="1"/>
      </c>
      <c r="AW1369">
        <f ca="1"/>
      </c>
      <c r="AX1369">
        <f ca="1"/>
      </c>
      <c r="AY1369">
        <f ca="1"/>
      </c>
      <c r="BA1369" s="7"/>
    </row>
    <row r="1370" spans="31:53" x14ac:dyDescent="0.55000000000000004">
      <c r="AE1370" s="7">
        <f ca="1"/>
      </c>
      <c r="AF1370">
        <f ca="1"/>
      </c>
      <c r="AG1370">
        <f ca="1"/>
      </c>
      <c r="AH1370">
        <f ca="1"/>
      </c>
      <c r="AI1370">
        <f ca="1"/>
      </c>
      <c r="AJ1370">
        <f ca="1"/>
      </c>
      <c r="AK1370">
        <f ca="1"/>
      </c>
      <c r="AL1370">
        <f ca="1"/>
      </c>
      <c r="AM1370">
        <f ca="1"/>
      </c>
      <c r="AN1370">
        <f ca="1"/>
      </c>
      <c r="AO1370">
        <f ca="1"/>
      </c>
      <c r="AP1370">
        <f ca="1"/>
      </c>
      <c r="AQ1370">
        <f ca="1"/>
      </c>
      <c r="AR1370">
        <f ca="1"/>
      </c>
      <c r="AT1370" s="7">
        <f ca="1"/>
      </c>
      <c r="AU1370">
        <f ca="1"/>
      </c>
      <c r="AV1370">
        <f ca="1"/>
      </c>
      <c r="AW1370">
        <f ca="1"/>
      </c>
      <c r="AX1370">
        <f ca="1"/>
      </c>
      <c r="AY1370">
        <f ca="1"/>
      </c>
      <c r="BA1370" s="7"/>
    </row>
    <row r="1371" spans="31:53" x14ac:dyDescent="0.55000000000000004">
      <c r="AE1371" s="7">
        <f ca="1"/>
      </c>
      <c r="AF1371">
        <f ca="1"/>
      </c>
      <c r="AG1371">
        <f ca="1"/>
      </c>
      <c r="AH1371">
        <f ca="1"/>
      </c>
      <c r="AI1371">
        <f ca="1"/>
      </c>
      <c r="AJ1371">
        <f ca="1"/>
      </c>
      <c r="AK1371">
        <f ca="1"/>
      </c>
      <c r="AL1371">
        <f ca="1"/>
      </c>
      <c r="AM1371">
        <f ca="1"/>
      </c>
      <c r="AN1371">
        <f ca="1"/>
      </c>
      <c r="AO1371">
        <f ca="1"/>
      </c>
      <c r="AP1371">
        <f ca="1"/>
      </c>
      <c r="AQ1371">
        <f ca="1"/>
      </c>
      <c r="AR1371">
        <f ca="1"/>
      </c>
      <c r="AT1371" s="7">
        <f ca="1"/>
      </c>
      <c r="AU1371">
        <f ca="1"/>
      </c>
      <c r="AV1371">
        <f ca="1"/>
      </c>
      <c r="AW1371">
        <f ca="1"/>
      </c>
      <c r="AX1371">
        <f ca="1"/>
      </c>
      <c r="AY1371">
        <f ca="1"/>
      </c>
      <c r="BA1371" s="7"/>
    </row>
    <row r="1372" spans="31:53" x14ac:dyDescent="0.55000000000000004">
      <c r="AE1372" s="7">
        <f ca="1"/>
      </c>
      <c r="AF1372">
        <f ca="1"/>
      </c>
      <c r="AG1372">
        <f ca="1"/>
      </c>
      <c r="AH1372">
        <f ca="1"/>
      </c>
      <c r="AI1372">
        <f ca="1"/>
      </c>
      <c r="AJ1372">
        <f ca="1"/>
      </c>
      <c r="AK1372">
        <f ca="1"/>
      </c>
      <c r="AL1372">
        <f ca="1"/>
      </c>
      <c r="AM1372">
        <f ca="1"/>
      </c>
      <c r="AN1372">
        <f ca="1"/>
      </c>
      <c r="AO1372">
        <f ca="1"/>
      </c>
      <c r="AP1372">
        <f ca="1"/>
      </c>
      <c r="AQ1372">
        <f ca="1"/>
      </c>
      <c r="AR1372">
        <f ca="1"/>
      </c>
      <c r="AT1372" s="7">
        <f ca="1"/>
      </c>
      <c r="AU1372">
        <f ca="1"/>
      </c>
      <c r="AV1372">
        <f ca="1"/>
      </c>
      <c r="AW1372">
        <f ca="1"/>
      </c>
      <c r="AX1372">
        <f ca="1"/>
      </c>
      <c r="AY1372">
        <f ca="1"/>
      </c>
      <c r="BA1372" s="7"/>
    </row>
    <row r="1373" spans="31:53" x14ac:dyDescent="0.55000000000000004">
      <c r="AE1373" s="7">
        <f ca="1"/>
      </c>
      <c r="AF1373">
        <f ca="1"/>
      </c>
      <c r="AG1373">
        <f ca="1"/>
      </c>
      <c r="AH1373">
        <f ca="1"/>
      </c>
      <c r="AI1373">
        <f ca="1"/>
      </c>
      <c r="AJ1373">
        <f ca="1"/>
      </c>
      <c r="AK1373">
        <f ca="1"/>
      </c>
      <c r="AL1373">
        <f ca="1"/>
      </c>
      <c r="AM1373">
        <f ca="1"/>
      </c>
      <c r="AN1373">
        <f ca="1"/>
      </c>
      <c r="AO1373">
        <f ca="1"/>
      </c>
      <c r="AP1373">
        <f ca="1"/>
      </c>
      <c r="AQ1373">
        <f ca="1"/>
      </c>
      <c r="AR1373">
        <f ca="1"/>
      </c>
      <c r="AT1373" s="7">
        <f ca="1"/>
      </c>
      <c r="AU1373">
        <f ca="1"/>
      </c>
      <c r="AV1373">
        <f ca="1"/>
      </c>
      <c r="AW1373">
        <f ca="1"/>
      </c>
      <c r="AX1373">
        <f ca="1"/>
      </c>
      <c r="AY1373">
        <f ca="1"/>
      </c>
      <c r="BA1373" s="7"/>
    </row>
    <row r="1374" spans="31:53" x14ac:dyDescent="0.55000000000000004">
      <c r="AE1374" s="7">
        <f ca="1"/>
      </c>
      <c r="AF1374">
        <f ca="1"/>
      </c>
      <c r="AG1374">
        <f ca="1"/>
      </c>
      <c r="AH1374">
        <f ca="1"/>
      </c>
      <c r="AI1374">
        <f ca="1"/>
      </c>
      <c r="AJ1374">
        <f ca="1"/>
      </c>
      <c r="AK1374">
        <f ca="1"/>
      </c>
      <c r="AL1374">
        <f ca="1"/>
      </c>
      <c r="AM1374">
        <f ca="1"/>
      </c>
      <c r="AN1374">
        <f ca="1"/>
      </c>
      <c r="AO1374">
        <f ca="1"/>
      </c>
      <c r="AP1374">
        <f ca="1"/>
      </c>
      <c r="AQ1374">
        <f ca="1"/>
      </c>
      <c r="AR1374">
        <f ca="1"/>
      </c>
      <c r="AT1374" s="7">
        <f ca="1"/>
      </c>
      <c r="AU1374">
        <f ca="1"/>
      </c>
      <c r="AV1374">
        <f ca="1"/>
      </c>
      <c r="AW1374">
        <f ca="1"/>
      </c>
      <c r="AX1374">
        <f ca="1"/>
      </c>
      <c r="AY1374">
        <f ca="1"/>
      </c>
      <c r="BA1374" s="7"/>
    </row>
    <row r="1375" spans="31:53" x14ac:dyDescent="0.55000000000000004">
      <c r="AE1375" s="7">
        <f ca="1"/>
      </c>
      <c r="AF1375">
        <f ca="1"/>
      </c>
      <c r="AG1375">
        <f ca="1"/>
      </c>
      <c r="AH1375">
        <f ca="1"/>
      </c>
      <c r="AI1375">
        <f ca="1"/>
      </c>
      <c r="AJ1375">
        <f ca="1"/>
      </c>
      <c r="AK1375">
        <f ca="1"/>
      </c>
      <c r="AL1375">
        <f ca="1"/>
      </c>
      <c r="AM1375">
        <f ca="1"/>
      </c>
      <c r="AN1375">
        <f ca="1"/>
      </c>
      <c r="AO1375">
        <f ca="1"/>
      </c>
      <c r="AP1375">
        <f ca="1"/>
      </c>
      <c r="AQ1375">
        <f ca="1"/>
      </c>
      <c r="AR1375">
        <f ca="1"/>
      </c>
      <c r="AT1375" s="7">
        <f ca="1"/>
      </c>
      <c r="AU1375">
        <f ca="1"/>
      </c>
      <c r="AV1375">
        <f ca="1"/>
      </c>
      <c r="AW1375">
        <f ca="1"/>
      </c>
      <c r="AX1375">
        <f ca="1"/>
      </c>
      <c r="AY1375">
        <f ca="1"/>
      </c>
      <c r="BA1375" s="7"/>
    </row>
    <row r="1376" spans="31:53" x14ac:dyDescent="0.55000000000000004">
      <c r="AE1376" s="7">
        <f ca="1"/>
      </c>
      <c r="AF1376">
        <f ca="1"/>
      </c>
      <c r="AG1376">
        <f ca="1"/>
      </c>
      <c r="AH1376">
        <f ca="1"/>
      </c>
      <c r="AI1376">
        <f ca="1"/>
      </c>
      <c r="AJ1376">
        <f ca="1"/>
      </c>
      <c r="AK1376">
        <f ca="1"/>
      </c>
      <c r="AL1376">
        <f ca="1"/>
      </c>
      <c r="AM1376">
        <f ca="1"/>
      </c>
      <c r="AN1376">
        <f ca="1"/>
      </c>
      <c r="AO1376">
        <f ca="1"/>
      </c>
      <c r="AP1376">
        <f ca="1"/>
      </c>
      <c r="AQ1376">
        <f ca="1"/>
      </c>
      <c r="AR1376">
        <f ca="1"/>
      </c>
      <c r="AT1376" s="7">
        <f ca="1"/>
      </c>
      <c r="AU1376">
        <f ca="1"/>
      </c>
      <c r="AV1376">
        <f ca="1"/>
      </c>
      <c r="AW1376">
        <f ca="1"/>
      </c>
      <c r="AX1376">
        <f ca="1"/>
      </c>
      <c r="AY1376">
        <f ca="1"/>
      </c>
      <c r="BA1376" s="7"/>
    </row>
    <row r="1377" spans="31:53" x14ac:dyDescent="0.55000000000000004">
      <c r="AE1377" s="7">
        <f ca="1"/>
      </c>
      <c r="AF1377">
        <f ca="1"/>
      </c>
      <c r="AG1377">
        <f ca="1"/>
      </c>
      <c r="AH1377">
        <f ca="1"/>
      </c>
      <c r="AI1377">
        <f ca="1"/>
      </c>
      <c r="AJ1377">
        <f ca="1"/>
      </c>
      <c r="AK1377">
        <f ca="1"/>
      </c>
      <c r="AL1377">
        <f ca="1"/>
      </c>
      <c r="AM1377">
        <f ca="1"/>
      </c>
      <c r="AN1377">
        <f ca="1"/>
      </c>
      <c r="AO1377">
        <f ca="1"/>
      </c>
      <c r="AP1377">
        <f ca="1"/>
      </c>
      <c r="AQ1377">
        <f ca="1"/>
      </c>
      <c r="AR1377">
        <f ca="1"/>
      </c>
      <c r="AT1377" s="7">
        <f ca="1"/>
      </c>
      <c r="AU1377">
        <f ca="1"/>
      </c>
      <c r="AV1377">
        <f ca="1"/>
      </c>
      <c r="AW1377">
        <f ca="1"/>
      </c>
      <c r="AX1377">
        <f ca="1"/>
      </c>
      <c r="AY1377">
        <f ca="1"/>
      </c>
      <c r="BA1377" s="7"/>
    </row>
    <row r="1378" spans="31:53" x14ac:dyDescent="0.55000000000000004">
      <c r="AE1378" s="7">
        <f ca="1"/>
      </c>
      <c r="AF1378">
        <f ca="1"/>
      </c>
      <c r="AG1378">
        <f ca="1"/>
      </c>
      <c r="AH1378">
        <f ca="1"/>
      </c>
      <c r="AI1378">
        <f ca="1"/>
      </c>
      <c r="AJ1378">
        <f ca="1"/>
      </c>
      <c r="AK1378">
        <f ca="1"/>
      </c>
      <c r="AL1378">
        <f ca="1"/>
      </c>
      <c r="AM1378">
        <f ca="1"/>
      </c>
      <c r="AN1378">
        <f ca="1"/>
      </c>
      <c r="AO1378">
        <f ca="1"/>
      </c>
      <c r="AP1378">
        <f ca="1"/>
      </c>
      <c r="AQ1378">
        <f ca="1"/>
      </c>
      <c r="AR1378">
        <f ca="1"/>
      </c>
      <c r="AT1378" s="7">
        <f ca="1"/>
      </c>
      <c r="AU1378">
        <f ca="1"/>
      </c>
      <c r="AV1378">
        <f ca="1"/>
      </c>
      <c r="AW1378">
        <f ca="1"/>
      </c>
      <c r="AX1378">
        <f ca="1"/>
      </c>
      <c r="AY1378">
        <f ca="1"/>
      </c>
      <c r="BA1378" s="7"/>
    </row>
    <row r="1379" spans="31:53" x14ac:dyDescent="0.55000000000000004">
      <c r="AE1379" s="7">
        <f ca="1"/>
      </c>
      <c r="AF1379">
        <f ca="1"/>
      </c>
      <c r="AG1379">
        <f ca="1"/>
      </c>
      <c r="AH1379">
        <f ca="1"/>
      </c>
      <c r="AI1379">
        <f ca="1"/>
      </c>
      <c r="AJ1379">
        <f ca="1"/>
      </c>
      <c r="AK1379">
        <f ca="1"/>
      </c>
      <c r="AL1379">
        <f ca="1"/>
      </c>
      <c r="AM1379">
        <f ca="1"/>
      </c>
      <c r="AN1379">
        <f ca="1"/>
      </c>
      <c r="AO1379">
        <f ca="1"/>
      </c>
      <c r="AP1379">
        <f ca="1"/>
      </c>
      <c r="AQ1379">
        <f ca="1"/>
      </c>
      <c r="AR1379">
        <f ca="1"/>
      </c>
      <c r="AT1379" s="7">
        <f ca="1"/>
      </c>
      <c r="AU1379">
        <f ca="1"/>
      </c>
      <c r="AV1379">
        <f ca="1"/>
      </c>
      <c r="AW1379">
        <f ca="1"/>
      </c>
      <c r="AX1379">
        <f ca="1"/>
      </c>
      <c r="AY1379">
        <f ca="1"/>
      </c>
      <c r="BA1379" s="7"/>
    </row>
    <row r="1380" spans="31:53" x14ac:dyDescent="0.55000000000000004">
      <c r="AE1380" s="7">
        <f ca="1"/>
      </c>
      <c r="AF1380">
        <f ca="1"/>
      </c>
      <c r="AG1380">
        <f ca="1"/>
      </c>
      <c r="AH1380">
        <f ca="1"/>
      </c>
      <c r="AI1380">
        <f ca="1"/>
      </c>
      <c r="AJ1380">
        <f ca="1"/>
      </c>
      <c r="AK1380">
        <f ca="1"/>
      </c>
      <c r="AL1380">
        <f ca="1"/>
      </c>
      <c r="AM1380">
        <f ca="1"/>
      </c>
      <c r="AN1380">
        <f ca="1"/>
      </c>
      <c r="AO1380">
        <f ca="1"/>
      </c>
      <c r="AP1380">
        <f ca="1"/>
      </c>
      <c r="AQ1380">
        <f ca="1"/>
      </c>
      <c r="AR1380">
        <f ca="1"/>
      </c>
      <c r="AT1380" s="7">
        <f ca="1"/>
      </c>
      <c r="AU1380">
        <f ca="1"/>
      </c>
      <c r="AV1380">
        <f ca="1"/>
      </c>
      <c r="AW1380">
        <f ca="1"/>
      </c>
      <c r="AX1380">
        <f ca="1"/>
      </c>
      <c r="AY1380">
        <f ca="1"/>
      </c>
      <c r="BA1380" s="7"/>
    </row>
    <row r="1381" spans="31:53" x14ac:dyDescent="0.55000000000000004">
      <c r="AE1381" s="7">
        <f ca="1"/>
      </c>
      <c r="AF1381">
        <f ca="1"/>
      </c>
      <c r="AG1381">
        <f ca="1"/>
      </c>
      <c r="AH1381">
        <f ca="1"/>
      </c>
      <c r="AI1381">
        <f ca="1"/>
      </c>
      <c r="AJ1381">
        <f ca="1"/>
      </c>
      <c r="AK1381">
        <f ca="1"/>
      </c>
      <c r="AL1381">
        <f ca="1"/>
      </c>
      <c r="AM1381">
        <f ca="1"/>
      </c>
      <c r="AN1381">
        <f ca="1"/>
      </c>
      <c r="AO1381">
        <f ca="1"/>
      </c>
      <c r="AP1381">
        <f ca="1"/>
      </c>
      <c r="AQ1381">
        <f ca="1"/>
      </c>
      <c r="AR1381">
        <f ca="1"/>
      </c>
      <c r="AT1381" s="7">
        <f ca="1"/>
      </c>
      <c r="AU1381">
        <f ca="1"/>
      </c>
      <c r="AV1381">
        <f ca="1"/>
      </c>
      <c r="AW1381">
        <f ca="1"/>
      </c>
      <c r="AX1381">
        <f ca="1"/>
      </c>
      <c r="AY1381">
        <f ca="1"/>
      </c>
      <c r="BA1381" s="7"/>
    </row>
    <row r="1382" spans="31:53" x14ac:dyDescent="0.55000000000000004">
      <c r="AE1382" s="7">
        <f ca="1"/>
      </c>
      <c r="AF1382">
        <f ca="1"/>
      </c>
      <c r="AG1382">
        <f ca="1"/>
      </c>
      <c r="AH1382">
        <f ca="1"/>
      </c>
      <c r="AI1382">
        <f ca="1"/>
      </c>
      <c r="AJ1382">
        <f ca="1"/>
      </c>
      <c r="AK1382">
        <f ca="1"/>
      </c>
      <c r="AL1382">
        <f ca="1"/>
      </c>
      <c r="AM1382">
        <f ca="1"/>
      </c>
      <c r="AN1382">
        <f ca="1"/>
      </c>
      <c r="AO1382">
        <f ca="1"/>
      </c>
      <c r="AP1382">
        <f ca="1"/>
      </c>
      <c r="AQ1382">
        <f ca="1"/>
      </c>
      <c r="AR1382">
        <f ca="1"/>
      </c>
      <c r="AT1382" s="7">
        <f ca="1"/>
      </c>
      <c r="AU1382">
        <f ca="1"/>
      </c>
      <c r="AV1382">
        <f ca="1"/>
      </c>
      <c r="AW1382">
        <f ca="1"/>
      </c>
      <c r="AX1382">
        <f ca="1"/>
      </c>
      <c r="AY1382">
        <f ca="1"/>
      </c>
      <c r="BA1382" s="7"/>
    </row>
    <row r="1383" spans="31:53" x14ac:dyDescent="0.55000000000000004">
      <c r="AE1383" s="7">
        <f ca="1"/>
      </c>
      <c r="AF1383">
        <f ca="1"/>
      </c>
      <c r="AG1383">
        <f ca="1"/>
      </c>
      <c r="AH1383">
        <f ca="1"/>
      </c>
      <c r="AI1383">
        <f ca="1"/>
      </c>
      <c r="AJ1383">
        <f ca="1"/>
      </c>
      <c r="AK1383">
        <f ca="1"/>
      </c>
      <c r="AL1383">
        <f ca="1"/>
      </c>
      <c r="AM1383">
        <f ca="1"/>
      </c>
      <c r="AN1383">
        <f ca="1"/>
      </c>
      <c r="AO1383">
        <f ca="1"/>
      </c>
      <c r="AP1383">
        <f ca="1"/>
      </c>
      <c r="AQ1383">
        <f ca="1"/>
      </c>
      <c r="AR1383">
        <f ca="1"/>
      </c>
      <c r="AT1383" s="7">
        <f ca="1"/>
      </c>
      <c r="AU1383">
        <f ca="1"/>
      </c>
      <c r="AV1383">
        <f ca="1"/>
      </c>
      <c r="AW1383">
        <f ca="1"/>
      </c>
      <c r="AX1383">
        <f ca="1"/>
      </c>
      <c r="AY1383">
        <f ca="1"/>
      </c>
      <c r="BA1383" s="7"/>
    </row>
    <row r="1384" spans="31:53" x14ac:dyDescent="0.55000000000000004">
      <c r="AE1384" s="7">
        <f ca="1"/>
      </c>
      <c r="AF1384">
        <f ca="1"/>
      </c>
      <c r="AG1384">
        <f ca="1"/>
      </c>
      <c r="AH1384">
        <f ca="1"/>
      </c>
      <c r="AI1384">
        <f ca="1"/>
      </c>
      <c r="AJ1384">
        <f ca="1"/>
      </c>
      <c r="AK1384">
        <f ca="1"/>
      </c>
      <c r="AL1384">
        <f ca="1"/>
      </c>
      <c r="AM1384">
        <f ca="1"/>
      </c>
      <c r="AN1384">
        <f ca="1"/>
      </c>
      <c r="AO1384">
        <f ca="1"/>
      </c>
      <c r="AP1384">
        <f ca="1"/>
      </c>
      <c r="AQ1384">
        <f ca="1"/>
      </c>
      <c r="AR1384">
        <f ca="1"/>
      </c>
      <c r="AT1384" s="7">
        <f ca="1"/>
      </c>
      <c r="AU1384">
        <f ca="1"/>
      </c>
      <c r="AV1384">
        <f ca="1"/>
      </c>
      <c r="AW1384">
        <f ca="1"/>
      </c>
      <c r="AX1384">
        <f ca="1"/>
      </c>
      <c r="AY1384">
        <f ca="1"/>
      </c>
      <c r="BA1384" s="7"/>
    </row>
    <row r="1385" spans="31:53" x14ac:dyDescent="0.55000000000000004">
      <c r="AE1385" s="7">
        <f ca="1"/>
      </c>
      <c r="AF1385">
        <f ca="1"/>
      </c>
      <c r="AG1385">
        <f ca="1"/>
      </c>
      <c r="AH1385">
        <f ca="1"/>
      </c>
      <c r="AI1385">
        <f ca="1"/>
      </c>
      <c r="AJ1385">
        <f ca="1"/>
      </c>
      <c r="AK1385">
        <f ca="1"/>
      </c>
      <c r="AL1385">
        <f ca="1"/>
      </c>
      <c r="AM1385">
        <f ca="1"/>
      </c>
      <c r="AN1385">
        <f ca="1"/>
      </c>
      <c r="AO1385">
        <f ca="1"/>
      </c>
      <c r="AP1385">
        <f ca="1"/>
      </c>
      <c r="AQ1385">
        <f ca="1"/>
      </c>
      <c r="AR1385">
        <f ca="1"/>
      </c>
      <c r="AT1385" s="7">
        <f ca="1"/>
      </c>
      <c r="AU1385">
        <f ca="1"/>
      </c>
      <c r="AV1385">
        <f ca="1"/>
      </c>
      <c r="AW1385">
        <f ca="1"/>
      </c>
      <c r="AX1385">
        <f ca="1"/>
      </c>
      <c r="AY1385">
        <f ca="1"/>
      </c>
      <c r="BA1385" s="7"/>
    </row>
    <row r="1386" spans="31:53" x14ac:dyDescent="0.55000000000000004">
      <c r="AE1386" s="7">
        <f ca="1"/>
      </c>
      <c r="AF1386">
        <f ca="1"/>
      </c>
      <c r="AG1386">
        <f ca="1"/>
      </c>
      <c r="AH1386">
        <f ca="1"/>
      </c>
      <c r="AI1386">
        <f ca="1"/>
      </c>
      <c r="AJ1386">
        <f ca="1"/>
      </c>
      <c r="AK1386">
        <f ca="1"/>
      </c>
      <c r="AL1386">
        <f ca="1"/>
      </c>
      <c r="AM1386">
        <f ca="1"/>
      </c>
      <c r="AN1386">
        <f ca="1"/>
      </c>
      <c r="AO1386">
        <f ca="1"/>
      </c>
      <c r="AP1386">
        <f ca="1"/>
      </c>
      <c r="AQ1386">
        <f ca="1"/>
      </c>
      <c r="AR1386">
        <f ca="1"/>
      </c>
      <c r="AT1386" s="7">
        <f ca="1"/>
      </c>
      <c r="AU1386">
        <f ca="1"/>
      </c>
      <c r="AV1386">
        <f ca="1"/>
      </c>
      <c r="AW1386">
        <f ca="1"/>
      </c>
      <c r="AX1386">
        <f ca="1"/>
      </c>
      <c r="AY1386">
        <f ca="1"/>
      </c>
      <c r="BA1386" s="7"/>
    </row>
    <row r="1387" spans="31:53" x14ac:dyDescent="0.55000000000000004">
      <c r="AE1387" s="7">
        <f ca="1"/>
      </c>
      <c r="AF1387">
        <f ca="1"/>
      </c>
      <c r="AG1387">
        <f ca="1"/>
      </c>
      <c r="AH1387">
        <f ca="1"/>
      </c>
      <c r="AI1387">
        <f ca="1"/>
      </c>
      <c r="AJ1387">
        <f ca="1"/>
      </c>
      <c r="AK1387">
        <f ca="1"/>
      </c>
      <c r="AL1387">
        <f ca="1"/>
      </c>
      <c r="AM1387">
        <f ca="1"/>
      </c>
      <c r="AN1387">
        <f ca="1"/>
      </c>
      <c r="AO1387">
        <f ca="1"/>
      </c>
      <c r="AP1387">
        <f ca="1"/>
      </c>
      <c r="AQ1387">
        <f ca="1"/>
      </c>
      <c r="AR1387">
        <f ca="1"/>
      </c>
      <c r="AT1387" s="7">
        <f ca="1"/>
      </c>
      <c r="AU1387">
        <f ca="1"/>
      </c>
      <c r="AV1387">
        <f ca="1"/>
      </c>
      <c r="AW1387">
        <f ca="1"/>
      </c>
      <c r="AX1387">
        <f ca="1"/>
      </c>
      <c r="AY1387">
        <f ca="1"/>
      </c>
      <c r="BA1387" s="7"/>
    </row>
    <row r="1388" spans="31:53" x14ac:dyDescent="0.55000000000000004">
      <c r="AE1388" s="7">
        <f ca="1"/>
      </c>
      <c r="AF1388">
        <f ca="1"/>
      </c>
      <c r="AG1388">
        <f ca="1"/>
      </c>
      <c r="AH1388">
        <f ca="1"/>
      </c>
      <c r="AI1388">
        <f ca="1"/>
      </c>
      <c r="AJ1388">
        <f ca="1"/>
      </c>
      <c r="AK1388">
        <f ca="1"/>
      </c>
      <c r="AL1388">
        <f ca="1"/>
      </c>
      <c r="AM1388">
        <f ca="1"/>
      </c>
      <c r="AN1388">
        <f ca="1"/>
      </c>
      <c r="AO1388">
        <f ca="1"/>
      </c>
      <c r="AP1388">
        <f ca="1"/>
      </c>
      <c r="AQ1388">
        <f ca="1"/>
      </c>
      <c r="AR1388">
        <f ca="1"/>
      </c>
      <c r="AT1388" s="7">
        <f ca="1"/>
      </c>
      <c r="AU1388">
        <f ca="1"/>
      </c>
      <c r="AV1388">
        <f ca="1"/>
      </c>
      <c r="AW1388">
        <f ca="1"/>
      </c>
      <c r="AX1388">
        <f ca="1"/>
      </c>
      <c r="AY1388">
        <f ca="1"/>
      </c>
      <c r="BA1388" s="7"/>
    </row>
    <row r="1389" spans="31:53" x14ac:dyDescent="0.55000000000000004">
      <c r="AE1389" s="7">
        <f ca="1"/>
      </c>
      <c r="AF1389">
        <f ca="1"/>
      </c>
      <c r="AG1389">
        <f ca="1"/>
      </c>
      <c r="AH1389">
        <f ca="1"/>
      </c>
      <c r="AI1389">
        <f ca="1"/>
      </c>
      <c r="AJ1389">
        <f ca="1"/>
      </c>
      <c r="AK1389">
        <f ca="1"/>
      </c>
      <c r="AL1389">
        <f ca="1"/>
      </c>
      <c r="AM1389">
        <f ca="1"/>
      </c>
      <c r="AN1389">
        <f ca="1"/>
      </c>
      <c r="AO1389">
        <f ca="1"/>
      </c>
      <c r="AP1389">
        <f ca="1"/>
      </c>
      <c r="AQ1389">
        <f ca="1"/>
      </c>
      <c r="AR1389">
        <f ca="1"/>
      </c>
      <c r="AT1389" s="7">
        <f ca="1"/>
      </c>
      <c r="AU1389">
        <f ca="1"/>
      </c>
      <c r="AV1389">
        <f ca="1"/>
      </c>
      <c r="AW1389">
        <f ca="1"/>
      </c>
      <c r="AX1389">
        <f ca="1"/>
      </c>
      <c r="AY1389">
        <f ca="1"/>
      </c>
      <c r="BA1389" s="7"/>
    </row>
    <row r="1390" spans="31:53" x14ac:dyDescent="0.55000000000000004">
      <c r="AE1390" s="7">
        <f ca="1"/>
      </c>
      <c r="AF1390">
        <f ca="1"/>
      </c>
      <c r="AG1390">
        <f ca="1"/>
      </c>
      <c r="AH1390">
        <f ca="1"/>
      </c>
      <c r="AI1390">
        <f ca="1"/>
      </c>
      <c r="AJ1390">
        <f ca="1"/>
      </c>
      <c r="AK1390">
        <f ca="1"/>
      </c>
      <c r="AL1390">
        <f ca="1"/>
      </c>
      <c r="AM1390">
        <f ca="1"/>
      </c>
      <c r="AN1390">
        <f ca="1"/>
      </c>
      <c r="AO1390">
        <f ca="1"/>
      </c>
      <c r="AP1390">
        <f ca="1"/>
      </c>
      <c r="AQ1390">
        <f ca="1"/>
      </c>
      <c r="AR1390">
        <f ca="1"/>
      </c>
      <c r="AT1390" s="7">
        <f ca="1"/>
      </c>
      <c r="AU1390">
        <f ca="1"/>
      </c>
      <c r="AV1390">
        <f ca="1"/>
      </c>
      <c r="AW1390">
        <f ca="1"/>
      </c>
      <c r="AX1390">
        <f ca="1"/>
      </c>
      <c r="AY1390">
        <f ca="1"/>
      </c>
      <c r="BA1390" s="7"/>
    </row>
    <row r="1391" spans="31:53" x14ac:dyDescent="0.55000000000000004">
      <c r="AE1391" s="7">
        <f ca="1"/>
      </c>
      <c r="AF1391">
        <f ca="1"/>
      </c>
      <c r="AG1391">
        <f ca="1"/>
      </c>
      <c r="AH1391">
        <f ca="1"/>
      </c>
      <c r="AI1391">
        <f ca="1"/>
      </c>
      <c r="AJ1391">
        <f ca="1"/>
      </c>
      <c r="AK1391">
        <f ca="1"/>
      </c>
      <c r="AL1391">
        <f ca="1"/>
      </c>
      <c r="AM1391">
        <f ca="1"/>
      </c>
      <c r="AN1391">
        <f ca="1"/>
      </c>
      <c r="AO1391">
        <f ca="1"/>
      </c>
      <c r="AP1391">
        <f ca="1"/>
      </c>
      <c r="AQ1391">
        <f ca="1"/>
      </c>
      <c r="AR1391">
        <f ca="1"/>
      </c>
      <c r="AT1391" s="7">
        <f ca="1"/>
      </c>
      <c r="AU1391">
        <f ca="1"/>
      </c>
      <c r="AV1391">
        <f ca="1"/>
      </c>
      <c r="AW1391">
        <f ca="1"/>
      </c>
      <c r="AX1391">
        <f ca="1"/>
      </c>
      <c r="AY1391">
        <f ca="1"/>
      </c>
      <c r="BA1391" s="7"/>
    </row>
    <row r="1392" spans="31:53" x14ac:dyDescent="0.55000000000000004">
      <c r="AE1392" s="7">
        <f ca="1"/>
      </c>
      <c r="AF1392">
        <f ca="1"/>
      </c>
      <c r="AG1392">
        <f ca="1"/>
      </c>
      <c r="AH1392">
        <f ca="1"/>
      </c>
      <c r="AI1392">
        <f ca="1"/>
      </c>
      <c r="AJ1392">
        <f ca="1"/>
      </c>
      <c r="AK1392">
        <f ca="1"/>
      </c>
      <c r="AL1392">
        <f ca="1"/>
      </c>
      <c r="AM1392">
        <f ca="1"/>
      </c>
      <c r="AN1392">
        <f ca="1"/>
      </c>
      <c r="AO1392">
        <f ca="1"/>
      </c>
      <c r="AP1392">
        <f ca="1"/>
      </c>
      <c r="AQ1392">
        <f ca="1"/>
      </c>
      <c r="AR1392">
        <f ca="1"/>
      </c>
      <c r="AT1392" s="7">
        <f ca="1"/>
      </c>
      <c r="AU1392">
        <f ca="1"/>
      </c>
      <c r="AV1392">
        <f ca="1"/>
      </c>
      <c r="AW1392">
        <f ca="1"/>
      </c>
      <c r="AX1392">
        <f ca="1"/>
      </c>
      <c r="AY1392">
        <f ca="1"/>
      </c>
      <c r="BA1392" s="7"/>
    </row>
    <row r="1393" spans="31:53" x14ac:dyDescent="0.55000000000000004">
      <c r="AE1393" s="7">
        <f ca="1"/>
      </c>
      <c r="AF1393">
        <f ca="1"/>
      </c>
      <c r="AG1393">
        <f ca="1"/>
      </c>
      <c r="AH1393">
        <f ca="1"/>
      </c>
      <c r="AI1393">
        <f ca="1"/>
      </c>
      <c r="AJ1393">
        <f ca="1"/>
      </c>
      <c r="AK1393">
        <f ca="1"/>
      </c>
      <c r="AL1393">
        <f ca="1"/>
      </c>
      <c r="AM1393">
        <f ca="1"/>
      </c>
      <c r="AN1393">
        <f ca="1"/>
      </c>
      <c r="AO1393">
        <f ca="1"/>
      </c>
      <c r="AP1393">
        <f ca="1"/>
      </c>
      <c r="AQ1393">
        <f ca="1"/>
      </c>
      <c r="AR1393">
        <f ca="1"/>
      </c>
      <c r="AT1393" s="7">
        <f ca="1"/>
      </c>
      <c r="AU1393">
        <f ca="1"/>
      </c>
      <c r="AV1393">
        <f ca="1"/>
      </c>
      <c r="AW1393">
        <f ca="1"/>
      </c>
      <c r="AX1393">
        <f ca="1"/>
      </c>
      <c r="AY1393">
        <f ca="1"/>
      </c>
      <c r="BA1393" s="7"/>
    </row>
    <row r="1394" spans="31:53" x14ac:dyDescent="0.55000000000000004">
      <c r="AE1394" s="7">
        <f ca="1"/>
      </c>
      <c r="AF1394">
        <f ca="1"/>
      </c>
      <c r="AG1394">
        <f ca="1"/>
      </c>
      <c r="AH1394">
        <f ca="1"/>
      </c>
      <c r="AI1394">
        <f ca="1"/>
      </c>
      <c r="AJ1394">
        <f ca="1"/>
      </c>
      <c r="AK1394">
        <f ca="1"/>
      </c>
      <c r="AL1394">
        <f ca="1"/>
      </c>
      <c r="AM1394">
        <f ca="1"/>
      </c>
      <c r="AN1394">
        <f ca="1"/>
      </c>
      <c r="AO1394">
        <f ca="1"/>
      </c>
      <c r="AP1394">
        <f ca="1"/>
      </c>
      <c r="AQ1394">
        <f ca="1"/>
      </c>
      <c r="AR1394">
        <f ca="1"/>
      </c>
      <c r="AT1394" s="7">
        <f ca="1"/>
      </c>
      <c r="AU1394">
        <f ca="1"/>
      </c>
      <c r="AV1394">
        <f ca="1"/>
      </c>
      <c r="AW1394">
        <f ca="1"/>
      </c>
      <c r="AX1394">
        <f ca="1"/>
      </c>
      <c r="AY1394">
        <f ca="1"/>
      </c>
      <c r="BA1394" s="7"/>
    </row>
    <row r="1395" spans="31:53" x14ac:dyDescent="0.55000000000000004">
      <c r="AE1395" s="7">
        <f ca="1"/>
      </c>
      <c r="AF1395">
        <f ca="1"/>
      </c>
      <c r="AG1395">
        <f ca="1"/>
      </c>
      <c r="AH1395">
        <f ca="1"/>
      </c>
      <c r="AI1395">
        <f ca="1"/>
      </c>
      <c r="AJ1395">
        <f ca="1"/>
      </c>
      <c r="AK1395">
        <f ca="1"/>
      </c>
      <c r="AL1395">
        <f ca="1"/>
      </c>
      <c r="AM1395">
        <f ca="1"/>
      </c>
      <c r="AN1395">
        <f ca="1"/>
      </c>
      <c r="AO1395">
        <f ca="1"/>
      </c>
      <c r="AP1395">
        <f ca="1"/>
      </c>
      <c r="AQ1395">
        <f ca="1"/>
      </c>
      <c r="AR1395">
        <f ca="1"/>
      </c>
      <c r="AT1395" s="7">
        <f ca="1"/>
      </c>
      <c r="AU1395">
        <f ca="1"/>
      </c>
      <c r="AV1395">
        <f ca="1"/>
      </c>
      <c r="AW1395">
        <f ca="1"/>
      </c>
      <c r="AX1395">
        <f ca="1"/>
      </c>
      <c r="AY1395">
        <f ca="1"/>
      </c>
      <c r="BA1395" s="7"/>
    </row>
    <row r="1396" spans="31:53" x14ac:dyDescent="0.55000000000000004">
      <c r="AE1396" s="7">
        <f ca="1"/>
      </c>
      <c r="AF1396">
        <f ca="1"/>
      </c>
      <c r="AG1396">
        <f ca="1"/>
      </c>
      <c r="AH1396">
        <f ca="1"/>
      </c>
      <c r="AI1396">
        <f ca="1"/>
      </c>
      <c r="AJ1396">
        <f ca="1"/>
      </c>
      <c r="AK1396">
        <f ca="1"/>
      </c>
      <c r="AL1396">
        <f ca="1"/>
      </c>
      <c r="AM1396">
        <f ca="1"/>
      </c>
      <c r="AN1396">
        <f ca="1"/>
      </c>
      <c r="AO1396">
        <f ca="1"/>
      </c>
      <c r="AP1396">
        <f ca="1"/>
      </c>
      <c r="AQ1396">
        <f ca="1"/>
      </c>
      <c r="AR1396">
        <f ca="1"/>
      </c>
      <c r="AT1396" s="7">
        <f ca="1"/>
      </c>
      <c r="AU1396">
        <f ca="1"/>
      </c>
      <c r="AV1396">
        <f ca="1"/>
      </c>
      <c r="AW1396">
        <f ca="1"/>
      </c>
      <c r="AX1396">
        <f ca="1"/>
      </c>
      <c r="AY1396">
        <f ca="1"/>
      </c>
      <c r="BA1396" s="7"/>
    </row>
    <row r="1397" spans="31:53" x14ac:dyDescent="0.55000000000000004">
      <c r="AE1397" s="7">
        <f ca="1"/>
      </c>
      <c r="AF1397">
        <f ca="1"/>
      </c>
      <c r="AG1397">
        <f ca="1"/>
      </c>
      <c r="AH1397">
        <f ca="1"/>
      </c>
      <c r="AI1397">
        <f ca="1"/>
      </c>
      <c r="AJ1397">
        <f ca="1"/>
      </c>
      <c r="AK1397">
        <f ca="1"/>
      </c>
      <c r="AL1397">
        <f ca="1"/>
      </c>
      <c r="AM1397">
        <f ca="1"/>
      </c>
      <c r="AN1397">
        <f ca="1"/>
      </c>
      <c r="AO1397">
        <f ca="1"/>
      </c>
      <c r="AP1397">
        <f ca="1"/>
      </c>
      <c r="AQ1397">
        <f ca="1"/>
      </c>
      <c r="AR1397">
        <f ca="1"/>
      </c>
      <c r="AT1397" s="7">
        <f ca="1"/>
      </c>
      <c r="AU1397">
        <f ca="1"/>
      </c>
      <c r="AV1397">
        <f ca="1"/>
      </c>
      <c r="AW1397">
        <f ca="1"/>
      </c>
      <c r="AX1397">
        <f ca="1"/>
      </c>
      <c r="AY1397">
        <f ca="1"/>
      </c>
      <c r="BA1397" s="7"/>
    </row>
    <row r="1398" spans="31:53" x14ac:dyDescent="0.55000000000000004">
      <c r="AE1398" s="7">
        <f ca="1"/>
      </c>
      <c r="AF1398">
        <f ca="1"/>
      </c>
      <c r="AG1398">
        <f ca="1"/>
      </c>
      <c r="AH1398">
        <f ca="1"/>
      </c>
      <c r="AI1398">
        <f ca="1"/>
      </c>
      <c r="AJ1398">
        <f ca="1"/>
      </c>
      <c r="AK1398">
        <f ca="1"/>
      </c>
      <c r="AL1398">
        <f ca="1"/>
      </c>
      <c r="AM1398">
        <f ca="1"/>
      </c>
      <c r="AN1398">
        <f ca="1"/>
      </c>
      <c r="AO1398">
        <f ca="1"/>
      </c>
      <c r="AP1398">
        <f ca="1"/>
      </c>
      <c r="AQ1398">
        <f ca="1"/>
      </c>
      <c r="AR1398">
        <f ca="1"/>
      </c>
      <c r="AT1398" s="7">
        <f ca="1"/>
      </c>
      <c r="AU1398">
        <f ca="1"/>
      </c>
      <c r="AV1398">
        <f ca="1"/>
      </c>
      <c r="AW1398">
        <f ca="1"/>
      </c>
      <c r="AX1398">
        <f ca="1"/>
      </c>
      <c r="AY1398">
        <f ca="1"/>
      </c>
      <c r="BA1398" s="7"/>
    </row>
    <row r="1399" spans="31:53" x14ac:dyDescent="0.55000000000000004">
      <c r="AE1399" s="7">
        <f ca="1"/>
      </c>
      <c r="AF1399">
        <f ca="1"/>
      </c>
      <c r="AG1399">
        <f ca="1"/>
      </c>
      <c r="AH1399">
        <f ca="1"/>
      </c>
      <c r="AI1399">
        <f ca="1"/>
      </c>
      <c r="AJ1399">
        <f ca="1"/>
      </c>
      <c r="AK1399">
        <f ca="1"/>
      </c>
      <c r="AL1399">
        <f ca="1"/>
      </c>
      <c r="AM1399">
        <f ca="1"/>
      </c>
      <c r="AN1399">
        <f ca="1"/>
      </c>
      <c r="AO1399">
        <f ca="1"/>
      </c>
      <c r="AP1399">
        <f ca="1"/>
      </c>
      <c r="AQ1399">
        <f ca="1"/>
      </c>
      <c r="AR1399">
        <f ca="1"/>
      </c>
      <c r="AT1399" s="7">
        <f ca="1"/>
      </c>
      <c r="AU1399">
        <f ca="1"/>
      </c>
      <c r="AV1399">
        <f ca="1"/>
      </c>
      <c r="AW1399">
        <f ca="1"/>
      </c>
      <c r="AX1399">
        <f ca="1"/>
      </c>
      <c r="AY1399">
        <f ca="1"/>
      </c>
      <c r="BA1399" s="7"/>
    </row>
    <row r="1400" spans="31:53" x14ac:dyDescent="0.55000000000000004">
      <c r="AE1400" s="7">
        <f ca="1"/>
      </c>
      <c r="AF1400">
        <f ca="1"/>
      </c>
      <c r="AG1400">
        <f ca="1"/>
      </c>
      <c r="AH1400">
        <f ca="1"/>
      </c>
      <c r="AI1400">
        <f ca="1"/>
      </c>
      <c r="AJ1400">
        <f ca="1"/>
      </c>
      <c r="AK1400">
        <f ca="1"/>
      </c>
      <c r="AL1400">
        <f ca="1"/>
      </c>
      <c r="AM1400">
        <f ca="1"/>
      </c>
      <c r="AN1400">
        <f ca="1"/>
      </c>
      <c r="AO1400">
        <f ca="1"/>
      </c>
      <c r="AP1400">
        <f ca="1"/>
      </c>
      <c r="AQ1400">
        <f ca="1"/>
      </c>
      <c r="AR1400">
        <f ca="1"/>
      </c>
      <c r="AT1400" s="7">
        <f ca="1"/>
      </c>
      <c r="AU1400">
        <f ca="1"/>
      </c>
      <c r="AV1400">
        <f ca="1"/>
      </c>
      <c r="AW1400">
        <f ca="1"/>
      </c>
      <c r="AX1400">
        <f ca="1"/>
      </c>
      <c r="AY1400">
        <f ca="1"/>
      </c>
      <c r="BA1400" s="7"/>
    </row>
    <row r="1401" spans="31:53" x14ac:dyDescent="0.55000000000000004">
      <c r="AE1401" s="7">
        <f ca="1"/>
      </c>
      <c r="AF1401">
        <f ca="1"/>
      </c>
      <c r="AG1401">
        <f ca="1"/>
      </c>
      <c r="AH1401">
        <f ca="1"/>
      </c>
      <c r="AI1401">
        <f ca="1"/>
      </c>
      <c r="AJ1401">
        <f ca="1"/>
      </c>
      <c r="AK1401">
        <f ca="1"/>
      </c>
      <c r="AL1401">
        <f ca="1"/>
      </c>
      <c r="AM1401">
        <f ca="1"/>
      </c>
      <c r="AN1401">
        <f ca="1"/>
      </c>
      <c r="AO1401">
        <f ca="1"/>
      </c>
      <c r="AP1401">
        <f ca="1"/>
      </c>
      <c r="AQ1401">
        <f ca="1"/>
      </c>
      <c r="AR1401">
        <f ca="1"/>
      </c>
      <c r="AT1401" s="7">
        <f ca="1"/>
      </c>
      <c r="AU1401">
        <f ca="1"/>
      </c>
      <c r="AV1401">
        <f ca="1"/>
      </c>
      <c r="AW1401">
        <f ca="1"/>
      </c>
      <c r="AX1401">
        <f ca="1"/>
      </c>
      <c r="AY1401">
        <f ca="1"/>
      </c>
      <c r="BA1401" s="7"/>
    </row>
    <row r="1402" spans="31:53" x14ac:dyDescent="0.55000000000000004">
      <c r="AE1402" s="7">
        <f ca="1"/>
      </c>
      <c r="AF1402">
        <f ca="1"/>
      </c>
      <c r="AG1402">
        <f ca="1"/>
      </c>
      <c r="AH1402">
        <f ca="1"/>
      </c>
      <c r="AI1402">
        <f ca="1"/>
      </c>
      <c r="AJ1402">
        <f ca="1"/>
      </c>
      <c r="AK1402">
        <f ca="1"/>
      </c>
      <c r="AL1402">
        <f ca="1"/>
      </c>
      <c r="AM1402">
        <f ca="1"/>
      </c>
      <c r="AN1402">
        <f ca="1"/>
      </c>
      <c r="AO1402">
        <f ca="1"/>
      </c>
      <c r="AP1402">
        <f ca="1"/>
      </c>
      <c r="AQ1402">
        <f ca="1"/>
      </c>
      <c r="AR1402">
        <f ca="1"/>
      </c>
      <c r="AT1402" s="7">
        <f ca="1"/>
      </c>
      <c r="AU1402">
        <f ca="1"/>
      </c>
      <c r="AV1402">
        <f ca="1"/>
      </c>
      <c r="AW1402">
        <f ca="1"/>
      </c>
      <c r="AX1402">
        <f ca="1"/>
      </c>
      <c r="AY1402">
        <f ca="1"/>
      </c>
      <c r="BA1402" s="7"/>
    </row>
    <row r="1403" spans="31:53" x14ac:dyDescent="0.55000000000000004">
      <c r="AE1403" s="7">
        <f ca="1"/>
      </c>
      <c r="AF1403">
        <f ca="1"/>
      </c>
      <c r="AG1403">
        <f ca="1"/>
      </c>
      <c r="AH1403">
        <f ca="1"/>
      </c>
      <c r="AI1403">
        <f ca="1"/>
      </c>
      <c r="AJ1403">
        <f ca="1"/>
      </c>
      <c r="AK1403">
        <f ca="1"/>
      </c>
      <c r="AL1403">
        <f ca="1"/>
      </c>
      <c r="AM1403">
        <f ca="1"/>
      </c>
      <c r="AN1403">
        <f ca="1"/>
      </c>
      <c r="AO1403">
        <f ca="1"/>
      </c>
      <c r="AP1403">
        <f ca="1"/>
      </c>
      <c r="AQ1403">
        <f ca="1"/>
      </c>
      <c r="AR1403">
        <f ca="1"/>
      </c>
      <c r="AT1403" s="7">
        <f ca="1"/>
      </c>
      <c r="AU1403">
        <f ca="1"/>
      </c>
      <c r="AV1403">
        <f ca="1"/>
      </c>
      <c r="AW1403">
        <f ca="1"/>
      </c>
      <c r="AX1403">
        <f ca="1"/>
      </c>
      <c r="AY1403">
        <f ca="1"/>
      </c>
      <c r="BA1403" s="7"/>
    </row>
    <row r="1404" spans="31:53" x14ac:dyDescent="0.55000000000000004">
      <c r="AE1404" s="7">
        <f ca="1"/>
      </c>
      <c r="AF1404">
        <f ca="1"/>
      </c>
      <c r="AG1404">
        <f ca="1"/>
      </c>
      <c r="AH1404">
        <f ca="1"/>
      </c>
      <c r="AI1404">
        <f ca="1"/>
      </c>
      <c r="AJ1404">
        <f ca="1"/>
      </c>
      <c r="AK1404">
        <f ca="1"/>
      </c>
      <c r="AL1404">
        <f ca="1"/>
      </c>
      <c r="AM1404">
        <f ca="1"/>
      </c>
      <c r="AN1404">
        <f ca="1"/>
      </c>
      <c r="AO1404">
        <f ca="1"/>
      </c>
      <c r="AP1404">
        <f ca="1"/>
      </c>
      <c r="AQ1404">
        <f ca="1"/>
      </c>
      <c r="AR1404">
        <f ca="1"/>
      </c>
      <c r="AT1404" s="7">
        <f ca="1"/>
      </c>
      <c r="AU1404">
        <f ca="1"/>
      </c>
      <c r="AV1404">
        <f ca="1"/>
      </c>
      <c r="AW1404">
        <f ca="1"/>
      </c>
      <c r="AX1404">
        <f ca="1"/>
      </c>
      <c r="AY1404">
        <f ca="1"/>
      </c>
      <c r="BA1404" s="7"/>
    </row>
    <row r="1405" spans="31:53" x14ac:dyDescent="0.55000000000000004">
      <c r="AE1405" s="7">
        <f ca="1"/>
      </c>
      <c r="AF1405">
        <f ca="1"/>
      </c>
      <c r="AG1405">
        <f ca="1"/>
      </c>
      <c r="AH1405">
        <f ca="1"/>
      </c>
      <c r="AI1405">
        <f ca="1"/>
      </c>
      <c r="AJ1405">
        <f ca="1"/>
      </c>
      <c r="AK1405">
        <f ca="1"/>
      </c>
      <c r="AL1405">
        <f ca="1"/>
      </c>
      <c r="AM1405">
        <f ca="1"/>
      </c>
      <c r="AN1405">
        <f ca="1"/>
      </c>
      <c r="AO1405">
        <f ca="1"/>
      </c>
      <c r="AP1405">
        <f ca="1"/>
      </c>
      <c r="AQ1405">
        <f ca="1"/>
      </c>
      <c r="AR1405">
        <f ca="1"/>
      </c>
      <c r="AT1405" s="7">
        <f ca="1"/>
      </c>
      <c r="AU1405">
        <f ca="1"/>
      </c>
      <c r="AV1405">
        <f ca="1"/>
      </c>
      <c r="AW1405">
        <f ca="1"/>
      </c>
      <c r="AX1405">
        <f ca="1"/>
      </c>
      <c r="AY1405">
        <f ca="1"/>
      </c>
      <c r="BA1405" s="7"/>
    </row>
    <row r="1406" spans="31:53" x14ac:dyDescent="0.55000000000000004">
      <c r="AE1406" s="7">
        <f ca="1"/>
      </c>
      <c r="AF1406">
        <f ca="1"/>
      </c>
      <c r="AG1406">
        <f ca="1"/>
      </c>
      <c r="AH1406">
        <f ca="1"/>
      </c>
      <c r="AI1406">
        <f ca="1"/>
      </c>
      <c r="AJ1406">
        <f ca="1"/>
      </c>
      <c r="AK1406">
        <f ca="1"/>
      </c>
      <c r="AL1406">
        <f ca="1"/>
      </c>
      <c r="AM1406">
        <f ca="1"/>
      </c>
      <c r="AN1406">
        <f ca="1"/>
      </c>
      <c r="AO1406">
        <f ca="1"/>
      </c>
      <c r="AP1406">
        <f ca="1"/>
      </c>
      <c r="AQ1406">
        <f ca="1"/>
      </c>
      <c r="AR1406">
        <f ca="1"/>
      </c>
      <c r="AT1406" s="7">
        <f ca="1"/>
      </c>
      <c r="AU1406">
        <f ca="1"/>
      </c>
      <c r="AV1406">
        <f ca="1"/>
      </c>
      <c r="AW1406">
        <f ca="1"/>
      </c>
      <c r="AX1406">
        <f ca="1"/>
      </c>
      <c r="AY1406">
        <f ca="1"/>
      </c>
      <c r="BA1406" s="7"/>
    </row>
    <row r="1407" spans="31:53" x14ac:dyDescent="0.55000000000000004">
      <c r="AE1407" s="7">
        <f ca="1"/>
      </c>
      <c r="AF1407">
        <f ca="1"/>
      </c>
      <c r="AG1407">
        <f ca="1"/>
      </c>
      <c r="AH1407">
        <f ca="1"/>
      </c>
      <c r="AI1407">
        <f ca="1"/>
      </c>
      <c r="AJ1407">
        <f ca="1"/>
      </c>
      <c r="AK1407">
        <f ca="1"/>
      </c>
      <c r="AL1407">
        <f ca="1"/>
      </c>
      <c r="AM1407">
        <f ca="1"/>
      </c>
      <c r="AN1407">
        <f ca="1"/>
      </c>
      <c r="AO1407">
        <f ca="1"/>
      </c>
      <c r="AP1407">
        <f ca="1"/>
      </c>
      <c r="AQ1407">
        <f ca="1"/>
      </c>
      <c r="AR1407">
        <f ca="1"/>
      </c>
      <c r="AT1407" s="7">
        <f ca="1"/>
      </c>
      <c r="AU1407">
        <f ca="1"/>
      </c>
      <c r="AV1407">
        <f ca="1"/>
      </c>
      <c r="AW1407">
        <f ca="1"/>
      </c>
      <c r="AX1407">
        <f ca="1"/>
      </c>
      <c r="AY1407">
        <f ca="1"/>
      </c>
      <c r="BA1407" s="7"/>
    </row>
    <row r="1408" spans="31:53" x14ac:dyDescent="0.55000000000000004">
      <c r="AE1408" s="7">
        <f ca="1"/>
      </c>
      <c r="AF1408">
        <f ca="1"/>
      </c>
      <c r="AG1408">
        <f ca="1"/>
      </c>
      <c r="AH1408">
        <f ca="1"/>
      </c>
      <c r="AI1408">
        <f ca="1"/>
      </c>
      <c r="AJ1408">
        <f ca="1"/>
      </c>
      <c r="AK1408">
        <f ca="1"/>
      </c>
      <c r="AL1408">
        <f ca="1"/>
      </c>
      <c r="AM1408">
        <f ca="1"/>
      </c>
      <c r="AN1408">
        <f ca="1"/>
      </c>
      <c r="AO1408">
        <f ca="1"/>
      </c>
      <c r="AP1408">
        <f ca="1"/>
      </c>
      <c r="AQ1408">
        <f ca="1"/>
      </c>
      <c r="AR1408">
        <f ca="1"/>
      </c>
      <c r="AT1408" s="7">
        <f ca="1"/>
      </c>
      <c r="AU1408">
        <f ca="1"/>
      </c>
      <c r="AV1408">
        <f ca="1"/>
      </c>
      <c r="AW1408">
        <f ca="1"/>
      </c>
      <c r="AX1408">
        <f ca="1"/>
      </c>
      <c r="AY1408">
        <f ca="1"/>
      </c>
      <c r="BA1408" s="7"/>
    </row>
    <row r="1409" spans="31:53" x14ac:dyDescent="0.55000000000000004">
      <c r="AE1409" s="7">
        <f ca="1"/>
      </c>
      <c r="AF1409">
        <f ca="1"/>
      </c>
      <c r="AG1409">
        <f ca="1"/>
      </c>
      <c r="AH1409">
        <f ca="1"/>
      </c>
      <c r="AI1409">
        <f ca="1"/>
      </c>
      <c r="AJ1409">
        <f ca="1"/>
      </c>
      <c r="AK1409">
        <f ca="1"/>
      </c>
      <c r="AL1409">
        <f ca="1"/>
      </c>
      <c r="AM1409">
        <f ca="1"/>
      </c>
      <c r="AN1409">
        <f ca="1"/>
      </c>
      <c r="AO1409">
        <f ca="1"/>
      </c>
      <c r="AP1409">
        <f ca="1"/>
      </c>
      <c r="AQ1409">
        <f ca="1"/>
      </c>
      <c r="AR1409">
        <f ca="1"/>
      </c>
      <c r="AT1409" s="7">
        <f ca="1"/>
      </c>
      <c r="AU1409">
        <f ca="1"/>
      </c>
      <c r="AV1409">
        <f ca="1"/>
      </c>
      <c r="AW1409">
        <f ca="1"/>
      </c>
      <c r="AX1409">
        <f ca="1"/>
      </c>
      <c r="AY1409">
        <f ca="1"/>
      </c>
      <c r="BA1409" s="7"/>
    </row>
    <row r="1410" spans="31:53" x14ac:dyDescent="0.55000000000000004">
      <c r="AE1410" s="7">
        <f ca="1"/>
      </c>
      <c r="AF1410">
        <f ca="1"/>
      </c>
      <c r="AG1410">
        <f ca="1"/>
      </c>
      <c r="AH1410">
        <f ca="1"/>
      </c>
      <c r="AI1410">
        <f ca="1"/>
      </c>
      <c r="AJ1410">
        <f ca="1"/>
      </c>
      <c r="AK1410">
        <f ca="1"/>
      </c>
      <c r="AL1410">
        <f ca="1"/>
      </c>
      <c r="AM1410">
        <f ca="1"/>
      </c>
      <c r="AN1410">
        <f ca="1"/>
      </c>
      <c r="AO1410">
        <f ca="1"/>
      </c>
      <c r="AP1410">
        <f ca="1"/>
      </c>
      <c r="AQ1410">
        <f ca="1"/>
      </c>
      <c r="AR1410">
        <f ca="1"/>
      </c>
      <c r="AT1410" s="7">
        <f ca="1"/>
      </c>
      <c r="AU1410">
        <f ca="1"/>
      </c>
      <c r="AV1410">
        <f ca="1"/>
      </c>
      <c r="AW1410">
        <f ca="1"/>
      </c>
      <c r="AX1410">
        <f ca="1"/>
      </c>
      <c r="AY1410">
        <f ca="1"/>
      </c>
      <c r="BA1410" s="7"/>
    </row>
    <row r="1411" spans="31:53" x14ac:dyDescent="0.55000000000000004">
      <c r="AE1411" s="7">
        <f ca="1"/>
      </c>
      <c r="AF1411">
        <f ca="1"/>
      </c>
      <c r="AG1411">
        <f ca="1"/>
      </c>
      <c r="AH1411">
        <f ca="1"/>
      </c>
      <c r="AI1411">
        <f ca="1"/>
      </c>
      <c r="AJ1411">
        <f ca="1"/>
      </c>
      <c r="AK1411">
        <f ca="1"/>
      </c>
      <c r="AL1411">
        <f ca="1"/>
      </c>
      <c r="AM1411">
        <f ca="1"/>
      </c>
      <c r="AN1411">
        <f ca="1"/>
      </c>
      <c r="AO1411">
        <f ca="1"/>
      </c>
      <c r="AP1411">
        <f ca="1"/>
      </c>
      <c r="AQ1411">
        <f ca="1"/>
      </c>
      <c r="AR1411">
        <f ca="1"/>
      </c>
      <c r="AT1411" s="7">
        <f ca="1"/>
      </c>
      <c r="AU1411">
        <f ca="1"/>
      </c>
      <c r="AV1411">
        <f ca="1"/>
      </c>
      <c r="AW1411">
        <f ca="1"/>
      </c>
      <c r="AX1411">
        <f ca="1"/>
      </c>
      <c r="AY1411">
        <f ca="1"/>
      </c>
      <c r="BA1411" s="7"/>
    </row>
    <row r="1412" spans="31:53" x14ac:dyDescent="0.55000000000000004">
      <c r="AE1412" s="7">
        <f ca="1"/>
      </c>
      <c r="AF1412">
        <f ca="1"/>
      </c>
      <c r="AG1412">
        <f ca="1"/>
      </c>
      <c r="AH1412">
        <f ca="1"/>
      </c>
      <c r="AI1412">
        <f ca="1"/>
      </c>
      <c r="AJ1412">
        <f ca="1"/>
      </c>
      <c r="AK1412">
        <f ca="1"/>
      </c>
      <c r="AL1412">
        <f ca="1"/>
      </c>
      <c r="AM1412">
        <f ca="1"/>
      </c>
      <c r="AN1412">
        <f ca="1"/>
      </c>
      <c r="AO1412">
        <f ca="1"/>
      </c>
      <c r="AP1412">
        <f ca="1"/>
      </c>
      <c r="AQ1412">
        <f ca="1"/>
      </c>
      <c r="AR1412">
        <f ca="1"/>
      </c>
      <c r="AT1412" s="7">
        <f ca="1"/>
      </c>
      <c r="AU1412">
        <f ca="1"/>
      </c>
      <c r="AV1412">
        <f ca="1"/>
      </c>
      <c r="AW1412">
        <f ca="1"/>
      </c>
      <c r="AX1412">
        <f ca="1"/>
      </c>
      <c r="AY1412">
        <f ca="1"/>
      </c>
      <c r="BA1412" s="7"/>
    </row>
    <row r="1413" spans="31:53" x14ac:dyDescent="0.55000000000000004">
      <c r="AE1413" s="7">
        <f ca="1"/>
      </c>
      <c r="AF1413">
        <f ca="1"/>
      </c>
      <c r="AG1413">
        <f ca="1"/>
      </c>
      <c r="AH1413">
        <f ca="1"/>
      </c>
      <c r="AI1413">
        <f ca="1"/>
      </c>
      <c r="AJ1413">
        <f ca="1"/>
      </c>
      <c r="AK1413">
        <f ca="1"/>
      </c>
      <c r="AL1413">
        <f ca="1"/>
      </c>
      <c r="AM1413">
        <f ca="1"/>
      </c>
      <c r="AN1413">
        <f ca="1"/>
      </c>
      <c r="AO1413">
        <f ca="1"/>
      </c>
      <c r="AP1413">
        <f ca="1"/>
      </c>
      <c r="AQ1413">
        <f ca="1"/>
      </c>
      <c r="AR1413">
        <f ca="1"/>
      </c>
      <c r="AT1413" s="7">
        <f ca="1"/>
      </c>
      <c r="AU1413">
        <f ca="1"/>
      </c>
      <c r="AV1413">
        <f ca="1"/>
      </c>
      <c r="AW1413">
        <f ca="1"/>
      </c>
      <c r="AX1413">
        <f ca="1"/>
      </c>
      <c r="AY1413">
        <f ca="1"/>
      </c>
      <c r="BA1413" s="7"/>
    </row>
    <row r="1414" spans="31:53" x14ac:dyDescent="0.55000000000000004">
      <c r="AE1414" s="7">
        <f ca="1"/>
      </c>
      <c r="AF1414">
        <f ca="1"/>
      </c>
      <c r="AG1414">
        <f ca="1"/>
      </c>
      <c r="AH1414">
        <f ca="1"/>
      </c>
      <c r="AI1414">
        <f ca="1"/>
      </c>
      <c r="AJ1414">
        <f ca="1"/>
      </c>
      <c r="AK1414">
        <f ca="1"/>
      </c>
      <c r="AL1414">
        <f ca="1"/>
      </c>
      <c r="AM1414">
        <f ca="1"/>
      </c>
      <c r="AN1414">
        <f ca="1"/>
      </c>
      <c r="AO1414">
        <f ca="1"/>
      </c>
      <c r="AP1414">
        <f ca="1"/>
      </c>
      <c r="AQ1414">
        <f ca="1"/>
      </c>
      <c r="AR1414">
        <f ca="1"/>
      </c>
      <c r="AT1414" s="7">
        <f ca="1"/>
      </c>
      <c r="AU1414">
        <f ca="1"/>
      </c>
      <c r="AV1414">
        <f ca="1"/>
      </c>
      <c r="AW1414">
        <f ca="1"/>
      </c>
      <c r="AX1414">
        <f ca="1"/>
      </c>
      <c r="AY1414">
        <f ca="1"/>
      </c>
      <c r="BA1414" s="7"/>
    </row>
    <row r="1415" spans="31:53" x14ac:dyDescent="0.55000000000000004">
      <c r="AE1415" s="7">
        <f ca="1"/>
      </c>
      <c r="AF1415">
        <f ca="1"/>
      </c>
      <c r="AG1415">
        <f ca="1"/>
      </c>
      <c r="AH1415">
        <f ca="1"/>
      </c>
      <c r="AI1415">
        <f ca="1"/>
      </c>
      <c r="AJ1415">
        <f ca="1"/>
      </c>
      <c r="AK1415">
        <f ca="1"/>
      </c>
      <c r="AL1415">
        <f ca="1"/>
      </c>
      <c r="AM1415">
        <f ca="1"/>
      </c>
      <c r="AN1415">
        <f ca="1"/>
      </c>
      <c r="AO1415">
        <f ca="1"/>
      </c>
      <c r="AP1415">
        <f ca="1"/>
      </c>
      <c r="AQ1415">
        <f ca="1"/>
      </c>
      <c r="AR1415">
        <f ca="1"/>
      </c>
      <c r="AT1415" s="7">
        <f ca="1"/>
      </c>
      <c r="AU1415">
        <f ca="1"/>
      </c>
      <c r="AV1415">
        <f ca="1"/>
      </c>
      <c r="AW1415">
        <f ca="1"/>
      </c>
      <c r="AX1415">
        <f ca="1"/>
      </c>
      <c r="AY1415">
        <f ca="1"/>
      </c>
      <c r="BA1415" s="7"/>
    </row>
    <row r="1416" spans="31:53" x14ac:dyDescent="0.55000000000000004">
      <c r="AE1416" s="7">
        <f ca="1"/>
      </c>
      <c r="AF1416">
        <f ca="1"/>
      </c>
      <c r="AG1416">
        <f ca="1"/>
      </c>
      <c r="AH1416">
        <f ca="1"/>
      </c>
      <c r="AI1416">
        <f ca="1"/>
      </c>
      <c r="AJ1416">
        <f ca="1"/>
      </c>
      <c r="AK1416">
        <f ca="1"/>
      </c>
      <c r="AL1416">
        <f ca="1"/>
      </c>
      <c r="AM1416">
        <f ca="1"/>
      </c>
      <c r="AN1416">
        <f ca="1"/>
      </c>
      <c r="AO1416">
        <f ca="1"/>
      </c>
      <c r="AP1416">
        <f ca="1"/>
      </c>
      <c r="AQ1416">
        <f ca="1"/>
      </c>
      <c r="AR1416">
        <f ca="1"/>
      </c>
      <c r="AT1416" s="7">
        <f ca="1"/>
      </c>
      <c r="AU1416">
        <f ca="1"/>
      </c>
      <c r="AV1416">
        <f ca="1"/>
      </c>
      <c r="AW1416">
        <f ca="1"/>
      </c>
      <c r="AX1416">
        <f ca="1"/>
      </c>
      <c r="AY1416">
        <f ca="1"/>
      </c>
      <c r="BA1416" s="7"/>
    </row>
    <row r="1417" spans="31:53" x14ac:dyDescent="0.55000000000000004">
      <c r="AE1417" s="7">
        <f ca="1"/>
      </c>
      <c r="AF1417">
        <f ca="1"/>
      </c>
      <c r="AG1417">
        <f ca="1"/>
      </c>
      <c r="AH1417">
        <f ca="1"/>
      </c>
      <c r="AI1417">
        <f ca="1"/>
      </c>
      <c r="AJ1417">
        <f ca="1"/>
      </c>
      <c r="AK1417">
        <f ca="1"/>
      </c>
      <c r="AL1417">
        <f ca="1"/>
      </c>
      <c r="AM1417">
        <f ca="1"/>
      </c>
      <c r="AN1417">
        <f ca="1"/>
      </c>
      <c r="AO1417">
        <f ca="1"/>
      </c>
      <c r="AP1417">
        <f ca="1"/>
      </c>
      <c r="AQ1417">
        <f ca="1"/>
      </c>
      <c r="AR1417">
        <f ca="1"/>
      </c>
      <c r="AT1417" s="7">
        <f ca="1"/>
      </c>
      <c r="AU1417">
        <f ca="1"/>
      </c>
      <c r="AV1417">
        <f ca="1"/>
      </c>
      <c r="AW1417">
        <f ca="1"/>
      </c>
      <c r="AX1417">
        <f ca="1"/>
      </c>
      <c r="AY1417">
        <f ca="1"/>
      </c>
      <c r="BA1417" s="7"/>
    </row>
    <row r="1418" spans="31:53" x14ac:dyDescent="0.55000000000000004">
      <c r="AE1418" s="7">
        <f ca="1"/>
      </c>
      <c r="AF1418">
        <f ca="1"/>
      </c>
      <c r="AG1418">
        <f ca="1"/>
      </c>
      <c r="AH1418">
        <f ca="1"/>
      </c>
      <c r="AI1418">
        <f ca="1"/>
      </c>
      <c r="AJ1418">
        <f ca="1"/>
      </c>
      <c r="AK1418">
        <f ca="1"/>
      </c>
      <c r="AL1418">
        <f ca="1"/>
      </c>
      <c r="AM1418">
        <f ca="1"/>
      </c>
      <c r="AN1418">
        <f ca="1"/>
      </c>
      <c r="AO1418">
        <f ca="1"/>
      </c>
      <c r="AP1418">
        <f ca="1"/>
      </c>
      <c r="AQ1418">
        <f ca="1"/>
      </c>
      <c r="AR1418">
        <f ca="1"/>
      </c>
      <c r="AT1418" s="7">
        <f ca="1"/>
      </c>
      <c r="AU1418">
        <f ca="1"/>
      </c>
      <c r="AV1418">
        <f ca="1"/>
      </c>
      <c r="AW1418">
        <f ca="1"/>
      </c>
      <c r="AX1418">
        <f ca="1"/>
      </c>
      <c r="AY1418">
        <f ca="1"/>
      </c>
      <c r="BA1418" s="7"/>
    </row>
    <row r="1419" spans="31:53" x14ac:dyDescent="0.55000000000000004">
      <c r="AE1419" s="7">
        <f ca="1"/>
      </c>
      <c r="AF1419">
        <f ca="1"/>
      </c>
      <c r="AG1419">
        <f ca="1"/>
      </c>
      <c r="AH1419">
        <f ca="1"/>
      </c>
      <c r="AI1419">
        <f ca="1"/>
      </c>
      <c r="AJ1419">
        <f ca="1"/>
      </c>
      <c r="AK1419">
        <f ca="1"/>
      </c>
      <c r="AL1419">
        <f ca="1"/>
      </c>
      <c r="AM1419">
        <f ca="1"/>
      </c>
      <c r="AN1419">
        <f ca="1"/>
      </c>
      <c r="AO1419">
        <f ca="1"/>
      </c>
      <c r="AP1419">
        <f ca="1"/>
      </c>
      <c r="AQ1419">
        <f ca="1"/>
      </c>
      <c r="AR1419">
        <f ca="1"/>
      </c>
      <c r="AT1419" s="7">
        <f ca="1"/>
      </c>
      <c r="AU1419">
        <f ca="1"/>
      </c>
      <c r="AV1419">
        <f ca="1"/>
      </c>
      <c r="AW1419">
        <f ca="1"/>
      </c>
      <c r="AX1419">
        <f ca="1"/>
      </c>
      <c r="AY1419">
        <f ca="1"/>
      </c>
      <c r="BA1419" s="7"/>
    </row>
    <row r="1420" spans="31:53" x14ac:dyDescent="0.55000000000000004">
      <c r="AE1420" s="7">
        <f ca="1"/>
      </c>
      <c r="AF1420">
        <f ca="1"/>
      </c>
      <c r="AG1420">
        <f ca="1"/>
      </c>
      <c r="AH1420">
        <f ca="1"/>
      </c>
      <c r="AI1420">
        <f ca="1"/>
      </c>
      <c r="AJ1420">
        <f ca="1"/>
      </c>
      <c r="AK1420">
        <f ca="1"/>
      </c>
      <c r="AL1420">
        <f ca="1"/>
      </c>
      <c r="AM1420">
        <f ca="1"/>
      </c>
      <c r="AN1420">
        <f ca="1"/>
      </c>
      <c r="AO1420">
        <f ca="1"/>
      </c>
      <c r="AP1420">
        <f ca="1"/>
      </c>
      <c r="AQ1420">
        <f ca="1"/>
      </c>
      <c r="AR1420">
        <f ca="1"/>
      </c>
      <c r="AT1420" s="7">
        <f ca="1"/>
      </c>
      <c r="AU1420">
        <f ca="1"/>
      </c>
      <c r="AV1420">
        <f ca="1"/>
      </c>
      <c r="AW1420">
        <f ca="1"/>
      </c>
      <c r="AX1420">
        <f ca="1"/>
      </c>
      <c r="AY1420">
        <f ca="1"/>
      </c>
      <c r="BA1420" s="7"/>
    </row>
    <row r="1421" spans="31:53" x14ac:dyDescent="0.55000000000000004">
      <c r="AE1421" s="7">
        <f ca="1"/>
      </c>
      <c r="AF1421">
        <f ca="1"/>
      </c>
      <c r="AG1421">
        <f ca="1"/>
      </c>
      <c r="AH1421">
        <f ca="1"/>
      </c>
      <c r="AI1421">
        <f ca="1"/>
      </c>
      <c r="AJ1421">
        <f ca="1"/>
      </c>
      <c r="AK1421">
        <f ca="1"/>
      </c>
      <c r="AL1421">
        <f ca="1"/>
      </c>
      <c r="AM1421">
        <f ca="1"/>
      </c>
      <c r="AN1421">
        <f ca="1"/>
      </c>
      <c r="AO1421">
        <f ca="1"/>
      </c>
      <c r="AP1421">
        <f ca="1"/>
      </c>
      <c r="AQ1421">
        <f ca="1"/>
      </c>
      <c r="AR1421">
        <f ca="1"/>
      </c>
      <c r="AT1421" s="7">
        <f ca="1"/>
      </c>
      <c r="AU1421">
        <f ca="1"/>
      </c>
      <c r="AV1421">
        <f ca="1"/>
      </c>
      <c r="AW1421">
        <f ca="1"/>
      </c>
      <c r="AX1421">
        <f ca="1"/>
      </c>
      <c r="AY1421">
        <f ca="1"/>
      </c>
      <c r="BA1421" s="7"/>
    </row>
    <row r="1422" spans="31:53" x14ac:dyDescent="0.55000000000000004">
      <c r="AE1422" s="7">
        <f ca="1"/>
      </c>
      <c r="AF1422">
        <f ca="1"/>
      </c>
      <c r="AG1422">
        <f ca="1"/>
      </c>
      <c r="AH1422">
        <f ca="1"/>
      </c>
      <c r="AI1422">
        <f ca="1"/>
      </c>
      <c r="AJ1422">
        <f ca="1"/>
      </c>
      <c r="AK1422">
        <f ca="1"/>
      </c>
      <c r="AL1422">
        <f ca="1"/>
      </c>
      <c r="AM1422">
        <f ca="1"/>
      </c>
      <c r="AN1422">
        <f ca="1"/>
      </c>
      <c r="AO1422">
        <f ca="1"/>
      </c>
      <c r="AP1422">
        <f ca="1"/>
      </c>
      <c r="AQ1422">
        <f ca="1"/>
      </c>
      <c r="AR1422">
        <f ca="1"/>
      </c>
      <c r="AT1422" s="7">
        <f ca="1"/>
      </c>
      <c r="AU1422">
        <f ca="1"/>
      </c>
      <c r="AV1422">
        <f ca="1"/>
      </c>
      <c r="AW1422">
        <f ca="1"/>
      </c>
      <c r="AX1422">
        <f ca="1"/>
      </c>
      <c r="AY1422">
        <f ca="1"/>
      </c>
      <c r="BA1422" s="7"/>
    </row>
    <row r="1423" spans="31:53" x14ac:dyDescent="0.55000000000000004">
      <c r="AE1423" s="7">
        <f ca="1"/>
      </c>
      <c r="AF1423">
        <f ca="1"/>
      </c>
      <c r="AG1423">
        <f ca="1"/>
      </c>
      <c r="AH1423">
        <f ca="1"/>
      </c>
      <c r="AI1423">
        <f ca="1"/>
      </c>
      <c r="AJ1423">
        <f ca="1"/>
      </c>
      <c r="AK1423">
        <f ca="1"/>
      </c>
      <c r="AL1423">
        <f ca="1"/>
      </c>
      <c r="AM1423">
        <f ca="1"/>
      </c>
      <c r="AN1423">
        <f ca="1"/>
      </c>
      <c r="AO1423">
        <f ca="1"/>
      </c>
      <c r="AP1423">
        <f ca="1"/>
      </c>
      <c r="AQ1423">
        <f ca="1"/>
      </c>
      <c r="AR1423">
        <f ca="1"/>
      </c>
      <c r="AT1423" s="7">
        <f ca="1"/>
      </c>
      <c r="AU1423">
        <f ca="1"/>
      </c>
      <c r="AV1423">
        <f ca="1"/>
      </c>
      <c r="AW1423">
        <f ca="1"/>
      </c>
      <c r="AX1423">
        <f ca="1"/>
      </c>
      <c r="AY1423">
        <f ca="1"/>
      </c>
      <c r="BA1423" s="7"/>
    </row>
    <row r="1424" spans="31:53" x14ac:dyDescent="0.55000000000000004">
      <c r="AE1424" s="7">
        <f ca="1"/>
      </c>
      <c r="AF1424">
        <f ca="1"/>
      </c>
      <c r="AG1424">
        <f ca="1"/>
      </c>
      <c r="AH1424">
        <f ca="1"/>
      </c>
      <c r="AI1424">
        <f ca="1"/>
      </c>
      <c r="AJ1424">
        <f ca="1"/>
      </c>
      <c r="AK1424">
        <f ca="1"/>
      </c>
      <c r="AL1424">
        <f ca="1"/>
      </c>
      <c r="AM1424">
        <f ca="1"/>
      </c>
      <c r="AN1424">
        <f ca="1"/>
      </c>
      <c r="AO1424">
        <f ca="1"/>
      </c>
      <c r="AP1424">
        <f ca="1"/>
      </c>
      <c r="AQ1424">
        <f ca="1"/>
      </c>
      <c r="AR1424">
        <f ca="1"/>
      </c>
      <c r="AT1424" s="7">
        <f ca="1"/>
      </c>
      <c r="AU1424">
        <f ca="1"/>
      </c>
      <c r="AV1424">
        <f ca="1"/>
      </c>
      <c r="AW1424">
        <f ca="1"/>
      </c>
      <c r="AX1424">
        <f ca="1"/>
      </c>
      <c r="AY1424">
        <f ca="1"/>
      </c>
      <c r="BA1424" s="7"/>
    </row>
    <row r="1425" spans="31:53" x14ac:dyDescent="0.55000000000000004">
      <c r="AE1425" s="7">
        <f ca="1"/>
      </c>
      <c r="AF1425">
        <f ca="1"/>
      </c>
      <c r="AG1425">
        <f ca="1"/>
      </c>
      <c r="AH1425">
        <f ca="1"/>
      </c>
      <c r="AI1425">
        <f ca="1"/>
      </c>
      <c r="AJ1425">
        <f ca="1"/>
      </c>
      <c r="AK1425">
        <f ca="1"/>
      </c>
      <c r="AL1425">
        <f ca="1"/>
      </c>
      <c r="AM1425">
        <f ca="1"/>
      </c>
      <c r="AN1425">
        <f ca="1"/>
      </c>
      <c r="AO1425">
        <f ca="1"/>
      </c>
      <c r="AP1425">
        <f ca="1"/>
      </c>
      <c r="AQ1425">
        <f ca="1"/>
      </c>
      <c r="AR1425">
        <f ca="1"/>
      </c>
      <c r="AT1425" s="7">
        <f ca="1"/>
      </c>
      <c r="AU1425">
        <f ca="1"/>
      </c>
      <c r="AV1425">
        <f ca="1"/>
      </c>
      <c r="AW1425">
        <f ca="1"/>
      </c>
      <c r="AX1425">
        <f ca="1"/>
      </c>
      <c r="AY1425">
        <f ca="1"/>
      </c>
      <c r="BA1425" s="7"/>
    </row>
    <row r="1426" spans="31:53" x14ac:dyDescent="0.55000000000000004">
      <c r="AE1426" s="7">
        <f ca="1"/>
      </c>
      <c r="AF1426">
        <f ca="1"/>
      </c>
      <c r="AG1426">
        <f ca="1"/>
      </c>
      <c r="AH1426">
        <f ca="1"/>
      </c>
      <c r="AI1426">
        <f ca="1"/>
      </c>
      <c r="AJ1426">
        <f ca="1"/>
      </c>
      <c r="AK1426">
        <f ca="1"/>
      </c>
      <c r="AL1426">
        <f ca="1"/>
      </c>
      <c r="AM1426">
        <f ca="1"/>
      </c>
      <c r="AN1426">
        <f ca="1"/>
      </c>
      <c r="AO1426">
        <f ca="1"/>
      </c>
      <c r="AP1426">
        <f ca="1"/>
      </c>
      <c r="AQ1426">
        <f ca="1"/>
      </c>
      <c r="AR1426">
        <f ca="1"/>
      </c>
      <c r="AT1426" s="7">
        <f ca="1"/>
      </c>
      <c r="AU1426">
        <f ca="1"/>
      </c>
      <c r="AV1426">
        <f ca="1"/>
      </c>
      <c r="AW1426">
        <f ca="1"/>
      </c>
      <c r="AX1426">
        <f ca="1"/>
      </c>
      <c r="AY1426">
        <f ca="1"/>
      </c>
      <c r="BA1426" s="7"/>
    </row>
    <row r="1427" spans="31:53" x14ac:dyDescent="0.55000000000000004">
      <c r="AE1427" s="7">
        <f ca="1"/>
      </c>
      <c r="AF1427">
        <f ca="1"/>
      </c>
      <c r="AG1427">
        <f ca="1"/>
      </c>
      <c r="AH1427">
        <f ca="1"/>
      </c>
      <c r="AI1427">
        <f ca="1"/>
      </c>
      <c r="AJ1427">
        <f ca="1"/>
      </c>
      <c r="AK1427">
        <f ca="1"/>
      </c>
      <c r="AL1427">
        <f ca="1"/>
      </c>
      <c r="AM1427">
        <f ca="1"/>
      </c>
      <c r="AN1427">
        <f ca="1"/>
      </c>
      <c r="AO1427">
        <f ca="1"/>
      </c>
      <c r="AP1427">
        <f ca="1"/>
      </c>
      <c r="AQ1427">
        <f ca="1"/>
      </c>
      <c r="AR1427">
        <f ca="1"/>
      </c>
      <c r="AT1427" s="7">
        <f ca="1"/>
      </c>
      <c r="AU1427">
        <f ca="1"/>
      </c>
      <c r="AV1427">
        <f ca="1"/>
      </c>
      <c r="AW1427">
        <f ca="1"/>
      </c>
      <c r="AX1427">
        <f ca="1"/>
      </c>
      <c r="AY1427">
        <f ca="1"/>
      </c>
      <c r="BA1427" s="7"/>
    </row>
    <row r="1428" spans="31:53" x14ac:dyDescent="0.55000000000000004">
      <c r="AE1428" s="7">
        <f ca="1"/>
      </c>
      <c r="AF1428">
        <f ca="1"/>
      </c>
      <c r="AG1428">
        <f ca="1"/>
      </c>
      <c r="AH1428">
        <f ca="1"/>
      </c>
      <c r="AI1428">
        <f ca="1"/>
      </c>
      <c r="AJ1428">
        <f ca="1"/>
      </c>
      <c r="AK1428">
        <f ca="1"/>
      </c>
      <c r="AL1428">
        <f ca="1"/>
      </c>
      <c r="AM1428">
        <f ca="1"/>
      </c>
      <c r="AN1428">
        <f ca="1"/>
      </c>
      <c r="AO1428">
        <f ca="1"/>
      </c>
      <c r="AP1428">
        <f ca="1"/>
      </c>
      <c r="AQ1428">
        <f ca="1"/>
      </c>
      <c r="AR1428">
        <f ca="1"/>
      </c>
      <c r="AT1428" s="7">
        <f ca="1"/>
      </c>
      <c r="AU1428">
        <f ca="1"/>
      </c>
      <c r="AV1428">
        <f ca="1"/>
      </c>
      <c r="AW1428">
        <f ca="1"/>
      </c>
      <c r="AX1428">
        <f ca="1"/>
      </c>
      <c r="AY1428">
        <f ca="1"/>
      </c>
      <c r="BA1428" s="7"/>
    </row>
    <row r="1429" spans="31:53" x14ac:dyDescent="0.55000000000000004">
      <c r="AE1429" s="7">
        <f ca="1"/>
      </c>
      <c r="AF1429">
        <f ca="1"/>
      </c>
      <c r="AG1429">
        <f ca="1"/>
      </c>
      <c r="AH1429">
        <f ca="1"/>
      </c>
      <c r="AI1429">
        <f ca="1"/>
      </c>
      <c r="AJ1429">
        <f ca="1"/>
      </c>
      <c r="AK1429">
        <f ca="1"/>
      </c>
      <c r="AL1429">
        <f ca="1"/>
      </c>
      <c r="AM1429">
        <f ca="1"/>
      </c>
      <c r="AN1429">
        <f ca="1"/>
      </c>
      <c r="AO1429">
        <f ca="1"/>
      </c>
      <c r="AP1429">
        <f ca="1"/>
      </c>
      <c r="AQ1429">
        <f ca="1"/>
      </c>
      <c r="AR1429">
        <f ca="1"/>
      </c>
      <c r="AT1429" s="7">
        <f ca="1"/>
      </c>
      <c r="AU1429">
        <f ca="1"/>
      </c>
      <c r="AV1429">
        <f ca="1"/>
      </c>
      <c r="AW1429">
        <f ca="1"/>
      </c>
      <c r="AX1429">
        <f ca="1"/>
      </c>
      <c r="AY1429">
        <f ca="1"/>
      </c>
      <c r="BA1429" s="7"/>
    </row>
    <row r="1430" spans="31:53" x14ac:dyDescent="0.55000000000000004">
      <c r="AE1430" s="7">
        <f ca="1"/>
      </c>
      <c r="AF1430">
        <f ca="1"/>
      </c>
      <c r="AG1430">
        <f ca="1"/>
      </c>
      <c r="AH1430">
        <f ca="1"/>
      </c>
      <c r="AI1430">
        <f ca="1"/>
      </c>
      <c r="AJ1430">
        <f ca="1"/>
      </c>
      <c r="AK1430">
        <f ca="1"/>
      </c>
      <c r="AL1430">
        <f ca="1"/>
      </c>
      <c r="AM1430">
        <f ca="1"/>
      </c>
      <c r="AN1430">
        <f ca="1"/>
      </c>
      <c r="AO1430">
        <f ca="1"/>
      </c>
      <c r="AP1430">
        <f ca="1"/>
      </c>
      <c r="AQ1430">
        <f ca="1"/>
      </c>
      <c r="AR1430">
        <f ca="1"/>
      </c>
      <c r="AT1430" s="7">
        <f ca="1"/>
      </c>
      <c r="AU1430">
        <f ca="1"/>
      </c>
      <c r="AV1430">
        <f ca="1"/>
      </c>
      <c r="AW1430">
        <f ca="1"/>
      </c>
      <c r="AX1430">
        <f ca="1"/>
      </c>
      <c r="AY1430">
        <f ca="1"/>
      </c>
      <c r="BA1430" s="7"/>
    </row>
    <row r="1431" spans="31:53" x14ac:dyDescent="0.55000000000000004">
      <c r="AE1431" s="7">
        <f ca="1"/>
      </c>
      <c r="AF1431">
        <f ca="1"/>
      </c>
      <c r="AG1431">
        <f ca="1"/>
      </c>
      <c r="AH1431">
        <f ca="1"/>
      </c>
      <c r="AI1431">
        <f ca="1"/>
      </c>
      <c r="AJ1431">
        <f ca="1"/>
      </c>
      <c r="AK1431">
        <f ca="1"/>
      </c>
      <c r="AL1431">
        <f ca="1"/>
      </c>
      <c r="AM1431">
        <f ca="1"/>
      </c>
      <c r="AN1431">
        <f ca="1"/>
      </c>
      <c r="AO1431">
        <f ca="1"/>
      </c>
      <c r="AP1431">
        <f ca="1"/>
      </c>
      <c r="AQ1431">
        <f ca="1"/>
      </c>
      <c r="AR1431">
        <f ca="1"/>
      </c>
      <c r="AT1431" s="7">
        <f ca="1"/>
      </c>
      <c r="AU1431">
        <f ca="1"/>
      </c>
      <c r="AV1431">
        <f ca="1"/>
      </c>
      <c r="AW1431">
        <f ca="1"/>
      </c>
      <c r="AX1431">
        <f ca="1"/>
      </c>
      <c r="AY1431">
        <f ca="1"/>
      </c>
      <c r="BA1431" s="7"/>
    </row>
    <row r="1432" spans="31:53" x14ac:dyDescent="0.55000000000000004">
      <c r="AE1432" s="7">
        <f ca="1"/>
      </c>
      <c r="AF1432">
        <f ca="1"/>
      </c>
      <c r="AG1432">
        <f ca="1"/>
      </c>
      <c r="AH1432">
        <f ca="1"/>
      </c>
      <c r="AI1432">
        <f ca="1"/>
      </c>
      <c r="AJ1432">
        <f ca="1"/>
      </c>
      <c r="AK1432">
        <f ca="1"/>
      </c>
      <c r="AL1432">
        <f ca="1"/>
      </c>
      <c r="AM1432">
        <f ca="1"/>
      </c>
      <c r="AN1432">
        <f ca="1"/>
      </c>
      <c r="AO1432">
        <f ca="1"/>
      </c>
      <c r="AP1432">
        <f ca="1"/>
      </c>
      <c r="AQ1432">
        <f ca="1"/>
      </c>
      <c r="AR1432">
        <f ca="1"/>
      </c>
      <c r="AT1432" s="7">
        <f ca="1"/>
      </c>
      <c r="AU1432">
        <f ca="1"/>
      </c>
      <c r="AV1432">
        <f ca="1"/>
      </c>
      <c r="AW1432">
        <f ca="1"/>
      </c>
      <c r="AX1432">
        <f ca="1"/>
      </c>
      <c r="AY1432">
        <f ca="1"/>
      </c>
      <c r="BA1432" s="7"/>
    </row>
    <row r="1433" spans="31:53" x14ac:dyDescent="0.55000000000000004">
      <c r="AE1433" s="7">
        <f ca="1"/>
      </c>
      <c r="AF1433">
        <f ca="1"/>
      </c>
      <c r="AG1433">
        <f ca="1"/>
      </c>
      <c r="AH1433">
        <f ca="1"/>
      </c>
      <c r="AI1433">
        <f ca="1"/>
      </c>
      <c r="AJ1433">
        <f ca="1"/>
      </c>
      <c r="AK1433">
        <f ca="1"/>
      </c>
      <c r="AL1433">
        <f ca="1"/>
      </c>
      <c r="AM1433">
        <f ca="1"/>
      </c>
      <c r="AN1433">
        <f ca="1"/>
      </c>
      <c r="AO1433">
        <f ca="1"/>
      </c>
      <c r="AP1433">
        <f ca="1"/>
      </c>
      <c r="AQ1433">
        <f ca="1"/>
      </c>
      <c r="AR1433">
        <f ca="1"/>
      </c>
      <c r="AT1433" s="7">
        <f ca="1"/>
      </c>
      <c r="AU1433">
        <f ca="1"/>
      </c>
      <c r="AV1433">
        <f ca="1"/>
      </c>
      <c r="AW1433">
        <f ca="1"/>
      </c>
      <c r="AX1433">
        <f ca="1"/>
      </c>
      <c r="AY1433">
        <f ca="1"/>
      </c>
      <c r="BA1433" s="7"/>
    </row>
    <row r="1434" spans="31:53" x14ac:dyDescent="0.55000000000000004">
      <c r="AE1434" s="7">
        <f ca="1"/>
      </c>
      <c r="AF1434">
        <f ca="1"/>
      </c>
      <c r="AG1434">
        <f ca="1"/>
      </c>
      <c r="AH1434">
        <f ca="1"/>
      </c>
      <c r="AI1434">
        <f ca="1"/>
      </c>
      <c r="AJ1434">
        <f ca="1"/>
      </c>
      <c r="AK1434">
        <f ca="1"/>
      </c>
      <c r="AL1434">
        <f ca="1"/>
      </c>
      <c r="AM1434">
        <f ca="1"/>
      </c>
      <c r="AN1434">
        <f ca="1"/>
      </c>
      <c r="AO1434">
        <f ca="1"/>
      </c>
      <c r="AP1434">
        <f ca="1"/>
      </c>
      <c r="AQ1434">
        <f ca="1"/>
      </c>
      <c r="AR1434">
        <f ca="1"/>
      </c>
      <c r="AT1434" s="7">
        <f ca="1"/>
      </c>
      <c r="AU1434">
        <f ca="1"/>
      </c>
      <c r="AV1434">
        <f ca="1"/>
      </c>
      <c r="AW1434">
        <f ca="1"/>
      </c>
      <c r="AX1434">
        <f ca="1"/>
      </c>
      <c r="AY1434">
        <f ca="1"/>
      </c>
      <c r="BA1434" s="7"/>
    </row>
    <row r="1435" spans="31:53" x14ac:dyDescent="0.55000000000000004">
      <c r="AE1435" s="7">
        <f ca="1"/>
      </c>
      <c r="AF1435">
        <f ca="1"/>
      </c>
      <c r="AG1435">
        <f ca="1"/>
      </c>
      <c r="AH1435">
        <f ca="1"/>
      </c>
      <c r="AI1435">
        <f ca="1"/>
      </c>
      <c r="AJ1435">
        <f ca="1"/>
      </c>
      <c r="AK1435">
        <f ca="1"/>
      </c>
      <c r="AL1435">
        <f ca="1"/>
      </c>
      <c r="AM1435">
        <f ca="1"/>
      </c>
      <c r="AN1435">
        <f ca="1"/>
      </c>
      <c r="AO1435">
        <f ca="1"/>
      </c>
      <c r="AP1435">
        <f ca="1"/>
      </c>
      <c r="AQ1435">
        <f ca="1"/>
      </c>
      <c r="AR1435">
        <f ca="1"/>
      </c>
      <c r="AT1435" s="7">
        <f ca="1"/>
      </c>
      <c r="AU1435">
        <f ca="1"/>
      </c>
      <c r="AV1435">
        <f ca="1"/>
      </c>
      <c r="AW1435">
        <f ca="1"/>
      </c>
      <c r="AX1435">
        <f ca="1"/>
      </c>
      <c r="AY1435">
        <f ca="1"/>
      </c>
      <c r="BA1435" s="7"/>
    </row>
    <row r="1436" spans="31:53" x14ac:dyDescent="0.55000000000000004">
      <c r="AE1436" s="7">
        <f ca="1"/>
      </c>
      <c r="AF1436">
        <f ca="1"/>
      </c>
      <c r="AG1436">
        <f ca="1"/>
      </c>
      <c r="AH1436">
        <f ca="1"/>
      </c>
      <c r="AI1436">
        <f ca="1"/>
      </c>
      <c r="AJ1436">
        <f ca="1"/>
      </c>
      <c r="AK1436">
        <f ca="1"/>
      </c>
      <c r="AL1436">
        <f ca="1"/>
      </c>
      <c r="AM1436">
        <f ca="1"/>
      </c>
      <c r="AN1436">
        <f ca="1"/>
      </c>
      <c r="AO1436">
        <f ca="1"/>
      </c>
      <c r="AP1436">
        <f ca="1"/>
      </c>
      <c r="AQ1436">
        <f ca="1"/>
      </c>
      <c r="AR1436">
        <f ca="1"/>
      </c>
      <c r="AT1436" s="7">
        <f ca="1"/>
      </c>
      <c r="AU1436">
        <f ca="1"/>
      </c>
      <c r="AV1436">
        <f ca="1"/>
      </c>
      <c r="AW1436">
        <f ca="1"/>
      </c>
      <c r="AX1436">
        <f ca="1"/>
      </c>
      <c r="AY1436">
        <f ca="1"/>
      </c>
      <c r="BA1436" s="7"/>
    </row>
    <row r="1437" spans="31:53" x14ac:dyDescent="0.55000000000000004">
      <c r="AE1437" s="7">
        <f ca="1"/>
      </c>
      <c r="AF1437">
        <f ca="1"/>
      </c>
      <c r="AG1437">
        <f ca="1"/>
      </c>
      <c r="AH1437">
        <f ca="1"/>
      </c>
      <c r="AI1437">
        <f ca="1"/>
      </c>
      <c r="AJ1437">
        <f ca="1"/>
      </c>
      <c r="AK1437">
        <f ca="1"/>
      </c>
      <c r="AL1437">
        <f ca="1"/>
      </c>
      <c r="AM1437">
        <f ca="1"/>
      </c>
      <c r="AN1437">
        <f ca="1"/>
      </c>
      <c r="AO1437">
        <f ca="1"/>
      </c>
      <c r="AP1437">
        <f ca="1"/>
      </c>
      <c r="AQ1437">
        <f ca="1"/>
      </c>
      <c r="AR1437">
        <f ca="1"/>
      </c>
      <c r="AT1437" s="7">
        <f ca="1"/>
      </c>
      <c r="AU1437">
        <f ca="1"/>
      </c>
      <c r="AV1437">
        <f ca="1"/>
      </c>
      <c r="AW1437">
        <f ca="1"/>
      </c>
      <c r="AX1437">
        <f ca="1"/>
      </c>
      <c r="AY1437">
        <f ca="1"/>
      </c>
      <c r="BA1437" s="7"/>
    </row>
    <row r="1438" spans="31:53" x14ac:dyDescent="0.55000000000000004">
      <c r="AE1438" s="7">
        <f ca="1"/>
      </c>
      <c r="AF1438">
        <f ca="1"/>
      </c>
      <c r="AG1438">
        <f ca="1"/>
      </c>
      <c r="AH1438">
        <f ca="1"/>
      </c>
      <c r="AI1438">
        <f ca="1"/>
      </c>
      <c r="AJ1438">
        <f ca="1"/>
      </c>
      <c r="AK1438">
        <f ca="1"/>
      </c>
      <c r="AL1438">
        <f ca="1"/>
      </c>
      <c r="AM1438">
        <f ca="1"/>
      </c>
      <c r="AN1438">
        <f ca="1"/>
      </c>
      <c r="AO1438">
        <f ca="1"/>
      </c>
      <c r="AP1438">
        <f ca="1"/>
      </c>
      <c r="AQ1438">
        <f ca="1"/>
      </c>
      <c r="AR1438">
        <f ca="1"/>
      </c>
      <c r="AT1438" s="7">
        <f ca="1"/>
      </c>
      <c r="AU1438">
        <f ca="1"/>
      </c>
      <c r="AV1438">
        <f ca="1"/>
      </c>
      <c r="AW1438">
        <f ca="1"/>
      </c>
      <c r="AX1438">
        <f ca="1"/>
      </c>
      <c r="AY1438">
        <f ca="1"/>
      </c>
      <c r="BA1438" s="7"/>
    </row>
    <row r="1439" spans="31:53" x14ac:dyDescent="0.55000000000000004">
      <c r="AE1439" s="7">
        <f ca="1"/>
      </c>
      <c r="AF1439">
        <f ca="1"/>
      </c>
      <c r="AG1439">
        <f ca="1"/>
      </c>
      <c r="AH1439">
        <f ca="1"/>
      </c>
      <c r="AI1439">
        <f ca="1"/>
      </c>
      <c r="AJ1439">
        <f ca="1"/>
      </c>
      <c r="AK1439">
        <f ca="1"/>
      </c>
      <c r="AL1439">
        <f ca="1"/>
      </c>
      <c r="AM1439">
        <f ca="1"/>
      </c>
      <c r="AN1439">
        <f ca="1"/>
      </c>
      <c r="AO1439">
        <f ca="1"/>
      </c>
      <c r="AP1439">
        <f ca="1"/>
      </c>
      <c r="AQ1439">
        <f ca="1"/>
      </c>
      <c r="AR1439">
        <f ca="1"/>
      </c>
      <c r="AT1439" s="7">
        <f ca="1"/>
      </c>
      <c r="AU1439">
        <f ca="1"/>
      </c>
      <c r="AV1439">
        <f ca="1"/>
      </c>
      <c r="AW1439">
        <f ca="1"/>
      </c>
      <c r="AX1439">
        <f ca="1"/>
      </c>
      <c r="AY1439">
        <f ca="1"/>
      </c>
      <c r="BA1439" s="7"/>
    </row>
    <row r="1440" spans="31:53" x14ac:dyDescent="0.55000000000000004">
      <c r="AE1440" s="7">
        <f ca="1"/>
      </c>
      <c r="AF1440">
        <f ca="1"/>
      </c>
      <c r="AG1440">
        <f ca="1"/>
      </c>
      <c r="AH1440">
        <f ca="1"/>
      </c>
      <c r="AI1440">
        <f ca="1"/>
      </c>
      <c r="AJ1440">
        <f ca="1"/>
      </c>
      <c r="AK1440">
        <f ca="1"/>
      </c>
      <c r="AL1440">
        <f ca="1"/>
      </c>
      <c r="AM1440">
        <f ca="1"/>
      </c>
      <c r="AN1440">
        <f ca="1"/>
      </c>
      <c r="AO1440">
        <f ca="1"/>
      </c>
      <c r="AP1440">
        <f ca="1"/>
      </c>
      <c r="AQ1440">
        <f ca="1"/>
      </c>
      <c r="AR1440">
        <f ca="1"/>
      </c>
      <c r="AT1440" s="7">
        <f ca="1"/>
      </c>
      <c r="AU1440">
        <f ca="1"/>
      </c>
      <c r="AV1440">
        <f ca="1"/>
      </c>
      <c r="AW1440">
        <f ca="1"/>
      </c>
      <c r="AX1440">
        <f ca="1"/>
      </c>
      <c r="AY1440">
        <f ca="1"/>
      </c>
      <c r="BA1440" s="7"/>
    </row>
    <row r="1441" spans="31:53" x14ac:dyDescent="0.55000000000000004">
      <c r="AE1441" s="7">
        <f ca="1"/>
      </c>
      <c r="AF1441">
        <f ca="1"/>
      </c>
      <c r="AG1441">
        <f ca="1"/>
      </c>
      <c r="AH1441">
        <f ca="1"/>
      </c>
      <c r="AI1441">
        <f ca="1"/>
      </c>
      <c r="AJ1441">
        <f ca="1"/>
      </c>
      <c r="AK1441">
        <f ca="1"/>
      </c>
      <c r="AL1441">
        <f ca="1"/>
      </c>
      <c r="AM1441">
        <f ca="1"/>
      </c>
      <c r="AN1441">
        <f ca="1"/>
      </c>
      <c r="AO1441">
        <f ca="1"/>
      </c>
      <c r="AP1441">
        <f ca="1"/>
      </c>
      <c r="AQ1441">
        <f ca="1"/>
      </c>
      <c r="AR1441">
        <f ca="1"/>
      </c>
      <c r="AT1441" s="7">
        <f ca="1"/>
      </c>
      <c r="AU1441">
        <f ca="1"/>
      </c>
      <c r="AV1441">
        <f ca="1"/>
      </c>
      <c r="AW1441">
        <f ca="1"/>
      </c>
      <c r="AX1441">
        <f ca="1"/>
      </c>
      <c r="AY1441">
        <f ca="1"/>
      </c>
      <c r="BA1441" s="7"/>
    </row>
    <row r="1442" spans="31:53" x14ac:dyDescent="0.55000000000000004">
      <c r="AE1442" s="7">
        <f ca="1"/>
      </c>
      <c r="AF1442">
        <f ca="1"/>
      </c>
      <c r="AG1442">
        <f ca="1"/>
      </c>
      <c r="AH1442">
        <f ca="1"/>
      </c>
      <c r="AI1442">
        <f ca="1"/>
      </c>
      <c r="AJ1442">
        <f ca="1"/>
      </c>
      <c r="AK1442">
        <f ca="1"/>
      </c>
      <c r="AL1442">
        <f ca="1"/>
      </c>
      <c r="AM1442">
        <f ca="1"/>
      </c>
      <c r="AN1442">
        <f ca="1"/>
      </c>
      <c r="AO1442">
        <f ca="1"/>
      </c>
      <c r="AP1442">
        <f ca="1"/>
      </c>
      <c r="AQ1442">
        <f ca="1"/>
      </c>
      <c r="AR1442">
        <f ca="1"/>
      </c>
      <c r="AT1442" s="7">
        <f ca="1"/>
      </c>
      <c r="AU1442">
        <f ca="1"/>
      </c>
      <c r="AV1442">
        <f ca="1"/>
      </c>
      <c r="AW1442">
        <f ca="1"/>
      </c>
      <c r="AX1442">
        <f ca="1"/>
      </c>
      <c r="AY1442">
        <f ca="1"/>
      </c>
      <c r="BA1442" s="7"/>
    </row>
    <row r="1443" spans="31:53" x14ac:dyDescent="0.55000000000000004">
      <c r="AE1443" s="7">
        <f ca="1"/>
      </c>
      <c r="AF1443">
        <f ca="1"/>
      </c>
      <c r="AG1443">
        <f ca="1"/>
      </c>
      <c r="AH1443">
        <f ca="1"/>
      </c>
      <c r="AI1443">
        <f ca="1"/>
      </c>
      <c r="AJ1443">
        <f ca="1"/>
      </c>
      <c r="AK1443">
        <f ca="1"/>
      </c>
      <c r="AL1443">
        <f ca="1"/>
      </c>
      <c r="AM1443">
        <f ca="1"/>
      </c>
      <c r="AN1443">
        <f ca="1"/>
      </c>
      <c r="AO1443">
        <f ca="1"/>
      </c>
      <c r="AP1443">
        <f ca="1"/>
      </c>
      <c r="AQ1443">
        <f ca="1"/>
      </c>
      <c r="AR1443">
        <f ca="1"/>
      </c>
      <c r="AT1443" s="7">
        <f ca="1"/>
      </c>
      <c r="AU1443">
        <f ca="1"/>
      </c>
      <c r="AV1443">
        <f ca="1"/>
      </c>
      <c r="AW1443">
        <f ca="1"/>
      </c>
      <c r="AX1443">
        <f ca="1"/>
      </c>
      <c r="AY1443">
        <f ca="1"/>
      </c>
      <c r="BA1443" s="7"/>
    </row>
    <row r="1444" spans="31:53" x14ac:dyDescent="0.55000000000000004">
      <c r="AE1444" s="7">
        <f ca="1"/>
      </c>
      <c r="AF1444">
        <f ca="1"/>
      </c>
      <c r="AG1444">
        <f ca="1"/>
      </c>
      <c r="AH1444">
        <f ca="1"/>
      </c>
      <c r="AI1444">
        <f ca="1"/>
      </c>
      <c r="AJ1444">
        <f ca="1"/>
      </c>
      <c r="AK1444">
        <f ca="1"/>
      </c>
      <c r="AL1444">
        <f ca="1"/>
      </c>
      <c r="AM1444">
        <f ca="1"/>
      </c>
      <c r="AN1444">
        <f ca="1"/>
      </c>
      <c r="AO1444">
        <f ca="1"/>
      </c>
      <c r="AP1444">
        <f ca="1"/>
      </c>
      <c r="AQ1444">
        <f ca="1"/>
      </c>
      <c r="AR1444">
        <f ca="1"/>
      </c>
      <c r="AT1444" s="7">
        <f ca="1"/>
      </c>
      <c r="AU1444">
        <f ca="1"/>
      </c>
      <c r="AV1444">
        <f ca="1"/>
      </c>
      <c r="AW1444">
        <f ca="1"/>
      </c>
      <c r="AX1444">
        <f ca="1"/>
      </c>
      <c r="AY1444">
        <f ca="1"/>
      </c>
      <c r="BA1444" s="7"/>
    </row>
    <row r="1445" spans="31:53" x14ac:dyDescent="0.55000000000000004">
      <c r="AE1445" s="7">
        <f ca="1"/>
      </c>
      <c r="AF1445">
        <f ca="1"/>
      </c>
      <c r="AG1445">
        <f ca="1"/>
      </c>
      <c r="AH1445">
        <f ca="1"/>
      </c>
      <c r="AI1445">
        <f ca="1"/>
      </c>
      <c r="AJ1445">
        <f ca="1"/>
      </c>
      <c r="AK1445">
        <f ca="1"/>
      </c>
      <c r="AL1445">
        <f ca="1"/>
      </c>
      <c r="AM1445">
        <f ca="1"/>
      </c>
      <c r="AN1445">
        <f ca="1"/>
      </c>
      <c r="AO1445">
        <f ca="1"/>
      </c>
      <c r="AP1445">
        <f ca="1"/>
      </c>
      <c r="AQ1445">
        <f ca="1"/>
      </c>
      <c r="AR1445">
        <f ca="1"/>
      </c>
      <c r="AT1445" s="7">
        <f ca="1"/>
      </c>
      <c r="AU1445">
        <f ca="1"/>
      </c>
      <c r="AV1445">
        <f ca="1"/>
      </c>
      <c r="AW1445">
        <f ca="1"/>
      </c>
      <c r="AX1445">
        <f ca="1"/>
      </c>
      <c r="AY1445">
        <f ca="1"/>
      </c>
      <c r="BA1445" s="7"/>
    </row>
    <row r="1446" spans="31:53" x14ac:dyDescent="0.55000000000000004">
      <c r="AE1446" s="7">
        <f ca="1"/>
      </c>
      <c r="AF1446">
        <f ca="1"/>
      </c>
      <c r="AG1446">
        <f ca="1"/>
      </c>
      <c r="AH1446">
        <f ca="1"/>
      </c>
      <c r="AI1446">
        <f ca="1"/>
      </c>
      <c r="AJ1446">
        <f ca="1"/>
      </c>
      <c r="AK1446">
        <f ca="1"/>
      </c>
      <c r="AL1446">
        <f ca="1"/>
      </c>
      <c r="AM1446">
        <f ca="1"/>
      </c>
      <c r="AN1446">
        <f ca="1"/>
      </c>
      <c r="AO1446">
        <f ca="1"/>
      </c>
      <c r="AP1446">
        <f ca="1"/>
      </c>
      <c r="AQ1446">
        <f ca="1"/>
      </c>
      <c r="AR1446">
        <f ca="1"/>
      </c>
      <c r="AT1446" s="7">
        <f ca="1"/>
      </c>
      <c r="AU1446">
        <f ca="1"/>
      </c>
      <c r="AV1446">
        <f ca="1"/>
      </c>
      <c r="AW1446">
        <f ca="1"/>
      </c>
      <c r="AX1446">
        <f ca="1"/>
      </c>
      <c r="AY1446">
        <f ca="1"/>
      </c>
      <c r="BA1446" s="7"/>
    </row>
    <row r="1447" spans="31:53" x14ac:dyDescent="0.55000000000000004">
      <c r="AE1447" s="7">
        <f ca="1"/>
      </c>
      <c r="AF1447">
        <f ca="1"/>
      </c>
      <c r="AG1447">
        <f ca="1"/>
      </c>
      <c r="AH1447">
        <f ca="1"/>
      </c>
      <c r="AI1447">
        <f ca="1"/>
      </c>
      <c r="AJ1447">
        <f ca="1"/>
      </c>
      <c r="AK1447">
        <f ca="1"/>
      </c>
      <c r="AL1447">
        <f ca="1"/>
      </c>
      <c r="AM1447">
        <f ca="1"/>
      </c>
      <c r="AN1447">
        <f ca="1"/>
      </c>
      <c r="AO1447">
        <f ca="1"/>
      </c>
      <c r="AP1447">
        <f ca="1"/>
      </c>
      <c r="AQ1447">
        <f ca="1"/>
      </c>
      <c r="AR1447">
        <f ca="1"/>
      </c>
      <c r="AT1447" s="7">
        <f ca="1"/>
      </c>
      <c r="AU1447">
        <f ca="1"/>
      </c>
      <c r="AV1447">
        <f ca="1"/>
      </c>
      <c r="AW1447">
        <f ca="1"/>
      </c>
      <c r="AX1447">
        <f ca="1"/>
      </c>
      <c r="AY1447">
        <f ca="1"/>
      </c>
      <c r="BA1447" s="7"/>
    </row>
    <row r="1448" spans="31:53" x14ac:dyDescent="0.55000000000000004">
      <c r="AE1448" s="7">
        <f ca="1"/>
      </c>
      <c r="AF1448">
        <f ca="1"/>
      </c>
      <c r="AG1448">
        <f ca="1"/>
      </c>
      <c r="AH1448">
        <f ca="1"/>
      </c>
      <c r="AI1448">
        <f ca="1"/>
      </c>
      <c r="AJ1448">
        <f ca="1"/>
      </c>
      <c r="AK1448">
        <f ca="1"/>
      </c>
      <c r="AL1448">
        <f ca="1"/>
      </c>
      <c r="AM1448">
        <f ca="1"/>
      </c>
      <c r="AN1448">
        <f ca="1"/>
      </c>
      <c r="AO1448">
        <f ca="1"/>
      </c>
      <c r="AP1448">
        <f ca="1"/>
      </c>
      <c r="AQ1448">
        <f ca="1"/>
      </c>
      <c r="AR1448">
        <f ca="1"/>
      </c>
      <c r="AT1448" s="7">
        <f ca="1"/>
      </c>
      <c r="AU1448">
        <f ca="1"/>
      </c>
      <c r="AV1448">
        <f ca="1"/>
      </c>
      <c r="AW1448">
        <f ca="1"/>
      </c>
      <c r="AX1448">
        <f ca="1"/>
      </c>
      <c r="AY1448">
        <f ca="1"/>
      </c>
      <c r="BA1448" s="7"/>
    </row>
    <row r="1449" spans="31:53" x14ac:dyDescent="0.55000000000000004">
      <c r="AE1449" s="7">
        <f ca="1"/>
      </c>
      <c r="AF1449">
        <f ca="1"/>
      </c>
      <c r="AG1449">
        <f ca="1"/>
      </c>
      <c r="AH1449">
        <f ca="1"/>
      </c>
      <c r="AI1449">
        <f ca="1"/>
      </c>
      <c r="AJ1449">
        <f ca="1"/>
      </c>
      <c r="AK1449">
        <f ca="1"/>
      </c>
      <c r="AL1449">
        <f ca="1"/>
      </c>
      <c r="AM1449">
        <f ca="1"/>
      </c>
      <c r="AN1449">
        <f ca="1"/>
      </c>
      <c r="AO1449">
        <f ca="1"/>
      </c>
      <c r="AP1449">
        <f ca="1"/>
      </c>
      <c r="AQ1449">
        <f ca="1"/>
      </c>
      <c r="AR1449">
        <f ca="1"/>
      </c>
      <c r="AT1449" s="7">
        <f ca="1"/>
      </c>
      <c r="AU1449">
        <f ca="1"/>
      </c>
      <c r="AV1449">
        <f ca="1"/>
      </c>
      <c r="AW1449">
        <f ca="1"/>
      </c>
      <c r="AX1449">
        <f ca="1"/>
      </c>
      <c r="AY1449">
        <f ca="1"/>
      </c>
      <c r="BA1449" s="7"/>
    </row>
    <row r="1450" spans="31:53" x14ac:dyDescent="0.55000000000000004">
      <c r="AE1450" s="7">
        <f ca="1"/>
      </c>
      <c r="AF1450">
        <f ca="1"/>
      </c>
      <c r="AG1450">
        <f ca="1"/>
      </c>
      <c r="AH1450">
        <f ca="1"/>
      </c>
      <c r="AI1450">
        <f ca="1"/>
      </c>
      <c r="AJ1450">
        <f ca="1"/>
      </c>
      <c r="AK1450">
        <f ca="1"/>
      </c>
      <c r="AL1450">
        <f ca="1"/>
      </c>
      <c r="AM1450">
        <f ca="1"/>
      </c>
      <c r="AN1450">
        <f ca="1"/>
      </c>
      <c r="AO1450">
        <f ca="1"/>
      </c>
      <c r="AP1450">
        <f ca="1"/>
      </c>
      <c r="AQ1450">
        <f ca="1"/>
      </c>
      <c r="AR1450">
        <f ca="1"/>
      </c>
      <c r="AT1450" s="7">
        <f ca="1"/>
      </c>
      <c r="AU1450">
        <f ca="1"/>
      </c>
      <c r="AV1450">
        <f ca="1"/>
      </c>
      <c r="AW1450">
        <f ca="1"/>
      </c>
      <c r="AX1450">
        <f ca="1"/>
      </c>
      <c r="AY1450">
        <f ca="1"/>
      </c>
      <c r="BA1450" s="7"/>
    </row>
    <row r="1451" spans="31:53" x14ac:dyDescent="0.55000000000000004">
      <c r="AE1451" s="7">
        <f ca="1"/>
      </c>
      <c r="AF1451">
        <f ca="1"/>
      </c>
      <c r="AG1451">
        <f ca="1"/>
      </c>
      <c r="AH1451">
        <f ca="1"/>
      </c>
      <c r="AI1451">
        <f ca="1"/>
      </c>
      <c r="AJ1451">
        <f ca="1"/>
      </c>
      <c r="AK1451">
        <f ca="1"/>
      </c>
      <c r="AL1451">
        <f ca="1"/>
      </c>
      <c r="AM1451">
        <f ca="1"/>
      </c>
      <c r="AN1451">
        <f ca="1"/>
      </c>
      <c r="AO1451">
        <f ca="1"/>
      </c>
      <c r="AP1451">
        <f ca="1"/>
      </c>
      <c r="AQ1451">
        <f ca="1"/>
      </c>
      <c r="AR1451">
        <f ca="1"/>
      </c>
      <c r="AT1451" s="7">
        <f ca="1"/>
      </c>
      <c r="AU1451">
        <f ca="1"/>
      </c>
      <c r="AV1451">
        <f ca="1"/>
      </c>
      <c r="AW1451">
        <f ca="1"/>
      </c>
      <c r="AX1451">
        <f ca="1"/>
      </c>
      <c r="AY1451">
        <f ca="1"/>
      </c>
      <c r="BA1451" s="7"/>
    </row>
    <row r="1452" spans="31:53" x14ac:dyDescent="0.55000000000000004">
      <c r="AE1452" s="7">
        <f ca="1"/>
      </c>
      <c r="AF1452">
        <f ca="1"/>
      </c>
      <c r="AG1452">
        <f ca="1"/>
      </c>
      <c r="AH1452">
        <f ca="1"/>
      </c>
      <c r="AI1452">
        <f ca="1"/>
      </c>
      <c r="AJ1452">
        <f ca="1"/>
      </c>
      <c r="AK1452">
        <f ca="1"/>
      </c>
      <c r="AL1452">
        <f ca="1"/>
      </c>
      <c r="AM1452">
        <f ca="1"/>
      </c>
      <c r="AN1452">
        <f ca="1"/>
      </c>
      <c r="AO1452">
        <f ca="1"/>
      </c>
      <c r="AP1452">
        <f ca="1"/>
      </c>
      <c r="AQ1452">
        <f ca="1"/>
      </c>
      <c r="AR1452">
        <f ca="1"/>
      </c>
      <c r="AT1452" s="7">
        <f ca="1"/>
      </c>
      <c r="AU1452">
        <f ca="1"/>
      </c>
      <c r="AV1452">
        <f ca="1"/>
      </c>
      <c r="AW1452">
        <f ca="1"/>
      </c>
      <c r="AX1452">
        <f ca="1"/>
      </c>
      <c r="AY1452">
        <f ca="1"/>
      </c>
      <c r="BA1452" s="7"/>
    </row>
    <row r="1453" spans="31:53" x14ac:dyDescent="0.55000000000000004">
      <c r="AE1453" s="7">
        <f ca="1"/>
      </c>
      <c r="AF1453">
        <f ca="1"/>
      </c>
      <c r="AG1453">
        <f ca="1"/>
      </c>
      <c r="AH1453">
        <f ca="1"/>
      </c>
      <c r="AI1453">
        <f ca="1"/>
      </c>
      <c r="AJ1453">
        <f ca="1"/>
      </c>
      <c r="AK1453">
        <f ca="1"/>
      </c>
      <c r="AL1453">
        <f ca="1"/>
      </c>
      <c r="AM1453">
        <f ca="1"/>
      </c>
      <c r="AN1453">
        <f ca="1"/>
      </c>
      <c r="AO1453">
        <f ca="1"/>
      </c>
      <c r="AP1453">
        <f ca="1"/>
      </c>
      <c r="AQ1453">
        <f ca="1"/>
      </c>
      <c r="AR1453">
        <f ca="1"/>
      </c>
      <c r="AT1453" s="7">
        <f ca="1"/>
      </c>
      <c r="AU1453">
        <f ca="1"/>
      </c>
      <c r="AV1453">
        <f ca="1"/>
      </c>
      <c r="AW1453">
        <f ca="1"/>
      </c>
      <c r="AX1453">
        <f ca="1"/>
      </c>
      <c r="AY1453">
        <f ca="1"/>
      </c>
      <c r="BA1453" s="7"/>
    </row>
    <row r="1454" spans="31:53" x14ac:dyDescent="0.55000000000000004">
      <c r="AE1454" s="7">
        <f ca="1"/>
      </c>
      <c r="AF1454">
        <f ca="1"/>
      </c>
      <c r="AG1454">
        <f ca="1"/>
      </c>
      <c r="AH1454">
        <f ca="1"/>
      </c>
      <c r="AI1454">
        <f ca="1"/>
      </c>
      <c r="AJ1454">
        <f ca="1"/>
      </c>
      <c r="AK1454">
        <f ca="1"/>
      </c>
      <c r="AL1454">
        <f ca="1"/>
      </c>
      <c r="AM1454">
        <f ca="1"/>
      </c>
      <c r="AN1454">
        <f ca="1"/>
      </c>
      <c r="AO1454">
        <f ca="1"/>
      </c>
      <c r="AP1454">
        <f ca="1"/>
      </c>
      <c r="AQ1454">
        <f ca="1"/>
      </c>
      <c r="AR1454">
        <f ca="1"/>
      </c>
      <c r="AT1454" s="7">
        <f ca="1"/>
      </c>
      <c r="AU1454">
        <f ca="1"/>
      </c>
      <c r="AV1454">
        <f ca="1"/>
      </c>
      <c r="AW1454">
        <f ca="1"/>
      </c>
      <c r="AX1454">
        <f ca="1"/>
      </c>
      <c r="AY1454">
        <f ca="1"/>
      </c>
      <c r="BA1454" s="7"/>
    </row>
    <row r="1455" spans="31:53" x14ac:dyDescent="0.55000000000000004">
      <c r="AE1455" s="7">
        <f ca="1"/>
      </c>
      <c r="AF1455">
        <f ca="1"/>
      </c>
      <c r="AG1455">
        <f ca="1"/>
      </c>
      <c r="AH1455">
        <f ca="1"/>
      </c>
      <c r="AI1455">
        <f ca="1"/>
      </c>
      <c r="AJ1455">
        <f ca="1"/>
      </c>
      <c r="AK1455">
        <f ca="1"/>
      </c>
      <c r="AL1455">
        <f ca="1"/>
      </c>
      <c r="AM1455">
        <f ca="1"/>
      </c>
      <c r="AN1455">
        <f ca="1"/>
      </c>
      <c r="AO1455">
        <f ca="1"/>
      </c>
      <c r="AP1455">
        <f ca="1"/>
      </c>
      <c r="AQ1455">
        <f ca="1"/>
      </c>
      <c r="AR1455">
        <f ca="1"/>
      </c>
      <c r="AT1455" s="7">
        <f ca="1"/>
      </c>
      <c r="AU1455">
        <f ca="1"/>
      </c>
      <c r="AV1455">
        <f ca="1"/>
      </c>
      <c r="AW1455">
        <f ca="1"/>
      </c>
      <c r="AX1455">
        <f ca="1"/>
      </c>
      <c r="AY1455">
        <f ca="1"/>
      </c>
      <c r="BA1455" s="7"/>
    </row>
    <row r="1456" spans="31:53" x14ac:dyDescent="0.55000000000000004">
      <c r="AE1456" s="7">
        <f ca="1"/>
      </c>
      <c r="AF1456">
        <f ca="1"/>
      </c>
      <c r="AG1456">
        <f ca="1"/>
      </c>
      <c r="AH1456">
        <f ca="1"/>
      </c>
      <c r="AI1456">
        <f ca="1"/>
      </c>
      <c r="AJ1456">
        <f ca="1"/>
      </c>
      <c r="AK1456">
        <f ca="1"/>
      </c>
      <c r="AL1456">
        <f ca="1"/>
      </c>
      <c r="AM1456">
        <f ca="1"/>
      </c>
      <c r="AN1456">
        <f ca="1"/>
      </c>
      <c r="AO1456">
        <f ca="1"/>
      </c>
      <c r="AP1456">
        <f ca="1"/>
      </c>
      <c r="AQ1456">
        <f ca="1"/>
      </c>
      <c r="AR1456">
        <f ca="1"/>
      </c>
      <c r="AT1456" s="7">
        <f ca="1"/>
      </c>
      <c r="AU1456">
        <f ca="1"/>
      </c>
      <c r="AV1456">
        <f ca="1"/>
      </c>
      <c r="AW1456">
        <f ca="1"/>
      </c>
      <c r="AX1456">
        <f ca="1"/>
      </c>
      <c r="AY1456">
        <f ca="1"/>
      </c>
      <c r="BA1456" s="7"/>
    </row>
    <row r="1457" spans="31:53" x14ac:dyDescent="0.55000000000000004">
      <c r="AE1457" s="7">
        <f ca="1"/>
      </c>
      <c r="AF1457">
        <f ca="1"/>
      </c>
      <c r="AG1457">
        <f ca="1"/>
      </c>
      <c r="AH1457">
        <f ca="1"/>
      </c>
      <c r="AI1457">
        <f ca="1"/>
      </c>
      <c r="AJ1457">
        <f ca="1"/>
      </c>
      <c r="AK1457">
        <f ca="1"/>
      </c>
      <c r="AL1457">
        <f ca="1"/>
      </c>
      <c r="AM1457">
        <f ca="1"/>
      </c>
      <c r="AN1457">
        <f ca="1"/>
      </c>
      <c r="AO1457">
        <f ca="1"/>
      </c>
      <c r="AP1457">
        <f ca="1"/>
      </c>
      <c r="AQ1457">
        <f ca="1"/>
      </c>
      <c r="AR1457">
        <f ca="1"/>
      </c>
      <c r="AT1457" s="7">
        <f ca="1"/>
      </c>
      <c r="AU1457">
        <f ca="1"/>
      </c>
      <c r="AV1457">
        <f ca="1"/>
      </c>
      <c r="AW1457">
        <f ca="1"/>
      </c>
      <c r="AX1457">
        <f ca="1"/>
      </c>
      <c r="AY1457">
        <f ca="1"/>
      </c>
      <c r="BA1457" s="7"/>
    </row>
    <row r="1458" spans="31:53" x14ac:dyDescent="0.55000000000000004">
      <c r="AE1458" s="7">
        <f ca="1"/>
      </c>
      <c r="AF1458">
        <f ca="1"/>
      </c>
      <c r="AG1458">
        <f ca="1"/>
      </c>
      <c r="AH1458">
        <f ca="1"/>
      </c>
      <c r="AI1458">
        <f ca="1"/>
      </c>
      <c r="AJ1458">
        <f ca="1"/>
      </c>
      <c r="AK1458">
        <f ca="1"/>
      </c>
      <c r="AL1458">
        <f ca="1"/>
      </c>
      <c r="AM1458">
        <f ca="1"/>
      </c>
      <c r="AN1458">
        <f ca="1"/>
      </c>
      <c r="AO1458">
        <f ca="1"/>
      </c>
      <c r="AP1458">
        <f ca="1"/>
      </c>
      <c r="AQ1458">
        <f ca="1"/>
      </c>
      <c r="AR1458">
        <f ca="1"/>
      </c>
      <c r="AT1458" s="7">
        <f ca="1"/>
      </c>
      <c r="AU1458">
        <f ca="1"/>
      </c>
      <c r="AV1458">
        <f ca="1"/>
      </c>
      <c r="AW1458">
        <f ca="1"/>
      </c>
      <c r="AX1458">
        <f ca="1"/>
      </c>
      <c r="AY1458">
        <f ca="1"/>
      </c>
      <c r="BA1458" s="7"/>
    </row>
    <row r="1459" spans="31:53" x14ac:dyDescent="0.55000000000000004">
      <c r="AE1459" s="7">
        <f ca="1"/>
      </c>
      <c r="AF1459">
        <f ca="1"/>
      </c>
      <c r="AG1459">
        <f ca="1"/>
      </c>
      <c r="AH1459">
        <f ca="1"/>
      </c>
      <c r="AI1459">
        <f ca="1"/>
      </c>
      <c r="AJ1459">
        <f ca="1"/>
      </c>
      <c r="AK1459">
        <f ca="1"/>
      </c>
      <c r="AL1459">
        <f ca="1"/>
      </c>
      <c r="AM1459">
        <f ca="1"/>
      </c>
      <c r="AN1459">
        <f ca="1"/>
      </c>
      <c r="AO1459">
        <f ca="1"/>
      </c>
      <c r="AP1459">
        <f ca="1"/>
      </c>
      <c r="AQ1459">
        <f ca="1"/>
      </c>
      <c r="AR1459">
        <f ca="1"/>
      </c>
      <c r="AT1459" s="7">
        <f ca="1"/>
      </c>
      <c r="AU1459">
        <f ca="1"/>
      </c>
      <c r="AV1459">
        <f ca="1"/>
      </c>
      <c r="AW1459">
        <f ca="1"/>
      </c>
      <c r="AX1459">
        <f ca="1"/>
      </c>
      <c r="AY1459">
        <f ca="1"/>
      </c>
      <c r="BA1459" s="7"/>
    </row>
    <row r="1460" spans="31:53" x14ac:dyDescent="0.55000000000000004">
      <c r="AE1460" s="7">
        <f ca="1"/>
      </c>
      <c r="AF1460">
        <f ca="1"/>
      </c>
      <c r="AG1460">
        <f ca="1"/>
      </c>
      <c r="AH1460">
        <f ca="1"/>
      </c>
      <c r="AI1460">
        <f ca="1"/>
      </c>
      <c r="AJ1460">
        <f ca="1"/>
      </c>
      <c r="AK1460">
        <f ca="1"/>
      </c>
      <c r="AL1460">
        <f ca="1"/>
      </c>
      <c r="AM1460">
        <f ca="1"/>
      </c>
      <c r="AN1460">
        <f ca="1"/>
      </c>
      <c r="AO1460">
        <f ca="1"/>
      </c>
      <c r="AP1460">
        <f ca="1"/>
      </c>
      <c r="AQ1460">
        <f ca="1"/>
      </c>
      <c r="AR1460">
        <f ca="1"/>
      </c>
      <c r="AT1460" s="7">
        <f ca="1"/>
      </c>
      <c r="AU1460">
        <f ca="1"/>
      </c>
      <c r="AV1460">
        <f ca="1"/>
      </c>
      <c r="AW1460">
        <f ca="1"/>
      </c>
      <c r="AX1460">
        <f ca="1"/>
      </c>
      <c r="AY1460">
        <f ca="1"/>
      </c>
      <c r="BA1460" s="7"/>
    </row>
    <row r="1461" spans="31:53" x14ac:dyDescent="0.55000000000000004">
      <c r="AE1461" s="7">
        <f ca="1"/>
      </c>
      <c r="AF1461">
        <f ca="1"/>
      </c>
      <c r="AG1461">
        <f ca="1"/>
      </c>
      <c r="AH1461">
        <f ca="1"/>
      </c>
      <c r="AI1461">
        <f ca="1"/>
      </c>
      <c r="AJ1461">
        <f ca="1"/>
      </c>
      <c r="AK1461">
        <f ca="1"/>
      </c>
      <c r="AL1461">
        <f ca="1"/>
      </c>
      <c r="AM1461">
        <f ca="1"/>
      </c>
      <c r="AN1461">
        <f ca="1"/>
      </c>
      <c r="AO1461">
        <f ca="1"/>
      </c>
      <c r="AP1461">
        <f ca="1"/>
      </c>
      <c r="AQ1461">
        <f ca="1"/>
      </c>
      <c r="AR1461">
        <f ca="1"/>
      </c>
      <c r="AT1461" s="7">
        <f ca="1"/>
      </c>
      <c r="AU1461">
        <f ca="1"/>
      </c>
      <c r="AV1461">
        <f ca="1"/>
      </c>
      <c r="AW1461">
        <f ca="1"/>
      </c>
      <c r="AX1461">
        <f ca="1"/>
      </c>
      <c r="AY1461">
        <f ca="1"/>
      </c>
      <c r="BA1461" s="7"/>
    </row>
    <row r="1462" spans="31:53" x14ac:dyDescent="0.55000000000000004">
      <c r="AE1462" s="7">
        <f ca="1"/>
      </c>
      <c r="AF1462">
        <f ca="1"/>
      </c>
      <c r="AG1462">
        <f ca="1"/>
      </c>
      <c r="AH1462">
        <f ca="1"/>
      </c>
      <c r="AI1462">
        <f ca="1"/>
      </c>
      <c r="AJ1462">
        <f ca="1"/>
      </c>
      <c r="AK1462">
        <f ca="1"/>
      </c>
      <c r="AL1462">
        <f ca="1"/>
      </c>
      <c r="AM1462">
        <f ca="1"/>
      </c>
      <c r="AN1462">
        <f ca="1"/>
      </c>
      <c r="AO1462">
        <f ca="1"/>
      </c>
      <c r="AP1462">
        <f ca="1"/>
      </c>
      <c r="AQ1462">
        <f ca="1"/>
      </c>
      <c r="AR1462">
        <f ca="1"/>
      </c>
      <c r="AT1462" s="7">
        <f ca="1"/>
      </c>
      <c r="AU1462">
        <f ca="1"/>
      </c>
      <c r="AV1462">
        <f ca="1"/>
      </c>
      <c r="AW1462">
        <f ca="1"/>
      </c>
      <c r="AX1462">
        <f ca="1"/>
      </c>
      <c r="AY1462">
        <f ca="1"/>
      </c>
      <c r="BA1462" s="7"/>
    </row>
    <row r="1463" spans="31:53" x14ac:dyDescent="0.55000000000000004">
      <c r="AE1463" s="7">
        <f ca="1"/>
      </c>
      <c r="AF1463">
        <f ca="1"/>
      </c>
      <c r="AG1463">
        <f ca="1"/>
      </c>
      <c r="AH1463">
        <f ca="1"/>
      </c>
      <c r="AI1463">
        <f ca="1"/>
      </c>
      <c r="AJ1463">
        <f ca="1"/>
      </c>
      <c r="AK1463">
        <f ca="1"/>
      </c>
      <c r="AL1463">
        <f ca="1"/>
      </c>
      <c r="AM1463">
        <f ca="1"/>
      </c>
      <c r="AN1463">
        <f ca="1"/>
      </c>
      <c r="AO1463">
        <f ca="1"/>
      </c>
      <c r="AP1463">
        <f ca="1"/>
      </c>
      <c r="AQ1463">
        <f ca="1"/>
      </c>
      <c r="AR1463">
        <f ca="1"/>
      </c>
      <c r="AT1463" s="7">
        <f ca="1"/>
      </c>
      <c r="AU1463">
        <f ca="1"/>
      </c>
      <c r="AV1463">
        <f ca="1"/>
      </c>
      <c r="AW1463">
        <f ca="1"/>
      </c>
      <c r="AX1463">
        <f ca="1"/>
      </c>
      <c r="AY1463">
        <f ca="1"/>
      </c>
      <c r="BA1463" s="7"/>
    </row>
    <row r="1464" spans="31:53" x14ac:dyDescent="0.55000000000000004">
      <c r="AE1464" s="7">
        <f ca="1"/>
      </c>
      <c r="AF1464">
        <f ca="1"/>
      </c>
      <c r="AG1464">
        <f ca="1"/>
      </c>
      <c r="AH1464">
        <f ca="1"/>
      </c>
      <c r="AI1464">
        <f ca="1"/>
      </c>
      <c r="AJ1464">
        <f ca="1"/>
      </c>
      <c r="AK1464">
        <f ca="1"/>
      </c>
      <c r="AL1464">
        <f ca="1"/>
      </c>
      <c r="AM1464">
        <f ca="1"/>
      </c>
      <c r="AN1464">
        <f ca="1"/>
      </c>
      <c r="AO1464">
        <f ca="1"/>
      </c>
      <c r="AP1464">
        <f ca="1"/>
      </c>
      <c r="AQ1464">
        <f ca="1"/>
      </c>
      <c r="AR1464">
        <f ca="1"/>
      </c>
      <c r="AT1464" s="7">
        <f ca="1"/>
      </c>
      <c r="AU1464">
        <f ca="1"/>
      </c>
      <c r="AV1464">
        <f ca="1"/>
      </c>
      <c r="AW1464">
        <f ca="1"/>
      </c>
      <c r="AX1464">
        <f ca="1"/>
      </c>
      <c r="AY1464">
        <f ca="1"/>
      </c>
      <c r="BA1464" s="7"/>
    </row>
    <row r="1465" spans="31:53" x14ac:dyDescent="0.55000000000000004">
      <c r="AE1465" s="7">
        <f ca="1"/>
      </c>
      <c r="AF1465">
        <f ca="1"/>
      </c>
      <c r="AG1465">
        <f ca="1"/>
      </c>
      <c r="AH1465">
        <f ca="1"/>
      </c>
      <c r="AI1465">
        <f ca="1"/>
      </c>
      <c r="AJ1465">
        <f ca="1"/>
      </c>
      <c r="AK1465">
        <f ca="1"/>
      </c>
      <c r="AL1465">
        <f ca="1"/>
      </c>
      <c r="AM1465">
        <f ca="1"/>
      </c>
      <c r="AN1465">
        <f ca="1"/>
      </c>
      <c r="AO1465">
        <f ca="1"/>
      </c>
      <c r="AP1465">
        <f ca="1"/>
      </c>
      <c r="AQ1465">
        <f ca="1"/>
      </c>
      <c r="AR1465">
        <f ca="1"/>
      </c>
      <c r="AT1465" s="7">
        <f ca="1"/>
      </c>
      <c r="AU1465">
        <f ca="1"/>
      </c>
      <c r="AV1465">
        <f ca="1"/>
      </c>
      <c r="AW1465">
        <f ca="1"/>
      </c>
      <c r="AX1465">
        <f ca="1"/>
      </c>
      <c r="AY1465">
        <f ca="1"/>
      </c>
      <c r="BA1465" s="7"/>
    </row>
    <row r="1466" spans="31:53" x14ac:dyDescent="0.55000000000000004">
      <c r="AE1466" s="7">
        <f ca="1"/>
      </c>
      <c r="AF1466">
        <f ca="1"/>
      </c>
      <c r="AG1466">
        <f ca="1"/>
      </c>
      <c r="AH1466">
        <f ca="1"/>
      </c>
      <c r="AI1466">
        <f ca="1"/>
      </c>
      <c r="AJ1466">
        <f ca="1"/>
      </c>
      <c r="AK1466">
        <f ca="1"/>
      </c>
      <c r="AL1466">
        <f ca="1"/>
      </c>
      <c r="AM1466">
        <f ca="1"/>
      </c>
      <c r="AN1466">
        <f ca="1"/>
      </c>
      <c r="AO1466">
        <f ca="1"/>
      </c>
      <c r="AP1466">
        <f ca="1"/>
      </c>
      <c r="AQ1466">
        <f ca="1"/>
      </c>
      <c r="AR1466">
        <f ca="1"/>
      </c>
      <c r="AT1466" s="7">
        <f ca="1"/>
      </c>
      <c r="AU1466">
        <f ca="1"/>
      </c>
      <c r="AV1466">
        <f ca="1"/>
      </c>
      <c r="AW1466">
        <f ca="1"/>
      </c>
      <c r="AX1466">
        <f ca="1"/>
      </c>
      <c r="AY1466">
        <f ca="1"/>
      </c>
      <c r="BA1466" s="7"/>
    </row>
    <row r="1467" spans="31:53" x14ac:dyDescent="0.55000000000000004">
      <c r="AE1467" s="7">
        <f ca="1"/>
      </c>
      <c r="AF1467">
        <f ca="1"/>
      </c>
      <c r="AG1467">
        <f ca="1"/>
      </c>
      <c r="AH1467">
        <f ca="1"/>
      </c>
      <c r="AI1467">
        <f ca="1"/>
      </c>
      <c r="AJ1467">
        <f ca="1"/>
      </c>
      <c r="AK1467">
        <f ca="1"/>
      </c>
      <c r="AL1467">
        <f ca="1"/>
      </c>
      <c r="AM1467">
        <f ca="1"/>
      </c>
      <c r="AN1467">
        <f ca="1"/>
      </c>
      <c r="AO1467">
        <f ca="1"/>
      </c>
      <c r="AP1467">
        <f ca="1"/>
      </c>
      <c r="AQ1467">
        <f ca="1"/>
      </c>
      <c r="AR1467">
        <f ca="1"/>
      </c>
      <c r="AT1467" s="7">
        <f ca="1"/>
      </c>
      <c r="AU1467">
        <f ca="1"/>
      </c>
      <c r="AV1467">
        <f ca="1"/>
      </c>
      <c r="AW1467">
        <f ca="1"/>
      </c>
      <c r="AX1467">
        <f ca="1"/>
      </c>
      <c r="AY1467">
        <f ca="1"/>
      </c>
      <c r="BA1467" s="7"/>
    </row>
    <row r="1468" spans="31:53" x14ac:dyDescent="0.55000000000000004">
      <c r="AE1468" s="7">
        <f ca="1"/>
      </c>
      <c r="AF1468">
        <f ca="1"/>
      </c>
      <c r="AG1468">
        <f ca="1"/>
      </c>
      <c r="AH1468">
        <f ca="1"/>
      </c>
      <c r="AI1468">
        <f ca="1"/>
      </c>
      <c r="AJ1468">
        <f ca="1"/>
      </c>
      <c r="AK1468">
        <f ca="1"/>
      </c>
      <c r="AL1468">
        <f ca="1"/>
      </c>
      <c r="AM1468">
        <f ca="1"/>
      </c>
      <c r="AN1468">
        <f ca="1"/>
      </c>
      <c r="AO1468">
        <f ca="1"/>
      </c>
      <c r="AP1468">
        <f ca="1"/>
      </c>
      <c r="AQ1468">
        <f ca="1"/>
      </c>
      <c r="AR1468">
        <f ca="1"/>
      </c>
      <c r="AT1468" s="7">
        <f ca="1"/>
      </c>
      <c r="AU1468">
        <f ca="1"/>
      </c>
      <c r="AV1468">
        <f ca="1"/>
      </c>
      <c r="AW1468">
        <f ca="1"/>
      </c>
      <c r="AX1468">
        <f ca="1"/>
      </c>
      <c r="AY1468">
        <f ca="1"/>
      </c>
      <c r="BA1468" s="7"/>
    </row>
    <row r="1469" spans="31:53" x14ac:dyDescent="0.55000000000000004">
      <c r="AE1469" s="7">
        <f ca="1"/>
      </c>
      <c r="AF1469">
        <f ca="1"/>
      </c>
      <c r="AG1469">
        <f ca="1"/>
      </c>
      <c r="AH1469">
        <f ca="1"/>
      </c>
      <c r="AI1469">
        <f ca="1"/>
      </c>
      <c r="AJ1469">
        <f ca="1"/>
      </c>
      <c r="AK1469">
        <f ca="1"/>
      </c>
      <c r="AL1469">
        <f ca="1"/>
      </c>
      <c r="AM1469">
        <f ca="1"/>
      </c>
      <c r="AN1469">
        <f ca="1"/>
      </c>
      <c r="AO1469">
        <f ca="1"/>
      </c>
      <c r="AP1469">
        <f ca="1"/>
      </c>
      <c r="AQ1469">
        <f ca="1"/>
      </c>
      <c r="AR1469">
        <f ca="1"/>
      </c>
      <c r="AT1469" s="7">
        <f ca="1"/>
      </c>
      <c r="AU1469">
        <f ca="1"/>
      </c>
      <c r="AV1469">
        <f ca="1"/>
      </c>
      <c r="AW1469">
        <f ca="1"/>
      </c>
      <c r="AX1469">
        <f ca="1"/>
      </c>
      <c r="AY1469">
        <f ca="1"/>
      </c>
      <c r="BA1469" s="7"/>
    </row>
    <row r="1470" spans="31:53" x14ac:dyDescent="0.55000000000000004">
      <c r="AE1470" s="7">
        <f ca="1"/>
      </c>
      <c r="AF1470">
        <f ca="1"/>
      </c>
      <c r="AG1470">
        <f ca="1"/>
      </c>
      <c r="AH1470">
        <f ca="1"/>
      </c>
      <c r="AI1470">
        <f ca="1"/>
      </c>
      <c r="AJ1470">
        <f ca="1"/>
      </c>
      <c r="AK1470">
        <f ca="1"/>
      </c>
      <c r="AL1470">
        <f ca="1"/>
      </c>
      <c r="AM1470">
        <f ca="1"/>
      </c>
      <c r="AN1470">
        <f ca="1"/>
      </c>
      <c r="AO1470">
        <f ca="1"/>
      </c>
      <c r="AP1470">
        <f ca="1"/>
      </c>
      <c r="AQ1470">
        <f ca="1"/>
      </c>
      <c r="AR1470">
        <f ca="1"/>
      </c>
      <c r="AT1470" s="7">
        <f ca="1"/>
      </c>
      <c r="AU1470">
        <f ca="1"/>
      </c>
      <c r="AV1470">
        <f ca="1"/>
      </c>
      <c r="AW1470">
        <f ca="1"/>
      </c>
      <c r="AX1470">
        <f ca="1"/>
      </c>
      <c r="AY1470">
        <f ca="1"/>
      </c>
      <c r="BA1470" s="7"/>
    </row>
    <row r="1471" spans="31:53" x14ac:dyDescent="0.55000000000000004">
      <c r="AE1471" s="7">
        <f ca="1"/>
      </c>
      <c r="AF1471">
        <f ca="1"/>
      </c>
      <c r="AG1471">
        <f ca="1"/>
      </c>
      <c r="AH1471">
        <f ca="1"/>
      </c>
      <c r="AI1471">
        <f ca="1"/>
      </c>
      <c r="AJ1471">
        <f ca="1"/>
      </c>
      <c r="AK1471">
        <f ca="1"/>
      </c>
      <c r="AL1471">
        <f ca="1"/>
      </c>
      <c r="AM1471">
        <f ca="1"/>
      </c>
      <c r="AN1471">
        <f ca="1"/>
      </c>
      <c r="AO1471">
        <f ca="1"/>
      </c>
      <c r="AP1471">
        <f ca="1"/>
      </c>
      <c r="AQ1471">
        <f ca="1"/>
      </c>
      <c r="AR1471">
        <f ca="1"/>
      </c>
      <c r="AT1471" s="7">
        <f ca="1"/>
      </c>
      <c r="AU1471">
        <f ca="1"/>
      </c>
      <c r="AV1471">
        <f ca="1"/>
      </c>
      <c r="AW1471">
        <f ca="1"/>
      </c>
      <c r="AX1471">
        <f ca="1"/>
      </c>
      <c r="AY1471">
        <f ca="1"/>
      </c>
      <c r="BA1471" s="7"/>
    </row>
    <row r="1472" spans="31:53" x14ac:dyDescent="0.55000000000000004">
      <c r="AE1472" s="7">
        <f ca="1"/>
      </c>
      <c r="AF1472">
        <f ca="1"/>
      </c>
      <c r="AG1472">
        <f ca="1"/>
      </c>
      <c r="AH1472">
        <f ca="1"/>
      </c>
      <c r="AI1472">
        <f ca="1"/>
      </c>
      <c r="AJ1472">
        <f ca="1"/>
      </c>
      <c r="AK1472">
        <f ca="1"/>
      </c>
      <c r="AL1472">
        <f ca="1"/>
      </c>
      <c r="AM1472">
        <f ca="1"/>
      </c>
      <c r="AN1472">
        <f ca="1"/>
      </c>
      <c r="AO1472">
        <f ca="1"/>
      </c>
      <c r="AP1472">
        <f ca="1"/>
      </c>
      <c r="AQ1472">
        <f ca="1"/>
      </c>
      <c r="AR1472">
        <f ca="1"/>
      </c>
      <c r="AT1472" s="7">
        <f ca="1"/>
      </c>
      <c r="AU1472">
        <f ca="1"/>
      </c>
      <c r="AV1472">
        <f ca="1"/>
      </c>
      <c r="AW1472">
        <f ca="1"/>
      </c>
      <c r="AX1472">
        <f ca="1"/>
      </c>
      <c r="AY1472">
        <f ca="1"/>
      </c>
      <c r="BA1472" s="7"/>
    </row>
    <row r="1473" spans="31:53" x14ac:dyDescent="0.55000000000000004">
      <c r="AE1473" s="7">
        <f ca="1"/>
      </c>
      <c r="AF1473">
        <f ca="1"/>
      </c>
      <c r="AG1473">
        <f ca="1"/>
      </c>
      <c r="AH1473">
        <f ca="1"/>
      </c>
      <c r="AI1473">
        <f ca="1"/>
      </c>
      <c r="AJ1473">
        <f ca="1"/>
      </c>
      <c r="AK1473">
        <f ca="1"/>
      </c>
      <c r="AL1473">
        <f ca="1"/>
      </c>
      <c r="AM1473">
        <f ca="1"/>
      </c>
      <c r="AN1473">
        <f ca="1"/>
      </c>
      <c r="AO1473">
        <f ca="1"/>
      </c>
      <c r="AP1473">
        <f ca="1"/>
      </c>
      <c r="AQ1473">
        <f ca="1"/>
      </c>
      <c r="AR1473">
        <f ca="1"/>
      </c>
      <c r="AT1473" s="7">
        <f ca="1"/>
      </c>
      <c r="AU1473">
        <f ca="1"/>
      </c>
      <c r="AV1473">
        <f ca="1"/>
      </c>
      <c r="AW1473">
        <f ca="1"/>
      </c>
      <c r="AX1473">
        <f ca="1"/>
      </c>
      <c r="AY1473">
        <f ca="1"/>
      </c>
      <c r="BA1473" s="7"/>
    </row>
    <row r="1474" spans="31:53" x14ac:dyDescent="0.55000000000000004">
      <c r="AE1474" s="7">
        <f ca="1"/>
      </c>
      <c r="AF1474">
        <f ca="1"/>
      </c>
      <c r="AG1474">
        <f ca="1"/>
      </c>
      <c r="AH1474">
        <f ca="1"/>
      </c>
      <c r="AI1474">
        <f ca="1"/>
      </c>
      <c r="AJ1474">
        <f ca="1"/>
      </c>
      <c r="AK1474">
        <f ca="1"/>
      </c>
      <c r="AL1474">
        <f ca="1"/>
      </c>
      <c r="AM1474">
        <f ca="1"/>
      </c>
      <c r="AN1474">
        <f ca="1"/>
      </c>
      <c r="AO1474">
        <f ca="1"/>
      </c>
      <c r="AP1474">
        <f ca="1"/>
      </c>
      <c r="AQ1474">
        <f ca="1"/>
      </c>
      <c r="AR1474">
        <f ca="1"/>
      </c>
      <c r="AT1474" s="7">
        <f ca="1"/>
      </c>
      <c r="AU1474">
        <f ca="1"/>
      </c>
      <c r="AV1474">
        <f ca="1"/>
      </c>
      <c r="AW1474">
        <f ca="1"/>
      </c>
      <c r="AX1474">
        <f ca="1"/>
      </c>
      <c r="AY1474">
        <f ca="1"/>
      </c>
      <c r="BA1474" s="7"/>
    </row>
    <row r="1475" spans="31:53" x14ac:dyDescent="0.55000000000000004">
      <c r="AE1475" s="7">
        <f ca="1"/>
      </c>
      <c r="AF1475">
        <f ca="1"/>
      </c>
      <c r="AG1475">
        <f ca="1"/>
      </c>
      <c r="AH1475">
        <f ca="1"/>
      </c>
      <c r="AI1475">
        <f ca="1"/>
      </c>
      <c r="AJ1475">
        <f ca="1"/>
      </c>
      <c r="AK1475">
        <f ca="1"/>
      </c>
      <c r="AL1475">
        <f ca="1"/>
      </c>
      <c r="AM1475">
        <f ca="1"/>
      </c>
      <c r="AN1475">
        <f ca="1"/>
      </c>
      <c r="AO1475">
        <f ca="1"/>
      </c>
      <c r="AP1475">
        <f ca="1"/>
      </c>
      <c r="AQ1475">
        <f ca="1"/>
      </c>
      <c r="AR1475">
        <f ca="1"/>
      </c>
      <c r="AT1475" s="7">
        <f ca="1"/>
      </c>
      <c r="AU1475">
        <f ca="1"/>
      </c>
      <c r="AV1475">
        <f ca="1"/>
      </c>
      <c r="AW1475">
        <f ca="1"/>
      </c>
      <c r="AX1475">
        <f ca="1"/>
      </c>
      <c r="AY1475">
        <f ca="1"/>
      </c>
      <c r="BA1475" s="7"/>
    </row>
    <row r="1476" spans="31:53" x14ac:dyDescent="0.55000000000000004">
      <c r="AE1476" s="7">
        <f ca="1"/>
      </c>
      <c r="AF1476">
        <f ca="1"/>
      </c>
      <c r="AG1476">
        <f ca="1"/>
      </c>
      <c r="AH1476">
        <f ca="1"/>
      </c>
      <c r="AI1476">
        <f ca="1"/>
      </c>
      <c r="AJ1476">
        <f ca="1"/>
      </c>
      <c r="AK1476">
        <f ca="1"/>
      </c>
      <c r="AL1476">
        <f ca="1"/>
      </c>
      <c r="AM1476">
        <f ca="1"/>
      </c>
      <c r="AN1476">
        <f ca="1"/>
      </c>
      <c r="AO1476">
        <f ca="1"/>
      </c>
      <c r="AP1476">
        <f ca="1"/>
      </c>
      <c r="AQ1476">
        <f ca="1"/>
      </c>
      <c r="AR1476">
        <f ca="1"/>
      </c>
      <c r="AT1476" s="7">
        <f ca="1"/>
      </c>
      <c r="AU1476">
        <f ca="1"/>
      </c>
      <c r="AV1476">
        <f ca="1"/>
      </c>
      <c r="AW1476">
        <f ca="1"/>
      </c>
      <c r="AX1476">
        <f ca="1"/>
      </c>
      <c r="AY1476">
        <f ca="1"/>
      </c>
      <c r="BA1476" s="7"/>
    </row>
    <row r="1477" spans="31:53" x14ac:dyDescent="0.55000000000000004">
      <c r="AE1477" s="7">
        <f ca="1"/>
      </c>
      <c r="AF1477">
        <f ca="1"/>
      </c>
      <c r="AG1477">
        <f ca="1"/>
      </c>
      <c r="AH1477">
        <f ca="1"/>
      </c>
      <c r="AI1477">
        <f ca="1"/>
      </c>
      <c r="AJ1477">
        <f ca="1"/>
      </c>
      <c r="AK1477">
        <f ca="1"/>
      </c>
      <c r="AL1477">
        <f ca="1"/>
      </c>
      <c r="AM1477">
        <f ca="1"/>
      </c>
      <c r="AN1477">
        <f ca="1"/>
      </c>
      <c r="AO1477">
        <f ca="1"/>
      </c>
      <c r="AP1477">
        <f ca="1"/>
      </c>
      <c r="AQ1477">
        <f ca="1"/>
      </c>
      <c r="AR1477">
        <f ca="1"/>
      </c>
      <c r="AT1477" s="7">
        <f ca="1"/>
      </c>
      <c r="AU1477">
        <f ca="1"/>
      </c>
      <c r="AV1477">
        <f ca="1"/>
      </c>
      <c r="AW1477">
        <f ca="1"/>
      </c>
      <c r="AX1477">
        <f ca="1"/>
      </c>
      <c r="AY1477">
        <f ca="1"/>
      </c>
      <c r="BA1477" s="7"/>
    </row>
    <row r="1478" spans="31:53" x14ac:dyDescent="0.55000000000000004">
      <c r="AE1478" s="7">
        <f ca="1"/>
      </c>
      <c r="AF1478">
        <f ca="1"/>
      </c>
      <c r="AG1478">
        <f ca="1"/>
      </c>
      <c r="AH1478">
        <f ca="1"/>
      </c>
      <c r="AI1478">
        <f ca="1"/>
      </c>
      <c r="AJ1478">
        <f ca="1"/>
      </c>
      <c r="AK1478">
        <f ca="1"/>
      </c>
      <c r="AL1478">
        <f ca="1"/>
      </c>
      <c r="AM1478">
        <f ca="1"/>
      </c>
      <c r="AN1478">
        <f ca="1"/>
      </c>
      <c r="AO1478">
        <f ca="1"/>
      </c>
      <c r="AP1478">
        <f ca="1"/>
      </c>
      <c r="AQ1478">
        <f ca="1"/>
      </c>
      <c r="AR1478">
        <f ca="1"/>
      </c>
      <c r="AT1478" s="7">
        <f ca="1"/>
      </c>
      <c r="AU1478">
        <f ca="1"/>
      </c>
      <c r="AV1478">
        <f ca="1"/>
      </c>
      <c r="AW1478">
        <f ca="1"/>
      </c>
      <c r="AX1478">
        <f ca="1"/>
      </c>
      <c r="AY1478">
        <f ca="1"/>
      </c>
      <c r="BA1478" s="7"/>
    </row>
    <row r="1479" spans="31:53" x14ac:dyDescent="0.55000000000000004">
      <c r="AE1479" s="7">
        <f ca="1"/>
      </c>
      <c r="AF1479">
        <f ca="1"/>
      </c>
      <c r="AG1479">
        <f ca="1"/>
      </c>
      <c r="AH1479">
        <f ca="1"/>
      </c>
      <c r="AI1479">
        <f ca="1"/>
      </c>
      <c r="AJ1479">
        <f ca="1"/>
      </c>
      <c r="AK1479">
        <f ca="1"/>
      </c>
      <c r="AL1479">
        <f ca="1"/>
      </c>
      <c r="AM1479">
        <f ca="1"/>
      </c>
      <c r="AN1479">
        <f ca="1"/>
      </c>
      <c r="AO1479">
        <f ca="1"/>
      </c>
      <c r="AP1479">
        <f ca="1"/>
      </c>
      <c r="AQ1479">
        <f ca="1"/>
      </c>
      <c r="AR1479">
        <f ca="1"/>
      </c>
      <c r="AT1479" s="7">
        <f ca="1"/>
      </c>
      <c r="AU1479">
        <f ca="1"/>
      </c>
      <c r="AV1479">
        <f ca="1"/>
      </c>
      <c r="AW1479">
        <f ca="1"/>
      </c>
      <c r="AX1479">
        <f ca="1"/>
      </c>
      <c r="AY1479">
        <f ca="1"/>
      </c>
      <c r="BA1479" s="7"/>
    </row>
    <row r="1480" spans="31:53" x14ac:dyDescent="0.55000000000000004">
      <c r="AE1480" s="7">
        <f ca="1"/>
      </c>
      <c r="AF1480">
        <f ca="1"/>
      </c>
      <c r="AG1480">
        <f ca="1"/>
      </c>
      <c r="AH1480">
        <f ca="1"/>
      </c>
      <c r="AI1480">
        <f ca="1"/>
      </c>
      <c r="AJ1480">
        <f ca="1"/>
      </c>
      <c r="AK1480">
        <f ca="1"/>
      </c>
      <c r="AL1480">
        <f ca="1"/>
      </c>
      <c r="AM1480">
        <f ca="1"/>
      </c>
      <c r="AN1480">
        <f ca="1"/>
      </c>
      <c r="AO1480">
        <f ca="1"/>
      </c>
      <c r="AP1480">
        <f ca="1"/>
      </c>
      <c r="AQ1480">
        <f ca="1"/>
      </c>
      <c r="AR1480">
        <f ca="1"/>
      </c>
      <c r="AT1480" s="7">
        <f ca="1"/>
      </c>
      <c r="AU1480">
        <f ca="1"/>
      </c>
      <c r="AV1480">
        <f ca="1"/>
      </c>
      <c r="AW1480">
        <f ca="1"/>
      </c>
      <c r="AX1480">
        <f ca="1"/>
      </c>
      <c r="AY1480">
        <f ca="1"/>
      </c>
      <c r="BA1480" s="7"/>
    </row>
    <row r="1481" spans="31:53" x14ac:dyDescent="0.55000000000000004">
      <c r="AE1481" s="7">
        <f ca="1"/>
      </c>
      <c r="AF1481">
        <f ca="1"/>
      </c>
      <c r="AG1481">
        <f ca="1"/>
      </c>
      <c r="AH1481">
        <f ca="1"/>
      </c>
      <c r="AI1481">
        <f ca="1"/>
      </c>
      <c r="AJ1481">
        <f ca="1"/>
      </c>
      <c r="AK1481">
        <f ca="1"/>
      </c>
      <c r="AL1481">
        <f ca="1"/>
      </c>
      <c r="AM1481">
        <f ca="1"/>
      </c>
      <c r="AN1481">
        <f ca="1"/>
      </c>
      <c r="AO1481">
        <f ca="1"/>
      </c>
      <c r="AP1481">
        <f ca="1"/>
      </c>
      <c r="AQ1481">
        <f ca="1"/>
      </c>
      <c r="AR1481">
        <f ca="1"/>
      </c>
      <c r="AT1481" s="7">
        <f ca="1"/>
      </c>
      <c r="AU1481">
        <f ca="1"/>
      </c>
      <c r="AV1481">
        <f ca="1"/>
      </c>
      <c r="AW1481">
        <f ca="1"/>
      </c>
      <c r="AX1481">
        <f ca="1"/>
      </c>
      <c r="AY1481">
        <f ca="1"/>
      </c>
      <c r="BA1481" s="7"/>
    </row>
    <row r="1482" spans="31:53" x14ac:dyDescent="0.55000000000000004">
      <c r="AE1482" s="7">
        <f ca="1"/>
      </c>
      <c r="AF1482">
        <f ca="1"/>
      </c>
      <c r="AG1482">
        <f ca="1"/>
      </c>
      <c r="AH1482">
        <f ca="1"/>
      </c>
      <c r="AI1482">
        <f ca="1"/>
      </c>
      <c r="AJ1482">
        <f ca="1"/>
      </c>
      <c r="AK1482">
        <f ca="1"/>
      </c>
      <c r="AL1482">
        <f ca="1"/>
      </c>
      <c r="AM1482">
        <f ca="1"/>
      </c>
      <c r="AN1482">
        <f ca="1"/>
      </c>
      <c r="AO1482">
        <f ca="1"/>
      </c>
      <c r="AP1482">
        <f ca="1"/>
      </c>
      <c r="AQ1482">
        <f ca="1"/>
      </c>
      <c r="AR1482">
        <f ca="1"/>
      </c>
      <c r="AT1482" s="7">
        <f ca="1"/>
      </c>
      <c r="AU1482">
        <f ca="1"/>
      </c>
      <c r="AV1482">
        <f ca="1"/>
      </c>
      <c r="AW1482">
        <f ca="1"/>
      </c>
      <c r="AX1482">
        <f ca="1"/>
      </c>
      <c r="AY1482">
        <f ca="1"/>
      </c>
      <c r="BA1482" s="7"/>
    </row>
    <row r="1483" spans="31:53" x14ac:dyDescent="0.55000000000000004">
      <c r="AE1483" s="7">
        <f ca="1"/>
      </c>
      <c r="AF1483">
        <f ca="1"/>
      </c>
      <c r="AG1483">
        <f ca="1"/>
      </c>
      <c r="AH1483">
        <f ca="1"/>
      </c>
      <c r="AI1483">
        <f ca="1"/>
      </c>
      <c r="AJ1483">
        <f ca="1"/>
      </c>
      <c r="AK1483">
        <f ca="1"/>
      </c>
      <c r="AL1483">
        <f ca="1"/>
      </c>
      <c r="AM1483">
        <f ca="1"/>
      </c>
      <c r="AN1483">
        <f ca="1"/>
      </c>
      <c r="AO1483">
        <f ca="1"/>
      </c>
      <c r="AP1483">
        <f ca="1"/>
      </c>
      <c r="AQ1483">
        <f ca="1"/>
      </c>
      <c r="AR1483">
        <f ca="1"/>
      </c>
      <c r="AT1483" s="7">
        <f ca="1"/>
      </c>
      <c r="AU1483">
        <f ca="1"/>
      </c>
      <c r="AV1483">
        <f ca="1"/>
      </c>
      <c r="AW1483">
        <f ca="1"/>
      </c>
      <c r="AX1483">
        <f ca="1"/>
      </c>
      <c r="AY1483">
        <f ca="1"/>
      </c>
      <c r="BA1483" s="7"/>
    </row>
    <row r="1484" spans="31:53" x14ac:dyDescent="0.55000000000000004">
      <c r="AE1484" s="7">
        <f ca="1"/>
      </c>
      <c r="AF1484">
        <f ca="1"/>
      </c>
      <c r="AG1484">
        <f ca="1"/>
      </c>
      <c r="AH1484">
        <f ca="1"/>
      </c>
      <c r="AI1484">
        <f ca="1"/>
      </c>
      <c r="AJ1484">
        <f ca="1"/>
      </c>
      <c r="AK1484">
        <f ca="1"/>
      </c>
      <c r="AL1484">
        <f ca="1"/>
      </c>
      <c r="AM1484">
        <f ca="1"/>
      </c>
      <c r="AN1484">
        <f ca="1"/>
      </c>
      <c r="AO1484">
        <f ca="1"/>
      </c>
      <c r="AP1484">
        <f ca="1"/>
      </c>
      <c r="AQ1484">
        <f ca="1"/>
      </c>
      <c r="AR1484">
        <f ca="1"/>
      </c>
      <c r="AT1484" s="7">
        <f ca="1"/>
      </c>
      <c r="AU1484">
        <f ca="1"/>
      </c>
      <c r="AV1484">
        <f ca="1"/>
      </c>
      <c r="AW1484">
        <f ca="1"/>
      </c>
      <c r="AX1484">
        <f ca="1"/>
      </c>
      <c r="AY1484">
        <f ca="1"/>
      </c>
      <c r="BA1484" s="7"/>
    </row>
    <row r="1485" spans="31:53" x14ac:dyDescent="0.55000000000000004">
      <c r="AE1485" s="7">
        <f ca="1"/>
      </c>
      <c r="AF1485">
        <f ca="1"/>
      </c>
      <c r="AG1485">
        <f ca="1"/>
      </c>
      <c r="AH1485">
        <f ca="1"/>
      </c>
      <c r="AI1485">
        <f ca="1"/>
      </c>
      <c r="AJ1485">
        <f ca="1"/>
      </c>
      <c r="AK1485">
        <f ca="1"/>
      </c>
      <c r="AL1485">
        <f ca="1"/>
      </c>
      <c r="AM1485">
        <f ca="1"/>
      </c>
      <c r="AN1485">
        <f ca="1"/>
      </c>
      <c r="AO1485">
        <f ca="1"/>
      </c>
      <c r="AP1485">
        <f ca="1"/>
      </c>
      <c r="AQ1485">
        <f ca="1"/>
      </c>
      <c r="AR1485">
        <f ca="1"/>
      </c>
      <c r="AT1485" s="7">
        <f ca="1"/>
      </c>
      <c r="AU1485">
        <f ca="1"/>
      </c>
      <c r="AV1485">
        <f ca="1"/>
      </c>
      <c r="AW1485">
        <f ca="1"/>
      </c>
      <c r="AX1485">
        <f ca="1"/>
      </c>
      <c r="AY1485">
        <f ca="1"/>
      </c>
      <c r="BA1485" s="7"/>
    </row>
    <row r="1486" spans="31:53" x14ac:dyDescent="0.55000000000000004">
      <c r="AE1486" s="7">
        <f ca="1"/>
      </c>
      <c r="AF1486">
        <f ca="1"/>
      </c>
      <c r="AG1486">
        <f ca="1"/>
      </c>
      <c r="AH1486">
        <f ca="1"/>
      </c>
      <c r="AI1486">
        <f ca="1"/>
      </c>
      <c r="AJ1486">
        <f ca="1"/>
      </c>
      <c r="AK1486">
        <f ca="1"/>
      </c>
      <c r="AL1486">
        <f ca="1"/>
      </c>
      <c r="AM1486">
        <f ca="1"/>
      </c>
      <c r="AN1486">
        <f ca="1"/>
      </c>
      <c r="AO1486">
        <f ca="1"/>
      </c>
      <c r="AP1486">
        <f ca="1"/>
      </c>
      <c r="AQ1486">
        <f ca="1"/>
      </c>
      <c r="AR1486">
        <f ca="1"/>
      </c>
      <c r="AT1486" s="7">
        <f ca="1"/>
      </c>
      <c r="AU1486">
        <f ca="1"/>
      </c>
      <c r="AV1486">
        <f ca="1"/>
      </c>
      <c r="AW1486">
        <f ca="1"/>
      </c>
      <c r="AX1486">
        <f ca="1"/>
      </c>
      <c r="AY1486">
        <f ca="1"/>
      </c>
      <c r="BA1486" s="7"/>
    </row>
    <row r="1487" spans="31:53" x14ac:dyDescent="0.55000000000000004">
      <c r="AE1487" s="7">
        <f ca="1"/>
      </c>
      <c r="AF1487">
        <f ca="1"/>
      </c>
      <c r="AG1487">
        <f ca="1"/>
      </c>
      <c r="AH1487">
        <f ca="1"/>
      </c>
      <c r="AI1487">
        <f ca="1"/>
      </c>
      <c r="AJ1487">
        <f ca="1"/>
      </c>
      <c r="AK1487">
        <f ca="1"/>
      </c>
      <c r="AL1487">
        <f ca="1"/>
      </c>
      <c r="AM1487">
        <f ca="1"/>
      </c>
      <c r="AN1487">
        <f ca="1"/>
      </c>
      <c r="AO1487">
        <f ca="1"/>
      </c>
      <c r="AP1487">
        <f ca="1"/>
      </c>
      <c r="AQ1487">
        <f ca="1"/>
      </c>
      <c r="AR1487">
        <f ca="1"/>
      </c>
      <c r="AT1487" s="7">
        <f ca="1"/>
      </c>
      <c r="AU1487">
        <f ca="1"/>
      </c>
      <c r="AV1487">
        <f ca="1"/>
      </c>
      <c r="AW1487">
        <f ca="1"/>
      </c>
      <c r="AX1487">
        <f ca="1"/>
      </c>
      <c r="AY1487">
        <f ca="1"/>
      </c>
      <c r="BA1487" s="7"/>
    </row>
    <row r="1488" spans="31:53" x14ac:dyDescent="0.55000000000000004">
      <c r="AE1488" s="7">
        <f ca="1"/>
      </c>
      <c r="AF1488">
        <f ca="1"/>
      </c>
      <c r="AG1488">
        <f ca="1"/>
      </c>
      <c r="AH1488">
        <f ca="1"/>
      </c>
      <c r="AI1488">
        <f ca="1"/>
      </c>
      <c r="AJ1488">
        <f ca="1"/>
      </c>
      <c r="AK1488">
        <f ca="1"/>
      </c>
      <c r="AL1488">
        <f ca="1"/>
      </c>
      <c r="AM1488">
        <f ca="1"/>
      </c>
      <c r="AN1488">
        <f ca="1"/>
      </c>
      <c r="AO1488">
        <f ca="1"/>
      </c>
      <c r="AP1488">
        <f ca="1"/>
      </c>
      <c r="AQ1488">
        <f ca="1"/>
      </c>
      <c r="AR1488">
        <f ca="1"/>
      </c>
      <c r="AT1488" s="7">
        <f ca="1"/>
      </c>
      <c r="AU1488">
        <f ca="1"/>
      </c>
      <c r="AV1488">
        <f ca="1"/>
      </c>
      <c r="AW1488">
        <f ca="1"/>
      </c>
      <c r="AX1488">
        <f ca="1"/>
      </c>
      <c r="AY1488">
        <f ca="1"/>
      </c>
      <c r="BA1488" s="7"/>
    </row>
    <row r="1489" spans="31:53" x14ac:dyDescent="0.55000000000000004">
      <c r="AE1489" s="7">
        <f ca="1"/>
      </c>
      <c r="AF1489">
        <f ca="1"/>
      </c>
      <c r="AG1489">
        <f ca="1"/>
      </c>
      <c r="AH1489">
        <f ca="1"/>
      </c>
      <c r="AI1489">
        <f ca="1"/>
      </c>
      <c r="AJ1489">
        <f ca="1"/>
      </c>
      <c r="AK1489">
        <f ca="1"/>
      </c>
      <c r="AL1489">
        <f ca="1"/>
      </c>
      <c r="AM1489">
        <f ca="1"/>
      </c>
      <c r="AN1489">
        <f ca="1"/>
      </c>
      <c r="AO1489">
        <f ca="1"/>
      </c>
      <c r="AP1489">
        <f ca="1"/>
      </c>
      <c r="AQ1489">
        <f ca="1"/>
      </c>
      <c r="AR1489">
        <f ca="1"/>
      </c>
      <c r="AT1489" s="7">
        <f ca="1"/>
      </c>
      <c r="AU1489">
        <f ca="1"/>
      </c>
      <c r="AV1489">
        <f ca="1"/>
      </c>
      <c r="AW1489">
        <f ca="1"/>
      </c>
      <c r="AX1489">
        <f ca="1"/>
      </c>
      <c r="AY1489">
        <f ca="1"/>
      </c>
      <c r="BA1489" s="7"/>
    </row>
    <row r="1490" spans="31:53" x14ac:dyDescent="0.55000000000000004">
      <c r="AE1490" s="7">
        <f ca="1"/>
      </c>
      <c r="AF1490">
        <f ca="1"/>
      </c>
      <c r="AG1490">
        <f ca="1"/>
      </c>
      <c r="AH1490">
        <f ca="1"/>
      </c>
      <c r="AI1490">
        <f ca="1"/>
      </c>
      <c r="AJ1490">
        <f ca="1"/>
      </c>
      <c r="AK1490">
        <f ca="1"/>
      </c>
      <c r="AL1490">
        <f ca="1"/>
      </c>
      <c r="AM1490">
        <f ca="1"/>
      </c>
      <c r="AN1490">
        <f ca="1"/>
      </c>
      <c r="AO1490">
        <f ca="1"/>
      </c>
      <c r="AP1490">
        <f ca="1"/>
      </c>
      <c r="AQ1490">
        <f ca="1"/>
      </c>
      <c r="AR1490">
        <f ca="1"/>
      </c>
      <c r="AT1490" s="7">
        <f ca="1"/>
      </c>
      <c r="AU1490">
        <f ca="1"/>
      </c>
      <c r="AV1490">
        <f ca="1"/>
      </c>
      <c r="AW1490">
        <f ca="1"/>
      </c>
      <c r="AX1490">
        <f ca="1"/>
      </c>
      <c r="AY1490">
        <f ca="1"/>
      </c>
      <c r="BA1490" s="7"/>
    </row>
    <row r="1491" spans="31:53" x14ac:dyDescent="0.55000000000000004">
      <c r="AE1491" s="7">
        <f ca="1"/>
      </c>
      <c r="AF1491">
        <f ca="1"/>
      </c>
      <c r="AG1491">
        <f ca="1"/>
      </c>
      <c r="AH1491">
        <f ca="1"/>
      </c>
      <c r="AI1491">
        <f ca="1"/>
      </c>
      <c r="AJ1491">
        <f ca="1"/>
      </c>
      <c r="AK1491">
        <f ca="1"/>
      </c>
      <c r="AL1491">
        <f ca="1"/>
      </c>
      <c r="AM1491">
        <f ca="1"/>
      </c>
      <c r="AN1491">
        <f ca="1"/>
      </c>
      <c r="AO1491">
        <f ca="1"/>
      </c>
      <c r="AP1491">
        <f ca="1"/>
      </c>
      <c r="AQ1491">
        <f ca="1"/>
      </c>
      <c r="AR1491">
        <f ca="1"/>
      </c>
      <c r="AT1491" s="7">
        <f ca="1"/>
      </c>
      <c r="AU1491">
        <f ca="1"/>
      </c>
      <c r="AV1491">
        <f ca="1"/>
      </c>
      <c r="AW1491">
        <f ca="1"/>
      </c>
      <c r="AX1491">
        <f ca="1"/>
      </c>
      <c r="AY1491">
        <f ca="1"/>
      </c>
      <c r="BA1491" s="7"/>
    </row>
    <row r="1492" spans="31:53" x14ac:dyDescent="0.55000000000000004">
      <c r="AE1492" s="7">
        <f ca="1"/>
      </c>
      <c r="AF1492">
        <f ca="1"/>
      </c>
      <c r="AG1492">
        <f ca="1"/>
      </c>
      <c r="AH1492">
        <f ca="1"/>
      </c>
      <c r="AI1492">
        <f ca="1"/>
      </c>
      <c r="AJ1492">
        <f ca="1"/>
      </c>
      <c r="AK1492">
        <f ca="1"/>
      </c>
      <c r="AL1492">
        <f ca="1"/>
      </c>
      <c r="AM1492">
        <f ca="1"/>
      </c>
      <c r="AN1492">
        <f ca="1"/>
      </c>
      <c r="AO1492">
        <f ca="1"/>
      </c>
      <c r="AP1492">
        <f ca="1"/>
      </c>
      <c r="AQ1492">
        <f ca="1"/>
      </c>
      <c r="AR1492">
        <f ca="1"/>
      </c>
      <c r="AT1492" s="7">
        <f ca="1"/>
      </c>
      <c r="AU1492">
        <f ca="1"/>
      </c>
      <c r="AV1492">
        <f ca="1"/>
      </c>
      <c r="AW1492">
        <f ca="1"/>
      </c>
      <c r="AX1492">
        <f ca="1"/>
      </c>
      <c r="AY1492">
        <f ca="1"/>
      </c>
      <c r="BA1492" s="7"/>
    </row>
    <row r="1493" spans="31:53" x14ac:dyDescent="0.55000000000000004">
      <c r="AE1493" s="7">
        <f ca="1"/>
      </c>
      <c r="AF1493">
        <f ca="1"/>
      </c>
      <c r="AG1493">
        <f ca="1"/>
      </c>
      <c r="AH1493">
        <f ca="1"/>
      </c>
      <c r="AI1493">
        <f ca="1"/>
      </c>
      <c r="AJ1493">
        <f ca="1"/>
      </c>
      <c r="AK1493">
        <f ca="1"/>
      </c>
      <c r="AL1493">
        <f ca="1"/>
      </c>
      <c r="AM1493">
        <f ca="1"/>
      </c>
      <c r="AN1493">
        <f ca="1"/>
      </c>
      <c r="AO1493">
        <f ca="1"/>
      </c>
      <c r="AP1493">
        <f ca="1"/>
      </c>
      <c r="AQ1493">
        <f ca="1"/>
      </c>
      <c r="AR1493">
        <f ca="1"/>
      </c>
      <c r="AT1493" s="7">
        <f ca="1"/>
      </c>
      <c r="AU1493">
        <f ca="1"/>
      </c>
      <c r="AV1493">
        <f ca="1"/>
      </c>
      <c r="AW1493">
        <f ca="1"/>
      </c>
      <c r="AX1493">
        <f ca="1"/>
      </c>
      <c r="AY1493">
        <f ca="1"/>
      </c>
      <c r="BA1493" s="7"/>
    </row>
    <row r="1494" spans="31:53" x14ac:dyDescent="0.55000000000000004">
      <c r="AE1494" s="7">
        <f ca="1"/>
      </c>
      <c r="AF1494">
        <f ca="1"/>
      </c>
      <c r="AG1494">
        <f ca="1"/>
      </c>
      <c r="AH1494">
        <f ca="1"/>
      </c>
      <c r="AI1494">
        <f ca="1"/>
      </c>
      <c r="AJ1494">
        <f ca="1"/>
      </c>
      <c r="AK1494">
        <f ca="1"/>
      </c>
      <c r="AL1494">
        <f ca="1"/>
      </c>
      <c r="AM1494">
        <f ca="1"/>
      </c>
      <c r="AN1494">
        <f ca="1"/>
      </c>
      <c r="AO1494">
        <f ca="1"/>
      </c>
      <c r="AP1494">
        <f ca="1"/>
      </c>
      <c r="AQ1494">
        <f ca="1"/>
      </c>
      <c r="AR1494">
        <f ca="1"/>
      </c>
      <c r="AT1494" s="7">
        <f ca="1"/>
      </c>
      <c r="AU1494">
        <f ca="1"/>
      </c>
      <c r="AV1494">
        <f ca="1"/>
      </c>
      <c r="AW1494">
        <f ca="1"/>
      </c>
      <c r="AX1494">
        <f ca="1"/>
      </c>
      <c r="AY1494">
        <f ca="1"/>
      </c>
      <c r="BA1494" s="7"/>
    </row>
    <row r="1495" spans="31:53" x14ac:dyDescent="0.55000000000000004">
      <c r="AE1495" s="7">
        <f ca="1"/>
      </c>
      <c r="AF1495">
        <f ca="1"/>
      </c>
      <c r="AG1495">
        <f ca="1"/>
      </c>
      <c r="AH1495">
        <f ca="1"/>
      </c>
      <c r="AI1495">
        <f ca="1"/>
      </c>
      <c r="AJ1495">
        <f ca="1"/>
      </c>
      <c r="AK1495">
        <f ca="1"/>
      </c>
      <c r="AL1495">
        <f ca="1"/>
      </c>
      <c r="AM1495">
        <f ca="1"/>
      </c>
      <c r="AN1495">
        <f ca="1"/>
      </c>
      <c r="AO1495">
        <f ca="1"/>
      </c>
      <c r="AP1495">
        <f ca="1"/>
      </c>
      <c r="AQ1495">
        <f ca="1"/>
      </c>
      <c r="AR1495">
        <f ca="1"/>
      </c>
      <c r="AT1495" s="7">
        <f ca="1"/>
      </c>
      <c r="AU1495">
        <f ca="1"/>
      </c>
      <c r="AV1495">
        <f ca="1"/>
      </c>
      <c r="AW1495">
        <f ca="1"/>
      </c>
      <c r="AX1495">
        <f ca="1"/>
      </c>
      <c r="AY1495">
        <f ca="1"/>
      </c>
      <c r="BA1495" s="7"/>
    </row>
    <row r="1496" spans="31:53" x14ac:dyDescent="0.55000000000000004">
      <c r="AE1496" s="7">
        <f ca="1"/>
      </c>
      <c r="AF1496">
        <f ca="1"/>
      </c>
      <c r="AG1496">
        <f ca="1"/>
      </c>
      <c r="AH1496">
        <f ca="1"/>
      </c>
      <c r="AI1496">
        <f ca="1"/>
      </c>
      <c r="AJ1496">
        <f ca="1"/>
      </c>
      <c r="AK1496">
        <f ca="1"/>
      </c>
      <c r="AL1496">
        <f ca="1"/>
      </c>
      <c r="AM1496">
        <f ca="1"/>
      </c>
      <c r="AN1496">
        <f ca="1"/>
      </c>
      <c r="AO1496">
        <f ca="1"/>
      </c>
      <c r="AP1496">
        <f ca="1"/>
      </c>
      <c r="AQ1496">
        <f ca="1"/>
      </c>
      <c r="AR1496">
        <f ca="1"/>
      </c>
      <c r="AT1496" s="7">
        <f ca="1"/>
      </c>
      <c r="AU1496">
        <f ca="1"/>
      </c>
      <c r="AV1496">
        <f ca="1"/>
      </c>
      <c r="AW1496">
        <f ca="1"/>
      </c>
      <c r="AX1496">
        <f ca="1"/>
      </c>
      <c r="AY1496">
        <f ca="1"/>
      </c>
      <c r="BA1496" s="7"/>
    </row>
    <row r="1497" spans="31:53" x14ac:dyDescent="0.55000000000000004">
      <c r="AE1497" s="7">
        <f ca="1"/>
      </c>
      <c r="AF1497">
        <f ca="1"/>
      </c>
      <c r="AG1497">
        <f ca="1"/>
      </c>
      <c r="AH1497">
        <f ca="1"/>
      </c>
      <c r="AI1497">
        <f ca="1"/>
      </c>
      <c r="AJ1497">
        <f ca="1"/>
      </c>
      <c r="AK1497">
        <f ca="1"/>
      </c>
      <c r="AL1497">
        <f ca="1"/>
      </c>
      <c r="AM1497">
        <f ca="1"/>
      </c>
      <c r="AN1497">
        <f ca="1"/>
      </c>
      <c r="AO1497">
        <f ca="1"/>
      </c>
      <c r="AP1497">
        <f ca="1"/>
      </c>
      <c r="AQ1497">
        <f ca="1"/>
      </c>
      <c r="AR1497">
        <f ca="1"/>
      </c>
      <c r="AT1497" s="7">
        <f ca="1"/>
      </c>
      <c r="AU1497">
        <f ca="1"/>
      </c>
      <c r="AV1497">
        <f ca="1"/>
      </c>
      <c r="AW1497">
        <f ca="1"/>
      </c>
      <c r="AX1497">
        <f ca="1"/>
      </c>
      <c r="AY1497">
        <f ca="1"/>
      </c>
      <c r="BA1497" s="7"/>
    </row>
    <row r="1498" spans="31:53" x14ac:dyDescent="0.55000000000000004">
      <c r="AE1498" s="7">
        <f ca="1"/>
      </c>
      <c r="AF1498">
        <f ca="1"/>
      </c>
      <c r="AG1498">
        <f ca="1"/>
      </c>
      <c r="AH1498">
        <f ca="1"/>
      </c>
      <c r="AI1498">
        <f ca="1"/>
      </c>
      <c r="AJ1498">
        <f ca="1"/>
      </c>
      <c r="AK1498">
        <f ca="1"/>
      </c>
      <c r="AL1498">
        <f ca="1"/>
      </c>
      <c r="AM1498">
        <f ca="1"/>
      </c>
      <c r="AN1498">
        <f ca="1"/>
      </c>
      <c r="AO1498">
        <f ca="1"/>
      </c>
      <c r="AP1498">
        <f ca="1"/>
      </c>
      <c r="AQ1498">
        <f ca="1"/>
      </c>
      <c r="AR1498">
        <f ca="1"/>
      </c>
      <c r="AT1498" s="7">
        <f ca="1"/>
      </c>
      <c r="AU1498">
        <f ca="1"/>
      </c>
      <c r="AV1498">
        <f ca="1"/>
      </c>
      <c r="AW1498">
        <f ca="1"/>
      </c>
      <c r="AX1498">
        <f ca="1"/>
      </c>
      <c r="AY1498">
        <f ca="1"/>
      </c>
      <c r="BA1498" s="7"/>
    </row>
    <row r="1499" spans="31:53" x14ac:dyDescent="0.55000000000000004">
      <c r="AE1499" s="7">
        <f ca="1"/>
      </c>
      <c r="AF1499">
        <f ca="1"/>
      </c>
      <c r="AG1499">
        <f ca="1"/>
      </c>
      <c r="AH1499">
        <f ca="1"/>
      </c>
      <c r="AI1499">
        <f ca="1"/>
      </c>
      <c r="AJ1499">
        <f ca="1"/>
      </c>
      <c r="AK1499">
        <f ca="1"/>
      </c>
      <c r="AL1499">
        <f ca="1"/>
      </c>
      <c r="AM1499">
        <f ca="1"/>
      </c>
      <c r="AN1499">
        <f ca="1"/>
      </c>
      <c r="AO1499">
        <f ca="1"/>
      </c>
      <c r="AP1499">
        <f ca="1"/>
      </c>
      <c r="AQ1499">
        <f ca="1"/>
      </c>
      <c r="AR1499">
        <f ca="1"/>
      </c>
      <c r="AT1499" s="7">
        <f ca="1"/>
      </c>
      <c r="AU1499">
        <f ca="1"/>
      </c>
      <c r="AV1499">
        <f ca="1"/>
      </c>
      <c r="AW1499">
        <f ca="1"/>
      </c>
      <c r="AX1499">
        <f ca="1"/>
      </c>
      <c r="AY1499">
        <f ca="1"/>
      </c>
      <c r="BA1499" s="7"/>
    </row>
    <row r="1500" spans="31:53" x14ac:dyDescent="0.55000000000000004">
      <c r="AE1500" s="7">
        <f ca="1"/>
      </c>
      <c r="AF1500">
        <f ca="1"/>
      </c>
      <c r="AG1500">
        <f ca="1"/>
      </c>
      <c r="AH1500">
        <f ca="1"/>
      </c>
      <c r="AI1500">
        <f ca="1"/>
      </c>
      <c r="AJ1500">
        <f ca="1"/>
      </c>
      <c r="AK1500">
        <f ca="1"/>
      </c>
      <c r="AL1500">
        <f ca="1"/>
      </c>
      <c r="AM1500">
        <f ca="1"/>
      </c>
      <c r="AN1500">
        <f ca="1"/>
      </c>
      <c r="AO1500">
        <f ca="1"/>
      </c>
      <c r="AP1500">
        <f ca="1"/>
      </c>
      <c r="AQ1500">
        <f ca="1"/>
      </c>
      <c r="AR1500">
        <f ca="1"/>
      </c>
      <c r="AT1500" s="7">
        <f ca="1"/>
      </c>
      <c r="AU1500">
        <f ca="1"/>
      </c>
      <c r="AV1500">
        <f ca="1"/>
      </c>
      <c r="AW1500">
        <f ca="1"/>
      </c>
      <c r="AX1500">
        <f ca="1"/>
      </c>
      <c r="AY1500">
        <f ca="1"/>
      </c>
      <c r="BA1500" s="7"/>
    </row>
    <row r="1501" spans="31:53" x14ac:dyDescent="0.55000000000000004">
      <c r="AE1501" s="7">
        <f ca="1"/>
      </c>
      <c r="AF1501">
        <f ca="1"/>
      </c>
      <c r="AG1501">
        <f ca="1"/>
      </c>
      <c r="AH1501">
        <f ca="1"/>
      </c>
      <c r="AI1501">
        <f ca="1"/>
      </c>
      <c r="AJ1501">
        <f ca="1"/>
      </c>
      <c r="AK1501">
        <f ca="1"/>
      </c>
      <c r="AL1501">
        <f ca="1"/>
      </c>
      <c r="AM1501">
        <f ca="1"/>
      </c>
      <c r="AN1501">
        <f ca="1"/>
      </c>
      <c r="AO1501">
        <f ca="1"/>
      </c>
      <c r="AP1501">
        <f ca="1"/>
      </c>
      <c r="AQ1501">
        <f ca="1"/>
      </c>
      <c r="AR1501">
        <f ca="1"/>
      </c>
      <c r="AT1501" s="7">
        <f ca="1"/>
      </c>
      <c r="AU1501">
        <f ca="1"/>
      </c>
      <c r="AV1501">
        <f ca="1"/>
      </c>
      <c r="AW1501">
        <f ca="1"/>
      </c>
      <c r="AX1501">
        <f ca="1"/>
      </c>
      <c r="AY1501">
        <f ca="1"/>
      </c>
      <c r="BA1501" s="7"/>
    </row>
    <row r="1502" spans="31:53" x14ac:dyDescent="0.55000000000000004">
      <c r="AE1502" s="7">
        <f ca="1"/>
      </c>
      <c r="AF1502">
        <f ca="1"/>
      </c>
      <c r="AG1502">
        <f ca="1"/>
      </c>
      <c r="AH1502">
        <f ca="1"/>
      </c>
      <c r="AI1502">
        <f ca="1"/>
      </c>
      <c r="AJ1502">
        <f ca="1"/>
      </c>
      <c r="AK1502">
        <f ca="1"/>
      </c>
      <c r="AL1502">
        <f ca="1"/>
      </c>
      <c r="AM1502">
        <f ca="1"/>
      </c>
      <c r="AN1502">
        <f ca="1"/>
      </c>
      <c r="AO1502">
        <f ca="1"/>
      </c>
      <c r="AP1502">
        <f ca="1"/>
      </c>
      <c r="AQ1502">
        <f ca="1"/>
      </c>
      <c r="AR1502">
        <f ca="1"/>
      </c>
      <c r="AT1502" s="7">
        <f ca="1"/>
      </c>
      <c r="AU1502">
        <f ca="1"/>
      </c>
      <c r="AV1502">
        <f ca="1"/>
      </c>
      <c r="AW1502">
        <f ca="1"/>
      </c>
      <c r="AX1502">
        <f ca="1"/>
      </c>
      <c r="AY1502">
        <f ca="1"/>
      </c>
      <c r="BA1502" s="7"/>
    </row>
    <row r="1503" spans="31:53" x14ac:dyDescent="0.55000000000000004">
      <c r="AE1503" s="7">
        <f ca="1"/>
      </c>
      <c r="AF1503">
        <f ca="1"/>
      </c>
      <c r="AG1503">
        <f ca="1"/>
      </c>
      <c r="AH1503">
        <f ca="1"/>
      </c>
      <c r="AI1503">
        <f ca="1"/>
      </c>
      <c r="AJ1503">
        <f ca="1"/>
      </c>
      <c r="AK1503">
        <f ca="1"/>
      </c>
      <c r="AL1503">
        <f ca="1"/>
      </c>
      <c r="AM1503">
        <f ca="1"/>
      </c>
      <c r="AN1503">
        <f ca="1"/>
      </c>
      <c r="AO1503">
        <f ca="1"/>
      </c>
      <c r="AP1503">
        <f ca="1"/>
      </c>
      <c r="AQ1503">
        <f ca="1"/>
      </c>
      <c r="AR1503">
        <f ca="1"/>
      </c>
      <c r="AT1503" s="7">
        <f ca="1"/>
      </c>
      <c r="AU1503">
        <f ca="1"/>
      </c>
      <c r="AV1503">
        <f ca="1"/>
      </c>
      <c r="AW1503">
        <f ca="1"/>
      </c>
      <c r="AX1503">
        <f ca="1"/>
      </c>
      <c r="AY1503">
        <f ca="1"/>
      </c>
      <c r="BA1503" s="7"/>
    </row>
    <row r="1504" spans="31:53" x14ac:dyDescent="0.55000000000000004">
      <c r="AE1504" s="7">
        <f ca="1"/>
      </c>
      <c r="AF1504">
        <f ca="1"/>
      </c>
      <c r="AG1504">
        <f ca="1"/>
      </c>
      <c r="AH1504">
        <f ca="1"/>
      </c>
      <c r="AI1504">
        <f ca="1"/>
      </c>
      <c r="AJ1504">
        <f ca="1"/>
      </c>
      <c r="AK1504">
        <f ca="1"/>
      </c>
      <c r="AL1504">
        <f ca="1"/>
      </c>
      <c r="AM1504">
        <f ca="1"/>
      </c>
      <c r="AN1504">
        <f ca="1"/>
      </c>
      <c r="AO1504">
        <f ca="1"/>
      </c>
      <c r="AP1504">
        <f ca="1"/>
      </c>
      <c r="AQ1504">
        <f ca="1"/>
      </c>
      <c r="AR1504">
        <f ca="1"/>
      </c>
      <c r="AT1504" s="7">
        <f ca="1"/>
      </c>
      <c r="AU1504">
        <f ca="1"/>
      </c>
      <c r="AV1504">
        <f ca="1"/>
      </c>
      <c r="AW1504">
        <f ca="1"/>
      </c>
      <c r="AX1504">
        <f ca="1"/>
      </c>
      <c r="AY1504">
        <f ca="1"/>
      </c>
      <c r="BA1504" s="7"/>
    </row>
    <row r="1505" spans="31:53" x14ac:dyDescent="0.55000000000000004">
      <c r="AE1505" s="7">
        <f ca="1"/>
      </c>
      <c r="AF1505">
        <f ca="1"/>
      </c>
      <c r="AG1505">
        <f ca="1"/>
      </c>
      <c r="AH1505">
        <f ca="1"/>
      </c>
      <c r="AI1505">
        <f ca="1"/>
      </c>
      <c r="AJ1505">
        <f ca="1"/>
      </c>
      <c r="AK1505">
        <f ca="1"/>
      </c>
      <c r="AL1505">
        <f ca="1"/>
      </c>
      <c r="AM1505">
        <f ca="1"/>
      </c>
      <c r="AN1505">
        <f ca="1"/>
      </c>
      <c r="AO1505">
        <f ca="1"/>
      </c>
      <c r="AP1505">
        <f ca="1"/>
      </c>
      <c r="AQ1505">
        <f ca="1"/>
      </c>
      <c r="AR1505">
        <f ca="1"/>
      </c>
      <c r="AT1505" s="7">
        <f ca="1"/>
      </c>
      <c r="AU1505">
        <f ca="1"/>
      </c>
      <c r="AV1505">
        <f ca="1"/>
      </c>
      <c r="AW1505">
        <f ca="1"/>
      </c>
      <c r="AX1505">
        <f ca="1"/>
      </c>
      <c r="AY1505">
        <f ca="1"/>
      </c>
      <c r="BA1505" s="7"/>
    </row>
    <row r="1506" spans="31:53" x14ac:dyDescent="0.55000000000000004">
      <c r="AE1506" s="7">
        <f ca="1"/>
      </c>
      <c r="AF1506">
        <f ca="1"/>
      </c>
      <c r="AG1506">
        <f ca="1"/>
      </c>
      <c r="AH1506">
        <f ca="1"/>
      </c>
      <c r="AI1506">
        <f ca="1"/>
      </c>
      <c r="AJ1506">
        <f ca="1"/>
      </c>
      <c r="AK1506">
        <f ca="1"/>
      </c>
      <c r="AL1506">
        <f ca="1"/>
      </c>
      <c r="AM1506">
        <f ca="1"/>
      </c>
      <c r="AN1506">
        <f ca="1"/>
      </c>
      <c r="AO1506">
        <f ca="1"/>
      </c>
      <c r="AP1506">
        <f ca="1"/>
      </c>
      <c r="AQ1506">
        <f ca="1"/>
      </c>
      <c r="AR1506">
        <f ca="1"/>
      </c>
      <c r="AT1506" s="7">
        <f ca="1"/>
      </c>
      <c r="AU1506">
        <f ca="1"/>
      </c>
      <c r="AV1506">
        <f ca="1"/>
      </c>
      <c r="AW1506">
        <f ca="1"/>
      </c>
      <c r="AX1506">
        <f ca="1"/>
      </c>
      <c r="AY1506">
        <f ca="1"/>
      </c>
      <c r="BA1506" s="7"/>
    </row>
    <row r="1507" spans="31:53" x14ac:dyDescent="0.55000000000000004">
      <c r="AE1507" s="7">
        <f ca="1"/>
      </c>
      <c r="AF1507">
        <f ca="1"/>
      </c>
      <c r="AG1507">
        <f ca="1"/>
      </c>
      <c r="AH1507">
        <f ca="1"/>
      </c>
      <c r="AI1507">
        <f ca="1"/>
      </c>
      <c r="AJ1507">
        <f ca="1"/>
      </c>
      <c r="AK1507">
        <f ca="1"/>
      </c>
      <c r="AL1507">
        <f ca="1"/>
      </c>
      <c r="AM1507">
        <f ca="1"/>
      </c>
      <c r="AN1507">
        <f ca="1"/>
      </c>
      <c r="AO1507">
        <f ca="1"/>
      </c>
      <c r="AP1507">
        <f ca="1"/>
      </c>
      <c r="AQ1507">
        <f ca="1"/>
      </c>
      <c r="AR1507">
        <f ca="1"/>
      </c>
      <c r="AT1507" s="7">
        <f ca="1"/>
      </c>
      <c r="AU1507">
        <f ca="1"/>
      </c>
      <c r="AV1507">
        <f ca="1"/>
      </c>
      <c r="AW1507">
        <f ca="1"/>
      </c>
      <c r="AX1507">
        <f ca="1"/>
      </c>
      <c r="AY1507">
        <f ca="1"/>
      </c>
      <c r="BA1507" s="7"/>
    </row>
    <row r="1508" spans="31:53" x14ac:dyDescent="0.55000000000000004">
      <c r="AE1508" s="7">
        <f ca="1"/>
      </c>
      <c r="AF1508">
        <f ca="1"/>
      </c>
      <c r="AG1508">
        <f ca="1"/>
      </c>
      <c r="AH1508">
        <f ca="1"/>
      </c>
      <c r="AI1508">
        <f ca="1"/>
      </c>
      <c r="AJ1508">
        <f ca="1"/>
      </c>
      <c r="AK1508">
        <f ca="1"/>
      </c>
      <c r="AL1508">
        <f ca="1"/>
      </c>
      <c r="AM1508">
        <f ca="1"/>
      </c>
      <c r="AN1508">
        <f ca="1"/>
      </c>
      <c r="AO1508">
        <f ca="1"/>
      </c>
      <c r="AP1508">
        <f ca="1"/>
      </c>
      <c r="AQ1508">
        <f ca="1"/>
      </c>
      <c r="AR1508">
        <f ca="1"/>
      </c>
      <c r="AT1508" s="7">
        <f ca="1"/>
      </c>
      <c r="AU1508">
        <f ca="1"/>
      </c>
      <c r="AV1508">
        <f ca="1"/>
      </c>
      <c r="AW1508">
        <f ca="1"/>
      </c>
      <c r="AX1508">
        <f ca="1"/>
      </c>
      <c r="AY1508">
        <f ca="1"/>
      </c>
      <c r="BA1508" s="7"/>
    </row>
    <row r="1509" spans="31:53" x14ac:dyDescent="0.55000000000000004">
      <c r="AE1509" s="7">
        <f ca="1"/>
      </c>
      <c r="AF1509">
        <f ca="1"/>
      </c>
      <c r="AG1509">
        <f ca="1"/>
      </c>
      <c r="AH1509">
        <f ca="1"/>
      </c>
      <c r="AI1509">
        <f ca="1"/>
      </c>
      <c r="AJ1509">
        <f ca="1"/>
      </c>
      <c r="AK1509">
        <f ca="1"/>
      </c>
      <c r="AL1509">
        <f ca="1"/>
      </c>
      <c r="AM1509">
        <f ca="1"/>
      </c>
      <c r="AN1509">
        <f ca="1"/>
      </c>
      <c r="AO1509">
        <f ca="1"/>
      </c>
      <c r="AP1509">
        <f ca="1"/>
      </c>
      <c r="AQ1509">
        <f ca="1"/>
      </c>
      <c r="AR1509">
        <f ca="1"/>
      </c>
      <c r="AT1509" s="7">
        <f ca="1"/>
      </c>
      <c r="AU1509">
        <f ca="1"/>
      </c>
      <c r="AV1509">
        <f ca="1"/>
      </c>
      <c r="AW1509">
        <f ca="1"/>
      </c>
      <c r="AX1509">
        <f ca="1"/>
      </c>
      <c r="AY1509">
        <f ca="1"/>
      </c>
      <c r="BA1509" s="7"/>
    </row>
    <row r="1510" spans="31:53" x14ac:dyDescent="0.55000000000000004">
      <c r="AE1510" s="7">
        <f ca="1"/>
      </c>
      <c r="AF1510">
        <f ca="1"/>
      </c>
      <c r="AG1510">
        <f ca="1"/>
      </c>
      <c r="AH1510">
        <f ca="1"/>
      </c>
      <c r="AI1510">
        <f ca="1"/>
      </c>
      <c r="AJ1510">
        <f ca="1"/>
      </c>
      <c r="AK1510">
        <f ca="1"/>
      </c>
      <c r="AL1510">
        <f ca="1"/>
      </c>
      <c r="AM1510">
        <f ca="1"/>
      </c>
      <c r="AN1510">
        <f ca="1"/>
      </c>
      <c r="AO1510">
        <f ca="1"/>
      </c>
      <c r="AP1510">
        <f ca="1"/>
      </c>
      <c r="AQ1510">
        <f ca="1"/>
      </c>
      <c r="AR1510">
        <f ca="1"/>
      </c>
      <c r="AT1510" s="7">
        <f ca="1"/>
      </c>
      <c r="AU1510">
        <f ca="1"/>
      </c>
      <c r="AV1510">
        <f ca="1"/>
      </c>
      <c r="AW1510">
        <f ca="1"/>
      </c>
      <c r="AX1510">
        <f ca="1"/>
      </c>
      <c r="AY1510">
        <f ca="1"/>
      </c>
      <c r="BA1510" s="7"/>
    </row>
    <row r="1511" spans="31:53" x14ac:dyDescent="0.55000000000000004">
      <c r="AE1511" s="7">
        <f ca="1"/>
      </c>
      <c r="AF1511">
        <f ca="1"/>
      </c>
      <c r="AG1511">
        <f ca="1"/>
      </c>
      <c r="AH1511">
        <f ca="1"/>
      </c>
      <c r="AI1511">
        <f ca="1"/>
      </c>
      <c r="AJ1511">
        <f ca="1"/>
      </c>
      <c r="AK1511">
        <f ca="1"/>
      </c>
      <c r="AL1511">
        <f ca="1"/>
      </c>
      <c r="AM1511">
        <f ca="1"/>
      </c>
      <c r="AN1511">
        <f ca="1"/>
      </c>
      <c r="AO1511">
        <f ca="1"/>
      </c>
      <c r="AP1511">
        <f ca="1"/>
      </c>
      <c r="AQ1511">
        <f ca="1"/>
      </c>
      <c r="AR1511">
        <f ca="1"/>
      </c>
      <c r="AT1511" s="7">
        <f ca="1"/>
      </c>
      <c r="AU1511">
        <f ca="1"/>
      </c>
      <c r="AV1511">
        <f ca="1"/>
      </c>
      <c r="AW1511">
        <f ca="1"/>
      </c>
      <c r="AX1511">
        <f ca="1"/>
      </c>
      <c r="AY1511">
        <f ca="1"/>
      </c>
      <c r="BA1511" s="7"/>
    </row>
    <row r="1512" spans="31:53" x14ac:dyDescent="0.55000000000000004">
      <c r="AE1512" s="7">
        <f ca="1"/>
      </c>
      <c r="AF1512">
        <f ca="1"/>
      </c>
      <c r="AG1512">
        <f ca="1"/>
      </c>
      <c r="AH1512">
        <f ca="1"/>
      </c>
      <c r="AI1512">
        <f ca="1"/>
      </c>
      <c r="AJ1512">
        <f ca="1"/>
      </c>
      <c r="AK1512">
        <f ca="1"/>
      </c>
      <c r="AL1512">
        <f ca="1"/>
      </c>
      <c r="AM1512">
        <f ca="1"/>
      </c>
      <c r="AN1512">
        <f ca="1"/>
      </c>
      <c r="AO1512">
        <f ca="1"/>
      </c>
      <c r="AP1512">
        <f ca="1"/>
      </c>
      <c r="AQ1512">
        <f ca="1"/>
      </c>
      <c r="AR1512">
        <f ca="1"/>
      </c>
      <c r="AT1512" s="7">
        <f ca="1"/>
      </c>
      <c r="AU1512">
        <f ca="1"/>
      </c>
      <c r="AV1512">
        <f ca="1"/>
      </c>
      <c r="AW1512">
        <f ca="1"/>
      </c>
      <c r="AX1512">
        <f ca="1"/>
      </c>
      <c r="AY1512">
        <f ca="1"/>
      </c>
      <c r="BA1512" s="7"/>
    </row>
    <row r="1513" spans="31:53" x14ac:dyDescent="0.55000000000000004">
      <c r="AE1513" s="7">
        <f ca="1"/>
      </c>
      <c r="AF1513">
        <f ca="1"/>
      </c>
      <c r="AG1513">
        <f ca="1"/>
      </c>
      <c r="AH1513">
        <f ca="1"/>
      </c>
      <c r="AI1513">
        <f ca="1"/>
      </c>
      <c r="AJ1513">
        <f ca="1"/>
      </c>
      <c r="AK1513">
        <f ca="1"/>
      </c>
      <c r="AL1513">
        <f ca="1"/>
      </c>
      <c r="AM1513">
        <f ca="1"/>
      </c>
      <c r="AN1513">
        <f ca="1"/>
      </c>
      <c r="AO1513">
        <f ca="1"/>
      </c>
      <c r="AP1513">
        <f ca="1"/>
      </c>
      <c r="AQ1513">
        <f ca="1"/>
      </c>
      <c r="AR1513">
        <f ca="1"/>
      </c>
      <c r="AT1513" s="7">
        <f ca="1"/>
      </c>
      <c r="AU1513">
        <f ca="1"/>
      </c>
      <c r="AV1513">
        <f ca="1"/>
      </c>
      <c r="AW1513">
        <f ca="1"/>
      </c>
      <c r="AX1513">
        <f ca="1"/>
      </c>
      <c r="AY1513">
        <f ca="1"/>
      </c>
      <c r="BA1513" s="7"/>
    </row>
    <row r="1514" spans="31:53" x14ac:dyDescent="0.55000000000000004">
      <c r="AE1514" s="7">
        <f ca="1"/>
      </c>
      <c r="AF1514">
        <f ca="1"/>
      </c>
      <c r="AG1514">
        <f ca="1"/>
      </c>
      <c r="AH1514">
        <f ca="1"/>
      </c>
      <c r="AI1514">
        <f ca="1"/>
      </c>
      <c r="AJ1514">
        <f ca="1"/>
      </c>
      <c r="AK1514">
        <f ca="1"/>
      </c>
      <c r="AL1514">
        <f ca="1"/>
      </c>
      <c r="AM1514">
        <f ca="1"/>
      </c>
      <c r="AN1514">
        <f ca="1"/>
      </c>
      <c r="AO1514">
        <f ca="1"/>
      </c>
      <c r="AP1514">
        <f ca="1"/>
      </c>
      <c r="AQ1514">
        <f ca="1"/>
      </c>
      <c r="AR1514">
        <f ca="1"/>
      </c>
      <c r="AT1514" s="7">
        <f ca="1"/>
      </c>
      <c r="AU1514">
        <f ca="1"/>
      </c>
      <c r="AV1514">
        <f ca="1"/>
      </c>
      <c r="AW1514">
        <f ca="1"/>
      </c>
      <c r="AX1514">
        <f ca="1"/>
      </c>
      <c r="AY1514">
        <f ca="1"/>
      </c>
      <c r="BA1514" s="7"/>
    </row>
    <row r="1515" spans="31:53" x14ac:dyDescent="0.55000000000000004">
      <c r="AE1515" s="7">
        <f ca="1"/>
      </c>
      <c r="AF1515">
        <f ca="1"/>
      </c>
      <c r="AG1515">
        <f ca="1"/>
      </c>
      <c r="AH1515">
        <f ca="1"/>
      </c>
      <c r="AI1515">
        <f ca="1"/>
      </c>
      <c r="AJ1515">
        <f ca="1"/>
      </c>
      <c r="AK1515">
        <f ca="1"/>
      </c>
      <c r="AL1515">
        <f ca="1"/>
      </c>
      <c r="AM1515">
        <f ca="1"/>
      </c>
      <c r="AN1515">
        <f ca="1"/>
      </c>
      <c r="AO1515">
        <f ca="1"/>
      </c>
      <c r="AP1515">
        <f ca="1"/>
      </c>
      <c r="AQ1515">
        <f ca="1"/>
      </c>
      <c r="AR1515">
        <f ca="1"/>
      </c>
      <c r="AT1515" s="7">
        <f ca="1"/>
      </c>
      <c r="AU1515">
        <f ca="1"/>
      </c>
      <c r="AV1515">
        <f ca="1"/>
      </c>
      <c r="AW1515">
        <f ca="1"/>
      </c>
      <c r="AX1515">
        <f ca="1"/>
      </c>
      <c r="AY1515">
        <f ca="1"/>
      </c>
      <c r="BA1515" s="7"/>
    </row>
    <row r="1516" spans="31:53" x14ac:dyDescent="0.55000000000000004">
      <c r="AE1516" s="7">
        <f ca="1"/>
      </c>
      <c r="AF1516">
        <f ca="1"/>
      </c>
      <c r="AG1516">
        <f ca="1"/>
      </c>
      <c r="AH1516">
        <f ca="1"/>
      </c>
      <c r="AI1516">
        <f ca="1"/>
      </c>
      <c r="AJ1516">
        <f ca="1"/>
      </c>
      <c r="AK1516">
        <f ca="1"/>
      </c>
      <c r="AL1516">
        <f ca="1"/>
      </c>
      <c r="AM1516">
        <f ca="1"/>
      </c>
      <c r="AN1516">
        <f ca="1"/>
      </c>
      <c r="AO1516">
        <f ca="1"/>
      </c>
      <c r="AP1516">
        <f ca="1"/>
      </c>
      <c r="AQ1516">
        <f ca="1"/>
      </c>
      <c r="AR1516">
        <f ca="1"/>
      </c>
      <c r="AT1516" s="7">
        <f ca="1"/>
      </c>
      <c r="AU1516">
        <f ca="1"/>
      </c>
      <c r="AV1516">
        <f ca="1"/>
      </c>
      <c r="AW1516">
        <f ca="1"/>
      </c>
      <c r="AX1516">
        <f ca="1"/>
      </c>
      <c r="AY1516">
        <f ca="1"/>
      </c>
      <c r="BA1516" s="7"/>
    </row>
    <row r="1517" spans="31:53" x14ac:dyDescent="0.55000000000000004">
      <c r="AE1517" s="7">
        <f ca="1"/>
      </c>
      <c r="AF1517">
        <f ca="1"/>
      </c>
      <c r="AG1517">
        <f ca="1"/>
      </c>
      <c r="AH1517">
        <f ca="1"/>
      </c>
      <c r="AI1517">
        <f ca="1"/>
      </c>
      <c r="AJ1517">
        <f ca="1"/>
      </c>
      <c r="AK1517">
        <f ca="1"/>
      </c>
      <c r="AL1517">
        <f ca="1"/>
      </c>
      <c r="AM1517">
        <f ca="1"/>
      </c>
      <c r="AN1517">
        <f ca="1"/>
      </c>
      <c r="AO1517">
        <f ca="1"/>
      </c>
      <c r="AP1517">
        <f ca="1"/>
      </c>
      <c r="AQ1517">
        <f ca="1"/>
      </c>
      <c r="AR1517">
        <f ca="1"/>
      </c>
      <c r="AT1517" s="7">
        <f ca="1"/>
      </c>
      <c r="AU1517">
        <f ca="1"/>
      </c>
      <c r="AV1517">
        <f ca="1"/>
      </c>
      <c r="AW1517">
        <f ca="1"/>
      </c>
      <c r="AX1517">
        <f ca="1"/>
      </c>
      <c r="AY1517">
        <f ca="1"/>
      </c>
      <c r="BA1517" s="7"/>
    </row>
    <row r="1518" spans="31:53" x14ac:dyDescent="0.55000000000000004">
      <c r="AE1518" s="7">
        <f ca="1"/>
      </c>
      <c r="AF1518">
        <f ca="1"/>
      </c>
      <c r="AG1518">
        <f ca="1"/>
      </c>
      <c r="AH1518">
        <f ca="1"/>
      </c>
      <c r="AI1518">
        <f ca="1"/>
      </c>
      <c r="AJ1518">
        <f ca="1"/>
      </c>
      <c r="AK1518">
        <f ca="1"/>
      </c>
      <c r="AL1518">
        <f ca="1"/>
      </c>
      <c r="AM1518">
        <f ca="1"/>
      </c>
      <c r="AN1518">
        <f ca="1"/>
      </c>
      <c r="AO1518">
        <f ca="1"/>
      </c>
      <c r="AP1518">
        <f ca="1"/>
      </c>
      <c r="AQ1518">
        <f ca="1"/>
      </c>
      <c r="AR1518">
        <f ca="1"/>
      </c>
      <c r="AT1518" s="7">
        <f ca="1"/>
      </c>
      <c r="AU1518">
        <f ca="1"/>
      </c>
      <c r="AV1518">
        <f ca="1"/>
      </c>
      <c r="AW1518">
        <f ca="1"/>
      </c>
      <c r="AX1518">
        <f ca="1"/>
      </c>
      <c r="AY1518">
        <f ca="1"/>
      </c>
      <c r="BA1518" s="7"/>
    </row>
    <row r="1519" spans="31:53" x14ac:dyDescent="0.55000000000000004">
      <c r="AE1519" s="7">
        <f ca="1"/>
      </c>
      <c r="AF1519">
        <f ca="1"/>
      </c>
      <c r="AG1519">
        <f ca="1"/>
      </c>
      <c r="AH1519">
        <f ca="1"/>
      </c>
      <c r="AI1519">
        <f ca="1"/>
      </c>
      <c r="AJ1519">
        <f ca="1"/>
      </c>
      <c r="AK1519">
        <f ca="1"/>
      </c>
      <c r="AL1519">
        <f ca="1"/>
      </c>
      <c r="AM1519">
        <f ca="1"/>
      </c>
      <c r="AN1519">
        <f ca="1"/>
      </c>
      <c r="AO1519">
        <f ca="1"/>
      </c>
      <c r="AP1519">
        <f ca="1"/>
      </c>
      <c r="AQ1519">
        <f ca="1"/>
      </c>
      <c r="AR1519">
        <f ca="1"/>
      </c>
      <c r="AT1519" s="7">
        <f ca="1"/>
      </c>
      <c r="AU1519">
        <f ca="1"/>
      </c>
      <c r="AV1519">
        <f ca="1"/>
      </c>
      <c r="AW1519">
        <f ca="1"/>
      </c>
      <c r="AX1519">
        <f ca="1"/>
      </c>
      <c r="AY1519">
        <f ca="1"/>
      </c>
      <c r="BA1519" s="7"/>
    </row>
    <row r="1520" spans="31:53" x14ac:dyDescent="0.55000000000000004">
      <c r="AE1520" s="7">
        <f ca="1"/>
      </c>
      <c r="AF1520">
        <f ca="1"/>
      </c>
      <c r="AG1520">
        <f ca="1"/>
      </c>
      <c r="AH1520">
        <f ca="1"/>
      </c>
      <c r="AI1520">
        <f ca="1"/>
      </c>
      <c r="AJ1520">
        <f ca="1"/>
      </c>
      <c r="AK1520">
        <f ca="1"/>
      </c>
      <c r="AL1520">
        <f ca="1"/>
      </c>
      <c r="AM1520">
        <f ca="1"/>
      </c>
      <c r="AN1520">
        <f ca="1"/>
      </c>
      <c r="AO1520">
        <f ca="1"/>
      </c>
      <c r="AP1520">
        <f ca="1"/>
      </c>
      <c r="AQ1520">
        <f ca="1"/>
      </c>
      <c r="AR1520">
        <f ca="1"/>
      </c>
      <c r="AT1520" s="7">
        <f ca="1"/>
      </c>
      <c r="AU1520">
        <f ca="1"/>
      </c>
      <c r="AV1520">
        <f ca="1"/>
      </c>
      <c r="AW1520">
        <f ca="1"/>
      </c>
      <c r="AX1520">
        <f ca="1"/>
      </c>
      <c r="AY1520">
        <f ca="1"/>
      </c>
      <c r="BA1520" s="7"/>
    </row>
    <row r="1521" spans="31:53" x14ac:dyDescent="0.55000000000000004">
      <c r="AE1521" s="7">
        <f ca="1"/>
      </c>
      <c r="AF1521">
        <f ca="1"/>
      </c>
      <c r="AG1521">
        <f ca="1"/>
      </c>
      <c r="AH1521">
        <f ca="1"/>
      </c>
      <c r="AI1521">
        <f ca="1"/>
      </c>
      <c r="AJ1521">
        <f ca="1"/>
      </c>
      <c r="AK1521">
        <f ca="1"/>
      </c>
      <c r="AL1521">
        <f ca="1"/>
      </c>
      <c r="AM1521">
        <f ca="1"/>
      </c>
      <c r="AN1521">
        <f ca="1"/>
      </c>
      <c r="AO1521">
        <f ca="1"/>
      </c>
      <c r="AP1521">
        <f ca="1"/>
      </c>
      <c r="AQ1521">
        <f ca="1"/>
      </c>
      <c r="AR1521">
        <f ca="1"/>
      </c>
      <c r="AT1521" s="7">
        <f ca="1"/>
      </c>
      <c r="AU1521">
        <f ca="1"/>
      </c>
      <c r="AV1521">
        <f ca="1"/>
      </c>
      <c r="AW1521">
        <f ca="1"/>
      </c>
      <c r="AX1521">
        <f ca="1"/>
      </c>
      <c r="AY1521">
        <f ca="1"/>
      </c>
      <c r="BA1521" s="7"/>
    </row>
    <row r="1522" spans="31:53" x14ac:dyDescent="0.55000000000000004">
      <c r="AE1522" s="7">
        <f ca="1"/>
      </c>
      <c r="AF1522">
        <f ca="1"/>
      </c>
      <c r="AG1522">
        <f ca="1"/>
      </c>
      <c r="AH1522">
        <f ca="1"/>
      </c>
      <c r="AI1522">
        <f ca="1"/>
      </c>
      <c r="AJ1522">
        <f ca="1"/>
      </c>
      <c r="AK1522">
        <f ca="1"/>
      </c>
      <c r="AL1522">
        <f ca="1"/>
      </c>
      <c r="AM1522">
        <f ca="1"/>
      </c>
      <c r="AN1522">
        <f ca="1"/>
      </c>
      <c r="AO1522">
        <f ca="1"/>
      </c>
      <c r="AP1522">
        <f ca="1"/>
      </c>
      <c r="AQ1522">
        <f ca="1"/>
      </c>
      <c r="AR1522">
        <f ca="1"/>
      </c>
      <c r="AT1522" s="7">
        <f ca="1"/>
      </c>
      <c r="AU1522">
        <f ca="1"/>
      </c>
      <c r="AV1522">
        <f ca="1"/>
      </c>
      <c r="AW1522">
        <f ca="1"/>
      </c>
      <c r="AX1522">
        <f ca="1"/>
      </c>
      <c r="AY1522">
        <f ca="1"/>
      </c>
      <c r="BA1522" s="7"/>
    </row>
    <row r="1523" spans="31:53" x14ac:dyDescent="0.55000000000000004">
      <c r="AE1523" s="7">
        <f ca="1"/>
      </c>
      <c r="AF1523">
        <f ca="1"/>
      </c>
      <c r="AG1523">
        <f ca="1"/>
      </c>
      <c r="AH1523">
        <f ca="1"/>
      </c>
      <c r="AI1523">
        <f ca="1"/>
      </c>
      <c r="AJ1523">
        <f ca="1"/>
      </c>
      <c r="AK1523">
        <f ca="1"/>
      </c>
      <c r="AL1523">
        <f ca="1"/>
      </c>
      <c r="AM1523">
        <f ca="1"/>
      </c>
      <c r="AN1523">
        <f ca="1"/>
      </c>
      <c r="AO1523">
        <f ca="1"/>
      </c>
      <c r="AP1523">
        <f ca="1"/>
      </c>
      <c r="AQ1523">
        <f ca="1"/>
      </c>
      <c r="AR1523">
        <f ca="1"/>
      </c>
      <c r="AT1523" s="7">
        <f ca="1"/>
      </c>
      <c r="AU1523">
        <f ca="1"/>
      </c>
      <c r="AV1523">
        <f ca="1"/>
      </c>
      <c r="AW1523">
        <f ca="1"/>
      </c>
      <c r="AX1523">
        <f ca="1"/>
      </c>
      <c r="AY1523">
        <f ca="1"/>
      </c>
      <c r="BA1523" s="7"/>
    </row>
    <row r="1524" spans="31:53" x14ac:dyDescent="0.55000000000000004">
      <c r="AE1524" s="7">
        <f ca="1"/>
      </c>
      <c r="AF1524">
        <f ca="1"/>
      </c>
      <c r="AG1524">
        <f ca="1"/>
      </c>
      <c r="AH1524">
        <f ca="1"/>
      </c>
      <c r="AI1524">
        <f ca="1"/>
      </c>
      <c r="AJ1524">
        <f ca="1"/>
      </c>
      <c r="AK1524">
        <f ca="1"/>
      </c>
      <c r="AL1524">
        <f ca="1"/>
      </c>
      <c r="AM1524">
        <f ca="1"/>
      </c>
      <c r="AN1524">
        <f ca="1"/>
      </c>
      <c r="AO1524">
        <f ca="1"/>
      </c>
      <c r="AP1524">
        <f ca="1"/>
      </c>
      <c r="AQ1524">
        <f ca="1"/>
      </c>
      <c r="AR1524">
        <f ca="1"/>
      </c>
      <c r="AT1524" s="7">
        <f ca="1"/>
      </c>
      <c r="AU1524">
        <f ca="1"/>
      </c>
      <c r="AV1524">
        <f ca="1"/>
      </c>
      <c r="AW1524">
        <f ca="1"/>
      </c>
      <c r="AX1524">
        <f ca="1"/>
      </c>
      <c r="AY1524">
        <f ca="1"/>
      </c>
      <c r="BA1524" s="7"/>
    </row>
    <row r="1525" spans="31:53" x14ac:dyDescent="0.55000000000000004">
      <c r="AE1525" s="7">
        <f ca="1"/>
      </c>
      <c r="AF1525">
        <f ca="1"/>
      </c>
      <c r="AG1525">
        <f ca="1"/>
      </c>
      <c r="AH1525">
        <f ca="1"/>
      </c>
      <c r="AI1525">
        <f ca="1"/>
      </c>
      <c r="AJ1525">
        <f ca="1"/>
      </c>
      <c r="AK1525">
        <f ca="1"/>
      </c>
      <c r="AL1525">
        <f ca="1"/>
      </c>
      <c r="AM1525">
        <f ca="1"/>
      </c>
      <c r="AN1525">
        <f ca="1"/>
      </c>
      <c r="AO1525">
        <f ca="1"/>
      </c>
      <c r="AP1525">
        <f ca="1"/>
      </c>
      <c r="AQ1525">
        <f ca="1"/>
      </c>
      <c r="AR1525">
        <f ca="1"/>
      </c>
      <c r="AT1525" s="7">
        <f ca="1"/>
      </c>
      <c r="AU1525">
        <f ca="1"/>
      </c>
      <c r="AV1525">
        <f ca="1"/>
      </c>
      <c r="AW1525">
        <f ca="1"/>
      </c>
      <c r="AX1525">
        <f ca="1"/>
      </c>
      <c r="AY1525">
        <f ca="1"/>
      </c>
      <c r="BA1525" s="7"/>
    </row>
    <row r="1526" spans="31:53" x14ac:dyDescent="0.55000000000000004">
      <c r="AE1526" s="7">
        <f ca="1"/>
      </c>
      <c r="AF1526">
        <f ca="1"/>
      </c>
      <c r="AG1526">
        <f ca="1"/>
      </c>
      <c r="AH1526">
        <f ca="1"/>
      </c>
      <c r="AI1526">
        <f ca="1"/>
      </c>
      <c r="AJ1526">
        <f ca="1"/>
      </c>
      <c r="AK1526">
        <f ca="1"/>
      </c>
      <c r="AL1526">
        <f ca="1"/>
      </c>
      <c r="AM1526">
        <f ca="1"/>
      </c>
      <c r="AN1526">
        <f ca="1"/>
      </c>
      <c r="AO1526">
        <f ca="1"/>
      </c>
      <c r="AP1526">
        <f ca="1"/>
      </c>
      <c r="AQ1526">
        <f ca="1"/>
      </c>
      <c r="AR1526">
        <f ca="1"/>
      </c>
      <c r="AT1526" s="7">
        <f ca="1"/>
      </c>
      <c r="AU1526">
        <f ca="1"/>
      </c>
      <c r="AV1526">
        <f ca="1"/>
      </c>
      <c r="AW1526">
        <f ca="1"/>
      </c>
      <c r="AX1526">
        <f ca="1"/>
      </c>
      <c r="AY1526">
        <f ca="1"/>
      </c>
      <c r="BA1526" s="7"/>
    </row>
    <row r="1527" spans="31:53" x14ac:dyDescent="0.55000000000000004">
      <c r="AE1527" s="7">
        <f ca="1"/>
      </c>
      <c r="AF1527">
        <f ca="1"/>
      </c>
      <c r="AG1527">
        <f ca="1"/>
      </c>
      <c r="AH1527">
        <f ca="1"/>
      </c>
      <c r="AI1527">
        <f ca="1"/>
      </c>
      <c r="AJ1527">
        <f ca="1"/>
      </c>
      <c r="AK1527">
        <f ca="1"/>
      </c>
      <c r="AL1527">
        <f ca="1"/>
      </c>
      <c r="AM1527">
        <f ca="1"/>
      </c>
      <c r="AN1527">
        <f ca="1"/>
      </c>
      <c r="AO1527">
        <f ca="1"/>
      </c>
      <c r="AP1527">
        <f ca="1"/>
      </c>
      <c r="AQ1527">
        <f ca="1"/>
      </c>
      <c r="AR1527">
        <f ca="1"/>
      </c>
      <c r="AT1527" s="7">
        <f ca="1"/>
      </c>
      <c r="AU1527">
        <f ca="1"/>
      </c>
      <c r="AV1527">
        <f ca="1"/>
      </c>
      <c r="AW1527">
        <f ca="1"/>
      </c>
      <c r="AX1527">
        <f ca="1"/>
      </c>
      <c r="AY1527">
        <f ca="1"/>
      </c>
      <c r="BA1527" s="7"/>
    </row>
    <row r="1528" spans="31:53" x14ac:dyDescent="0.55000000000000004">
      <c r="AE1528" s="7">
        <f ca="1"/>
      </c>
      <c r="AF1528">
        <f ca="1"/>
      </c>
      <c r="AG1528">
        <f ca="1"/>
      </c>
      <c r="AH1528">
        <f ca="1"/>
      </c>
      <c r="AI1528">
        <f ca="1"/>
      </c>
      <c r="AJ1528">
        <f ca="1"/>
      </c>
      <c r="AK1528">
        <f ca="1"/>
      </c>
      <c r="AL1528">
        <f ca="1"/>
      </c>
      <c r="AM1528">
        <f ca="1"/>
      </c>
      <c r="AN1528">
        <f ca="1"/>
      </c>
      <c r="AO1528">
        <f ca="1"/>
      </c>
      <c r="AP1528">
        <f ca="1"/>
      </c>
      <c r="AQ1528">
        <f ca="1"/>
      </c>
      <c r="AR1528">
        <f ca="1"/>
      </c>
      <c r="AT1528" s="7">
        <f ca="1"/>
      </c>
      <c r="AU1528">
        <f ca="1"/>
      </c>
      <c r="AV1528">
        <f ca="1"/>
      </c>
      <c r="AW1528">
        <f ca="1"/>
      </c>
      <c r="AX1528">
        <f ca="1"/>
      </c>
      <c r="AY1528">
        <f ca="1"/>
      </c>
      <c r="BA1528" s="7"/>
    </row>
    <row r="1529" spans="31:53" x14ac:dyDescent="0.55000000000000004">
      <c r="AE1529" s="7">
        <f ca="1"/>
      </c>
      <c r="AF1529">
        <f ca="1"/>
      </c>
      <c r="AG1529">
        <f ca="1"/>
      </c>
      <c r="AH1529">
        <f ca="1"/>
      </c>
      <c r="AI1529">
        <f ca="1"/>
      </c>
      <c r="AJ1529">
        <f ca="1"/>
      </c>
      <c r="AK1529">
        <f ca="1"/>
      </c>
      <c r="AL1529">
        <f ca="1"/>
      </c>
      <c r="AM1529">
        <f ca="1"/>
      </c>
      <c r="AN1529">
        <f ca="1"/>
      </c>
      <c r="AO1529">
        <f ca="1"/>
      </c>
      <c r="AP1529">
        <f ca="1"/>
      </c>
      <c r="AQ1529">
        <f ca="1"/>
      </c>
      <c r="AR1529">
        <f ca="1"/>
      </c>
      <c r="AT1529" s="7">
        <f ca="1"/>
      </c>
      <c r="AU1529">
        <f ca="1"/>
      </c>
      <c r="AV1529">
        <f ca="1"/>
      </c>
      <c r="AW1529">
        <f ca="1"/>
      </c>
      <c r="AX1529">
        <f ca="1"/>
      </c>
      <c r="AY1529">
        <f ca="1"/>
      </c>
      <c r="BA1529" s="7"/>
    </row>
    <row r="1530" spans="31:53" x14ac:dyDescent="0.55000000000000004">
      <c r="AE1530" s="7">
        <f ca="1"/>
      </c>
      <c r="AF1530">
        <f ca="1"/>
      </c>
      <c r="AG1530">
        <f ca="1"/>
      </c>
      <c r="AH1530">
        <f ca="1"/>
      </c>
      <c r="AI1530">
        <f ca="1"/>
      </c>
      <c r="AJ1530">
        <f ca="1"/>
      </c>
      <c r="AK1530">
        <f ca="1"/>
      </c>
      <c r="AL1530">
        <f ca="1"/>
      </c>
      <c r="AM1530">
        <f ca="1"/>
      </c>
      <c r="AN1530">
        <f ca="1"/>
      </c>
      <c r="AO1530">
        <f ca="1"/>
      </c>
      <c r="AP1530">
        <f ca="1"/>
      </c>
      <c r="AQ1530">
        <f ca="1"/>
      </c>
      <c r="AR1530">
        <f ca="1"/>
      </c>
      <c r="AT1530" s="7">
        <f ca="1"/>
      </c>
      <c r="AU1530">
        <f ca="1"/>
      </c>
      <c r="AV1530">
        <f ca="1"/>
      </c>
      <c r="AW1530">
        <f ca="1"/>
      </c>
      <c r="AX1530">
        <f ca="1"/>
      </c>
      <c r="AY1530">
        <f ca="1"/>
      </c>
      <c r="BA1530" s="7"/>
    </row>
    <row r="1531" spans="31:53" x14ac:dyDescent="0.55000000000000004">
      <c r="AE1531" s="7">
        <f ca="1"/>
      </c>
      <c r="AF1531">
        <f ca="1"/>
      </c>
      <c r="AG1531">
        <f ca="1"/>
      </c>
      <c r="AH1531">
        <f ca="1"/>
      </c>
      <c r="AI1531">
        <f ca="1"/>
      </c>
      <c r="AJ1531">
        <f ca="1"/>
      </c>
      <c r="AK1531">
        <f ca="1"/>
      </c>
      <c r="AL1531">
        <f ca="1"/>
      </c>
      <c r="AM1531">
        <f ca="1"/>
      </c>
      <c r="AN1531">
        <f ca="1"/>
      </c>
      <c r="AO1531">
        <f ca="1"/>
      </c>
      <c r="AP1531">
        <f ca="1"/>
      </c>
      <c r="AQ1531">
        <f ca="1"/>
      </c>
      <c r="AR1531">
        <f ca="1"/>
      </c>
      <c r="AT1531" s="7">
        <f ca="1"/>
      </c>
      <c r="AU1531">
        <f ca="1"/>
      </c>
      <c r="AV1531">
        <f ca="1"/>
      </c>
      <c r="AW1531">
        <f ca="1"/>
      </c>
      <c r="AX1531">
        <f ca="1"/>
      </c>
      <c r="AY1531">
        <f ca="1"/>
      </c>
      <c r="BA1531" s="7"/>
    </row>
    <row r="1532" spans="31:53" x14ac:dyDescent="0.55000000000000004">
      <c r="AE1532" s="7">
        <f ca="1"/>
      </c>
      <c r="AF1532">
        <f ca="1"/>
      </c>
      <c r="AG1532">
        <f ca="1"/>
      </c>
      <c r="AH1532">
        <f ca="1"/>
      </c>
      <c r="AI1532">
        <f ca="1"/>
      </c>
      <c r="AJ1532">
        <f ca="1"/>
      </c>
      <c r="AK1532">
        <f ca="1"/>
      </c>
      <c r="AL1532">
        <f ca="1"/>
      </c>
      <c r="AM1532">
        <f ca="1"/>
      </c>
      <c r="AN1532">
        <f ca="1"/>
      </c>
      <c r="AO1532">
        <f ca="1"/>
      </c>
      <c r="AP1532">
        <f ca="1"/>
      </c>
      <c r="AQ1532">
        <f ca="1"/>
      </c>
      <c r="AR1532">
        <f ca="1"/>
      </c>
      <c r="AT1532" s="7">
        <f ca="1"/>
      </c>
      <c r="AU1532">
        <f ca="1"/>
      </c>
      <c r="AV1532">
        <f ca="1"/>
      </c>
      <c r="AW1532">
        <f ca="1"/>
      </c>
      <c r="AX1532">
        <f ca="1"/>
      </c>
      <c r="AY1532">
        <f ca="1"/>
      </c>
      <c r="BA1532" s="7"/>
    </row>
    <row r="1533" spans="31:53" x14ac:dyDescent="0.55000000000000004">
      <c r="AE1533" s="7">
        <f ca="1"/>
      </c>
      <c r="AF1533">
        <f ca="1"/>
      </c>
      <c r="AG1533">
        <f ca="1"/>
      </c>
      <c r="AH1533">
        <f ca="1"/>
      </c>
      <c r="AI1533">
        <f ca="1"/>
      </c>
      <c r="AJ1533">
        <f ca="1"/>
      </c>
      <c r="AK1533">
        <f ca="1"/>
      </c>
      <c r="AL1533">
        <f ca="1"/>
      </c>
      <c r="AM1533">
        <f ca="1"/>
      </c>
      <c r="AN1533">
        <f ca="1"/>
      </c>
      <c r="AO1533">
        <f ca="1"/>
      </c>
      <c r="AP1533">
        <f ca="1"/>
      </c>
      <c r="AQ1533">
        <f ca="1"/>
      </c>
      <c r="AR1533">
        <f ca="1"/>
      </c>
      <c r="AT1533" s="7">
        <f ca="1"/>
      </c>
      <c r="AU1533">
        <f ca="1"/>
      </c>
      <c r="AV1533">
        <f ca="1"/>
      </c>
      <c r="AW1533">
        <f ca="1"/>
      </c>
      <c r="AX1533">
        <f ca="1"/>
      </c>
      <c r="AY1533">
        <f ca="1"/>
      </c>
      <c r="BA1533" s="7"/>
    </row>
    <row r="1534" spans="31:53" x14ac:dyDescent="0.55000000000000004">
      <c r="AE1534" s="7">
        <f ca="1"/>
      </c>
      <c r="AF1534">
        <f ca="1"/>
      </c>
      <c r="AG1534">
        <f ca="1"/>
      </c>
      <c r="AH1534">
        <f ca="1"/>
      </c>
      <c r="AI1534">
        <f ca="1"/>
      </c>
      <c r="AJ1534">
        <f ca="1"/>
      </c>
      <c r="AK1534">
        <f ca="1"/>
      </c>
      <c r="AL1534">
        <f ca="1"/>
      </c>
      <c r="AM1534">
        <f ca="1"/>
      </c>
      <c r="AN1534">
        <f ca="1"/>
      </c>
      <c r="AO1534">
        <f ca="1"/>
      </c>
      <c r="AP1534">
        <f ca="1"/>
      </c>
      <c r="AQ1534">
        <f ca="1"/>
      </c>
      <c r="AR1534">
        <f ca="1"/>
      </c>
      <c r="AT1534" s="7">
        <f ca="1"/>
      </c>
      <c r="AU1534">
        <f ca="1"/>
      </c>
      <c r="AV1534">
        <f ca="1"/>
      </c>
      <c r="AW1534">
        <f ca="1"/>
      </c>
      <c r="AX1534">
        <f ca="1"/>
      </c>
      <c r="AY1534">
        <f ca="1"/>
      </c>
      <c r="BA1534" s="7"/>
    </row>
    <row r="1535" spans="31:53" x14ac:dyDescent="0.55000000000000004">
      <c r="AE1535" s="7">
        <f ca="1"/>
      </c>
      <c r="AF1535">
        <f ca="1"/>
      </c>
      <c r="AG1535">
        <f ca="1"/>
      </c>
      <c r="AH1535">
        <f ca="1"/>
      </c>
      <c r="AI1535">
        <f ca="1"/>
      </c>
      <c r="AJ1535">
        <f ca="1"/>
      </c>
      <c r="AK1535">
        <f ca="1"/>
      </c>
      <c r="AL1535">
        <f ca="1"/>
      </c>
      <c r="AM1535">
        <f ca="1"/>
      </c>
      <c r="AN1535">
        <f ca="1"/>
      </c>
      <c r="AO1535">
        <f ca="1"/>
      </c>
      <c r="AP1535">
        <f ca="1"/>
      </c>
      <c r="AQ1535">
        <f ca="1"/>
      </c>
      <c r="AR1535">
        <f ca="1"/>
      </c>
      <c r="AT1535" s="7">
        <f ca="1"/>
      </c>
      <c r="AU1535">
        <f ca="1"/>
      </c>
      <c r="AV1535">
        <f ca="1"/>
      </c>
      <c r="AW1535">
        <f ca="1"/>
      </c>
      <c r="AX1535">
        <f ca="1"/>
      </c>
      <c r="AY1535">
        <f ca="1"/>
      </c>
      <c r="BA1535" s="7"/>
    </row>
    <row r="1536" spans="31:53" x14ac:dyDescent="0.55000000000000004">
      <c r="AE1536" s="7">
        <f ca="1"/>
      </c>
      <c r="AF1536">
        <f ca="1"/>
      </c>
      <c r="AG1536">
        <f ca="1"/>
      </c>
      <c r="AH1536">
        <f ca="1"/>
      </c>
      <c r="AI1536">
        <f ca="1"/>
      </c>
      <c r="AJ1536">
        <f ca="1"/>
      </c>
      <c r="AK1536">
        <f ca="1"/>
      </c>
      <c r="AL1536">
        <f ca="1"/>
      </c>
      <c r="AM1536">
        <f ca="1"/>
      </c>
      <c r="AN1536">
        <f ca="1"/>
      </c>
      <c r="AO1536">
        <f ca="1"/>
      </c>
      <c r="AP1536">
        <f ca="1"/>
      </c>
      <c r="AQ1536">
        <f ca="1"/>
      </c>
      <c r="AR1536">
        <f ca="1"/>
      </c>
      <c r="AT1536" s="7">
        <f ca="1"/>
      </c>
      <c r="AU1536">
        <f ca="1"/>
      </c>
      <c r="AV1536">
        <f ca="1"/>
      </c>
      <c r="AW1536">
        <f ca="1"/>
      </c>
      <c r="AX1536">
        <f ca="1"/>
      </c>
      <c r="AY1536">
        <f ca="1"/>
      </c>
      <c r="BA1536" s="7"/>
    </row>
    <row r="1537" spans="31:53" x14ac:dyDescent="0.55000000000000004">
      <c r="AE1537" s="7">
        <f ca="1"/>
      </c>
      <c r="AF1537">
        <f ca="1"/>
      </c>
      <c r="AG1537">
        <f ca="1"/>
      </c>
      <c r="AH1537">
        <f ca="1"/>
      </c>
      <c r="AI1537">
        <f ca="1"/>
      </c>
      <c r="AJ1537">
        <f ca="1"/>
      </c>
      <c r="AK1537">
        <f ca="1"/>
      </c>
      <c r="AL1537">
        <f ca="1"/>
      </c>
      <c r="AM1537">
        <f ca="1"/>
      </c>
      <c r="AN1537">
        <f ca="1"/>
      </c>
      <c r="AO1537">
        <f ca="1"/>
      </c>
      <c r="AP1537">
        <f ca="1"/>
      </c>
      <c r="AQ1537">
        <f ca="1"/>
      </c>
      <c r="AR1537">
        <f ca="1"/>
      </c>
      <c r="AT1537" s="7">
        <f ca="1"/>
      </c>
      <c r="AU1537">
        <f ca="1"/>
      </c>
      <c r="AV1537">
        <f ca="1"/>
      </c>
      <c r="AW1537">
        <f ca="1"/>
      </c>
      <c r="AX1537">
        <f ca="1"/>
      </c>
      <c r="AY1537">
        <f ca="1"/>
      </c>
      <c r="BA1537" s="7"/>
    </row>
    <row r="1538" spans="31:53" x14ac:dyDescent="0.55000000000000004">
      <c r="AE1538" s="7">
        <f ca="1"/>
      </c>
      <c r="AF1538">
        <f ca="1"/>
      </c>
      <c r="AG1538">
        <f ca="1"/>
      </c>
      <c r="AH1538">
        <f ca="1"/>
      </c>
      <c r="AI1538">
        <f ca="1"/>
      </c>
      <c r="AJ1538">
        <f ca="1"/>
      </c>
      <c r="AK1538">
        <f ca="1"/>
      </c>
      <c r="AL1538">
        <f ca="1"/>
      </c>
      <c r="AM1538">
        <f ca="1"/>
      </c>
      <c r="AN1538">
        <f ca="1"/>
      </c>
      <c r="AO1538">
        <f ca="1"/>
      </c>
      <c r="AP1538">
        <f ca="1"/>
      </c>
      <c r="AQ1538">
        <f ca="1"/>
      </c>
      <c r="AR1538">
        <f ca="1"/>
      </c>
      <c r="AT1538" s="7">
        <f ca="1"/>
      </c>
      <c r="AU1538">
        <f ca="1"/>
      </c>
      <c r="AV1538">
        <f ca="1"/>
      </c>
      <c r="AW1538">
        <f ca="1"/>
      </c>
      <c r="AX1538">
        <f ca="1"/>
      </c>
      <c r="AY1538">
        <f ca="1"/>
      </c>
      <c r="BA1538" s="7"/>
    </row>
    <row r="1539" spans="31:53" x14ac:dyDescent="0.55000000000000004">
      <c r="AE1539" s="7">
        <f ca="1"/>
      </c>
      <c r="AF1539">
        <f ca="1"/>
      </c>
      <c r="AG1539">
        <f ca="1"/>
      </c>
      <c r="AH1539">
        <f ca="1"/>
      </c>
      <c r="AI1539">
        <f ca="1"/>
      </c>
      <c r="AJ1539">
        <f ca="1"/>
      </c>
      <c r="AK1539">
        <f ca="1"/>
      </c>
      <c r="AL1539">
        <f ca="1"/>
      </c>
      <c r="AM1539">
        <f ca="1"/>
      </c>
      <c r="AN1539">
        <f ca="1"/>
      </c>
      <c r="AO1539">
        <f ca="1"/>
      </c>
      <c r="AP1539">
        <f ca="1"/>
      </c>
      <c r="AQ1539">
        <f ca="1"/>
      </c>
      <c r="AR1539">
        <f ca="1"/>
      </c>
      <c r="AT1539" s="7">
        <f ca="1"/>
      </c>
      <c r="AU1539">
        <f ca="1"/>
      </c>
      <c r="AV1539">
        <f ca="1"/>
      </c>
      <c r="AW1539">
        <f ca="1"/>
      </c>
      <c r="AX1539">
        <f ca="1"/>
      </c>
      <c r="AY1539">
        <f ca="1"/>
      </c>
      <c r="BA1539" s="7"/>
    </row>
    <row r="1540" spans="31:53" x14ac:dyDescent="0.55000000000000004">
      <c r="AE1540" s="7">
        <f ca="1"/>
      </c>
      <c r="AF1540">
        <f ca="1"/>
      </c>
      <c r="AG1540">
        <f ca="1"/>
      </c>
      <c r="AH1540">
        <f ca="1"/>
      </c>
      <c r="AI1540">
        <f ca="1"/>
      </c>
      <c r="AJ1540">
        <f ca="1"/>
      </c>
      <c r="AK1540">
        <f ca="1"/>
      </c>
      <c r="AL1540">
        <f ca="1"/>
      </c>
      <c r="AM1540">
        <f ca="1"/>
      </c>
      <c r="AN1540">
        <f ca="1"/>
      </c>
      <c r="AO1540">
        <f ca="1"/>
      </c>
      <c r="AP1540">
        <f ca="1"/>
      </c>
      <c r="AQ1540">
        <f ca="1"/>
      </c>
      <c r="AR1540">
        <f ca="1"/>
      </c>
      <c r="AT1540" s="7">
        <f ca="1"/>
      </c>
      <c r="AU1540">
        <f ca="1"/>
      </c>
      <c r="AV1540">
        <f ca="1"/>
      </c>
      <c r="AW1540">
        <f ca="1"/>
      </c>
      <c r="AX1540">
        <f ca="1"/>
      </c>
      <c r="AY1540">
        <f ca="1"/>
      </c>
      <c r="BA1540" s="7"/>
    </row>
    <row r="1541" spans="31:53" x14ac:dyDescent="0.55000000000000004">
      <c r="AE1541" s="7">
        <f ca="1"/>
      </c>
      <c r="AF1541">
        <f ca="1"/>
      </c>
      <c r="AG1541">
        <f ca="1"/>
      </c>
      <c r="AH1541">
        <f ca="1"/>
      </c>
      <c r="AI1541">
        <f ca="1"/>
      </c>
      <c r="AJ1541">
        <f ca="1"/>
      </c>
      <c r="AK1541">
        <f ca="1"/>
      </c>
      <c r="AL1541">
        <f ca="1"/>
      </c>
      <c r="AM1541">
        <f ca="1"/>
      </c>
      <c r="AN1541">
        <f ca="1"/>
      </c>
      <c r="AO1541">
        <f ca="1"/>
      </c>
      <c r="AP1541">
        <f ca="1"/>
      </c>
      <c r="AQ1541">
        <f ca="1"/>
      </c>
      <c r="AR1541">
        <f ca="1"/>
      </c>
      <c r="AT1541" s="7">
        <f ca="1"/>
      </c>
      <c r="AU1541">
        <f ca="1"/>
      </c>
      <c r="AV1541">
        <f ca="1"/>
      </c>
      <c r="AW1541">
        <f ca="1"/>
      </c>
      <c r="AX1541">
        <f ca="1"/>
      </c>
      <c r="AY1541">
        <f ca="1"/>
      </c>
      <c r="BA1541" s="7"/>
    </row>
    <row r="1542" spans="31:53" x14ac:dyDescent="0.55000000000000004">
      <c r="AE1542" s="7">
        <f ca="1"/>
      </c>
      <c r="AF1542">
        <f ca="1"/>
      </c>
      <c r="AG1542">
        <f ca="1"/>
      </c>
      <c r="AH1542">
        <f ca="1"/>
      </c>
      <c r="AI1542">
        <f ca="1"/>
      </c>
      <c r="AJ1542">
        <f ca="1"/>
      </c>
      <c r="AK1542">
        <f ca="1"/>
      </c>
      <c r="AL1542">
        <f ca="1"/>
      </c>
      <c r="AM1542">
        <f ca="1"/>
      </c>
      <c r="AN1542">
        <f ca="1"/>
      </c>
      <c r="AO1542">
        <f ca="1"/>
      </c>
      <c r="AP1542">
        <f ca="1"/>
      </c>
      <c r="AQ1542">
        <f ca="1"/>
      </c>
      <c r="AR1542">
        <f ca="1"/>
      </c>
      <c r="AT1542" s="7">
        <f ca="1"/>
      </c>
      <c r="AU1542">
        <f ca="1"/>
      </c>
      <c r="AV1542">
        <f ca="1"/>
      </c>
      <c r="AW1542">
        <f ca="1"/>
      </c>
      <c r="AX1542">
        <f ca="1"/>
      </c>
      <c r="AY1542">
        <f ca="1"/>
      </c>
      <c r="BA1542" s="7"/>
    </row>
    <row r="1543" spans="31:53" x14ac:dyDescent="0.55000000000000004">
      <c r="AE1543" s="7">
        <f ca="1"/>
      </c>
      <c r="AF1543">
        <f ca="1"/>
      </c>
      <c r="AG1543">
        <f ca="1"/>
      </c>
      <c r="AH1543">
        <f ca="1"/>
      </c>
      <c r="AI1543">
        <f ca="1"/>
      </c>
      <c r="AJ1543">
        <f ca="1"/>
      </c>
      <c r="AK1543">
        <f ca="1"/>
      </c>
      <c r="AL1543">
        <f ca="1"/>
      </c>
      <c r="AM1543">
        <f ca="1"/>
      </c>
      <c r="AN1543">
        <f ca="1"/>
      </c>
      <c r="AO1543">
        <f ca="1"/>
      </c>
      <c r="AP1543">
        <f ca="1"/>
      </c>
      <c r="AQ1543">
        <f ca="1"/>
      </c>
      <c r="AR1543">
        <f ca="1"/>
      </c>
      <c r="AT1543" s="7">
        <f ca="1"/>
      </c>
      <c r="AU1543">
        <f ca="1"/>
      </c>
      <c r="AV1543">
        <f ca="1"/>
      </c>
      <c r="AW1543">
        <f ca="1"/>
      </c>
      <c r="AX1543">
        <f ca="1"/>
      </c>
      <c r="AY1543">
        <f ca="1"/>
      </c>
      <c r="BA1543" s="7"/>
    </row>
    <row r="1544" spans="31:53" x14ac:dyDescent="0.55000000000000004">
      <c r="AE1544" s="7">
        <f ca="1"/>
      </c>
      <c r="AF1544">
        <f ca="1"/>
      </c>
      <c r="AG1544">
        <f ca="1"/>
      </c>
      <c r="AH1544">
        <f ca="1"/>
      </c>
      <c r="AI1544">
        <f ca="1"/>
      </c>
      <c r="AJ1544">
        <f ca="1"/>
      </c>
      <c r="AK1544">
        <f ca="1"/>
      </c>
      <c r="AL1544">
        <f ca="1"/>
      </c>
      <c r="AM1544">
        <f ca="1"/>
      </c>
      <c r="AN1544">
        <f ca="1"/>
      </c>
      <c r="AO1544">
        <f ca="1"/>
      </c>
      <c r="AP1544">
        <f ca="1"/>
      </c>
      <c r="AQ1544">
        <f ca="1"/>
      </c>
      <c r="AR1544">
        <f ca="1"/>
      </c>
      <c r="AT1544" s="7">
        <f ca="1"/>
      </c>
      <c r="AU1544">
        <f ca="1"/>
      </c>
      <c r="AV1544">
        <f ca="1"/>
      </c>
      <c r="AW1544">
        <f ca="1"/>
      </c>
      <c r="AX1544">
        <f ca="1"/>
      </c>
      <c r="AY1544">
        <f ca="1"/>
      </c>
      <c r="BA1544" s="7"/>
    </row>
    <row r="1545" spans="31:53" x14ac:dyDescent="0.55000000000000004">
      <c r="AE1545" s="7">
        <f ca="1"/>
      </c>
      <c r="AF1545">
        <f ca="1"/>
      </c>
      <c r="AG1545">
        <f ca="1"/>
      </c>
      <c r="AH1545">
        <f ca="1"/>
      </c>
      <c r="AI1545">
        <f ca="1"/>
      </c>
      <c r="AJ1545">
        <f ca="1"/>
      </c>
      <c r="AK1545">
        <f ca="1"/>
      </c>
      <c r="AL1545">
        <f ca="1"/>
      </c>
      <c r="AM1545">
        <f ca="1"/>
      </c>
      <c r="AN1545">
        <f ca="1"/>
      </c>
      <c r="AO1545">
        <f ca="1"/>
      </c>
      <c r="AP1545">
        <f ca="1"/>
      </c>
      <c r="AQ1545">
        <f ca="1"/>
      </c>
      <c r="AR1545">
        <f ca="1"/>
      </c>
      <c r="AT1545" s="7">
        <f ca="1"/>
      </c>
      <c r="AU1545">
        <f ca="1"/>
      </c>
      <c r="AV1545">
        <f ca="1"/>
      </c>
      <c r="AW1545">
        <f ca="1"/>
      </c>
      <c r="AX1545">
        <f ca="1"/>
      </c>
      <c r="AY1545">
        <f ca="1"/>
      </c>
      <c r="BA1545" s="7"/>
    </row>
    <row r="1546" spans="31:53" x14ac:dyDescent="0.55000000000000004">
      <c r="AE1546" s="7">
        <f ca="1"/>
      </c>
      <c r="AF1546">
        <f ca="1"/>
      </c>
      <c r="AG1546">
        <f ca="1"/>
      </c>
      <c r="AH1546">
        <f ca="1"/>
      </c>
      <c r="AI1546">
        <f ca="1"/>
      </c>
      <c r="AJ1546">
        <f ca="1"/>
      </c>
      <c r="AK1546">
        <f ca="1"/>
      </c>
      <c r="AL1546">
        <f ca="1"/>
      </c>
      <c r="AM1546">
        <f ca="1"/>
      </c>
      <c r="AN1546">
        <f ca="1"/>
      </c>
      <c r="AO1546">
        <f ca="1"/>
      </c>
      <c r="AP1546">
        <f ca="1"/>
      </c>
      <c r="AQ1546">
        <f ca="1"/>
      </c>
      <c r="AR1546">
        <f ca="1"/>
      </c>
      <c r="AT1546" s="7">
        <f ca="1"/>
      </c>
      <c r="AU1546">
        <f ca="1"/>
      </c>
      <c r="AV1546">
        <f ca="1"/>
      </c>
      <c r="AW1546">
        <f ca="1"/>
      </c>
      <c r="AX1546">
        <f ca="1"/>
      </c>
      <c r="AY1546">
        <f ca="1"/>
      </c>
      <c r="BA1546" s="7"/>
    </row>
    <row r="1547" spans="31:53" x14ac:dyDescent="0.55000000000000004">
      <c r="AE1547" s="7">
        <f ca="1"/>
      </c>
      <c r="AF1547">
        <f ca="1"/>
      </c>
      <c r="AG1547">
        <f ca="1"/>
      </c>
      <c r="AH1547">
        <f ca="1"/>
      </c>
      <c r="AI1547">
        <f ca="1"/>
      </c>
      <c r="AJ1547">
        <f ca="1"/>
      </c>
      <c r="AK1547">
        <f ca="1"/>
      </c>
      <c r="AL1547">
        <f ca="1"/>
      </c>
      <c r="AM1547">
        <f ca="1"/>
      </c>
      <c r="AN1547">
        <f ca="1"/>
      </c>
      <c r="AO1547">
        <f ca="1"/>
      </c>
      <c r="AP1547">
        <f ca="1"/>
      </c>
      <c r="AQ1547">
        <f ca="1"/>
      </c>
      <c r="AR1547">
        <f ca="1"/>
      </c>
      <c r="AT1547" s="7">
        <f ca="1"/>
      </c>
      <c r="AU1547">
        <f ca="1"/>
      </c>
      <c r="AV1547">
        <f ca="1"/>
      </c>
      <c r="AW1547">
        <f ca="1"/>
      </c>
      <c r="AX1547">
        <f ca="1"/>
      </c>
      <c r="AY1547">
        <f ca="1"/>
      </c>
      <c r="BA1547" s="7"/>
    </row>
    <row r="1548" spans="31:53" x14ac:dyDescent="0.55000000000000004">
      <c r="AE1548" s="7">
        <f ca="1"/>
      </c>
      <c r="AF1548">
        <f ca="1"/>
      </c>
      <c r="AG1548">
        <f ca="1"/>
      </c>
      <c r="AH1548">
        <f ca="1"/>
      </c>
      <c r="AI1548">
        <f ca="1"/>
      </c>
      <c r="AJ1548">
        <f ca="1"/>
      </c>
      <c r="AK1548">
        <f ca="1"/>
      </c>
      <c r="AL1548">
        <f ca="1"/>
      </c>
      <c r="AM1548">
        <f ca="1"/>
      </c>
      <c r="AN1548">
        <f ca="1"/>
      </c>
      <c r="AO1548">
        <f ca="1"/>
      </c>
      <c r="AP1548">
        <f ca="1"/>
      </c>
      <c r="AQ1548">
        <f ca="1"/>
      </c>
      <c r="AR1548">
        <f ca="1"/>
      </c>
      <c r="AT1548" s="7">
        <f ca="1"/>
      </c>
      <c r="AU1548">
        <f ca="1"/>
      </c>
      <c r="AV1548">
        <f ca="1"/>
      </c>
      <c r="AW1548">
        <f ca="1"/>
      </c>
      <c r="AX1548">
        <f ca="1"/>
      </c>
      <c r="AY1548">
        <f ca="1"/>
      </c>
      <c r="BA1548" s="7"/>
    </row>
    <row r="1549" spans="31:53" x14ac:dyDescent="0.55000000000000004">
      <c r="AE1549" s="7">
        <f ca="1"/>
      </c>
      <c r="AF1549">
        <f ca="1"/>
      </c>
      <c r="AG1549">
        <f ca="1"/>
      </c>
      <c r="AH1549">
        <f ca="1"/>
      </c>
      <c r="AI1549">
        <f ca="1"/>
      </c>
      <c r="AJ1549">
        <f ca="1"/>
      </c>
      <c r="AK1549">
        <f ca="1"/>
      </c>
      <c r="AL1549">
        <f ca="1"/>
      </c>
      <c r="AM1549">
        <f ca="1"/>
      </c>
      <c r="AN1549">
        <f ca="1"/>
      </c>
      <c r="AO1549">
        <f ca="1"/>
      </c>
      <c r="AP1549">
        <f ca="1"/>
      </c>
      <c r="AQ1549">
        <f ca="1"/>
      </c>
      <c r="AR1549">
        <f ca="1"/>
      </c>
      <c r="AT1549" s="7">
        <f ca="1"/>
      </c>
      <c r="AU1549">
        <f ca="1"/>
      </c>
      <c r="AV1549">
        <f ca="1"/>
      </c>
      <c r="AW1549">
        <f ca="1"/>
      </c>
      <c r="AX1549">
        <f ca="1"/>
      </c>
      <c r="AY1549">
        <f ca="1"/>
      </c>
      <c r="BA1549" s="7"/>
    </row>
    <row r="1550" spans="31:53" x14ac:dyDescent="0.55000000000000004">
      <c r="AE1550" s="7">
        <f ca="1"/>
      </c>
      <c r="AF1550">
        <f ca="1"/>
      </c>
      <c r="AG1550">
        <f ca="1"/>
      </c>
      <c r="AH1550">
        <f ca="1"/>
      </c>
      <c r="AI1550">
        <f ca="1"/>
      </c>
      <c r="AJ1550">
        <f ca="1"/>
      </c>
      <c r="AK1550">
        <f ca="1"/>
      </c>
      <c r="AL1550">
        <f ca="1"/>
      </c>
      <c r="AM1550">
        <f ca="1"/>
      </c>
      <c r="AN1550">
        <f ca="1"/>
      </c>
      <c r="AO1550">
        <f ca="1"/>
      </c>
      <c r="AP1550">
        <f ca="1"/>
      </c>
      <c r="AQ1550">
        <f ca="1"/>
      </c>
      <c r="AR1550">
        <f ca="1"/>
      </c>
      <c r="AT1550" s="7">
        <f ca="1"/>
      </c>
      <c r="AU1550">
        <f ca="1"/>
      </c>
      <c r="AV1550">
        <f ca="1"/>
      </c>
      <c r="AW1550">
        <f ca="1"/>
      </c>
      <c r="AX1550">
        <f ca="1"/>
      </c>
      <c r="AY1550">
        <f ca="1"/>
      </c>
      <c r="BA1550" s="7"/>
    </row>
    <row r="1551" spans="31:53" x14ac:dyDescent="0.55000000000000004">
      <c r="AE1551" s="7">
        <f ca="1"/>
      </c>
      <c r="AF1551">
        <f ca="1"/>
      </c>
      <c r="AG1551">
        <f ca="1"/>
      </c>
      <c r="AH1551">
        <f ca="1"/>
      </c>
      <c r="AI1551">
        <f ca="1"/>
      </c>
      <c r="AJ1551">
        <f ca="1"/>
      </c>
      <c r="AK1551">
        <f ca="1"/>
      </c>
      <c r="AL1551">
        <f ca="1"/>
      </c>
      <c r="AM1551">
        <f ca="1"/>
      </c>
      <c r="AN1551">
        <f ca="1"/>
      </c>
      <c r="AO1551">
        <f ca="1"/>
      </c>
      <c r="AP1551">
        <f ca="1"/>
      </c>
      <c r="AQ1551">
        <f ca="1"/>
      </c>
      <c r="AR1551">
        <f ca="1"/>
      </c>
      <c r="AT1551" s="7">
        <f ca="1"/>
      </c>
      <c r="AU1551">
        <f ca="1"/>
      </c>
      <c r="AV1551">
        <f ca="1"/>
      </c>
      <c r="AW1551">
        <f ca="1"/>
      </c>
      <c r="AX1551">
        <f ca="1"/>
      </c>
      <c r="AY1551">
        <f ca="1"/>
      </c>
      <c r="BA1551" s="7"/>
    </row>
    <row r="1552" spans="31:53" x14ac:dyDescent="0.55000000000000004">
      <c r="AE1552" s="7">
        <f ca="1"/>
      </c>
      <c r="AF1552">
        <f ca="1"/>
      </c>
      <c r="AG1552">
        <f ca="1"/>
      </c>
      <c r="AH1552">
        <f ca="1"/>
      </c>
      <c r="AI1552">
        <f ca="1"/>
      </c>
      <c r="AJ1552">
        <f ca="1"/>
      </c>
      <c r="AK1552">
        <f ca="1"/>
      </c>
      <c r="AL1552">
        <f ca="1"/>
      </c>
      <c r="AM1552">
        <f ca="1"/>
      </c>
      <c r="AN1552">
        <f ca="1"/>
      </c>
      <c r="AO1552">
        <f ca="1"/>
      </c>
      <c r="AP1552">
        <f ca="1"/>
      </c>
      <c r="AQ1552">
        <f ca="1"/>
      </c>
      <c r="AR1552">
        <f ca="1"/>
      </c>
      <c r="AT1552" s="7">
        <f ca="1"/>
      </c>
      <c r="AU1552">
        <f ca="1"/>
      </c>
      <c r="AV1552">
        <f ca="1"/>
      </c>
      <c r="AW1552">
        <f ca="1"/>
      </c>
      <c r="AX1552">
        <f ca="1"/>
      </c>
      <c r="AY1552">
        <f ca="1"/>
      </c>
      <c r="BA1552" s="7"/>
    </row>
    <row r="1553" spans="31:53" x14ac:dyDescent="0.55000000000000004">
      <c r="AE1553" s="7">
        <f ca="1"/>
      </c>
      <c r="AF1553">
        <f ca="1"/>
      </c>
      <c r="AG1553">
        <f ca="1"/>
      </c>
      <c r="AH1553">
        <f ca="1"/>
      </c>
      <c r="AI1553">
        <f ca="1"/>
      </c>
      <c r="AJ1553">
        <f ca="1"/>
      </c>
      <c r="AK1553">
        <f ca="1"/>
      </c>
      <c r="AL1553">
        <f ca="1"/>
      </c>
      <c r="AM1553">
        <f ca="1"/>
      </c>
      <c r="AN1553">
        <f ca="1"/>
      </c>
      <c r="AO1553">
        <f ca="1"/>
      </c>
      <c r="AP1553">
        <f ca="1"/>
      </c>
      <c r="AQ1553">
        <f ca="1"/>
      </c>
      <c r="AR1553">
        <f ca="1"/>
      </c>
      <c r="AT1553" s="7">
        <f ca="1"/>
      </c>
      <c r="AU1553">
        <f ca="1"/>
      </c>
      <c r="AV1553">
        <f ca="1"/>
      </c>
      <c r="AW1553">
        <f ca="1"/>
      </c>
      <c r="AX1553">
        <f ca="1"/>
      </c>
      <c r="AY1553">
        <f ca="1"/>
      </c>
      <c r="BA1553" s="7"/>
    </row>
    <row r="1554" spans="31:53" x14ac:dyDescent="0.55000000000000004">
      <c r="AE1554" s="7">
        <f ca="1"/>
      </c>
      <c r="AF1554">
        <f ca="1"/>
      </c>
      <c r="AG1554">
        <f ca="1"/>
      </c>
      <c r="AH1554">
        <f ca="1"/>
      </c>
      <c r="AI1554">
        <f ca="1"/>
      </c>
      <c r="AJ1554">
        <f ca="1"/>
      </c>
      <c r="AK1554">
        <f ca="1"/>
      </c>
      <c r="AL1554">
        <f ca="1"/>
      </c>
      <c r="AM1554">
        <f ca="1"/>
      </c>
      <c r="AN1554">
        <f ca="1"/>
      </c>
      <c r="AO1554">
        <f ca="1"/>
      </c>
      <c r="AP1554">
        <f ca="1"/>
      </c>
      <c r="AQ1554">
        <f ca="1"/>
      </c>
      <c r="AR1554">
        <f ca="1"/>
      </c>
      <c r="AT1554" s="7">
        <f ca="1"/>
      </c>
      <c r="AU1554">
        <f ca="1"/>
      </c>
      <c r="AV1554">
        <f ca="1"/>
      </c>
      <c r="AW1554">
        <f ca="1"/>
      </c>
      <c r="AX1554">
        <f ca="1"/>
      </c>
      <c r="AY1554">
        <f ca="1"/>
      </c>
      <c r="BA1554" s="7"/>
    </row>
    <row r="1555" spans="31:53" x14ac:dyDescent="0.55000000000000004">
      <c r="AE1555" s="7">
        <f ca="1"/>
      </c>
      <c r="AF1555">
        <f ca="1"/>
      </c>
      <c r="AG1555">
        <f ca="1"/>
      </c>
      <c r="AH1555">
        <f ca="1"/>
      </c>
      <c r="AI1555">
        <f ca="1"/>
      </c>
      <c r="AJ1555">
        <f ca="1"/>
      </c>
      <c r="AK1555">
        <f ca="1"/>
      </c>
      <c r="AL1555">
        <f ca="1"/>
      </c>
      <c r="AM1555">
        <f ca="1"/>
      </c>
      <c r="AN1555">
        <f ca="1"/>
      </c>
      <c r="AO1555">
        <f ca="1"/>
      </c>
      <c r="AP1555">
        <f ca="1"/>
      </c>
      <c r="AQ1555">
        <f ca="1"/>
      </c>
      <c r="AR1555">
        <f ca="1"/>
      </c>
      <c r="AT1555" s="7">
        <f ca="1"/>
      </c>
      <c r="AU1555">
        <f ca="1"/>
      </c>
      <c r="AV1555">
        <f ca="1"/>
      </c>
      <c r="AW1555">
        <f ca="1"/>
      </c>
      <c r="AX1555">
        <f ca="1"/>
      </c>
      <c r="AY1555">
        <f ca="1"/>
      </c>
      <c r="BA1555" s="7"/>
    </row>
    <row r="1556" spans="31:53" x14ac:dyDescent="0.55000000000000004">
      <c r="AE1556" s="7">
        <f ca="1"/>
      </c>
      <c r="AF1556">
        <f ca="1"/>
      </c>
      <c r="AG1556">
        <f ca="1"/>
      </c>
      <c r="AH1556">
        <f ca="1"/>
      </c>
      <c r="AI1556">
        <f ca="1"/>
      </c>
      <c r="AJ1556">
        <f ca="1"/>
      </c>
      <c r="AK1556">
        <f ca="1"/>
      </c>
      <c r="AL1556">
        <f ca="1"/>
      </c>
      <c r="AM1556">
        <f ca="1"/>
      </c>
      <c r="AN1556">
        <f ca="1"/>
      </c>
      <c r="AO1556">
        <f ca="1"/>
      </c>
      <c r="AP1556">
        <f ca="1"/>
      </c>
      <c r="AQ1556">
        <f ca="1"/>
      </c>
      <c r="AR1556">
        <f ca="1"/>
      </c>
      <c r="AT1556" s="7">
        <f ca="1"/>
      </c>
      <c r="AU1556">
        <f ca="1"/>
      </c>
      <c r="AV1556">
        <f ca="1"/>
      </c>
      <c r="AW1556">
        <f ca="1"/>
      </c>
      <c r="AX1556">
        <f ca="1"/>
      </c>
      <c r="AY1556">
        <f ca="1"/>
      </c>
      <c r="BA1556" s="7"/>
    </row>
    <row r="1557" spans="31:53" x14ac:dyDescent="0.55000000000000004">
      <c r="AE1557" s="7">
        <f ca="1"/>
      </c>
      <c r="AF1557">
        <f ca="1"/>
      </c>
      <c r="AG1557">
        <f ca="1"/>
      </c>
      <c r="AH1557">
        <f ca="1"/>
      </c>
      <c r="AI1557">
        <f ca="1"/>
      </c>
      <c r="AJ1557">
        <f ca="1"/>
      </c>
      <c r="AK1557">
        <f ca="1"/>
      </c>
      <c r="AL1557">
        <f ca="1"/>
      </c>
      <c r="AM1557">
        <f ca="1"/>
      </c>
      <c r="AN1557">
        <f ca="1"/>
      </c>
      <c r="AO1557">
        <f ca="1"/>
      </c>
      <c r="AP1557">
        <f ca="1"/>
      </c>
      <c r="AQ1557">
        <f ca="1"/>
      </c>
      <c r="AR1557">
        <f ca="1"/>
      </c>
      <c r="AT1557" s="7">
        <f ca="1"/>
      </c>
      <c r="AU1557">
        <f ca="1"/>
      </c>
      <c r="AV1557">
        <f ca="1"/>
      </c>
      <c r="AW1557">
        <f ca="1"/>
      </c>
      <c r="AX1557">
        <f ca="1"/>
      </c>
      <c r="AY1557">
        <f ca="1"/>
      </c>
      <c r="BA1557" s="7"/>
    </row>
    <row r="1558" spans="31:53" x14ac:dyDescent="0.55000000000000004">
      <c r="AE1558" s="7">
        <f ca="1"/>
      </c>
      <c r="AF1558">
        <f ca="1"/>
      </c>
      <c r="AG1558">
        <f ca="1"/>
      </c>
      <c r="AH1558">
        <f ca="1"/>
      </c>
      <c r="AI1558">
        <f ca="1"/>
      </c>
      <c r="AJ1558">
        <f ca="1"/>
      </c>
      <c r="AK1558">
        <f ca="1"/>
      </c>
      <c r="AL1558">
        <f ca="1"/>
      </c>
      <c r="AM1558">
        <f ca="1"/>
      </c>
      <c r="AN1558">
        <f ca="1"/>
      </c>
      <c r="AO1558">
        <f ca="1"/>
      </c>
      <c r="AP1558">
        <f ca="1"/>
      </c>
      <c r="AQ1558">
        <f ca="1"/>
      </c>
      <c r="AR1558">
        <f ca="1"/>
      </c>
      <c r="AT1558" s="7">
        <f ca="1"/>
      </c>
      <c r="AU1558">
        <f ca="1"/>
      </c>
      <c r="AV1558">
        <f ca="1"/>
      </c>
      <c r="AW1558">
        <f ca="1"/>
      </c>
      <c r="AX1558">
        <f ca="1"/>
      </c>
      <c r="AY1558">
        <f ca="1"/>
      </c>
      <c r="BA1558" s="7"/>
    </row>
    <row r="1559" spans="31:53" x14ac:dyDescent="0.55000000000000004">
      <c r="AE1559" s="7">
        <f ca="1"/>
      </c>
      <c r="AF1559">
        <f ca="1"/>
      </c>
      <c r="AG1559">
        <f ca="1"/>
      </c>
      <c r="AH1559">
        <f ca="1"/>
      </c>
      <c r="AI1559">
        <f ca="1"/>
      </c>
      <c r="AJ1559">
        <f ca="1"/>
      </c>
      <c r="AK1559">
        <f ca="1"/>
      </c>
      <c r="AL1559">
        <f ca="1"/>
      </c>
      <c r="AM1559">
        <f ca="1"/>
      </c>
      <c r="AN1559">
        <f ca="1"/>
      </c>
      <c r="AO1559">
        <f ca="1"/>
      </c>
      <c r="AP1559">
        <f ca="1"/>
      </c>
      <c r="AQ1559">
        <f ca="1"/>
      </c>
      <c r="AR1559">
        <f ca="1"/>
      </c>
      <c r="AT1559" s="7">
        <f ca="1"/>
      </c>
      <c r="AU1559">
        <f ca="1"/>
      </c>
      <c r="AV1559">
        <f ca="1"/>
      </c>
      <c r="AW1559">
        <f ca="1"/>
      </c>
      <c r="AX1559">
        <f ca="1"/>
      </c>
      <c r="AY1559">
        <f ca="1"/>
      </c>
      <c r="BA1559" s="7"/>
    </row>
    <row r="1560" spans="31:53" x14ac:dyDescent="0.55000000000000004">
      <c r="AE1560" s="7">
        <f ca="1"/>
      </c>
      <c r="AF1560">
        <f ca="1"/>
      </c>
      <c r="AG1560">
        <f ca="1"/>
      </c>
      <c r="AH1560">
        <f ca="1"/>
      </c>
      <c r="AI1560">
        <f ca="1"/>
      </c>
      <c r="AJ1560">
        <f ca="1"/>
      </c>
      <c r="AK1560">
        <f ca="1"/>
      </c>
      <c r="AL1560">
        <f ca="1"/>
      </c>
      <c r="AM1560">
        <f ca="1"/>
      </c>
      <c r="AN1560">
        <f ca="1"/>
      </c>
      <c r="AO1560">
        <f ca="1"/>
      </c>
      <c r="AP1560">
        <f ca="1"/>
      </c>
      <c r="AQ1560">
        <f ca="1"/>
      </c>
      <c r="AR1560">
        <f ca="1"/>
      </c>
      <c r="AT1560" s="7">
        <f ca="1"/>
      </c>
      <c r="AU1560">
        <f ca="1"/>
      </c>
      <c r="AV1560">
        <f ca="1"/>
      </c>
      <c r="AW1560">
        <f ca="1"/>
      </c>
      <c r="AX1560">
        <f ca="1"/>
      </c>
      <c r="AY1560">
        <f ca="1"/>
      </c>
      <c r="BA1560" s="7"/>
    </row>
    <row r="1561" spans="31:53" x14ac:dyDescent="0.55000000000000004">
      <c r="AE1561" s="7">
        <f ca="1"/>
      </c>
      <c r="AF1561">
        <f ca="1"/>
      </c>
      <c r="AG1561">
        <f ca="1"/>
      </c>
      <c r="AH1561">
        <f ca="1"/>
      </c>
      <c r="AI1561">
        <f ca="1"/>
      </c>
      <c r="AJ1561">
        <f ca="1"/>
      </c>
      <c r="AK1561">
        <f ca="1"/>
      </c>
      <c r="AL1561">
        <f ca="1"/>
      </c>
      <c r="AM1561">
        <f ca="1"/>
      </c>
      <c r="AN1561">
        <f ca="1"/>
      </c>
      <c r="AO1561">
        <f ca="1"/>
      </c>
      <c r="AP1561">
        <f ca="1"/>
      </c>
      <c r="AQ1561">
        <f ca="1"/>
      </c>
      <c r="AR1561">
        <f ca="1"/>
      </c>
      <c r="AT1561" s="7">
        <f ca="1"/>
      </c>
      <c r="AU1561">
        <f ca="1"/>
      </c>
      <c r="AV1561">
        <f ca="1"/>
      </c>
      <c r="AW1561">
        <f ca="1"/>
      </c>
      <c r="AX1561">
        <f ca="1"/>
      </c>
      <c r="AY1561">
        <f ca="1"/>
      </c>
      <c r="BA1561" s="7"/>
    </row>
    <row r="1562" spans="31:53" x14ac:dyDescent="0.55000000000000004">
      <c r="AE1562" s="7">
        <f ca="1"/>
      </c>
      <c r="AF1562">
        <f ca="1"/>
      </c>
      <c r="AG1562">
        <f ca="1"/>
      </c>
      <c r="AH1562">
        <f ca="1"/>
      </c>
      <c r="AI1562">
        <f ca="1"/>
      </c>
      <c r="AJ1562">
        <f ca="1"/>
      </c>
      <c r="AK1562">
        <f ca="1"/>
      </c>
      <c r="AL1562">
        <f ca="1"/>
      </c>
      <c r="AM1562">
        <f ca="1"/>
      </c>
      <c r="AN1562">
        <f ca="1"/>
      </c>
      <c r="AO1562">
        <f ca="1"/>
      </c>
      <c r="AP1562">
        <f ca="1"/>
      </c>
      <c r="AQ1562">
        <f ca="1"/>
      </c>
      <c r="AR1562">
        <f ca="1"/>
      </c>
      <c r="AT1562" s="7">
        <f ca="1"/>
      </c>
      <c r="AU1562">
        <f ca="1"/>
      </c>
      <c r="AV1562">
        <f ca="1"/>
      </c>
      <c r="AW1562">
        <f ca="1"/>
      </c>
      <c r="AX1562">
        <f ca="1"/>
      </c>
      <c r="AY1562">
        <f ca="1"/>
      </c>
      <c r="BA1562" s="7"/>
    </row>
    <row r="1563" spans="31:53" x14ac:dyDescent="0.55000000000000004">
      <c r="AE1563" s="7">
        <f ca="1"/>
      </c>
      <c r="AF1563">
        <f ca="1"/>
      </c>
      <c r="AG1563">
        <f ca="1"/>
      </c>
      <c r="AH1563">
        <f ca="1"/>
      </c>
      <c r="AI1563">
        <f ca="1"/>
      </c>
      <c r="AJ1563">
        <f ca="1"/>
      </c>
      <c r="AK1563">
        <f ca="1"/>
      </c>
      <c r="AL1563">
        <f ca="1"/>
      </c>
      <c r="AM1563">
        <f ca="1"/>
      </c>
      <c r="AN1563">
        <f ca="1"/>
      </c>
      <c r="AO1563">
        <f ca="1"/>
      </c>
      <c r="AP1563">
        <f ca="1"/>
      </c>
      <c r="AQ1563">
        <f ca="1"/>
      </c>
      <c r="AR1563">
        <f ca="1"/>
      </c>
      <c r="AT1563" s="7">
        <f ca="1"/>
      </c>
      <c r="AU1563">
        <f ca="1"/>
      </c>
      <c r="AV1563">
        <f ca="1"/>
      </c>
      <c r="AW1563">
        <f ca="1"/>
      </c>
      <c r="AX1563">
        <f ca="1"/>
      </c>
      <c r="AY1563">
        <f ca="1"/>
      </c>
      <c r="BA1563" s="7"/>
    </row>
    <row r="1564" spans="31:53" x14ac:dyDescent="0.55000000000000004">
      <c r="AE1564" s="7">
        <f ca="1"/>
      </c>
      <c r="AF1564">
        <f ca="1"/>
      </c>
      <c r="AG1564">
        <f ca="1"/>
      </c>
      <c r="AH1564">
        <f ca="1"/>
      </c>
      <c r="AI1564">
        <f ca="1"/>
      </c>
      <c r="AJ1564">
        <f ca="1"/>
      </c>
      <c r="AK1564">
        <f ca="1"/>
      </c>
      <c r="AL1564">
        <f ca="1"/>
      </c>
      <c r="AM1564">
        <f ca="1"/>
      </c>
      <c r="AN1564">
        <f ca="1"/>
      </c>
      <c r="AO1564">
        <f ca="1"/>
      </c>
      <c r="AP1564">
        <f ca="1"/>
      </c>
      <c r="AQ1564">
        <f ca="1"/>
      </c>
      <c r="AR1564">
        <f ca="1"/>
      </c>
      <c r="AT1564" s="7">
        <f ca="1"/>
      </c>
      <c r="AU1564">
        <f ca="1"/>
      </c>
      <c r="AV1564">
        <f ca="1"/>
      </c>
      <c r="AW1564">
        <f ca="1"/>
      </c>
      <c r="AX1564">
        <f ca="1"/>
      </c>
      <c r="AY1564">
        <f ca="1"/>
      </c>
      <c r="BA1564" s="7"/>
    </row>
    <row r="1565" spans="31:53" x14ac:dyDescent="0.55000000000000004">
      <c r="AE1565" s="7">
        <f ca="1"/>
      </c>
      <c r="AF1565">
        <f ca="1"/>
      </c>
      <c r="AG1565">
        <f ca="1"/>
      </c>
      <c r="AH1565">
        <f ca="1"/>
      </c>
      <c r="AI1565">
        <f ca="1"/>
      </c>
      <c r="AJ1565">
        <f ca="1"/>
      </c>
      <c r="AK1565">
        <f ca="1"/>
      </c>
      <c r="AL1565">
        <f ca="1"/>
      </c>
      <c r="AM1565">
        <f ca="1"/>
      </c>
      <c r="AN1565">
        <f ca="1"/>
      </c>
      <c r="AO1565">
        <f ca="1"/>
      </c>
      <c r="AP1565">
        <f ca="1"/>
      </c>
      <c r="AQ1565">
        <f ca="1"/>
      </c>
      <c r="AR1565">
        <f ca="1"/>
      </c>
      <c r="AT1565" s="7">
        <f ca="1"/>
      </c>
      <c r="AU1565">
        <f ca="1"/>
      </c>
      <c r="AV1565">
        <f ca="1"/>
      </c>
      <c r="AW1565">
        <f ca="1"/>
      </c>
      <c r="AX1565">
        <f ca="1"/>
      </c>
      <c r="AY1565">
        <f ca="1"/>
      </c>
      <c r="BA1565" s="7"/>
    </row>
    <row r="1566" spans="31:53" x14ac:dyDescent="0.55000000000000004">
      <c r="AE1566" s="7">
        <f ca="1"/>
      </c>
      <c r="AF1566">
        <f ca="1"/>
      </c>
      <c r="AG1566">
        <f ca="1"/>
      </c>
      <c r="AH1566">
        <f ca="1"/>
      </c>
      <c r="AI1566">
        <f ca="1"/>
      </c>
      <c r="AJ1566">
        <f ca="1"/>
      </c>
      <c r="AK1566">
        <f ca="1"/>
      </c>
      <c r="AL1566">
        <f ca="1"/>
      </c>
      <c r="AM1566">
        <f ca="1"/>
      </c>
      <c r="AN1566">
        <f ca="1"/>
      </c>
      <c r="AO1566">
        <f ca="1"/>
      </c>
      <c r="AP1566">
        <f ca="1"/>
      </c>
      <c r="AQ1566">
        <f ca="1"/>
      </c>
      <c r="AR1566">
        <f ca="1"/>
      </c>
      <c r="AT1566" s="7">
        <f ca="1"/>
      </c>
      <c r="AU1566">
        <f ca="1"/>
      </c>
      <c r="AV1566">
        <f ca="1"/>
      </c>
      <c r="AW1566">
        <f ca="1"/>
      </c>
      <c r="AX1566">
        <f ca="1"/>
      </c>
      <c r="AY1566">
        <f ca="1"/>
      </c>
      <c r="BA1566" s="7"/>
    </row>
    <row r="1567" spans="31:53" x14ac:dyDescent="0.55000000000000004">
      <c r="AE1567" s="7">
        <f ca="1"/>
      </c>
      <c r="AF1567">
        <f ca="1"/>
      </c>
      <c r="AG1567">
        <f ca="1"/>
      </c>
      <c r="AH1567">
        <f ca="1"/>
      </c>
      <c r="AI1567">
        <f ca="1"/>
      </c>
      <c r="AJ1567">
        <f ca="1"/>
      </c>
      <c r="AK1567">
        <f ca="1"/>
      </c>
      <c r="AL1567">
        <f ca="1"/>
      </c>
      <c r="AM1567">
        <f ca="1"/>
      </c>
      <c r="AN1567">
        <f ca="1"/>
      </c>
      <c r="AO1567">
        <f ca="1"/>
      </c>
      <c r="AP1567">
        <f ca="1"/>
      </c>
      <c r="AQ1567">
        <f ca="1"/>
      </c>
      <c r="AR1567">
        <f ca="1"/>
      </c>
      <c r="AT1567" s="7">
        <f ca="1"/>
      </c>
      <c r="AU1567">
        <f ca="1"/>
      </c>
      <c r="AV1567">
        <f ca="1"/>
      </c>
      <c r="AW1567">
        <f ca="1"/>
      </c>
      <c r="AX1567">
        <f ca="1"/>
      </c>
      <c r="AY1567">
        <f ca="1"/>
      </c>
      <c r="BA1567" s="7"/>
    </row>
    <row r="1568" spans="31:53" x14ac:dyDescent="0.55000000000000004">
      <c r="AE1568" s="7">
        <f ca="1"/>
      </c>
      <c r="AF1568">
        <f ca="1"/>
      </c>
      <c r="AG1568">
        <f ca="1"/>
      </c>
      <c r="AH1568">
        <f ca="1"/>
      </c>
      <c r="AI1568">
        <f ca="1"/>
      </c>
      <c r="AJ1568">
        <f ca="1"/>
      </c>
      <c r="AK1568">
        <f ca="1"/>
      </c>
      <c r="AL1568">
        <f ca="1"/>
      </c>
      <c r="AM1568">
        <f ca="1"/>
      </c>
      <c r="AN1568">
        <f ca="1"/>
      </c>
      <c r="AO1568">
        <f ca="1"/>
      </c>
      <c r="AP1568">
        <f ca="1"/>
      </c>
      <c r="AQ1568">
        <f ca="1"/>
      </c>
      <c r="AR1568">
        <f ca="1"/>
      </c>
      <c r="AT1568" s="7">
        <f ca="1"/>
      </c>
      <c r="AU1568">
        <f ca="1"/>
      </c>
      <c r="AV1568">
        <f ca="1"/>
      </c>
      <c r="AW1568">
        <f ca="1"/>
      </c>
      <c r="AX1568">
        <f ca="1"/>
      </c>
      <c r="AY1568">
        <f ca="1"/>
      </c>
      <c r="BA1568" s="7"/>
    </row>
    <row r="1569" spans="31:53" x14ac:dyDescent="0.55000000000000004">
      <c r="AE1569" s="7">
        <f ca="1"/>
      </c>
      <c r="AF1569">
        <f ca="1"/>
      </c>
      <c r="AG1569">
        <f ca="1"/>
      </c>
      <c r="AH1569">
        <f ca="1"/>
      </c>
      <c r="AI1569">
        <f ca="1"/>
      </c>
      <c r="AJ1569">
        <f ca="1"/>
      </c>
      <c r="AK1569">
        <f ca="1"/>
      </c>
      <c r="AL1569">
        <f ca="1"/>
      </c>
      <c r="AM1569">
        <f ca="1"/>
      </c>
      <c r="AN1569">
        <f ca="1"/>
      </c>
      <c r="AO1569">
        <f ca="1"/>
      </c>
      <c r="AP1569">
        <f ca="1"/>
      </c>
      <c r="AQ1569">
        <f ca="1"/>
      </c>
      <c r="AR1569">
        <f ca="1"/>
      </c>
      <c r="AT1569" s="7">
        <f ca="1"/>
      </c>
      <c r="AU1569">
        <f ca="1"/>
      </c>
      <c r="AV1569">
        <f ca="1"/>
      </c>
      <c r="AW1569">
        <f ca="1"/>
      </c>
      <c r="AX1569">
        <f ca="1"/>
      </c>
      <c r="AY1569">
        <f ca="1"/>
      </c>
      <c r="BA1569" s="7"/>
    </row>
    <row r="1570" spans="31:53" x14ac:dyDescent="0.55000000000000004">
      <c r="AE1570" s="7">
        <f ca="1"/>
      </c>
      <c r="AF1570">
        <f ca="1"/>
      </c>
      <c r="AG1570">
        <f ca="1"/>
      </c>
      <c r="AH1570">
        <f ca="1"/>
      </c>
      <c r="AI1570">
        <f ca="1"/>
      </c>
      <c r="AJ1570">
        <f ca="1"/>
      </c>
      <c r="AK1570">
        <f ca="1"/>
      </c>
      <c r="AL1570">
        <f ca="1"/>
      </c>
      <c r="AM1570">
        <f ca="1"/>
      </c>
      <c r="AN1570">
        <f ca="1"/>
      </c>
      <c r="AO1570">
        <f ca="1"/>
      </c>
      <c r="AP1570">
        <f ca="1"/>
      </c>
      <c r="AQ1570">
        <f ca="1"/>
      </c>
      <c r="AR1570">
        <f ca="1"/>
      </c>
      <c r="AT1570" s="7">
        <f ca="1"/>
      </c>
      <c r="AU1570">
        <f ca="1"/>
      </c>
      <c r="AV1570">
        <f ca="1"/>
      </c>
      <c r="AW1570">
        <f ca="1"/>
      </c>
      <c r="AX1570">
        <f ca="1"/>
      </c>
      <c r="AY1570">
        <f ca="1"/>
      </c>
      <c r="BA1570" s="7"/>
    </row>
    <row r="1571" spans="31:53" x14ac:dyDescent="0.55000000000000004">
      <c r="AE1571" s="7">
        <f ca="1"/>
      </c>
      <c r="AF1571">
        <f ca="1"/>
      </c>
      <c r="AG1571">
        <f ca="1"/>
      </c>
      <c r="AH1571">
        <f ca="1"/>
      </c>
      <c r="AI1571">
        <f ca="1"/>
      </c>
      <c r="AJ1571">
        <f ca="1"/>
      </c>
      <c r="AK1571">
        <f ca="1"/>
      </c>
      <c r="AL1571">
        <f ca="1"/>
      </c>
      <c r="AM1571">
        <f ca="1"/>
      </c>
      <c r="AN1571">
        <f ca="1"/>
      </c>
      <c r="AO1571">
        <f ca="1"/>
      </c>
      <c r="AP1571">
        <f ca="1"/>
      </c>
      <c r="AQ1571">
        <f ca="1"/>
      </c>
      <c r="AR1571">
        <f ca="1"/>
      </c>
      <c r="AT1571" s="7">
        <f ca="1"/>
      </c>
      <c r="AU1571">
        <f ca="1"/>
      </c>
      <c r="AV1571">
        <f ca="1"/>
      </c>
      <c r="AW1571">
        <f ca="1"/>
      </c>
      <c r="AX1571">
        <f ca="1"/>
      </c>
      <c r="AY1571">
        <f ca="1"/>
      </c>
      <c r="BA1571" s="7"/>
    </row>
    <row r="1572" spans="31:53" x14ac:dyDescent="0.55000000000000004">
      <c r="AE1572" s="7">
        <f ca="1"/>
      </c>
      <c r="AF1572">
        <f ca="1"/>
      </c>
      <c r="AG1572">
        <f ca="1"/>
      </c>
      <c r="AH1572">
        <f ca="1"/>
      </c>
      <c r="AI1572">
        <f ca="1"/>
      </c>
      <c r="AJ1572">
        <f ca="1"/>
      </c>
      <c r="AK1572">
        <f ca="1"/>
      </c>
      <c r="AL1572">
        <f ca="1"/>
      </c>
      <c r="AM1572">
        <f ca="1"/>
      </c>
      <c r="AN1572">
        <f ca="1"/>
      </c>
      <c r="AO1572">
        <f ca="1"/>
      </c>
      <c r="AP1572">
        <f ca="1"/>
      </c>
      <c r="AQ1572">
        <f ca="1"/>
      </c>
      <c r="AR1572">
        <f ca="1"/>
      </c>
      <c r="AT1572" s="7">
        <f ca="1"/>
      </c>
      <c r="AU1572">
        <f ca="1"/>
      </c>
      <c r="AV1572">
        <f ca="1"/>
      </c>
      <c r="AW1572">
        <f ca="1"/>
      </c>
      <c r="AX1572">
        <f ca="1"/>
      </c>
      <c r="AY1572">
        <f ca="1"/>
      </c>
      <c r="BA1572" s="7"/>
    </row>
    <row r="1573" spans="31:53" x14ac:dyDescent="0.55000000000000004">
      <c r="AE1573" s="7">
        <f ca="1"/>
      </c>
      <c r="AF1573">
        <f ca="1"/>
      </c>
      <c r="AG1573">
        <f ca="1"/>
      </c>
      <c r="AH1573">
        <f ca="1"/>
      </c>
      <c r="AI1573">
        <f ca="1"/>
      </c>
      <c r="AJ1573">
        <f ca="1"/>
      </c>
      <c r="AK1573">
        <f ca="1"/>
      </c>
      <c r="AL1573">
        <f ca="1"/>
      </c>
      <c r="AM1573">
        <f ca="1"/>
      </c>
      <c r="AN1573">
        <f ca="1"/>
      </c>
      <c r="AO1573">
        <f ca="1"/>
      </c>
      <c r="AP1573">
        <f ca="1"/>
      </c>
      <c r="AQ1573">
        <f ca="1"/>
      </c>
      <c r="AR1573">
        <f ca="1"/>
      </c>
      <c r="AT1573" s="7">
        <f ca="1"/>
      </c>
      <c r="AU1573">
        <f ca="1"/>
      </c>
      <c r="AV1573">
        <f ca="1"/>
      </c>
      <c r="AW1573">
        <f ca="1"/>
      </c>
      <c r="AX1573">
        <f ca="1"/>
      </c>
      <c r="AY1573">
        <f ca="1"/>
      </c>
      <c r="BA1573" s="7"/>
    </row>
    <row r="1574" spans="31:53" x14ac:dyDescent="0.55000000000000004">
      <c r="AE1574" s="7">
        <f ca="1"/>
      </c>
      <c r="AF1574">
        <f ca="1"/>
      </c>
      <c r="AG1574">
        <f ca="1"/>
      </c>
      <c r="AH1574">
        <f ca="1"/>
      </c>
      <c r="AI1574">
        <f ca="1"/>
      </c>
      <c r="AJ1574">
        <f ca="1"/>
      </c>
      <c r="AK1574">
        <f ca="1"/>
      </c>
      <c r="AL1574">
        <f ca="1"/>
      </c>
      <c r="AM1574">
        <f ca="1"/>
      </c>
      <c r="AN1574">
        <f ca="1"/>
      </c>
      <c r="AO1574">
        <f ca="1"/>
      </c>
      <c r="AP1574">
        <f ca="1"/>
      </c>
      <c r="AQ1574">
        <f ca="1"/>
      </c>
      <c r="AR1574">
        <f ca="1"/>
      </c>
      <c r="AT1574" s="7">
        <f ca="1"/>
      </c>
      <c r="AU1574">
        <f ca="1"/>
      </c>
      <c r="AV1574">
        <f ca="1"/>
      </c>
      <c r="AW1574">
        <f ca="1"/>
      </c>
      <c r="AX1574">
        <f ca="1"/>
      </c>
      <c r="AY1574">
        <f ca="1"/>
      </c>
      <c r="BA1574" s="7"/>
    </row>
    <row r="1575" spans="31:53" x14ac:dyDescent="0.55000000000000004">
      <c r="AE1575" s="7">
        <f ca="1"/>
      </c>
      <c r="AF1575">
        <f ca="1"/>
      </c>
      <c r="AG1575">
        <f ca="1"/>
      </c>
      <c r="AH1575">
        <f ca="1"/>
      </c>
      <c r="AI1575">
        <f ca="1"/>
      </c>
      <c r="AJ1575">
        <f ca="1"/>
      </c>
      <c r="AK1575">
        <f ca="1"/>
      </c>
      <c r="AL1575">
        <f ca="1"/>
      </c>
      <c r="AM1575">
        <f ca="1"/>
      </c>
      <c r="AN1575">
        <f ca="1"/>
      </c>
      <c r="AO1575">
        <f ca="1"/>
      </c>
      <c r="AP1575">
        <f ca="1"/>
      </c>
      <c r="AQ1575">
        <f ca="1"/>
      </c>
      <c r="AR1575">
        <f ca="1"/>
      </c>
      <c r="AT1575" s="7">
        <f ca="1"/>
      </c>
      <c r="AU1575">
        <f ca="1"/>
      </c>
      <c r="AV1575">
        <f ca="1"/>
      </c>
      <c r="AW1575">
        <f ca="1"/>
      </c>
      <c r="AX1575">
        <f ca="1"/>
      </c>
      <c r="AY1575">
        <f ca="1"/>
      </c>
      <c r="BA1575" s="7"/>
    </row>
    <row r="1576" spans="31:53" x14ac:dyDescent="0.55000000000000004">
      <c r="AE1576" s="7">
        <f ca="1"/>
      </c>
      <c r="AF1576">
        <f ca="1"/>
      </c>
      <c r="AG1576">
        <f ca="1"/>
      </c>
      <c r="AH1576">
        <f ca="1"/>
      </c>
      <c r="AI1576">
        <f ca="1"/>
      </c>
      <c r="AJ1576">
        <f ca="1"/>
      </c>
      <c r="AK1576">
        <f ca="1"/>
      </c>
      <c r="AL1576">
        <f ca="1"/>
      </c>
      <c r="AM1576">
        <f ca="1"/>
      </c>
      <c r="AN1576">
        <f ca="1"/>
      </c>
      <c r="AO1576">
        <f ca="1"/>
      </c>
      <c r="AP1576">
        <f ca="1"/>
      </c>
      <c r="AQ1576">
        <f ca="1"/>
      </c>
      <c r="AR1576">
        <f ca="1"/>
      </c>
      <c r="AT1576" s="7">
        <f ca="1"/>
      </c>
      <c r="AU1576">
        <f ca="1"/>
      </c>
      <c r="AV1576">
        <f ca="1"/>
      </c>
      <c r="AW1576">
        <f ca="1"/>
      </c>
      <c r="AX1576">
        <f ca="1"/>
      </c>
      <c r="AY1576">
        <f ca="1"/>
      </c>
      <c r="BA1576" s="7"/>
    </row>
    <row r="1577" spans="31:53" x14ac:dyDescent="0.55000000000000004">
      <c r="AE1577" s="7">
        <f ca="1"/>
      </c>
      <c r="AF1577">
        <f ca="1"/>
      </c>
      <c r="AG1577">
        <f ca="1"/>
      </c>
      <c r="AH1577">
        <f ca="1"/>
      </c>
      <c r="AI1577">
        <f ca="1"/>
      </c>
      <c r="AJ1577">
        <f ca="1"/>
      </c>
      <c r="AK1577">
        <f ca="1"/>
      </c>
      <c r="AL1577">
        <f ca="1"/>
      </c>
      <c r="AM1577">
        <f ca="1"/>
      </c>
      <c r="AN1577">
        <f ca="1"/>
      </c>
      <c r="AO1577">
        <f ca="1"/>
      </c>
      <c r="AP1577">
        <f ca="1"/>
      </c>
      <c r="AQ1577">
        <f ca="1"/>
      </c>
      <c r="AR1577">
        <f ca="1"/>
      </c>
      <c r="AT1577" s="7">
        <f ca="1"/>
      </c>
      <c r="AU1577">
        <f ca="1"/>
      </c>
      <c r="AV1577">
        <f ca="1"/>
      </c>
      <c r="AW1577">
        <f ca="1"/>
      </c>
      <c r="AX1577">
        <f ca="1"/>
      </c>
      <c r="AY1577">
        <f ca="1"/>
      </c>
      <c r="BA1577" s="7"/>
    </row>
    <row r="1578" spans="31:53" x14ac:dyDescent="0.55000000000000004">
      <c r="AE1578" s="7">
        <f ca="1"/>
      </c>
      <c r="AF1578">
        <f ca="1"/>
      </c>
      <c r="AG1578">
        <f ca="1"/>
      </c>
      <c r="AH1578">
        <f ca="1"/>
      </c>
      <c r="AI1578">
        <f ca="1"/>
      </c>
      <c r="AJ1578">
        <f ca="1"/>
      </c>
      <c r="AK1578">
        <f ca="1"/>
      </c>
      <c r="AL1578">
        <f ca="1"/>
      </c>
      <c r="AM1578">
        <f ca="1"/>
      </c>
      <c r="AN1578">
        <f ca="1"/>
      </c>
      <c r="AO1578">
        <f ca="1"/>
      </c>
      <c r="AP1578">
        <f ca="1"/>
      </c>
      <c r="AQ1578">
        <f ca="1"/>
      </c>
      <c r="AR1578">
        <f ca="1"/>
      </c>
      <c r="AT1578" s="7">
        <f ca="1"/>
      </c>
      <c r="AU1578">
        <f ca="1"/>
      </c>
      <c r="AV1578">
        <f ca="1"/>
      </c>
      <c r="AW1578">
        <f ca="1"/>
      </c>
      <c r="AX1578">
        <f ca="1"/>
      </c>
      <c r="AY1578">
        <f ca="1"/>
      </c>
      <c r="BA1578" s="7"/>
    </row>
    <row r="1579" spans="31:53" x14ac:dyDescent="0.55000000000000004">
      <c r="AE1579" s="7">
        <f ca="1"/>
      </c>
      <c r="AF1579">
        <f ca="1"/>
      </c>
      <c r="AG1579">
        <f ca="1"/>
      </c>
      <c r="AH1579">
        <f ca="1"/>
      </c>
      <c r="AI1579">
        <f ca="1"/>
      </c>
      <c r="AJ1579">
        <f ca="1"/>
      </c>
      <c r="AK1579">
        <f ca="1"/>
      </c>
      <c r="AL1579">
        <f ca="1"/>
      </c>
      <c r="AM1579">
        <f ca="1"/>
      </c>
      <c r="AN1579">
        <f ca="1"/>
      </c>
      <c r="AO1579">
        <f ca="1"/>
      </c>
      <c r="AP1579">
        <f ca="1"/>
      </c>
      <c r="AQ1579">
        <f ca="1"/>
      </c>
      <c r="AR1579">
        <f ca="1"/>
      </c>
      <c r="AT1579" s="7">
        <f ca="1"/>
      </c>
      <c r="AU1579">
        <f ca="1"/>
      </c>
      <c r="AV1579">
        <f ca="1"/>
      </c>
      <c r="AW1579">
        <f ca="1"/>
      </c>
      <c r="AX1579">
        <f ca="1"/>
      </c>
      <c r="AY1579">
        <f ca="1"/>
      </c>
      <c r="BA1579" s="7"/>
    </row>
    <row r="1580" spans="31:53" x14ac:dyDescent="0.55000000000000004">
      <c r="AE1580" s="7">
        <f ca="1"/>
      </c>
      <c r="AF1580">
        <f ca="1"/>
      </c>
      <c r="AG1580">
        <f ca="1"/>
      </c>
      <c r="AH1580">
        <f ca="1"/>
      </c>
      <c r="AI1580">
        <f ca="1"/>
      </c>
      <c r="AJ1580">
        <f ca="1"/>
      </c>
      <c r="AK1580">
        <f ca="1"/>
      </c>
      <c r="AL1580">
        <f ca="1"/>
      </c>
      <c r="AM1580">
        <f ca="1"/>
      </c>
      <c r="AN1580">
        <f ca="1"/>
      </c>
      <c r="AO1580">
        <f ca="1"/>
      </c>
      <c r="AP1580">
        <f ca="1"/>
      </c>
      <c r="AQ1580">
        <f ca="1"/>
      </c>
      <c r="AR1580">
        <f ca="1"/>
      </c>
      <c r="AT1580" s="7">
        <f ca="1"/>
      </c>
      <c r="AU1580">
        <f ca="1"/>
      </c>
      <c r="AV1580">
        <f ca="1"/>
      </c>
      <c r="AW1580">
        <f ca="1"/>
      </c>
      <c r="AX1580">
        <f ca="1"/>
      </c>
      <c r="AY1580">
        <f ca="1"/>
      </c>
      <c r="BA1580" s="7"/>
    </row>
    <row r="1581" spans="31:53" x14ac:dyDescent="0.55000000000000004">
      <c r="AE1581" s="7">
        <f ca="1"/>
      </c>
      <c r="AF1581">
        <f ca="1"/>
      </c>
      <c r="AG1581">
        <f ca="1"/>
      </c>
      <c r="AH1581">
        <f ca="1"/>
      </c>
      <c r="AI1581">
        <f ca="1"/>
      </c>
      <c r="AJ1581">
        <f ca="1"/>
      </c>
      <c r="AK1581">
        <f ca="1"/>
      </c>
      <c r="AL1581">
        <f ca="1"/>
      </c>
      <c r="AM1581">
        <f ca="1"/>
      </c>
      <c r="AN1581">
        <f ca="1"/>
      </c>
      <c r="AO1581">
        <f ca="1"/>
      </c>
      <c r="AP1581">
        <f ca="1"/>
      </c>
      <c r="AQ1581">
        <f ca="1"/>
      </c>
      <c r="AR1581">
        <f ca="1"/>
      </c>
      <c r="AT1581" s="7">
        <f ca="1"/>
      </c>
      <c r="AU1581">
        <f ca="1"/>
      </c>
      <c r="AV1581">
        <f ca="1"/>
      </c>
      <c r="AW1581">
        <f ca="1"/>
      </c>
      <c r="AX1581">
        <f ca="1"/>
      </c>
      <c r="AY1581">
        <f ca="1"/>
      </c>
      <c r="BA1581" s="7"/>
    </row>
    <row r="1582" spans="31:53" x14ac:dyDescent="0.55000000000000004">
      <c r="AE1582" s="7">
        <f ca="1"/>
      </c>
      <c r="AF1582">
        <f ca="1"/>
      </c>
      <c r="AG1582">
        <f ca="1"/>
      </c>
      <c r="AH1582">
        <f ca="1"/>
      </c>
      <c r="AI1582">
        <f ca="1"/>
      </c>
      <c r="AJ1582">
        <f ca="1"/>
      </c>
      <c r="AK1582">
        <f ca="1"/>
      </c>
      <c r="AL1582">
        <f ca="1"/>
      </c>
      <c r="AM1582">
        <f ca="1"/>
      </c>
      <c r="AN1582">
        <f ca="1"/>
      </c>
      <c r="AO1582">
        <f ca="1"/>
      </c>
      <c r="AP1582">
        <f ca="1"/>
      </c>
      <c r="AQ1582">
        <f ca="1"/>
      </c>
      <c r="AR1582">
        <f ca="1"/>
      </c>
      <c r="AT1582" s="7">
        <f ca="1"/>
      </c>
      <c r="AU1582">
        <f ca="1"/>
      </c>
      <c r="AV1582">
        <f ca="1"/>
      </c>
      <c r="AW1582">
        <f ca="1"/>
      </c>
      <c r="AX1582">
        <f ca="1"/>
      </c>
      <c r="AY1582">
        <f ca="1"/>
      </c>
      <c r="BA1582" s="7"/>
    </row>
    <row r="1583" spans="31:53" x14ac:dyDescent="0.55000000000000004">
      <c r="AE1583" s="7">
        <f ca="1"/>
      </c>
      <c r="AF1583">
        <f ca="1"/>
      </c>
      <c r="AG1583">
        <f ca="1"/>
      </c>
      <c r="AH1583">
        <f ca="1"/>
      </c>
      <c r="AI1583">
        <f ca="1"/>
      </c>
      <c r="AJ1583">
        <f ca="1"/>
      </c>
      <c r="AK1583">
        <f ca="1"/>
      </c>
      <c r="AL1583">
        <f ca="1"/>
      </c>
      <c r="AM1583">
        <f ca="1"/>
      </c>
      <c r="AN1583">
        <f ca="1"/>
      </c>
      <c r="AO1583">
        <f ca="1"/>
      </c>
      <c r="AP1583">
        <f ca="1"/>
      </c>
      <c r="AQ1583">
        <f ca="1"/>
      </c>
      <c r="AR1583">
        <f ca="1"/>
      </c>
      <c r="AT1583" s="7">
        <f ca="1"/>
      </c>
      <c r="AU1583">
        <f ca="1"/>
      </c>
      <c r="AV1583">
        <f ca="1"/>
      </c>
      <c r="AW1583">
        <f ca="1"/>
      </c>
      <c r="AX1583">
        <f ca="1"/>
      </c>
      <c r="AY1583">
        <f ca="1"/>
      </c>
      <c r="BA1583" s="7"/>
    </row>
    <row r="1584" spans="31:53" x14ac:dyDescent="0.55000000000000004">
      <c r="AE1584" s="7">
        <f ca="1"/>
      </c>
      <c r="AF1584">
        <f ca="1"/>
      </c>
      <c r="AG1584">
        <f ca="1"/>
      </c>
      <c r="AH1584">
        <f ca="1"/>
      </c>
      <c r="AI1584">
        <f ca="1"/>
      </c>
      <c r="AJ1584">
        <f ca="1"/>
      </c>
      <c r="AK1584">
        <f ca="1"/>
      </c>
      <c r="AL1584">
        <f ca="1"/>
      </c>
      <c r="AM1584">
        <f ca="1"/>
      </c>
      <c r="AN1584">
        <f ca="1"/>
      </c>
      <c r="AO1584">
        <f ca="1"/>
      </c>
      <c r="AP1584">
        <f ca="1"/>
      </c>
      <c r="AQ1584">
        <f ca="1"/>
      </c>
      <c r="AR1584">
        <f ca="1"/>
      </c>
      <c r="AT1584" s="7">
        <f ca="1"/>
      </c>
      <c r="AU1584">
        <f ca="1"/>
      </c>
      <c r="AV1584">
        <f ca="1"/>
      </c>
      <c r="AW1584">
        <f ca="1"/>
      </c>
      <c r="AX1584">
        <f ca="1"/>
      </c>
      <c r="AY1584">
        <f ca="1"/>
      </c>
      <c r="BA1584" s="7"/>
    </row>
    <row r="1585" spans="31:53" x14ac:dyDescent="0.55000000000000004">
      <c r="AE1585" s="7">
        <f ca="1"/>
      </c>
      <c r="AF1585">
        <f ca="1"/>
      </c>
      <c r="AG1585">
        <f ca="1"/>
      </c>
      <c r="AH1585">
        <f ca="1"/>
      </c>
      <c r="AI1585">
        <f ca="1"/>
      </c>
      <c r="AJ1585">
        <f ca="1"/>
      </c>
      <c r="AK1585">
        <f ca="1"/>
      </c>
      <c r="AL1585">
        <f ca="1"/>
      </c>
      <c r="AM1585">
        <f ca="1"/>
      </c>
      <c r="AN1585">
        <f ca="1"/>
      </c>
      <c r="AO1585">
        <f ca="1"/>
      </c>
      <c r="AP1585">
        <f ca="1"/>
      </c>
      <c r="AQ1585">
        <f ca="1"/>
      </c>
      <c r="AR1585">
        <f ca="1"/>
      </c>
      <c r="AT1585" s="7">
        <f ca="1"/>
      </c>
      <c r="AU1585">
        <f ca="1"/>
      </c>
      <c r="AV1585">
        <f ca="1"/>
      </c>
      <c r="AW1585">
        <f ca="1"/>
      </c>
      <c r="AX1585">
        <f ca="1"/>
      </c>
      <c r="AY1585">
        <f ca="1"/>
      </c>
      <c r="BA1585" s="7"/>
    </row>
    <row r="1586" spans="31:53" x14ac:dyDescent="0.55000000000000004">
      <c r="AE1586" s="7">
        <f ca="1"/>
      </c>
      <c r="AF1586">
        <f ca="1"/>
      </c>
      <c r="AG1586">
        <f ca="1"/>
      </c>
      <c r="AH1586">
        <f ca="1"/>
      </c>
      <c r="AI1586">
        <f ca="1"/>
      </c>
      <c r="AJ1586">
        <f ca="1"/>
      </c>
      <c r="AK1586">
        <f ca="1"/>
      </c>
      <c r="AL1586">
        <f ca="1"/>
      </c>
      <c r="AM1586">
        <f ca="1"/>
      </c>
      <c r="AN1586">
        <f ca="1"/>
      </c>
      <c r="AO1586">
        <f ca="1"/>
      </c>
      <c r="AP1586">
        <f ca="1"/>
      </c>
      <c r="AQ1586">
        <f ca="1"/>
      </c>
      <c r="AR1586">
        <f ca="1"/>
      </c>
      <c r="AT1586" s="7">
        <f ca="1"/>
      </c>
      <c r="AU1586">
        <f ca="1"/>
      </c>
      <c r="AV1586">
        <f ca="1"/>
      </c>
      <c r="AW1586">
        <f ca="1"/>
      </c>
      <c r="AX1586">
        <f ca="1"/>
      </c>
      <c r="AY1586">
        <f ca="1"/>
      </c>
      <c r="BA1586" s="7"/>
    </row>
    <row r="1587" spans="31:53" x14ac:dyDescent="0.55000000000000004">
      <c r="AE1587" s="7">
        <f ca="1"/>
      </c>
      <c r="AF1587">
        <f ca="1"/>
      </c>
      <c r="AG1587">
        <f ca="1"/>
      </c>
      <c r="AH1587">
        <f ca="1"/>
      </c>
      <c r="AI1587">
        <f ca="1"/>
      </c>
      <c r="AJ1587">
        <f ca="1"/>
      </c>
      <c r="AK1587">
        <f ca="1"/>
      </c>
      <c r="AL1587">
        <f ca="1"/>
      </c>
      <c r="AM1587">
        <f ca="1"/>
      </c>
      <c r="AN1587">
        <f ca="1"/>
      </c>
      <c r="AO1587">
        <f ca="1"/>
      </c>
      <c r="AP1587">
        <f ca="1"/>
      </c>
      <c r="AQ1587">
        <f ca="1"/>
      </c>
      <c r="AR1587">
        <f ca="1"/>
      </c>
      <c r="AT1587" s="7">
        <f ca="1"/>
      </c>
      <c r="AU1587">
        <f ca="1"/>
      </c>
      <c r="AV1587">
        <f ca="1"/>
      </c>
      <c r="AW1587">
        <f ca="1"/>
      </c>
      <c r="AX1587">
        <f ca="1"/>
      </c>
      <c r="AY1587">
        <f ca="1"/>
      </c>
      <c r="BA1587" s="7"/>
    </row>
    <row r="1588" spans="31:53" x14ac:dyDescent="0.55000000000000004">
      <c r="AE1588" s="7">
        <f ca="1"/>
      </c>
      <c r="AF1588">
        <f ca="1"/>
      </c>
      <c r="AG1588">
        <f ca="1"/>
      </c>
      <c r="AH1588">
        <f ca="1"/>
      </c>
      <c r="AI1588">
        <f ca="1"/>
      </c>
      <c r="AJ1588">
        <f ca="1"/>
      </c>
      <c r="AK1588">
        <f ca="1"/>
      </c>
      <c r="AL1588">
        <f ca="1"/>
      </c>
      <c r="AM1588">
        <f ca="1"/>
      </c>
      <c r="AN1588">
        <f ca="1"/>
      </c>
      <c r="AO1588">
        <f ca="1"/>
      </c>
      <c r="AP1588">
        <f ca="1"/>
      </c>
      <c r="AQ1588">
        <f ca="1"/>
      </c>
      <c r="AR1588">
        <f ca="1"/>
      </c>
      <c r="AT1588" s="7">
        <f ca="1"/>
      </c>
      <c r="AU1588">
        <f ca="1"/>
      </c>
      <c r="AV1588">
        <f ca="1"/>
      </c>
      <c r="AW1588">
        <f ca="1"/>
      </c>
      <c r="AX1588">
        <f ca="1"/>
      </c>
      <c r="AY1588">
        <f ca="1"/>
      </c>
      <c r="BA1588" s="7"/>
    </row>
    <row r="1589" spans="31:53" x14ac:dyDescent="0.55000000000000004">
      <c r="AE1589" s="7">
        <f ca="1"/>
      </c>
      <c r="AF1589">
        <f ca="1"/>
      </c>
      <c r="AG1589">
        <f ca="1"/>
      </c>
      <c r="AH1589">
        <f ca="1"/>
      </c>
      <c r="AI1589">
        <f ca="1"/>
      </c>
      <c r="AJ1589">
        <f ca="1"/>
      </c>
      <c r="AK1589">
        <f ca="1"/>
      </c>
      <c r="AL1589">
        <f ca="1"/>
      </c>
      <c r="AM1589">
        <f ca="1"/>
      </c>
      <c r="AN1589">
        <f ca="1"/>
      </c>
      <c r="AO1589">
        <f ca="1"/>
      </c>
      <c r="AP1589">
        <f ca="1"/>
      </c>
      <c r="AQ1589">
        <f ca="1"/>
      </c>
      <c r="AR1589">
        <f ca="1"/>
      </c>
      <c r="AT1589" s="7">
        <f ca="1"/>
      </c>
      <c r="AU1589">
        <f ca="1"/>
      </c>
      <c r="AV1589">
        <f ca="1"/>
      </c>
      <c r="AW1589">
        <f ca="1"/>
      </c>
      <c r="AX1589">
        <f ca="1"/>
      </c>
      <c r="AY1589">
        <f ca="1"/>
      </c>
      <c r="BA1589" s="7"/>
    </row>
    <row r="1590" spans="31:53" x14ac:dyDescent="0.55000000000000004">
      <c r="AE1590" s="7">
        <f ca="1"/>
      </c>
      <c r="AF1590">
        <f ca="1"/>
      </c>
      <c r="AG1590">
        <f ca="1"/>
      </c>
      <c r="AH1590">
        <f ca="1"/>
      </c>
      <c r="AI1590">
        <f ca="1"/>
      </c>
      <c r="AJ1590">
        <f ca="1"/>
      </c>
      <c r="AK1590">
        <f ca="1"/>
      </c>
      <c r="AL1590">
        <f ca="1"/>
      </c>
      <c r="AM1590">
        <f ca="1"/>
      </c>
      <c r="AN1590">
        <f ca="1"/>
      </c>
      <c r="AO1590">
        <f ca="1"/>
      </c>
      <c r="AP1590">
        <f ca="1"/>
      </c>
      <c r="AQ1590">
        <f ca="1"/>
      </c>
      <c r="AR1590">
        <f ca="1"/>
      </c>
      <c r="AT1590" s="7">
        <f ca="1"/>
      </c>
      <c r="AU1590">
        <f ca="1"/>
      </c>
      <c r="AV1590">
        <f ca="1"/>
      </c>
      <c r="AW1590">
        <f ca="1"/>
      </c>
      <c r="AX1590">
        <f ca="1"/>
      </c>
      <c r="AY1590">
        <f ca="1"/>
      </c>
      <c r="BA1590" s="7"/>
    </row>
    <row r="1591" spans="31:53" x14ac:dyDescent="0.55000000000000004">
      <c r="AE1591" s="7">
        <f ca="1"/>
      </c>
      <c r="AF1591">
        <f ca="1"/>
      </c>
      <c r="AG1591">
        <f ca="1"/>
      </c>
      <c r="AH1591">
        <f ca="1"/>
      </c>
      <c r="AI1591">
        <f ca="1"/>
      </c>
      <c r="AJ1591">
        <f ca="1"/>
      </c>
      <c r="AK1591">
        <f ca="1"/>
      </c>
      <c r="AL1591">
        <f ca="1"/>
      </c>
      <c r="AM1591">
        <f ca="1"/>
      </c>
      <c r="AN1591">
        <f ca="1"/>
      </c>
      <c r="AO1591">
        <f ca="1"/>
      </c>
      <c r="AP1591">
        <f ca="1"/>
      </c>
      <c r="AQ1591">
        <f ca="1"/>
      </c>
      <c r="AR1591">
        <f ca="1"/>
      </c>
      <c r="AT1591" s="7">
        <f ca="1"/>
      </c>
      <c r="AU1591">
        <f ca="1"/>
      </c>
      <c r="AV1591">
        <f ca="1"/>
      </c>
      <c r="AW1591">
        <f ca="1"/>
      </c>
      <c r="AX1591">
        <f ca="1"/>
      </c>
      <c r="AY1591">
        <f ca="1"/>
      </c>
      <c r="BA1591" s="7"/>
    </row>
    <row r="1592" spans="31:53" x14ac:dyDescent="0.55000000000000004">
      <c r="AE1592" s="7">
        <f ca="1"/>
      </c>
      <c r="AF1592">
        <f ca="1"/>
      </c>
      <c r="AG1592">
        <f ca="1"/>
      </c>
      <c r="AH1592">
        <f ca="1"/>
      </c>
      <c r="AI1592">
        <f ca="1"/>
      </c>
      <c r="AJ1592">
        <f ca="1"/>
      </c>
      <c r="AK1592">
        <f ca="1"/>
      </c>
      <c r="AL1592">
        <f ca="1"/>
      </c>
      <c r="AM1592">
        <f ca="1"/>
      </c>
      <c r="AN1592">
        <f ca="1"/>
      </c>
      <c r="AO1592">
        <f ca="1"/>
      </c>
      <c r="AP1592">
        <f ca="1"/>
      </c>
      <c r="AQ1592">
        <f ca="1"/>
      </c>
      <c r="AR1592">
        <f ca="1"/>
      </c>
      <c r="AT1592" s="7">
        <f ca="1"/>
      </c>
      <c r="AU1592">
        <f ca="1"/>
      </c>
      <c r="AV1592">
        <f ca="1"/>
      </c>
      <c r="AW1592">
        <f ca="1"/>
      </c>
      <c r="AX1592">
        <f ca="1"/>
      </c>
      <c r="AY1592">
        <f ca="1"/>
      </c>
      <c r="BA1592" s="7"/>
    </row>
    <row r="1593" spans="31:53" x14ac:dyDescent="0.55000000000000004">
      <c r="AE1593" s="7">
        <f ca="1"/>
      </c>
      <c r="AF1593">
        <f ca="1"/>
      </c>
      <c r="AG1593">
        <f ca="1"/>
      </c>
      <c r="AH1593">
        <f ca="1"/>
      </c>
      <c r="AI1593">
        <f ca="1"/>
      </c>
      <c r="AJ1593">
        <f ca="1"/>
      </c>
      <c r="AK1593">
        <f ca="1"/>
      </c>
      <c r="AL1593">
        <f ca="1"/>
      </c>
      <c r="AM1593">
        <f ca="1"/>
      </c>
      <c r="AN1593">
        <f ca="1"/>
      </c>
      <c r="AO1593">
        <f ca="1"/>
      </c>
      <c r="AP1593">
        <f ca="1"/>
      </c>
      <c r="AQ1593">
        <f ca="1"/>
      </c>
      <c r="AR1593">
        <f ca="1"/>
      </c>
      <c r="AT1593" s="7">
        <f ca="1"/>
      </c>
      <c r="AU1593">
        <f ca="1"/>
      </c>
      <c r="AV1593">
        <f ca="1"/>
      </c>
      <c r="AW1593">
        <f ca="1"/>
      </c>
      <c r="AX1593">
        <f ca="1"/>
      </c>
      <c r="AY1593">
        <f ca="1"/>
      </c>
      <c r="BA1593" s="7"/>
    </row>
    <row r="1594" spans="31:53" x14ac:dyDescent="0.55000000000000004">
      <c r="AE1594" s="7">
        <f ca="1"/>
      </c>
      <c r="AF1594">
        <f ca="1"/>
      </c>
      <c r="AG1594">
        <f ca="1"/>
      </c>
      <c r="AH1594">
        <f ca="1"/>
      </c>
      <c r="AI1594">
        <f ca="1"/>
      </c>
      <c r="AJ1594">
        <f ca="1"/>
      </c>
      <c r="AK1594">
        <f ca="1"/>
      </c>
      <c r="AL1594">
        <f ca="1"/>
      </c>
      <c r="AM1594">
        <f ca="1"/>
      </c>
      <c r="AN1594">
        <f ca="1"/>
      </c>
      <c r="AO1594">
        <f ca="1"/>
      </c>
      <c r="AP1594">
        <f ca="1"/>
      </c>
      <c r="AQ1594">
        <f ca="1"/>
      </c>
      <c r="AR1594">
        <f ca="1"/>
      </c>
      <c r="AT1594" s="7">
        <f ca="1"/>
      </c>
      <c r="AU1594">
        <f ca="1"/>
      </c>
      <c r="AV1594">
        <f ca="1"/>
      </c>
      <c r="AW1594">
        <f ca="1"/>
      </c>
      <c r="AX1594">
        <f ca="1"/>
      </c>
      <c r="AY1594">
        <f ca="1"/>
      </c>
      <c r="BA1594" s="7"/>
    </row>
    <row r="1595" spans="31:53" x14ac:dyDescent="0.55000000000000004">
      <c r="AE1595" s="7">
        <f ca="1"/>
      </c>
      <c r="AF1595">
        <f ca="1"/>
      </c>
      <c r="AG1595">
        <f ca="1"/>
      </c>
      <c r="AH1595">
        <f ca="1"/>
      </c>
      <c r="AI1595">
        <f ca="1"/>
      </c>
      <c r="AJ1595">
        <f ca="1"/>
      </c>
      <c r="AK1595">
        <f ca="1"/>
      </c>
      <c r="AL1595">
        <f ca="1"/>
      </c>
      <c r="AM1595">
        <f ca="1"/>
      </c>
      <c r="AN1595">
        <f ca="1"/>
      </c>
      <c r="AO1595">
        <f ca="1"/>
      </c>
      <c r="AP1595">
        <f ca="1"/>
      </c>
      <c r="AQ1595">
        <f ca="1"/>
      </c>
      <c r="AR1595">
        <f ca="1"/>
      </c>
      <c r="AT1595" s="7">
        <f ca="1"/>
      </c>
      <c r="AU1595">
        <f ca="1"/>
      </c>
      <c r="AV1595">
        <f ca="1"/>
      </c>
      <c r="AW1595">
        <f ca="1"/>
      </c>
      <c r="AX1595">
        <f ca="1"/>
      </c>
      <c r="AY1595">
        <f ca="1"/>
      </c>
      <c r="BA1595" s="7"/>
    </row>
    <row r="1596" spans="31:53" x14ac:dyDescent="0.55000000000000004">
      <c r="AE1596" s="7">
        <f ca="1"/>
      </c>
      <c r="AF1596">
        <f ca="1"/>
      </c>
      <c r="AG1596">
        <f ca="1"/>
      </c>
      <c r="AH1596">
        <f ca="1"/>
      </c>
      <c r="AI1596">
        <f ca="1"/>
      </c>
      <c r="AJ1596">
        <f ca="1"/>
      </c>
      <c r="AK1596">
        <f ca="1"/>
      </c>
      <c r="AL1596">
        <f ca="1"/>
      </c>
      <c r="AM1596">
        <f ca="1"/>
      </c>
      <c r="AN1596">
        <f ca="1"/>
      </c>
      <c r="AO1596">
        <f ca="1"/>
      </c>
      <c r="AP1596">
        <f ca="1"/>
      </c>
      <c r="AQ1596">
        <f ca="1"/>
      </c>
      <c r="AR1596">
        <f ca="1"/>
      </c>
      <c r="AT1596" s="7">
        <f ca="1"/>
      </c>
      <c r="AU1596">
        <f ca="1"/>
      </c>
      <c r="AV1596">
        <f ca="1"/>
      </c>
      <c r="AW1596">
        <f ca="1"/>
      </c>
      <c r="AX1596">
        <f ca="1"/>
      </c>
      <c r="AY1596">
        <f ca="1"/>
      </c>
      <c r="BA1596" s="7"/>
    </row>
    <row r="1597" spans="31:53" x14ac:dyDescent="0.55000000000000004">
      <c r="AE1597" s="7">
        <f ca="1"/>
      </c>
      <c r="AF1597">
        <f ca="1"/>
      </c>
      <c r="AG1597">
        <f ca="1"/>
      </c>
      <c r="AH1597">
        <f ca="1"/>
      </c>
      <c r="AI1597">
        <f ca="1"/>
      </c>
      <c r="AJ1597">
        <f ca="1"/>
      </c>
      <c r="AK1597">
        <f ca="1"/>
      </c>
      <c r="AL1597">
        <f ca="1"/>
      </c>
      <c r="AM1597">
        <f ca="1"/>
      </c>
      <c r="AN1597">
        <f ca="1"/>
      </c>
      <c r="AO1597">
        <f ca="1"/>
      </c>
      <c r="AP1597">
        <f ca="1"/>
      </c>
      <c r="AQ1597">
        <f ca="1"/>
      </c>
      <c r="AR1597">
        <f ca="1"/>
      </c>
      <c r="AT1597" s="7">
        <f ca="1"/>
      </c>
      <c r="AU1597">
        <f ca="1"/>
      </c>
      <c r="AV1597">
        <f ca="1"/>
      </c>
      <c r="AW1597">
        <f ca="1"/>
      </c>
      <c r="AX1597">
        <f ca="1"/>
      </c>
      <c r="AY1597">
        <f ca="1"/>
      </c>
      <c r="BA1597" s="7"/>
    </row>
    <row r="1598" spans="31:53" x14ac:dyDescent="0.55000000000000004">
      <c r="AE1598" s="7">
        <f ca="1"/>
      </c>
      <c r="AF1598">
        <f ca="1"/>
      </c>
      <c r="AG1598">
        <f ca="1"/>
      </c>
      <c r="AH1598">
        <f ca="1"/>
      </c>
      <c r="AI1598">
        <f ca="1"/>
      </c>
      <c r="AJ1598">
        <f ca="1"/>
      </c>
      <c r="AK1598">
        <f ca="1"/>
      </c>
      <c r="AL1598">
        <f ca="1"/>
      </c>
      <c r="AM1598">
        <f ca="1"/>
      </c>
      <c r="AN1598">
        <f ca="1"/>
      </c>
      <c r="AO1598">
        <f ca="1"/>
      </c>
      <c r="AP1598">
        <f ca="1"/>
      </c>
      <c r="AQ1598">
        <f ca="1"/>
      </c>
      <c r="AR1598">
        <f ca="1"/>
      </c>
      <c r="AT1598" s="7">
        <f ca="1"/>
      </c>
      <c r="AU1598">
        <f ca="1"/>
      </c>
      <c r="AV1598">
        <f ca="1"/>
      </c>
      <c r="AW1598">
        <f ca="1"/>
      </c>
      <c r="AX1598">
        <f ca="1"/>
      </c>
      <c r="AY1598">
        <f ca="1"/>
      </c>
      <c r="BA1598" s="7"/>
    </row>
    <row r="1599" spans="31:53" x14ac:dyDescent="0.55000000000000004">
      <c r="AE1599" s="7">
        <f ca="1"/>
      </c>
      <c r="AF1599">
        <f ca="1"/>
      </c>
      <c r="AG1599">
        <f ca="1"/>
      </c>
      <c r="AH1599">
        <f ca="1"/>
      </c>
      <c r="AI1599">
        <f ca="1"/>
      </c>
      <c r="AJ1599">
        <f ca="1"/>
      </c>
      <c r="AK1599">
        <f ca="1"/>
      </c>
      <c r="AL1599">
        <f ca="1"/>
      </c>
      <c r="AM1599">
        <f ca="1"/>
      </c>
      <c r="AN1599">
        <f ca="1"/>
      </c>
      <c r="AO1599">
        <f ca="1"/>
      </c>
      <c r="AP1599">
        <f ca="1"/>
      </c>
      <c r="AQ1599">
        <f ca="1"/>
      </c>
      <c r="AR1599">
        <f ca="1"/>
      </c>
      <c r="AT1599" s="7">
        <f ca="1"/>
      </c>
      <c r="AU1599">
        <f ca="1"/>
      </c>
      <c r="AV1599">
        <f ca="1"/>
      </c>
      <c r="AW1599">
        <f ca="1"/>
      </c>
      <c r="AX1599">
        <f ca="1"/>
      </c>
      <c r="AY1599">
        <f ca="1"/>
      </c>
      <c r="BA1599" s="7"/>
    </row>
    <row r="1600" spans="31:53" x14ac:dyDescent="0.55000000000000004">
      <c r="AE1600" s="7">
        <f ca="1"/>
      </c>
      <c r="AF1600">
        <f ca="1"/>
      </c>
      <c r="AG1600">
        <f ca="1"/>
      </c>
      <c r="AH1600">
        <f ca="1"/>
      </c>
      <c r="AI1600">
        <f ca="1"/>
      </c>
      <c r="AJ1600">
        <f ca="1"/>
      </c>
      <c r="AK1600">
        <f ca="1"/>
      </c>
      <c r="AL1600">
        <f ca="1"/>
      </c>
      <c r="AM1600">
        <f ca="1"/>
      </c>
      <c r="AN1600">
        <f ca="1"/>
      </c>
      <c r="AO1600">
        <f ca="1"/>
      </c>
      <c r="AP1600">
        <f ca="1"/>
      </c>
      <c r="AQ1600">
        <f ca="1"/>
      </c>
      <c r="AR1600">
        <f ca="1"/>
      </c>
      <c r="AT1600" s="7">
        <f ca="1"/>
      </c>
      <c r="AU1600">
        <f ca="1"/>
      </c>
      <c r="AV1600">
        <f ca="1"/>
      </c>
      <c r="AW1600">
        <f ca="1"/>
      </c>
      <c r="AX1600">
        <f ca="1"/>
      </c>
      <c r="AY1600">
        <f ca="1"/>
      </c>
      <c r="BA1600" s="7"/>
    </row>
    <row r="1601" spans="31:53" x14ac:dyDescent="0.55000000000000004">
      <c r="AE1601" s="7">
        <f ca="1"/>
      </c>
      <c r="AF1601">
        <f ca="1"/>
      </c>
      <c r="AG1601">
        <f ca="1"/>
      </c>
      <c r="AH1601">
        <f ca="1"/>
      </c>
      <c r="AI1601">
        <f ca="1"/>
      </c>
      <c r="AJ1601">
        <f ca="1"/>
      </c>
      <c r="AK1601">
        <f ca="1"/>
      </c>
      <c r="AL1601">
        <f ca="1"/>
      </c>
      <c r="AM1601">
        <f ca="1"/>
      </c>
      <c r="AN1601">
        <f ca="1"/>
      </c>
      <c r="AO1601">
        <f ca="1"/>
      </c>
      <c r="AP1601">
        <f ca="1"/>
      </c>
      <c r="AQ1601">
        <f ca="1"/>
      </c>
      <c r="AR1601">
        <f ca="1"/>
      </c>
      <c r="AT1601" s="7">
        <f ca="1"/>
      </c>
      <c r="AU1601">
        <f ca="1"/>
      </c>
      <c r="AV1601">
        <f ca="1"/>
      </c>
      <c r="AW1601">
        <f ca="1"/>
      </c>
      <c r="AX1601">
        <f ca="1"/>
      </c>
      <c r="AY1601">
        <f ca="1"/>
      </c>
      <c r="BA1601" s="7"/>
    </row>
    <row r="1602" spans="31:53" x14ac:dyDescent="0.55000000000000004">
      <c r="AE1602" s="7">
        <f ca="1"/>
      </c>
      <c r="AF1602">
        <f ca="1"/>
      </c>
      <c r="AG1602">
        <f ca="1"/>
      </c>
      <c r="AH1602">
        <f ca="1"/>
      </c>
      <c r="AI1602">
        <f ca="1"/>
      </c>
      <c r="AJ1602">
        <f ca="1"/>
      </c>
      <c r="AK1602">
        <f ca="1"/>
      </c>
      <c r="AL1602">
        <f ca="1"/>
      </c>
      <c r="AM1602">
        <f ca="1"/>
      </c>
      <c r="AN1602">
        <f ca="1"/>
      </c>
      <c r="AO1602">
        <f ca="1"/>
      </c>
      <c r="AP1602">
        <f ca="1"/>
      </c>
      <c r="AQ1602">
        <f ca="1"/>
      </c>
      <c r="AR1602">
        <f ca="1"/>
      </c>
      <c r="AT1602" s="7">
        <f ca="1"/>
      </c>
      <c r="AU1602">
        <f ca="1"/>
      </c>
      <c r="AV1602">
        <f ca="1"/>
      </c>
      <c r="AW1602">
        <f ca="1"/>
      </c>
      <c r="AX1602">
        <f ca="1"/>
      </c>
      <c r="AY1602">
        <f ca="1"/>
      </c>
      <c r="BA1602" s="7"/>
    </row>
    <row r="1603" spans="31:53" x14ac:dyDescent="0.55000000000000004">
      <c r="AE1603" s="7">
        <f ca="1"/>
      </c>
      <c r="AF1603">
        <f ca="1"/>
      </c>
      <c r="AG1603">
        <f ca="1"/>
      </c>
      <c r="AH1603">
        <f ca="1"/>
      </c>
      <c r="AI1603">
        <f ca="1"/>
      </c>
      <c r="AJ1603">
        <f ca="1"/>
      </c>
      <c r="AK1603">
        <f ca="1"/>
      </c>
      <c r="AL1603">
        <f ca="1"/>
      </c>
      <c r="AM1603">
        <f ca="1"/>
      </c>
      <c r="AN1603">
        <f ca="1"/>
      </c>
      <c r="AO1603">
        <f ca="1"/>
      </c>
      <c r="AP1603">
        <f ca="1"/>
      </c>
      <c r="AQ1603">
        <f ca="1"/>
      </c>
      <c r="AR1603">
        <f ca="1"/>
      </c>
      <c r="AT1603" s="7">
        <f ca="1"/>
      </c>
      <c r="AU1603">
        <f ca="1"/>
      </c>
      <c r="AV1603">
        <f ca="1"/>
      </c>
      <c r="AW1603">
        <f ca="1"/>
      </c>
      <c r="AX1603">
        <f ca="1"/>
      </c>
      <c r="AY1603">
        <f ca="1"/>
      </c>
      <c r="BA1603" s="7"/>
    </row>
    <row r="1604" spans="31:53" x14ac:dyDescent="0.55000000000000004">
      <c r="AE1604" s="7">
        <f ca="1"/>
      </c>
      <c r="AF1604">
        <f ca="1"/>
      </c>
      <c r="AG1604">
        <f ca="1"/>
      </c>
      <c r="AH1604">
        <f ca="1"/>
      </c>
      <c r="AI1604">
        <f ca="1"/>
      </c>
      <c r="AJ1604">
        <f ca="1"/>
      </c>
      <c r="AK1604">
        <f ca="1"/>
      </c>
      <c r="AL1604">
        <f ca="1"/>
      </c>
      <c r="AM1604">
        <f ca="1"/>
      </c>
      <c r="AN1604">
        <f ca="1"/>
      </c>
      <c r="AO1604">
        <f ca="1"/>
      </c>
      <c r="AP1604">
        <f ca="1"/>
      </c>
      <c r="AQ1604">
        <f ca="1"/>
      </c>
      <c r="AR1604">
        <f ca="1"/>
      </c>
      <c r="AT1604" s="7">
        <f ca="1"/>
      </c>
      <c r="AU1604">
        <f ca="1"/>
      </c>
      <c r="AV1604">
        <f ca="1"/>
      </c>
      <c r="AW1604">
        <f ca="1"/>
      </c>
      <c r="AX1604">
        <f ca="1"/>
      </c>
      <c r="AY1604">
        <f ca="1"/>
      </c>
      <c r="BA1604" s="7"/>
    </row>
    <row r="1605" spans="31:53" x14ac:dyDescent="0.55000000000000004">
      <c r="AE1605" s="7">
        <f ca="1"/>
      </c>
      <c r="AF1605">
        <f ca="1"/>
      </c>
      <c r="AG1605">
        <f ca="1"/>
      </c>
      <c r="AH1605">
        <f ca="1"/>
      </c>
      <c r="AI1605">
        <f ca="1"/>
      </c>
      <c r="AJ1605">
        <f ca="1"/>
      </c>
      <c r="AK1605">
        <f ca="1"/>
      </c>
      <c r="AL1605">
        <f ca="1"/>
      </c>
      <c r="AM1605">
        <f ca="1"/>
      </c>
      <c r="AN1605">
        <f ca="1"/>
      </c>
      <c r="AO1605">
        <f ca="1"/>
      </c>
      <c r="AP1605">
        <f ca="1"/>
      </c>
      <c r="AQ1605">
        <f ca="1"/>
      </c>
      <c r="AR1605">
        <f ca="1"/>
      </c>
      <c r="AT1605" s="7">
        <f ca="1"/>
      </c>
      <c r="AU1605">
        <f ca="1"/>
      </c>
      <c r="AV1605">
        <f ca="1"/>
      </c>
      <c r="AW1605">
        <f ca="1"/>
      </c>
      <c r="AX1605">
        <f ca="1"/>
      </c>
      <c r="AY1605">
        <f ca="1"/>
      </c>
      <c r="BA1605" s="7"/>
    </row>
    <row r="1606" spans="31:53" x14ac:dyDescent="0.55000000000000004">
      <c r="AE1606" s="7">
        <f ca="1"/>
      </c>
      <c r="AF1606">
        <f ca="1"/>
      </c>
      <c r="AG1606">
        <f ca="1"/>
      </c>
      <c r="AH1606">
        <f ca="1"/>
      </c>
      <c r="AI1606">
        <f ca="1"/>
      </c>
      <c r="AJ1606">
        <f ca="1"/>
      </c>
      <c r="AK1606">
        <f ca="1"/>
      </c>
      <c r="AL1606">
        <f ca="1"/>
      </c>
      <c r="AM1606">
        <f ca="1"/>
      </c>
      <c r="AN1606">
        <f ca="1"/>
      </c>
      <c r="AO1606">
        <f ca="1"/>
      </c>
      <c r="AP1606">
        <f ca="1"/>
      </c>
      <c r="AQ1606">
        <f ca="1"/>
      </c>
      <c r="AR1606">
        <f ca="1"/>
      </c>
      <c r="AT1606" s="7">
        <f ca="1"/>
      </c>
      <c r="AU1606">
        <f ca="1"/>
      </c>
      <c r="AV1606">
        <f ca="1"/>
      </c>
      <c r="AW1606">
        <f ca="1"/>
      </c>
      <c r="AX1606">
        <f ca="1"/>
      </c>
      <c r="AY1606">
        <f ca="1"/>
      </c>
      <c r="BA1606" s="7"/>
    </row>
    <row r="1607" spans="31:53" x14ac:dyDescent="0.55000000000000004">
      <c r="AE1607" s="7">
        <f ca="1"/>
      </c>
      <c r="AF1607">
        <f ca="1"/>
      </c>
      <c r="AG1607">
        <f ca="1"/>
      </c>
      <c r="AH1607">
        <f ca="1"/>
      </c>
      <c r="AI1607">
        <f ca="1"/>
      </c>
      <c r="AJ1607">
        <f ca="1"/>
      </c>
      <c r="AK1607">
        <f ca="1"/>
      </c>
      <c r="AL1607">
        <f ca="1"/>
      </c>
      <c r="AM1607">
        <f ca="1"/>
      </c>
      <c r="AN1607">
        <f ca="1"/>
      </c>
      <c r="AO1607">
        <f ca="1"/>
      </c>
      <c r="AP1607">
        <f ca="1"/>
      </c>
      <c r="AQ1607">
        <f ca="1"/>
      </c>
      <c r="AR1607">
        <f ca="1"/>
      </c>
      <c r="AT1607" s="7">
        <f ca="1"/>
      </c>
      <c r="AU1607">
        <f ca="1"/>
      </c>
      <c r="AV1607">
        <f ca="1"/>
      </c>
      <c r="AW1607">
        <f ca="1"/>
      </c>
      <c r="AX1607">
        <f ca="1"/>
      </c>
      <c r="AY1607">
        <f ca="1"/>
      </c>
      <c r="BA1607" s="7"/>
    </row>
    <row r="1608" spans="31:53" x14ac:dyDescent="0.55000000000000004">
      <c r="AE1608" s="7">
        <f ca="1"/>
      </c>
      <c r="AF1608">
        <f ca="1"/>
      </c>
      <c r="AG1608">
        <f ca="1"/>
      </c>
      <c r="AH1608">
        <f ca="1"/>
      </c>
      <c r="AI1608">
        <f ca="1"/>
      </c>
      <c r="AJ1608">
        <f ca="1"/>
      </c>
      <c r="AK1608">
        <f ca="1"/>
      </c>
      <c r="AL1608">
        <f ca="1"/>
      </c>
      <c r="AM1608">
        <f ca="1"/>
      </c>
      <c r="AN1608">
        <f ca="1"/>
      </c>
      <c r="AO1608">
        <f ca="1"/>
      </c>
      <c r="AP1608">
        <f ca="1"/>
      </c>
      <c r="AQ1608">
        <f ca="1"/>
      </c>
      <c r="AR1608">
        <f ca="1"/>
      </c>
      <c r="AT1608" s="7">
        <f ca="1"/>
      </c>
      <c r="AU1608">
        <f ca="1"/>
      </c>
      <c r="AV1608">
        <f ca="1"/>
      </c>
      <c r="AW1608">
        <f ca="1"/>
      </c>
      <c r="AX1608">
        <f ca="1"/>
      </c>
      <c r="AY1608">
        <f ca="1"/>
      </c>
      <c r="BA1608" s="7"/>
    </row>
    <row r="1609" spans="31:53" x14ac:dyDescent="0.55000000000000004">
      <c r="AE1609" s="7">
        <f ca="1"/>
      </c>
      <c r="AF1609">
        <f ca="1"/>
      </c>
      <c r="AG1609">
        <f ca="1"/>
      </c>
      <c r="AH1609">
        <f ca="1"/>
      </c>
      <c r="AI1609">
        <f ca="1"/>
      </c>
      <c r="AJ1609">
        <f ca="1"/>
      </c>
      <c r="AK1609">
        <f ca="1"/>
      </c>
      <c r="AL1609">
        <f ca="1"/>
      </c>
      <c r="AM1609">
        <f ca="1"/>
      </c>
      <c r="AN1609">
        <f ca="1"/>
      </c>
      <c r="AO1609">
        <f ca="1"/>
      </c>
      <c r="AP1609">
        <f ca="1"/>
      </c>
      <c r="AQ1609">
        <f ca="1"/>
      </c>
      <c r="AR1609">
        <f ca="1"/>
      </c>
      <c r="AT1609" s="7">
        <f ca="1"/>
      </c>
      <c r="AU1609">
        <f ca="1"/>
      </c>
      <c r="AV1609">
        <f ca="1"/>
      </c>
      <c r="AW1609">
        <f ca="1"/>
      </c>
      <c r="AX1609">
        <f ca="1"/>
      </c>
      <c r="AY1609">
        <f ca="1"/>
      </c>
      <c r="BA1609" s="7"/>
    </row>
    <row r="1610" spans="31:53" x14ac:dyDescent="0.55000000000000004">
      <c r="AE1610" s="7">
        <f ca="1"/>
      </c>
      <c r="AF1610">
        <f ca="1"/>
      </c>
      <c r="AG1610">
        <f ca="1"/>
      </c>
      <c r="AH1610">
        <f ca="1"/>
      </c>
      <c r="AI1610">
        <f ca="1"/>
      </c>
      <c r="AJ1610">
        <f ca="1"/>
      </c>
      <c r="AK1610">
        <f ca="1"/>
      </c>
      <c r="AL1610">
        <f ca="1"/>
      </c>
      <c r="AM1610">
        <f ca="1"/>
      </c>
      <c r="AN1610">
        <f ca="1"/>
      </c>
      <c r="AO1610">
        <f ca="1"/>
      </c>
      <c r="AP1610">
        <f ca="1"/>
      </c>
      <c r="AQ1610">
        <f ca="1"/>
      </c>
      <c r="AR1610">
        <f ca="1"/>
      </c>
      <c r="AT1610" s="7">
        <f ca="1"/>
      </c>
      <c r="AU1610">
        <f ca="1"/>
      </c>
      <c r="AV1610">
        <f ca="1"/>
      </c>
      <c r="AW1610">
        <f ca="1"/>
      </c>
      <c r="AX1610">
        <f ca="1"/>
      </c>
      <c r="AY1610">
        <f ca="1"/>
      </c>
      <c r="BA1610" s="7"/>
    </row>
    <row r="1611" spans="31:53" x14ac:dyDescent="0.55000000000000004">
      <c r="AE1611" s="7">
        <f ca="1"/>
      </c>
      <c r="AF1611">
        <f ca="1"/>
      </c>
      <c r="AG1611">
        <f ca="1"/>
      </c>
      <c r="AH1611">
        <f ca="1"/>
      </c>
      <c r="AI1611">
        <f ca="1"/>
      </c>
      <c r="AJ1611">
        <f ca="1"/>
      </c>
      <c r="AK1611">
        <f ca="1"/>
      </c>
      <c r="AL1611">
        <f ca="1"/>
      </c>
      <c r="AM1611">
        <f ca="1"/>
      </c>
      <c r="AN1611">
        <f ca="1"/>
      </c>
      <c r="AO1611">
        <f ca="1"/>
      </c>
      <c r="AP1611">
        <f ca="1"/>
      </c>
      <c r="AQ1611">
        <f ca="1"/>
      </c>
      <c r="AR1611">
        <f ca="1"/>
      </c>
      <c r="AT1611" s="7">
        <f ca="1"/>
      </c>
      <c r="AU1611">
        <f ca="1"/>
      </c>
      <c r="AV1611">
        <f ca="1"/>
      </c>
      <c r="AW1611">
        <f ca="1"/>
      </c>
      <c r="AX1611">
        <f ca="1"/>
      </c>
      <c r="AY1611">
        <f ca="1"/>
      </c>
      <c r="BA1611" s="7"/>
    </row>
    <row r="1612" spans="31:53" x14ac:dyDescent="0.55000000000000004">
      <c r="AE1612" s="7">
        <f ca="1"/>
      </c>
      <c r="AF1612">
        <f ca="1"/>
      </c>
      <c r="AG1612">
        <f ca="1"/>
      </c>
      <c r="AH1612">
        <f ca="1"/>
      </c>
      <c r="AI1612">
        <f ca="1"/>
      </c>
      <c r="AJ1612">
        <f ca="1"/>
      </c>
      <c r="AK1612">
        <f ca="1"/>
      </c>
      <c r="AL1612">
        <f ca="1"/>
      </c>
      <c r="AM1612">
        <f ca="1"/>
      </c>
      <c r="AN1612">
        <f ca="1"/>
      </c>
      <c r="AO1612">
        <f ca="1"/>
      </c>
      <c r="AP1612">
        <f ca="1"/>
      </c>
      <c r="AQ1612">
        <f ca="1"/>
      </c>
      <c r="AR1612">
        <f ca="1"/>
      </c>
      <c r="AT1612" s="7">
        <f ca="1"/>
      </c>
      <c r="AU1612">
        <f ca="1"/>
      </c>
      <c r="AV1612">
        <f ca="1"/>
      </c>
      <c r="AW1612">
        <f ca="1"/>
      </c>
      <c r="AX1612">
        <f ca="1"/>
      </c>
      <c r="AY1612">
        <f ca="1"/>
      </c>
      <c r="BA1612" s="7"/>
    </row>
    <row r="1613" spans="31:53" x14ac:dyDescent="0.55000000000000004">
      <c r="AE1613" s="7">
        <f ca="1"/>
      </c>
      <c r="AF1613">
        <f ca="1"/>
      </c>
      <c r="AG1613">
        <f ca="1"/>
      </c>
      <c r="AH1613">
        <f ca="1"/>
      </c>
      <c r="AI1613">
        <f ca="1"/>
      </c>
      <c r="AJ1613">
        <f ca="1"/>
      </c>
      <c r="AK1613">
        <f ca="1"/>
      </c>
      <c r="AL1613">
        <f ca="1"/>
      </c>
      <c r="AM1613">
        <f ca="1"/>
      </c>
      <c r="AN1613">
        <f ca="1"/>
      </c>
      <c r="AO1613">
        <f ca="1"/>
      </c>
      <c r="AP1613">
        <f ca="1"/>
      </c>
      <c r="AQ1613">
        <f ca="1"/>
      </c>
      <c r="AR1613">
        <f ca="1"/>
      </c>
      <c r="AT1613" s="7">
        <f ca="1"/>
      </c>
      <c r="AU1613">
        <f ca="1"/>
      </c>
      <c r="AV1613">
        <f ca="1"/>
      </c>
      <c r="AW1613">
        <f ca="1"/>
      </c>
      <c r="AX1613">
        <f ca="1"/>
      </c>
      <c r="AY1613">
        <f ca="1"/>
      </c>
      <c r="BA1613" s="7"/>
    </row>
    <row r="1614" spans="31:53" x14ac:dyDescent="0.55000000000000004">
      <c r="AE1614" s="7">
        <f ca="1"/>
      </c>
      <c r="AF1614">
        <f ca="1"/>
      </c>
      <c r="AG1614">
        <f ca="1"/>
      </c>
      <c r="AH1614">
        <f ca="1"/>
      </c>
      <c r="AI1614">
        <f ca="1"/>
      </c>
      <c r="AJ1614">
        <f ca="1"/>
      </c>
      <c r="AK1614">
        <f ca="1"/>
      </c>
      <c r="AL1614">
        <f ca="1"/>
      </c>
      <c r="AM1614">
        <f ca="1"/>
      </c>
      <c r="AN1614">
        <f ca="1"/>
      </c>
      <c r="AO1614">
        <f ca="1"/>
      </c>
      <c r="AP1614">
        <f ca="1"/>
      </c>
      <c r="AQ1614">
        <f ca="1"/>
      </c>
      <c r="AR1614">
        <f ca="1"/>
      </c>
      <c r="AT1614" s="7">
        <f ca="1"/>
      </c>
      <c r="AU1614">
        <f ca="1"/>
      </c>
      <c r="AV1614">
        <f ca="1"/>
      </c>
      <c r="AW1614">
        <f ca="1"/>
      </c>
      <c r="AX1614">
        <f ca="1"/>
      </c>
      <c r="AY1614">
        <f ca="1"/>
      </c>
      <c r="BA1614" s="7"/>
    </row>
    <row r="1615" spans="31:53" x14ac:dyDescent="0.55000000000000004">
      <c r="AE1615" s="7">
        <f ca="1"/>
      </c>
      <c r="AF1615">
        <f ca="1"/>
      </c>
      <c r="AG1615">
        <f ca="1"/>
      </c>
      <c r="AH1615">
        <f ca="1"/>
      </c>
      <c r="AI1615">
        <f ca="1"/>
      </c>
      <c r="AJ1615">
        <f ca="1"/>
      </c>
      <c r="AK1615">
        <f ca="1"/>
      </c>
      <c r="AL1615">
        <f ca="1"/>
      </c>
      <c r="AM1615">
        <f ca="1"/>
      </c>
      <c r="AN1615">
        <f ca="1"/>
      </c>
      <c r="AO1615">
        <f ca="1"/>
      </c>
      <c r="AP1615">
        <f ca="1"/>
      </c>
      <c r="AQ1615">
        <f ca="1"/>
      </c>
      <c r="AR1615">
        <f ca="1"/>
      </c>
      <c r="AT1615" s="7">
        <f ca="1"/>
      </c>
      <c r="AU1615">
        <f ca="1"/>
      </c>
      <c r="AV1615">
        <f ca="1"/>
      </c>
      <c r="AW1615">
        <f ca="1"/>
      </c>
      <c r="AX1615">
        <f ca="1"/>
      </c>
      <c r="AY1615">
        <f ca="1"/>
      </c>
      <c r="BA1615" s="7"/>
    </row>
    <row r="1616" spans="31:53" x14ac:dyDescent="0.55000000000000004">
      <c r="AE1616" s="7">
        <f ca="1"/>
      </c>
      <c r="AF1616">
        <f ca="1"/>
      </c>
      <c r="AG1616">
        <f ca="1"/>
      </c>
      <c r="AH1616">
        <f ca="1"/>
      </c>
      <c r="AI1616">
        <f ca="1"/>
      </c>
      <c r="AJ1616">
        <f ca="1"/>
      </c>
      <c r="AK1616">
        <f ca="1"/>
      </c>
      <c r="AL1616">
        <f ca="1"/>
      </c>
      <c r="AM1616">
        <f ca="1"/>
      </c>
      <c r="AN1616">
        <f ca="1"/>
      </c>
      <c r="AO1616">
        <f ca="1"/>
      </c>
      <c r="AP1616">
        <f ca="1"/>
      </c>
      <c r="AQ1616">
        <f ca="1"/>
      </c>
      <c r="AR1616">
        <f ca="1"/>
      </c>
      <c r="AT1616" s="7">
        <f ca="1"/>
      </c>
      <c r="AU1616">
        <f ca="1"/>
      </c>
      <c r="AV1616">
        <f ca="1"/>
      </c>
      <c r="AW1616">
        <f ca="1"/>
      </c>
      <c r="AX1616">
        <f ca="1"/>
      </c>
      <c r="AY1616">
        <f ca="1"/>
      </c>
      <c r="BA1616" s="7"/>
    </row>
    <row r="1617" spans="31:53" x14ac:dyDescent="0.55000000000000004">
      <c r="AE1617" s="7">
        <f ca="1"/>
      </c>
      <c r="AF1617">
        <f ca="1"/>
      </c>
      <c r="AG1617">
        <f ca="1"/>
      </c>
      <c r="AH1617">
        <f ca="1"/>
      </c>
      <c r="AI1617">
        <f ca="1"/>
      </c>
      <c r="AJ1617">
        <f ca="1"/>
      </c>
      <c r="AK1617">
        <f ca="1"/>
      </c>
      <c r="AL1617">
        <f ca="1"/>
      </c>
      <c r="AM1617">
        <f ca="1"/>
      </c>
      <c r="AN1617">
        <f ca="1"/>
      </c>
      <c r="AO1617">
        <f ca="1"/>
      </c>
      <c r="AP1617">
        <f ca="1"/>
      </c>
      <c r="AQ1617">
        <f ca="1"/>
      </c>
      <c r="AR1617">
        <f ca="1"/>
      </c>
      <c r="AT1617" s="7">
        <f ca="1"/>
      </c>
      <c r="AU1617">
        <f ca="1"/>
      </c>
      <c r="AV1617">
        <f ca="1"/>
      </c>
      <c r="AW1617">
        <f ca="1"/>
      </c>
      <c r="AX1617">
        <f ca="1"/>
      </c>
      <c r="AY1617">
        <f ca="1"/>
      </c>
      <c r="BA1617" s="7"/>
    </row>
    <row r="1618" spans="31:53" x14ac:dyDescent="0.55000000000000004">
      <c r="AE1618" s="7">
        <f ca="1"/>
      </c>
      <c r="AF1618">
        <f ca="1"/>
      </c>
      <c r="AG1618">
        <f ca="1"/>
      </c>
      <c r="AH1618">
        <f ca="1"/>
      </c>
      <c r="AI1618">
        <f ca="1"/>
      </c>
      <c r="AJ1618">
        <f ca="1"/>
      </c>
      <c r="AK1618">
        <f ca="1"/>
      </c>
      <c r="AL1618">
        <f ca="1"/>
      </c>
      <c r="AM1618">
        <f ca="1"/>
      </c>
      <c r="AN1618">
        <f ca="1"/>
      </c>
      <c r="AO1618">
        <f ca="1"/>
      </c>
      <c r="AP1618">
        <f ca="1"/>
      </c>
      <c r="AQ1618">
        <f ca="1"/>
      </c>
      <c r="AR1618">
        <f ca="1"/>
      </c>
      <c r="AT1618" s="7">
        <f ca="1"/>
      </c>
      <c r="AU1618">
        <f ca="1"/>
      </c>
      <c r="AV1618">
        <f ca="1"/>
      </c>
      <c r="AW1618">
        <f ca="1"/>
      </c>
      <c r="AX1618">
        <f ca="1"/>
      </c>
      <c r="AY1618">
        <f ca="1"/>
      </c>
      <c r="BA1618" s="7"/>
    </row>
    <row r="1619" spans="31:53" x14ac:dyDescent="0.55000000000000004">
      <c r="AE1619" s="7">
        <f ca="1"/>
      </c>
      <c r="AF1619">
        <f ca="1"/>
      </c>
      <c r="AG1619">
        <f ca="1"/>
      </c>
      <c r="AH1619">
        <f ca="1"/>
      </c>
      <c r="AI1619">
        <f ca="1"/>
      </c>
      <c r="AJ1619">
        <f ca="1"/>
      </c>
      <c r="AK1619">
        <f ca="1"/>
      </c>
      <c r="AL1619">
        <f ca="1"/>
      </c>
      <c r="AM1619">
        <f ca="1"/>
      </c>
      <c r="AN1619">
        <f ca="1"/>
      </c>
      <c r="AO1619">
        <f ca="1"/>
      </c>
      <c r="AP1619">
        <f ca="1"/>
      </c>
      <c r="AQ1619">
        <f ca="1"/>
      </c>
      <c r="AR1619">
        <f ca="1"/>
      </c>
      <c r="AT1619" s="7">
        <f ca="1"/>
      </c>
      <c r="AU1619">
        <f ca="1"/>
      </c>
      <c r="AV1619">
        <f ca="1"/>
      </c>
      <c r="AW1619">
        <f ca="1"/>
      </c>
      <c r="AX1619">
        <f ca="1"/>
      </c>
      <c r="AY1619">
        <f ca="1"/>
      </c>
      <c r="BA1619" s="7"/>
    </row>
    <row r="1620" spans="31:53" x14ac:dyDescent="0.55000000000000004">
      <c r="AE1620" s="7">
        <f ca="1"/>
      </c>
      <c r="AF1620">
        <f ca="1"/>
      </c>
      <c r="AG1620">
        <f ca="1"/>
      </c>
      <c r="AH1620">
        <f ca="1"/>
      </c>
      <c r="AI1620">
        <f ca="1"/>
      </c>
      <c r="AJ1620">
        <f ca="1"/>
      </c>
      <c r="AK1620">
        <f ca="1"/>
      </c>
      <c r="AL1620">
        <f ca="1"/>
      </c>
      <c r="AM1620">
        <f ca="1"/>
      </c>
      <c r="AN1620">
        <f ca="1"/>
      </c>
      <c r="AO1620">
        <f ca="1"/>
      </c>
      <c r="AP1620">
        <f ca="1"/>
      </c>
      <c r="AQ1620">
        <f ca="1"/>
      </c>
      <c r="AR1620">
        <f ca="1"/>
      </c>
      <c r="AT1620" s="7">
        <f ca="1"/>
      </c>
      <c r="AU1620">
        <f ca="1"/>
      </c>
      <c r="AV1620">
        <f ca="1"/>
      </c>
      <c r="AW1620">
        <f ca="1"/>
      </c>
      <c r="AX1620">
        <f ca="1"/>
      </c>
      <c r="AY1620">
        <f ca="1"/>
      </c>
      <c r="BA1620" s="7"/>
    </row>
    <row r="1621" spans="31:53" x14ac:dyDescent="0.55000000000000004">
      <c r="AE1621" s="7">
        <f ca="1"/>
      </c>
      <c r="AF1621">
        <f ca="1"/>
      </c>
      <c r="AG1621">
        <f ca="1"/>
      </c>
      <c r="AH1621">
        <f ca="1"/>
      </c>
      <c r="AI1621">
        <f ca="1"/>
      </c>
      <c r="AJ1621">
        <f ca="1"/>
      </c>
      <c r="AK1621">
        <f ca="1"/>
      </c>
      <c r="AL1621">
        <f ca="1"/>
      </c>
      <c r="AM1621">
        <f ca="1"/>
      </c>
      <c r="AN1621">
        <f ca="1"/>
      </c>
      <c r="AO1621">
        <f ca="1"/>
      </c>
      <c r="AP1621">
        <f ca="1"/>
      </c>
      <c r="AQ1621">
        <f ca="1"/>
      </c>
      <c r="AR1621">
        <f ca="1"/>
      </c>
      <c r="AT1621" s="7">
        <f ca="1"/>
      </c>
      <c r="AU1621">
        <f ca="1"/>
      </c>
      <c r="AV1621">
        <f ca="1"/>
      </c>
      <c r="AW1621">
        <f ca="1"/>
      </c>
      <c r="AX1621">
        <f ca="1"/>
      </c>
      <c r="AY1621">
        <f ca="1"/>
      </c>
      <c r="BA1621" s="7"/>
    </row>
    <row r="1622" spans="31:53" x14ac:dyDescent="0.55000000000000004">
      <c r="AE1622" s="7">
        <f ca="1"/>
      </c>
      <c r="AF1622">
        <f ca="1"/>
      </c>
      <c r="AG1622">
        <f ca="1"/>
      </c>
      <c r="AH1622">
        <f ca="1"/>
      </c>
      <c r="AI1622">
        <f ca="1"/>
      </c>
      <c r="AJ1622">
        <f ca="1"/>
      </c>
      <c r="AK1622">
        <f ca="1"/>
      </c>
      <c r="AL1622">
        <f ca="1"/>
      </c>
      <c r="AM1622">
        <f ca="1"/>
      </c>
      <c r="AN1622">
        <f ca="1"/>
      </c>
      <c r="AO1622">
        <f ca="1"/>
      </c>
      <c r="AP1622">
        <f ca="1"/>
      </c>
      <c r="AQ1622">
        <f ca="1"/>
      </c>
      <c r="AR1622">
        <f ca="1"/>
      </c>
      <c r="AT1622" s="7">
        <f ca="1"/>
      </c>
      <c r="AU1622">
        <f ca="1"/>
      </c>
      <c r="AV1622">
        <f ca="1"/>
      </c>
      <c r="AW1622">
        <f ca="1"/>
      </c>
      <c r="AX1622">
        <f ca="1"/>
      </c>
      <c r="AY1622">
        <f ca="1"/>
      </c>
      <c r="BA1622" s="7"/>
    </row>
    <row r="1623" spans="31:53" x14ac:dyDescent="0.55000000000000004">
      <c r="AE1623" s="7">
        <f ca="1"/>
      </c>
      <c r="AF1623">
        <f ca="1"/>
      </c>
      <c r="AG1623">
        <f ca="1"/>
      </c>
      <c r="AH1623">
        <f ca="1"/>
      </c>
      <c r="AI1623">
        <f ca="1"/>
      </c>
      <c r="AJ1623">
        <f ca="1"/>
      </c>
      <c r="AK1623">
        <f ca="1"/>
      </c>
      <c r="AL1623">
        <f ca="1"/>
      </c>
      <c r="AM1623">
        <f ca="1"/>
      </c>
      <c r="AN1623">
        <f ca="1"/>
      </c>
      <c r="AO1623">
        <f ca="1"/>
      </c>
      <c r="AP1623">
        <f ca="1"/>
      </c>
      <c r="AQ1623">
        <f ca="1"/>
      </c>
      <c r="AR1623">
        <f ca="1"/>
      </c>
      <c r="AT1623" s="7">
        <f ca="1"/>
      </c>
      <c r="AU1623">
        <f ca="1"/>
      </c>
      <c r="AV1623">
        <f ca="1"/>
      </c>
      <c r="AW1623">
        <f ca="1"/>
      </c>
      <c r="AX1623">
        <f ca="1"/>
      </c>
      <c r="AY1623">
        <f ca="1"/>
      </c>
      <c r="BA1623" s="7"/>
    </row>
    <row r="1624" spans="31:53" x14ac:dyDescent="0.55000000000000004">
      <c r="AE1624" s="7">
        <f ca="1"/>
      </c>
      <c r="AF1624">
        <f ca="1"/>
      </c>
      <c r="AG1624">
        <f ca="1"/>
      </c>
      <c r="AH1624">
        <f ca="1"/>
      </c>
      <c r="AI1624">
        <f ca="1"/>
      </c>
      <c r="AJ1624">
        <f ca="1"/>
      </c>
      <c r="AK1624">
        <f ca="1"/>
      </c>
      <c r="AL1624">
        <f ca="1"/>
      </c>
      <c r="AM1624">
        <f ca="1"/>
      </c>
      <c r="AN1624">
        <f ca="1"/>
      </c>
      <c r="AO1624">
        <f ca="1"/>
      </c>
      <c r="AP1624">
        <f ca="1"/>
      </c>
      <c r="AQ1624">
        <f ca="1"/>
      </c>
      <c r="AR1624">
        <f ca="1"/>
      </c>
      <c r="AT1624" s="7">
        <f ca="1"/>
      </c>
      <c r="AU1624">
        <f ca="1"/>
      </c>
      <c r="AV1624">
        <f ca="1"/>
      </c>
      <c r="AW1624">
        <f ca="1"/>
      </c>
      <c r="AX1624">
        <f ca="1"/>
      </c>
      <c r="AY1624">
        <f ca="1"/>
      </c>
      <c r="BA1624" s="7"/>
    </row>
    <row r="1625" spans="31:53" x14ac:dyDescent="0.55000000000000004">
      <c r="AE1625" s="7">
        <f ca="1"/>
      </c>
      <c r="AF1625">
        <f ca="1"/>
      </c>
      <c r="AG1625">
        <f ca="1"/>
      </c>
      <c r="AH1625">
        <f ca="1"/>
      </c>
      <c r="AI1625">
        <f ca="1"/>
      </c>
      <c r="AJ1625">
        <f ca="1"/>
      </c>
      <c r="AK1625">
        <f ca="1"/>
      </c>
      <c r="AL1625">
        <f ca="1"/>
      </c>
      <c r="AM1625">
        <f ca="1"/>
      </c>
      <c r="AN1625">
        <f ca="1"/>
      </c>
      <c r="AO1625">
        <f ca="1"/>
      </c>
      <c r="AP1625">
        <f ca="1"/>
      </c>
      <c r="AQ1625">
        <f ca="1"/>
      </c>
      <c r="AR1625">
        <f ca="1"/>
      </c>
      <c r="AT1625" s="7">
        <f ca="1"/>
      </c>
      <c r="AU1625">
        <f ca="1"/>
      </c>
      <c r="AV1625">
        <f ca="1"/>
      </c>
      <c r="AW1625">
        <f ca="1"/>
      </c>
      <c r="AX1625">
        <f ca="1"/>
      </c>
      <c r="AY1625">
        <f ca="1"/>
      </c>
      <c r="BA1625" s="7"/>
    </row>
    <row r="1626" spans="31:53" x14ac:dyDescent="0.55000000000000004">
      <c r="AE1626" s="7">
        <f ca="1"/>
      </c>
      <c r="AF1626">
        <f ca="1"/>
      </c>
      <c r="AG1626">
        <f ca="1"/>
      </c>
      <c r="AH1626">
        <f ca="1"/>
      </c>
      <c r="AI1626">
        <f ca="1"/>
      </c>
      <c r="AJ1626">
        <f ca="1"/>
      </c>
      <c r="AK1626">
        <f ca="1"/>
      </c>
      <c r="AL1626">
        <f ca="1"/>
      </c>
      <c r="AM1626">
        <f ca="1"/>
      </c>
      <c r="AN1626">
        <f ca="1"/>
      </c>
      <c r="AO1626">
        <f ca="1"/>
      </c>
      <c r="AP1626">
        <f ca="1"/>
      </c>
      <c r="AQ1626">
        <f ca="1"/>
      </c>
      <c r="AR1626">
        <f ca="1"/>
      </c>
      <c r="AT1626" s="7">
        <f ca="1"/>
      </c>
      <c r="AU1626">
        <f ca="1"/>
      </c>
      <c r="AV1626">
        <f ca="1"/>
      </c>
      <c r="AW1626">
        <f ca="1"/>
      </c>
      <c r="AX1626">
        <f ca="1"/>
      </c>
      <c r="AY1626">
        <f ca="1"/>
      </c>
      <c r="BA1626" s="7"/>
    </row>
    <row r="1627" spans="31:53" x14ac:dyDescent="0.55000000000000004">
      <c r="AE1627" s="7">
        <f ca="1"/>
      </c>
      <c r="AF1627">
        <f ca="1"/>
      </c>
      <c r="AG1627">
        <f ca="1"/>
      </c>
      <c r="AH1627">
        <f ca="1"/>
      </c>
      <c r="AI1627">
        <f ca="1"/>
      </c>
      <c r="AJ1627">
        <f ca="1"/>
      </c>
      <c r="AK1627">
        <f ca="1"/>
      </c>
      <c r="AL1627">
        <f ca="1"/>
      </c>
      <c r="AM1627">
        <f ca="1"/>
      </c>
      <c r="AN1627">
        <f ca="1"/>
      </c>
      <c r="AO1627">
        <f ca="1"/>
      </c>
      <c r="AP1627">
        <f ca="1"/>
      </c>
      <c r="AQ1627">
        <f ca="1"/>
      </c>
      <c r="AR1627">
        <f ca="1"/>
      </c>
      <c r="AT1627" s="7">
        <f ca="1"/>
      </c>
      <c r="AU1627">
        <f ca="1"/>
      </c>
      <c r="AV1627">
        <f ca="1"/>
      </c>
      <c r="AW1627">
        <f ca="1"/>
      </c>
      <c r="AX1627">
        <f ca="1"/>
      </c>
      <c r="AY1627">
        <f ca="1"/>
      </c>
      <c r="BA1627" s="7"/>
    </row>
    <row r="1628" spans="31:53" x14ac:dyDescent="0.55000000000000004">
      <c r="AE1628" s="7">
        <f ca="1"/>
      </c>
      <c r="AF1628">
        <f ca="1"/>
      </c>
      <c r="AG1628">
        <f ca="1"/>
      </c>
      <c r="AH1628">
        <f ca="1"/>
      </c>
      <c r="AI1628">
        <f ca="1"/>
      </c>
      <c r="AJ1628">
        <f ca="1"/>
      </c>
      <c r="AK1628">
        <f ca="1"/>
      </c>
      <c r="AL1628">
        <f ca="1"/>
      </c>
      <c r="AM1628">
        <f ca="1"/>
      </c>
      <c r="AN1628">
        <f ca="1"/>
      </c>
      <c r="AO1628">
        <f ca="1"/>
      </c>
      <c r="AP1628">
        <f ca="1"/>
      </c>
      <c r="AQ1628">
        <f ca="1"/>
      </c>
      <c r="AR1628">
        <f ca="1"/>
      </c>
      <c r="AT1628" s="7">
        <f ca="1"/>
      </c>
      <c r="AU1628">
        <f ca="1"/>
      </c>
      <c r="AV1628">
        <f ca="1"/>
      </c>
      <c r="AW1628">
        <f ca="1"/>
      </c>
      <c r="AX1628">
        <f ca="1"/>
      </c>
      <c r="AY1628">
        <f ca="1"/>
      </c>
      <c r="BA1628" s="7"/>
    </row>
    <row r="1629" spans="31:53" x14ac:dyDescent="0.55000000000000004">
      <c r="AE1629" s="7">
        <f ca="1"/>
      </c>
      <c r="AF1629">
        <f ca="1"/>
      </c>
      <c r="AG1629">
        <f ca="1"/>
      </c>
      <c r="AH1629">
        <f ca="1"/>
      </c>
      <c r="AI1629">
        <f ca="1"/>
      </c>
      <c r="AJ1629">
        <f ca="1"/>
      </c>
      <c r="AK1629">
        <f ca="1"/>
      </c>
      <c r="AL1629">
        <f ca="1"/>
      </c>
      <c r="AM1629">
        <f ca="1"/>
      </c>
      <c r="AN1629">
        <f ca="1"/>
      </c>
      <c r="AO1629">
        <f ca="1"/>
      </c>
      <c r="AP1629">
        <f ca="1"/>
      </c>
      <c r="AQ1629">
        <f ca="1"/>
      </c>
      <c r="AR1629">
        <f ca="1"/>
      </c>
      <c r="AT1629" s="7">
        <f ca="1"/>
      </c>
      <c r="AU1629">
        <f ca="1"/>
      </c>
      <c r="AV1629">
        <f ca="1"/>
      </c>
      <c r="AW1629">
        <f ca="1"/>
      </c>
      <c r="AX1629">
        <f ca="1"/>
      </c>
      <c r="AY1629">
        <f ca="1"/>
      </c>
      <c r="BA1629" s="7"/>
    </row>
    <row r="1630" spans="31:53" x14ac:dyDescent="0.55000000000000004">
      <c r="AE1630" s="7">
        <f ca="1"/>
      </c>
      <c r="AF1630">
        <f ca="1"/>
      </c>
      <c r="AG1630">
        <f ca="1"/>
      </c>
      <c r="AH1630">
        <f ca="1"/>
      </c>
      <c r="AI1630">
        <f ca="1"/>
      </c>
      <c r="AJ1630">
        <f ca="1"/>
      </c>
      <c r="AK1630">
        <f ca="1"/>
      </c>
      <c r="AL1630">
        <f ca="1"/>
      </c>
      <c r="AM1630">
        <f ca="1"/>
      </c>
      <c r="AN1630">
        <f ca="1"/>
      </c>
      <c r="AO1630">
        <f ca="1"/>
      </c>
      <c r="AP1630">
        <f ca="1"/>
      </c>
      <c r="AQ1630">
        <f ca="1"/>
      </c>
      <c r="AR1630">
        <f ca="1"/>
      </c>
      <c r="AT1630" s="7">
        <f ca="1"/>
      </c>
      <c r="AU1630">
        <f ca="1"/>
      </c>
      <c r="AV1630">
        <f ca="1"/>
      </c>
      <c r="AW1630">
        <f ca="1"/>
      </c>
      <c r="AX1630">
        <f ca="1"/>
      </c>
      <c r="AY1630">
        <f ca="1"/>
      </c>
      <c r="BA1630" s="7"/>
    </row>
    <row r="1631" spans="31:53" x14ac:dyDescent="0.55000000000000004">
      <c r="AE1631" s="7">
        <f ca="1"/>
      </c>
      <c r="AF1631">
        <f ca="1"/>
      </c>
      <c r="AG1631">
        <f ca="1"/>
      </c>
      <c r="AH1631">
        <f ca="1"/>
      </c>
      <c r="AI1631">
        <f ca="1"/>
      </c>
      <c r="AJ1631">
        <f ca="1"/>
      </c>
      <c r="AK1631">
        <f ca="1"/>
      </c>
      <c r="AL1631">
        <f ca="1"/>
      </c>
      <c r="AM1631">
        <f ca="1"/>
      </c>
      <c r="AN1631">
        <f ca="1"/>
      </c>
      <c r="AO1631">
        <f ca="1"/>
      </c>
      <c r="AP1631">
        <f ca="1"/>
      </c>
      <c r="AQ1631">
        <f ca="1"/>
      </c>
      <c r="AR1631">
        <f ca="1"/>
      </c>
      <c r="AT1631" s="7">
        <f ca="1"/>
      </c>
      <c r="AU1631">
        <f ca="1"/>
      </c>
      <c r="AV1631">
        <f ca="1"/>
      </c>
      <c r="AW1631">
        <f ca="1"/>
      </c>
      <c r="AX1631">
        <f ca="1"/>
      </c>
      <c r="AY1631">
        <f ca="1"/>
      </c>
      <c r="BA1631" s="7"/>
    </row>
    <row r="1632" spans="31:53" x14ac:dyDescent="0.55000000000000004">
      <c r="AE1632" s="7">
        <f ca="1"/>
      </c>
      <c r="AF1632">
        <f ca="1"/>
      </c>
      <c r="AG1632">
        <f ca="1"/>
      </c>
      <c r="AH1632">
        <f ca="1"/>
      </c>
      <c r="AI1632">
        <f ca="1"/>
      </c>
      <c r="AJ1632">
        <f ca="1"/>
      </c>
      <c r="AK1632">
        <f ca="1"/>
      </c>
      <c r="AL1632">
        <f ca="1"/>
      </c>
      <c r="AM1632">
        <f ca="1"/>
      </c>
      <c r="AN1632">
        <f ca="1"/>
      </c>
      <c r="AO1632">
        <f ca="1"/>
      </c>
      <c r="AP1632">
        <f ca="1"/>
      </c>
      <c r="AQ1632">
        <f ca="1"/>
      </c>
      <c r="AR1632">
        <f ca="1"/>
      </c>
      <c r="AT1632" s="7">
        <f ca="1"/>
      </c>
      <c r="AU1632">
        <f ca="1"/>
      </c>
      <c r="AV1632">
        <f ca="1"/>
      </c>
      <c r="AW1632">
        <f ca="1"/>
      </c>
      <c r="AX1632">
        <f ca="1"/>
      </c>
      <c r="AY1632">
        <f ca="1"/>
      </c>
      <c r="BA1632" s="7"/>
    </row>
    <row r="1633" spans="31:53" x14ac:dyDescent="0.55000000000000004">
      <c r="AE1633" s="7">
        <f ca="1"/>
      </c>
      <c r="AF1633">
        <f ca="1"/>
      </c>
      <c r="AG1633">
        <f ca="1"/>
      </c>
      <c r="AH1633">
        <f ca="1"/>
      </c>
      <c r="AI1633">
        <f ca="1"/>
      </c>
      <c r="AJ1633">
        <f ca="1"/>
      </c>
      <c r="AK1633">
        <f ca="1"/>
      </c>
      <c r="AL1633">
        <f ca="1"/>
      </c>
      <c r="AM1633">
        <f ca="1"/>
      </c>
      <c r="AN1633">
        <f ca="1"/>
      </c>
      <c r="AO1633">
        <f ca="1"/>
      </c>
      <c r="AP1633">
        <f ca="1"/>
      </c>
      <c r="AQ1633">
        <f ca="1"/>
      </c>
      <c r="AR1633">
        <f ca="1"/>
      </c>
      <c r="AT1633" s="7">
        <f ca="1"/>
      </c>
      <c r="AU1633">
        <f ca="1"/>
      </c>
      <c r="AV1633">
        <f ca="1"/>
      </c>
      <c r="AW1633">
        <f ca="1"/>
      </c>
      <c r="AX1633">
        <f ca="1"/>
      </c>
      <c r="AY1633">
        <f ca="1"/>
      </c>
      <c r="BA1633" s="7"/>
    </row>
    <row r="1634" spans="31:53" x14ac:dyDescent="0.55000000000000004">
      <c r="AE1634" s="7">
        <f ca="1"/>
      </c>
      <c r="AF1634">
        <f ca="1"/>
      </c>
      <c r="AG1634">
        <f ca="1"/>
      </c>
      <c r="AH1634">
        <f ca="1"/>
      </c>
      <c r="AI1634">
        <f ca="1"/>
      </c>
      <c r="AJ1634">
        <f ca="1"/>
      </c>
      <c r="AK1634">
        <f ca="1"/>
      </c>
      <c r="AL1634">
        <f ca="1"/>
      </c>
      <c r="AM1634">
        <f ca="1"/>
      </c>
      <c r="AN1634">
        <f ca="1"/>
      </c>
      <c r="AO1634">
        <f ca="1"/>
      </c>
      <c r="AP1634">
        <f ca="1"/>
      </c>
      <c r="AQ1634">
        <f ca="1"/>
      </c>
      <c r="AR1634">
        <f ca="1"/>
      </c>
      <c r="AT1634" s="7">
        <f ca="1"/>
      </c>
      <c r="AU1634">
        <f ca="1"/>
      </c>
      <c r="AV1634">
        <f ca="1"/>
      </c>
      <c r="AW1634">
        <f ca="1"/>
      </c>
      <c r="AX1634">
        <f ca="1"/>
      </c>
      <c r="AY1634">
        <f ca="1"/>
      </c>
      <c r="BA1634" s="7"/>
    </row>
    <row r="1635" spans="31:53" x14ac:dyDescent="0.55000000000000004">
      <c r="AE1635" s="7">
        <f ca="1"/>
      </c>
      <c r="AF1635">
        <f ca="1"/>
      </c>
      <c r="AG1635">
        <f ca="1"/>
      </c>
      <c r="AH1635">
        <f ca="1"/>
      </c>
      <c r="AI1635">
        <f ca="1"/>
      </c>
      <c r="AJ1635">
        <f ca="1"/>
      </c>
      <c r="AK1635">
        <f ca="1"/>
      </c>
      <c r="AL1635">
        <f ca="1"/>
      </c>
      <c r="AM1635">
        <f ca="1"/>
      </c>
      <c r="AN1635">
        <f ca="1"/>
      </c>
      <c r="AO1635">
        <f ca="1"/>
      </c>
      <c r="AP1635">
        <f ca="1"/>
      </c>
      <c r="AQ1635">
        <f ca="1"/>
      </c>
      <c r="AR1635">
        <f ca="1"/>
      </c>
      <c r="AT1635" s="7">
        <f ca="1"/>
      </c>
      <c r="AU1635">
        <f ca="1"/>
      </c>
      <c r="AV1635">
        <f ca="1"/>
      </c>
      <c r="AW1635">
        <f ca="1"/>
      </c>
      <c r="AX1635">
        <f ca="1"/>
      </c>
      <c r="AY1635">
        <f ca="1"/>
      </c>
      <c r="BA1635" s="7"/>
    </row>
    <row r="1636" spans="31:53" x14ac:dyDescent="0.55000000000000004">
      <c r="AE1636" s="7">
        <f ca="1"/>
      </c>
      <c r="AF1636">
        <f ca="1"/>
      </c>
      <c r="AG1636">
        <f ca="1"/>
      </c>
      <c r="AH1636">
        <f ca="1"/>
      </c>
      <c r="AI1636">
        <f ca="1"/>
      </c>
      <c r="AJ1636">
        <f ca="1"/>
      </c>
      <c r="AK1636">
        <f ca="1"/>
      </c>
      <c r="AL1636">
        <f ca="1"/>
      </c>
      <c r="AM1636">
        <f ca="1"/>
      </c>
      <c r="AN1636">
        <f ca="1"/>
      </c>
      <c r="AO1636">
        <f ca="1"/>
      </c>
      <c r="AP1636">
        <f ca="1"/>
      </c>
      <c r="AQ1636">
        <f ca="1"/>
      </c>
      <c r="AR1636">
        <f ca="1"/>
      </c>
      <c r="AT1636" s="7">
        <f ca="1"/>
      </c>
      <c r="AU1636">
        <f ca="1"/>
      </c>
      <c r="AV1636">
        <f ca="1"/>
      </c>
      <c r="AW1636">
        <f ca="1"/>
      </c>
      <c r="AX1636">
        <f ca="1"/>
      </c>
      <c r="AY1636">
        <f ca="1"/>
      </c>
      <c r="BA1636" s="7"/>
    </row>
    <row r="1637" spans="31:53" x14ac:dyDescent="0.55000000000000004">
      <c r="AE1637" s="7">
        <f ca="1"/>
      </c>
      <c r="AF1637">
        <f ca="1"/>
      </c>
      <c r="AG1637">
        <f ca="1"/>
      </c>
      <c r="AH1637">
        <f ca="1"/>
      </c>
      <c r="AI1637">
        <f ca="1"/>
      </c>
      <c r="AJ1637">
        <f ca="1"/>
      </c>
      <c r="AK1637">
        <f ca="1"/>
      </c>
      <c r="AL1637">
        <f ca="1"/>
      </c>
      <c r="AM1637">
        <f ca="1"/>
      </c>
      <c r="AN1637">
        <f ca="1"/>
      </c>
      <c r="AO1637">
        <f ca="1"/>
      </c>
      <c r="AP1637">
        <f ca="1"/>
      </c>
      <c r="AQ1637">
        <f ca="1"/>
      </c>
      <c r="AR1637">
        <f ca="1"/>
      </c>
      <c r="AT1637" s="7">
        <f ca="1"/>
      </c>
      <c r="AU1637">
        <f ca="1"/>
      </c>
      <c r="AV1637">
        <f ca="1"/>
      </c>
      <c r="AW1637">
        <f ca="1"/>
      </c>
      <c r="AX1637">
        <f ca="1"/>
      </c>
      <c r="AY1637">
        <f ca="1"/>
      </c>
      <c r="BA1637" s="7"/>
    </row>
    <row r="1638" spans="31:53" x14ac:dyDescent="0.55000000000000004">
      <c r="AE1638" s="7">
        <f ca="1"/>
      </c>
      <c r="AF1638">
        <f ca="1"/>
      </c>
      <c r="AG1638">
        <f ca="1"/>
      </c>
      <c r="AH1638">
        <f ca="1"/>
      </c>
      <c r="AI1638">
        <f ca="1"/>
      </c>
      <c r="AJ1638">
        <f ca="1"/>
      </c>
      <c r="AK1638">
        <f ca="1"/>
      </c>
      <c r="AL1638">
        <f ca="1"/>
      </c>
      <c r="AM1638">
        <f ca="1"/>
      </c>
      <c r="AN1638">
        <f ca="1"/>
      </c>
      <c r="AO1638">
        <f ca="1"/>
      </c>
      <c r="AP1638">
        <f ca="1"/>
      </c>
      <c r="AQ1638">
        <f ca="1"/>
      </c>
      <c r="AR1638">
        <f ca="1"/>
      </c>
      <c r="AT1638" s="7">
        <f ca="1"/>
      </c>
      <c r="AU1638">
        <f ca="1"/>
      </c>
      <c r="AV1638">
        <f ca="1"/>
      </c>
      <c r="AW1638">
        <f ca="1"/>
      </c>
      <c r="AX1638">
        <f ca="1"/>
      </c>
      <c r="AY1638">
        <f ca="1"/>
      </c>
      <c r="BA1638" s="7"/>
    </row>
    <row r="1639" spans="31:53" x14ac:dyDescent="0.55000000000000004">
      <c r="AE1639" s="7">
        <f ca="1"/>
      </c>
      <c r="AF1639">
        <f ca="1"/>
      </c>
      <c r="AG1639">
        <f ca="1"/>
      </c>
      <c r="AH1639">
        <f ca="1"/>
      </c>
      <c r="AI1639">
        <f ca="1"/>
      </c>
      <c r="AJ1639">
        <f ca="1"/>
      </c>
      <c r="AK1639">
        <f ca="1"/>
      </c>
      <c r="AL1639">
        <f ca="1"/>
      </c>
      <c r="AM1639">
        <f ca="1"/>
      </c>
      <c r="AN1639">
        <f ca="1"/>
      </c>
      <c r="AO1639">
        <f ca="1"/>
      </c>
      <c r="AP1639">
        <f ca="1"/>
      </c>
      <c r="AQ1639">
        <f ca="1"/>
      </c>
      <c r="AR1639">
        <f ca="1"/>
      </c>
      <c r="AT1639" s="7">
        <f ca="1"/>
      </c>
      <c r="AU1639">
        <f ca="1"/>
      </c>
      <c r="AV1639">
        <f ca="1"/>
      </c>
      <c r="AW1639">
        <f ca="1"/>
      </c>
      <c r="AX1639">
        <f ca="1"/>
      </c>
      <c r="AY1639">
        <f ca="1"/>
      </c>
      <c r="BA1639" s="7"/>
    </row>
    <row r="1640" spans="31:53" x14ac:dyDescent="0.55000000000000004">
      <c r="AE1640" s="7">
        <f ca="1"/>
      </c>
      <c r="AF1640">
        <f ca="1"/>
      </c>
      <c r="AG1640">
        <f ca="1"/>
      </c>
      <c r="AH1640">
        <f ca="1"/>
      </c>
      <c r="AI1640">
        <f ca="1"/>
      </c>
      <c r="AJ1640">
        <f ca="1"/>
      </c>
      <c r="AK1640">
        <f ca="1"/>
      </c>
      <c r="AL1640">
        <f ca="1"/>
      </c>
      <c r="AM1640">
        <f ca="1"/>
      </c>
      <c r="AN1640">
        <f ca="1"/>
      </c>
      <c r="AO1640">
        <f ca="1"/>
      </c>
      <c r="AP1640">
        <f ca="1"/>
      </c>
      <c r="AQ1640">
        <f ca="1"/>
      </c>
      <c r="AR1640">
        <f ca="1"/>
      </c>
      <c r="AT1640" s="7">
        <f ca="1"/>
      </c>
      <c r="AU1640">
        <f ca="1"/>
      </c>
      <c r="AV1640">
        <f ca="1"/>
      </c>
      <c r="AW1640">
        <f ca="1"/>
      </c>
      <c r="AX1640">
        <f ca="1"/>
      </c>
      <c r="AY1640">
        <f ca="1"/>
      </c>
      <c r="BA1640" s="7"/>
    </row>
    <row r="1641" spans="31:53" x14ac:dyDescent="0.55000000000000004">
      <c r="AE1641" s="7">
        <f ca="1"/>
      </c>
      <c r="AF1641">
        <f ca="1"/>
      </c>
      <c r="AG1641">
        <f ca="1"/>
      </c>
      <c r="AH1641">
        <f ca="1"/>
      </c>
      <c r="AI1641">
        <f ca="1"/>
      </c>
      <c r="AJ1641">
        <f ca="1"/>
      </c>
      <c r="AK1641">
        <f ca="1"/>
      </c>
      <c r="AL1641">
        <f ca="1"/>
      </c>
      <c r="AM1641">
        <f ca="1"/>
      </c>
      <c r="AN1641">
        <f ca="1"/>
      </c>
      <c r="AO1641">
        <f ca="1"/>
      </c>
      <c r="AP1641">
        <f ca="1"/>
      </c>
      <c r="AQ1641">
        <f ca="1"/>
      </c>
      <c r="AR1641">
        <f ca="1"/>
      </c>
      <c r="AT1641" s="7">
        <f ca="1"/>
      </c>
      <c r="AU1641">
        <f ca="1"/>
      </c>
      <c r="AV1641">
        <f ca="1"/>
      </c>
      <c r="AW1641">
        <f ca="1"/>
      </c>
      <c r="AX1641">
        <f ca="1"/>
      </c>
      <c r="AY1641">
        <f ca="1"/>
      </c>
      <c r="BA1641" s="7"/>
    </row>
    <row r="1642" spans="31:53" x14ac:dyDescent="0.55000000000000004">
      <c r="AE1642" s="7">
        <f ca="1"/>
      </c>
      <c r="AF1642">
        <f ca="1"/>
      </c>
      <c r="AG1642">
        <f ca="1"/>
      </c>
      <c r="AH1642">
        <f ca="1"/>
      </c>
      <c r="AI1642">
        <f ca="1"/>
      </c>
      <c r="AJ1642">
        <f ca="1"/>
      </c>
      <c r="AK1642">
        <f ca="1"/>
      </c>
      <c r="AL1642">
        <f ca="1"/>
      </c>
      <c r="AM1642">
        <f ca="1"/>
      </c>
      <c r="AN1642">
        <f ca="1"/>
      </c>
      <c r="AO1642">
        <f ca="1"/>
      </c>
      <c r="AP1642">
        <f ca="1"/>
      </c>
      <c r="AQ1642">
        <f ca="1"/>
      </c>
      <c r="AR1642">
        <f ca="1"/>
      </c>
      <c r="AT1642" s="7">
        <f ca="1"/>
      </c>
      <c r="AU1642">
        <f ca="1"/>
      </c>
      <c r="AV1642">
        <f ca="1"/>
      </c>
      <c r="AW1642">
        <f ca="1"/>
      </c>
      <c r="AX1642">
        <f ca="1"/>
      </c>
      <c r="AY1642">
        <f ca="1"/>
      </c>
      <c r="BA1642" s="7"/>
    </row>
    <row r="1643" spans="31:53" x14ac:dyDescent="0.55000000000000004">
      <c r="AE1643" s="7">
        <f ca="1"/>
      </c>
      <c r="AF1643">
        <f ca="1"/>
      </c>
      <c r="AG1643">
        <f ca="1"/>
      </c>
      <c r="AH1643">
        <f ca="1"/>
      </c>
      <c r="AI1643">
        <f ca="1"/>
      </c>
      <c r="AJ1643">
        <f ca="1"/>
      </c>
      <c r="AK1643">
        <f ca="1"/>
      </c>
      <c r="AL1643">
        <f ca="1"/>
      </c>
      <c r="AM1643">
        <f ca="1"/>
      </c>
      <c r="AN1643">
        <f ca="1"/>
      </c>
      <c r="AO1643">
        <f ca="1"/>
      </c>
      <c r="AP1643">
        <f ca="1"/>
      </c>
      <c r="AQ1643">
        <f ca="1"/>
      </c>
      <c r="AR1643">
        <f ca="1"/>
      </c>
      <c r="AT1643" s="7">
        <f ca="1"/>
      </c>
      <c r="AU1643">
        <f ca="1"/>
      </c>
      <c r="AV1643">
        <f ca="1"/>
      </c>
      <c r="AW1643">
        <f ca="1"/>
      </c>
      <c r="AX1643">
        <f ca="1"/>
      </c>
      <c r="AY1643">
        <f ca="1"/>
      </c>
      <c r="BA1643" s="7"/>
    </row>
    <row r="1644" spans="31:53" x14ac:dyDescent="0.55000000000000004">
      <c r="AE1644" s="7">
        <f ca="1"/>
      </c>
      <c r="AF1644">
        <f ca="1"/>
      </c>
      <c r="AG1644">
        <f ca="1"/>
      </c>
      <c r="AH1644">
        <f ca="1"/>
      </c>
      <c r="AI1644">
        <f ca="1"/>
      </c>
      <c r="AJ1644">
        <f ca="1"/>
      </c>
      <c r="AK1644">
        <f ca="1"/>
      </c>
      <c r="AL1644">
        <f ca="1"/>
      </c>
      <c r="AM1644">
        <f ca="1"/>
      </c>
      <c r="AN1644">
        <f ca="1"/>
      </c>
      <c r="AO1644">
        <f ca="1"/>
      </c>
      <c r="AP1644">
        <f ca="1"/>
      </c>
      <c r="AQ1644">
        <f ca="1"/>
      </c>
      <c r="AR1644">
        <f ca="1"/>
      </c>
      <c r="AT1644" s="7">
        <f ca="1"/>
      </c>
      <c r="AU1644">
        <f ca="1"/>
      </c>
      <c r="AV1644">
        <f ca="1"/>
      </c>
      <c r="AW1644">
        <f ca="1"/>
      </c>
      <c r="AX1644">
        <f ca="1"/>
      </c>
      <c r="AY1644">
        <f ca="1"/>
      </c>
      <c r="BA1644" s="7"/>
    </row>
    <row r="1645" spans="31:53" x14ac:dyDescent="0.55000000000000004">
      <c r="AE1645" s="7">
        <f ca="1"/>
      </c>
      <c r="AF1645">
        <f ca="1"/>
      </c>
      <c r="AG1645">
        <f ca="1"/>
      </c>
      <c r="AH1645">
        <f ca="1"/>
      </c>
      <c r="AI1645">
        <f ca="1"/>
      </c>
      <c r="AJ1645">
        <f ca="1"/>
      </c>
      <c r="AK1645">
        <f ca="1"/>
      </c>
      <c r="AL1645">
        <f ca="1"/>
      </c>
      <c r="AM1645">
        <f ca="1"/>
      </c>
      <c r="AN1645">
        <f ca="1"/>
      </c>
      <c r="AO1645">
        <f ca="1"/>
      </c>
      <c r="AP1645">
        <f ca="1"/>
      </c>
      <c r="AQ1645">
        <f ca="1"/>
      </c>
      <c r="AR1645">
        <f ca="1"/>
      </c>
      <c r="AT1645" s="7">
        <f ca="1"/>
      </c>
      <c r="AU1645">
        <f ca="1"/>
      </c>
      <c r="AV1645">
        <f ca="1"/>
      </c>
      <c r="AW1645">
        <f ca="1"/>
      </c>
      <c r="AX1645">
        <f ca="1"/>
      </c>
      <c r="AY1645">
        <f ca="1"/>
      </c>
      <c r="BA1645" s="7"/>
    </row>
    <row r="1646" spans="31:53" x14ac:dyDescent="0.55000000000000004">
      <c r="AE1646" s="7">
        <f ca="1"/>
      </c>
      <c r="AF1646">
        <f ca="1"/>
      </c>
      <c r="AG1646">
        <f ca="1"/>
      </c>
      <c r="AH1646">
        <f ca="1"/>
      </c>
      <c r="AI1646">
        <f ca="1"/>
      </c>
      <c r="AJ1646">
        <f ca="1"/>
      </c>
      <c r="AK1646">
        <f ca="1"/>
      </c>
      <c r="AL1646">
        <f ca="1"/>
      </c>
      <c r="AM1646">
        <f ca="1"/>
      </c>
      <c r="AN1646">
        <f ca="1"/>
      </c>
      <c r="AO1646">
        <f ca="1"/>
      </c>
      <c r="AP1646">
        <f ca="1"/>
      </c>
      <c r="AQ1646">
        <f ca="1"/>
      </c>
      <c r="AR1646">
        <f ca="1"/>
      </c>
      <c r="AT1646" s="7">
        <f ca="1"/>
      </c>
      <c r="AU1646">
        <f ca="1"/>
      </c>
      <c r="AV1646">
        <f ca="1"/>
      </c>
      <c r="AW1646">
        <f ca="1"/>
      </c>
      <c r="AX1646">
        <f ca="1"/>
      </c>
      <c r="AY1646">
        <f ca="1"/>
      </c>
      <c r="BA1646" s="7"/>
    </row>
    <row r="1647" spans="31:53" x14ac:dyDescent="0.55000000000000004">
      <c r="AE1647" s="7">
        <f ca="1"/>
      </c>
      <c r="AF1647">
        <f ca="1"/>
      </c>
      <c r="AG1647">
        <f ca="1"/>
      </c>
      <c r="AH1647">
        <f ca="1"/>
      </c>
      <c r="AI1647">
        <f ca="1"/>
      </c>
      <c r="AJ1647">
        <f ca="1"/>
      </c>
      <c r="AK1647">
        <f ca="1"/>
      </c>
      <c r="AL1647">
        <f ca="1"/>
      </c>
      <c r="AM1647">
        <f ca="1"/>
      </c>
      <c r="AN1647">
        <f ca="1"/>
      </c>
      <c r="AO1647">
        <f ca="1"/>
      </c>
      <c r="AP1647">
        <f ca="1"/>
      </c>
      <c r="AQ1647">
        <f ca="1"/>
      </c>
      <c r="AR1647">
        <f ca="1"/>
      </c>
      <c r="AT1647" s="7">
        <f ca="1"/>
      </c>
      <c r="AU1647">
        <f ca="1"/>
      </c>
      <c r="AV1647">
        <f ca="1"/>
      </c>
      <c r="AW1647">
        <f ca="1"/>
      </c>
      <c r="AX1647">
        <f ca="1"/>
      </c>
      <c r="AY1647">
        <f ca="1"/>
      </c>
      <c r="BA1647" s="7"/>
    </row>
    <row r="1648" spans="31:53" x14ac:dyDescent="0.55000000000000004">
      <c r="AE1648" s="7">
        <f ca="1"/>
      </c>
      <c r="AF1648">
        <f ca="1"/>
      </c>
      <c r="AG1648">
        <f ca="1"/>
      </c>
      <c r="AH1648">
        <f ca="1"/>
      </c>
      <c r="AI1648">
        <f ca="1"/>
      </c>
      <c r="AJ1648">
        <f ca="1"/>
      </c>
      <c r="AK1648">
        <f ca="1"/>
      </c>
      <c r="AL1648">
        <f ca="1"/>
      </c>
      <c r="AM1648">
        <f ca="1"/>
      </c>
      <c r="AN1648">
        <f ca="1"/>
      </c>
      <c r="AO1648">
        <f ca="1"/>
      </c>
      <c r="AP1648">
        <f ca="1"/>
      </c>
      <c r="AQ1648">
        <f ca="1"/>
      </c>
      <c r="AR1648">
        <f ca="1"/>
      </c>
      <c r="AT1648" s="7">
        <f ca="1"/>
      </c>
      <c r="AU1648">
        <f ca="1"/>
      </c>
      <c r="AV1648">
        <f ca="1"/>
      </c>
      <c r="AW1648">
        <f ca="1"/>
      </c>
      <c r="AX1648">
        <f ca="1"/>
      </c>
      <c r="AY1648">
        <f ca="1"/>
      </c>
      <c r="BA1648" s="7"/>
    </row>
    <row r="1649" spans="31:53" x14ac:dyDescent="0.55000000000000004">
      <c r="AE1649" s="7">
        <f ca="1"/>
      </c>
      <c r="AF1649">
        <f ca="1"/>
      </c>
      <c r="AG1649">
        <f ca="1"/>
      </c>
      <c r="AH1649">
        <f ca="1"/>
      </c>
      <c r="AI1649">
        <f ca="1"/>
      </c>
      <c r="AJ1649">
        <f ca="1"/>
      </c>
      <c r="AK1649">
        <f ca="1"/>
      </c>
      <c r="AL1649">
        <f ca="1"/>
      </c>
      <c r="AM1649">
        <f ca="1"/>
      </c>
      <c r="AN1649">
        <f ca="1"/>
      </c>
      <c r="AO1649">
        <f ca="1"/>
      </c>
      <c r="AP1649">
        <f ca="1"/>
      </c>
      <c r="AQ1649">
        <f ca="1"/>
      </c>
      <c r="AR1649">
        <f ca="1"/>
      </c>
      <c r="AT1649" s="7">
        <f ca="1"/>
      </c>
      <c r="AU1649">
        <f ca="1"/>
      </c>
      <c r="AV1649">
        <f ca="1"/>
      </c>
      <c r="AW1649">
        <f ca="1"/>
      </c>
      <c r="AX1649">
        <f ca="1"/>
      </c>
      <c r="AY1649">
        <f ca="1"/>
      </c>
      <c r="BA1649" s="7"/>
    </row>
    <row r="1650" spans="31:53" x14ac:dyDescent="0.55000000000000004">
      <c r="AE1650" s="7">
        <f ca="1"/>
      </c>
      <c r="AF1650">
        <f ca="1"/>
      </c>
      <c r="AG1650">
        <f ca="1"/>
      </c>
      <c r="AH1650">
        <f ca="1"/>
      </c>
      <c r="AI1650">
        <f ca="1"/>
      </c>
      <c r="AJ1650">
        <f ca="1"/>
      </c>
      <c r="AK1650">
        <f ca="1"/>
      </c>
      <c r="AL1650">
        <f ca="1"/>
      </c>
      <c r="AM1650">
        <f ca="1"/>
      </c>
      <c r="AN1650">
        <f ca="1"/>
      </c>
      <c r="AO1650">
        <f ca="1"/>
      </c>
      <c r="AP1650">
        <f ca="1"/>
      </c>
      <c r="AQ1650">
        <f ca="1"/>
      </c>
      <c r="AR1650">
        <f ca="1"/>
      </c>
      <c r="AT1650" s="7">
        <f ca="1"/>
      </c>
      <c r="AU1650">
        <f ca="1"/>
      </c>
      <c r="AV1650">
        <f ca="1"/>
      </c>
      <c r="AW1650">
        <f ca="1"/>
      </c>
      <c r="AX1650">
        <f ca="1"/>
      </c>
      <c r="AY1650">
        <f ca="1"/>
      </c>
      <c r="BA1650" s="7"/>
    </row>
    <row r="1651" spans="31:53" x14ac:dyDescent="0.55000000000000004">
      <c r="AE1651" s="7">
        <f ca="1"/>
      </c>
      <c r="AF1651">
        <f ca="1"/>
      </c>
      <c r="AG1651">
        <f ca="1"/>
      </c>
      <c r="AH1651">
        <f ca="1"/>
      </c>
      <c r="AI1651">
        <f ca="1"/>
      </c>
      <c r="AJ1651">
        <f ca="1"/>
      </c>
      <c r="AK1651">
        <f ca="1"/>
      </c>
      <c r="AL1651">
        <f ca="1"/>
      </c>
      <c r="AM1651">
        <f ca="1"/>
      </c>
      <c r="AN1651">
        <f ca="1"/>
      </c>
      <c r="AO1651">
        <f ca="1"/>
      </c>
      <c r="AP1651">
        <f ca="1"/>
      </c>
      <c r="AQ1651">
        <f ca="1"/>
      </c>
      <c r="AR1651">
        <f ca="1"/>
      </c>
      <c r="AT1651" s="7">
        <f ca="1"/>
      </c>
      <c r="AU1651">
        <f ca="1"/>
      </c>
      <c r="AV1651">
        <f ca="1"/>
      </c>
      <c r="AW1651">
        <f ca="1"/>
      </c>
      <c r="AX1651">
        <f ca="1"/>
      </c>
      <c r="AY1651">
        <f ca="1"/>
      </c>
      <c r="BA1651" s="7"/>
    </row>
    <row r="1652" spans="31:53" x14ac:dyDescent="0.55000000000000004">
      <c r="AE1652" s="7">
        <f ca="1"/>
      </c>
      <c r="AF1652">
        <f ca="1"/>
      </c>
      <c r="AG1652">
        <f ca="1"/>
      </c>
      <c r="AH1652">
        <f ca="1"/>
      </c>
      <c r="AI1652">
        <f ca="1"/>
      </c>
      <c r="AJ1652">
        <f ca="1"/>
      </c>
      <c r="AK1652">
        <f ca="1"/>
      </c>
      <c r="AL1652">
        <f ca="1"/>
      </c>
      <c r="AM1652">
        <f ca="1"/>
      </c>
      <c r="AN1652">
        <f ca="1"/>
      </c>
      <c r="AO1652">
        <f ca="1"/>
      </c>
      <c r="AP1652">
        <f ca="1"/>
      </c>
      <c r="AQ1652">
        <f ca="1"/>
      </c>
      <c r="AR1652">
        <f ca="1"/>
      </c>
      <c r="AT1652" s="7">
        <f ca="1"/>
      </c>
      <c r="AU1652">
        <f ca="1"/>
      </c>
      <c r="AV1652">
        <f ca="1"/>
      </c>
      <c r="AW1652">
        <f ca="1"/>
      </c>
      <c r="AX1652">
        <f ca="1"/>
      </c>
      <c r="AY1652">
        <f ca="1"/>
      </c>
      <c r="BA1652" s="7"/>
    </row>
    <row r="1653" spans="31:53" x14ac:dyDescent="0.55000000000000004">
      <c r="AE1653" s="7">
        <f ca="1"/>
      </c>
      <c r="AF1653">
        <f ca="1"/>
      </c>
      <c r="AG1653">
        <f ca="1"/>
      </c>
      <c r="AH1653">
        <f ca="1"/>
      </c>
      <c r="AI1653">
        <f ca="1"/>
      </c>
      <c r="AJ1653">
        <f ca="1"/>
      </c>
      <c r="AK1653">
        <f ca="1"/>
      </c>
      <c r="AL1653">
        <f ca="1"/>
      </c>
      <c r="AM1653">
        <f ca="1"/>
      </c>
      <c r="AN1653">
        <f ca="1"/>
      </c>
      <c r="AO1653">
        <f ca="1"/>
      </c>
      <c r="AP1653">
        <f ca="1"/>
      </c>
      <c r="AQ1653">
        <f ca="1"/>
      </c>
      <c r="AR1653">
        <f ca="1"/>
      </c>
      <c r="AT1653" s="7">
        <f ca="1"/>
      </c>
      <c r="AU1653">
        <f ca="1"/>
      </c>
      <c r="AV1653">
        <f ca="1"/>
      </c>
      <c r="AW1653">
        <f ca="1"/>
      </c>
      <c r="AX1653">
        <f ca="1"/>
      </c>
      <c r="AY1653">
        <f ca="1"/>
      </c>
      <c r="BA1653" s="7"/>
    </row>
    <row r="1654" spans="31:53" x14ac:dyDescent="0.55000000000000004">
      <c r="AE1654" s="7">
        <f ca="1"/>
      </c>
      <c r="AF1654">
        <f ca="1"/>
      </c>
      <c r="AG1654">
        <f ca="1"/>
      </c>
      <c r="AH1654">
        <f ca="1"/>
      </c>
      <c r="AI1654">
        <f ca="1"/>
      </c>
      <c r="AJ1654">
        <f ca="1"/>
      </c>
      <c r="AK1654">
        <f ca="1"/>
      </c>
      <c r="AL1654">
        <f ca="1"/>
      </c>
      <c r="AM1654">
        <f ca="1"/>
      </c>
      <c r="AN1654">
        <f ca="1"/>
      </c>
      <c r="AO1654">
        <f ca="1"/>
      </c>
      <c r="AP1654">
        <f ca="1"/>
      </c>
      <c r="AQ1654">
        <f ca="1"/>
      </c>
      <c r="AR1654">
        <f ca="1"/>
      </c>
      <c r="AT1654" s="7">
        <f ca="1"/>
      </c>
      <c r="AU1654">
        <f ca="1"/>
      </c>
      <c r="AV1654">
        <f ca="1"/>
      </c>
      <c r="AW1654">
        <f ca="1"/>
      </c>
      <c r="AX1654">
        <f ca="1"/>
      </c>
      <c r="AY1654">
        <f ca="1"/>
      </c>
      <c r="BA1654" s="7"/>
    </row>
    <row r="1655" spans="31:53" x14ac:dyDescent="0.55000000000000004">
      <c r="AE1655" s="7">
        <f ca="1"/>
      </c>
      <c r="AF1655">
        <f ca="1"/>
      </c>
      <c r="AG1655">
        <f ca="1"/>
      </c>
      <c r="AH1655">
        <f ca="1"/>
      </c>
      <c r="AI1655">
        <f ca="1"/>
      </c>
      <c r="AJ1655">
        <f ca="1"/>
      </c>
      <c r="AK1655">
        <f ca="1"/>
      </c>
      <c r="AL1655">
        <f ca="1"/>
      </c>
      <c r="AM1655">
        <f ca="1"/>
      </c>
      <c r="AN1655">
        <f ca="1"/>
      </c>
      <c r="AO1655">
        <f ca="1"/>
      </c>
      <c r="AP1655">
        <f ca="1"/>
      </c>
      <c r="AQ1655">
        <f ca="1"/>
      </c>
      <c r="AR1655">
        <f ca="1"/>
      </c>
      <c r="AT1655" s="7">
        <f ca="1"/>
      </c>
      <c r="AU1655">
        <f ca="1"/>
      </c>
      <c r="AV1655">
        <f ca="1"/>
      </c>
      <c r="AW1655">
        <f ca="1"/>
      </c>
      <c r="AX1655">
        <f ca="1"/>
      </c>
      <c r="AY1655">
        <f ca="1"/>
      </c>
      <c r="BA1655" s="7"/>
    </row>
    <row r="1656" spans="31:53" x14ac:dyDescent="0.55000000000000004">
      <c r="AE1656" s="7">
        <f ca="1"/>
      </c>
      <c r="AF1656">
        <f ca="1"/>
      </c>
      <c r="AG1656">
        <f ca="1"/>
      </c>
      <c r="AH1656">
        <f ca="1"/>
      </c>
      <c r="AI1656">
        <f ca="1"/>
      </c>
      <c r="AJ1656">
        <f ca="1"/>
      </c>
      <c r="AK1656">
        <f ca="1"/>
      </c>
      <c r="AL1656">
        <f ca="1"/>
      </c>
      <c r="AM1656">
        <f ca="1"/>
      </c>
      <c r="AN1656">
        <f ca="1"/>
      </c>
      <c r="AO1656">
        <f ca="1"/>
      </c>
      <c r="AP1656">
        <f ca="1"/>
      </c>
      <c r="AQ1656">
        <f ca="1"/>
      </c>
      <c r="AR1656">
        <f ca="1"/>
      </c>
      <c r="AT1656" s="7">
        <f ca="1"/>
      </c>
      <c r="AU1656">
        <f ca="1"/>
      </c>
      <c r="AV1656">
        <f ca="1"/>
      </c>
      <c r="AW1656">
        <f ca="1"/>
      </c>
      <c r="AX1656">
        <f ca="1"/>
      </c>
      <c r="AY1656">
        <f ca="1"/>
      </c>
      <c r="BA1656" s="7"/>
    </row>
    <row r="1657" spans="31:53" x14ac:dyDescent="0.55000000000000004">
      <c r="AE1657" s="7">
        <f ca="1"/>
      </c>
      <c r="AF1657">
        <f ca="1"/>
      </c>
      <c r="AG1657">
        <f ca="1"/>
      </c>
      <c r="AH1657">
        <f ca="1"/>
      </c>
      <c r="AI1657">
        <f ca="1"/>
      </c>
      <c r="AJ1657">
        <f ca="1"/>
      </c>
      <c r="AK1657">
        <f ca="1"/>
      </c>
      <c r="AL1657">
        <f ca="1"/>
      </c>
      <c r="AM1657">
        <f ca="1"/>
      </c>
      <c r="AN1657">
        <f ca="1"/>
      </c>
      <c r="AO1657">
        <f ca="1"/>
      </c>
      <c r="AP1657">
        <f ca="1"/>
      </c>
      <c r="AQ1657">
        <f ca="1"/>
      </c>
      <c r="AR1657">
        <f ca="1"/>
      </c>
      <c r="AT1657" s="7">
        <f ca="1"/>
      </c>
      <c r="AU1657">
        <f ca="1"/>
      </c>
      <c r="AV1657">
        <f ca="1"/>
      </c>
      <c r="AW1657">
        <f ca="1"/>
      </c>
      <c r="AX1657">
        <f ca="1"/>
      </c>
      <c r="AY1657">
        <f ca="1"/>
      </c>
      <c r="BA1657" s="7"/>
    </row>
    <row r="1658" spans="31:53" x14ac:dyDescent="0.55000000000000004">
      <c r="AE1658" s="7">
        <f ca="1"/>
      </c>
      <c r="AF1658">
        <f ca="1"/>
      </c>
      <c r="AG1658">
        <f ca="1"/>
      </c>
      <c r="AH1658">
        <f ca="1"/>
      </c>
      <c r="AI1658">
        <f ca="1"/>
      </c>
      <c r="AJ1658">
        <f ca="1"/>
      </c>
      <c r="AK1658">
        <f ca="1"/>
      </c>
      <c r="AL1658">
        <f ca="1"/>
      </c>
      <c r="AM1658">
        <f ca="1"/>
      </c>
      <c r="AN1658">
        <f ca="1"/>
      </c>
      <c r="AO1658">
        <f ca="1"/>
      </c>
      <c r="AP1658">
        <f ca="1"/>
      </c>
      <c r="AQ1658">
        <f ca="1"/>
      </c>
      <c r="AR1658">
        <f ca="1"/>
      </c>
      <c r="AT1658" s="7">
        <f ca="1"/>
      </c>
      <c r="AU1658">
        <f ca="1"/>
      </c>
      <c r="AV1658">
        <f ca="1"/>
      </c>
      <c r="AW1658">
        <f ca="1"/>
      </c>
      <c r="AX1658">
        <f ca="1"/>
      </c>
      <c r="AY1658">
        <f ca="1"/>
      </c>
      <c r="BA1658" s="7"/>
    </row>
    <row r="1659" spans="31:53" x14ac:dyDescent="0.55000000000000004">
      <c r="AE1659" s="7">
        <f ca="1"/>
      </c>
      <c r="AF1659">
        <f ca="1"/>
      </c>
      <c r="AG1659">
        <f ca="1"/>
      </c>
      <c r="AH1659">
        <f ca="1"/>
      </c>
      <c r="AI1659">
        <f ca="1"/>
      </c>
      <c r="AJ1659">
        <f ca="1"/>
      </c>
      <c r="AK1659">
        <f ca="1"/>
      </c>
      <c r="AL1659">
        <f ca="1"/>
      </c>
      <c r="AM1659">
        <f ca="1"/>
      </c>
      <c r="AN1659">
        <f ca="1"/>
      </c>
      <c r="AO1659">
        <f ca="1"/>
      </c>
      <c r="AP1659">
        <f ca="1"/>
      </c>
      <c r="AQ1659">
        <f ca="1"/>
      </c>
      <c r="AR1659">
        <f ca="1"/>
      </c>
      <c r="AT1659" s="7">
        <f ca="1"/>
      </c>
      <c r="AU1659">
        <f ca="1"/>
      </c>
      <c r="AV1659">
        <f ca="1"/>
      </c>
      <c r="AW1659">
        <f ca="1"/>
      </c>
      <c r="AX1659">
        <f ca="1"/>
      </c>
      <c r="AY1659">
        <f ca="1"/>
      </c>
      <c r="BA1659" s="7"/>
    </row>
    <row r="1660" spans="31:53" x14ac:dyDescent="0.55000000000000004">
      <c r="AE1660" s="7">
        <f ca="1"/>
      </c>
      <c r="AF1660">
        <f ca="1"/>
      </c>
      <c r="AG1660">
        <f ca="1"/>
      </c>
      <c r="AH1660">
        <f ca="1"/>
      </c>
      <c r="AI1660">
        <f ca="1"/>
      </c>
      <c r="AJ1660">
        <f ca="1"/>
      </c>
      <c r="AK1660">
        <f ca="1"/>
      </c>
      <c r="AL1660">
        <f ca="1"/>
      </c>
      <c r="AM1660">
        <f ca="1"/>
      </c>
      <c r="AN1660">
        <f ca="1"/>
      </c>
      <c r="AO1660">
        <f ca="1"/>
      </c>
      <c r="AP1660">
        <f ca="1"/>
      </c>
      <c r="AQ1660">
        <f ca="1"/>
      </c>
      <c r="AR1660">
        <f ca="1"/>
      </c>
      <c r="AT1660" s="7">
        <f ca="1"/>
      </c>
      <c r="AU1660">
        <f ca="1"/>
      </c>
      <c r="AV1660">
        <f ca="1"/>
      </c>
      <c r="AW1660">
        <f ca="1"/>
      </c>
      <c r="AX1660">
        <f ca="1"/>
      </c>
      <c r="AY1660">
        <f ca="1"/>
      </c>
      <c r="BA1660" s="7"/>
    </row>
    <row r="1661" spans="31:53" x14ac:dyDescent="0.55000000000000004">
      <c r="AE1661" s="7">
        <f ca="1"/>
      </c>
      <c r="AF1661">
        <f ca="1"/>
      </c>
      <c r="AG1661">
        <f ca="1"/>
      </c>
      <c r="AH1661">
        <f ca="1"/>
      </c>
      <c r="AI1661">
        <f ca="1"/>
      </c>
      <c r="AJ1661">
        <f ca="1"/>
      </c>
      <c r="AK1661">
        <f ca="1"/>
      </c>
      <c r="AL1661">
        <f ca="1"/>
      </c>
      <c r="AM1661">
        <f ca="1"/>
      </c>
      <c r="AN1661">
        <f ca="1"/>
      </c>
      <c r="AO1661">
        <f ca="1"/>
      </c>
      <c r="AP1661">
        <f ca="1"/>
      </c>
      <c r="AQ1661">
        <f ca="1"/>
      </c>
      <c r="AR1661">
        <f ca="1"/>
      </c>
      <c r="AT1661" s="7">
        <f ca="1"/>
      </c>
      <c r="AU1661">
        <f ca="1"/>
      </c>
      <c r="AV1661">
        <f ca="1"/>
      </c>
      <c r="AW1661">
        <f ca="1"/>
      </c>
      <c r="AX1661">
        <f ca="1"/>
      </c>
      <c r="AY1661">
        <f ca="1"/>
      </c>
      <c r="BA1661" s="7"/>
    </row>
    <row r="1662" spans="31:53" x14ac:dyDescent="0.55000000000000004">
      <c r="AE1662" s="7">
        <f ca="1"/>
      </c>
      <c r="AF1662">
        <f ca="1"/>
      </c>
      <c r="AG1662">
        <f ca="1"/>
      </c>
      <c r="AH1662">
        <f ca="1"/>
      </c>
      <c r="AI1662">
        <f ca="1"/>
      </c>
      <c r="AJ1662">
        <f ca="1"/>
      </c>
      <c r="AK1662">
        <f ca="1"/>
      </c>
      <c r="AL1662">
        <f ca="1"/>
      </c>
      <c r="AM1662">
        <f ca="1"/>
      </c>
      <c r="AN1662">
        <f ca="1"/>
      </c>
      <c r="AO1662">
        <f ca="1"/>
      </c>
      <c r="AP1662">
        <f ca="1"/>
      </c>
      <c r="AQ1662">
        <f ca="1"/>
      </c>
      <c r="AR1662">
        <f ca="1"/>
      </c>
      <c r="AT1662" s="7">
        <f ca="1"/>
      </c>
      <c r="AU1662">
        <f ca="1"/>
      </c>
      <c r="AV1662">
        <f ca="1"/>
      </c>
      <c r="AW1662">
        <f ca="1"/>
      </c>
      <c r="AX1662">
        <f ca="1"/>
      </c>
      <c r="AY1662">
        <f ca="1"/>
      </c>
      <c r="BA1662" s="7"/>
    </row>
    <row r="1663" spans="31:53" x14ac:dyDescent="0.55000000000000004">
      <c r="AE1663" s="7">
        <f ca="1"/>
      </c>
      <c r="AF1663">
        <f ca="1"/>
      </c>
      <c r="AG1663">
        <f ca="1"/>
      </c>
      <c r="AH1663">
        <f ca="1"/>
      </c>
      <c r="AI1663">
        <f ca="1"/>
      </c>
      <c r="AJ1663">
        <f ca="1"/>
      </c>
      <c r="AK1663">
        <f ca="1"/>
      </c>
      <c r="AL1663">
        <f ca="1"/>
      </c>
      <c r="AM1663">
        <f ca="1"/>
      </c>
      <c r="AN1663">
        <f ca="1"/>
      </c>
      <c r="AO1663">
        <f ca="1"/>
      </c>
      <c r="AP1663">
        <f ca="1"/>
      </c>
      <c r="AQ1663">
        <f ca="1"/>
      </c>
      <c r="AR1663">
        <f ca="1"/>
      </c>
      <c r="AT1663" s="7">
        <f ca="1"/>
      </c>
      <c r="AU1663">
        <f ca="1"/>
      </c>
      <c r="AV1663">
        <f ca="1"/>
      </c>
      <c r="AW1663">
        <f ca="1"/>
      </c>
      <c r="AX1663">
        <f ca="1"/>
      </c>
      <c r="AY1663">
        <f ca="1"/>
      </c>
      <c r="BA1663" s="7"/>
    </row>
    <row r="1664" spans="31:53" x14ac:dyDescent="0.55000000000000004">
      <c r="AE1664" s="7">
        <f ca="1"/>
      </c>
      <c r="AF1664">
        <f ca="1"/>
      </c>
      <c r="AG1664">
        <f ca="1"/>
      </c>
      <c r="AH1664">
        <f ca="1"/>
      </c>
      <c r="AI1664">
        <f ca="1"/>
      </c>
      <c r="AJ1664">
        <f ca="1"/>
      </c>
      <c r="AK1664">
        <f ca="1"/>
      </c>
      <c r="AL1664">
        <f ca="1"/>
      </c>
      <c r="AM1664">
        <f ca="1"/>
      </c>
      <c r="AN1664">
        <f ca="1"/>
      </c>
      <c r="AO1664">
        <f ca="1"/>
      </c>
      <c r="AP1664">
        <f ca="1"/>
      </c>
      <c r="AQ1664">
        <f ca="1"/>
      </c>
      <c r="AR1664">
        <f ca="1"/>
      </c>
      <c r="AT1664" s="7">
        <f ca="1"/>
      </c>
      <c r="AU1664">
        <f ca="1"/>
      </c>
      <c r="AV1664">
        <f ca="1"/>
      </c>
      <c r="AW1664">
        <f ca="1"/>
      </c>
      <c r="AX1664">
        <f ca="1"/>
      </c>
      <c r="AY1664">
        <f ca="1"/>
      </c>
      <c r="BA1664" s="7"/>
    </row>
    <row r="1665" spans="31:53" x14ac:dyDescent="0.55000000000000004">
      <c r="AE1665" s="7">
        <f ca="1"/>
      </c>
      <c r="AF1665">
        <f ca="1"/>
      </c>
      <c r="AG1665">
        <f ca="1"/>
      </c>
      <c r="AH1665">
        <f ca="1"/>
      </c>
      <c r="AI1665">
        <f ca="1"/>
      </c>
      <c r="AJ1665">
        <f ca="1"/>
      </c>
      <c r="AK1665">
        <f ca="1"/>
      </c>
      <c r="AL1665">
        <f ca="1"/>
      </c>
      <c r="AM1665">
        <f ca="1"/>
      </c>
      <c r="AN1665">
        <f ca="1"/>
      </c>
      <c r="AO1665">
        <f ca="1"/>
      </c>
      <c r="AP1665">
        <f ca="1"/>
      </c>
      <c r="AQ1665">
        <f ca="1"/>
      </c>
      <c r="AR1665">
        <f ca="1"/>
      </c>
      <c r="AT1665" s="7">
        <f ca="1"/>
      </c>
      <c r="AU1665">
        <f ca="1"/>
      </c>
      <c r="AV1665">
        <f ca="1"/>
      </c>
      <c r="AW1665">
        <f ca="1"/>
      </c>
      <c r="AX1665">
        <f ca="1"/>
      </c>
      <c r="AY1665">
        <f ca="1"/>
      </c>
      <c r="BA1665" s="7"/>
    </row>
    <row r="1666" spans="31:53" x14ac:dyDescent="0.55000000000000004">
      <c r="AE1666" s="7"/>
      <c r="AT1666" s="7"/>
      <c r="BA1666" s="7"/>
    </row>
    <row r="1667" spans="31:53" x14ac:dyDescent="0.55000000000000004">
      <c r="AE1667" s="7"/>
      <c r="AT1667" s="7"/>
      <c r="BA1667" s="7"/>
    </row>
    <row r="1668" spans="31:53" x14ac:dyDescent="0.55000000000000004">
      <c r="AE1668" s="7"/>
      <c r="AT1668" s="7"/>
      <c r="BA1668" s="7"/>
    </row>
    <row r="1669" spans="31:53" x14ac:dyDescent="0.55000000000000004">
      <c r="AE1669" s="7"/>
      <c r="AT1669" s="7"/>
      <c r="BA1669" s="7"/>
    </row>
    <row r="1670" spans="31:53" x14ac:dyDescent="0.55000000000000004">
      <c r="AE1670" s="7"/>
      <c r="AT1670" s="7"/>
      <c r="BA1670" s="7"/>
    </row>
    <row r="1671" spans="31:53" x14ac:dyDescent="0.55000000000000004">
      <c r="AE1671" s="7"/>
      <c r="AT1671" s="7"/>
      <c r="BA1671" s="7"/>
    </row>
    <row r="1672" spans="31:53" x14ac:dyDescent="0.55000000000000004">
      <c r="AE1672" s="7"/>
      <c r="AT1672" s="7"/>
      <c r="BA1672" s="7"/>
    </row>
    <row r="1673" spans="31:53" x14ac:dyDescent="0.55000000000000004">
      <c r="AE1673" s="7"/>
      <c r="AT1673" s="7"/>
      <c r="BA1673" s="7"/>
    </row>
    <row r="1674" spans="31:53" x14ac:dyDescent="0.55000000000000004">
      <c r="AE1674" s="7"/>
      <c r="AT1674" s="7"/>
      <c r="BA1674" s="7"/>
    </row>
    <row r="1675" spans="31:53" x14ac:dyDescent="0.55000000000000004">
      <c r="AE1675" s="7"/>
      <c r="AT1675" s="7"/>
      <c r="BA1675" s="7"/>
    </row>
    <row r="1676" spans="31:53" x14ac:dyDescent="0.55000000000000004">
      <c r="AE1676" s="7"/>
      <c r="AT1676" s="7"/>
      <c r="BA1676" s="7"/>
    </row>
    <row r="1677" spans="31:53" x14ac:dyDescent="0.55000000000000004">
      <c r="AE1677" s="7"/>
      <c r="AT1677" s="7"/>
      <c r="BA1677" s="7"/>
    </row>
    <row r="1678" spans="31:53" x14ac:dyDescent="0.55000000000000004">
      <c r="AE1678" s="7"/>
      <c r="AT1678" s="7"/>
      <c r="BA1678" s="7"/>
    </row>
    <row r="1679" spans="31:53" x14ac:dyDescent="0.55000000000000004">
      <c r="AE1679" s="7"/>
      <c r="AT1679" s="7"/>
      <c r="BA1679" s="7"/>
    </row>
    <row r="1680" spans="31:53" x14ac:dyDescent="0.55000000000000004">
      <c r="AE1680" s="7"/>
      <c r="AT1680" s="7"/>
      <c r="BA1680" s="7"/>
    </row>
    <row r="1681" spans="31:53" x14ac:dyDescent="0.55000000000000004">
      <c r="AE1681" s="7"/>
      <c r="AT1681" s="7"/>
      <c r="BA1681" s="7"/>
    </row>
    <row r="1682" spans="31:53" x14ac:dyDescent="0.55000000000000004">
      <c r="AE1682" s="7"/>
      <c r="AT1682" s="7"/>
      <c r="BA1682" s="7"/>
    </row>
    <row r="1683" spans="31:53" x14ac:dyDescent="0.55000000000000004">
      <c r="AE1683" s="7"/>
      <c r="AT1683" s="7"/>
      <c r="BA1683" s="7"/>
    </row>
    <row r="1684" spans="31:53" x14ac:dyDescent="0.55000000000000004">
      <c r="AE1684" s="7"/>
      <c r="AT1684" s="7"/>
      <c r="BA1684" s="7"/>
    </row>
    <row r="1685" spans="31:53" x14ac:dyDescent="0.55000000000000004">
      <c r="AE1685" s="7"/>
      <c r="AT1685" s="7"/>
      <c r="BA1685" s="7"/>
    </row>
    <row r="1686" spans="31:53" x14ac:dyDescent="0.55000000000000004">
      <c r="AE1686" s="7"/>
      <c r="AT1686" s="7"/>
      <c r="BA1686" s="7"/>
    </row>
    <row r="1687" spans="31:53" x14ac:dyDescent="0.55000000000000004">
      <c r="AE1687" s="7"/>
      <c r="AT1687" s="7"/>
      <c r="BA1687" s="7"/>
    </row>
    <row r="1688" spans="31:53" x14ac:dyDescent="0.55000000000000004">
      <c r="AE1688" s="7"/>
      <c r="AT1688" s="7"/>
      <c r="BA1688" s="7"/>
    </row>
    <row r="1689" spans="31:53" x14ac:dyDescent="0.55000000000000004">
      <c r="AE1689" s="7"/>
      <c r="AT1689" s="7"/>
      <c r="BA1689" s="7"/>
    </row>
    <row r="1690" spans="31:53" x14ac:dyDescent="0.55000000000000004">
      <c r="AE1690" s="7"/>
      <c r="AT1690" s="7"/>
      <c r="BA1690" s="7"/>
    </row>
    <row r="1691" spans="31:53" x14ac:dyDescent="0.55000000000000004">
      <c r="AE1691" s="7"/>
      <c r="AT1691" s="7"/>
      <c r="BA1691" s="7"/>
    </row>
    <row r="1692" spans="31:53" x14ac:dyDescent="0.55000000000000004">
      <c r="AE1692" s="7"/>
      <c r="AT1692" s="7"/>
      <c r="BA1692" s="7"/>
    </row>
    <row r="1693" spans="31:53" x14ac:dyDescent="0.55000000000000004">
      <c r="AE1693" s="7"/>
      <c r="AT1693" s="7"/>
      <c r="BA1693" s="7"/>
    </row>
    <row r="1694" spans="31:53" x14ac:dyDescent="0.55000000000000004">
      <c r="AE1694" s="7"/>
      <c r="AT1694" s="7"/>
      <c r="BA1694" s="7"/>
    </row>
    <row r="1695" spans="31:53" x14ac:dyDescent="0.55000000000000004">
      <c r="AE1695" s="7"/>
      <c r="AT1695" s="7"/>
      <c r="BA1695" s="7"/>
    </row>
    <row r="1696" spans="31:53" x14ac:dyDescent="0.55000000000000004">
      <c r="AE1696" s="7"/>
      <c r="AT1696" s="7"/>
      <c r="BA1696" s="7"/>
    </row>
    <row r="1697" spans="31:53" x14ac:dyDescent="0.55000000000000004">
      <c r="AE1697" s="7"/>
      <c r="AT1697" s="7"/>
      <c r="BA1697" s="7"/>
    </row>
    <row r="1698" spans="31:53" x14ac:dyDescent="0.55000000000000004">
      <c r="AE1698" s="7"/>
      <c r="AT1698" s="7"/>
      <c r="BA1698" s="7"/>
    </row>
    <row r="1699" spans="31:53" x14ac:dyDescent="0.55000000000000004">
      <c r="AE1699" s="7"/>
      <c r="AT1699" s="7"/>
      <c r="BA1699" s="7"/>
    </row>
    <row r="1700" spans="31:53" x14ac:dyDescent="0.55000000000000004">
      <c r="AE1700" s="7"/>
      <c r="AT1700" s="7"/>
      <c r="BA1700" s="7"/>
    </row>
    <row r="1701" spans="31:53" x14ac:dyDescent="0.55000000000000004">
      <c r="AE1701" s="7"/>
      <c r="AT1701" s="7"/>
      <c r="BA1701" s="7"/>
    </row>
    <row r="1702" spans="31:53" x14ac:dyDescent="0.55000000000000004">
      <c r="AE1702" s="7"/>
      <c r="AT1702" s="7"/>
      <c r="BA1702" s="7"/>
    </row>
    <row r="1703" spans="31:53" x14ac:dyDescent="0.55000000000000004">
      <c r="AE1703" s="7"/>
      <c r="AT1703" s="7"/>
      <c r="BA1703" s="7"/>
    </row>
    <row r="1704" spans="31:53" x14ac:dyDescent="0.55000000000000004">
      <c r="AE1704" s="7"/>
      <c r="AT1704" s="7"/>
      <c r="BA1704" s="7"/>
    </row>
    <row r="1705" spans="31:53" x14ac:dyDescent="0.55000000000000004">
      <c r="AE1705" s="7"/>
      <c r="AT1705" s="7"/>
      <c r="BA1705" s="7"/>
    </row>
    <row r="1706" spans="31:53" x14ac:dyDescent="0.55000000000000004">
      <c r="AE1706" s="7"/>
      <c r="AT1706" s="7"/>
      <c r="BA1706" s="7"/>
    </row>
    <row r="1707" spans="31:53" x14ac:dyDescent="0.55000000000000004">
      <c r="AE1707" s="7"/>
      <c r="AT1707" s="7"/>
      <c r="BA1707" s="7"/>
    </row>
    <row r="1708" spans="31:53" x14ac:dyDescent="0.55000000000000004">
      <c r="AE1708" s="7"/>
      <c r="AT1708" s="7"/>
      <c r="BA1708" s="7"/>
    </row>
    <row r="1709" spans="31:53" x14ac:dyDescent="0.55000000000000004">
      <c r="AE1709" s="7"/>
      <c r="AT1709" s="7"/>
      <c r="BA1709" s="7"/>
    </row>
    <row r="1710" spans="31:53" x14ac:dyDescent="0.55000000000000004">
      <c r="AE1710" s="7"/>
      <c r="AT1710" s="7"/>
      <c r="BA1710" s="7"/>
    </row>
    <row r="1711" spans="31:53" x14ac:dyDescent="0.55000000000000004">
      <c r="AE1711" s="7"/>
      <c r="AT1711" s="7"/>
      <c r="BA1711" s="7"/>
    </row>
    <row r="1712" spans="31:53" x14ac:dyDescent="0.55000000000000004">
      <c r="AE1712" s="7"/>
      <c r="AT1712" s="7"/>
      <c r="BA1712" s="7"/>
    </row>
    <row r="1713" spans="31:53" x14ac:dyDescent="0.55000000000000004">
      <c r="AE1713" s="7"/>
      <c r="AT1713" s="7"/>
      <c r="BA1713" s="7"/>
    </row>
    <row r="1714" spans="31:53" x14ac:dyDescent="0.55000000000000004">
      <c r="AE1714" s="7"/>
      <c r="AT1714" s="7"/>
      <c r="BA1714" s="7"/>
    </row>
    <row r="1715" spans="31:53" x14ac:dyDescent="0.55000000000000004">
      <c r="AE1715" s="7"/>
      <c r="AT1715" s="7"/>
      <c r="BA1715" s="7"/>
    </row>
    <row r="1716" spans="31:53" x14ac:dyDescent="0.55000000000000004">
      <c r="AE1716" s="7"/>
      <c r="AT1716" s="7"/>
      <c r="BA1716" s="7"/>
    </row>
    <row r="1717" spans="31:53" x14ac:dyDescent="0.55000000000000004">
      <c r="AE1717" s="7"/>
      <c r="AT1717" s="7"/>
      <c r="BA1717" s="7"/>
    </row>
    <row r="1718" spans="31:53" x14ac:dyDescent="0.55000000000000004">
      <c r="AE1718" s="7"/>
      <c r="AT1718" s="7"/>
      <c r="BA1718" s="7"/>
    </row>
    <row r="1719" spans="31:53" x14ac:dyDescent="0.55000000000000004">
      <c r="AE1719" s="7"/>
      <c r="AT1719" s="7"/>
      <c r="BA1719" s="7"/>
    </row>
    <row r="1720" spans="31:53" x14ac:dyDescent="0.55000000000000004">
      <c r="AE1720" s="7"/>
      <c r="AT1720" s="7"/>
      <c r="BA1720" s="7"/>
    </row>
    <row r="1721" spans="31:53" x14ac:dyDescent="0.55000000000000004">
      <c r="AE1721" s="7"/>
      <c r="AT1721" s="7"/>
      <c r="BA1721" s="7"/>
    </row>
    <row r="1722" spans="31:53" x14ac:dyDescent="0.55000000000000004">
      <c r="AE1722" s="7"/>
      <c r="AT1722" s="7"/>
      <c r="BA1722" s="7"/>
    </row>
    <row r="1723" spans="31:53" x14ac:dyDescent="0.55000000000000004">
      <c r="AE1723" s="7"/>
      <c r="AT1723" s="7"/>
      <c r="BA1723" s="7"/>
    </row>
    <row r="1724" spans="31:53" x14ac:dyDescent="0.55000000000000004">
      <c r="AE1724" s="7"/>
      <c r="AT1724" s="7"/>
      <c r="BA1724" s="7"/>
    </row>
    <row r="1725" spans="31:53" x14ac:dyDescent="0.55000000000000004">
      <c r="AE1725" s="7"/>
      <c r="AT1725" s="7"/>
      <c r="BA1725" s="7"/>
    </row>
    <row r="1726" spans="31:53" x14ac:dyDescent="0.55000000000000004">
      <c r="AE1726" s="7"/>
      <c r="AT1726" s="7"/>
      <c r="BA1726" s="7"/>
    </row>
    <row r="1727" spans="31:53" x14ac:dyDescent="0.55000000000000004">
      <c r="AE1727" s="7"/>
      <c r="AT1727" s="7"/>
      <c r="BA1727" s="7"/>
    </row>
    <row r="1728" spans="31:53" x14ac:dyDescent="0.55000000000000004">
      <c r="AE1728" s="7"/>
      <c r="AT1728" s="7"/>
      <c r="BA1728" s="7"/>
    </row>
    <row r="1729" spans="31:53" x14ac:dyDescent="0.55000000000000004">
      <c r="AE1729" s="7"/>
      <c r="AT1729" s="7"/>
      <c r="BA1729" s="7"/>
    </row>
    <row r="1730" spans="31:53" x14ac:dyDescent="0.55000000000000004">
      <c r="AE1730" s="7"/>
      <c r="AT1730" s="7"/>
      <c r="BA1730" s="7"/>
    </row>
    <row r="1731" spans="31:53" x14ac:dyDescent="0.55000000000000004">
      <c r="AE1731" s="7"/>
      <c r="AT1731" s="7"/>
      <c r="BA1731" s="7"/>
    </row>
    <row r="1732" spans="31:53" x14ac:dyDescent="0.55000000000000004">
      <c r="AE1732" s="7"/>
      <c r="AT1732" s="7"/>
      <c r="BA1732" s="7"/>
    </row>
    <row r="1733" spans="31:53" x14ac:dyDescent="0.55000000000000004">
      <c r="AE1733" s="7"/>
      <c r="AT1733" s="7"/>
      <c r="BA1733" s="7"/>
    </row>
    <row r="1734" spans="31:53" x14ac:dyDescent="0.55000000000000004">
      <c r="AE1734" s="7"/>
      <c r="AT1734" s="7"/>
      <c r="BA1734" s="7"/>
    </row>
    <row r="1735" spans="31:53" x14ac:dyDescent="0.55000000000000004">
      <c r="AE1735" s="7"/>
      <c r="AT1735" s="7"/>
      <c r="BA1735" s="7"/>
    </row>
    <row r="1736" spans="31:53" x14ac:dyDescent="0.55000000000000004">
      <c r="AE1736" s="7"/>
      <c r="AT1736" s="7"/>
      <c r="BA1736" s="7"/>
    </row>
    <row r="1737" spans="31:53" x14ac:dyDescent="0.55000000000000004">
      <c r="AE1737" s="7"/>
      <c r="AT1737" s="7"/>
      <c r="BA1737" s="7"/>
    </row>
    <row r="1738" spans="31:53" x14ac:dyDescent="0.55000000000000004">
      <c r="AE1738" s="7"/>
      <c r="AT1738" s="7"/>
      <c r="BA1738" s="7"/>
    </row>
    <row r="1739" spans="31:53" x14ac:dyDescent="0.55000000000000004">
      <c r="AE1739" s="7"/>
      <c r="AT1739" s="7"/>
      <c r="BA1739" s="7"/>
    </row>
    <row r="1740" spans="31:53" x14ac:dyDescent="0.55000000000000004">
      <c r="AE1740" s="7"/>
      <c r="AT1740" s="7"/>
      <c r="BA1740" s="7"/>
    </row>
    <row r="1741" spans="31:53" x14ac:dyDescent="0.55000000000000004">
      <c r="AE1741" s="7"/>
      <c r="AT1741" s="7"/>
      <c r="BA1741" s="7"/>
    </row>
    <row r="1742" spans="31:53" x14ac:dyDescent="0.55000000000000004">
      <c r="AE1742" s="7"/>
      <c r="AT1742" s="7"/>
      <c r="BA1742" s="7"/>
    </row>
    <row r="1743" spans="31:53" x14ac:dyDescent="0.55000000000000004">
      <c r="AE1743" s="7"/>
      <c r="AT1743" s="7"/>
      <c r="BA1743" s="7"/>
    </row>
    <row r="1744" spans="31:53" x14ac:dyDescent="0.55000000000000004">
      <c r="AE1744" s="7"/>
      <c r="AT1744" s="7"/>
      <c r="BA1744" s="7"/>
    </row>
    <row r="1745" spans="31:53" x14ac:dyDescent="0.55000000000000004">
      <c r="AE1745" s="7"/>
      <c r="AT1745" s="7"/>
      <c r="BA1745" s="7"/>
    </row>
    <row r="1746" spans="31:53" x14ac:dyDescent="0.55000000000000004">
      <c r="AE1746" s="7"/>
      <c r="AT1746" s="7"/>
      <c r="BA1746" s="7"/>
    </row>
    <row r="1747" spans="31:53" x14ac:dyDescent="0.55000000000000004">
      <c r="AE1747" s="7"/>
      <c r="AT1747" s="7"/>
      <c r="BA1747" s="7"/>
    </row>
    <row r="1748" spans="31:53" x14ac:dyDescent="0.55000000000000004">
      <c r="AE1748" s="7"/>
      <c r="AT1748" s="7"/>
      <c r="BA1748" s="7"/>
    </row>
    <row r="1749" spans="31:53" x14ac:dyDescent="0.55000000000000004">
      <c r="AE1749" s="7"/>
      <c r="AT1749" s="7"/>
      <c r="BA1749" s="7"/>
    </row>
    <row r="1750" spans="31:53" x14ac:dyDescent="0.55000000000000004">
      <c r="AE1750" s="7"/>
      <c r="AT1750" s="7"/>
      <c r="BA1750" s="7"/>
    </row>
    <row r="1751" spans="31:53" x14ac:dyDescent="0.55000000000000004">
      <c r="AE1751" s="7"/>
      <c r="AT1751" s="7"/>
      <c r="BA1751" s="7"/>
    </row>
    <row r="1752" spans="31:53" x14ac:dyDescent="0.55000000000000004">
      <c r="AE1752" s="7"/>
      <c r="AT1752" s="7"/>
      <c r="BA1752" s="7"/>
    </row>
    <row r="1753" spans="31:53" x14ac:dyDescent="0.55000000000000004">
      <c r="AE1753" s="7"/>
      <c r="AT1753" s="7"/>
      <c r="BA1753" s="7"/>
    </row>
    <row r="1754" spans="31:53" x14ac:dyDescent="0.55000000000000004">
      <c r="AE1754" s="7"/>
      <c r="AT1754" s="7"/>
      <c r="BA1754" s="7"/>
    </row>
    <row r="1755" spans="31:53" x14ac:dyDescent="0.55000000000000004">
      <c r="AE1755" s="7"/>
      <c r="AT1755" s="7"/>
      <c r="BA1755" s="7"/>
    </row>
    <row r="1756" spans="31:53" x14ac:dyDescent="0.55000000000000004">
      <c r="AE1756" s="7"/>
      <c r="AT1756" s="7"/>
      <c r="BA1756" s="7"/>
    </row>
    <row r="1757" spans="31:53" x14ac:dyDescent="0.55000000000000004">
      <c r="AE1757" s="7"/>
      <c r="AT1757" s="7"/>
      <c r="BA1757" s="7"/>
    </row>
    <row r="1758" spans="31:53" x14ac:dyDescent="0.55000000000000004">
      <c r="AE1758" s="7"/>
      <c r="AT1758" s="7"/>
      <c r="BA1758" s="7"/>
    </row>
    <row r="1759" spans="31:53" x14ac:dyDescent="0.55000000000000004">
      <c r="AE1759" s="7"/>
      <c r="AT1759" s="7"/>
      <c r="BA1759" s="7"/>
    </row>
    <row r="1760" spans="31:53" x14ac:dyDescent="0.55000000000000004">
      <c r="AE1760" s="7"/>
      <c r="AT1760" s="7"/>
      <c r="BA1760" s="7"/>
    </row>
    <row r="1761" spans="31:53" x14ac:dyDescent="0.55000000000000004">
      <c r="AE1761" s="7"/>
      <c r="AT1761" s="7"/>
      <c r="BA1761" s="7"/>
    </row>
    <row r="1762" spans="31:53" x14ac:dyDescent="0.55000000000000004">
      <c r="AE1762" s="7"/>
      <c r="AT1762" s="7"/>
      <c r="BA1762" s="7"/>
    </row>
    <row r="1763" spans="31:53" x14ac:dyDescent="0.55000000000000004">
      <c r="AE1763" s="7"/>
      <c r="AT1763" s="7"/>
      <c r="BA1763" s="7"/>
    </row>
    <row r="1764" spans="31:53" x14ac:dyDescent="0.55000000000000004">
      <c r="AE1764" s="7"/>
      <c r="AT1764" s="7"/>
      <c r="BA1764" s="7"/>
    </row>
    <row r="1765" spans="31:53" x14ac:dyDescent="0.55000000000000004">
      <c r="AE1765" s="7"/>
      <c r="AT1765" s="7"/>
      <c r="BA1765" s="7"/>
    </row>
    <row r="1766" spans="31:53" x14ac:dyDescent="0.55000000000000004">
      <c r="AE1766" s="7"/>
      <c r="AT1766" s="7"/>
      <c r="BA1766" s="7"/>
    </row>
    <row r="1767" spans="31:53" x14ac:dyDescent="0.55000000000000004">
      <c r="AE1767" s="7"/>
      <c r="AT1767" s="7"/>
      <c r="BA1767" s="7"/>
    </row>
    <row r="1768" spans="31:53" x14ac:dyDescent="0.55000000000000004">
      <c r="AE1768" s="7"/>
      <c r="AT1768" s="7"/>
      <c r="BA1768" s="7"/>
    </row>
    <row r="1769" spans="31:53" x14ac:dyDescent="0.55000000000000004">
      <c r="AE1769" s="7"/>
      <c r="AT1769" s="7"/>
      <c r="BA1769" s="7"/>
    </row>
    <row r="1770" spans="31:53" x14ac:dyDescent="0.55000000000000004">
      <c r="AE1770" s="7"/>
      <c r="AT1770" s="7"/>
      <c r="BA1770" s="7"/>
    </row>
    <row r="1771" spans="31:53" x14ac:dyDescent="0.55000000000000004">
      <c r="AE1771" s="7"/>
      <c r="AT1771" s="7"/>
      <c r="BA1771" s="7"/>
    </row>
    <row r="1772" spans="31:53" x14ac:dyDescent="0.55000000000000004">
      <c r="AE1772" s="7"/>
      <c r="AT1772" s="7"/>
      <c r="BA1772" s="7"/>
    </row>
    <row r="1773" spans="31:53" x14ac:dyDescent="0.55000000000000004">
      <c r="AE1773" s="7"/>
      <c r="AT1773" s="7"/>
      <c r="BA1773" s="7"/>
    </row>
    <row r="1774" spans="31:53" x14ac:dyDescent="0.55000000000000004">
      <c r="AE1774" s="7"/>
      <c r="AT1774" s="7"/>
      <c r="BA1774" s="7"/>
    </row>
    <row r="1775" spans="31:53" x14ac:dyDescent="0.55000000000000004">
      <c r="AE1775" s="7"/>
      <c r="AT1775" s="7"/>
      <c r="BA1775" s="7"/>
    </row>
    <row r="1776" spans="31:53" x14ac:dyDescent="0.55000000000000004">
      <c r="AE1776" s="7"/>
      <c r="AT1776" s="7"/>
      <c r="BA1776" s="7"/>
    </row>
    <row r="1777" spans="31:53" x14ac:dyDescent="0.55000000000000004">
      <c r="AE1777" s="7"/>
      <c r="AT1777" s="7"/>
      <c r="BA1777" s="7"/>
    </row>
    <row r="1778" spans="31:53" x14ac:dyDescent="0.55000000000000004">
      <c r="AE1778" s="7"/>
      <c r="AT1778" s="7"/>
      <c r="BA1778" s="7"/>
    </row>
    <row r="1779" spans="31:53" x14ac:dyDescent="0.55000000000000004">
      <c r="AE1779" s="7"/>
      <c r="AT1779" s="7"/>
      <c r="BA1779" s="7"/>
    </row>
    <row r="1780" spans="31:53" x14ac:dyDescent="0.55000000000000004">
      <c r="AE1780" s="7"/>
      <c r="AT1780" s="7"/>
      <c r="BA1780" s="7"/>
    </row>
    <row r="1781" spans="31:53" x14ac:dyDescent="0.55000000000000004">
      <c r="AE1781" s="7"/>
      <c r="AT1781" s="7"/>
      <c r="BA1781" s="7"/>
    </row>
    <row r="1782" spans="31:53" x14ac:dyDescent="0.55000000000000004">
      <c r="AE1782" s="7"/>
      <c r="AT1782" s="7"/>
      <c r="BA1782" s="7"/>
    </row>
    <row r="1783" spans="31:53" x14ac:dyDescent="0.55000000000000004">
      <c r="AE1783" s="7"/>
      <c r="AT1783" s="7"/>
      <c r="BA1783" s="7"/>
    </row>
    <row r="1784" spans="31:53" x14ac:dyDescent="0.55000000000000004">
      <c r="AE1784" s="7"/>
      <c r="AT1784" s="7"/>
      <c r="BA1784" s="7"/>
    </row>
    <row r="1785" spans="31:53" x14ac:dyDescent="0.55000000000000004">
      <c r="AE1785" s="7"/>
      <c r="AT1785" s="7"/>
      <c r="BA1785" s="7"/>
    </row>
    <row r="1786" spans="31:53" x14ac:dyDescent="0.55000000000000004">
      <c r="AE1786" s="7"/>
      <c r="AT1786" s="7"/>
      <c r="BA1786" s="7"/>
    </row>
    <row r="1787" spans="31:53" x14ac:dyDescent="0.55000000000000004">
      <c r="AE1787" s="7"/>
      <c r="AT1787" s="7"/>
      <c r="BA1787" s="7"/>
    </row>
    <row r="1788" spans="31:53" x14ac:dyDescent="0.55000000000000004">
      <c r="AE1788" s="7"/>
      <c r="AT1788" s="7"/>
      <c r="BA1788" s="7"/>
    </row>
    <row r="1789" spans="31:53" x14ac:dyDescent="0.55000000000000004">
      <c r="AE1789" s="7"/>
      <c r="AT1789" s="7"/>
      <c r="BA1789" s="7"/>
    </row>
    <row r="1790" spans="31:53" x14ac:dyDescent="0.55000000000000004">
      <c r="AE1790" s="7"/>
      <c r="AT1790" s="7"/>
      <c r="BA1790" s="7"/>
    </row>
    <row r="1791" spans="31:53" x14ac:dyDescent="0.55000000000000004">
      <c r="AE1791" s="7"/>
      <c r="AT1791" s="7"/>
      <c r="BA1791" s="7"/>
    </row>
    <row r="1792" spans="31:53" x14ac:dyDescent="0.55000000000000004">
      <c r="AE1792" s="7"/>
      <c r="AT1792" s="7"/>
      <c r="BA1792" s="7"/>
    </row>
    <row r="1793" spans="31:53" x14ac:dyDescent="0.55000000000000004">
      <c r="AE1793" s="7"/>
      <c r="AT1793" s="7"/>
      <c r="BA1793" s="7"/>
    </row>
    <row r="1794" spans="31:53" x14ac:dyDescent="0.55000000000000004">
      <c r="AE1794" s="7"/>
      <c r="AT1794" s="7"/>
      <c r="BA1794" s="7"/>
    </row>
    <row r="1795" spans="31:53" x14ac:dyDescent="0.55000000000000004">
      <c r="AE1795" s="7"/>
      <c r="AT1795" s="7"/>
      <c r="BA1795" s="7"/>
    </row>
    <row r="1796" spans="31:53" x14ac:dyDescent="0.55000000000000004">
      <c r="AE1796" s="7"/>
      <c r="AT1796" s="7"/>
      <c r="BA1796" s="7"/>
    </row>
    <row r="1797" spans="31:53" x14ac:dyDescent="0.55000000000000004">
      <c r="AE1797" s="7"/>
      <c r="AT1797" s="7"/>
      <c r="BA1797" s="7"/>
    </row>
    <row r="1798" spans="31:53" x14ac:dyDescent="0.55000000000000004">
      <c r="AE1798" s="7"/>
      <c r="AT1798" s="7"/>
      <c r="BA1798" s="7"/>
    </row>
    <row r="1799" spans="31:53" x14ac:dyDescent="0.55000000000000004">
      <c r="AE1799" s="7"/>
      <c r="AT1799" s="7"/>
      <c r="BA1799" s="7"/>
    </row>
    <row r="1800" spans="31:53" x14ac:dyDescent="0.55000000000000004">
      <c r="AE1800" s="7"/>
      <c r="AT1800" s="7"/>
      <c r="BA1800" s="7"/>
    </row>
    <row r="1801" spans="31:53" x14ac:dyDescent="0.55000000000000004">
      <c r="AE1801" s="7"/>
      <c r="AT1801" s="7"/>
      <c r="BA1801" s="7"/>
    </row>
    <row r="1802" spans="31:53" x14ac:dyDescent="0.55000000000000004">
      <c r="AE1802" s="7"/>
      <c r="AT1802" s="7"/>
      <c r="BA1802" s="7"/>
    </row>
    <row r="1803" spans="31:53" x14ac:dyDescent="0.55000000000000004">
      <c r="AE1803" s="7"/>
      <c r="AT1803" s="7"/>
      <c r="BA1803" s="7"/>
    </row>
    <row r="1804" spans="31:53" x14ac:dyDescent="0.55000000000000004">
      <c r="AE1804" s="7"/>
      <c r="AT1804" s="7"/>
      <c r="BA1804" s="7"/>
    </row>
    <row r="1805" spans="31:53" x14ac:dyDescent="0.55000000000000004">
      <c r="AE1805" s="7"/>
      <c r="AT1805" s="7"/>
      <c r="BA1805" s="7"/>
    </row>
    <row r="1806" spans="31:53" x14ac:dyDescent="0.55000000000000004">
      <c r="AE1806" s="7"/>
      <c r="AT1806" s="7"/>
      <c r="BA1806" s="7"/>
    </row>
    <row r="1807" spans="31:53" x14ac:dyDescent="0.55000000000000004">
      <c r="AE1807" s="7"/>
      <c r="AT1807" s="7"/>
      <c r="BA1807" s="7"/>
    </row>
    <row r="1808" spans="31:53" x14ac:dyDescent="0.55000000000000004">
      <c r="AE1808" s="7"/>
      <c r="AT1808" s="7"/>
      <c r="BA1808" s="7"/>
    </row>
    <row r="1809" spans="31:53" x14ac:dyDescent="0.55000000000000004">
      <c r="AE1809" s="7"/>
      <c r="AT1809" s="7"/>
      <c r="BA1809" s="7"/>
    </row>
    <row r="1810" spans="31:53" x14ac:dyDescent="0.55000000000000004">
      <c r="AE1810" s="7"/>
      <c r="AT1810" s="7"/>
      <c r="BA1810" s="7"/>
    </row>
    <row r="1811" spans="31:53" x14ac:dyDescent="0.55000000000000004">
      <c r="AE1811" s="7"/>
      <c r="AT1811" s="7"/>
      <c r="BA1811" s="7"/>
    </row>
    <row r="1812" spans="31:53" x14ac:dyDescent="0.55000000000000004">
      <c r="AE1812" s="7"/>
      <c r="AT1812" s="7"/>
      <c r="BA1812" s="7"/>
    </row>
    <row r="1813" spans="31:53" x14ac:dyDescent="0.55000000000000004">
      <c r="AE1813" s="7"/>
      <c r="AT1813" s="7"/>
      <c r="BA1813" s="7"/>
    </row>
    <row r="1814" spans="31:53" x14ac:dyDescent="0.55000000000000004">
      <c r="AE1814" s="7"/>
      <c r="AT1814" s="7"/>
      <c r="BA1814" s="7"/>
    </row>
    <row r="1815" spans="31:53" x14ac:dyDescent="0.55000000000000004">
      <c r="AE1815" s="7"/>
      <c r="AT1815" s="7"/>
      <c r="BA1815" s="7"/>
    </row>
    <row r="1816" spans="31:53" x14ac:dyDescent="0.55000000000000004">
      <c r="AE1816" s="7"/>
      <c r="AT1816" s="7"/>
      <c r="BA1816" s="7"/>
    </row>
    <row r="1817" spans="31:53" x14ac:dyDescent="0.55000000000000004">
      <c r="AE1817" s="7"/>
      <c r="AT1817" s="7"/>
      <c r="BA1817" s="7"/>
    </row>
    <row r="1818" spans="31:53" x14ac:dyDescent="0.55000000000000004">
      <c r="AE1818" s="7"/>
      <c r="AT1818" s="7"/>
      <c r="BA1818" s="7"/>
    </row>
    <row r="1819" spans="31:53" x14ac:dyDescent="0.55000000000000004">
      <c r="AE1819" s="7"/>
      <c r="AT1819" s="7"/>
      <c r="BA1819" s="7"/>
    </row>
    <row r="1820" spans="31:53" x14ac:dyDescent="0.55000000000000004">
      <c r="AE1820" s="7"/>
      <c r="AT1820" s="7"/>
      <c r="BA1820" s="7"/>
    </row>
    <row r="1821" spans="31:53" x14ac:dyDescent="0.55000000000000004">
      <c r="AE1821" s="7"/>
      <c r="AT1821" s="7"/>
      <c r="BA1821" s="7"/>
    </row>
    <row r="1822" spans="31:53" x14ac:dyDescent="0.55000000000000004">
      <c r="AE1822" s="7"/>
      <c r="AT1822" s="7"/>
      <c r="BA1822" s="7"/>
    </row>
    <row r="1823" spans="31:53" x14ac:dyDescent="0.55000000000000004">
      <c r="AE1823" s="7"/>
      <c r="AT1823" s="7"/>
      <c r="BA1823" s="7"/>
    </row>
    <row r="1824" spans="31:53" x14ac:dyDescent="0.55000000000000004">
      <c r="AE1824" s="7"/>
      <c r="AT1824" s="7"/>
      <c r="BA1824" s="7"/>
    </row>
    <row r="1825" spans="31:53" x14ac:dyDescent="0.55000000000000004">
      <c r="AE1825" s="7"/>
      <c r="AT1825" s="7"/>
      <c r="BA1825" s="7"/>
    </row>
    <row r="1826" spans="31:53" x14ac:dyDescent="0.55000000000000004">
      <c r="AE1826" s="7"/>
      <c r="AT1826" s="7"/>
      <c r="BA1826" s="7"/>
    </row>
    <row r="1827" spans="31:53" x14ac:dyDescent="0.55000000000000004">
      <c r="AE1827" s="7"/>
      <c r="AT1827" s="7"/>
      <c r="BA1827" s="7"/>
    </row>
    <row r="1828" spans="31:53" x14ac:dyDescent="0.55000000000000004">
      <c r="AE1828" s="7"/>
      <c r="AT1828" s="7"/>
      <c r="BA1828" s="7"/>
    </row>
    <row r="1829" spans="31:53" x14ac:dyDescent="0.55000000000000004">
      <c r="AE1829" s="7"/>
      <c r="AT1829" s="7"/>
      <c r="BA1829" s="7"/>
    </row>
    <row r="1830" spans="31:53" x14ac:dyDescent="0.55000000000000004">
      <c r="AE1830" s="7"/>
      <c r="AT1830" s="7"/>
      <c r="BA1830" s="7"/>
    </row>
    <row r="1831" spans="31:53" x14ac:dyDescent="0.55000000000000004">
      <c r="AE1831" s="7"/>
      <c r="AT1831" s="7"/>
      <c r="BA1831" s="7"/>
    </row>
    <row r="1832" spans="31:53" x14ac:dyDescent="0.55000000000000004">
      <c r="AE1832" s="7"/>
      <c r="AT1832" s="7"/>
      <c r="BA1832" s="7"/>
    </row>
    <row r="1833" spans="31:53" x14ac:dyDescent="0.55000000000000004">
      <c r="AE1833" s="7"/>
      <c r="AT1833" s="7"/>
      <c r="BA1833" s="7"/>
    </row>
    <row r="1834" spans="31:53" x14ac:dyDescent="0.55000000000000004">
      <c r="AE1834" s="7"/>
      <c r="AT1834" s="7"/>
      <c r="BA1834" s="7"/>
    </row>
    <row r="1835" spans="31:53" x14ac:dyDescent="0.55000000000000004">
      <c r="AE1835" s="7"/>
      <c r="AT1835" s="7"/>
      <c r="BA1835" s="7"/>
    </row>
    <row r="1836" spans="31:53" x14ac:dyDescent="0.55000000000000004">
      <c r="AE1836" s="7"/>
      <c r="AT1836" s="7"/>
      <c r="BA1836" s="7"/>
    </row>
    <row r="1837" spans="31:53" x14ac:dyDescent="0.55000000000000004">
      <c r="AE1837" s="7"/>
      <c r="AT1837" s="7"/>
      <c r="BA1837" s="7"/>
    </row>
    <row r="1838" spans="31:53" x14ac:dyDescent="0.55000000000000004">
      <c r="AE1838" s="7"/>
      <c r="AT1838" s="7"/>
      <c r="BA1838" s="7"/>
    </row>
    <row r="1839" spans="31:53" x14ac:dyDescent="0.55000000000000004">
      <c r="AE1839" s="7"/>
      <c r="AT1839" s="7"/>
      <c r="BA1839" s="7"/>
    </row>
    <row r="1840" spans="31:53" x14ac:dyDescent="0.55000000000000004">
      <c r="AE1840" s="7"/>
      <c r="AT1840" s="7"/>
      <c r="BA1840" s="7"/>
    </row>
    <row r="1841" spans="31:53" x14ac:dyDescent="0.55000000000000004">
      <c r="AE1841" s="7"/>
      <c r="AT1841" s="7"/>
      <c r="BA1841" s="7"/>
    </row>
    <row r="1842" spans="31:53" x14ac:dyDescent="0.55000000000000004">
      <c r="AE1842" s="7"/>
      <c r="AT1842" s="7"/>
      <c r="BA1842" s="7"/>
    </row>
    <row r="1843" spans="31:53" x14ac:dyDescent="0.55000000000000004">
      <c r="AE1843" s="7"/>
      <c r="AT1843" s="7"/>
      <c r="BA1843" s="7"/>
    </row>
    <row r="1844" spans="31:53" x14ac:dyDescent="0.55000000000000004">
      <c r="AE1844" s="7"/>
      <c r="AT1844" s="7"/>
      <c r="BA1844" s="7"/>
    </row>
    <row r="1845" spans="31:53" x14ac:dyDescent="0.55000000000000004">
      <c r="AE1845" s="7"/>
      <c r="AT1845" s="7"/>
      <c r="BA1845" s="7"/>
    </row>
    <row r="1846" spans="31:53" x14ac:dyDescent="0.55000000000000004">
      <c r="AE1846" s="7"/>
      <c r="AT1846" s="7"/>
      <c r="BA1846" s="7"/>
    </row>
    <row r="1847" spans="31:53" x14ac:dyDescent="0.55000000000000004">
      <c r="AE1847" s="7"/>
      <c r="AT1847" s="7"/>
      <c r="BA1847" s="7"/>
    </row>
    <row r="1848" spans="31:53" x14ac:dyDescent="0.55000000000000004">
      <c r="AE1848" s="7"/>
      <c r="AT1848" s="7"/>
      <c r="BA1848" s="7"/>
    </row>
    <row r="1849" spans="31:53" x14ac:dyDescent="0.55000000000000004">
      <c r="AE1849" s="7"/>
      <c r="AT1849" s="7"/>
      <c r="BA1849" s="7"/>
    </row>
    <row r="1850" spans="31:53" x14ac:dyDescent="0.55000000000000004">
      <c r="AE1850" s="7"/>
      <c r="AT1850" s="7"/>
      <c r="BA1850" s="7"/>
    </row>
    <row r="1851" spans="31:53" x14ac:dyDescent="0.55000000000000004">
      <c r="AE1851" s="7"/>
      <c r="AT1851" s="7"/>
      <c r="BA1851" s="7"/>
    </row>
    <row r="1852" spans="31:53" x14ac:dyDescent="0.55000000000000004">
      <c r="AE1852" s="7"/>
      <c r="AT1852" s="7"/>
      <c r="BA1852" s="7"/>
    </row>
    <row r="1853" spans="31:53" x14ac:dyDescent="0.55000000000000004">
      <c r="AE1853" s="7"/>
      <c r="AT1853" s="7"/>
      <c r="BA1853" s="7"/>
    </row>
    <row r="1854" spans="31:53" x14ac:dyDescent="0.55000000000000004">
      <c r="AE1854" s="7"/>
      <c r="AT1854" s="7"/>
      <c r="BA1854" s="7"/>
    </row>
    <row r="1855" spans="31:53" x14ac:dyDescent="0.55000000000000004">
      <c r="AE1855" s="7"/>
      <c r="AT1855" s="7"/>
      <c r="BA1855" s="7"/>
    </row>
    <row r="1856" spans="31:53" x14ac:dyDescent="0.55000000000000004">
      <c r="AE1856" s="7"/>
      <c r="AT1856" s="7"/>
      <c r="BA1856" s="7"/>
    </row>
    <row r="1857" spans="31:53" x14ac:dyDescent="0.55000000000000004">
      <c r="AE1857" s="7"/>
      <c r="AT1857" s="7"/>
      <c r="BA1857" s="7"/>
    </row>
    <row r="1858" spans="31:53" x14ac:dyDescent="0.55000000000000004">
      <c r="AE1858" s="7"/>
      <c r="AT1858" s="7"/>
      <c r="BA1858" s="7"/>
    </row>
    <row r="1859" spans="31:53" x14ac:dyDescent="0.55000000000000004">
      <c r="AE1859" s="7"/>
      <c r="AT1859" s="7"/>
      <c r="BA1859" s="7"/>
    </row>
    <row r="1860" spans="31:53" x14ac:dyDescent="0.55000000000000004">
      <c r="AE1860" s="7"/>
      <c r="AT1860" s="7"/>
      <c r="BA1860" s="7"/>
    </row>
    <row r="1861" spans="31:53" x14ac:dyDescent="0.55000000000000004">
      <c r="AE1861" s="7"/>
      <c r="AT1861" s="7"/>
      <c r="BA1861" s="7"/>
    </row>
    <row r="1862" spans="31:53" x14ac:dyDescent="0.55000000000000004">
      <c r="AE1862" s="7"/>
      <c r="AT1862" s="7"/>
      <c r="BA1862" s="7"/>
    </row>
    <row r="1863" spans="31:53" x14ac:dyDescent="0.55000000000000004">
      <c r="AE1863" s="7"/>
      <c r="AT1863" s="7"/>
      <c r="BA1863" s="7"/>
    </row>
    <row r="1864" spans="31:53" x14ac:dyDescent="0.55000000000000004">
      <c r="AE1864" s="7"/>
      <c r="AT1864" s="7"/>
      <c r="BA1864" s="7"/>
    </row>
    <row r="1865" spans="31:53" x14ac:dyDescent="0.55000000000000004">
      <c r="AE1865" s="7"/>
      <c r="AT1865" s="7"/>
      <c r="BA1865" s="7"/>
    </row>
    <row r="1866" spans="31:53" x14ac:dyDescent="0.55000000000000004">
      <c r="AE1866" s="7"/>
      <c r="AT1866" s="7"/>
      <c r="BA1866" s="7"/>
    </row>
    <row r="1867" spans="31:53" x14ac:dyDescent="0.55000000000000004">
      <c r="AE1867" s="7"/>
      <c r="AT1867" s="7"/>
      <c r="BA1867" s="7"/>
    </row>
    <row r="1868" spans="31:53" x14ac:dyDescent="0.55000000000000004">
      <c r="AE1868" s="7"/>
      <c r="AT1868" s="7"/>
      <c r="BA1868" s="7"/>
    </row>
    <row r="1869" spans="31:53" x14ac:dyDescent="0.55000000000000004">
      <c r="AE1869" s="7"/>
      <c r="AT1869" s="7"/>
      <c r="BA1869" s="7"/>
    </row>
    <row r="1870" spans="31:53" x14ac:dyDescent="0.55000000000000004">
      <c r="AE1870" s="7"/>
      <c r="AT1870" s="7"/>
      <c r="BA1870" s="7"/>
    </row>
    <row r="1871" spans="31:53" x14ac:dyDescent="0.55000000000000004">
      <c r="AE1871" s="7"/>
      <c r="AT1871" s="7"/>
      <c r="BA1871" s="7"/>
    </row>
    <row r="1872" spans="31:53" x14ac:dyDescent="0.55000000000000004">
      <c r="AE1872" s="7"/>
      <c r="AT1872" s="7"/>
      <c r="BA1872" s="7"/>
    </row>
    <row r="1873" spans="31:53" x14ac:dyDescent="0.55000000000000004">
      <c r="AE1873" s="7"/>
      <c r="AT1873" s="7"/>
      <c r="BA1873" s="7"/>
    </row>
    <row r="1874" spans="31:53" x14ac:dyDescent="0.55000000000000004">
      <c r="AE1874" s="7"/>
      <c r="AT1874" s="7"/>
      <c r="BA1874" s="7"/>
    </row>
    <row r="1875" spans="31:53" x14ac:dyDescent="0.55000000000000004">
      <c r="AE1875" s="7"/>
      <c r="AT1875" s="7"/>
      <c r="BA1875" s="7"/>
    </row>
    <row r="1876" spans="31:53" x14ac:dyDescent="0.55000000000000004">
      <c r="AE1876" s="7"/>
      <c r="AT1876" s="7"/>
      <c r="BA1876" s="7"/>
    </row>
    <row r="1877" spans="31:53" x14ac:dyDescent="0.55000000000000004">
      <c r="AE1877" s="7"/>
      <c r="AT1877" s="7"/>
      <c r="BA1877" s="7"/>
    </row>
    <row r="1878" spans="31:53" x14ac:dyDescent="0.55000000000000004">
      <c r="AE1878" s="7"/>
      <c r="AT1878" s="7"/>
      <c r="BA1878" s="7"/>
    </row>
    <row r="1879" spans="31:53" x14ac:dyDescent="0.55000000000000004">
      <c r="AE1879" s="7"/>
      <c r="AT1879" s="7"/>
      <c r="BA1879" s="7"/>
    </row>
    <row r="1880" spans="31:53" x14ac:dyDescent="0.55000000000000004">
      <c r="AE1880" s="7"/>
      <c r="AT1880" s="7"/>
      <c r="BA1880" s="7"/>
    </row>
    <row r="1881" spans="31:53" x14ac:dyDescent="0.55000000000000004">
      <c r="AE1881" s="7"/>
      <c r="AT1881" s="7"/>
      <c r="BA1881" s="7"/>
    </row>
    <row r="1882" spans="31:53" x14ac:dyDescent="0.55000000000000004">
      <c r="AE1882" s="7"/>
      <c r="AT1882" s="7"/>
      <c r="BA1882" s="7"/>
    </row>
    <row r="1883" spans="31:53" x14ac:dyDescent="0.55000000000000004">
      <c r="AE1883" s="7"/>
      <c r="AT1883" s="7"/>
      <c r="BA1883" s="7"/>
    </row>
    <row r="1884" spans="31:53" x14ac:dyDescent="0.55000000000000004">
      <c r="AE1884" s="7"/>
      <c r="AT1884" s="7"/>
      <c r="BA1884" s="7"/>
    </row>
    <row r="1885" spans="31:53" x14ac:dyDescent="0.55000000000000004">
      <c r="AE1885" s="7"/>
      <c r="AT1885" s="7"/>
      <c r="BA1885" s="7"/>
    </row>
    <row r="1886" spans="31:53" x14ac:dyDescent="0.55000000000000004">
      <c r="AE1886" s="7"/>
      <c r="AT1886" s="7"/>
      <c r="BA1886" s="7"/>
    </row>
    <row r="1887" spans="31:53" x14ac:dyDescent="0.55000000000000004">
      <c r="AE1887" s="7"/>
      <c r="AT1887" s="7"/>
      <c r="BA1887" s="7"/>
    </row>
    <row r="1888" spans="31:53" x14ac:dyDescent="0.55000000000000004">
      <c r="AE1888" s="7"/>
      <c r="AT1888" s="7"/>
      <c r="BA1888" s="7"/>
    </row>
    <row r="1889" spans="31:53" x14ac:dyDescent="0.55000000000000004">
      <c r="AE1889" s="7"/>
      <c r="AT1889" s="7"/>
      <c r="BA1889" s="7"/>
    </row>
    <row r="1890" spans="31:53" x14ac:dyDescent="0.55000000000000004">
      <c r="AE1890" s="7"/>
      <c r="AT1890" s="7"/>
      <c r="BA1890" s="7"/>
    </row>
    <row r="1891" spans="31:53" x14ac:dyDescent="0.55000000000000004">
      <c r="AE1891" s="7"/>
      <c r="AT1891" s="7"/>
      <c r="BA1891" s="7"/>
    </row>
    <row r="1892" spans="31:53" x14ac:dyDescent="0.55000000000000004">
      <c r="AE1892" s="7"/>
      <c r="AT1892" s="7"/>
      <c r="BA1892" s="7"/>
    </row>
    <row r="1893" spans="31:53" x14ac:dyDescent="0.55000000000000004">
      <c r="AE1893" s="7"/>
      <c r="AT1893" s="7"/>
      <c r="BA1893" s="7"/>
    </row>
    <row r="1894" spans="31:53" x14ac:dyDescent="0.55000000000000004">
      <c r="AE1894" s="7"/>
      <c r="AT1894" s="7"/>
      <c r="BA1894" s="7"/>
    </row>
    <row r="1895" spans="31:53" x14ac:dyDescent="0.55000000000000004">
      <c r="AE1895" s="7"/>
      <c r="AT1895" s="7"/>
      <c r="BA1895" s="7"/>
    </row>
    <row r="1896" spans="31:53" x14ac:dyDescent="0.55000000000000004">
      <c r="AE1896" s="7"/>
      <c r="AT1896" s="7"/>
      <c r="BA1896" s="7"/>
    </row>
    <row r="1897" spans="31:53" x14ac:dyDescent="0.55000000000000004">
      <c r="AE1897" s="7"/>
      <c r="AT1897" s="7"/>
      <c r="BA1897" s="7"/>
    </row>
    <row r="1898" spans="31:53" x14ac:dyDescent="0.55000000000000004">
      <c r="AE1898" s="7"/>
      <c r="AT1898" s="7"/>
      <c r="BA1898" s="7"/>
    </row>
    <row r="1899" spans="31:53" x14ac:dyDescent="0.55000000000000004">
      <c r="AE1899" s="7"/>
      <c r="AT1899" s="7"/>
      <c r="BA1899" s="7"/>
    </row>
    <row r="1900" spans="31:53" x14ac:dyDescent="0.55000000000000004">
      <c r="AE1900" s="7"/>
      <c r="AT1900" s="7"/>
      <c r="BA1900" s="7"/>
    </row>
    <row r="1901" spans="31:53" x14ac:dyDescent="0.55000000000000004">
      <c r="AE1901" s="7"/>
      <c r="AT1901" s="7"/>
      <c r="BA1901" s="7"/>
    </row>
    <row r="1902" spans="31:53" x14ac:dyDescent="0.55000000000000004">
      <c r="AE1902" s="7"/>
      <c r="AT1902" s="7"/>
      <c r="BA1902" s="7"/>
    </row>
    <row r="1903" spans="31:53" x14ac:dyDescent="0.55000000000000004">
      <c r="AE1903" s="7"/>
      <c r="AT1903" s="7"/>
      <c r="BA1903" s="7"/>
    </row>
    <row r="1904" spans="31:53" x14ac:dyDescent="0.55000000000000004">
      <c r="AE1904" s="7"/>
      <c r="AT1904" s="7"/>
      <c r="BA1904" s="7"/>
    </row>
    <row r="1905" spans="31:53" x14ac:dyDescent="0.55000000000000004">
      <c r="AE1905" s="7"/>
      <c r="AT1905" s="7"/>
      <c r="BA1905" s="7"/>
    </row>
    <row r="1906" spans="31:53" x14ac:dyDescent="0.55000000000000004">
      <c r="AE1906" s="7"/>
      <c r="AT1906" s="7"/>
      <c r="BA1906" s="7"/>
    </row>
    <row r="1907" spans="31:53" x14ac:dyDescent="0.55000000000000004">
      <c r="AE1907" s="7"/>
      <c r="AT1907" s="7"/>
      <c r="BA1907" s="7"/>
    </row>
    <row r="1908" spans="31:53" x14ac:dyDescent="0.55000000000000004">
      <c r="AE1908" s="7"/>
      <c r="AT1908" s="7"/>
      <c r="BA1908" s="7"/>
    </row>
    <row r="1909" spans="31:53" x14ac:dyDescent="0.55000000000000004">
      <c r="AE1909" s="7"/>
      <c r="AT1909" s="7"/>
      <c r="BA1909" s="7"/>
    </row>
    <row r="1910" spans="31:53" x14ac:dyDescent="0.55000000000000004">
      <c r="AE1910" s="7"/>
      <c r="AT1910" s="7"/>
      <c r="BA1910" s="7"/>
    </row>
    <row r="1911" spans="31:53" x14ac:dyDescent="0.55000000000000004">
      <c r="AE1911" s="7"/>
      <c r="AT1911" s="7"/>
      <c r="BA1911" s="7"/>
    </row>
    <row r="1912" spans="31:53" x14ac:dyDescent="0.55000000000000004">
      <c r="AE1912" s="7"/>
      <c r="AT1912" s="7"/>
      <c r="BA1912" s="7"/>
    </row>
    <row r="1913" spans="31:53" x14ac:dyDescent="0.55000000000000004">
      <c r="AE1913" s="7"/>
      <c r="AT1913" s="7"/>
      <c r="BA1913" s="7"/>
    </row>
    <row r="1914" spans="31:53" x14ac:dyDescent="0.55000000000000004">
      <c r="AE1914" s="7"/>
      <c r="AT1914" s="7"/>
      <c r="BA1914" s="7"/>
    </row>
    <row r="1915" spans="31:53" x14ac:dyDescent="0.55000000000000004">
      <c r="AE1915" s="7"/>
      <c r="AT1915" s="7"/>
      <c r="BA1915" s="7"/>
    </row>
    <row r="1916" spans="31:53" x14ac:dyDescent="0.55000000000000004">
      <c r="AE1916" s="7"/>
      <c r="AT1916" s="7"/>
      <c r="BA1916" s="7"/>
    </row>
    <row r="1917" spans="31:53" x14ac:dyDescent="0.55000000000000004">
      <c r="AE1917" s="7"/>
      <c r="AT1917" s="7"/>
      <c r="BA1917" s="7"/>
    </row>
    <row r="1918" spans="31:53" x14ac:dyDescent="0.55000000000000004">
      <c r="AE1918" s="7"/>
      <c r="AT1918" s="7"/>
      <c r="BA1918" s="7"/>
    </row>
    <row r="1919" spans="31:53" x14ac:dyDescent="0.55000000000000004">
      <c r="AE1919" s="7"/>
      <c r="AT1919" s="7"/>
      <c r="BA1919" s="7"/>
    </row>
    <row r="1920" spans="31:53" x14ac:dyDescent="0.55000000000000004">
      <c r="AE1920" s="7"/>
      <c r="AT1920" s="7"/>
      <c r="BA1920" s="7"/>
    </row>
    <row r="1921" spans="31:53" x14ac:dyDescent="0.55000000000000004">
      <c r="AE1921" s="7"/>
      <c r="AT1921" s="7"/>
      <c r="BA1921" s="7"/>
    </row>
    <row r="1922" spans="31:53" x14ac:dyDescent="0.55000000000000004">
      <c r="AE1922" s="7"/>
      <c r="AT1922" s="7"/>
      <c r="BA1922" s="7"/>
    </row>
    <row r="1923" spans="31:53" x14ac:dyDescent="0.55000000000000004">
      <c r="AE1923" s="7"/>
      <c r="AT1923" s="7"/>
      <c r="BA1923" s="7"/>
    </row>
    <row r="1924" spans="31:53" x14ac:dyDescent="0.55000000000000004">
      <c r="AE1924" s="7"/>
      <c r="AT1924" s="7"/>
      <c r="BA1924" s="7"/>
    </row>
    <row r="1925" spans="31:53" x14ac:dyDescent="0.55000000000000004">
      <c r="AE1925" s="7"/>
      <c r="AT1925" s="7"/>
      <c r="BA1925" s="7"/>
    </row>
    <row r="1926" spans="31:53" x14ac:dyDescent="0.55000000000000004">
      <c r="AE1926" s="7"/>
      <c r="AT1926" s="7"/>
      <c r="BA1926" s="7"/>
    </row>
    <row r="1927" spans="31:53" x14ac:dyDescent="0.55000000000000004">
      <c r="AE1927" s="7"/>
      <c r="AT1927" s="7"/>
      <c r="BA1927" s="7"/>
    </row>
    <row r="1928" spans="31:53" x14ac:dyDescent="0.55000000000000004">
      <c r="AE1928" s="7"/>
      <c r="AT1928" s="7"/>
      <c r="BA1928" s="7"/>
    </row>
    <row r="1929" spans="31:53" x14ac:dyDescent="0.55000000000000004">
      <c r="AE1929" s="7"/>
      <c r="AT1929" s="7"/>
      <c r="BA1929" s="7"/>
    </row>
    <row r="1930" spans="31:53" x14ac:dyDescent="0.55000000000000004">
      <c r="AE1930" s="7"/>
      <c r="AT1930" s="7"/>
      <c r="BA1930" s="7"/>
    </row>
    <row r="1931" spans="31:53" x14ac:dyDescent="0.55000000000000004">
      <c r="AE1931" s="7"/>
      <c r="AT1931" s="7"/>
      <c r="BA1931" s="7"/>
    </row>
    <row r="1932" spans="31:53" x14ac:dyDescent="0.55000000000000004">
      <c r="AE1932" s="7"/>
      <c r="AT1932" s="7"/>
      <c r="BA1932" s="7"/>
    </row>
    <row r="1933" spans="31:53" x14ac:dyDescent="0.55000000000000004">
      <c r="AE1933" s="7"/>
      <c r="AT1933" s="7"/>
      <c r="BA1933" s="7"/>
    </row>
    <row r="1934" spans="31:53" x14ac:dyDescent="0.55000000000000004">
      <c r="AE1934" s="7"/>
      <c r="AT1934" s="7"/>
      <c r="BA1934" s="7"/>
    </row>
    <row r="1935" spans="31:53" x14ac:dyDescent="0.55000000000000004">
      <c r="AE1935" s="7"/>
      <c r="AT1935" s="7"/>
      <c r="BA1935" s="7"/>
    </row>
    <row r="1936" spans="31:53" x14ac:dyDescent="0.55000000000000004">
      <c r="AE1936" s="7"/>
      <c r="AT1936" s="7"/>
      <c r="BA1936" s="7"/>
    </row>
    <row r="1937" spans="31:53" x14ac:dyDescent="0.55000000000000004">
      <c r="AE1937" s="7"/>
      <c r="AT1937" s="7"/>
      <c r="BA1937" s="7"/>
    </row>
    <row r="1938" spans="31:53" x14ac:dyDescent="0.55000000000000004">
      <c r="AE1938" s="7"/>
      <c r="AT1938" s="7"/>
      <c r="BA1938" s="7"/>
    </row>
    <row r="1939" spans="31:53" x14ac:dyDescent="0.55000000000000004">
      <c r="AE1939" s="7"/>
      <c r="AT1939" s="7"/>
      <c r="BA1939" s="7"/>
    </row>
    <row r="1940" spans="31:53" x14ac:dyDescent="0.55000000000000004">
      <c r="AE1940" s="7"/>
      <c r="AT1940" s="7"/>
      <c r="BA1940" s="7"/>
    </row>
    <row r="1941" spans="31:53" x14ac:dyDescent="0.55000000000000004">
      <c r="AE1941" s="7"/>
      <c r="AT1941" s="7"/>
      <c r="BA1941" s="7"/>
    </row>
    <row r="1942" spans="31:53" x14ac:dyDescent="0.55000000000000004">
      <c r="AE1942" s="7"/>
      <c r="AT1942" s="7"/>
      <c r="BA1942" s="7"/>
    </row>
    <row r="1943" spans="31:53" x14ac:dyDescent="0.55000000000000004">
      <c r="AE1943" s="7"/>
      <c r="AT1943" s="7"/>
      <c r="BA1943" s="7"/>
    </row>
    <row r="1944" spans="31:53" x14ac:dyDescent="0.55000000000000004">
      <c r="AE1944" s="7"/>
      <c r="AT1944" s="7"/>
      <c r="BA1944" s="7"/>
    </row>
    <row r="1945" spans="31:53" x14ac:dyDescent="0.55000000000000004">
      <c r="AE1945" s="7"/>
      <c r="AT1945" s="7"/>
      <c r="BA1945" s="7"/>
    </row>
    <row r="1946" spans="31:53" x14ac:dyDescent="0.55000000000000004">
      <c r="AE1946" s="7"/>
      <c r="AT1946" s="7"/>
      <c r="BA1946" s="7"/>
    </row>
    <row r="1947" spans="31:53" x14ac:dyDescent="0.55000000000000004">
      <c r="AE1947" s="7"/>
      <c r="AT1947" s="7"/>
      <c r="BA1947" s="7"/>
    </row>
    <row r="1948" spans="31:53" x14ac:dyDescent="0.55000000000000004">
      <c r="AE1948" s="7"/>
      <c r="AT1948" s="7"/>
      <c r="BA1948" s="7"/>
    </row>
    <row r="1949" spans="31:53" x14ac:dyDescent="0.55000000000000004">
      <c r="AE1949" s="7"/>
      <c r="AT1949" s="7"/>
      <c r="BA1949" s="7"/>
    </row>
    <row r="1950" spans="31:53" x14ac:dyDescent="0.55000000000000004">
      <c r="AE1950" s="7"/>
      <c r="AT1950" s="7"/>
      <c r="BA1950" s="7"/>
    </row>
    <row r="1951" spans="31:53" x14ac:dyDescent="0.55000000000000004">
      <c r="AE1951" s="7"/>
      <c r="AT1951" s="7"/>
      <c r="BA1951" s="7"/>
    </row>
    <row r="1952" spans="31:53" x14ac:dyDescent="0.55000000000000004">
      <c r="AE1952" s="7"/>
      <c r="AT1952" s="7"/>
      <c r="BA1952" s="7"/>
    </row>
    <row r="1953" spans="31:53" x14ac:dyDescent="0.55000000000000004">
      <c r="AE1953" s="7"/>
      <c r="AT1953" s="7"/>
      <c r="BA1953" s="7"/>
    </row>
    <row r="1954" spans="31:53" x14ac:dyDescent="0.55000000000000004">
      <c r="AE1954" s="7"/>
      <c r="AT1954" s="7"/>
      <c r="BA1954" s="7"/>
    </row>
    <row r="1955" spans="31:53" x14ac:dyDescent="0.55000000000000004">
      <c r="AE1955" s="7"/>
      <c r="AT1955" s="7"/>
      <c r="BA1955" s="7"/>
    </row>
    <row r="1956" spans="31:53" x14ac:dyDescent="0.55000000000000004">
      <c r="AE1956" s="7"/>
      <c r="AT1956" s="7"/>
      <c r="BA1956" s="7"/>
    </row>
    <row r="1957" spans="31:53" x14ac:dyDescent="0.55000000000000004">
      <c r="AE1957" s="7"/>
      <c r="AT1957" s="7"/>
      <c r="BA1957" s="7"/>
    </row>
    <row r="1958" spans="31:53" x14ac:dyDescent="0.55000000000000004">
      <c r="AE1958" s="7"/>
      <c r="AT1958" s="7"/>
      <c r="BA1958" s="7"/>
    </row>
    <row r="1959" spans="31:53" x14ac:dyDescent="0.55000000000000004">
      <c r="AE1959" s="7"/>
      <c r="AT1959" s="7"/>
      <c r="BA1959" s="7"/>
    </row>
    <row r="1960" spans="31:53" x14ac:dyDescent="0.55000000000000004">
      <c r="AE1960" s="7"/>
      <c r="AT1960" s="7"/>
      <c r="BA1960" s="7"/>
    </row>
    <row r="1961" spans="31:53" x14ac:dyDescent="0.55000000000000004">
      <c r="AE1961" s="7"/>
      <c r="AT1961" s="7"/>
      <c r="BA1961" s="7"/>
    </row>
    <row r="1962" spans="31:53" x14ac:dyDescent="0.55000000000000004">
      <c r="AE1962" s="7"/>
      <c r="AT1962" s="7"/>
      <c r="BA1962" s="7"/>
    </row>
    <row r="1963" spans="31:53" x14ac:dyDescent="0.55000000000000004">
      <c r="AE1963" s="7"/>
      <c r="AT1963" s="7"/>
      <c r="BA1963" s="7"/>
    </row>
    <row r="1964" spans="31:53" x14ac:dyDescent="0.55000000000000004">
      <c r="AE1964" s="7"/>
      <c r="AT1964" s="7"/>
      <c r="BA1964" s="7"/>
    </row>
    <row r="1965" spans="31:53" x14ac:dyDescent="0.55000000000000004">
      <c r="AE1965" s="7"/>
      <c r="AT1965" s="7"/>
      <c r="BA1965" s="7"/>
    </row>
    <row r="1966" spans="31:53" x14ac:dyDescent="0.55000000000000004">
      <c r="AE1966" s="7"/>
      <c r="AT1966" s="7"/>
      <c r="BA1966" s="7"/>
    </row>
    <row r="1967" spans="31:53" x14ac:dyDescent="0.55000000000000004">
      <c r="AE1967" s="7"/>
      <c r="AT1967" s="7"/>
      <c r="BA1967" s="7"/>
    </row>
    <row r="1968" spans="31:53" x14ac:dyDescent="0.55000000000000004">
      <c r="AE1968" s="7"/>
      <c r="AT1968" s="7"/>
      <c r="BA1968" s="7"/>
    </row>
    <row r="1969" spans="31:53" x14ac:dyDescent="0.55000000000000004">
      <c r="AE1969" s="7"/>
      <c r="AT1969" s="7"/>
      <c r="BA1969" s="7"/>
    </row>
    <row r="1970" spans="31:53" x14ac:dyDescent="0.55000000000000004">
      <c r="AE1970" s="7"/>
      <c r="AT1970" s="7"/>
      <c r="BA1970" s="7"/>
    </row>
    <row r="1971" spans="31:53" x14ac:dyDescent="0.55000000000000004">
      <c r="AE1971" s="7"/>
      <c r="AT1971" s="7"/>
      <c r="BA1971" s="7"/>
    </row>
    <row r="1972" spans="31:53" x14ac:dyDescent="0.55000000000000004">
      <c r="AE1972" s="7"/>
      <c r="AT1972" s="7"/>
      <c r="BA1972" s="7"/>
    </row>
    <row r="1973" spans="31:53" x14ac:dyDescent="0.55000000000000004">
      <c r="AE1973" s="7"/>
      <c r="AT1973" s="7"/>
      <c r="BA1973" s="7"/>
    </row>
    <row r="1974" spans="31:53" x14ac:dyDescent="0.55000000000000004">
      <c r="AE1974" s="7"/>
      <c r="AT1974" s="7"/>
      <c r="BA1974" s="7"/>
    </row>
    <row r="1975" spans="31:53" x14ac:dyDescent="0.55000000000000004">
      <c r="AE1975" s="7"/>
      <c r="AT1975" s="7"/>
      <c r="BA1975" s="7"/>
    </row>
    <row r="1976" spans="31:53" x14ac:dyDescent="0.55000000000000004">
      <c r="AE1976" s="7"/>
      <c r="AT1976" s="7"/>
      <c r="BA1976" s="7"/>
    </row>
    <row r="1977" spans="31:53" x14ac:dyDescent="0.55000000000000004">
      <c r="AE1977" s="7"/>
      <c r="AT1977" s="7"/>
      <c r="BA1977" s="7"/>
    </row>
    <row r="1978" spans="31:53" x14ac:dyDescent="0.55000000000000004">
      <c r="AE1978" s="7"/>
      <c r="AT1978" s="7"/>
      <c r="BA1978" s="7"/>
    </row>
    <row r="1979" spans="31:53" x14ac:dyDescent="0.55000000000000004">
      <c r="AE1979" s="7"/>
      <c r="AT1979" s="7"/>
      <c r="BA1979" s="7"/>
    </row>
    <row r="1980" spans="31:53" x14ac:dyDescent="0.55000000000000004">
      <c r="AE1980" s="7"/>
      <c r="AT1980" s="7"/>
      <c r="BA1980" s="7"/>
    </row>
    <row r="1981" spans="31:53" x14ac:dyDescent="0.55000000000000004">
      <c r="AE1981" s="7"/>
      <c r="AT1981" s="7"/>
      <c r="BA1981" s="7"/>
    </row>
    <row r="1982" spans="31:53" x14ac:dyDescent="0.55000000000000004">
      <c r="AE1982" s="7"/>
      <c r="AT1982" s="7"/>
      <c r="BA1982" s="7"/>
    </row>
    <row r="1983" spans="31:53" x14ac:dyDescent="0.55000000000000004">
      <c r="AE1983" s="7"/>
      <c r="AT1983" s="7"/>
      <c r="BA1983" s="7"/>
    </row>
    <row r="1984" spans="31:53" x14ac:dyDescent="0.55000000000000004">
      <c r="AE1984" s="7"/>
      <c r="AT1984" s="7"/>
      <c r="BA1984" s="7"/>
    </row>
    <row r="1985" spans="31:53" x14ac:dyDescent="0.55000000000000004">
      <c r="AE1985" s="7"/>
      <c r="AT1985" s="7"/>
      <c r="BA1985" s="7"/>
    </row>
    <row r="1986" spans="31:53" x14ac:dyDescent="0.55000000000000004">
      <c r="AE1986" s="7"/>
      <c r="AT1986" s="7"/>
      <c r="BA1986" s="7"/>
    </row>
    <row r="1987" spans="31:53" x14ac:dyDescent="0.55000000000000004">
      <c r="AE1987" s="7"/>
      <c r="AT1987" s="7"/>
      <c r="BA1987" s="7"/>
    </row>
    <row r="1988" spans="31:53" x14ac:dyDescent="0.55000000000000004">
      <c r="AE1988" s="7"/>
      <c r="AT1988" s="7"/>
      <c r="BA1988" s="7"/>
    </row>
    <row r="1989" spans="31:53" x14ac:dyDescent="0.55000000000000004">
      <c r="AE1989" s="7"/>
      <c r="AT1989" s="7"/>
      <c r="BA1989" s="7"/>
    </row>
    <row r="1990" spans="31:53" x14ac:dyDescent="0.55000000000000004">
      <c r="AE1990" s="7"/>
      <c r="AT1990" s="7"/>
      <c r="BA1990" s="7"/>
    </row>
    <row r="1991" spans="31:53" x14ac:dyDescent="0.55000000000000004">
      <c r="AE1991" s="7"/>
      <c r="AT1991" s="7"/>
      <c r="BA1991" s="7"/>
    </row>
    <row r="1992" spans="31:53" x14ac:dyDescent="0.55000000000000004">
      <c r="AE1992" s="7"/>
      <c r="AT1992" s="7"/>
      <c r="BA1992" s="7"/>
    </row>
    <row r="1993" spans="31:53" x14ac:dyDescent="0.55000000000000004">
      <c r="AE1993" s="7"/>
      <c r="AT1993" s="7"/>
      <c r="BA1993" s="7"/>
    </row>
    <row r="1994" spans="31:53" x14ac:dyDescent="0.55000000000000004">
      <c r="AE1994" s="7"/>
      <c r="AT1994" s="7"/>
      <c r="BA1994" s="7"/>
    </row>
    <row r="1995" spans="31:53" x14ac:dyDescent="0.55000000000000004">
      <c r="AE1995" s="7"/>
      <c r="AT1995" s="7"/>
      <c r="BA1995" s="7"/>
    </row>
    <row r="1996" spans="31:53" x14ac:dyDescent="0.55000000000000004">
      <c r="AE1996" s="7"/>
      <c r="AT1996" s="7"/>
      <c r="BA1996" s="7"/>
    </row>
    <row r="1997" spans="31:53" x14ac:dyDescent="0.55000000000000004">
      <c r="AE1997" s="7"/>
      <c r="AT1997" s="7"/>
      <c r="BA1997" s="7"/>
    </row>
    <row r="1998" spans="31:53" x14ac:dyDescent="0.55000000000000004">
      <c r="AE1998" s="7"/>
      <c r="AT1998" s="7"/>
      <c r="BA1998" s="7"/>
    </row>
    <row r="1999" spans="31:53" x14ac:dyDescent="0.55000000000000004">
      <c r="AE1999" s="7"/>
      <c r="AT1999" s="7"/>
      <c r="BA1999" s="7"/>
    </row>
    <row r="2000" spans="31:53" x14ac:dyDescent="0.55000000000000004">
      <c r="AE2000" s="7"/>
      <c r="AT2000" s="7"/>
      <c r="BA2000" s="7"/>
    </row>
  </sheetData>
  <phoneticPr fontId="12"/>
  <conditionalFormatting sqref="A15:O40">
    <cfRule type="expression" dxfId="0" priority="1" stopIfTrue="1">
      <formula>$L15=1</formula>
    </cfRule>
  </conditionalFormatting>
  <dataValidations count="1">
    <dataValidation type="list" allowBlank="1" showInputMessage="1" showErrorMessage="1" sqref="B9" xr:uid="{A8A66444-67D8-49DE-B0DF-3C1EB3BDAE98}">
      <formula1>"NET,GROSS,CARRY,IRR"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50</vt:i4>
      </vt:variant>
    </vt:vector>
  </HeadingPairs>
  <TitlesOfParts>
    <vt:vector size="58" baseType="lpstr">
      <vt:lpstr>PCA</vt:lpstr>
      <vt:lpstr>PCAGrid</vt:lpstr>
      <vt:lpstr>VolPCA</vt:lpstr>
      <vt:lpstr>VolHV</vt:lpstr>
      <vt:lpstr>VolLevel</vt:lpstr>
      <vt:lpstr>BOJ</vt:lpstr>
      <vt:lpstr>FwdMonitor</vt:lpstr>
      <vt:lpstr>FutBasis</vt:lpstr>
      <vt:lpstr>FUT_AdjDate</vt:lpstr>
      <vt:lpstr>FUT_AdjNet</vt:lpstr>
      <vt:lpstr>FUT_AdjSettle</vt:lpstr>
      <vt:lpstr>FUT_Contract</vt:lpstr>
      <vt:lpstr>FUT_DateIn</vt:lpstr>
      <vt:lpstr>FUT_Field</vt:lpstr>
      <vt:lpstr>FUT_From</vt:lpstr>
      <vt:lpstr>FUT_Overlay</vt:lpstr>
      <vt:lpstr>FUT_Price</vt:lpstr>
      <vt:lpstr>FUT_Repo</vt:lpstr>
      <vt:lpstr>FUT_Steps</vt:lpstr>
      <vt:lpstr>FUT_Yields</vt:lpstr>
      <vt:lpstr>FWM_Base</vt:lpstr>
      <vt:lpstr>FWM_Cmp</vt:lpstr>
      <vt:lpstr>FWM_From</vt:lpstr>
      <vt:lpstr>FWM_Labels</vt:lpstr>
      <vt:lpstr>FWM_Live</vt:lpstr>
      <vt:lpstr>FWM_TL1</vt:lpstr>
      <vt:lpstr>FWM_TL2</vt:lpstr>
      <vt:lpstr>FWM_TL3</vt:lpstr>
      <vt:lpstr>FWM_TMode</vt:lpstr>
      <vt:lpstr>FWM_TName</vt:lpstr>
      <vt:lpstr>FWM_TShow</vt:lpstr>
      <vt:lpstr>FWM_TW1</vt:lpstr>
      <vt:lpstr>FWM_TW2</vt:lpstr>
      <vt:lpstr>FWM_TW3</vt:lpstr>
      <vt:lpstr>FWM_View</vt:lpstr>
      <vt:lpstr>FWM_Win</vt:lpstr>
      <vt:lpstr>PCA_k</vt:lpstr>
      <vt:lpstr>PCA_Mode</vt:lpstr>
      <vt:lpstr>PCA_ReconDate</vt:lpstr>
      <vt:lpstr>PCA_SigmaDays</vt:lpstr>
      <vt:lpstr>PCA_Standardize</vt:lpstr>
      <vt:lpstr>PCA_window</vt:lpstr>
      <vt:lpstr>PCA_WindowEnd</vt:lpstr>
      <vt:lpstr>PCG_GuideIn</vt:lpstr>
      <vt:lpstr>PCG_ReconDate</vt:lpstr>
      <vt:lpstr>PCG_SigmaDays</vt:lpstr>
      <vt:lpstr>VHV_Days</vt:lpstr>
      <vt:lpstr>VHV_From</vt:lpstr>
      <vt:lpstr>VLV_From</vt:lpstr>
      <vt:lpstr>VLV_GPoint</vt:lpstr>
      <vt:lpstr>VLV_GValue</vt:lpstr>
      <vt:lpstr>VLV_Recent</vt:lpstr>
      <vt:lpstr>VOL_k</vt:lpstr>
      <vt:lpstr>VOL_Mode</vt:lpstr>
      <vt:lpstr>VOL_ReconDate</vt:lpstr>
      <vt:lpstr>VOL_Standardize</vt:lpstr>
      <vt:lpstr>VOL_window</vt:lpstr>
      <vt:lpstr>VOL_WindowEnd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2026-10-27T13:32:42Z</dcterms:modified>
</cp:coreProperties>
</file>